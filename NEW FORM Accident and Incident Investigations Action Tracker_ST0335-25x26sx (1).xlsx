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heme/themeOverride1.xml" ContentType="application/vnd.openxmlformats-officedocument.themeOverride+xml"/>
  <Override PartName="/xl/charts/chart10.xml" ContentType="application/vnd.openxmlformats-officedocument.drawingml.chart+xml"/>
  <Override PartName="/xl/theme/themeOverride2.xml" ContentType="application/vnd.openxmlformats-officedocument.themeOverride+xml"/>
  <Override PartName="/xl/charts/chart11.xml" ContentType="application/vnd.openxmlformats-officedocument.drawingml.chart+xml"/>
  <Override PartName="/xl/theme/themeOverride3.xml" ContentType="application/vnd.openxmlformats-officedocument.themeOverride+xml"/>
  <Override PartName="/xl/charts/chart12.xml" ContentType="application/vnd.openxmlformats-officedocument.drawingml.chart+xml"/>
  <Override PartName="/xl/theme/themeOverride4.xml" ContentType="application/vnd.openxmlformats-officedocument.themeOverride+xml"/>
  <Override PartName="/xl/charts/chart13.xml" ContentType="application/vnd.openxmlformats-officedocument.drawingml.chart+xml"/>
  <Override PartName="/xl/theme/themeOverride5.xml" ContentType="application/vnd.openxmlformats-officedocument.themeOverrid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userName="Kelly Henley-Smith" algorithmName="SHA-512" hashValue="QilNxbdQtR2+PuyGI/P8BjrAHW7nGX1Z9fpwct0RysW7C/TvYJmqMBD5Zi1Z8LplDL13OAW6BUTRmVUscXJ8kg==" saltValue="NwDz7gK8/p9xcc/APe0KAQ==" spinCount="100000"/>
  <workbookPr hidePivotFieldList="1" defaultThemeVersion="124226"/>
  <mc:AlternateContent xmlns:mc="http://schemas.openxmlformats.org/markup-compatibility/2006">
    <mc:Choice Requires="x15">
      <x15ac:absPath xmlns:x15ac="http://schemas.microsoft.com/office/spreadsheetml/2010/11/ac" url="https://sytram-my.sharepoint.com/personal/andrew_buckley_supertram_com/Documents/Downloads ONLINE/"/>
    </mc:Choice>
  </mc:AlternateContent>
  <xr:revisionPtr revIDLastSave="0" documentId="10_ncr:10000_{23A3C855-9658-47CF-893B-F7D8B37B96FE}" xr6:coauthVersionLast="47" xr6:coauthVersionMax="47" xr10:uidLastSave="{00000000-0000-0000-0000-000000000000}"/>
  <bookViews>
    <workbookView xWindow="-57720" yWindow="-6930" windowWidth="29040" windowHeight="15720" tabRatio="607" firstSheet="2" activeTab="3" xr2:uid="{00000000-000D-0000-FFFF-FFFF00000000}"/>
  </bookViews>
  <sheets>
    <sheet name="Data" sheetId="8" r:id="rId1"/>
    <sheet name="Lookup Sheets" sheetId="3" r:id="rId2"/>
    <sheet name="Summary" sheetId="16" r:id="rId3"/>
    <sheet name="Safety Action Tracking" sheetId="6" r:id="rId4"/>
    <sheet name="Accident &amp; Incident Detail" sheetId="1" r:id="rId5"/>
  </sheets>
  <definedNames>
    <definedName name="_xlnm._FilterDatabase" localSheetId="4" hidden="1">'Accident &amp; Incident Detail'!$D$2376:$D$2376</definedName>
    <definedName name="_xlnm._FilterDatabase" localSheetId="1" hidden="1">'Lookup Sheets'!$A$1:$U$127</definedName>
    <definedName name="_xlnm._FilterDatabase" localSheetId="3" hidden="1">'Safety Action Tracking'!$A$3:$Q$1503</definedName>
    <definedName name="Catergory">'Accident &amp; Incident Detail'!$I$2</definedName>
    <definedName name="Investigationtype" localSheetId="2">'Lookup Sheets'!$X$2:$X$8</definedName>
    <definedName name="Investigationtype">'Lookup Sheets'!$X$2:$X$8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34" i="1" l="1"/>
  <c r="S1536" i="1"/>
  <c r="S1534" i="1"/>
  <c r="S1173" i="1"/>
  <c r="A399" i="1"/>
  <c r="T23" i="8"/>
  <c r="AL121" i="8"/>
  <c r="AM121" i="8"/>
  <c r="AN121" i="8"/>
  <c r="AL122" i="8"/>
  <c r="AM122" i="8"/>
  <c r="AN122" i="8"/>
  <c r="M399" i="6" l="1"/>
  <c r="AL152" i="8"/>
  <c r="AM152" i="8"/>
  <c r="AN152" i="8"/>
  <c r="AL150" i="8"/>
  <c r="AM150" i="8"/>
  <c r="AN150" i="8"/>
  <c r="AL148" i="8"/>
  <c r="AM148" i="8"/>
  <c r="AN148" i="8"/>
  <c r="AE10" i="16"/>
  <c r="AF10" i="16"/>
  <c r="AG10" i="16"/>
  <c r="AH10" i="16"/>
  <c r="AI10" i="16"/>
  <c r="AJ10" i="16"/>
  <c r="AK10" i="16"/>
  <c r="AL10" i="16"/>
  <c r="AM10" i="16"/>
  <c r="AN10" i="16"/>
  <c r="AO10" i="16"/>
  <c r="AE11" i="16"/>
  <c r="AF11" i="16"/>
  <c r="AG11" i="16"/>
  <c r="AH11" i="16"/>
  <c r="AI11" i="16"/>
  <c r="AJ11" i="16"/>
  <c r="AK11" i="16"/>
  <c r="AL11" i="16"/>
  <c r="AM11" i="16"/>
  <c r="AN11" i="16"/>
  <c r="AO11" i="16"/>
  <c r="A1545" i="1" l="1"/>
  <c r="R1580" i="1" l="1"/>
  <c r="R1579" i="1"/>
  <c r="R1578" i="1"/>
  <c r="R1577" i="1"/>
  <c r="R1576" i="1"/>
  <c r="R1575" i="1"/>
  <c r="R1574" i="1"/>
  <c r="R1573" i="1"/>
  <c r="R1572" i="1"/>
  <c r="R1571" i="1"/>
  <c r="R1570" i="1"/>
  <c r="R1569" i="1"/>
  <c r="R1568" i="1"/>
  <c r="R1567" i="1"/>
  <c r="R1564" i="1"/>
  <c r="R1563" i="1"/>
  <c r="R1562" i="1"/>
  <c r="R1561" i="1"/>
  <c r="R1558" i="1"/>
  <c r="R1557" i="1"/>
  <c r="R1555" i="1"/>
  <c r="R1463" i="1"/>
  <c r="R1201" i="1"/>
  <c r="R801" i="1"/>
  <c r="R426" i="1"/>
  <c r="R322" i="1"/>
  <c r="A1"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1" i="1"/>
  <c r="A1032" i="1"/>
  <c r="A1033"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9" i="1"/>
  <c r="A1200" i="1"/>
  <c r="A1201" i="1"/>
  <c r="A1202" i="1"/>
  <c r="A1204" i="1"/>
  <c r="A1205" i="1"/>
  <c r="A1206" i="1"/>
  <c r="A1207" i="1"/>
  <c r="A1208" i="1"/>
  <c r="A1209" i="1"/>
  <c r="A1210" i="1"/>
  <c r="A1211" i="1"/>
  <c r="A1212" i="1"/>
  <c r="A1213" i="1"/>
  <c r="A1214" i="1"/>
  <c r="A1216" i="1"/>
  <c r="A1217" i="1"/>
  <c r="A1218" i="1"/>
  <c r="A1220" i="1"/>
  <c r="A1221" i="1"/>
  <c r="A1222" i="1"/>
  <c r="A1223" i="1"/>
  <c r="A1224" i="1"/>
  <c r="A1225" i="1"/>
  <c r="A1226" i="1"/>
  <c r="A1227" i="1"/>
  <c r="A1228" i="1"/>
  <c r="A1229" i="1"/>
  <c r="A1230" i="1"/>
  <c r="A1231" i="1"/>
  <c r="A1234" i="1"/>
  <c r="A1235" i="1"/>
  <c r="A1237" i="1"/>
  <c r="A1239" i="1"/>
  <c r="A1240" i="1"/>
  <c r="A1241" i="1"/>
  <c r="A1242" i="1"/>
  <c r="A1243" i="1"/>
  <c r="A1244" i="1"/>
  <c r="A1245" i="1"/>
  <c r="A1247" i="1"/>
  <c r="A1248" i="1"/>
  <c r="A1249" i="1"/>
  <c r="A1250" i="1"/>
  <c r="A1251" i="1"/>
  <c r="A1253" i="1"/>
  <c r="A1254" i="1"/>
  <c r="A1255" i="1"/>
  <c r="A1256" i="1"/>
  <c r="A1257" i="1"/>
  <c r="A1258" i="1"/>
  <c r="A1259" i="1"/>
  <c r="A1263" i="1"/>
  <c r="A1265" i="1"/>
  <c r="A1270" i="1"/>
  <c r="A1271" i="1"/>
  <c r="A1273" i="1"/>
  <c r="A1274" i="1"/>
  <c r="A1275" i="1"/>
  <c r="A1276" i="1"/>
  <c r="A1277" i="1"/>
  <c r="A1279" i="1"/>
  <c r="A1280" i="1"/>
  <c r="A1281" i="1"/>
  <c r="A1282" i="1"/>
  <c r="A1283" i="1"/>
  <c r="A1284" i="1"/>
  <c r="A1285" i="1"/>
  <c r="A1286" i="1"/>
  <c r="A1287" i="1"/>
  <c r="A1288" i="1"/>
  <c r="A1289" i="1"/>
  <c r="A1290" i="1"/>
  <c r="A1291" i="1"/>
  <c r="A1293" i="1"/>
  <c r="A1294" i="1"/>
  <c r="A1295" i="1"/>
  <c r="A1296" i="1"/>
  <c r="A1298" i="1"/>
  <c r="A1300" i="1"/>
  <c r="A1301" i="1"/>
  <c r="A1302" i="1"/>
  <c r="A1303" i="1"/>
  <c r="A1305" i="1"/>
  <c r="A1307" i="1"/>
  <c r="A1308" i="1"/>
  <c r="A1309" i="1"/>
  <c r="A1311" i="1"/>
  <c r="A1312" i="1"/>
  <c r="A1314" i="1"/>
  <c r="A1315" i="1"/>
  <c r="A1316" i="1"/>
  <c r="A1317" i="1"/>
  <c r="A1318" i="1"/>
  <c r="A1319" i="1"/>
  <c r="A1320" i="1"/>
  <c r="A1321" i="1"/>
  <c r="A1322" i="1"/>
  <c r="A1323" i="1"/>
  <c r="A1324" i="1"/>
  <c r="A1325" i="1"/>
  <c r="A1326" i="1"/>
  <c r="A1327" i="1"/>
  <c r="A1328" i="1"/>
  <c r="A1329" i="1"/>
  <c r="A1330" i="1"/>
  <c r="A1331" i="1"/>
  <c r="A1332" i="1"/>
  <c r="A1333" i="1"/>
  <c r="A1334" i="1"/>
  <c r="A1336" i="1"/>
  <c r="A1338" i="1"/>
  <c r="A1342" i="1"/>
  <c r="A1343" i="1"/>
  <c r="A1344" i="1"/>
  <c r="A1345" i="1"/>
  <c r="A1346" i="1"/>
  <c r="A1349" i="1"/>
  <c r="A1351" i="1"/>
  <c r="A1353" i="1"/>
  <c r="A1354" i="1"/>
  <c r="A1356" i="1"/>
  <c r="A1359" i="1"/>
  <c r="A1360" i="1"/>
  <c r="A1361" i="1"/>
  <c r="A1362" i="1"/>
  <c r="A1363" i="1"/>
  <c r="A1365" i="1"/>
  <c r="A1369" i="1"/>
  <c r="A1370" i="1"/>
  <c r="A1371" i="1"/>
  <c r="A1372" i="1"/>
  <c r="A1373" i="1"/>
  <c r="A1376" i="1"/>
  <c r="A1377" i="1"/>
  <c r="A1378" i="1"/>
  <c r="A1380" i="1"/>
  <c r="A1381" i="1"/>
  <c r="A1382" i="1"/>
  <c r="A1385" i="1"/>
  <c r="A1386" i="1"/>
  <c r="A1387" i="1"/>
  <c r="A1388" i="1"/>
  <c r="A1389" i="1"/>
  <c r="A1390" i="1"/>
  <c r="A1392" i="1"/>
  <c r="A1393" i="1"/>
  <c r="A1398" i="1"/>
  <c r="A1400" i="1"/>
  <c r="A1401" i="1"/>
  <c r="A1402" i="1"/>
  <c r="A1403" i="1"/>
  <c r="A1405" i="1"/>
  <c r="A1406" i="1"/>
  <c r="A1407" i="1"/>
  <c r="A1409" i="1"/>
  <c r="A1410" i="1"/>
  <c r="A1411" i="1"/>
  <c r="A1418" i="1"/>
  <c r="A1419" i="1"/>
  <c r="A1420" i="1"/>
  <c r="A1423" i="1"/>
  <c r="A1425" i="1"/>
  <c r="A1427" i="1"/>
  <c r="A1428" i="1"/>
  <c r="A1430" i="1"/>
  <c r="A1431" i="1"/>
  <c r="A1432" i="1"/>
  <c r="A1433" i="1"/>
  <c r="A1434" i="1"/>
  <c r="A1436" i="1"/>
  <c r="A1437" i="1"/>
  <c r="A1442" i="1"/>
  <c r="A1443" i="1"/>
  <c r="A1444" i="1"/>
  <c r="A1445" i="1"/>
  <c r="A1449" i="1"/>
  <c r="A1450" i="1"/>
  <c r="A1453" i="1"/>
  <c r="A1455" i="1"/>
  <c r="A1456" i="1"/>
  <c r="A1457" i="1"/>
  <c r="A1458" i="1"/>
  <c r="A1460" i="1"/>
  <c r="A1461" i="1"/>
  <c r="A1469" i="1"/>
  <c r="A1470" i="1"/>
  <c r="A1472" i="1"/>
  <c r="A1473" i="1"/>
  <c r="A1476" i="1"/>
  <c r="A1478" i="1"/>
  <c r="A1482" i="1"/>
  <c r="A1483" i="1"/>
  <c r="A1485" i="1"/>
  <c r="A1486" i="1"/>
  <c r="A1487" i="1"/>
  <c r="A1488" i="1"/>
  <c r="A1496" i="1"/>
  <c r="A1497" i="1"/>
  <c r="A1498" i="1"/>
  <c r="A1499" i="1"/>
  <c r="A1500" i="1"/>
  <c r="A1501" i="1"/>
  <c r="A1502" i="1"/>
  <c r="A1503" i="1"/>
  <c r="A1504" i="1"/>
  <c r="A1507" i="1"/>
  <c r="A1509" i="1"/>
  <c r="A1510" i="1"/>
  <c r="A1513" i="1"/>
  <c r="A1514" i="1"/>
  <c r="A1515" i="1"/>
  <c r="A1516" i="1"/>
  <c r="A1518" i="1"/>
  <c r="A1519" i="1"/>
  <c r="A1520" i="1"/>
  <c r="A1521" i="1"/>
  <c r="A1522" i="1"/>
  <c r="A1523" i="1"/>
  <c r="A1524" i="1"/>
  <c r="A1528" i="1"/>
  <c r="A1530" i="1"/>
  <c r="A1531" i="1"/>
  <c r="A1533" i="1"/>
  <c r="A1535" i="1"/>
  <c r="A1538" i="1"/>
  <c r="A1539" i="1"/>
  <c r="A1540" i="1"/>
  <c r="A1541" i="1"/>
  <c r="M1537" i="1"/>
  <c r="M1529" i="1"/>
  <c r="AC1019" i="1"/>
  <c r="S1019" i="1"/>
  <c r="M1523" i="1" l="1"/>
  <c r="G474" i="6"/>
  <c r="AL14" i="8" l="1"/>
  <c r="AM14" i="8"/>
  <c r="AN14" i="8"/>
  <c r="AL13" i="8"/>
  <c r="AM13" i="8"/>
  <c r="AN13" i="8"/>
  <c r="AJ12" i="8" a="1"/>
  <c r="AJ12" i="8" s="1"/>
  <c r="AK12" i="8" a="1"/>
  <c r="AK12" i="8" s="1"/>
  <c r="AL12" i="8" a="1"/>
  <c r="AL12" i="8" s="1"/>
  <c r="AM12" i="8" a="1"/>
  <c r="AM12" i="8" s="1"/>
  <c r="AN12" i="8" a="1"/>
  <c r="AN12" i="8" s="1"/>
  <c r="AJ9" i="8" a="1"/>
  <c r="AJ9" i="8" s="1"/>
  <c r="AK9" i="8" a="1"/>
  <c r="AK9" i="8" s="1"/>
  <c r="AL9" i="8" a="1"/>
  <c r="AL9" i="8" s="1"/>
  <c r="AM9" i="8" a="1"/>
  <c r="AM9" i="8" s="1"/>
  <c r="AN9" i="8" a="1"/>
  <c r="AN9" i="8" s="1"/>
  <c r="AJ8" i="8" a="1"/>
  <c r="AJ8" i="8" s="1"/>
  <c r="AK8" i="8" a="1"/>
  <c r="AK8" i="8" s="1"/>
  <c r="AL8" i="8" a="1"/>
  <c r="AL8" i="8" s="1"/>
  <c r="AM8" i="8" a="1"/>
  <c r="AM8" i="8" s="1"/>
  <c r="AN8" i="8" a="1"/>
  <c r="AN8" i="8" s="1"/>
  <c r="AJ5" i="8" a="1"/>
  <c r="AJ5" i="8" s="1"/>
  <c r="AI5" i="8" a="1"/>
  <c r="AI5" i="8" s="1"/>
  <c r="AK5" i="8" a="1"/>
  <c r="AK5" i="8" s="1"/>
  <c r="AL5" i="8" a="1"/>
  <c r="AL5" i="8" s="1"/>
  <c r="AM5" i="8" a="1"/>
  <c r="AM5" i="8" s="1"/>
  <c r="AN5" i="8" a="1"/>
  <c r="AN5" i="8" s="1"/>
  <c r="M364" i="6" l="1"/>
  <c r="A374" i="6"/>
  <c r="M393" i="6"/>
  <c r="G397" i="6"/>
  <c r="G455" i="6"/>
  <c r="G456" i="6"/>
  <c r="G457" i="6"/>
  <c r="N1491" i="6"/>
  <c r="A1491" i="6" s="1"/>
  <c r="N1490" i="6"/>
  <c r="A1490" i="6" s="1"/>
  <c r="N1489" i="6"/>
  <c r="A1489" i="6" s="1"/>
  <c r="N1488" i="6"/>
  <c r="A1488" i="6" s="1"/>
  <c r="N1487" i="6"/>
  <c r="A1487" i="6" s="1"/>
  <c r="N1486" i="6"/>
  <c r="A1486" i="6" s="1"/>
  <c r="N1485" i="6"/>
  <c r="A1485" i="6" s="1"/>
  <c r="N1484" i="6"/>
  <c r="A1484" i="6" s="1"/>
  <c r="N1483" i="6"/>
  <c r="A1483" i="6" s="1"/>
  <c r="N1482" i="6"/>
  <c r="A1482" i="6" s="1"/>
  <c r="N1481" i="6"/>
  <c r="A1481" i="6" s="1"/>
  <c r="N1480" i="6"/>
  <c r="A1480" i="6" s="1"/>
  <c r="N1479" i="6"/>
  <c r="A1479" i="6" s="1"/>
  <c r="N1478" i="6"/>
  <c r="A1478" i="6" s="1"/>
  <c r="N1477" i="6"/>
  <c r="A1477" i="6" s="1"/>
  <c r="N1476" i="6"/>
  <c r="A1476" i="6" s="1"/>
  <c r="N1475" i="6"/>
  <c r="A1475" i="6" s="1"/>
  <c r="N1474" i="6"/>
  <c r="A1474" i="6" s="1"/>
  <c r="N1473" i="6"/>
  <c r="A1473" i="6" s="1"/>
  <c r="N1472" i="6"/>
  <c r="A1472" i="6" s="1"/>
  <c r="N1471" i="6"/>
  <c r="A1471" i="6" s="1"/>
  <c r="N1470" i="6"/>
  <c r="A1470" i="6" s="1"/>
  <c r="N1469" i="6"/>
  <c r="A1469" i="6" s="1"/>
  <c r="N1468" i="6"/>
  <c r="A1468" i="6" s="1"/>
  <c r="N1467" i="6"/>
  <c r="A1467" i="6" s="1"/>
  <c r="N1466" i="6"/>
  <c r="A1466" i="6" s="1"/>
  <c r="N1465" i="6"/>
  <c r="A1465" i="6" s="1"/>
  <c r="N1464" i="6"/>
  <c r="A1464" i="6" s="1"/>
  <c r="N1463" i="6"/>
  <c r="A1463" i="6" s="1"/>
  <c r="N1462" i="6"/>
  <c r="A1462" i="6" s="1"/>
  <c r="N1461" i="6"/>
  <c r="A1461" i="6" s="1"/>
  <c r="N1460" i="6"/>
  <c r="A1460" i="6" s="1"/>
  <c r="N1459" i="6"/>
  <c r="A1459" i="6" s="1"/>
  <c r="AI10" i="8" l="1" a="1"/>
  <c r="AI10" i="8" s="1"/>
  <c r="AJ10" i="8" a="1"/>
  <c r="AJ10" i="8" s="1"/>
  <c r="AK10" i="8" a="1"/>
  <c r="AK10" i="8" s="1"/>
  <c r="AL10" i="8" a="1"/>
  <c r="AL10" i="8" s="1"/>
  <c r="AM10" i="8" a="1"/>
  <c r="AM10" i="8" s="1"/>
  <c r="AN10" i="8" a="1"/>
  <c r="AN10" i="8" s="1"/>
  <c r="AH10" i="8" a="1"/>
  <c r="AH10" i="8" s="1"/>
  <c r="G451" i="6"/>
  <c r="G452" i="6"/>
  <c r="G446" i="6"/>
  <c r="G450" i="6"/>
  <c r="G447" i="6"/>
  <c r="G409" i="6"/>
  <c r="M660" i="1" l="1"/>
  <c r="G434" i="6"/>
  <c r="M1364" i="1"/>
  <c r="G423" i="6"/>
  <c r="G396" i="6"/>
  <c r="G395" i="6"/>
  <c r="G393" i="6"/>
  <c r="G399" i="6"/>
  <c r="G400" i="6"/>
  <c r="G401" i="6"/>
  <c r="G402" i="6"/>
  <c r="G403" i="6"/>
  <c r="G404" i="6"/>
  <c r="G405" i="6"/>
  <c r="G406" i="6"/>
  <c r="G407" i="6"/>
  <c r="G408" i="6"/>
  <c r="G410" i="6"/>
  <c r="G411" i="6"/>
  <c r="G412" i="6"/>
  <c r="G413" i="6"/>
  <c r="G414" i="6"/>
  <c r="G415" i="6"/>
  <c r="G416" i="6"/>
  <c r="G417" i="6"/>
  <c r="G418" i="6"/>
  <c r="G419" i="6"/>
  <c r="G420" i="6"/>
  <c r="G421" i="6"/>
  <c r="G422" i="6"/>
  <c r="G424" i="6"/>
  <c r="G425" i="6"/>
  <c r="G426" i="6"/>
  <c r="G427" i="6"/>
  <c r="G428" i="6"/>
  <c r="G429" i="6"/>
  <c r="G430" i="6"/>
  <c r="G431" i="6"/>
  <c r="G432" i="6"/>
  <c r="G433" i="6"/>
  <c r="G435" i="6"/>
  <c r="G436" i="6"/>
  <c r="G437" i="6"/>
  <c r="G438" i="6"/>
  <c r="G439" i="6"/>
  <c r="G440" i="6"/>
  <c r="G441" i="6"/>
  <c r="G442" i="6"/>
  <c r="G443" i="6"/>
  <c r="G444" i="6"/>
  <c r="G445" i="6"/>
  <c r="G448" i="6"/>
  <c r="G449" i="6"/>
  <c r="G453" i="6"/>
  <c r="G454" i="6"/>
  <c r="G458" i="6"/>
  <c r="G459" i="6"/>
  <c r="G460" i="6"/>
  <c r="G461" i="6"/>
  <c r="G462" i="6"/>
  <c r="G463" i="6"/>
  <c r="G464" i="6"/>
  <c r="G465" i="6"/>
  <c r="G466" i="6"/>
  <c r="G467" i="6"/>
  <c r="G468" i="6"/>
  <c r="G469" i="6"/>
  <c r="G470" i="6"/>
  <c r="G471" i="6"/>
  <c r="G472" i="6"/>
  <c r="G473"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398" i="6"/>
  <c r="G394" i="6"/>
  <c r="G392" i="6"/>
  <c r="AG12" i="8" l="1" a="1"/>
  <c r="AG12" i="8" s="1"/>
  <c r="AG16" i="8" a="1"/>
  <c r="AG16" i="8" s="1"/>
  <c r="AG15" i="8" a="1"/>
  <c r="AG15" i="8" s="1"/>
  <c r="C19" i="16"/>
  <c r="C15" i="16"/>
  <c r="AN16" i="8" l="1" a="1"/>
  <c r="AN16" i="8" s="1"/>
  <c r="AN15" i="8" a="1"/>
  <c r="AN15" i="8" s="1"/>
  <c r="AM16" i="8" a="1"/>
  <c r="AM16" i="8" s="1"/>
  <c r="AM15" i="8" a="1"/>
  <c r="AM15" i="8" s="1"/>
  <c r="AL16" i="8" a="1"/>
  <c r="AL16" i="8" s="1"/>
  <c r="AL15" i="8" a="1"/>
  <c r="AL15" i="8" s="1"/>
  <c r="AK16" i="8" a="1"/>
  <c r="AK16" i="8" s="1"/>
  <c r="AK15" i="8" a="1"/>
  <c r="AK15" i="8" s="1"/>
  <c r="AJ16" i="8" a="1"/>
  <c r="AJ16" i="8" s="1"/>
  <c r="AJ15" i="8" a="1"/>
  <c r="AJ15" i="8" s="1"/>
  <c r="AI16" i="8" a="1"/>
  <c r="AI16" i="8" s="1"/>
  <c r="AI15" i="8" a="1"/>
  <c r="AI15" i="8" s="1"/>
  <c r="AI9" i="8" a="1"/>
  <c r="AI9" i="8" s="1"/>
  <c r="AI8" i="8" a="1"/>
  <c r="AI8" i="8" s="1"/>
  <c r="AH8" i="8" a="1"/>
  <c r="AH8" i="8" s="1"/>
  <c r="AH16" i="8" a="1"/>
  <c r="AH16" i="8" s="1"/>
  <c r="AH15" i="8" a="1"/>
  <c r="AH15" i="8" s="1"/>
  <c r="B11" i="16"/>
  <c r="AH9" i="8" a="1"/>
  <c r="AH9" i="8" s="1"/>
  <c r="AG9" i="8" a="1"/>
  <c r="AG9" i="8" s="1"/>
  <c r="AG10" i="8" s="1" a="1"/>
  <c r="AG10" i="8" s="1"/>
  <c r="AG8" i="8" a="1"/>
  <c r="AG8" i="8" s="1"/>
  <c r="AF16" i="8" a="1"/>
  <c r="AF16" i="8" s="1"/>
  <c r="AF15" i="8" a="1"/>
  <c r="AF15" i="8" s="1"/>
  <c r="AF9" i="8" a="1"/>
  <c r="AF9" i="8" s="1"/>
  <c r="AF10" i="8" s="1" a="1"/>
  <c r="AF10" i="8" s="1"/>
  <c r="AF8" i="8" a="1"/>
  <c r="AF8" i="8" s="1"/>
  <c r="AE15" i="8" a="1"/>
  <c r="AE15" i="8" s="1"/>
  <c r="AE16" i="8" s="1" a="1"/>
  <c r="AE9" i="8" a="1"/>
  <c r="AE9" i="8" s="1"/>
  <c r="AE10" i="8" s="1" a="1"/>
  <c r="AE10" i="8" s="1"/>
  <c r="AE8" i="8" a="1"/>
  <c r="AE8" i="8" s="1"/>
  <c r="AD16" i="8" a="1"/>
  <c r="AD16" i="8" s="1"/>
  <c r="AD15" i="8" a="1"/>
  <c r="AD15" i="8" s="1"/>
  <c r="AD9" i="8" a="1"/>
  <c r="AD9" i="8" s="1"/>
  <c r="AD10" i="8" s="1" a="1"/>
  <c r="AD10" i="8" s="1"/>
  <c r="AD8" i="8" a="1"/>
  <c r="AD8" i="8" s="1"/>
  <c r="AC15" i="8" a="1"/>
  <c r="AC15" i="8" s="1"/>
  <c r="AC16" i="8" s="1" a="1"/>
  <c r="AC9" i="8" a="1"/>
  <c r="AC9" i="8" s="1"/>
  <c r="AC10" i="8" s="1" a="1"/>
  <c r="AC10" i="8" s="1"/>
  <c r="AC8" i="8" a="1"/>
  <c r="AC8" i="8" s="1"/>
  <c r="AC12" i="8" a="1"/>
  <c r="AC12" i="8" s="1"/>
  <c r="AD12" i="8" a="1"/>
  <c r="AD12" i="8" s="1"/>
  <c r="AE12" i="8" a="1"/>
  <c r="AE12" i="8" s="1"/>
  <c r="AF12" i="8" a="1"/>
  <c r="AF12" i="8" s="1"/>
  <c r="AH12" i="8" a="1"/>
  <c r="AH12" i="8" s="1"/>
  <c r="AI12" i="8" a="1"/>
  <c r="AI12" i="8" s="1"/>
  <c r="AB12" i="8" a="1"/>
  <c r="AB12" i="8" s="1"/>
  <c r="AB8" i="8" a="1"/>
  <c r="AB8" i="8" s="1"/>
  <c r="AB9" i="8" s="1" a="1"/>
  <c r="AB5" i="8" a="1"/>
  <c r="AB5" i="8" s="1"/>
  <c r="AN17" i="8" l="1"/>
  <c r="AM17" i="8"/>
  <c r="AL17" i="8"/>
  <c r="B9" i="16"/>
  <c r="AB9" i="8"/>
  <c r="S1306" i="1" l="1"/>
  <c r="S1305" i="1" l="1"/>
  <c r="M1173" i="1"/>
  <c r="M1305" i="1"/>
  <c r="M206" i="1" l="1"/>
  <c r="M382" i="6"/>
  <c r="M381" i="6"/>
  <c r="M380" i="6"/>
  <c r="M379" i="6"/>
  <c r="M378" i="6"/>
  <c r="M377" i="6"/>
  <c r="M376" i="6"/>
  <c r="M375" i="6"/>
  <c r="M374" i="6"/>
  <c r="M373" i="6"/>
  <c r="S1268" i="1" l="1"/>
  <c r="M1268" i="1"/>
  <c r="S1267" i="1"/>
  <c r="S1266" i="1"/>
  <c r="M1266" i="1"/>
  <c r="M1265" i="1"/>
  <c r="S1264" i="1"/>
  <c r="S1263" i="1"/>
  <c r="M1263" i="1"/>
  <c r="S1262" i="1"/>
  <c r="M1262" i="1"/>
  <c r="S1261" i="1"/>
  <c r="M1261" i="1"/>
  <c r="S1260" i="1"/>
  <c r="M1260" i="1"/>
  <c r="S1259" i="1"/>
  <c r="M1259" i="1"/>
  <c r="S1258" i="1"/>
  <c r="M1258" i="1"/>
  <c r="S1257" i="1"/>
  <c r="M1257" i="1"/>
  <c r="S1256" i="1"/>
  <c r="M1256" i="1"/>
  <c r="S1255" i="1"/>
  <c r="M1255" i="1"/>
  <c r="S1254" i="1"/>
  <c r="M1254" i="1"/>
  <c r="S1253" i="1"/>
  <c r="M1253" i="1"/>
  <c r="M317" i="6" l="1"/>
  <c r="M1237" i="1"/>
  <c r="M1238" i="1"/>
  <c r="AC1186" i="1"/>
  <c r="M1186" i="1"/>
  <c r="M1168" i="1"/>
  <c r="G367" i="6"/>
  <c r="S1122" i="1"/>
  <c r="M1147" i="1"/>
  <c r="C199" i="16"/>
  <c r="AL22" i="8" l="1"/>
  <c r="AM22" i="8"/>
  <c r="AN22" i="8"/>
  <c r="AL23" i="8"/>
  <c r="AM23" i="8"/>
  <c r="AN23" i="8"/>
  <c r="AL24" i="8"/>
  <c r="AM24" i="8"/>
  <c r="AN24" i="8"/>
  <c r="AL25" i="8"/>
  <c r="AM25" i="8"/>
  <c r="AN25" i="8"/>
  <c r="AL27" i="8"/>
  <c r="AM27" i="8"/>
  <c r="AN27" i="8"/>
  <c r="AL29" i="8"/>
  <c r="AM29" i="8"/>
  <c r="AN29" i="8"/>
  <c r="AL30" i="8"/>
  <c r="AM30" i="8"/>
  <c r="AN30" i="8"/>
  <c r="AL31" i="8"/>
  <c r="AM31" i="8"/>
  <c r="AN31" i="8"/>
  <c r="AL32" i="8"/>
  <c r="AM32" i="8"/>
  <c r="AN32" i="8"/>
  <c r="AL33" i="8"/>
  <c r="AM33" i="8"/>
  <c r="AN33" i="8"/>
  <c r="AL34" i="8"/>
  <c r="AM34" i="8"/>
  <c r="AN34" i="8"/>
  <c r="AL35" i="8"/>
  <c r="AM35" i="8"/>
  <c r="AN35" i="8"/>
  <c r="AL258" i="8"/>
  <c r="AM258" i="8"/>
  <c r="AN258" i="8"/>
  <c r="AA257" i="8" a="1"/>
  <c r="AA257" i="8" s="1"/>
  <c r="AB257" i="8" a="1"/>
  <c r="AB257" i="8" s="1"/>
  <c r="AC257" i="8" a="1"/>
  <c r="AC257" i="8" s="1"/>
  <c r="AD257" i="8" a="1"/>
  <c r="AD257" i="8" s="1"/>
  <c r="AE257" i="8" a="1"/>
  <c r="AE257" i="8" s="1"/>
  <c r="AF257" i="8" a="1"/>
  <c r="AF257" i="8" s="1"/>
  <c r="AG257" i="8" a="1"/>
  <c r="AG257" i="8" s="1"/>
  <c r="AH257" i="8" a="1"/>
  <c r="AH257" i="8" s="1"/>
  <c r="AI257" i="8" a="1"/>
  <c r="AI257" i="8" s="1"/>
  <c r="AJ257" i="8" a="1"/>
  <c r="AJ257" i="8" s="1"/>
  <c r="AK257" i="8" a="1"/>
  <c r="AK257" i="8" s="1"/>
  <c r="AL257" i="8" a="1"/>
  <c r="AL257" i="8" s="1"/>
  <c r="AM257" i="8" a="1"/>
  <c r="AM257" i="8" s="1"/>
  <c r="AN257" i="8" a="1"/>
  <c r="AN257" i="8" s="1"/>
  <c r="AA12" i="8" a="1"/>
  <c r="AA12" i="8" s="1"/>
  <c r="Z12" i="8" a="1"/>
  <c r="Z12" i="8" s="1"/>
  <c r="AO257" i="8" l="1"/>
  <c r="C32" i="16" s="1"/>
  <c r="B32" i="16"/>
  <c r="E12" i="16"/>
  <c r="D18" i="16"/>
  <c r="AO7" i="8"/>
  <c r="D8" i="16" s="1"/>
  <c r="AB10" i="8" a="1"/>
  <c r="AB10" i="8" s="1"/>
  <c r="AB6" i="8"/>
  <c r="AA239" i="8" a="1"/>
  <c r="AA239" i="8" s="1"/>
  <c r="AB239" i="8" a="1"/>
  <c r="AB239" i="8" s="1"/>
  <c r="AC239" i="8" a="1"/>
  <c r="AC239" i="8" s="1"/>
  <c r="AD239" i="8" a="1"/>
  <c r="AD239" i="8" s="1"/>
  <c r="AE239" i="8" a="1"/>
  <c r="AE239" i="8" s="1"/>
  <c r="AF239" i="8" a="1"/>
  <c r="AF239" i="8" s="1"/>
  <c r="AG239" i="8" a="1"/>
  <c r="AG239" i="8" s="1"/>
  <c r="AH239" i="8" a="1"/>
  <c r="AH239" i="8" s="1"/>
  <c r="AI239" i="8" a="1"/>
  <c r="AI239" i="8" s="1"/>
  <c r="AJ239" i="8" a="1"/>
  <c r="AJ239" i="8" s="1"/>
  <c r="AK239" i="8" a="1"/>
  <c r="AK239" i="8" s="1"/>
  <c r="AL239" i="8" a="1"/>
  <c r="AL239" i="8" s="1"/>
  <c r="AM239" i="8" a="1"/>
  <c r="AM239" i="8" s="1"/>
  <c r="AN239" i="8" a="1"/>
  <c r="AN239" i="8" s="1"/>
  <c r="AL240" i="8"/>
  <c r="AM240" i="8"/>
  <c r="AN240" i="8"/>
  <c r="AA241" i="8" a="1"/>
  <c r="AA241" i="8" s="1"/>
  <c r="AB241" i="8" a="1"/>
  <c r="AB241" i="8" s="1"/>
  <c r="AC241" i="8" a="1"/>
  <c r="AC241" i="8" s="1"/>
  <c r="AD241" i="8" a="1"/>
  <c r="AD241" i="8" s="1"/>
  <c r="AE241" i="8" a="1"/>
  <c r="AE241" i="8" s="1"/>
  <c r="AF241" i="8" a="1"/>
  <c r="AF241" i="8" s="1"/>
  <c r="AG241" i="8" a="1"/>
  <c r="AG241" i="8" s="1"/>
  <c r="AH241" i="8" a="1"/>
  <c r="AH241" i="8" s="1"/>
  <c r="AI241" i="8" a="1"/>
  <c r="AI241" i="8" s="1"/>
  <c r="AJ241" i="8" a="1"/>
  <c r="AJ241" i="8" s="1"/>
  <c r="AK241" i="8" a="1"/>
  <c r="AK241" i="8" s="1"/>
  <c r="AL241" i="8" a="1"/>
  <c r="AL241" i="8" s="1"/>
  <c r="AM241" i="8" a="1"/>
  <c r="AM241" i="8" s="1"/>
  <c r="AN241" i="8" a="1"/>
  <c r="AN241" i="8" s="1"/>
  <c r="AL242" i="8"/>
  <c r="AM242" i="8"/>
  <c r="AN242" i="8"/>
  <c r="AA243" i="8" a="1"/>
  <c r="AA243" i="8" s="1"/>
  <c r="AB243" i="8" a="1"/>
  <c r="AB243" i="8" s="1"/>
  <c r="AC243" i="8" a="1"/>
  <c r="AC243" i="8" s="1"/>
  <c r="AD243" i="8" a="1"/>
  <c r="AD243" i="8" s="1"/>
  <c r="AE243" i="8" a="1"/>
  <c r="AE243" i="8" s="1"/>
  <c r="AF243" i="8" a="1"/>
  <c r="AF243" i="8" s="1"/>
  <c r="AG243" i="8" a="1"/>
  <c r="AG243" i="8" s="1"/>
  <c r="AH243" i="8" a="1"/>
  <c r="AH243" i="8" s="1"/>
  <c r="AI243" i="8" a="1"/>
  <c r="AI243" i="8" s="1"/>
  <c r="AJ243" i="8" a="1"/>
  <c r="AJ243" i="8" s="1"/>
  <c r="AK243" i="8" a="1"/>
  <c r="AK243" i="8" s="1"/>
  <c r="AL243" i="8" a="1"/>
  <c r="AL243" i="8" s="1"/>
  <c r="AM243" i="8" a="1"/>
  <c r="AM243" i="8" s="1"/>
  <c r="AN243" i="8" a="1"/>
  <c r="AN243" i="8" s="1"/>
  <c r="AL244" i="8"/>
  <c r="AM244" i="8"/>
  <c r="AN244" i="8"/>
  <c r="AA245" i="8" a="1"/>
  <c r="AA245" i="8" s="1"/>
  <c r="AB245" i="8" a="1"/>
  <c r="AB245" i="8" s="1"/>
  <c r="AC245" i="8" a="1"/>
  <c r="AC245" i="8" s="1"/>
  <c r="AD245" i="8" a="1"/>
  <c r="AD245" i="8" s="1"/>
  <c r="AE245" i="8" a="1"/>
  <c r="AE245" i="8" s="1"/>
  <c r="AF245" i="8" a="1"/>
  <c r="AF245" i="8" s="1"/>
  <c r="AG245" i="8" a="1"/>
  <c r="AG245" i="8" s="1"/>
  <c r="AH245" i="8" a="1"/>
  <c r="AH245" i="8" s="1"/>
  <c r="AI245" i="8" a="1"/>
  <c r="AI245" i="8" s="1"/>
  <c r="AJ245" i="8" a="1"/>
  <c r="AJ245" i="8" s="1"/>
  <c r="AK245" i="8" a="1"/>
  <c r="AK245" i="8" s="1"/>
  <c r="AL245" i="8" a="1"/>
  <c r="AL245" i="8" s="1"/>
  <c r="AM245" i="8" a="1"/>
  <c r="AM245" i="8" s="1"/>
  <c r="AN245" i="8" a="1"/>
  <c r="AN245" i="8" s="1"/>
  <c r="AL246" i="8"/>
  <c r="AM246" i="8"/>
  <c r="AN246" i="8"/>
  <c r="AA247" i="8" a="1"/>
  <c r="AA247" i="8" s="1"/>
  <c r="AB247" i="8" a="1"/>
  <c r="AB247" i="8" s="1"/>
  <c r="AC247" i="8" a="1"/>
  <c r="AC247" i="8" s="1"/>
  <c r="AD247" i="8" a="1"/>
  <c r="AD247" i="8" s="1"/>
  <c r="AE247" i="8" a="1"/>
  <c r="AE247" i="8" s="1"/>
  <c r="AF247" i="8" a="1"/>
  <c r="AF247" i="8" s="1"/>
  <c r="AG247" i="8" a="1"/>
  <c r="AG247" i="8" s="1"/>
  <c r="AH247" i="8" a="1"/>
  <c r="AH247" i="8" s="1"/>
  <c r="AI247" i="8" a="1"/>
  <c r="AI247" i="8" s="1"/>
  <c r="AJ247" i="8" a="1"/>
  <c r="AJ247" i="8" s="1"/>
  <c r="AK247" i="8" a="1"/>
  <c r="AK247" i="8" s="1"/>
  <c r="AL247" i="8" a="1"/>
  <c r="AL247" i="8" s="1"/>
  <c r="AM247" i="8" a="1"/>
  <c r="AM247" i="8" s="1"/>
  <c r="AN247" i="8" a="1"/>
  <c r="AN247" i="8" s="1"/>
  <c r="AL248" i="8"/>
  <c r="AM248" i="8"/>
  <c r="AN248" i="8"/>
  <c r="AA249" i="8" a="1"/>
  <c r="AA249" i="8" s="1"/>
  <c r="AB249" i="8" a="1"/>
  <c r="AB249" i="8" s="1"/>
  <c r="AC249" i="8" a="1"/>
  <c r="AC249" i="8" s="1"/>
  <c r="AD249" i="8" a="1"/>
  <c r="AD249" i="8" s="1"/>
  <c r="AE249" i="8" a="1"/>
  <c r="AE249" i="8" s="1"/>
  <c r="AF249" i="8" a="1"/>
  <c r="AF249" i="8" s="1"/>
  <c r="AG249" i="8" a="1"/>
  <c r="AG249" i="8" s="1"/>
  <c r="AH249" i="8" a="1"/>
  <c r="AH249" i="8" s="1"/>
  <c r="AI249" i="8" a="1"/>
  <c r="AI249" i="8" s="1"/>
  <c r="AJ249" i="8" a="1"/>
  <c r="AJ249" i="8" s="1"/>
  <c r="AK249" i="8" a="1"/>
  <c r="AK249" i="8" s="1"/>
  <c r="AL249" i="8" a="1"/>
  <c r="AL249" i="8" s="1"/>
  <c r="AM249" i="8" a="1"/>
  <c r="AM249" i="8" s="1"/>
  <c r="AN249" i="8" a="1"/>
  <c r="AN249" i="8" s="1"/>
  <c r="AL250" i="8"/>
  <c r="AM250" i="8"/>
  <c r="AN250" i="8"/>
  <c r="AA251" i="8" a="1"/>
  <c r="AA251" i="8" s="1"/>
  <c r="AB251" i="8" a="1"/>
  <c r="AB251" i="8" s="1"/>
  <c r="AC251" i="8" a="1"/>
  <c r="AC251" i="8" s="1"/>
  <c r="AD251" i="8" a="1"/>
  <c r="AD251" i="8" s="1"/>
  <c r="AE251" i="8" a="1"/>
  <c r="AE251" i="8" s="1"/>
  <c r="AF251" i="8" a="1"/>
  <c r="AF251" i="8" s="1"/>
  <c r="AG251" i="8" a="1"/>
  <c r="AG251" i="8" s="1"/>
  <c r="AH251" i="8" a="1"/>
  <c r="AH251" i="8" s="1"/>
  <c r="AI251" i="8" a="1"/>
  <c r="AI251" i="8" s="1"/>
  <c r="AJ251" i="8" a="1"/>
  <c r="AJ251" i="8" s="1"/>
  <c r="AK251" i="8" a="1"/>
  <c r="AK251" i="8" s="1"/>
  <c r="AL251" i="8" a="1"/>
  <c r="AL251" i="8" s="1"/>
  <c r="AM251" i="8" a="1"/>
  <c r="AM251" i="8" s="1"/>
  <c r="AN251" i="8" a="1"/>
  <c r="AN251" i="8" s="1"/>
  <c r="AL252" i="8"/>
  <c r="AM252" i="8"/>
  <c r="AN252" i="8"/>
  <c r="AL254" i="8"/>
  <c r="AM254" i="8"/>
  <c r="AN254" i="8"/>
  <c r="AA214" i="8" a="1"/>
  <c r="AA214" i="8" s="1"/>
  <c r="AB214" i="8" a="1"/>
  <c r="AB214" i="8" s="1"/>
  <c r="AC214" i="8" a="1"/>
  <c r="AC214" i="8" s="1"/>
  <c r="AD214" i="8" a="1"/>
  <c r="AD214" i="8" s="1"/>
  <c r="AE214" i="8" a="1"/>
  <c r="AE214" i="8" s="1"/>
  <c r="AF214" i="8" a="1"/>
  <c r="AF214" i="8" s="1"/>
  <c r="AG214" i="8" a="1"/>
  <c r="AG214" i="8" s="1"/>
  <c r="AH214" i="8" a="1"/>
  <c r="AH214" i="8" s="1"/>
  <c r="AI214" i="8" a="1"/>
  <c r="AI214" i="8" s="1"/>
  <c r="AJ214" i="8" a="1"/>
  <c r="AJ214" i="8" s="1"/>
  <c r="AK214" i="8" a="1"/>
  <c r="AK214" i="8" s="1"/>
  <c r="AL214" i="8" a="1"/>
  <c r="AL214" i="8" s="1"/>
  <c r="AM214" i="8" a="1"/>
  <c r="AM214" i="8" s="1"/>
  <c r="AN214" i="8" a="1"/>
  <c r="AN214" i="8" s="1"/>
  <c r="AL215" i="8"/>
  <c r="AM215" i="8"/>
  <c r="AN215" i="8"/>
  <c r="AA216" i="8" a="1"/>
  <c r="AA216" i="8" s="1"/>
  <c r="AB216" i="8" a="1"/>
  <c r="AB216" i="8" s="1"/>
  <c r="AC216" i="8" a="1"/>
  <c r="AC216" i="8" s="1"/>
  <c r="AD216" i="8" a="1"/>
  <c r="AD216" i="8" s="1"/>
  <c r="AE216" i="8" a="1"/>
  <c r="AE216" i="8" s="1"/>
  <c r="AF216" i="8" a="1"/>
  <c r="AF216" i="8" s="1"/>
  <c r="AG216" i="8" a="1"/>
  <c r="AG216" i="8" s="1"/>
  <c r="AH216" i="8" a="1"/>
  <c r="AH216" i="8" s="1"/>
  <c r="AI216" i="8" a="1"/>
  <c r="AI216" i="8" s="1"/>
  <c r="AJ216" i="8" a="1"/>
  <c r="AJ216" i="8" s="1"/>
  <c r="AK216" i="8" a="1"/>
  <c r="AK216" i="8" s="1"/>
  <c r="AL216" i="8" a="1"/>
  <c r="AL216" i="8" s="1"/>
  <c r="AM216" i="8" a="1"/>
  <c r="AM216" i="8" s="1"/>
  <c r="AN216" i="8" a="1"/>
  <c r="AN216" i="8" s="1"/>
  <c r="AL217" i="8"/>
  <c r="AM217" i="8"/>
  <c r="AN217" i="8"/>
  <c r="AA218" i="8" a="1"/>
  <c r="AA218" i="8" s="1"/>
  <c r="AB218" i="8" a="1"/>
  <c r="AB218" i="8" s="1"/>
  <c r="AC218" i="8" a="1"/>
  <c r="AC218" i="8" s="1"/>
  <c r="AD218" i="8" a="1"/>
  <c r="AD218" i="8" s="1"/>
  <c r="AE218" i="8" a="1"/>
  <c r="AE218" i="8" s="1"/>
  <c r="AF218" i="8" a="1"/>
  <c r="AF218" i="8" s="1"/>
  <c r="AG218" i="8" a="1"/>
  <c r="AG218" i="8" s="1"/>
  <c r="AH218" i="8" a="1"/>
  <c r="AH218" i="8" s="1"/>
  <c r="AI218" i="8" a="1"/>
  <c r="AI218" i="8" s="1"/>
  <c r="AJ218" i="8" a="1"/>
  <c r="AJ218" i="8" s="1"/>
  <c r="AK218" i="8" a="1"/>
  <c r="AK218" i="8" s="1"/>
  <c r="AL218" i="8" a="1"/>
  <c r="AL218" i="8" s="1"/>
  <c r="AM218" i="8" a="1"/>
  <c r="AM218" i="8" s="1"/>
  <c r="AN218" i="8" a="1"/>
  <c r="AN218" i="8" s="1"/>
  <c r="AL219" i="8"/>
  <c r="AM219" i="8"/>
  <c r="AN219" i="8"/>
  <c r="AA220" i="8" a="1"/>
  <c r="AA220" i="8" s="1"/>
  <c r="AB220" i="8" a="1"/>
  <c r="AB220" i="8" s="1"/>
  <c r="AC220" i="8" a="1"/>
  <c r="AC220" i="8" s="1"/>
  <c r="AD220" i="8" a="1"/>
  <c r="AD220" i="8" s="1"/>
  <c r="AE220" i="8" a="1"/>
  <c r="AE220" i="8" s="1"/>
  <c r="AF220" i="8" a="1"/>
  <c r="AF220" i="8" s="1"/>
  <c r="AG220" i="8" a="1"/>
  <c r="AG220" i="8" s="1"/>
  <c r="AH220" i="8" a="1"/>
  <c r="AH220" i="8" s="1"/>
  <c r="AI220" i="8" a="1"/>
  <c r="AI220" i="8" s="1"/>
  <c r="AJ220" i="8" a="1"/>
  <c r="AJ220" i="8" s="1"/>
  <c r="AK220" i="8" a="1"/>
  <c r="AK220" i="8" s="1"/>
  <c r="AL220" i="8" a="1"/>
  <c r="AL220" i="8" s="1"/>
  <c r="AM220" i="8" a="1"/>
  <c r="AM220" i="8" s="1"/>
  <c r="AN220" i="8" a="1"/>
  <c r="AN220" i="8" s="1"/>
  <c r="AL221" i="8"/>
  <c r="AM221" i="8"/>
  <c r="AN221" i="8"/>
  <c r="AA222" i="8" a="1"/>
  <c r="AA222" i="8" s="1"/>
  <c r="AB222" i="8" a="1"/>
  <c r="AB222" i="8" s="1"/>
  <c r="AC222" i="8" a="1"/>
  <c r="AC222" i="8" s="1"/>
  <c r="AD222" i="8" a="1"/>
  <c r="AD222" i="8" s="1"/>
  <c r="AE222" i="8" a="1"/>
  <c r="AE222" i="8" s="1"/>
  <c r="AF222" i="8" a="1"/>
  <c r="AF222" i="8" s="1"/>
  <c r="AG222" i="8" a="1"/>
  <c r="AG222" i="8" s="1"/>
  <c r="AH222" i="8" a="1"/>
  <c r="AH222" i="8" s="1"/>
  <c r="AI222" i="8" a="1"/>
  <c r="AI222" i="8" s="1"/>
  <c r="AJ222" i="8" a="1"/>
  <c r="AJ222" i="8" s="1"/>
  <c r="AK222" i="8" a="1"/>
  <c r="AK222" i="8" s="1"/>
  <c r="AL222" i="8" a="1"/>
  <c r="AL222" i="8" s="1"/>
  <c r="AM222" i="8" a="1"/>
  <c r="AM222" i="8" s="1"/>
  <c r="AN222" i="8" a="1"/>
  <c r="AN222" i="8" s="1"/>
  <c r="AL223" i="8"/>
  <c r="AM223" i="8"/>
  <c r="AN223" i="8"/>
  <c r="AA224" i="8" a="1"/>
  <c r="AA224" i="8" s="1"/>
  <c r="AB224" i="8" a="1"/>
  <c r="AB224" i="8" s="1"/>
  <c r="AC224" i="8" a="1"/>
  <c r="AC224" i="8" s="1"/>
  <c r="AD224" i="8" a="1"/>
  <c r="AD224" i="8" s="1"/>
  <c r="AE224" i="8" a="1"/>
  <c r="AE224" i="8" s="1"/>
  <c r="AF224" i="8" a="1"/>
  <c r="AF224" i="8" s="1"/>
  <c r="AG224" i="8" a="1"/>
  <c r="AG224" i="8" s="1"/>
  <c r="AH224" i="8" a="1"/>
  <c r="AH224" i="8" s="1"/>
  <c r="AI224" i="8" a="1"/>
  <c r="AI224" i="8" s="1"/>
  <c r="AJ224" i="8" a="1"/>
  <c r="AJ224" i="8" s="1"/>
  <c r="AK224" i="8" a="1"/>
  <c r="AK224" i="8" s="1"/>
  <c r="AL224" i="8" a="1"/>
  <c r="AL224" i="8" s="1"/>
  <c r="AM224" i="8" a="1"/>
  <c r="AM224" i="8" s="1"/>
  <c r="AN224" i="8" a="1"/>
  <c r="AN224" i="8" s="1"/>
  <c r="AL225" i="8"/>
  <c r="AM225" i="8"/>
  <c r="AN225" i="8"/>
  <c r="AA226" i="8" a="1"/>
  <c r="AA226" i="8" s="1"/>
  <c r="AB226" i="8" a="1"/>
  <c r="AB226" i="8" s="1"/>
  <c r="AC226" i="8" a="1"/>
  <c r="AC226" i="8" s="1"/>
  <c r="AD226" i="8" a="1"/>
  <c r="AD226" i="8" s="1"/>
  <c r="AE226" i="8" a="1"/>
  <c r="AE226" i="8" s="1"/>
  <c r="AF226" i="8" a="1"/>
  <c r="AF226" i="8" s="1"/>
  <c r="AG226" i="8" a="1"/>
  <c r="AG226" i="8" s="1"/>
  <c r="AH226" i="8" a="1"/>
  <c r="AH226" i="8" s="1"/>
  <c r="AI226" i="8" a="1"/>
  <c r="AI226" i="8" s="1"/>
  <c r="AJ226" i="8" a="1"/>
  <c r="AJ226" i="8" s="1"/>
  <c r="AK226" i="8" a="1"/>
  <c r="AK226" i="8" s="1"/>
  <c r="AL226" i="8" a="1"/>
  <c r="AL226" i="8" s="1"/>
  <c r="AM226" i="8" a="1"/>
  <c r="AM226" i="8" s="1"/>
  <c r="AN226" i="8" a="1"/>
  <c r="AN226" i="8" s="1"/>
  <c r="AL227" i="8"/>
  <c r="AM227" i="8"/>
  <c r="AN227" i="8"/>
  <c r="AA228" i="8" a="1"/>
  <c r="AA228" i="8" s="1"/>
  <c r="AB228" i="8" a="1"/>
  <c r="AB228" i="8" s="1"/>
  <c r="AC228" i="8" a="1"/>
  <c r="AC228" i="8" s="1"/>
  <c r="AD228" i="8" a="1"/>
  <c r="AD228" i="8" s="1"/>
  <c r="AE228" i="8" a="1"/>
  <c r="AE228" i="8" s="1"/>
  <c r="AF228" i="8" a="1"/>
  <c r="AF228" i="8" s="1"/>
  <c r="AG228" i="8" a="1"/>
  <c r="AG228" i="8" s="1"/>
  <c r="AH228" i="8" a="1"/>
  <c r="AH228" i="8" s="1"/>
  <c r="AI228" i="8" a="1"/>
  <c r="AI228" i="8" s="1"/>
  <c r="AJ228" i="8" a="1"/>
  <c r="AJ228" i="8" s="1"/>
  <c r="AK228" i="8" a="1"/>
  <c r="AK228" i="8" s="1"/>
  <c r="AL228" i="8" a="1"/>
  <c r="AL228" i="8" s="1"/>
  <c r="AM228" i="8" a="1"/>
  <c r="AM228" i="8" s="1"/>
  <c r="AN228" i="8" a="1"/>
  <c r="AN228" i="8" s="1"/>
  <c r="AL229" i="8"/>
  <c r="AM229" i="8"/>
  <c r="AN229" i="8"/>
  <c r="AA230" i="8" a="1"/>
  <c r="AA230" i="8" s="1"/>
  <c r="AB230" i="8" a="1"/>
  <c r="AB230" i="8" s="1"/>
  <c r="AC230" i="8" a="1"/>
  <c r="AC230" i="8" s="1"/>
  <c r="AD230" i="8" a="1"/>
  <c r="AD230" i="8" s="1"/>
  <c r="AE230" i="8" a="1"/>
  <c r="AE230" i="8" s="1"/>
  <c r="AF230" i="8" a="1"/>
  <c r="AF230" i="8" s="1"/>
  <c r="AG230" i="8" a="1"/>
  <c r="AG230" i="8" s="1"/>
  <c r="AH230" i="8" a="1"/>
  <c r="AH230" i="8" s="1"/>
  <c r="AI230" i="8" a="1"/>
  <c r="AI230" i="8" s="1"/>
  <c r="AJ230" i="8" a="1"/>
  <c r="AJ230" i="8" s="1"/>
  <c r="AK230" i="8" a="1"/>
  <c r="AK230" i="8" s="1"/>
  <c r="AL230" i="8" a="1"/>
  <c r="AL230" i="8" s="1"/>
  <c r="AM230" i="8" a="1"/>
  <c r="AM230" i="8" s="1"/>
  <c r="AN230" i="8" a="1"/>
  <c r="AN230" i="8" s="1"/>
  <c r="AL231" i="8"/>
  <c r="AM231" i="8"/>
  <c r="AN231" i="8"/>
  <c r="AA232" i="8" a="1"/>
  <c r="AA232" i="8" s="1"/>
  <c r="AB232" i="8" a="1"/>
  <c r="AB232" i="8" s="1"/>
  <c r="AC232" i="8" a="1"/>
  <c r="AC232" i="8" s="1"/>
  <c r="AD232" i="8" a="1"/>
  <c r="AD232" i="8" s="1"/>
  <c r="AE232" i="8" a="1"/>
  <c r="AE232" i="8" s="1"/>
  <c r="AF232" i="8" a="1"/>
  <c r="AF232" i="8" s="1"/>
  <c r="AG232" i="8" a="1"/>
  <c r="AG232" i="8" s="1"/>
  <c r="AH232" i="8" a="1"/>
  <c r="AH232" i="8" s="1"/>
  <c r="AI232" i="8" a="1"/>
  <c r="AI232" i="8" s="1"/>
  <c r="AJ232" i="8" a="1"/>
  <c r="AJ232" i="8" s="1"/>
  <c r="AK232" i="8" a="1"/>
  <c r="AK232" i="8" s="1"/>
  <c r="AL232" i="8" a="1"/>
  <c r="AL232" i="8" s="1"/>
  <c r="AM232" i="8" a="1"/>
  <c r="AM232" i="8" s="1"/>
  <c r="AN232" i="8" a="1"/>
  <c r="AN232" i="8" s="1"/>
  <c r="AL233" i="8"/>
  <c r="AM233" i="8"/>
  <c r="AN233" i="8"/>
  <c r="AA234" i="8" a="1"/>
  <c r="AA234" i="8" s="1"/>
  <c r="AB234" i="8" a="1"/>
  <c r="AB234" i="8" s="1"/>
  <c r="AC234" i="8" a="1"/>
  <c r="AC234" i="8" s="1"/>
  <c r="AD234" i="8" a="1"/>
  <c r="AD234" i="8" s="1"/>
  <c r="AE234" i="8" a="1"/>
  <c r="AE234" i="8" s="1"/>
  <c r="AF234" i="8" a="1"/>
  <c r="AF234" i="8" s="1"/>
  <c r="AG234" i="8" a="1"/>
  <c r="AG234" i="8" s="1"/>
  <c r="AH234" i="8" a="1"/>
  <c r="AH234" i="8" s="1"/>
  <c r="AI234" i="8" a="1"/>
  <c r="AI234" i="8" s="1"/>
  <c r="AJ234" i="8" a="1"/>
  <c r="AJ234" i="8" s="1"/>
  <c r="AK234" i="8" a="1"/>
  <c r="AK234" i="8" s="1"/>
  <c r="AL234" i="8" a="1"/>
  <c r="AL234" i="8" s="1"/>
  <c r="AM234" i="8" a="1"/>
  <c r="AM234" i="8" s="1"/>
  <c r="AN234" i="8" a="1"/>
  <c r="AN234" i="8" s="1"/>
  <c r="AL235" i="8"/>
  <c r="AM235" i="8"/>
  <c r="AN235" i="8"/>
  <c r="AL237" i="8"/>
  <c r="AM237" i="8"/>
  <c r="AN237" i="8"/>
  <c r="AA147" i="8" a="1"/>
  <c r="AA147" i="8" s="1"/>
  <c r="AA148" i="8" s="1"/>
  <c r="AB147" i="8" a="1"/>
  <c r="AB147" i="8" s="1"/>
  <c r="AB148" i="8" s="1"/>
  <c r="AC147" i="8" a="1"/>
  <c r="AC147" i="8" s="1"/>
  <c r="AC148" i="8" s="1"/>
  <c r="AD147" i="8" a="1"/>
  <c r="AD147" i="8" s="1"/>
  <c r="AD148" i="8" s="1"/>
  <c r="AE147" i="8" a="1"/>
  <c r="AE147" i="8" s="1"/>
  <c r="AE148" i="8" s="1"/>
  <c r="AF147" i="8" a="1"/>
  <c r="AF147" i="8" s="1"/>
  <c r="AF148" i="8" s="1"/>
  <c r="AG147" i="8" a="1"/>
  <c r="AG147" i="8" s="1"/>
  <c r="AG148" i="8" s="1"/>
  <c r="AH147" i="8" a="1"/>
  <c r="AH147" i="8" s="1"/>
  <c r="AH148" i="8" s="1"/>
  <c r="AI147" i="8" a="1"/>
  <c r="AI147" i="8" s="1"/>
  <c r="AI148" i="8" s="1"/>
  <c r="AJ147" i="8" a="1"/>
  <c r="AJ147" i="8" s="1"/>
  <c r="AJ148" i="8" s="1"/>
  <c r="AK147" i="8" a="1"/>
  <c r="AK147" i="8" s="1"/>
  <c r="AK148" i="8" s="1"/>
  <c r="AL147" i="8" a="1"/>
  <c r="AL147" i="8" s="1"/>
  <c r="AM147" i="8" a="1"/>
  <c r="AM147" i="8" s="1"/>
  <c r="AN147" i="8" a="1"/>
  <c r="AN147" i="8" s="1"/>
  <c r="AA149" i="8" a="1"/>
  <c r="AA149" i="8" s="1"/>
  <c r="AA150" i="8" s="1"/>
  <c r="AB149" i="8" a="1"/>
  <c r="AB149" i="8" s="1"/>
  <c r="AB150" i="8" s="1"/>
  <c r="AC149" i="8" a="1"/>
  <c r="AC149" i="8" s="1"/>
  <c r="AC150" i="8" s="1"/>
  <c r="AD149" i="8" a="1"/>
  <c r="AD149" i="8" s="1"/>
  <c r="AD150" i="8" s="1"/>
  <c r="AE149" i="8" a="1"/>
  <c r="AE149" i="8" s="1"/>
  <c r="AE150" i="8" s="1"/>
  <c r="AF149" i="8" a="1"/>
  <c r="AF149" i="8" s="1"/>
  <c r="AF150" i="8" s="1"/>
  <c r="AG149" i="8" a="1"/>
  <c r="AG149" i="8" s="1"/>
  <c r="AG150" i="8" s="1"/>
  <c r="AH149" i="8" a="1"/>
  <c r="AH149" i="8" s="1"/>
  <c r="AH150" i="8" s="1"/>
  <c r="AI149" i="8" a="1"/>
  <c r="AI149" i="8" s="1"/>
  <c r="AI150" i="8" s="1"/>
  <c r="AJ149" i="8" a="1"/>
  <c r="AJ149" i="8" s="1"/>
  <c r="AJ150" i="8" s="1"/>
  <c r="AK149" i="8" a="1"/>
  <c r="AK149" i="8" s="1"/>
  <c r="AK150" i="8" s="1"/>
  <c r="AL149" i="8" a="1"/>
  <c r="AL149" i="8" s="1"/>
  <c r="AM149" i="8" a="1"/>
  <c r="AM149" i="8" s="1"/>
  <c r="AN149" i="8" a="1"/>
  <c r="AN149" i="8" s="1"/>
  <c r="AA151" i="8" a="1"/>
  <c r="AA151" i="8" s="1"/>
  <c r="AA152" i="8" s="1"/>
  <c r="AB151" i="8" a="1"/>
  <c r="AB151" i="8" s="1"/>
  <c r="AB152" i="8" s="1"/>
  <c r="AC151" i="8" a="1"/>
  <c r="AC151" i="8" s="1"/>
  <c r="AC152" i="8" s="1"/>
  <c r="AD151" i="8" a="1"/>
  <c r="AD151" i="8" s="1"/>
  <c r="AD152" i="8" s="1"/>
  <c r="AE151" i="8" a="1"/>
  <c r="AE151" i="8" s="1"/>
  <c r="AE152" i="8" s="1"/>
  <c r="AF151" i="8" a="1"/>
  <c r="AF151" i="8" s="1"/>
  <c r="AF152" i="8" s="1"/>
  <c r="AG151" i="8" a="1"/>
  <c r="AG151" i="8" s="1"/>
  <c r="AG152" i="8" s="1"/>
  <c r="AH151" i="8" a="1"/>
  <c r="AH151" i="8" s="1"/>
  <c r="AH152" i="8" s="1"/>
  <c r="AI151" i="8" a="1"/>
  <c r="AI151" i="8" s="1"/>
  <c r="AI152" i="8" s="1"/>
  <c r="AJ151" i="8" a="1"/>
  <c r="AJ151" i="8" s="1"/>
  <c r="AJ152" i="8" s="1"/>
  <c r="AK151" i="8" a="1"/>
  <c r="AK151" i="8" s="1"/>
  <c r="AK152" i="8" s="1"/>
  <c r="AL151" i="8" a="1"/>
  <c r="AL151" i="8" s="1"/>
  <c r="AM151" i="8" a="1"/>
  <c r="AM151" i="8" s="1"/>
  <c r="AN151" i="8" a="1"/>
  <c r="AN151" i="8" s="1"/>
  <c r="AL154" i="8"/>
  <c r="AM154" i="8"/>
  <c r="AN154" i="8"/>
  <c r="AA136" i="8" a="1"/>
  <c r="AA136" i="8" s="1"/>
  <c r="AB136" i="8" a="1"/>
  <c r="AB136" i="8" s="1"/>
  <c r="AC136" i="8" a="1"/>
  <c r="AC136" i="8" s="1"/>
  <c r="AD136" i="8" a="1"/>
  <c r="AD136" i="8" s="1"/>
  <c r="AE136" i="8" a="1"/>
  <c r="AE136" i="8" s="1"/>
  <c r="AF136" i="8" a="1"/>
  <c r="AF136" i="8" s="1"/>
  <c r="AG136" i="8" a="1"/>
  <c r="AG136" i="8" s="1"/>
  <c r="AH136" i="8" a="1"/>
  <c r="AH136" i="8" s="1"/>
  <c r="AI136" i="8" a="1"/>
  <c r="AI136" i="8" s="1"/>
  <c r="AJ136" i="8" a="1"/>
  <c r="AJ136" i="8" s="1"/>
  <c r="AK136" i="8" a="1"/>
  <c r="AK136" i="8" s="1"/>
  <c r="AL136" i="8" a="1"/>
  <c r="AL136" i="8" s="1"/>
  <c r="AM136" i="8" a="1"/>
  <c r="AM136" i="8" s="1"/>
  <c r="AN136" i="8" a="1"/>
  <c r="AN136" i="8" s="1"/>
  <c r="AL137" i="8"/>
  <c r="AM137" i="8"/>
  <c r="AN137" i="8"/>
  <c r="AA138" i="8" a="1"/>
  <c r="AA138" i="8" s="1"/>
  <c r="AB138" i="8" a="1"/>
  <c r="AB138" i="8" s="1"/>
  <c r="AC138" i="8" a="1"/>
  <c r="AC138" i="8" s="1"/>
  <c r="AD138" i="8" a="1"/>
  <c r="AD138" i="8" s="1"/>
  <c r="AE138" i="8" a="1"/>
  <c r="AE138" i="8" s="1"/>
  <c r="AF138" i="8" a="1"/>
  <c r="AF138" i="8" s="1"/>
  <c r="AG138" i="8" a="1"/>
  <c r="AG138" i="8" s="1"/>
  <c r="AH138" i="8" a="1"/>
  <c r="AH138" i="8" s="1"/>
  <c r="AI138" i="8" a="1"/>
  <c r="AI138" i="8" s="1"/>
  <c r="AJ138" i="8" a="1"/>
  <c r="AJ138" i="8" s="1"/>
  <c r="AK138" i="8" a="1"/>
  <c r="AK138" i="8" s="1"/>
  <c r="AL138" i="8" a="1"/>
  <c r="AL138" i="8" s="1"/>
  <c r="AM138" i="8" a="1"/>
  <c r="AM138" i="8" s="1"/>
  <c r="AN138" i="8" a="1"/>
  <c r="AN138" i="8" s="1"/>
  <c r="AL139" i="8"/>
  <c r="AM139" i="8"/>
  <c r="AN139" i="8"/>
  <c r="AA140" i="8" a="1"/>
  <c r="AA140" i="8" s="1"/>
  <c r="AB140" i="8" a="1"/>
  <c r="AB140" i="8" s="1"/>
  <c r="AC140" i="8" a="1"/>
  <c r="AC140" i="8" s="1"/>
  <c r="AD140" i="8" a="1"/>
  <c r="AD140" i="8" s="1"/>
  <c r="AE140" i="8" a="1"/>
  <c r="AE140" i="8" s="1"/>
  <c r="AF140" i="8" a="1"/>
  <c r="AF140" i="8" s="1"/>
  <c r="AG140" i="8" a="1"/>
  <c r="AG140" i="8" s="1"/>
  <c r="AH140" i="8" a="1"/>
  <c r="AH140" i="8" s="1"/>
  <c r="AI140" i="8" a="1"/>
  <c r="AI140" i="8" s="1"/>
  <c r="AJ140" i="8" a="1"/>
  <c r="AJ140" i="8" s="1"/>
  <c r="AK140" i="8" a="1"/>
  <c r="AK140" i="8" s="1"/>
  <c r="AL140" i="8" a="1"/>
  <c r="AL140" i="8" s="1"/>
  <c r="AM140" i="8" a="1"/>
  <c r="AM140" i="8" s="1"/>
  <c r="AN140" i="8" a="1"/>
  <c r="AN140" i="8" s="1"/>
  <c r="AL141" i="8"/>
  <c r="AM141" i="8"/>
  <c r="AN141" i="8"/>
  <c r="AL143" i="8"/>
  <c r="AM143" i="8"/>
  <c r="AN143" i="8"/>
  <c r="AA119" i="8" a="1"/>
  <c r="AA119" i="8" s="1"/>
  <c r="AB119" i="8" a="1"/>
  <c r="AB119" i="8" s="1"/>
  <c r="AC119" i="8" a="1"/>
  <c r="AC119" i="8" s="1"/>
  <c r="AD119" i="8" a="1"/>
  <c r="AD119" i="8" s="1"/>
  <c r="AE119" i="8" a="1"/>
  <c r="AE119" i="8" s="1"/>
  <c r="AF119" i="8" a="1"/>
  <c r="AF119" i="8" s="1"/>
  <c r="AG119" i="8" a="1"/>
  <c r="AG119" i="8" s="1"/>
  <c r="AH119" i="8" a="1"/>
  <c r="AH119" i="8" s="1"/>
  <c r="AI119" i="8" a="1"/>
  <c r="AI119" i="8" s="1"/>
  <c r="AJ119" i="8" a="1"/>
  <c r="AJ119" i="8" s="1"/>
  <c r="AK119" i="8" a="1"/>
  <c r="AK119" i="8" s="1"/>
  <c r="AL119" i="8" a="1"/>
  <c r="AL119" i="8" s="1"/>
  <c r="AM119" i="8" a="1"/>
  <c r="AM119" i="8" s="1"/>
  <c r="AN119" i="8" a="1"/>
  <c r="AN119" i="8" s="1"/>
  <c r="AL120" i="8"/>
  <c r="AM120" i="8"/>
  <c r="AN120" i="8"/>
  <c r="AA123" i="8" a="1"/>
  <c r="AA123" i="8" s="1"/>
  <c r="AB123" i="8" a="1"/>
  <c r="AB123" i="8" s="1"/>
  <c r="AC123" i="8" a="1"/>
  <c r="AC123" i="8" s="1"/>
  <c r="AD123" i="8" a="1"/>
  <c r="AD123" i="8" s="1"/>
  <c r="AE123" i="8" a="1"/>
  <c r="AE123" i="8" s="1"/>
  <c r="AF123" i="8" a="1"/>
  <c r="AF123" i="8" s="1"/>
  <c r="AG123" i="8" a="1"/>
  <c r="AG123" i="8" s="1"/>
  <c r="AH123" i="8" a="1"/>
  <c r="AH123" i="8" s="1"/>
  <c r="AI123" i="8" a="1"/>
  <c r="AI123" i="8" s="1"/>
  <c r="AJ123" i="8" a="1"/>
  <c r="AJ123" i="8" s="1"/>
  <c r="AK123" i="8" a="1"/>
  <c r="AK123" i="8" s="1"/>
  <c r="AL123" i="8" a="1"/>
  <c r="AL123" i="8" s="1"/>
  <c r="AM123" i="8" a="1"/>
  <c r="AM123" i="8" s="1"/>
  <c r="AN123" i="8" a="1"/>
  <c r="AN123" i="8" s="1"/>
  <c r="AL124" i="8"/>
  <c r="AM124" i="8"/>
  <c r="AN124" i="8"/>
  <c r="AA125" i="8" a="1"/>
  <c r="AA125" i="8" s="1"/>
  <c r="AB125" i="8" a="1"/>
  <c r="AB125" i="8" s="1"/>
  <c r="AC125" i="8" a="1"/>
  <c r="AC125" i="8" s="1"/>
  <c r="AD125" i="8" a="1"/>
  <c r="AD125" i="8" s="1"/>
  <c r="AE125" i="8" a="1"/>
  <c r="AE125" i="8" s="1"/>
  <c r="AF125" i="8" a="1"/>
  <c r="AF125" i="8" s="1"/>
  <c r="AG125" i="8" a="1"/>
  <c r="AG125" i="8" s="1"/>
  <c r="AH125" i="8" a="1"/>
  <c r="AH125" i="8" s="1"/>
  <c r="AI125" i="8" a="1"/>
  <c r="AI125" i="8" s="1"/>
  <c r="AJ125" i="8" a="1"/>
  <c r="AJ125" i="8" s="1"/>
  <c r="AK125" i="8" a="1"/>
  <c r="AK125" i="8" s="1"/>
  <c r="AL125" i="8" a="1"/>
  <c r="AL125" i="8" s="1"/>
  <c r="AM125" i="8" a="1"/>
  <c r="AM125" i="8" s="1"/>
  <c r="AN125" i="8" a="1"/>
  <c r="AN125" i="8" s="1"/>
  <c r="AL126" i="8"/>
  <c r="AM126" i="8"/>
  <c r="AN126" i="8"/>
  <c r="AA127" i="8" a="1"/>
  <c r="AA127" i="8" s="1"/>
  <c r="AB127" i="8" a="1"/>
  <c r="AB127" i="8" s="1"/>
  <c r="AC127" i="8" a="1"/>
  <c r="AC127" i="8" s="1"/>
  <c r="AD127" i="8" a="1"/>
  <c r="AD127" i="8" s="1"/>
  <c r="AE127" i="8" a="1"/>
  <c r="AE127" i="8" s="1"/>
  <c r="AF127" i="8" a="1"/>
  <c r="AF127" i="8" s="1"/>
  <c r="AG127" i="8" a="1"/>
  <c r="AG127" i="8" s="1"/>
  <c r="AH127" i="8" a="1"/>
  <c r="AH127" i="8" s="1"/>
  <c r="AI127" i="8" a="1"/>
  <c r="AI127" i="8" s="1"/>
  <c r="AJ127" i="8" a="1"/>
  <c r="AJ127" i="8" s="1"/>
  <c r="AK127" i="8" a="1"/>
  <c r="AK127" i="8" s="1"/>
  <c r="AL127" i="8" a="1"/>
  <c r="AL127" i="8" s="1"/>
  <c r="AM127" i="8" a="1"/>
  <c r="AM127" i="8" s="1"/>
  <c r="AN127" i="8" a="1"/>
  <c r="AN127" i="8" s="1"/>
  <c r="AL128" i="8"/>
  <c r="AM128" i="8"/>
  <c r="AN128" i="8"/>
  <c r="AA129" i="8" a="1"/>
  <c r="AA129" i="8" s="1"/>
  <c r="AB129" i="8" a="1"/>
  <c r="AB129" i="8" s="1"/>
  <c r="AC129" i="8" a="1"/>
  <c r="AC129" i="8" s="1"/>
  <c r="AD129" i="8" a="1"/>
  <c r="AD129" i="8" s="1"/>
  <c r="AE129" i="8" a="1"/>
  <c r="AE129" i="8" s="1"/>
  <c r="AF129" i="8" a="1"/>
  <c r="AF129" i="8" s="1"/>
  <c r="AG129" i="8" a="1"/>
  <c r="AG129" i="8" s="1"/>
  <c r="AH129" i="8" a="1"/>
  <c r="AH129" i="8" s="1"/>
  <c r="AI129" i="8" a="1"/>
  <c r="AI129" i="8" s="1"/>
  <c r="AJ129" i="8" a="1"/>
  <c r="AJ129" i="8" s="1"/>
  <c r="AK129" i="8" a="1"/>
  <c r="AK129" i="8" s="1"/>
  <c r="AL129" i="8" a="1"/>
  <c r="AL129" i="8" s="1"/>
  <c r="AM129" i="8" a="1"/>
  <c r="AM129" i="8" s="1"/>
  <c r="AN129" i="8" a="1"/>
  <c r="AN129" i="8" s="1"/>
  <c r="AL130" i="8"/>
  <c r="AM130" i="8"/>
  <c r="AN130" i="8"/>
  <c r="AL132" i="8"/>
  <c r="AM132" i="8"/>
  <c r="AN132" i="8"/>
  <c r="AA98" i="8" a="1"/>
  <c r="AA98" i="8" s="1"/>
  <c r="AB98" i="8" a="1"/>
  <c r="AB98" i="8" s="1"/>
  <c r="AC98" i="8" a="1"/>
  <c r="AC98" i="8" s="1"/>
  <c r="AD98" i="8" a="1"/>
  <c r="AD98" i="8" s="1"/>
  <c r="AE98" i="8" a="1"/>
  <c r="AE98" i="8" s="1"/>
  <c r="AF98" i="8" a="1"/>
  <c r="AF98" i="8" s="1"/>
  <c r="AG98" i="8" a="1"/>
  <c r="AG98" i="8" s="1"/>
  <c r="AH98" i="8" a="1"/>
  <c r="AH98" i="8" s="1"/>
  <c r="AI98" i="8" a="1"/>
  <c r="AI98" i="8" s="1"/>
  <c r="AJ98" i="8" a="1"/>
  <c r="AJ98" i="8" s="1"/>
  <c r="AK98" i="8" a="1"/>
  <c r="AK98" i="8" s="1"/>
  <c r="AL98" i="8" a="1"/>
  <c r="AL98" i="8" s="1"/>
  <c r="AM98" i="8" a="1"/>
  <c r="AM98" i="8" s="1"/>
  <c r="AN98" i="8" a="1"/>
  <c r="AN98" i="8" s="1"/>
  <c r="AL99" i="8"/>
  <c r="AM99" i="8"/>
  <c r="AN99" i="8"/>
  <c r="AA100" i="8" a="1"/>
  <c r="AA100" i="8" s="1"/>
  <c r="AB100" i="8" a="1"/>
  <c r="AB100" i="8" s="1"/>
  <c r="AC100" i="8" a="1"/>
  <c r="AC100" i="8" s="1"/>
  <c r="AD100" i="8" a="1"/>
  <c r="AD100" i="8" s="1"/>
  <c r="AE100" i="8" a="1"/>
  <c r="AE100" i="8" s="1"/>
  <c r="AF100" i="8" a="1"/>
  <c r="AF100" i="8" s="1"/>
  <c r="AG100" i="8" a="1"/>
  <c r="AG100" i="8" s="1"/>
  <c r="AH100" i="8" a="1"/>
  <c r="AH100" i="8" s="1"/>
  <c r="AI100" i="8" a="1"/>
  <c r="AI100" i="8" s="1"/>
  <c r="AJ100" i="8" a="1"/>
  <c r="AJ100" i="8" s="1"/>
  <c r="AK100" i="8" a="1"/>
  <c r="AK100" i="8" s="1"/>
  <c r="AL100" i="8" a="1"/>
  <c r="AL100" i="8" s="1"/>
  <c r="AM100" i="8" a="1"/>
  <c r="AM100" i="8" s="1"/>
  <c r="AN100" i="8" a="1"/>
  <c r="AN100" i="8" s="1"/>
  <c r="AL101" i="8"/>
  <c r="AM101" i="8"/>
  <c r="AN101" i="8"/>
  <c r="AA102" i="8" a="1"/>
  <c r="AA102" i="8" s="1"/>
  <c r="AB102" i="8" a="1"/>
  <c r="AB102" i="8" s="1"/>
  <c r="AC102" i="8" a="1"/>
  <c r="AC102" i="8" s="1"/>
  <c r="AD102" i="8" a="1"/>
  <c r="AD102" i="8" s="1"/>
  <c r="AE102" i="8" a="1"/>
  <c r="AE102" i="8" s="1"/>
  <c r="AF102" i="8" a="1"/>
  <c r="AF102" i="8" s="1"/>
  <c r="AG102" i="8" a="1"/>
  <c r="AG102" i="8" s="1"/>
  <c r="AH102" i="8" a="1"/>
  <c r="AH102" i="8" s="1"/>
  <c r="AI102" i="8" a="1"/>
  <c r="AI102" i="8" s="1"/>
  <c r="AJ102" i="8" a="1"/>
  <c r="AJ102" i="8" s="1"/>
  <c r="AK102" i="8" a="1"/>
  <c r="AK102" i="8" s="1"/>
  <c r="AL102" i="8" a="1"/>
  <c r="AL102" i="8" s="1"/>
  <c r="AM102" i="8" a="1"/>
  <c r="AM102" i="8" s="1"/>
  <c r="AN102" i="8" a="1"/>
  <c r="AN102" i="8" s="1"/>
  <c r="AL103" i="8"/>
  <c r="AM103" i="8"/>
  <c r="AN103" i="8"/>
  <c r="AA104" i="8" a="1"/>
  <c r="AA104" i="8" s="1"/>
  <c r="AB104" i="8" a="1"/>
  <c r="AB104" i="8" s="1"/>
  <c r="AC104" i="8" a="1"/>
  <c r="AC104" i="8" s="1"/>
  <c r="AD104" i="8" a="1"/>
  <c r="AD104" i="8" s="1"/>
  <c r="AE104" i="8" a="1"/>
  <c r="AE104" i="8" s="1"/>
  <c r="AF104" i="8" a="1"/>
  <c r="AF104" i="8" s="1"/>
  <c r="AG104" i="8" a="1"/>
  <c r="AG104" i="8" s="1"/>
  <c r="AH104" i="8" a="1"/>
  <c r="AH104" i="8" s="1"/>
  <c r="AI104" i="8" a="1"/>
  <c r="AI104" i="8" s="1"/>
  <c r="AJ104" i="8" a="1"/>
  <c r="AJ104" i="8" s="1"/>
  <c r="AK104" i="8" a="1"/>
  <c r="AK104" i="8" s="1"/>
  <c r="AL104" i="8" a="1"/>
  <c r="AL104" i="8" s="1"/>
  <c r="AM104" i="8" a="1"/>
  <c r="AM104" i="8" s="1"/>
  <c r="AN104" i="8" a="1"/>
  <c r="AN104" i="8" s="1"/>
  <c r="AL105" i="8"/>
  <c r="AM105" i="8"/>
  <c r="AN105" i="8"/>
  <c r="AA106" i="8" a="1"/>
  <c r="AA106" i="8" s="1"/>
  <c r="AB106" i="8" a="1"/>
  <c r="AB106" i="8" s="1"/>
  <c r="AC106" i="8" a="1"/>
  <c r="AC106" i="8" s="1"/>
  <c r="AD106" i="8" a="1"/>
  <c r="AD106" i="8" s="1"/>
  <c r="AE106" i="8" a="1"/>
  <c r="AE106" i="8" s="1"/>
  <c r="AF106" i="8" a="1"/>
  <c r="AF106" i="8" s="1"/>
  <c r="AG106" i="8" a="1"/>
  <c r="AG106" i="8" s="1"/>
  <c r="AH106" i="8" a="1"/>
  <c r="AH106" i="8" s="1"/>
  <c r="AI106" i="8" a="1"/>
  <c r="AI106" i="8" s="1"/>
  <c r="AJ106" i="8" a="1"/>
  <c r="AJ106" i="8" s="1"/>
  <c r="AK106" i="8" a="1"/>
  <c r="AK106" i="8" s="1"/>
  <c r="AL106" i="8" a="1"/>
  <c r="AL106" i="8" s="1"/>
  <c r="AM106" i="8" a="1"/>
  <c r="AM106" i="8" s="1"/>
  <c r="AN106" i="8" a="1"/>
  <c r="AN106" i="8" s="1"/>
  <c r="AL107" i="8"/>
  <c r="AM107" i="8"/>
  <c r="AN107" i="8"/>
  <c r="AA108" i="8" a="1"/>
  <c r="AA108" i="8" s="1"/>
  <c r="AB108" i="8" a="1"/>
  <c r="AB108" i="8" s="1"/>
  <c r="AC108" i="8" a="1"/>
  <c r="AC108" i="8" s="1"/>
  <c r="AD108" i="8" a="1"/>
  <c r="AD108" i="8" s="1"/>
  <c r="AE108" i="8" a="1"/>
  <c r="AE108" i="8" s="1"/>
  <c r="AF108" i="8" a="1"/>
  <c r="AF108" i="8" s="1"/>
  <c r="AG108" i="8" a="1"/>
  <c r="AG108" i="8" s="1"/>
  <c r="AH108" i="8" a="1"/>
  <c r="AH108" i="8" s="1"/>
  <c r="AI108" i="8" a="1"/>
  <c r="AI108" i="8" s="1"/>
  <c r="AJ108" i="8" a="1"/>
  <c r="AJ108" i="8" s="1"/>
  <c r="AK108" i="8" a="1"/>
  <c r="AK108" i="8" s="1"/>
  <c r="AL108" i="8" a="1"/>
  <c r="AL108" i="8" s="1"/>
  <c r="AM108" i="8" a="1"/>
  <c r="AM108" i="8" s="1"/>
  <c r="AN108" i="8" a="1"/>
  <c r="AN108" i="8" s="1"/>
  <c r="AL109" i="8"/>
  <c r="AM109" i="8"/>
  <c r="AN109" i="8"/>
  <c r="AA110" i="8" a="1"/>
  <c r="AA110" i="8" s="1"/>
  <c r="AB110" i="8" a="1"/>
  <c r="AB110" i="8" s="1"/>
  <c r="AC110" i="8" a="1"/>
  <c r="AC110" i="8" s="1"/>
  <c r="AD110" i="8" a="1"/>
  <c r="AD110" i="8" s="1"/>
  <c r="AE110" i="8" a="1"/>
  <c r="AE110" i="8" s="1"/>
  <c r="AF110" i="8" a="1"/>
  <c r="AF110" i="8" s="1"/>
  <c r="AG110" i="8" a="1"/>
  <c r="AG110" i="8" s="1"/>
  <c r="AH110" i="8" a="1"/>
  <c r="AH110" i="8" s="1"/>
  <c r="AI110" i="8" a="1"/>
  <c r="AI110" i="8" s="1"/>
  <c r="AJ110" i="8" a="1"/>
  <c r="AJ110" i="8" s="1"/>
  <c r="AK110" i="8" a="1"/>
  <c r="AK110" i="8" s="1"/>
  <c r="AL110" i="8" a="1"/>
  <c r="AL110" i="8" s="1"/>
  <c r="AM110" i="8" a="1"/>
  <c r="AM110" i="8" s="1"/>
  <c r="AN110" i="8" a="1"/>
  <c r="AN110" i="8" s="1"/>
  <c r="AL111" i="8"/>
  <c r="AM111" i="8"/>
  <c r="AN111" i="8"/>
  <c r="AA112" i="8" a="1"/>
  <c r="AA112" i="8" s="1"/>
  <c r="AB112" i="8" a="1"/>
  <c r="AB112" i="8" s="1"/>
  <c r="AC112" i="8" a="1"/>
  <c r="AC112" i="8" s="1"/>
  <c r="AD112" i="8" a="1"/>
  <c r="AD112" i="8" s="1"/>
  <c r="AE112" i="8" a="1"/>
  <c r="AE112" i="8" s="1"/>
  <c r="AF112" i="8" a="1"/>
  <c r="AF112" i="8" s="1"/>
  <c r="AG112" i="8" a="1"/>
  <c r="AG112" i="8" s="1"/>
  <c r="AH112" i="8" a="1"/>
  <c r="AH112" i="8" s="1"/>
  <c r="AI112" i="8" a="1"/>
  <c r="AI112" i="8" s="1"/>
  <c r="AJ112" i="8" a="1"/>
  <c r="AJ112" i="8" s="1"/>
  <c r="AK112" i="8" a="1"/>
  <c r="AK112" i="8" s="1"/>
  <c r="AL112" i="8" a="1"/>
  <c r="AL112" i="8" s="1"/>
  <c r="AM112" i="8" a="1"/>
  <c r="AM112" i="8" s="1"/>
  <c r="AN112" i="8" a="1"/>
  <c r="AN112" i="8" s="1"/>
  <c r="AL113" i="8"/>
  <c r="AM113" i="8"/>
  <c r="AN113" i="8"/>
  <c r="AL115" i="8"/>
  <c r="AM115" i="8"/>
  <c r="AN115" i="8"/>
  <c r="AL59" i="8"/>
  <c r="AM59" i="8"/>
  <c r="AN59" i="8"/>
  <c r="AL61" i="8"/>
  <c r="AM61" i="8"/>
  <c r="AN61" i="8"/>
  <c r="AL63" i="8"/>
  <c r="AM63" i="8"/>
  <c r="AN63" i="8"/>
  <c r="AL65" i="8"/>
  <c r="AM65" i="8"/>
  <c r="AN65" i="8"/>
  <c r="AL67" i="8"/>
  <c r="AM67" i="8"/>
  <c r="AN67" i="8"/>
  <c r="AL69" i="8"/>
  <c r="AM69" i="8"/>
  <c r="AN69" i="8"/>
  <c r="AL71" i="8"/>
  <c r="AM71" i="8"/>
  <c r="AN71" i="8"/>
  <c r="AL73" i="8"/>
  <c r="AM73" i="8"/>
  <c r="AN73" i="8"/>
  <c r="AA39" i="8" a="1"/>
  <c r="AA39" i="8" s="1"/>
  <c r="AB39" i="8" a="1"/>
  <c r="AB39" i="8" s="1"/>
  <c r="AC39" i="8" a="1"/>
  <c r="AC39" i="8" s="1"/>
  <c r="AD39" i="8" a="1"/>
  <c r="AD39" i="8" s="1"/>
  <c r="AE39" i="8" a="1"/>
  <c r="AE39" i="8" s="1"/>
  <c r="AF39" i="8" a="1"/>
  <c r="AF39" i="8" s="1"/>
  <c r="AG39" i="8" a="1"/>
  <c r="AG39" i="8" s="1"/>
  <c r="AH39" i="8" a="1"/>
  <c r="AH39" i="8" s="1"/>
  <c r="AI39" i="8" a="1"/>
  <c r="AI39" i="8" s="1"/>
  <c r="AJ39" i="8" a="1"/>
  <c r="AJ39" i="8" s="1"/>
  <c r="AK39" i="8" a="1"/>
  <c r="AK39" i="8" s="1"/>
  <c r="AL39" i="8" a="1"/>
  <c r="AL39" i="8" s="1"/>
  <c r="AM39" i="8" a="1"/>
  <c r="AM39" i="8" s="1"/>
  <c r="AN39" i="8" a="1"/>
  <c r="AN39" i="8" s="1"/>
  <c r="AL40" i="8"/>
  <c r="AM40" i="8"/>
  <c r="AN40" i="8"/>
  <c r="AA41" i="8" a="1"/>
  <c r="AA41" i="8" s="1"/>
  <c r="AB41" i="8" a="1"/>
  <c r="AB41" i="8" s="1"/>
  <c r="AC41" i="8" a="1"/>
  <c r="AC41" i="8" s="1"/>
  <c r="AD41" i="8" a="1"/>
  <c r="AD41" i="8" s="1"/>
  <c r="AE41" i="8" a="1"/>
  <c r="AE41" i="8" s="1"/>
  <c r="AF41" i="8" a="1"/>
  <c r="AF41" i="8" s="1"/>
  <c r="AG41" i="8" a="1"/>
  <c r="AG41" i="8" s="1"/>
  <c r="AH41" i="8" a="1"/>
  <c r="AH41" i="8" s="1"/>
  <c r="AI41" i="8" a="1"/>
  <c r="AI41" i="8" s="1"/>
  <c r="AJ41" i="8" a="1"/>
  <c r="AJ41" i="8" s="1"/>
  <c r="AK41" i="8" a="1"/>
  <c r="AK41" i="8" s="1"/>
  <c r="AL41" i="8" a="1"/>
  <c r="AL41" i="8" s="1"/>
  <c r="AM41" i="8" a="1"/>
  <c r="AM41" i="8" s="1"/>
  <c r="AN41" i="8" a="1"/>
  <c r="AN41" i="8" s="1"/>
  <c r="AL42" i="8"/>
  <c r="AM42" i="8"/>
  <c r="AN42" i="8"/>
  <c r="AA43" i="8" a="1"/>
  <c r="AA43" i="8" s="1"/>
  <c r="AB43" i="8" a="1"/>
  <c r="AB43" i="8" s="1"/>
  <c r="AC43" i="8" a="1"/>
  <c r="AC43" i="8" s="1"/>
  <c r="AD43" i="8" a="1"/>
  <c r="AD43" i="8" s="1"/>
  <c r="AE43" i="8" a="1"/>
  <c r="AE43" i="8" s="1"/>
  <c r="AF43" i="8" a="1"/>
  <c r="AF43" i="8" s="1"/>
  <c r="AG43" i="8" a="1"/>
  <c r="AG43" i="8" s="1"/>
  <c r="AH43" i="8" a="1"/>
  <c r="AH43" i="8" s="1"/>
  <c r="AI43" i="8" a="1"/>
  <c r="AI43" i="8" s="1"/>
  <c r="AJ43" i="8" a="1"/>
  <c r="AJ43" i="8" s="1"/>
  <c r="AK43" i="8" a="1"/>
  <c r="AK43" i="8" s="1"/>
  <c r="AL43" i="8" a="1"/>
  <c r="AL43" i="8" s="1"/>
  <c r="AM43" i="8" a="1"/>
  <c r="AM43" i="8" s="1"/>
  <c r="AN43" i="8" a="1"/>
  <c r="AN43" i="8" s="1"/>
  <c r="AL44" i="8"/>
  <c r="AM44" i="8"/>
  <c r="AN44" i="8"/>
  <c r="AA45" i="8" a="1"/>
  <c r="AA45" i="8" s="1"/>
  <c r="AB45" i="8" a="1"/>
  <c r="AB45" i="8" s="1"/>
  <c r="AC45" i="8" a="1"/>
  <c r="AC45" i="8" s="1"/>
  <c r="AD45" i="8" a="1"/>
  <c r="AD45" i="8" s="1"/>
  <c r="AE45" i="8" a="1"/>
  <c r="AE45" i="8" s="1"/>
  <c r="AF45" i="8" a="1"/>
  <c r="AF45" i="8" s="1"/>
  <c r="AG45" i="8" a="1"/>
  <c r="AG45" i="8" s="1"/>
  <c r="AH45" i="8" a="1"/>
  <c r="AH45" i="8" s="1"/>
  <c r="AI45" i="8" a="1"/>
  <c r="AI45" i="8" s="1"/>
  <c r="AJ45" i="8" a="1"/>
  <c r="AJ45" i="8" s="1"/>
  <c r="AK45" i="8" a="1"/>
  <c r="AK45" i="8" s="1"/>
  <c r="AL45" i="8" a="1"/>
  <c r="AL45" i="8" s="1"/>
  <c r="AM45" i="8" a="1"/>
  <c r="AM45" i="8" s="1"/>
  <c r="AN45" i="8" a="1"/>
  <c r="AN45" i="8" s="1"/>
  <c r="AL46" i="8"/>
  <c r="AM46" i="8"/>
  <c r="AN46" i="8"/>
  <c r="AA47" i="8" a="1"/>
  <c r="AA47" i="8" s="1"/>
  <c r="AB47" i="8" a="1"/>
  <c r="AB47" i="8" s="1"/>
  <c r="AC47" i="8" a="1"/>
  <c r="AC47" i="8" s="1"/>
  <c r="AD47" i="8" a="1"/>
  <c r="AD47" i="8" s="1"/>
  <c r="AE47" i="8" a="1"/>
  <c r="AE47" i="8" s="1"/>
  <c r="AF47" i="8" a="1"/>
  <c r="AF47" i="8" s="1"/>
  <c r="AG47" i="8" a="1"/>
  <c r="AG47" i="8" s="1"/>
  <c r="AH47" i="8" a="1"/>
  <c r="AH47" i="8" s="1"/>
  <c r="AI47" i="8" a="1"/>
  <c r="AI47" i="8" s="1"/>
  <c r="AJ47" i="8" a="1"/>
  <c r="AJ47" i="8" s="1"/>
  <c r="AK47" i="8" a="1"/>
  <c r="AK47" i="8" s="1"/>
  <c r="AL47" i="8" a="1"/>
  <c r="AL47" i="8" s="1"/>
  <c r="AM47" i="8" a="1"/>
  <c r="AM47" i="8" s="1"/>
  <c r="AN47" i="8" a="1"/>
  <c r="AN47" i="8" s="1"/>
  <c r="AL48" i="8"/>
  <c r="AM48" i="8"/>
  <c r="AN48" i="8"/>
  <c r="AA49" i="8" a="1"/>
  <c r="AA49" i="8" s="1"/>
  <c r="AB49" i="8" a="1"/>
  <c r="AB49" i="8" s="1"/>
  <c r="AC49" i="8" a="1"/>
  <c r="AC49" i="8" s="1"/>
  <c r="AD49" i="8" a="1"/>
  <c r="AD49" i="8" s="1"/>
  <c r="AE49" i="8" a="1"/>
  <c r="AE49" i="8" s="1"/>
  <c r="AF49" i="8" a="1"/>
  <c r="AF49" i="8" s="1"/>
  <c r="AG49" i="8" a="1"/>
  <c r="AG49" i="8" s="1"/>
  <c r="AH49" i="8" a="1"/>
  <c r="AH49" i="8" s="1"/>
  <c r="AI49" i="8" a="1"/>
  <c r="AI49" i="8" s="1"/>
  <c r="AJ49" i="8" a="1"/>
  <c r="AJ49" i="8" s="1"/>
  <c r="AK49" i="8" a="1"/>
  <c r="AK49" i="8" s="1"/>
  <c r="AL49" i="8" a="1"/>
  <c r="AL49" i="8" s="1"/>
  <c r="AM49" i="8" a="1"/>
  <c r="AM49" i="8" s="1"/>
  <c r="AN49" i="8" a="1"/>
  <c r="AN49" i="8" s="1"/>
  <c r="AL50" i="8"/>
  <c r="AM50" i="8"/>
  <c r="AN50" i="8"/>
  <c r="AA51" i="8" a="1"/>
  <c r="AA51" i="8" s="1"/>
  <c r="AB51" i="8" a="1"/>
  <c r="AB51" i="8" s="1"/>
  <c r="AC51" i="8" a="1"/>
  <c r="AC51" i="8" s="1"/>
  <c r="AD51" i="8" a="1"/>
  <c r="AD51" i="8" s="1"/>
  <c r="AE51" i="8" a="1"/>
  <c r="AE51" i="8" s="1"/>
  <c r="AF51" i="8" a="1"/>
  <c r="AF51" i="8" s="1"/>
  <c r="AG51" i="8" a="1"/>
  <c r="AG51" i="8" s="1"/>
  <c r="AH51" i="8" a="1"/>
  <c r="AH51" i="8" s="1"/>
  <c r="AI51" i="8" a="1"/>
  <c r="AI51" i="8" s="1"/>
  <c r="AJ51" i="8" a="1"/>
  <c r="AJ51" i="8" s="1"/>
  <c r="AK51" i="8" a="1"/>
  <c r="AK51" i="8" s="1"/>
  <c r="AL51" i="8" a="1"/>
  <c r="AL51" i="8" s="1"/>
  <c r="AM51" i="8" a="1"/>
  <c r="AM51" i="8" s="1"/>
  <c r="AN51" i="8" a="1"/>
  <c r="AN51" i="8" s="1"/>
  <c r="AL52" i="8"/>
  <c r="AM52" i="8"/>
  <c r="AN52" i="8"/>
  <c r="AL54" i="8"/>
  <c r="AM54" i="8"/>
  <c r="AN54" i="8"/>
  <c r="AL75" i="8"/>
  <c r="AM75" i="8"/>
  <c r="AN75" i="8"/>
  <c r="AO28" i="8"/>
  <c r="AO26" i="8"/>
  <c r="AA5" i="8" a="1"/>
  <c r="AA5" i="8" s="1"/>
  <c r="AA6" i="8" s="1" a="1"/>
  <c r="AA6" i="8" s="1"/>
  <c r="AA7" i="8" s="1" a="1"/>
  <c r="AA7" i="8" s="1"/>
  <c r="AA8" i="8" s="1" a="1"/>
  <c r="AA8" i="8" s="1"/>
  <c r="AC5" i="8" a="1"/>
  <c r="AC5" i="8" s="1"/>
  <c r="AC6" i="8" s="1"/>
  <c r="AC11" i="8" s="1"/>
  <c r="AD5" i="8" a="1"/>
  <c r="AD5" i="8" s="1"/>
  <c r="AD6" i="8" s="1"/>
  <c r="AD11" i="8" s="1"/>
  <c r="AE5" i="8" a="1"/>
  <c r="AE5" i="8" s="1"/>
  <c r="AE6" i="8" s="1"/>
  <c r="AE11" i="8" s="1"/>
  <c r="AF5" i="8" a="1"/>
  <c r="AF5" i="8" s="1"/>
  <c r="AF6" i="8" s="1"/>
  <c r="AG5" i="8" a="1"/>
  <c r="AG5" i="8" s="1"/>
  <c r="AG6" i="8" s="1"/>
  <c r="AH5" i="8" a="1"/>
  <c r="AH5" i="8" s="1"/>
  <c r="AH6" i="8" s="1"/>
  <c r="AI6" i="8"/>
  <c r="AJ6" i="8"/>
  <c r="AJ11" i="8" s="1"/>
  <c r="AK6" i="8"/>
  <c r="AL6" i="8"/>
  <c r="AM6" i="8"/>
  <c r="AN6" i="8"/>
  <c r="AL262" i="8"/>
  <c r="AM262" i="8"/>
  <c r="AN262" i="8"/>
  <c r="AO218" i="8" l="1"/>
  <c r="D16" i="16" s="1"/>
  <c r="AO5" i="8"/>
  <c r="AN53" i="8"/>
  <c r="AA9" i="8" a="1"/>
  <c r="AA9" i="8" s="1"/>
  <c r="AA10" i="8" s="1" a="1"/>
  <c r="AC153" i="8"/>
  <c r="AF153" i="8"/>
  <c r="AF114" i="8"/>
  <c r="AL153" i="8"/>
  <c r="AE153" i="8"/>
  <c r="AE114" i="8"/>
  <c r="AH114" i="8"/>
  <c r="AK114" i="8"/>
  <c r="AH142" i="8"/>
  <c r="AG142" i="8"/>
  <c r="AD253" i="8"/>
  <c r="AD14" i="8" s="1"/>
  <c r="AG114" i="8"/>
  <c r="AF142" i="8"/>
  <c r="AN114" i="8"/>
  <c r="AB253" i="8"/>
  <c r="AL253" i="8"/>
  <c r="AA253" i="8"/>
  <c r="AA14" i="8" s="1"/>
  <c r="AM114" i="8"/>
  <c r="AK253" i="8"/>
  <c r="AK14" i="8" s="1"/>
  <c r="AL114" i="8"/>
  <c r="AN153" i="8"/>
  <c r="AM153" i="8"/>
  <c r="AE236" i="8"/>
  <c r="AE13" i="8" s="1"/>
  <c r="AJ253" i="8"/>
  <c r="AJ14" i="8" s="1"/>
  <c r="AM53" i="8"/>
  <c r="AJ114" i="8"/>
  <c r="AB114" i="8"/>
  <c r="AJ142" i="8"/>
  <c r="AD153" i="8"/>
  <c r="AI142" i="8"/>
  <c r="AN253" i="8"/>
  <c r="AC253" i="8"/>
  <c r="AC14" i="8" s="1"/>
  <c r="AM253" i="8"/>
  <c r="AH253" i="8"/>
  <c r="AH14" i="8" s="1"/>
  <c r="AG253" i="8"/>
  <c r="AG14" i="8" s="1"/>
  <c r="AI253" i="8"/>
  <c r="AI14" i="8" s="1"/>
  <c r="AF253" i="8"/>
  <c r="AF14" i="8" s="1"/>
  <c r="AE253" i="8"/>
  <c r="AE14" i="8" s="1"/>
  <c r="AJ236" i="8"/>
  <c r="AJ13" i="8" s="1"/>
  <c r="AH236" i="8"/>
  <c r="AH13" i="8" s="1"/>
  <c r="AG236" i="8"/>
  <c r="AG13" i="8" s="1"/>
  <c r="AF236" i="8"/>
  <c r="AF13" i="8" s="1"/>
  <c r="AN236" i="8"/>
  <c r="AC236" i="8"/>
  <c r="AC13" i="8" s="1"/>
  <c r="AL236" i="8"/>
  <c r="AB236" i="8"/>
  <c r="AB13" i="8" s="1"/>
  <c r="AD236" i="8"/>
  <c r="AD13" i="8" s="1"/>
  <c r="AI236" i="8"/>
  <c r="AI13" i="8" s="1"/>
  <c r="AM236" i="8"/>
  <c r="AK236" i="8"/>
  <c r="AK13" i="8" s="1"/>
  <c r="AA236" i="8"/>
  <c r="AA13" i="8" s="1"/>
  <c r="AG153" i="8"/>
  <c r="AK153" i="8"/>
  <c r="AJ153" i="8"/>
  <c r="AB153" i="8"/>
  <c r="AH153" i="8"/>
  <c r="AI153" i="8"/>
  <c r="AA153" i="8"/>
  <c r="AE142" i="8"/>
  <c r="AK142" i="8"/>
  <c r="AN142" i="8"/>
  <c r="AD142" i="8"/>
  <c r="AM142" i="8"/>
  <c r="AC142" i="8"/>
  <c r="AL142" i="8"/>
  <c r="AB142" i="8"/>
  <c r="AA142" i="8"/>
  <c r="AL131" i="8"/>
  <c r="AN131" i="8"/>
  <c r="AM131" i="8"/>
  <c r="AI114" i="8"/>
  <c r="AD114" i="8"/>
  <c r="AC114" i="8"/>
  <c r="AA114" i="8"/>
  <c r="AL53" i="8"/>
  <c r="AD53" i="8"/>
  <c r="AF53" i="8"/>
  <c r="AH53" i="8"/>
  <c r="AG53" i="8"/>
  <c r="AI53" i="8"/>
  <c r="AE53" i="8"/>
  <c r="AC53" i="8"/>
  <c r="AK53" i="8"/>
  <c r="AJ53" i="8"/>
  <c r="AB53" i="8"/>
  <c r="AA53" i="8"/>
  <c r="AK17" i="8" l="1"/>
  <c r="AI17" i="8"/>
  <c r="AJ17" i="8"/>
  <c r="AJ18" i="8" s="1"/>
  <c r="B15" i="16"/>
  <c r="AH17" i="8"/>
  <c r="AC17" i="8"/>
  <c r="AC18" i="8" s="1"/>
  <c r="AD17" i="8"/>
  <c r="AD18" i="8" s="1"/>
  <c r="AE17" i="8"/>
  <c r="AE18" i="8" s="1"/>
  <c r="AG17" i="8"/>
  <c r="AB14" i="8"/>
  <c r="AF17" i="8"/>
  <c r="AN11" i="8"/>
  <c r="AN18" i="8" s="1"/>
  <c r="AM11" i="8"/>
  <c r="AM18" i="8" s="1"/>
  <c r="AL11" i="8"/>
  <c r="AL18" i="8" s="1"/>
  <c r="AK11" i="8"/>
  <c r="AI11" i="8"/>
  <c r="AH11" i="8"/>
  <c r="B14" i="16"/>
  <c r="AG11" i="8"/>
  <c r="AF11" i="8"/>
  <c r="AA10" i="8"/>
  <c r="AA11" i="8" s="1" a="1"/>
  <c r="AA11" i="8" s="1"/>
  <c r="AI18" i="8" l="1"/>
  <c r="AH18" i="8"/>
  <c r="AB15" i="8" a="1"/>
  <c r="AB15" i="8" s="1"/>
  <c r="AF18" i="8"/>
  <c r="AE16" i="8"/>
  <c r="AL261" i="8"/>
  <c r="AJ261" i="8"/>
  <c r="AI261" i="8"/>
  <c r="AD261" i="8"/>
  <c r="AH261" i="8"/>
  <c r="AM261" i="8"/>
  <c r="AF261" i="8"/>
  <c r="AE261" i="8"/>
  <c r="AN261" i="8"/>
  <c r="AK261" i="8"/>
  <c r="AO8" i="8"/>
  <c r="D9" i="16" s="1"/>
  <c r="AB16" i="8" l="1" a="1"/>
  <c r="AB16" i="8" s="1"/>
  <c r="AB17" i="8"/>
  <c r="AG18" i="8"/>
  <c r="AG261" i="8"/>
  <c r="AK18" i="8"/>
  <c r="AA15" i="8" a="1"/>
  <c r="AA15" i="8" s="1"/>
  <c r="AA261" i="8"/>
  <c r="AO9" i="8"/>
  <c r="D10" i="16" s="1"/>
  <c r="AA16" i="8" l="1" a="1"/>
  <c r="AA16" i="8" s="1"/>
  <c r="AA18" i="8" s="1" a="1"/>
  <c r="AA18" i="8" s="1"/>
  <c r="AA17" i="8"/>
  <c r="AO10" i="8"/>
  <c r="D11" i="16" s="1"/>
  <c r="AO12" i="8" l="1"/>
  <c r="D13" i="16" s="1"/>
  <c r="AO13" i="8" l="1"/>
  <c r="D14" i="16" s="1"/>
  <c r="AO14" i="8" l="1"/>
  <c r="AC16" i="8"/>
  <c r="AC261" i="8"/>
  <c r="AO15" i="8" l="1"/>
  <c r="AO16" i="8"/>
  <c r="M1060" i="1" l="1"/>
  <c r="G352" i="6"/>
  <c r="G351" i="6"/>
  <c r="G350" i="6"/>
  <c r="G349" i="6"/>
  <c r="A152" i="6"/>
  <c r="A319" i="6"/>
  <c r="M926" i="1" l="1"/>
  <c r="S922" i="1"/>
  <c r="A231" i="6"/>
  <c r="M319" i="6"/>
  <c r="G328" i="6"/>
  <c r="S886" i="1"/>
  <c r="S881" i="1"/>
  <c r="M804" i="1"/>
  <c r="M784" i="1"/>
  <c r="M294" i="6"/>
  <c r="G296" i="6"/>
  <c r="G306" i="6"/>
  <c r="G302" i="6"/>
  <c r="G303" i="6"/>
  <c r="G304" i="6"/>
  <c r="G305" i="6"/>
  <c r="M703" i="1"/>
  <c r="M661" i="1"/>
  <c r="M603" i="1"/>
  <c r="S613" i="1"/>
  <c r="S587" i="1"/>
  <c r="M580" i="1"/>
  <c r="M517" i="1"/>
  <c r="M518" i="1"/>
  <c r="M519" i="1"/>
  <c r="M521" i="1"/>
  <c r="R686" i="1"/>
  <c r="R689" i="1"/>
  <c r="R695" i="1"/>
  <c r="R746" i="1"/>
  <c r="R748" i="1"/>
  <c r="R786" i="1"/>
  <c r="R807" i="1"/>
  <c r="R854" i="1"/>
  <c r="R1196" i="1"/>
  <c r="R1339"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S409" i="1"/>
  <c r="G173" i="6" l="1"/>
  <c r="G174" i="6"/>
  <c r="G82" i="6"/>
  <c r="G83" i="6"/>
  <c r="G84" i="6"/>
  <c r="G177" i="6"/>
  <c r="G178" i="6"/>
  <c r="G179" i="6"/>
  <c r="G163" i="6"/>
  <c r="G164" i="6"/>
  <c r="G165" i="6"/>
  <c r="G180" i="6"/>
  <c r="G324" i="6"/>
  <c r="G278" i="6"/>
  <c r="G279" i="6"/>
  <c r="G134" i="6"/>
  <c r="G135" i="6"/>
  <c r="G136" i="6"/>
  <c r="G79" i="6"/>
  <c r="G80" i="6"/>
  <c r="G81" i="6"/>
  <c r="G181" i="6"/>
  <c r="G182" i="6"/>
  <c r="G184" i="6"/>
  <c r="G185" i="6"/>
  <c r="G153" i="6"/>
  <c r="G154" i="6"/>
  <c r="G155" i="6"/>
  <c r="G156" i="6"/>
  <c r="G157" i="6"/>
  <c r="G158" i="6"/>
  <c r="G159" i="6"/>
  <c r="G160" i="6"/>
  <c r="G124" i="6"/>
  <c r="G129" i="6"/>
  <c r="G130" i="6"/>
  <c r="G125" i="6"/>
  <c r="G126" i="6"/>
  <c r="G131" i="6"/>
  <c r="G132" i="6"/>
  <c r="G189" i="6"/>
  <c r="G190" i="6"/>
  <c r="G183" i="6"/>
  <c r="G188" i="6"/>
  <c r="G192" i="6"/>
  <c r="G193" i="6"/>
  <c r="G194" i="6"/>
  <c r="G195" i="6"/>
  <c r="G196" i="6"/>
  <c r="G198" i="6"/>
  <c r="G197" i="6"/>
  <c r="G191" i="6"/>
  <c r="G200" i="6"/>
  <c r="G201" i="6"/>
  <c r="G203" i="6"/>
  <c r="G204" i="6"/>
  <c r="G205" i="6"/>
  <c r="G206" i="6"/>
  <c r="G207" i="6"/>
  <c r="G208" i="6"/>
  <c r="G209" i="6"/>
  <c r="G212" i="6"/>
  <c r="G63" i="6"/>
  <c r="G64" i="6"/>
  <c r="G215" i="6"/>
  <c r="G216" i="6"/>
  <c r="G219" i="6"/>
  <c r="G213" i="6"/>
  <c r="G214" i="6"/>
  <c r="G218" i="6"/>
  <c r="G220" i="6"/>
  <c r="G225" i="6"/>
  <c r="G222" i="6"/>
  <c r="G223" i="6"/>
  <c r="G224" i="6"/>
  <c r="G226" i="6"/>
  <c r="G228" i="6"/>
  <c r="G253" i="6"/>
  <c r="G227" i="6"/>
  <c r="G254" i="6"/>
  <c r="G255" i="6"/>
  <c r="G256" i="6"/>
  <c r="G257" i="6"/>
  <c r="G258" i="6"/>
  <c r="G259" i="6"/>
  <c r="G252" i="6"/>
  <c r="G260" i="6"/>
  <c r="G261" i="6"/>
  <c r="G263" i="6"/>
  <c r="G262" i="6"/>
  <c r="G264" i="6"/>
  <c r="G268" i="6"/>
  <c r="G269" i="6"/>
  <c r="G270" i="6"/>
  <c r="G277" i="6"/>
  <c r="G271" i="6"/>
  <c r="G276" i="6"/>
  <c r="G272" i="6"/>
  <c r="G273" i="6"/>
  <c r="G274" i="6"/>
  <c r="G275" i="6"/>
  <c r="G280" i="6"/>
  <c r="G281" i="6"/>
  <c r="G282" i="6"/>
  <c r="G283" i="6"/>
  <c r="G284" i="6"/>
  <c r="G286" i="6"/>
  <c r="G287" i="6"/>
  <c r="G288" i="6"/>
  <c r="G289" i="6"/>
  <c r="G285" i="6"/>
  <c r="G265" i="6"/>
  <c r="G266" i="6"/>
  <c r="G267" i="6"/>
  <c r="G210" i="6"/>
  <c r="G211" i="6"/>
  <c r="G290" i="6"/>
  <c r="G291" i="6"/>
  <c r="G292" i="6"/>
  <c r="G293" i="6"/>
  <c r="G297" i="6"/>
  <c r="G298" i="6"/>
  <c r="G299" i="6"/>
  <c r="G300" i="6"/>
  <c r="G301" i="6"/>
  <c r="G294" i="6"/>
  <c r="G229" i="6"/>
  <c r="G230" i="6"/>
  <c r="G231" i="6"/>
  <c r="G232" i="6"/>
  <c r="G233" i="6"/>
  <c r="G234" i="6"/>
  <c r="G235" i="6"/>
  <c r="G236" i="6"/>
  <c r="G237" i="6"/>
  <c r="G238" i="6"/>
  <c r="G295" i="6"/>
  <c r="G239" i="6"/>
  <c r="G240" i="6"/>
  <c r="G241" i="6"/>
  <c r="G242" i="6"/>
  <c r="G307" i="6"/>
  <c r="G308" i="6"/>
  <c r="G309" i="6"/>
  <c r="G310" i="6"/>
  <c r="G313" i="6"/>
  <c r="G243" i="6"/>
  <c r="G244" i="6"/>
  <c r="G245" i="6"/>
  <c r="G246" i="6"/>
  <c r="G247" i="6"/>
  <c r="G248" i="6"/>
  <c r="G249" i="6"/>
  <c r="G250" i="6"/>
  <c r="G251" i="6"/>
  <c r="G315" i="6"/>
  <c r="G314" i="6"/>
  <c r="G318" i="6"/>
  <c r="G319" i="6"/>
  <c r="G320" i="6"/>
  <c r="G321" i="6"/>
  <c r="G322" i="6"/>
  <c r="G323" i="6"/>
  <c r="G312" i="6"/>
  <c r="G311" i="6"/>
  <c r="G199" i="6"/>
  <c r="G186" i="6"/>
  <c r="G187" i="6"/>
  <c r="G149" i="6"/>
  <c r="G150" i="6"/>
  <c r="G151" i="6"/>
  <c r="G152" i="6"/>
  <c r="G217" i="6"/>
  <c r="G221" i="6"/>
  <c r="G327" i="6"/>
  <c r="G330" i="6"/>
  <c r="G331" i="6"/>
  <c r="G325" i="6"/>
  <c r="G326" i="6"/>
  <c r="G333" i="6"/>
  <c r="G334" i="6"/>
  <c r="G335" i="6"/>
  <c r="G336" i="6"/>
  <c r="G337" i="6"/>
  <c r="G332" i="6"/>
  <c r="G338" i="6"/>
  <c r="G339" i="6"/>
  <c r="G340" i="6"/>
  <c r="G341" i="6"/>
  <c r="G342" i="6"/>
  <c r="G343" i="6"/>
  <c r="G344" i="6"/>
  <c r="G347" i="6"/>
  <c r="G348" i="6"/>
  <c r="G353" i="6"/>
  <c r="G354" i="6"/>
  <c r="G355" i="6"/>
  <c r="G356" i="6"/>
  <c r="G357" i="6"/>
  <c r="G358" i="6"/>
  <c r="G359" i="6"/>
  <c r="G360" i="6"/>
  <c r="G361" i="6"/>
  <c r="G362" i="6"/>
  <c r="G363" i="6"/>
  <c r="G364" i="6"/>
  <c r="G365" i="6"/>
  <c r="G366" i="6"/>
  <c r="G368" i="6"/>
  <c r="G369" i="6"/>
  <c r="G316" i="6"/>
  <c r="G317" i="6"/>
  <c r="G345" i="6"/>
  <c r="G370" i="6"/>
  <c r="G371" i="6"/>
  <c r="G372" i="6"/>
  <c r="G383" i="6"/>
  <c r="G384" i="6"/>
  <c r="G386" i="6"/>
  <c r="G387" i="6"/>
  <c r="G388" i="6"/>
  <c r="G389" i="6"/>
  <c r="G390" i="6"/>
  <c r="G391" i="6"/>
  <c r="G172" i="6"/>
  <c r="G176" i="6"/>
  <c r="G171" i="6"/>
  <c r="G170" i="6"/>
  <c r="M296" i="1"/>
  <c r="M297" i="1"/>
  <c r="U5" i="8" a="1"/>
  <c r="U5" i="8" s="1"/>
  <c r="M228" i="1"/>
  <c r="O257" i="8" l="1" a="1"/>
  <c r="O257" i="8" s="1"/>
  <c r="P257" i="8" a="1"/>
  <c r="P257" i="8" s="1"/>
  <c r="Q257" i="8" a="1"/>
  <c r="Q257" i="8" s="1"/>
  <c r="R257" i="8" a="1"/>
  <c r="R257" i="8" s="1"/>
  <c r="S257" i="8" a="1"/>
  <c r="S257" i="8" s="1"/>
  <c r="T257" i="8" a="1"/>
  <c r="T257" i="8" s="1"/>
  <c r="U257" i="8" a="1"/>
  <c r="U257" i="8" s="1"/>
  <c r="V257" i="8" a="1"/>
  <c r="V257" i="8" s="1"/>
  <c r="W257" i="8" a="1"/>
  <c r="W257" i="8" s="1"/>
  <c r="X257" i="8" a="1"/>
  <c r="X257" i="8" s="1"/>
  <c r="Y257" i="8" a="1"/>
  <c r="Y257" i="8" s="1"/>
  <c r="Z257" i="8" a="1"/>
  <c r="Z257" i="8" s="1"/>
  <c r="O119" i="8" a="1"/>
  <c r="O119" i="8" s="1"/>
  <c r="P119" i="8" a="1"/>
  <c r="P119" i="8" s="1"/>
  <c r="Q119" i="8" a="1"/>
  <c r="Q119" i="8" s="1"/>
  <c r="R119" i="8" a="1"/>
  <c r="R119" i="8" s="1"/>
  <c r="S119" i="8" a="1"/>
  <c r="S119" i="8" s="1"/>
  <c r="T119" i="8" a="1"/>
  <c r="T119" i="8" s="1"/>
  <c r="U119" i="8" a="1"/>
  <c r="U119" i="8" s="1"/>
  <c r="V119" i="8" a="1"/>
  <c r="V119" i="8" s="1"/>
  <c r="W119" i="8" a="1"/>
  <c r="W119" i="8" s="1"/>
  <c r="X119" i="8" a="1"/>
  <c r="X119" i="8" s="1"/>
  <c r="Y119" i="8" a="1"/>
  <c r="Y119" i="8" s="1"/>
  <c r="Z119" i="8" a="1"/>
  <c r="Z119" i="8" s="1"/>
  <c r="O123" i="8" a="1"/>
  <c r="O123" i="8" s="1"/>
  <c r="P123" i="8" a="1"/>
  <c r="P123" i="8" s="1"/>
  <c r="Q123" i="8" a="1"/>
  <c r="Q123" i="8" s="1"/>
  <c r="R123" i="8" a="1"/>
  <c r="R123" i="8" s="1"/>
  <c r="S123" i="8" a="1"/>
  <c r="S123" i="8" s="1"/>
  <c r="T123" i="8" a="1"/>
  <c r="T123" i="8" s="1"/>
  <c r="U123" i="8" a="1"/>
  <c r="U123" i="8" s="1"/>
  <c r="V123" i="8" a="1"/>
  <c r="V123" i="8" s="1"/>
  <c r="W123" i="8" a="1"/>
  <c r="W123" i="8" s="1"/>
  <c r="X123" i="8" a="1"/>
  <c r="X123" i="8" s="1"/>
  <c r="Y123" i="8" a="1"/>
  <c r="Y123" i="8" s="1"/>
  <c r="Z123" i="8" a="1"/>
  <c r="Z123" i="8" s="1"/>
  <c r="O125" i="8" a="1"/>
  <c r="O125" i="8" s="1"/>
  <c r="P125" i="8" a="1"/>
  <c r="P125" i="8" s="1"/>
  <c r="Q125" i="8" a="1"/>
  <c r="Q125" i="8" s="1"/>
  <c r="R125" i="8" a="1"/>
  <c r="R125" i="8" s="1"/>
  <c r="S125" i="8" a="1"/>
  <c r="S125" i="8" s="1"/>
  <c r="T125" i="8" a="1"/>
  <c r="T125" i="8" s="1"/>
  <c r="U125" i="8" a="1"/>
  <c r="U125" i="8" s="1"/>
  <c r="V125" i="8" a="1"/>
  <c r="V125" i="8" s="1"/>
  <c r="W125" i="8" a="1"/>
  <c r="W125" i="8" s="1"/>
  <c r="X125" i="8" a="1"/>
  <c r="X125" i="8" s="1"/>
  <c r="Y125" i="8" a="1"/>
  <c r="Y125" i="8" s="1"/>
  <c r="Z125" i="8" a="1"/>
  <c r="Z125" i="8" s="1"/>
  <c r="O127" i="8" a="1"/>
  <c r="O127" i="8" s="1"/>
  <c r="P127" i="8" a="1"/>
  <c r="P127" i="8" s="1"/>
  <c r="Q127" i="8" a="1"/>
  <c r="Q127" i="8" s="1"/>
  <c r="R127" i="8" a="1"/>
  <c r="R127" i="8" s="1"/>
  <c r="S127" i="8" a="1"/>
  <c r="S127" i="8" s="1"/>
  <c r="T127" i="8" a="1"/>
  <c r="T127" i="8" s="1"/>
  <c r="U127" i="8" a="1"/>
  <c r="U127" i="8" s="1"/>
  <c r="V127" i="8" a="1"/>
  <c r="V127" i="8" s="1"/>
  <c r="W127" i="8" a="1"/>
  <c r="W127" i="8" s="1"/>
  <c r="X127" i="8" a="1"/>
  <c r="X127" i="8" s="1"/>
  <c r="Y127" i="8" a="1"/>
  <c r="Y127" i="8" s="1"/>
  <c r="Z127" i="8" a="1"/>
  <c r="Z127" i="8" s="1"/>
  <c r="O129" i="8" a="1"/>
  <c r="O129" i="8" s="1"/>
  <c r="P129" i="8" a="1"/>
  <c r="P129" i="8" s="1"/>
  <c r="Q129" i="8" a="1"/>
  <c r="Q129" i="8" s="1"/>
  <c r="R129" i="8" a="1"/>
  <c r="R129" i="8" s="1"/>
  <c r="S129" i="8" a="1"/>
  <c r="S129" i="8" s="1"/>
  <c r="T129" i="8" a="1"/>
  <c r="T129" i="8" s="1"/>
  <c r="U129" i="8" a="1"/>
  <c r="U129" i="8" s="1"/>
  <c r="V129" i="8" a="1"/>
  <c r="V129" i="8" s="1"/>
  <c r="W129" i="8" a="1"/>
  <c r="W129" i="8" s="1"/>
  <c r="X129" i="8" a="1"/>
  <c r="X129" i="8" s="1"/>
  <c r="Y129" i="8" a="1"/>
  <c r="Y129" i="8" s="1"/>
  <c r="Z129" i="8" a="1"/>
  <c r="Z129" i="8" s="1"/>
  <c r="O98" i="8" a="1"/>
  <c r="O98" i="8" s="1"/>
  <c r="P98" i="8" a="1"/>
  <c r="P98" i="8" s="1"/>
  <c r="Q98" i="8" a="1"/>
  <c r="Q98" i="8" s="1"/>
  <c r="R98" i="8" a="1"/>
  <c r="R98" i="8" s="1"/>
  <c r="S98" i="8" a="1"/>
  <c r="S98" i="8" s="1"/>
  <c r="T98" i="8" a="1"/>
  <c r="T98" i="8" s="1"/>
  <c r="U98" i="8" a="1"/>
  <c r="U98" i="8" s="1"/>
  <c r="V98" i="8" a="1"/>
  <c r="V98" i="8" s="1"/>
  <c r="W98" i="8" a="1"/>
  <c r="W98" i="8" s="1"/>
  <c r="X98" i="8" a="1"/>
  <c r="X98" i="8" s="1"/>
  <c r="Y98" i="8" a="1"/>
  <c r="Y98" i="8" s="1"/>
  <c r="Z98" i="8" a="1"/>
  <c r="Z98" i="8" s="1"/>
  <c r="O100" i="8" a="1"/>
  <c r="O100" i="8" s="1"/>
  <c r="P100" i="8" a="1"/>
  <c r="P100" i="8" s="1"/>
  <c r="Q100" i="8" a="1"/>
  <c r="Q100" i="8" s="1"/>
  <c r="R100" i="8" a="1"/>
  <c r="R100" i="8" s="1"/>
  <c r="S100" i="8" a="1"/>
  <c r="S100" i="8" s="1"/>
  <c r="T100" i="8" a="1"/>
  <c r="T100" i="8" s="1"/>
  <c r="U100" i="8" a="1"/>
  <c r="U100" i="8" s="1"/>
  <c r="V100" i="8" a="1"/>
  <c r="V100" i="8" s="1"/>
  <c r="W100" i="8" a="1"/>
  <c r="W100" i="8" s="1"/>
  <c r="X100" i="8" a="1"/>
  <c r="X100" i="8" s="1"/>
  <c r="Y100" i="8" a="1"/>
  <c r="Y100" i="8" s="1"/>
  <c r="Z100" i="8" a="1"/>
  <c r="Z100" i="8" s="1"/>
  <c r="O102" i="8" a="1"/>
  <c r="O102" i="8" s="1"/>
  <c r="P102" i="8" a="1"/>
  <c r="P102" i="8" s="1"/>
  <c r="Q102" i="8" a="1"/>
  <c r="Q102" i="8" s="1"/>
  <c r="R102" i="8" a="1"/>
  <c r="R102" i="8" s="1"/>
  <c r="S102" i="8" a="1"/>
  <c r="S102" i="8" s="1"/>
  <c r="T102" i="8" a="1"/>
  <c r="T102" i="8" s="1"/>
  <c r="U102" i="8" a="1"/>
  <c r="U102" i="8" s="1"/>
  <c r="V102" i="8" a="1"/>
  <c r="V102" i="8" s="1"/>
  <c r="W102" i="8" a="1"/>
  <c r="W102" i="8" s="1"/>
  <c r="X102" i="8" a="1"/>
  <c r="X102" i="8" s="1"/>
  <c r="Y102" i="8" a="1"/>
  <c r="Y102" i="8" s="1"/>
  <c r="Z102" i="8" a="1"/>
  <c r="Z102" i="8" s="1"/>
  <c r="O104" i="8" a="1"/>
  <c r="O104" i="8" s="1"/>
  <c r="P104" i="8" a="1"/>
  <c r="P104" i="8" s="1"/>
  <c r="Q104" i="8" a="1"/>
  <c r="Q104" i="8" s="1"/>
  <c r="R104" i="8" a="1"/>
  <c r="R104" i="8" s="1"/>
  <c r="S104" i="8" a="1"/>
  <c r="S104" i="8" s="1"/>
  <c r="T104" i="8" a="1"/>
  <c r="T104" i="8" s="1"/>
  <c r="U104" i="8" a="1"/>
  <c r="U104" i="8" s="1"/>
  <c r="V104" i="8" a="1"/>
  <c r="V104" i="8" s="1"/>
  <c r="W104" i="8" a="1"/>
  <c r="W104" i="8" s="1"/>
  <c r="X104" i="8" a="1"/>
  <c r="X104" i="8" s="1"/>
  <c r="Y104" i="8" a="1"/>
  <c r="Y104" i="8" s="1"/>
  <c r="Z104" i="8" a="1"/>
  <c r="Z104" i="8" s="1"/>
  <c r="O106" i="8" a="1"/>
  <c r="O106" i="8" s="1"/>
  <c r="P106" i="8" a="1"/>
  <c r="P106" i="8" s="1"/>
  <c r="Q106" i="8" a="1"/>
  <c r="Q106" i="8" s="1"/>
  <c r="R106" i="8" a="1"/>
  <c r="R106" i="8" s="1"/>
  <c r="S106" i="8" a="1"/>
  <c r="S106" i="8" s="1"/>
  <c r="T106" i="8" a="1"/>
  <c r="T106" i="8" s="1"/>
  <c r="U106" i="8" a="1"/>
  <c r="U106" i="8" s="1"/>
  <c r="V106" i="8" a="1"/>
  <c r="V106" i="8" s="1"/>
  <c r="W106" i="8" a="1"/>
  <c r="W106" i="8" s="1"/>
  <c r="X106" i="8" a="1"/>
  <c r="X106" i="8" s="1"/>
  <c r="Y106" i="8" a="1"/>
  <c r="Y106" i="8" s="1"/>
  <c r="Z106" i="8" a="1"/>
  <c r="Z106" i="8" s="1"/>
  <c r="O108" i="8" a="1"/>
  <c r="O108" i="8" s="1"/>
  <c r="P108" i="8" a="1"/>
  <c r="P108" i="8" s="1"/>
  <c r="Q108" i="8" a="1"/>
  <c r="Q108" i="8" s="1"/>
  <c r="R108" i="8" a="1"/>
  <c r="R108" i="8" s="1"/>
  <c r="S108" i="8" a="1"/>
  <c r="S108" i="8" s="1"/>
  <c r="T108" i="8" a="1"/>
  <c r="T108" i="8" s="1"/>
  <c r="U108" i="8" a="1"/>
  <c r="U108" i="8" s="1"/>
  <c r="V108" i="8" a="1"/>
  <c r="V108" i="8" s="1"/>
  <c r="W108" i="8" a="1"/>
  <c r="W108" i="8" s="1"/>
  <c r="X108" i="8" a="1"/>
  <c r="X108" i="8" s="1"/>
  <c r="Y108" i="8" a="1"/>
  <c r="Y108" i="8" s="1"/>
  <c r="Z108" i="8" a="1"/>
  <c r="Z108" i="8" s="1"/>
  <c r="O110" i="8" a="1"/>
  <c r="O110" i="8" s="1"/>
  <c r="P110" i="8" a="1"/>
  <c r="P110" i="8" s="1"/>
  <c r="Q110" i="8" a="1"/>
  <c r="Q110" i="8" s="1"/>
  <c r="R110" i="8" a="1"/>
  <c r="R110" i="8" s="1"/>
  <c r="S110" i="8" a="1"/>
  <c r="S110" i="8" s="1"/>
  <c r="T110" i="8" a="1"/>
  <c r="T110" i="8" s="1"/>
  <c r="U110" i="8" a="1"/>
  <c r="U110" i="8" s="1"/>
  <c r="V110" i="8" a="1"/>
  <c r="V110" i="8" s="1"/>
  <c r="W110" i="8" a="1"/>
  <c r="W110" i="8" s="1"/>
  <c r="X110" i="8" a="1"/>
  <c r="X110" i="8" s="1"/>
  <c r="Y110" i="8" a="1"/>
  <c r="Y110" i="8" s="1"/>
  <c r="Z110" i="8" a="1"/>
  <c r="Z110" i="8" s="1"/>
  <c r="O112" i="8" a="1"/>
  <c r="O112" i="8" s="1"/>
  <c r="P112" i="8" a="1"/>
  <c r="P112" i="8" s="1"/>
  <c r="Q112" i="8" a="1"/>
  <c r="Q112" i="8" s="1"/>
  <c r="R112" i="8" a="1"/>
  <c r="R112" i="8" s="1"/>
  <c r="S112" i="8" a="1"/>
  <c r="S112" i="8" s="1"/>
  <c r="T112" i="8" a="1"/>
  <c r="T112" i="8" s="1"/>
  <c r="U112" i="8" a="1"/>
  <c r="U112" i="8" s="1"/>
  <c r="V112" i="8" a="1"/>
  <c r="V112" i="8" s="1"/>
  <c r="W112" i="8" a="1"/>
  <c r="W112" i="8" s="1"/>
  <c r="X112" i="8" a="1"/>
  <c r="X112" i="8" s="1"/>
  <c r="Y112" i="8" a="1"/>
  <c r="Y112" i="8" s="1"/>
  <c r="Z112" i="8" a="1"/>
  <c r="Z112" i="8" s="1"/>
  <c r="O39" i="8" a="1"/>
  <c r="O39" i="8" s="1"/>
  <c r="P39" i="8" a="1"/>
  <c r="P39" i="8" s="1"/>
  <c r="Q39" i="8" a="1"/>
  <c r="Q39" i="8" s="1"/>
  <c r="R39" i="8" a="1"/>
  <c r="R39" i="8" s="1"/>
  <c r="S39" i="8" a="1"/>
  <c r="S39" i="8" s="1"/>
  <c r="T39" i="8" a="1"/>
  <c r="T39" i="8" s="1"/>
  <c r="U39" i="8" a="1"/>
  <c r="U39" i="8" s="1"/>
  <c r="V39" i="8" a="1"/>
  <c r="V39" i="8" s="1"/>
  <c r="W39" i="8" a="1"/>
  <c r="W39" i="8" s="1"/>
  <c r="X39" i="8" a="1"/>
  <c r="X39" i="8" s="1"/>
  <c r="Y39" i="8" a="1"/>
  <c r="Y39" i="8" s="1"/>
  <c r="Z39" i="8" a="1"/>
  <c r="Z39" i="8" s="1"/>
  <c r="O41" i="8" a="1"/>
  <c r="O41" i="8" s="1"/>
  <c r="P41" i="8" a="1"/>
  <c r="P41" i="8" s="1"/>
  <c r="Q41" i="8" a="1"/>
  <c r="Q41" i="8" s="1"/>
  <c r="R41" i="8" a="1"/>
  <c r="R41" i="8" s="1"/>
  <c r="S41" i="8" a="1"/>
  <c r="S41" i="8" s="1"/>
  <c r="T41" i="8" a="1"/>
  <c r="T41" i="8" s="1"/>
  <c r="U41" i="8" a="1"/>
  <c r="U41" i="8" s="1"/>
  <c r="V41" i="8" a="1"/>
  <c r="V41" i="8" s="1"/>
  <c r="W41" i="8" a="1"/>
  <c r="W41" i="8" s="1"/>
  <c r="X41" i="8" a="1"/>
  <c r="X41" i="8" s="1"/>
  <c r="Y41" i="8" a="1"/>
  <c r="Y41" i="8" s="1"/>
  <c r="Z41" i="8" a="1"/>
  <c r="Z41" i="8" s="1"/>
  <c r="O43" i="8" a="1"/>
  <c r="O43" i="8" s="1"/>
  <c r="P43" i="8" a="1"/>
  <c r="P43" i="8" s="1"/>
  <c r="Q43" i="8" a="1"/>
  <c r="Q43" i="8" s="1"/>
  <c r="R43" i="8" a="1"/>
  <c r="R43" i="8" s="1"/>
  <c r="S43" i="8" a="1"/>
  <c r="S43" i="8" s="1"/>
  <c r="T43" i="8" a="1"/>
  <c r="T43" i="8" s="1"/>
  <c r="U43" i="8" a="1"/>
  <c r="U43" i="8" s="1"/>
  <c r="V43" i="8" a="1"/>
  <c r="V43" i="8" s="1"/>
  <c r="W43" i="8" a="1"/>
  <c r="W43" i="8" s="1"/>
  <c r="X43" i="8" a="1"/>
  <c r="X43" i="8" s="1"/>
  <c r="Y43" i="8" a="1"/>
  <c r="Y43" i="8" s="1"/>
  <c r="Z43" i="8" a="1"/>
  <c r="Z43" i="8" s="1"/>
  <c r="O45" i="8" a="1"/>
  <c r="O45" i="8" s="1"/>
  <c r="P45" i="8" a="1"/>
  <c r="P45" i="8" s="1"/>
  <c r="Q45" i="8" a="1"/>
  <c r="Q45" i="8" s="1"/>
  <c r="R45" i="8" a="1"/>
  <c r="R45" i="8" s="1"/>
  <c r="S45" i="8" a="1"/>
  <c r="S45" i="8" s="1"/>
  <c r="T45" i="8" a="1"/>
  <c r="T45" i="8" s="1"/>
  <c r="U45" i="8" a="1"/>
  <c r="U45" i="8" s="1"/>
  <c r="V45" i="8" a="1"/>
  <c r="V45" i="8" s="1"/>
  <c r="W45" i="8" a="1"/>
  <c r="W45" i="8" s="1"/>
  <c r="X45" i="8" a="1"/>
  <c r="X45" i="8" s="1"/>
  <c r="Y45" i="8" a="1"/>
  <c r="Y45" i="8" s="1"/>
  <c r="Z45" i="8" a="1"/>
  <c r="Z45" i="8" s="1"/>
  <c r="O47" i="8" a="1"/>
  <c r="O47" i="8" s="1"/>
  <c r="P47" i="8" a="1"/>
  <c r="P47" i="8" s="1"/>
  <c r="Q47" i="8" a="1"/>
  <c r="Q47" i="8" s="1"/>
  <c r="R47" i="8" a="1"/>
  <c r="R47" i="8" s="1"/>
  <c r="S47" i="8" a="1"/>
  <c r="S47" i="8" s="1"/>
  <c r="T47" i="8" a="1"/>
  <c r="T47" i="8" s="1"/>
  <c r="U47" i="8" a="1"/>
  <c r="U47" i="8" s="1"/>
  <c r="V47" i="8" a="1"/>
  <c r="V47" i="8" s="1"/>
  <c r="W47" i="8" a="1"/>
  <c r="W47" i="8" s="1"/>
  <c r="X47" i="8" a="1"/>
  <c r="X47" i="8" s="1"/>
  <c r="Y47" i="8" a="1"/>
  <c r="Y47" i="8" s="1"/>
  <c r="Z47" i="8" a="1"/>
  <c r="Z47" i="8" s="1"/>
  <c r="O49" i="8" a="1"/>
  <c r="O49" i="8" s="1"/>
  <c r="P49" i="8" a="1"/>
  <c r="P49" i="8" s="1"/>
  <c r="Q49" i="8" a="1"/>
  <c r="Q49" i="8" s="1"/>
  <c r="R49" i="8" a="1"/>
  <c r="R49" i="8" s="1"/>
  <c r="S49" i="8" a="1"/>
  <c r="S49" i="8" s="1"/>
  <c r="T49" i="8" a="1"/>
  <c r="T49" i="8" s="1"/>
  <c r="U49" i="8" a="1"/>
  <c r="U49" i="8" s="1"/>
  <c r="V49" i="8" a="1"/>
  <c r="V49" i="8" s="1"/>
  <c r="W49" i="8" a="1"/>
  <c r="W49" i="8" s="1"/>
  <c r="X49" i="8" a="1"/>
  <c r="X49" i="8" s="1"/>
  <c r="Y49" i="8" a="1"/>
  <c r="Y49" i="8" s="1"/>
  <c r="Z49" i="8" a="1"/>
  <c r="Z49" i="8" s="1"/>
  <c r="O51" i="8" a="1"/>
  <c r="O51" i="8" s="1"/>
  <c r="P51" i="8" a="1"/>
  <c r="P51" i="8" s="1"/>
  <c r="Q51" i="8" a="1"/>
  <c r="Q51" i="8" s="1"/>
  <c r="R51" i="8" a="1"/>
  <c r="R51" i="8" s="1"/>
  <c r="S51" i="8" a="1"/>
  <c r="S51" i="8" s="1"/>
  <c r="T51" i="8" a="1"/>
  <c r="T51" i="8" s="1"/>
  <c r="U51" i="8" a="1"/>
  <c r="U51" i="8" s="1"/>
  <c r="V51" i="8" a="1"/>
  <c r="V51" i="8" s="1"/>
  <c r="W51" i="8" a="1"/>
  <c r="W51" i="8" s="1"/>
  <c r="X51" i="8" a="1"/>
  <c r="X51" i="8" s="1"/>
  <c r="Y51" i="8" a="1"/>
  <c r="Y51" i="8" s="1"/>
  <c r="Z51" i="8" a="1"/>
  <c r="Z51" i="8" s="1"/>
  <c r="O23" i="8"/>
  <c r="P23" i="8"/>
  <c r="Q23" i="8"/>
  <c r="R23" i="8"/>
  <c r="S23" i="8"/>
  <c r="U23" i="8"/>
  <c r="V23" i="8"/>
  <c r="W23" i="8"/>
  <c r="X23" i="8"/>
  <c r="Y23" i="8"/>
  <c r="O147" i="8" a="1"/>
  <c r="O147" i="8" s="1"/>
  <c r="O148" i="8" s="1"/>
  <c r="P147" i="8" a="1"/>
  <c r="P147" i="8" s="1"/>
  <c r="P148" i="8" s="1"/>
  <c r="Q147" i="8" a="1"/>
  <c r="Q147" i="8" s="1"/>
  <c r="Q148" i="8" s="1"/>
  <c r="R147" i="8" a="1"/>
  <c r="R147" i="8" s="1"/>
  <c r="R148" i="8" s="1"/>
  <c r="S147" i="8" a="1"/>
  <c r="S147" i="8" s="1"/>
  <c r="S148" i="8" s="1"/>
  <c r="T147" i="8" a="1"/>
  <c r="T147" i="8" s="1"/>
  <c r="T148" i="8" s="1"/>
  <c r="U147" i="8" a="1"/>
  <c r="U147" i="8" s="1"/>
  <c r="U148" i="8" s="1"/>
  <c r="V147" i="8" a="1"/>
  <c r="V147" i="8" s="1"/>
  <c r="V148" i="8" s="1"/>
  <c r="W147" i="8" a="1"/>
  <c r="W147" i="8" s="1"/>
  <c r="W148" i="8" s="1"/>
  <c r="X147" i="8" a="1"/>
  <c r="X147" i="8" s="1"/>
  <c r="X148" i="8" s="1"/>
  <c r="Y147" i="8" a="1"/>
  <c r="Y147" i="8" s="1"/>
  <c r="Y148" i="8" s="1"/>
  <c r="Z147" i="8" a="1"/>
  <c r="Z147" i="8" s="1"/>
  <c r="Z148" i="8" s="1"/>
  <c r="O149" i="8" a="1"/>
  <c r="O149" i="8" s="1"/>
  <c r="O150" i="8" s="1"/>
  <c r="P149" i="8" a="1"/>
  <c r="P149" i="8" s="1"/>
  <c r="P150" i="8" s="1"/>
  <c r="Q149" i="8" a="1"/>
  <c r="Q149" i="8" s="1"/>
  <c r="Q150" i="8" s="1"/>
  <c r="R149" i="8" a="1"/>
  <c r="R149" i="8" s="1"/>
  <c r="R150" i="8" s="1"/>
  <c r="S149" i="8" a="1"/>
  <c r="S149" i="8" s="1"/>
  <c r="S150" i="8" s="1"/>
  <c r="T149" i="8" a="1"/>
  <c r="T149" i="8" s="1"/>
  <c r="T150" i="8" s="1"/>
  <c r="U149" i="8" a="1"/>
  <c r="U149" i="8" s="1"/>
  <c r="U150" i="8" s="1"/>
  <c r="V149" i="8" a="1"/>
  <c r="V149" i="8" s="1"/>
  <c r="V150" i="8" s="1"/>
  <c r="W149" i="8" a="1"/>
  <c r="W149" i="8" s="1"/>
  <c r="W150" i="8" s="1"/>
  <c r="X149" i="8" a="1"/>
  <c r="X149" i="8" s="1"/>
  <c r="X150" i="8" s="1"/>
  <c r="Y149" i="8" a="1"/>
  <c r="Y149" i="8" s="1"/>
  <c r="Y150" i="8" s="1"/>
  <c r="Z149" i="8" a="1"/>
  <c r="Z149" i="8" s="1"/>
  <c r="Z150" i="8" s="1"/>
  <c r="O151" i="8" a="1"/>
  <c r="O151" i="8" s="1"/>
  <c r="O152" i="8" s="1"/>
  <c r="P151" i="8" a="1"/>
  <c r="P151" i="8" s="1"/>
  <c r="P152" i="8" s="1"/>
  <c r="Q151" i="8" a="1"/>
  <c r="Q151" i="8" s="1"/>
  <c r="Q152" i="8" s="1"/>
  <c r="R151" i="8" a="1"/>
  <c r="R151" i="8" s="1"/>
  <c r="R152" i="8" s="1"/>
  <c r="S151" i="8" a="1"/>
  <c r="S151" i="8" s="1"/>
  <c r="S152" i="8" s="1"/>
  <c r="T151" i="8" a="1"/>
  <c r="T151" i="8" s="1"/>
  <c r="T152" i="8" s="1"/>
  <c r="U151" i="8" a="1"/>
  <c r="U151" i="8" s="1"/>
  <c r="U152" i="8" s="1"/>
  <c r="V151" i="8" a="1"/>
  <c r="V151" i="8" s="1"/>
  <c r="V152" i="8" s="1"/>
  <c r="W151" i="8" a="1"/>
  <c r="W151" i="8" s="1"/>
  <c r="W152" i="8" s="1"/>
  <c r="X151" i="8" a="1"/>
  <c r="X151" i="8" s="1"/>
  <c r="X152" i="8" s="1"/>
  <c r="Y151" i="8" a="1"/>
  <c r="Y151" i="8" s="1"/>
  <c r="Y152" i="8" s="1"/>
  <c r="Z151" i="8" a="1"/>
  <c r="Z151" i="8" s="1"/>
  <c r="Z152" i="8" s="1"/>
  <c r="O136" i="8" a="1"/>
  <c r="O136" i="8" s="1"/>
  <c r="P136" i="8" a="1"/>
  <c r="P136" i="8" s="1"/>
  <c r="Q136" i="8" a="1"/>
  <c r="Q136" i="8" s="1"/>
  <c r="R136" i="8" a="1"/>
  <c r="R136" i="8" s="1"/>
  <c r="S136" i="8" a="1"/>
  <c r="S136" i="8" s="1"/>
  <c r="T136" i="8" a="1"/>
  <c r="T136" i="8" s="1"/>
  <c r="U136" i="8" a="1"/>
  <c r="U136" i="8" s="1"/>
  <c r="V136" i="8" a="1"/>
  <c r="V136" i="8" s="1"/>
  <c r="W136" i="8" a="1"/>
  <c r="W136" i="8" s="1"/>
  <c r="X136" i="8" a="1"/>
  <c r="X136" i="8" s="1"/>
  <c r="Y136" i="8" a="1"/>
  <c r="Y136" i="8" s="1"/>
  <c r="Z136" i="8" a="1"/>
  <c r="Z136" i="8" s="1"/>
  <c r="O138" i="8" a="1"/>
  <c r="O138" i="8" s="1"/>
  <c r="P138" i="8" a="1"/>
  <c r="P138" i="8" s="1"/>
  <c r="Q138" i="8" a="1"/>
  <c r="Q138" i="8" s="1"/>
  <c r="R138" i="8" a="1"/>
  <c r="R138" i="8" s="1"/>
  <c r="S138" i="8" a="1"/>
  <c r="S138" i="8" s="1"/>
  <c r="T138" i="8" a="1"/>
  <c r="T138" i="8" s="1"/>
  <c r="U138" i="8" a="1"/>
  <c r="U138" i="8" s="1"/>
  <c r="V138" i="8" a="1"/>
  <c r="V138" i="8" s="1"/>
  <c r="W138" i="8" a="1"/>
  <c r="W138" i="8" s="1"/>
  <c r="X138" i="8" a="1"/>
  <c r="X138" i="8" s="1"/>
  <c r="Y138" i="8" a="1"/>
  <c r="Y138" i="8" s="1"/>
  <c r="Z138" i="8" a="1"/>
  <c r="Z138" i="8" s="1"/>
  <c r="O140" i="8" a="1"/>
  <c r="O140" i="8" s="1"/>
  <c r="P140" i="8" a="1"/>
  <c r="P140" i="8" s="1"/>
  <c r="Q140" i="8" a="1"/>
  <c r="Q140" i="8" s="1"/>
  <c r="R140" i="8" a="1"/>
  <c r="R140" i="8" s="1"/>
  <c r="S140" i="8" a="1"/>
  <c r="S140" i="8" s="1"/>
  <c r="T140" i="8" a="1"/>
  <c r="T140" i="8" s="1"/>
  <c r="U140" i="8" a="1"/>
  <c r="U140" i="8" s="1"/>
  <c r="V140" i="8" a="1"/>
  <c r="V140" i="8" s="1"/>
  <c r="W140" i="8" a="1"/>
  <c r="W140" i="8" s="1"/>
  <c r="X140" i="8" a="1"/>
  <c r="X140" i="8" s="1"/>
  <c r="Y140" i="8" a="1"/>
  <c r="Y140" i="8" s="1"/>
  <c r="Z140" i="8" a="1"/>
  <c r="Z140" i="8" s="1"/>
  <c r="O239" i="8" a="1"/>
  <c r="O239" i="8" s="1"/>
  <c r="P239" i="8" a="1"/>
  <c r="P239" i="8" s="1"/>
  <c r="Q239" i="8" a="1"/>
  <c r="Q239" i="8" s="1"/>
  <c r="R239" i="8" a="1"/>
  <c r="R239" i="8" s="1"/>
  <c r="S239" i="8" a="1"/>
  <c r="S239" i="8" s="1"/>
  <c r="T239" i="8" a="1"/>
  <c r="T239" i="8" s="1"/>
  <c r="U239" i="8" a="1"/>
  <c r="U239" i="8" s="1"/>
  <c r="V239" i="8" a="1"/>
  <c r="V239" i="8" s="1"/>
  <c r="W239" i="8" a="1"/>
  <c r="W239" i="8" s="1"/>
  <c r="X239" i="8" a="1"/>
  <c r="X239" i="8" s="1"/>
  <c r="Y239" i="8" a="1"/>
  <c r="Y239" i="8" s="1"/>
  <c r="Z239" i="8" a="1"/>
  <c r="Z239" i="8" s="1"/>
  <c r="O241" i="8" a="1"/>
  <c r="O241" i="8" s="1"/>
  <c r="P241" i="8" a="1"/>
  <c r="P241" i="8" s="1"/>
  <c r="Q241" i="8" a="1"/>
  <c r="Q241" i="8" s="1"/>
  <c r="R241" i="8" a="1"/>
  <c r="R241" i="8" s="1"/>
  <c r="S241" i="8" a="1"/>
  <c r="S241" i="8" s="1"/>
  <c r="T241" i="8" a="1"/>
  <c r="T241" i="8" s="1"/>
  <c r="U241" i="8" a="1"/>
  <c r="U241" i="8" s="1"/>
  <c r="V241" i="8" a="1"/>
  <c r="V241" i="8" s="1"/>
  <c r="W241" i="8" a="1"/>
  <c r="W241" i="8" s="1"/>
  <c r="X241" i="8" a="1"/>
  <c r="X241" i="8" s="1"/>
  <c r="Y241" i="8" a="1"/>
  <c r="Y241" i="8" s="1"/>
  <c r="Z241" i="8" a="1"/>
  <c r="Z241" i="8" s="1"/>
  <c r="O243" i="8" a="1"/>
  <c r="O243" i="8" s="1"/>
  <c r="P243" i="8" a="1"/>
  <c r="P243" i="8" s="1"/>
  <c r="Q243" i="8" a="1"/>
  <c r="Q243" i="8" s="1"/>
  <c r="R243" i="8" a="1"/>
  <c r="R243" i="8" s="1"/>
  <c r="S243" i="8" a="1"/>
  <c r="S243" i="8" s="1"/>
  <c r="T243" i="8" a="1"/>
  <c r="T243" i="8" s="1"/>
  <c r="U243" i="8" a="1"/>
  <c r="U243" i="8" s="1"/>
  <c r="V243" i="8" a="1"/>
  <c r="V243" i="8" s="1"/>
  <c r="W243" i="8" a="1"/>
  <c r="W243" i="8" s="1"/>
  <c r="X243" i="8" a="1"/>
  <c r="X243" i="8" s="1"/>
  <c r="Y243" i="8" a="1"/>
  <c r="Y243" i="8" s="1"/>
  <c r="Z243" i="8" a="1"/>
  <c r="Z243" i="8" s="1"/>
  <c r="O245" i="8" a="1"/>
  <c r="O245" i="8" s="1"/>
  <c r="P245" i="8" a="1"/>
  <c r="P245" i="8" s="1"/>
  <c r="Q245" i="8" a="1"/>
  <c r="Q245" i="8" s="1"/>
  <c r="R245" i="8" a="1"/>
  <c r="R245" i="8" s="1"/>
  <c r="S245" i="8" a="1"/>
  <c r="S245" i="8" s="1"/>
  <c r="T245" i="8" a="1"/>
  <c r="T245" i="8" s="1"/>
  <c r="U245" i="8" a="1"/>
  <c r="U245" i="8" s="1"/>
  <c r="V245" i="8" a="1"/>
  <c r="V245" i="8" s="1"/>
  <c r="W245" i="8" a="1"/>
  <c r="W245" i="8" s="1"/>
  <c r="X245" i="8" a="1"/>
  <c r="X245" i="8" s="1"/>
  <c r="Y245" i="8" a="1"/>
  <c r="Y245" i="8" s="1"/>
  <c r="Z245" i="8" a="1"/>
  <c r="Z245" i="8" s="1"/>
  <c r="O247" i="8" a="1"/>
  <c r="O247" i="8" s="1"/>
  <c r="P247" i="8" a="1"/>
  <c r="P247" i="8" s="1"/>
  <c r="Q247" i="8" a="1"/>
  <c r="Q247" i="8" s="1"/>
  <c r="R247" i="8" a="1"/>
  <c r="R247" i="8" s="1"/>
  <c r="S247" i="8" a="1"/>
  <c r="S247" i="8" s="1"/>
  <c r="T247" i="8" a="1"/>
  <c r="T247" i="8" s="1"/>
  <c r="U247" i="8" a="1"/>
  <c r="U247" i="8" s="1"/>
  <c r="V247" i="8" a="1"/>
  <c r="V247" i="8" s="1"/>
  <c r="W247" i="8" a="1"/>
  <c r="W247" i="8" s="1"/>
  <c r="X247" i="8" a="1"/>
  <c r="X247" i="8" s="1"/>
  <c r="Y247" i="8" a="1"/>
  <c r="Y247" i="8" s="1"/>
  <c r="Z247" i="8" a="1"/>
  <c r="Z247" i="8" s="1"/>
  <c r="O249" i="8" a="1"/>
  <c r="O249" i="8" s="1"/>
  <c r="P249" i="8" a="1"/>
  <c r="P249" i="8" s="1"/>
  <c r="Q249" i="8" a="1"/>
  <c r="Q249" i="8" s="1"/>
  <c r="R249" i="8" a="1"/>
  <c r="R249" i="8" s="1"/>
  <c r="S249" i="8" a="1"/>
  <c r="S249" i="8" s="1"/>
  <c r="T249" i="8" a="1"/>
  <c r="T249" i="8" s="1"/>
  <c r="U249" i="8" a="1"/>
  <c r="U249" i="8" s="1"/>
  <c r="V249" i="8" a="1"/>
  <c r="V249" i="8" s="1"/>
  <c r="W249" i="8" a="1"/>
  <c r="W249" i="8" s="1"/>
  <c r="X249" i="8" a="1"/>
  <c r="X249" i="8" s="1"/>
  <c r="Y249" i="8" a="1"/>
  <c r="Y249" i="8" s="1"/>
  <c r="Z249" i="8" a="1"/>
  <c r="Z249" i="8" s="1"/>
  <c r="O251" i="8" a="1"/>
  <c r="O251" i="8" s="1"/>
  <c r="P251" i="8" a="1"/>
  <c r="P251" i="8" s="1"/>
  <c r="Q251" i="8" a="1"/>
  <c r="Q251" i="8" s="1"/>
  <c r="R251" i="8" a="1"/>
  <c r="R251" i="8" s="1"/>
  <c r="S251" i="8" a="1"/>
  <c r="S251" i="8" s="1"/>
  <c r="T251" i="8" a="1"/>
  <c r="T251" i="8" s="1"/>
  <c r="U251" i="8" a="1"/>
  <c r="U251" i="8" s="1"/>
  <c r="V251" i="8" a="1"/>
  <c r="V251" i="8" s="1"/>
  <c r="W251" i="8" a="1"/>
  <c r="W251" i="8" s="1"/>
  <c r="X251" i="8" a="1"/>
  <c r="X251" i="8" s="1"/>
  <c r="Y251" i="8" a="1"/>
  <c r="Y251" i="8" s="1"/>
  <c r="Z251" i="8" a="1"/>
  <c r="Z251" i="8" s="1"/>
  <c r="O220" i="8" a="1"/>
  <c r="O220" i="8" s="1"/>
  <c r="P220" i="8" a="1"/>
  <c r="P220" i="8" s="1"/>
  <c r="Q220" i="8" a="1"/>
  <c r="Q220" i="8" s="1"/>
  <c r="R220" i="8" a="1"/>
  <c r="R220" i="8" s="1"/>
  <c r="S220" i="8" a="1"/>
  <c r="S220" i="8" s="1"/>
  <c r="T220" i="8" a="1"/>
  <c r="T220" i="8" s="1"/>
  <c r="U220" i="8" a="1"/>
  <c r="U220" i="8" s="1"/>
  <c r="V220" i="8" a="1"/>
  <c r="V220" i="8" s="1"/>
  <c r="W220" i="8" a="1"/>
  <c r="W220" i="8" s="1"/>
  <c r="X220" i="8" a="1"/>
  <c r="X220" i="8" s="1"/>
  <c r="Y220" i="8" a="1"/>
  <c r="Y220" i="8" s="1"/>
  <c r="Z220" i="8" a="1"/>
  <c r="Z220" i="8" s="1"/>
  <c r="O222" i="8" a="1"/>
  <c r="O222" i="8" s="1"/>
  <c r="P222" i="8" a="1"/>
  <c r="P222" i="8" s="1"/>
  <c r="Q222" i="8" a="1"/>
  <c r="Q222" i="8" s="1"/>
  <c r="R222" i="8" a="1"/>
  <c r="R222" i="8" s="1"/>
  <c r="S222" i="8" a="1"/>
  <c r="S222" i="8" s="1"/>
  <c r="T222" i="8" a="1"/>
  <c r="T222" i="8" s="1"/>
  <c r="U222" i="8" a="1"/>
  <c r="U222" i="8" s="1"/>
  <c r="V222" i="8" a="1"/>
  <c r="V222" i="8" s="1"/>
  <c r="W222" i="8" a="1"/>
  <c r="W222" i="8" s="1"/>
  <c r="X222" i="8" a="1"/>
  <c r="X222" i="8" s="1"/>
  <c r="Y222" i="8" a="1"/>
  <c r="Y222" i="8" s="1"/>
  <c r="Z222" i="8" a="1"/>
  <c r="Z222" i="8" s="1"/>
  <c r="O224" i="8" a="1"/>
  <c r="O224" i="8" s="1"/>
  <c r="P224" i="8" a="1"/>
  <c r="P224" i="8" s="1"/>
  <c r="Q224" i="8" a="1"/>
  <c r="Q224" i="8" s="1"/>
  <c r="R224" i="8" a="1"/>
  <c r="R224" i="8" s="1"/>
  <c r="S224" i="8" a="1"/>
  <c r="S224" i="8" s="1"/>
  <c r="T224" i="8" a="1"/>
  <c r="T224" i="8" s="1"/>
  <c r="U224" i="8" a="1"/>
  <c r="U224" i="8" s="1"/>
  <c r="V224" i="8" a="1"/>
  <c r="V224" i="8" s="1"/>
  <c r="W224" i="8" a="1"/>
  <c r="W224" i="8" s="1"/>
  <c r="X224" i="8" a="1"/>
  <c r="X224" i="8" s="1"/>
  <c r="Y224" i="8" a="1"/>
  <c r="Y224" i="8" s="1"/>
  <c r="Z224" i="8" a="1"/>
  <c r="Z224" i="8" s="1"/>
  <c r="O226" i="8" a="1"/>
  <c r="O226" i="8" s="1"/>
  <c r="P226" i="8" a="1"/>
  <c r="P226" i="8" s="1"/>
  <c r="Q226" i="8" a="1"/>
  <c r="Q226" i="8" s="1"/>
  <c r="R226" i="8" a="1"/>
  <c r="R226" i="8" s="1"/>
  <c r="S226" i="8" a="1"/>
  <c r="S226" i="8" s="1"/>
  <c r="T226" i="8" a="1"/>
  <c r="T226" i="8" s="1"/>
  <c r="U226" i="8" a="1"/>
  <c r="U226" i="8" s="1"/>
  <c r="V226" i="8" a="1"/>
  <c r="V226" i="8" s="1"/>
  <c r="W226" i="8" a="1"/>
  <c r="W226" i="8" s="1"/>
  <c r="X226" i="8" a="1"/>
  <c r="X226" i="8" s="1"/>
  <c r="Y226" i="8" a="1"/>
  <c r="Y226" i="8" s="1"/>
  <c r="Z226" i="8" a="1"/>
  <c r="Z226" i="8" s="1"/>
  <c r="O228" i="8" a="1"/>
  <c r="O228" i="8" s="1"/>
  <c r="P228" i="8" a="1"/>
  <c r="P228" i="8" s="1"/>
  <c r="Q228" i="8" a="1"/>
  <c r="Q228" i="8" s="1"/>
  <c r="R228" i="8" a="1"/>
  <c r="R228" i="8" s="1"/>
  <c r="S228" i="8" a="1"/>
  <c r="S228" i="8" s="1"/>
  <c r="T228" i="8" a="1"/>
  <c r="T228" i="8" s="1"/>
  <c r="U228" i="8" a="1"/>
  <c r="U228" i="8" s="1"/>
  <c r="V228" i="8" a="1"/>
  <c r="V228" i="8" s="1"/>
  <c r="W228" i="8" a="1"/>
  <c r="W228" i="8" s="1"/>
  <c r="X228" i="8" a="1"/>
  <c r="X228" i="8" s="1"/>
  <c r="Y228" i="8" a="1"/>
  <c r="Y228" i="8" s="1"/>
  <c r="Z228" i="8" a="1"/>
  <c r="Z228" i="8" s="1"/>
  <c r="O230" i="8" a="1"/>
  <c r="O230" i="8" s="1"/>
  <c r="P230" i="8" a="1"/>
  <c r="P230" i="8" s="1"/>
  <c r="Q230" i="8" a="1"/>
  <c r="Q230" i="8" s="1"/>
  <c r="R230" i="8" a="1"/>
  <c r="R230" i="8" s="1"/>
  <c r="S230" i="8" a="1"/>
  <c r="S230" i="8" s="1"/>
  <c r="T230" i="8" a="1"/>
  <c r="T230" i="8" s="1"/>
  <c r="U230" i="8" a="1"/>
  <c r="U230" i="8" s="1"/>
  <c r="V230" i="8" a="1"/>
  <c r="V230" i="8" s="1"/>
  <c r="W230" i="8" a="1"/>
  <c r="W230" i="8" s="1"/>
  <c r="X230" i="8" a="1"/>
  <c r="X230" i="8" s="1"/>
  <c r="Y230" i="8" a="1"/>
  <c r="Y230" i="8" s="1"/>
  <c r="Z230" i="8" a="1"/>
  <c r="Z230" i="8" s="1"/>
  <c r="O232" i="8" a="1"/>
  <c r="O232" i="8" s="1"/>
  <c r="P232" i="8" a="1"/>
  <c r="P232" i="8" s="1"/>
  <c r="Q232" i="8" a="1"/>
  <c r="Q232" i="8" s="1"/>
  <c r="R232" i="8" a="1"/>
  <c r="R232" i="8" s="1"/>
  <c r="S232" i="8" a="1"/>
  <c r="S232" i="8" s="1"/>
  <c r="T232" i="8" a="1"/>
  <c r="T232" i="8" s="1"/>
  <c r="U232" i="8" a="1"/>
  <c r="U232" i="8" s="1"/>
  <c r="V232" i="8" a="1"/>
  <c r="V232" i="8" s="1"/>
  <c r="W232" i="8" a="1"/>
  <c r="W232" i="8" s="1"/>
  <c r="X232" i="8" a="1"/>
  <c r="X232" i="8" s="1"/>
  <c r="Y232" i="8" a="1"/>
  <c r="Y232" i="8" s="1"/>
  <c r="Z232" i="8" a="1"/>
  <c r="Z232" i="8" s="1"/>
  <c r="O234" i="8" a="1"/>
  <c r="O234" i="8" s="1"/>
  <c r="P234" i="8" a="1"/>
  <c r="P234" i="8" s="1"/>
  <c r="Q234" i="8" a="1"/>
  <c r="Q234" i="8" s="1"/>
  <c r="R234" i="8" a="1"/>
  <c r="R234" i="8" s="1"/>
  <c r="S234" i="8" a="1"/>
  <c r="S234" i="8" s="1"/>
  <c r="T234" i="8" a="1"/>
  <c r="T234" i="8" s="1"/>
  <c r="U234" i="8" a="1"/>
  <c r="U234" i="8" s="1"/>
  <c r="V234" i="8" a="1"/>
  <c r="V234" i="8" s="1"/>
  <c r="W234" i="8" a="1"/>
  <c r="W234" i="8" s="1"/>
  <c r="X234" i="8" a="1"/>
  <c r="X234" i="8" s="1"/>
  <c r="Y234" i="8" a="1"/>
  <c r="Y234" i="8" s="1"/>
  <c r="Z234" i="8" a="1"/>
  <c r="Z234" i="8" s="1"/>
  <c r="O214" i="8" a="1"/>
  <c r="O214" i="8" s="1"/>
  <c r="P214" i="8" a="1"/>
  <c r="P214" i="8" s="1"/>
  <c r="Q214" i="8" a="1"/>
  <c r="Q214" i="8" s="1"/>
  <c r="R214" i="8" a="1"/>
  <c r="R214" i="8" s="1"/>
  <c r="S214" i="8" a="1"/>
  <c r="S214" i="8" s="1"/>
  <c r="T214" i="8" a="1"/>
  <c r="T214" i="8" s="1"/>
  <c r="U214" i="8" a="1"/>
  <c r="U214" i="8" s="1"/>
  <c r="V214" i="8" a="1"/>
  <c r="V214" i="8" s="1"/>
  <c r="W214" i="8" a="1"/>
  <c r="W214" i="8" s="1"/>
  <c r="X214" i="8" a="1"/>
  <c r="X214" i="8" s="1"/>
  <c r="Y214" i="8" a="1"/>
  <c r="Y214" i="8" s="1"/>
  <c r="Z214" i="8" a="1"/>
  <c r="Z214" i="8" s="1"/>
  <c r="O216" i="8" a="1"/>
  <c r="O216" i="8" s="1"/>
  <c r="P216" i="8" a="1"/>
  <c r="P216" i="8" s="1"/>
  <c r="Q216" i="8" a="1"/>
  <c r="Q216" i="8" s="1"/>
  <c r="R216" i="8" a="1"/>
  <c r="R216" i="8" s="1"/>
  <c r="S216" i="8" a="1"/>
  <c r="S216" i="8" s="1"/>
  <c r="T216" i="8" a="1"/>
  <c r="T216" i="8" s="1"/>
  <c r="U216" i="8" a="1"/>
  <c r="U216" i="8" s="1"/>
  <c r="V216" i="8" a="1"/>
  <c r="V216" i="8" s="1"/>
  <c r="W216" i="8" a="1"/>
  <c r="W216" i="8" s="1"/>
  <c r="X216" i="8" a="1"/>
  <c r="X216" i="8" s="1"/>
  <c r="Y216" i="8" a="1"/>
  <c r="Y216" i="8" s="1"/>
  <c r="Z216" i="8" a="1"/>
  <c r="Z216" i="8" s="1"/>
  <c r="O218" i="8" a="1"/>
  <c r="O218" i="8" s="1"/>
  <c r="P218" i="8" a="1"/>
  <c r="P218" i="8" s="1"/>
  <c r="Q218" i="8" a="1"/>
  <c r="Q218" i="8" s="1"/>
  <c r="R218" i="8" a="1"/>
  <c r="R218" i="8" s="1"/>
  <c r="S218" i="8" a="1"/>
  <c r="S218" i="8" s="1"/>
  <c r="T218" i="8" a="1"/>
  <c r="T218" i="8" s="1"/>
  <c r="U218" i="8" a="1"/>
  <c r="U218" i="8" s="1"/>
  <c r="V218" i="8" a="1"/>
  <c r="V218" i="8" s="1"/>
  <c r="W218" i="8" a="1"/>
  <c r="W218" i="8" s="1"/>
  <c r="X218" i="8" a="1"/>
  <c r="X218" i="8" s="1"/>
  <c r="Y218" i="8" a="1"/>
  <c r="Y218" i="8" s="1"/>
  <c r="Z218" i="8" a="1"/>
  <c r="Z218" i="8" s="1"/>
  <c r="O314" i="8"/>
  <c r="P314" i="8"/>
  <c r="Q314" i="8"/>
  <c r="R314" i="8"/>
  <c r="S314" i="8"/>
  <c r="T314" i="8"/>
  <c r="U314" i="8"/>
  <c r="V314" i="8"/>
  <c r="W314" i="8"/>
  <c r="X314" i="8"/>
  <c r="Y314" i="8"/>
  <c r="AC10" i="16" s="1"/>
  <c r="Z314" i="8"/>
  <c r="AD10" i="16" s="1"/>
  <c r="O5" i="8" a="1"/>
  <c r="O5" i="8" s="1"/>
  <c r="O6" i="8" s="1"/>
  <c r="P5" i="8" a="1"/>
  <c r="P5" i="8" s="1"/>
  <c r="P6" i="8" s="1"/>
  <c r="Q5" i="8" a="1"/>
  <c r="Q5" i="8" s="1"/>
  <c r="Q6" i="8" s="1"/>
  <c r="R5" i="8" a="1"/>
  <c r="R5" i="8" s="1"/>
  <c r="R6" i="8" s="1"/>
  <c r="S5" i="8" a="1"/>
  <c r="S5" i="8" s="1"/>
  <c r="S6" i="8" s="1"/>
  <c r="T5" i="8" a="1"/>
  <c r="T5" i="8" s="1"/>
  <c r="T6" i="8" s="1"/>
  <c r="U6" i="8"/>
  <c r="V5" i="8" a="1"/>
  <c r="V5" i="8" s="1"/>
  <c r="V6" i="8" s="1"/>
  <c r="W5" i="8" a="1"/>
  <c r="W5" i="8" s="1"/>
  <c r="W6" i="8" s="1"/>
  <c r="X5" i="8" a="1"/>
  <c r="X5" i="8" s="1"/>
  <c r="X6" i="8" s="1"/>
  <c r="Y5" i="8" a="1"/>
  <c r="Y5" i="8" s="1"/>
  <c r="Y6" i="8" s="1"/>
  <c r="Z5" i="8" a="1"/>
  <c r="Z5" i="8" s="1"/>
  <c r="Z6" i="8" s="1" a="1"/>
  <c r="Z6" i="8" s="1"/>
  <c r="Z7" i="8" s="1" a="1"/>
  <c r="Z7" i="8" s="1"/>
  <c r="AK23" i="8" s="1"/>
  <c r="B195" i="16" s="1"/>
  <c r="O8" i="8" a="1"/>
  <c r="O8" i="8" s="1"/>
  <c r="P8" i="8" a="1"/>
  <c r="P8" i="8" s="1"/>
  <c r="Q8" i="8" a="1"/>
  <c r="Q8" i="8" s="1"/>
  <c r="R8" i="8" a="1"/>
  <c r="R8" i="8" s="1"/>
  <c r="S8" i="8" a="1"/>
  <c r="S8" i="8" s="1"/>
  <c r="T8" i="8" a="1"/>
  <c r="T8" i="8" s="1"/>
  <c r="U8" i="8" a="1"/>
  <c r="U8" i="8" s="1"/>
  <c r="V8" i="8" a="1"/>
  <c r="V8" i="8" s="1"/>
  <c r="W8" i="8" a="1"/>
  <c r="W8" i="8" s="1"/>
  <c r="X8" i="8" a="1"/>
  <c r="X8" i="8" s="1"/>
  <c r="Y8" i="8" a="1"/>
  <c r="Y8" i="8" s="1"/>
  <c r="O9" i="8" a="1"/>
  <c r="O9" i="8" s="1"/>
  <c r="P9" i="8" a="1"/>
  <c r="P9" i="8" s="1"/>
  <c r="Q9" i="8" a="1"/>
  <c r="Q9" i="8" s="1"/>
  <c r="R9" i="8" a="1"/>
  <c r="R9" i="8" s="1"/>
  <c r="S9" i="8" a="1"/>
  <c r="S9" i="8" s="1"/>
  <c r="T9" i="8" a="1"/>
  <c r="T9" i="8" s="1"/>
  <c r="U9" i="8" a="1"/>
  <c r="U9" i="8" s="1"/>
  <c r="V9" i="8" a="1"/>
  <c r="V9" i="8" s="1"/>
  <c r="W9" i="8" a="1"/>
  <c r="W9" i="8" s="1"/>
  <c r="X9" i="8" a="1"/>
  <c r="X9" i="8" s="1"/>
  <c r="Y9" i="8" a="1"/>
  <c r="Y9" i="8" s="1"/>
  <c r="O10" i="8" a="1"/>
  <c r="O10" i="8" s="1"/>
  <c r="P10" i="8" a="1"/>
  <c r="P10" i="8" s="1"/>
  <c r="Q10" i="8" a="1"/>
  <c r="Q10" i="8" s="1"/>
  <c r="R10" i="8" a="1"/>
  <c r="R10" i="8" s="1"/>
  <c r="S10" i="8" a="1"/>
  <c r="S10" i="8" s="1"/>
  <c r="T10" i="8" a="1"/>
  <c r="T10" i="8" s="1"/>
  <c r="U10" i="8" a="1"/>
  <c r="U10" i="8" s="1"/>
  <c r="V10" i="8" a="1"/>
  <c r="V10" i="8" s="1"/>
  <c r="W10" i="8" a="1"/>
  <c r="W10" i="8" s="1"/>
  <c r="X10" i="8" a="1"/>
  <c r="X10" i="8" s="1"/>
  <c r="Y10" i="8" a="1"/>
  <c r="Y10" i="8" s="1"/>
  <c r="O12" i="8" a="1"/>
  <c r="O12" i="8" s="1"/>
  <c r="P12" i="8" a="1"/>
  <c r="P12" i="8" s="1"/>
  <c r="Q12" i="8" a="1"/>
  <c r="Q12" i="8" s="1"/>
  <c r="R12" i="8" a="1"/>
  <c r="R12" i="8" s="1"/>
  <c r="S12" i="8" a="1"/>
  <c r="S12" i="8" s="1"/>
  <c r="T12" i="8" a="1"/>
  <c r="T12" i="8" s="1"/>
  <c r="U12" i="8" a="1"/>
  <c r="U12" i="8" s="1"/>
  <c r="V12" i="8" a="1"/>
  <c r="V12" i="8" s="1"/>
  <c r="W12" i="8" a="1"/>
  <c r="W12" i="8" s="1"/>
  <c r="X12" i="8" a="1"/>
  <c r="X12" i="8" s="1"/>
  <c r="Y12" i="8" a="1"/>
  <c r="Y12" i="8" s="1"/>
  <c r="AK30" i="8" s="1"/>
  <c r="B200" i="16" s="1"/>
  <c r="O15" i="8" a="1"/>
  <c r="O15" i="8" s="1"/>
  <c r="P15" i="8" a="1"/>
  <c r="P15" i="8" s="1"/>
  <c r="Q15" i="8" a="1"/>
  <c r="Q15" i="8" s="1"/>
  <c r="R15" i="8" a="1"/>
  <c r="R15" i="8" s="1"/>
  <c r="S15" i="8" a="1"/>
  <c r="S15" i="8" s="1"/>
  <c r="T15" i="8" a="1"/>
  <c r="T15" i="8" s="1"/>
  <c r="U15" i="8" a="1"/>
  <c r="U15" i="8" s="1"/>
  <c r="V15" i="8" a="1"/>
  <c r="V15" i="8" s="1"/>
  <c r="W15" i="8" a="1"/>
  <c r="W15" i="8" s="1"/>
  <c r="X15" i="8" a="1"/>
  <c r="X15" i="8" s="1"/>
  <c r="Y15" i="8" a="1"/>
  <c r="Y15" i="8" s="1"/>
  <c r="O16" i="8" a="1"/>
  <c r="O16" i="8" s="1"/>
  <c r="P16" i="8" a="1"/>
  <c r="P16" i="8" s="1"/>
  <c r="Q16" i="8" a="1"/>
  <c r="Q16" i="8" s="1"/>
  <c r="R16" i="8" a="1"/>
  <c r="R16" i="8" s="1"/>
  <c r="S16" i="8" a="1"/>
  <c r="S16" i="8" s="1"/>
  <c r="T16" i="8" a="1"/>
  <c r="T16" i="8" s="1"/>
  <c r="U16" i="8" a="1"/>
  <c r="U16" i="8" s="1"/>
  <c r="V16" i="8" a="1"/>
  <c r="V16" i="8" s="1"/>
  <c r="W16" i="8" a="1"/>
  <c r="W16" i="8" s="1"/>
  <c r="X16" i="8" a="1"/>
  <c r="X16" i="8" s="1"/>
  <c r="Y16" i="8" a="1"/>
  <c r="Y16" i="8" s="1"/>
  <c r="AK258" i="8" l="1"/>
  <c r="AK52" i="8"/>
  <c r="AK50" i="8"/>
  <c r="AK48" i="8"/>
  <c r="AK46" i="8"/>
  <c r="AK44" i="8"/>
  <c r="AK42" i="8"/>
  <c r="AK40" i="8"/>
  <c r="AK113" i="8"/>
  <c r="AK111" i="8"/>
  <c r="AK109" i="8"/>
  <c r="AK107" i="8"/>
  <c r="AK105" i="8"/>
  <c r="AK103" i="8"/>
  <c r="AK101" i="8"/>
  <c r="AK99" i="8"/>
  <c r="AK130" i="8"/>
  <c r="AK128" i="8"/>
  <c r="AK126" i="8"/>
  <c r="AK124" i="8"/>
  <c r="AK120" i="8"/>
  <c r="AK121" i="8" s="1"/>
  <c r="AK22" i="8"/>
  <c r="B194" i="16" s="1"/>
  <c r="AK219" i="8"/>
  <c r="AK217" i="8"/>
  <c r="AK215" i="8"/>
  <c r="AK235" i="8"/>
  <c r="AK233" i="8"/>
  <c r="AK231" i="8"/>
  <c r="AK229" i="8"/>
  <c r="AK227" i="8"/>
  <c r="AK225" i="8"/>
  <c r="AK223" i="8"/>
  <c r="AK221" i="8"/>
  <c r="AK252" i="8"/>
  <c r="AK250" i="8"/>
  <c r="AK248" i="8"/>
  <c r="AK246" i="8"/>
  <c r="AK244" i="8"/>
  <c r="AK242" i="8"/>
  <c r="AK240" i="8"/>
  <c r="AK141" i="8"/>
  <c r="AK139" i="8"/>
  <c r="AK137" i="8"/>
  <c r="AJ52" i="8"/>
  <c r="AJ50" i="8"/>
  <c r="AJ48" i="8"/>
  <c r="AJ46" i="8"/>
  <c r="AJ44" i="8"/>
  <c r="AJ42" i="8"/>
  <c r="AJ40" i="8"/>
  <c r="AJ113" i="8"/>
  <c r="AJ111" i="8"/>
  <c r="AJ109" i="8"/>
  <c r="AJ107" i="8"/>
  <c r="AJ105" i="8"/>
  <c r="AJ103" i="8"/>
  <c r="AJ101" i="8"/>
  <c r="AJ99" i="8"/>
  <c r="AJ130" i="8"/>
  <c r="AJ128" i="8"/>
  <c r="AJ126" i="8"/>
  <c r="AJ124" i="8"/>
  <c r="AJ120" i="8"/>
  <c r="AJ121" i="8" s="1"/>
  <c r="AJ22" i="8"/>
  <c r="AJ215" i="8"/>
  <c r="AJ235" i="8"/>
  <c r="AJ233" i="8"/>
  <c r="AJ231" i="8"/>
  <c r="AJ229" i="8"/>
  <c r="AJ227" i="8"/>
  <c r="AJ225" i="8"/>
  <c r="AJ223" i="8"/>
  <c r="AJ221" i="8"/>
  <c r="AJ252" i="8"/>
  <c r="AJ250" i="8"/>
  <c r="AJ248" i="8"/>
  <c r="AJ246" i="8"/>
  <c r="AJ244" i="8"/>
  <c r="AJ242" i="8"/>
  <c r="AJ240" i="8"/>
  <c r="AJ141" i="8"/>
  <c r="AJ139" i="8"/>
  <c r="AJ137" i="8"/>
  <c r="AI52" i="8"/>
  <c r="AI50" i="8"/>
  <c r="AI48" i="8"/>
  <c r="AI46" i="8"/>
  <c r="AI44" i="8"/>
  <c r="AI42" i="8"/>
  <c r="AI40" i="8"/>
  <c r="AI113" i="8"/>
  <c r="AI111" i="8"/>
  <c r="AI109" i="8"/>
  <c r="AI107" i="8"/>
  <c r="AI105" i="8"/>
  <c r="AI103" i="8"/>
  <c r="AI101" i="8"/>
  <c r="AI99" i="8"/>
  <c r="AI130" i="8"/>
  <c r="AI128" i="8"/>
  <c r="AI126" i="8"/>
  <c r="AI124" i="8"/>
  <c r="AI120" i="8"/>
  <c r="AI121" i="8" s="1"/>
  <c r="AJ258" i="8"/>
  <c r="AI231" i="8"/>
  <c r="AI229" i="8"/>
  <c r="AI227" i="8"/>
  <c r="AI225" i="8"/>
  <c r="AI223" i="8"/>
  <c r="AI221" i="8"/>
  <c r="AI252" i="8"/>
  <c r="AI250" i="8"/>
  <c r="AI248" i="8"/>
  <c r="AI246" i="8"/>
  <c r="AI244" i="8"/>
  <c r="AI242" i="8"/>
  <c r="AI240" i="8"/>
  <c r="AI141" i="8"/>
  <c r="AI139" i="8"/>
  <c r="AI137" i="8"/>
  <c r="AI258" i="8"/>
  <c r="AI233" i="8"/>
  <c r="AJ217" i="8"/>
  <c r="AI217" i="8"/>
  <c r="AI30" i="8"/>
  <c r="AJ219" i="8"/>
  <c r="AI22" i="8"/>
  <c r="AJ23" i="8"/>
  <c r="AI23" i="8"/>
  <c r="AI219" i="8"/>
  <c r="AI235" i="8"/>
  <c r="AI215" i="8"/>
  <c r="AJ30" i="8"/>
  <c r="AH52" i="8"/>
  <c r="AH50" i="8"/>
  <c r="AH48" i="8"/>
  <c r="AH46" i="8"/>
  <c r="AH44" i="8"/>
  <c r="AH42" i="8"/>
  <c r="AH40" i="8"/>
  <c r="AG23" i="8"/>
  <c r="AH23" i="8"/>
  <c r="AH113" i="8"/>
  <c r="AH111" i="8"/>
  <c r="AH109" i="8"/>
  <c r="AH107" i="8"/>
  <c r="AH105" i="8"/>
  <c r="AH103" i="8"/>
  <c r="AH101" i="8"/>
  <c r="AH99" i="8"/>
  <c r="AH130" i="8"/>
  <c r="AH128" i="8"/>
  <c r="AH126" i="8"/>
  <c r="AH124" i="8"/>
  <c r="AH120" i="8"/>
  <c r="AH121" i="8" s="1"/>
  <c r="AH22" i="8"/>
  <c r="AH217" i="8"/>
  <c r="AH235" i="8"/>
  <c r="AH233" i="8"/>
  <c r="AH231" i="8"/>
  <c r="AH229" i="8"/>
  <c r="AH227" i="8"/>
  <c r="AH225" i="8"/>
  <c r="AH223" i="8"/>
  <c r="AH221" i="8"/>
  <c r="AH252" i="8"/>
  <c r="AH250" i="8"/>
  <c r="AH248" i="8"/>
  <c r="AH246" i="8"/>
  <c r="AH244" i="8"/>
  <c r="AH242" i="8"/>
  <c r="AH240" i="8"/>
  <c r="AH141" i="8"/>
  <c r="AH139" i="8"/>
  <c r="AH137" i="8"/>
  <c r="AH258" i="8"/>
  <c r="AH219" i="8"/>
  <c r="AH215" i="8"/>
  <c r="AH30" i="8"/>
  <c r="AG52" i="8"/>
  <c r="AG50" i="8"/>
  <c r="AG48" i="8"/>
  <c r="AG46" i="8"/>
  <c r="AG44" i="8"/>
  <c r="AG42" i="8"/>
  <c r="AG40" i="8"/>
  <c r="AG113" i="8"/>
  <c r="AG111" i="8"/>
  <c r="AG109" i="8"/>
  <c r="AG107" i="8"/>
  <c r="AG105" i="8"/>
  <c r="AG103" i="8"/>
  <c r="AG101" i="8"/>
  <c r="AG99" i="8"/>
  <c r="AG130" i="8"/>
  <c r="AG128" i="8"/>
  <c r="AG126" i="8"/>
  <c r="AG124" i="8"/>
  <c r="AG120" i="8"/>
  <c r="AG121" i="8" s="1"/>
  <c r="AG219" i="8"/>
  <c r="AG235" i="8"/>
  <c r="AG233" i="8"/>
  <c r="AG231" i="8"/>
  <c r="AG229" i="8"/>
  <c r="AG227" i="8"/>
  <c r="AG225" i="8"/>
  <c r="AG223" i="8"/>
  <c r="AG221" i="8"/>
  <c r="AG252" i="8"/>
  <c r="AG250" i="8"/>
  <c r="AG248" i="8"/>
  <c r="AG246" i="8"/>
  <c r="AG244" i="8"/>
  <c r="AG242" i="8"/>
  <c r="AG240" i="8"/>
  <c r="AG141" i="8"/>
  <c r="AG139" i="8"/>
  <c r="AG137" i="8"/>
  <c r="AG258" i="8"/>
  <c r="AG217" i="8"/>
  <c r="AG215" i="8"/>
  <c r="AG30" i="8"/>
  <c r="AD30" i="8"/>
  <c r="AF52" i="8"/>
  <c r="AF50" i="8"/>
  <c r="AF48" i="8"/>
  <c r="AF46" i="8"/>
  <c r="AF44" i="8"/>
  <c r="AF42" i="8"/>
  <c r="AF40" i="8"/>
  <c r="AF113" i="8"/>
  <c r="AF111" i="8"/>
  <c r="AF109" i="8"/>
  <c r="AF107" i="8"/>
  <c r="AF105" i="8"/>
  <c r="AF103" i="8"/>
  <c r="AF101" i="8"/>
  <c r="AF99" i="8"/>
  <c r="AF130" i="8"/>
  <c r="AF128" i="8"/>
  <c r="AF126" i="8"/>
  <c r="AF124" i="8"/>
  <c r="AF120" i="8"/>
  <c r="AF121" i="8" s="1"/>
  <c r="AF217" i="8"/>
  <c r="AF229" i="8"/>
  <c r="AF225" i="8"/>
  <c r="AF223" i="8"/>
  <c r="AF221" i="8"/>
  <c r="AF252" i="8"/>
  <c r="AF250" i="8"/>
  <c r="AF248" i="8"/>
  <c r="AF246" i="8"/>
  <c r="AF244" i="8"/>
  <c r="AF242" i="8"/>
  <c r="AF240" i="8"/>
  <c r="AF141" i="8"/>
  <c r="AF139" i="8"/>
  <c r="AF137" i="8"/>
  <c r="AE52" i="8"/>
  <c r="AE50" i="8"/>
  <c r="AE48" i="8"/>
  <c r="AE46" i="8"/>
  <c r="AE44" i="8"/>
  <c r="AE42" i="8"/>
  <c r="AE40" i="8"/>
  <c r="AE113" i="8"/>
  <c r="AE111" i="8"/>
  <c r="AE109" i="8"/>
  <c r="AE107" i="8"/>
  <c r="AE105" i="8"/>
  <c r="AE103" i="8"/>
  <c r="AE101" i="8"/>
  <c r="AE99" i="8"/>
  <c r="AE130" i="8"/>
  <c r="AE128" i="8"/>
  <c r="AE126" i="8"/>
  <c r="AE124" i="8"/>
  <c r="AE120" i="8"/>
  <c r="AE121" i="8" s="1"/>
  <c r="AF258" i="8"/>
  <c r="AC30" i="8"/>
  <c r="AF219" i="8"/>
  <c r="AF233" i="8"/>
  <c r="AF227" i="8"/>
  <c r="AE219" i="8"/>
  <c r="AE235" i="8"/>
  <c r="AE229" i="8"/>
  <c r="AE227" i="8"/>
  <c r="AE225" i="8"/>
  <c r="AE223" i="8"/>
  <c r="AE221" i="8"/>
  <c r="AE252" i="8"/>
  <c r="AE250" i="8"/>
  <c r="AE248" i="8"/>
  <c r="AE246" i="8"/>
  <c r="AE244" i="8"/>
  <c r="AE242" i="8"/>
  <c r="AE240" i="8"/>
  <c r="AE141" i="8"/>
  <c r="AE139" i="8"/>
  <c r="AE137" i="8"/>
  <c r="AD52" i="8"/>
  <c r="AD50" i="8"/>
  <c r="AD48" i="8"/>
  <c r="AD46" i="8"/>
  <c r="AD44" i="8"/>
  <c r="AD42" i="8"/>
  <c r="AD40" i="8"/>
  <c r="AD113" i="8"/>
  <c r="AD111" i="8"/>
  <c r="AD109" i="8"/>
  <c r="AD107" i="8"/>
  <c r="AD105" i="8"/>
  <c r="AD103" i="8"/>
  <c r="AD101" i="8"/>
  <c r="AD99" i="8"/>
  <c r="AD130" i="8"/>
  <c r="AD128" i="8"/>
  <c r="AD126" i="8"/>
  <c r="AD124" i="8"/>
  <c r="AD120" i="8"/>
  <c r="AD121" i="8" s="1"/>
  <c r="AE258" i="8"/>
  <c r="Z23" i="8"/>
  <c r="AC23" i="8"/>
  <c r="AD23" i="8"/>
  <c r="AE23" i="8"/>
  <c r="AF23" i="8"/>
  <c r="AF231" i="8"/>
  <c r="AE217" i="8"/>
  <c r="AE231" i="8"/>
  <c r="AD215" i="8"/>
  <c r="AD233" i="8"/>
  <c r="AD227" i="8"/>
  <c r="AD252" i="8"/>
  <c r="AD246" i="8"/>
  <c r="AD244" i="8"/>
  <c r="AD242" i="8"/>
  <c r="AD240" i="8"/>
  <c r="AD141" i="8"/>
  <c r="AD139" i="8"/>
  <c r="AD137" i="8"/>
  <c r="AC52" i="8"/>
  <c r="AC50" i="8"/>
  <c r="AC48" i="8"/>
  <c r="AC46" i="8"/>
  <c r="AC44" i="8"/>
  <c r="AC42" i="8"/>
  <c r="AC40" i="8"/>
  <c r="AC113" i="8"/>
  <c r="AC111" i="8"/>
  <c r="AC109" i="8"/>
  <c r="AC107" i="8"/>
  <c r="AC105" i="8"/>
  <c r="AC103" i="8"/>
  <c r="AC101" i="8"/>
  <c r="AC99" i="8"/>
  <c r="AC130" i="8"/>
  <c r="AC128" i="8"/>
  <c r="AC126" i="8"/>
  <c r="AC124" i="8"/>
  <c r="AC120" i="8"/>
  <c r="AC121" i="8" s="1"/>
  <c r="AD258" i="8"/>
  <c r="AF235" i="8"/>
  <c r="AE233" i="8"/>
  <c r="AD217" i="8"/>
  <c r="AD231" i="8"/>
  <c r="AD229" i="8"/>
  <c r="AD223" i="8"/>
  <c r="AD248" i="8"/>
  <c r="AF30" i="8"/>
  <c r="AC219" i="8"/>
  <c r="AC217" i="8"/>
  <c r="AC215" i="8"/>
  <c r="AC235" i="8"/>
  <c r="AC233" i="8"/>
  <c r="AC231" i="8"/>
  <c r="AC229" i="8"/>
  <c r="AC227" i="8"/>
  <c r="AC225" i="8"/>
  <c r="AC223" i="8"/>
  <c r="AC221" i="8"/>
  <c r="AC252" i="8"/>
  <c r="AC250" i="8"/>
  <c r="AC248" i="8"/>
  <c r="AC246" i="8"/>
  <c r="AC244" i="8"/>
  <c r="AC242" i="8"/>
  <c r="AC240" i="8"/>
  <c r="AC141" i="8"/>
  <c r="AC139" i="8"/>
  <c r="AC137" i="8"/>
  <c r="AC258" i="8"/>
  <c r="AF215" i="8"/>
  <c r="AE215" i="8"/>
  <c r="AD219" i="8"/>
  <c r="AD235" i="8"/>
  <c r="AD225" i="8"/>
  <c r="AD221" i="8"/>
  <c r="AD250" i="8"/>
  <c r="AE30" i="8"/>
  <c r="AB52" i="8"/>
  <c r="AB50" i="8"/>
  <c r="AB48" i="8"/>
  <c r="AB46" i="8"/>
  <c r="AB44" i="8"/>
  <c r="AB101" i="8"/>
  <c r="AB99" i="8"/>
  <c r="AB128" i="8"/>
  <c r="AB42" i="8"/>
  <c r="AB40" i="8"/>
  <c r="AB113" i="8"/>
  <c r="AB111" i="8"/>
  <c r="AB109" i="8"/>
  <c r="AB107" i="8"/>
  <c r="AB105" i="8"/>
  <c r="AB103" i="8"/>
  <c r="AB130" i="8"/>
  <c r="AB126" i="8"/>
  <c r="AB124" i="8"/>
  <c r="AB120" i="8"/>
  <c r="AB121" i="8" s="1"/>
  <c r="AB217" i="8"/>
  <c r="AB215" i="8"/>
  <c r="AB235" i="8"/>
  <c r="AB233" i="8"/>
  <c r="AB231" i="8"/>
  <c r="AB229" i="8"/>
  <c r="AB227" i="8"/>
  <c r="AB225" i="8"/>
  <c r="AB223" i="8"/>
  <c r="AB221" i="8"/>
  <c r="AB252" i="8"/>
  <c r="AB250" i="8"/>
  <c r="AB248" i="8"/>
  <c r="AB246" i="8"/>
  <c r="AB244" i="8"/>
  <c r="AB242" i="8"/>
  <c r="AB240" i="8"/>
  <c r="AB141" i="8"/>
  <c r="AB139" i="8"/>
  <c r="AB137" i="8"/>
  <c r="AA130" i="8"/>
  <c r="AB258" i="8"/>
  <c r="AB219" i="8"/>
  <c r="AA258" i="8"/>
  <c r="AA225" i="8"/>
  <c r="AA124" i="8"/>
  <c r="AA240" i="8"/>
  <c r="AA44" i="8"/>
  <c r="AA113" i="8"/>
  <c r="AA101" i="8"/>
  <c r="AA252" i="8"/>
  <c r="AA126" i="8"/>
  <c r="AA215" i="8"/>
  <c r="AA227" i="8"/>
  <c r="AA217" i="8"/>
  <c r="AA229" i="8"/>
  <c r="AA242" i="8"/>
  <c r="AA46" i="8"/>
  <c r="AA103" i="8"/>
  <c r="Z8" i="8" a="1"/>
  <c r="Z8" i="8" s="1"/>
  <c r="AF24" i="8" s="1"/>
  <c r="AA23" i="8"/>
  <c r="AA128" i="8"/>
  <c r="AA22" i="8"/>
  <c r="AA219" i="8"/>
  <c r="AA231" i="8"/>
  <c r="AA244" i="8"/>
  <c r="AA137" i="8"/>
  <c r="AA48" i="8"/>
  <c r="AA105" i="8"/>
  <c r="AA233" i="8"/>
  <c r="AA221" i="8"/>
  <c r="AA246" i="8"/>
  <c r="AA139" i="8"/>
  <c r="AA50" i="8"/>
  <c r="AA107" i="8"/>
  <c r="AA120" i="8"/>
  <c r="AA121" i="8" s="1"/>
  <c r="AA223" i="8"/>
  <c r="AA248" i="8"/>
  <c r="AA141" i="8"/>
  <c r="AA52" i="8"/>
  <c r="AA40" i="8"/>
  <c r="AA109" i="8"/>
  <c r="AA235" i="8"/>
  <c r="AA250" i="8"/>
  <c r="AA42" i="8"/>
  <c r="AA111" i="8"/>
  <c r="AA99" i="8"/>
  <c r="S153" i="8"/>
  <c r="S114" i="8"/>
  <c r="Z153" i="8"/>
  <c r="T142" i="8"/>
  <c r="S236" i="8"/>
  <c r="Z253" i="8"/>
  <c r="Z14" i="8" s="1"/>
  <c r="R142" i="8"/>
  <c r="S11" i="8"/>
  <c r="Q142" i="8"/>
  <c r="T11" i="8"/>
  <c r="T253" i="8"/>
  <c r="T153" i="8"/>
  <c r="X53" i="8"/>
  <c r="S253" i="8"/>
  <c r="Y114" i="8"/>
  <c r="X114" i="8"/>
  <c r="R153" i="8"/>
  <c r="Y236" i="8"/>
  <c r="T53" i="8"/>
  <c r="Y253" i="8"/>
  <c r="Z142" i="8"/>
  <c r="Y153" i="8"/>
  <c r="R114" i="8"/>
  <c r="W114" i="8"/>
  <c r="V114" i="8"/>
  <c r="U114" i="8"/>
  <c r="T114" i="8"/>
  <c r="Q114" i="8"/>
  <c r="Z114" i="8"/>
  <c r="P114" i="8"/>
  <c r="O114" i="8"/>
  <c r="Y53" i="8"/>
  <c r="W53" i="8"/>
  <c r="V53" i="8"/>
  <c r="U53" i="8"/>
  <c r="Z53" i="8"/>
  <c r="S53" i="8"/>
  <c r="R53" i="8"/>
  <c r="Q53" i="8"/>
  <c r="P53" i="8"/>
  <c r="O53" i="8"/>
  <c r="V153" i="8"/>
  <c r="W153" i="8"/>
  <c r="U153" i="8"/>
  <c r="X153" i="8"/>
  <c r="Q153" i="8"/>
  <c r="P153" i="8"/>
  <c r="O153" i="8"/>
  <c r="P142" i="8"/>
  <c r="O142" i="8"/>
  <c r="Y142" i="8"/>
  <c r="X142" i="8"/>
  <c r="V142" i="8"/>
  <c r="U142" i="8"/>
  <c r="W142" i="8"/>
  <c r="S142" i="8"/>
  <c r="X253" i="8"/>
  <c r="W253" i="8"/>
  <c r="V253" i="8"/>
  <c r="U253" i="8"/>
  <c r="R253" i="8"/>
  <c r="Q253" i="8"/>
  <c r="P253" i="8"/>
  <c r="O253" i="8"/>
  <c r="V236" i="8"/>
  <c r="U236" i="8"/>
  <c r="T236" i="8"/>
  <c r="W236" i="8"/>
  <c r="O236" i="8"/>
  <c r="R236" i="8"/>
  <c r="Q236" i="8"/>
  <c r="Z236" i="8"/>
  <c r="Z13" i="8" s="1"/>
  <c r="P236" i="8"/>
  <c r="X236" i="8"/>
  <c r="X11" i="8"/>
  <c r="O11" i="8"/>
  <c r="W11" i="8"/>
  <c r="Y11" i="8"/>
  <c r="V11" i="8"/>
  <c r="P11" i="8"/>
  <c r="U11" i="8"/>
  <c r="R11" i="8"/>
  <c r="Q11" i="8"/>
  <c r="AB122" i="8" l="1"/>
  <c r="AB131" i="8"/>
  <c r="AH122" i="8"/>
  <c r="AH131" i="8"/>
  <c r="AK122" i="8"/>
  <c r="AK131" i="8"/>
  <c r="AD122" i="8"/>
  <c r="AD131" i="8"/>
  <c r="AG122" i="8"/>
  <c r="AG131" i="8"/>
  <c r="AI122" i="8"/>
  <c r="AI131" i="8"/>
  <c r="AC122" i="8"/>
  <c r="AC131" i="8"/>
  <c r="AF122" i="8"/>
  <c r="AF131" i="8"/>
  <c r="AJ122" i="8"/>
  <c r="AJ131" i="8"/>
  <c r="AE122" i="8"/>
  <c r="AE131" i="8"/>
  <c r="AA122" i="8"/>
  <c r="AA131" i="8"/>
  <c r="AK115" i="8"/>
  <c r="AK54" i="8"/>
  <c r="AK143" i="8"/>
  <c r="Y13" i="8"/>
  <c r="AK31" i="8" s="1"/>
  <c r="B201" i="16" s="1"/>
  <c r="AK237" i="8"/>
  <c r="Y14" i="8"/>
  <c r="AK32" i="8" s="1"/>
  <c r="AK254" i="8"/>
  <c r="AK154" i="8"/>
  <c r="AK24" i="8"/>
  <c r="B196" i="16" s="1"/>
  <c r="AJ54" i="8"/>
  <c r="AI154" i="8"/>
  <c r="AJ143" i="8"/>
  <c r="AJ115" i="8"/>
  <c r="AJ24" i="8"/>
  <c r="X13" i="8"/>
  <c r="AJ237" i="8"/>
  <c r="W14" i="8"/>
  <c r="AI254" i="8"/>
  <c r="AJ154" i="8"/>
  <c r="AI54" i="8"/>
  <c r="AI115" i="8"/>
  <c r="X14" i="8"/>
  <c r="AJ254" i="8"/>
  <c r="W13" i="8"/>
  <c r="AI237" i="8"/>
  <c r="AI24" i="8"/>
  <c r="AI143" i="8"/>
  <c r="AH54" i="8"/>
  <c r="V14" i="8"/>
  <c r="AH254" i="8"/>
  <c r="AH143" i="8"/>
  <c r="V13" i="8"/>
  <c r="AH237" i="8"/>
  <c r="AH154" i="8"/>
  <c r="AH24" i="8"/>
  <c r="AH115" i="8"/>
  <c r="U13" i="8"/>
  <c r="AG237" i="8"/>
  <c r="AG143" i="8"/>
  <c r="U14" i="8"/>
  <c r="AG254" i="8"/>
  <c r="AG54" i="8"/>
  <c r="AG115" i="8"/>
  <c r="AG24" i="8"/>
  <c r="AG154" i="8"/>
  <c r="AB24" i="8"/>
  <c r="AO23" i="8"/>
  <c r="AC54" i="8"/>
  <c r="AD24" i="8"/>
  <c r="Q14" i="8"/>
  <c r="AC254" i="8"/>
  <c r="AE115" i="8"/>
  <c r="R14" i="8"/>
  <c r="AD254" i="8"/>
  <c r="AE54" i="8"/>
  <c r="AE154" i="8"/>
  <c r="AD54" i="8"/>
  <c r="S14" i="8"/>
  <c r="AE254" i="8"/>
  <c r="AF154" i="8"/>
  <c r="AF143" i="8"/>
  <c r="AF115" i="8"/>
  <c r="Q13" i="8"/>
  <c r="AC237" i="8"/>
  <c r="AD115" i="8"/>
  <c r="T14" i="8"/>
  <c r="AF254" i="8"/>
  <c r="AE24" i="8"/>
  <c r="AC24" i="8"/>
  <c r="S13" i="8"/>
  <c r="AE237" i="8"/>
  <c r="AC154" i="8"/>
  <c r="AD154" i="8"/>
  <c r="AO30" i="8"/>
  <c r="AC115" i="8"/>
  <c r="R13" i="8"/>
  <c r="AD237" i="8"/>
  <c r="AC143" i="8"/>
  <c r="AE143" i="8"/>
  <c r="AF54" i="8"/>
  <c r="T13" i="8"/>
  <c r="AF237" i="8"/>
  <c r="AD143" i="8"/>
  <c r="AB54" i="8"/>
  <c r="P14" i="8"/>
  <c r="AB254" i="8"/>
  <c r="P13" i="8"/>
  <c r="AB237" i="8"/>
  <c r="AB154" i="8"/>
  <c r="AB143" i="8"/>
  <c r="Z9" i="8" a="1"/>
  <c r="Z9" i="8" s="1"/>
  <c r="AK25" i="8" s="1"/>
  <c r="B197" i="16" s="1"/>
  <c r="AA115" i="8"/>
  <c r="AB115" i="8"/>
  <c r="AA24" i="8"/>
  <c r="AA143" i="8"/>
  <c r="AA54" i="8"/>
  <c r="AA30" i="8"/>
  <c r="O13" i="8"/>
  <c r="AA237" i="8"/>
  <c r="O14" i="8"/>
  <c r="AA254" i="8"/>
  <c r="AA154" i="8"/>
  <c r="Y17" i="8" l="1"/>
  <c r="Y18" i="8" s="1"/>
  <c r="Y261" i="8"/>
  <c r="AJ31" i="8"/>
  <c r="AJ32" i="8"/>
  <c r="AH32" i="8"/>
  <c r="W17" i="8"/>
  <c r="W18" i="8" s="1"/>
  <c r="X261" i="8"/>
  <c r="AH31" i="8"/>
  <c r="X17" i="8"/>
  <c r="AI25" i="8"/>
  <c r="AJ25" i="8"/>
  <c r="AI31" i="8"/>
  <c r="AI32" i="8"/>
  <c r="W261" i="8"/>
  <c r="V17" i="8"/>
  <c r="V18" i="8" s="1"/>
  <c r="V261" i="8"/>
  <c r="AG25" i="8"/>
  <c r="AH25" i="8"/>
  <c r="R261" i="8"/>
  <c r="U261" i="8"/>
  <c r="U17" i="8"/>
  <c r="U18" i="8" s="1"/>
  <c r="AO24" i="8"/>
  <c r="Q17" i="8"/>
  <c r="Q18" i="8" s="1"/>
  <c r="S17" i="8"/>
  <c r="S18" i="8" s="1"/>
  <c r="R17" i="8"/>
  <c r="R18" i="8" s="1"/>
  <c r="Q261" i="8"/>
  <c r="T17" i="8"/>
  <c r="T18" i="8" s="1"/>
  <c r="T261" i="8"/>
  <c r="S261" i="8"/>
  <c r="AA25" i="8"/>
  <c r="AF25" i="8"/>
  <c r="AD25" i="8"/>
  <c r="AC25" i="8"/>
  <c r="AE25" i="8"/>
  <c r="Z10" i="8" a="1"/>
  <c r="Z10" i="8" s="1"/>
  <c r="AK27" i="8" s="1"/>
  <c r="B198" i="16" s="1"/>
  <c r="P261" i="8"/>
  <c r="P17" i="8"/>
  <c r="P18" i="8" s="1"/>
  <c r="O17" i="8"/>
  <c r="O261" i="8"/>
  <c r="M191" i="1"/>
  <c r="M200" i="1"/>
  <c r="M198" i="1"/>
  <c r="A56" i="6"/>
  <c r="M86" i="6"/>
  <c r="M149" i="1"/>
  <c r="M9" i="6"/>
  <c r="M8" i="6"/>
  <c r="M86" i="1"/>
  <c r="M87" i="1"/>
  <c r="M88" i="1"/>
  <c r="M89" i="1"/>
  <c r="M90" i="1"/>
  <c r="M91" i="1"/>
  <c r="M92" i="1"/>
  <c r="M14" i="1"/>
  <c r="S60" i="1"/>
  <c r="M47" i="1"/>
  <c r="M48" i="1"/>
  <c r="M49" i="1"/>
  <c r="M50" i="1"/>
  <c r="M51" i="1"/>
  <c r="M52" i="1"/>
  <c r="M53" i="1"/>
  <c r="M54" i="1"/>
  <c r="AJ27" i="8" l="1"/>
  <c r="AI27" i="8"/>
  <c r="X18" i="8"/>
  <c r="AG27" i="8"/>
  <c r="AH27" i="8"/>
  <c r="AO25" i="8"/>
  <c r="AC27" i="8"/>
  <c r="AE27" i="8"/>
  <c r="AD27" i="8"/>
  <c r="AF27" i="8"/>
  <c r="Z11" i="8" a="1"/>
  <c r="Z11" i="8" s="1"/>
  <c r="AA27" i="8"/>
  <c r="O18" i="8"/>
  <c r="AO27" i="8" l="1"/>
  <c r="AG31" i="8"/>
  <c r="AA29" i="8"/>
  <c r="M25" i="1"/>
  <c r="AF31" i="8" l="1"/>
  <c r="AC31" i="8"/>
  <c r="AD31" i="8"/>
  <c r="AE31" i="8"/>
  <c r="AG32" i="8"/>
  <c r="AA31" i="8"/>
  <c r="R218"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B16" i="8" a="1"/>
  <c r="B16" i="8" s="1"/>
  <c r="C18" i="16"/>
  <c r="C17" i="16"/>
  <c r="C16" i="16"/>
  <c r="B39" i="8" a="1"/>
  <c r="B39" i="8" s="1"/>
  <c r="C39" i="8" a="1"/>
  <c r="C39" i="8" s="1"/>
  <c r="D39" i="8" a="1"/>
  <c r="D39" i="8" s="1"/>
  <c r="E39" i="8" a="1"/>
  <c r="E39" i="8" s="1"/>
  <c r="F39" i="8" a="1"/>
  <c r="F39" i="8" s="1"/>
  <c r="G39" i="8" a="1"/>
  <c r="G39" i="8" s="1"/>
  <c r="H39" i="8" a="1"/>
  <c r="H39" i="8" s="1"/>
  <c r="I39" i="8" a="1"/>
  <c r="I39" i="8" s="1"/>
  <c r="J39" i="8" a="1"/>
  <c r="J39" i="8" s="1"/>
  <c r="K39" i="8" a="1"/>
  <c r="K39" i="8" s="1"/>
  <c r="L39" i="8" a="1"/>
  <c r="L39" i="8" s="1"/>
  <c r="M39" i="8" a="1"/>
  <c r="M39" i="8" s="1"/>
  <c r="N39" i="8" a="1"/>
  <c r="N39" i="8" s="1"/>
  <c r="Z40" i="8" s="1"/>
  <c r="B41" i="8" a="1"/>
  <c r="B41" i="8" s="1"/>
  <c r="C41" i="8" a="1"/>
  <c r="C41" i="8" s="1"/>
  <c r="D41" i="8" a="1"/>
  <c r="D41" i="8" s="1"/>
  <c r="E41" i="8" a="1"/>
  <c r="E41" i="8" s="1"/>
  <c r="F41" i="8" a="1"/>
  <c r="F41" i="8" s="1"/>
  <c r="G41" i="8" a="1"/>
  <c r="G41" i="8" s="1"/>
  <c r="H41" i="8" a="1"/>
  <c r="H41" i="8" s="1"/>
  <c r="I41" i="8" a="1"/>
  <c r="I41" i="8" s="1"/>
  <c r="J41" i="8" a="1"/>
  <c r="J41" i="8" s="1"/>
  <c r="K41" i="8" a="1"/>
  <c r="K41" i="8" s="1"/>
  <c r="L41" i="8" a="1"/>
  <c r="L41" i="8" s="1"/>
  <c r="M41" i="8" a="1"/>
  <c r="M41" i="8" s="1"/>
  <c r="N41" i="8" a="1"/>
  <c r="N41" i="8" s="1"/>
  <c r="Z42" i="8" s="1"/>
  <c r="B43" i="8" a="1"/>
  <c r="B43" i="8" s="1"/>
  <c r="C43" i="8" a="1"/>
  <c r="C43" i="8" s="1"/>
  <c r="D43" i="8" a="1"/>
  <c r="D43" i="8" s="1"/>
  <c r="E43" i="8" a="1"/>
  <c r="E43" i="8" s="1"/>
  <c r="F43" i="8" a="1"/>
  <c r="F43" i="8" s="1"/>
  <c r="G43" i="8" a="1"/>
  <c r="G43" i="8" s="1"/>
  <c r="H43" i="8" a="1"/>
  <c r="H43" i="8" s="1"/>
  <c r="I43" i="8" a="1"/>
  <c r="I43" i="8" s="1"/>
  <c r="J43" i="8" a="1"/>
  <c r="J43" i="8" s="1"/>
  <c r="K43" i="8" a="1"/>
  <c r="K43" i="8" s="1"/>
  <c r="L43" i="8" a="1"/>
  <c r="L43" i="8" s="1"/>
  <c r="M43" i="8" a="1"/>
  <c r="M43" i="8" s="1"/>
  <c r="N43" i="8" a="1"/>
  <c r="N43" i="8" s="1"/>
  <c r="Z44" i="8" s="1"/>
  <c r="B45" i="8" a="1"/>
  <c r="B45" i="8" s="1"/>
  <c r="C45" i="8" a="1"/>
  <c r="C45" i="8" s="1"/>
  <c r="D45" i="8" a="1"/>
  <c r="D45" i="8" s="1"/>
  <c r="E45" i="8" a="1"/>
  <c r="E45" i="8" s="1"/>
  <c r="F45" i="8" a="1"/>
  <c r="F45" i="8" s="1"/>
  <c r="G45" i="8" a="1"/>
  <c r="G45" i="8" s="1"/>
  <c r="H45" i="8" a="1"/>
  <c r="H45" i="8" s="1"/>
  <c r="I45" i="8" a="1"/>
  <c r="I45" i="8" s="1"/>
  <c r="J45" i="8" a="1"/>
  <c r="J45" i="8" s="1"/>
  <c r="K45" i="8" a="1"/>
  <c r="K45" i="8" s="1"/>
  <c r="L45" i="8" a="1"/>
  <c r="L45" i="8" s="1"/>
  <c r="M45" i="8" a="1"/>
  <c r="M45" i="8" s="1"/>
  <c r="N45" i="8" a="1"/>
  <c r="N45" i="8" s="1"/>
  <c r="Z46" i="8" s="1"/>
  <c r="B47" i="8" a="1"/>
  <c r="B47" i="8" s="1"/>
  <c r="C47" i="8" a="1"/>
  <c r="C47" i="8" s="1"/>
  <c r="D47" i="8" a="1"/>
  <c r="D47" i="8" s="1"/>
  <c r="E47" i="8" a="1"/>
  <c r="E47" i="8" s="1"/>
  <c r="F47" i="8" a="1"/>
  <c r="F47" i="8" s="1"/>
  <c r="G47" i="8" a="1"/>
  <c r="G47" i="8" s="1"/>
  <c r="H47" i="8" a="1"/>
  <c r="H47" i="8" s="1"/>
  <c r="I47" i="8" a="1"/>
  <c r="I47" i="8" s="1"/>
  <c r="J47" i="8" a="1"/>
  <c r="J47" i="8" s="1"/>
  <c r="K47" i="8" a="1"/>
  <c r="K47" i="8" s="1"/>
  <c r="L47" i="8" a="1"/>
  <c r="L47" i="8" s="1"/>
  <c r="M47" i="8" a="1"/>
  <c r="M47" i="8" s="1"/>
  <c r="N47" i="8" a="1"/>
  <c r="N47" i="8" s="1"/>
  <c r="Z48" i="8" s="1"/>
  <c r="B49" i="8" a="1"/>
  <c r="B49" i="8" s="1"/>
  <c r="C49" i="8" a="1"/>
  <c r="C49" i="8" s="1"/>
  <c r="D49" i="8" a="1"/>
  <c r="D49" i="8" s="1"/>
  <c r="E49" i="8" a="1"/>
  <c r="E49" i="8" s="1"/>
  <c r="F49" i="8" a="1"/>
  <c r="F49" i="8" s="1"/>
  <c r="G49" i="8" a="1"/>
  <c r="G49" i="8" s="1"/>
  <c r="H49" i="8" a="1"/>
  <c r="H49" i="8" s="1"/>
  <c r="I49" i="8" a="1"/>
  <c r="I49" i="8" s="1"/>
  <c r="J49" i="8" a="1"/>
  <c r="J49" i="8" s="1"/>
  <c r="K49" i="8" a="1"/>
  <c r="K49" i="8" s="1"/>
  <c r="L49" i="8" a="1"/>
  <c r="L49" i="8" s="1"/>
  <c r="M49" i="8" a="1"/>
  <c r="M49" i="8" s="1"/>
  <c r="N49" i="8" a="1"/>
  <c r="N49" i="8" s="1"/>
  <c r="Z50" i="8" s="1"/>
  <c r="B51" i="8" a="1"/>
  <c r="B51" i="8" s="1"/>
  <c r="C51" i="8" a="1"/>
  <c r="C51" i="8" s="1"/>
  <c r="D51" i="8" a="1"/>
  <c r="D51" i="8" s="1"/>
  <c r="E51" i="8" a="1"/>
  <c r="E51" i="8" s="1"/>
  <c r="F51" i="8" a="1"/>
  <c r="F51" i="8" s="1"/>
  <c r="G51" i="8" a="1"/>
  <c r="G51" i="8" s="1"/>
  <c r="H51" i="8" a="1"/>
  <c r="H51" i="8" s="1"/>
  <c r="I51" i="8" a="1"/>
  <c r="I51" i="8" s="1"/>
  <c r="J51" i="8" a="1"/>
  <c r="J51" i="8" s="1"/>
  <c r="K51" i="8" a="1"/>
  <c r="K51" i="8" s="1"/>
  <c r="L51" i="8" a="1"/>
  <c r="L51" i="8" s="1"/>
  <c r="M51" i="8" a="1"/>
  <c r="M51" i="8" s="1"/>
  <c r="N51" i="8" a="1"/>
  <c r="N51" i="8" s="1"/>
  <c r="Z52" i="8" s="1"/>
  <c r="B98" i="8" a="1"/>
  <c r="B98" i="8" s="1"/>
  <c r="C98" i="8" a="1"/>
  <c r="C98" i="8" s="1"/>
  <c r="D98" i="8" a="1"/>
  <c r="D98" i="8" s="1"/>
  <c r="E98" i="8" a="1"/>
  <c r="E98" i="8" s="1"/>
  <c r="F98" i="8" a="1"/>
  <c r="F98" i="8" s="1"/>
  <c r="G98" i="8" a="1"/>
  <c r="G98" i="8" s="1"/>
  <c r="H98" i="8" a="1"/>
  <c r="H98" i="8" s="1"/>
  <c r="I98" i="8" a="1"/>
  <c r="I98" i="8" s="1"/>
  <c r="J98" i="8" a="1"/>
  <c r="J98" i="8" s="1"/>
  <c r="K98" i="8" a="1"/>
  <c r="K98" i="8" s="1"/>
  <c r="L98" i="8" a="1"/>
  <c r="L98" i="8" s="1"/>
  <c r="M98" i="8" a="1"/>
  <c r="M98" i="8" s="1"/>
  <c r="N98" i="8" a="1"/>
  <c r="N98" i="8" s="1"/>
  <c r="Z99" i="8" s="1"/>
  <c r="B100" i="8" a="1"/>
  <c r="B100" i="8" s="1"/>
  <c r="C100" i="8" a="1"/>
  <c r="C100" i="8" s="1"/>
  <c r="D100" i="8" a="1"/>
  <c r="D100" i="8" s="1"/>
  <c r="E100" i="8" a="1"/>
  <c r="E100" i="8" s="1"/>
  <c r="F100" i="8" a="1"/>
  <c r="F100" i="8" s="1"/>
  <c r="G100" i="8" a="1"/>
  <c r="G100" i="8" s="1"/>
  <c r="H100" i="8" a="1"/>
  <c r="H100" i="8" s="1"/>
  <c r="I100" i="8" a="1"/>
  <c r="I100" i="8" s="1"/>
  <c r="J100" i="8" a="1"/>
  <c r="J100" i="8" s="1"/>
  <c r="K100" i="8" a="1"/>
  <c r="K100" i="8" s="1"/>
  <c r="L100" i="8" a="1"/>
  <c r="L100" i="8" s="1"/>
  <c r="M100" i="8" a="1"/>
  <c r="M100" i="8" s="1"/>
  <c r="N100" i="8" a="1"/>
  <c r="N100" i="8" s="1"/>
  <c r="Z101" i="8" s="1"/>
  <c r="B102" i="8" a="1"/>
  <c r="B102" i="8" s="1"/>
  <c r="C102" i="8" a="1"/>
  <c r="C102" i="8" s="1"/>
  <c r="D102" i="8" a="1"/>
  <c r="D102" i="8" s="1"/>
  <c r="E102" i="8" a="1"/>
  <c r="E102" i="8" s="1"/>
  <c r="F102" i="8" a="1"/>
  <c r="F102" i="8" s="1"/>
  <c r="G102" i="8" a="1"/>
  <c r="G102" i="8" s="1"/>
  <c r="H102" i="8" a="1"/>
  <c r="H102" i="8" s="1"/>
  <c r="I102" i="8" a="1"/>
  <c r="I102" i="8" s="1"/>
  <c r="J102" i="8" a="1"/>
  <c r="J102" i="8" s="1"/>
  <c r="K102" i="8" a="1"/>
  <c r="K102" i="8" s="1"/>
  <c r="L102" i="8" a="1"/>
  <c r="L102" i="8" s="1"/>
  <c r="M102" i="8" a="1"/>
  <c r="M102" i="8" s="1"/>
  <c r="N102" i="8" a="1"/>
  <c r="N102" i="8" s="1"/>
  <c r="Z103" i="8" s="1"/>
  <c r="B104" i="8" a="1"/>
  <c r="B104" i="8" s="1"/>
  <c r="C104" i="8" a="1"/>
  <c r="C104" i="8" s="1"/>
  <c r="D104" i="8" a="1"/>
  <c r="D104" i="8" s="1"/>
  <c r="E104" i="8" a="1"/>
  <c r="E104" i="8" s="1"/>
  <c r="F104" i="8" a="1"/>
  <c r="F104" i="8" s="1"/>
  <c r="G104" i="8" a="1"/>
  <c r="G104" i="8" s="1"/>
  <c r="H104" i="8" a="1"/>
  <c r="H104" i="8" s="1"/>
  <c r="I104" i="8" a="1"/>
  <c r="I104" i="8" s="1"/>
  <c r="J104" i="8" a="1"/>
  <c r="J104" i="8" s="1"/>
  <c r="K104" i="8" a="1"/>
  <c r="K104" i="8" s="1"/>
  <c r="L104" i="8" a="1"/>
  <c r="L104" i="8" s="1"/>
  <c r="M104" i="8" a="1"/>
  <c r="M104" i="8" s="1"/>
  <c r="N104" i="8" a="1"/>
  <c r="N104" i="8" s="1"/>
  <c r="Z105" i="8" s="1"/>
  <c r="B106" i="8" a="1"/>
  <c r="B106" i="8" s="1"/>
  <c r="C106" i="8" a="1"/>
  <c r="C106" i="8" s="1"/>
  <c r="D106" i="8" a="1"/>
  <c r="D106" i="8" s="1"/>
  <c r="E106" i="8" a="1"/>
  <c r="E106" i="8" s="1"/>
  <c r="F106" i="8" a="1"/>
  <c r="F106" i="8" s="1"/>
  <c r="G106" i="8" a="1"/>
  <c r="G106" i="8" s="1"/>
  <c r="H106" i="8" a="1"/>
  <c r="H106" i="8" s="1"/>
  <c r="I106" i="8" a="1"/>
  <c r="I106" i="8" s="1"/>
  <c r="J106" i="8" a="1"/>
  <c r="J106" i="8" s="1"/>
  <c r="K106" i="8" a="1"/>
  <c r="K106" i="8" s="1"/>
  <c r="L106" i="8" a="1"/>
  <c r="L106" i="8" s="1"/>
  <c r="M106" i="8" a="1"/>
  <c r="M106" i="8" s="1"/>
  <c r="N106" i="8" a="1"/>
  <c r="N106" i="8" s="1"/>
  <c r="Z107" i="8" s="1"/>
  <c r="B108" i="8" a="1"/>
  <c r="B108" i="8" s="1"/>
  <c r="C108" i="8" a="1"/>
  <c r="C108" i="8" s="1"/>
  <c r="D108" i="8" a="1"/>
  <c r="D108" i="8" s="1"/>
  <c r="E108" i="8" a="1"/>
  <c r="E108" i="8" s="1"/>
  <c r="F108" i="8" a="1"/>
  <c r="F108" i="8" s="1"/>
  <c r="G108" i="8" a="1"/>
  <c r="G108" i="8" s="1"/>
  <c r="H108" i="8" a="1"/>
  <c r="H108" i="8" s="1"/>
  <c r="I108" i="8" a="1"/>
  <c r="I108" i="8" s="1"/>
  <c r="J108" i="8" a="1"/>
  <c r="J108" i="8" s="1"/>
  <c r="K108" i="8" a="1"/>
  <c r="K108" i="8" s="1"/>
  <c r="L108" i="8" a="1"/>
  <c r="L108" i="8" s="1"/>
  <c r="M108" i="8" a="1"/>
  <c r="M108" i="8" s="1"/>
  <c r="N108" i="8" a="1"/>
  <c r="N108" i="8" s="1"/>
  <c r="Z109" i="8" s="1"/>
  <c r="B110" i="8" a="1"/>
  <c r="B110" i="8" s="1"/>
  <c r="C110" i="8" a="1"/>
  <c r="C110" i="8" s="1"/>
  <c r="D110" i="8" a="1"/>
  <c r="D110" i="8" s="1"/>
  <c r="E110" i="8" a="1"/>
  <c r="E110" i="8" s="1"/>
  <c r="F110" i="8" a="1"/>
  <c r="F110" i="8" s="1"/>
  <c r="G110" i="8" a="1"/>
  <c r="G110" i="8" s="1"/>
  <c r="H110" i="8" a="1"/>
  <c r="H110" i="8" s="1"/>
  <c r="I110" i="8" a="1"/>
  <c r="I110" i="8" s="1"/>
  <c r="J110" i="8" a="1"/>
  <c r="J110" i="8" s="1"/>
  <c r="K110" i="8" a="1"/>
  <c r="K110" i="8" s="1"/>
  <c r="L110" i="8" a="1"/>
  <c r="L110" i="8" s="1"/>
  <c r="M110" i="8" a="1"/>
  <c r="M110" i="8" s="1"/>
  <c r="N110" i="8" a="1"/>
  <c r="N110" i="8" s="1"/>
  <c r="Z111" i="8" s="1"/>
  <c r="B112" i="8" a="1"/>
  <c r="B112" i="8" s="1"/>
  <c r="C112" i="8" a="1"/>
  <c r="C112" i="8" s="1"/>
  <c r="D112" i="8" a="1"/>
  <c r="D112" i="8" s="1"/>
  <c r="E112" i="8" a="1"/>
  <c r="E112" i="8" s="1"/>
  <c r="F112" i="8" a="1"/>
  <c r="F112" i="8" s="1"/>
  <c r="G112" i="8" a="1"/>
  <c r="G112" i="8" s="1"/>
  <c r="H112" i="8" a="1"/>
  <c r="H112" i="8" s="1"/>
  <c r="I112" i="8" a="1"/>
  <c r="I112" i="8" s="1"/>
  <c r="J112" i="8" a="1"/>
  <c r="J112" i="8" s="1"/>
  <c r="K112" i="8" a="1"/>
  <c r="K112" i="8" s="1"/>
  <c r="L112" i="8" a="1"/>
  <c r="L112" i="8" s="1"/>
  <c r="M112" i="8" a="1"/>
  <c r="M112" i="8" s="1"/>
  <c r="N112" i="8" a="1"/>
  <c r="N112" i="8" s="1"/>
  <c r="Z113" i="8" s="1"/>
  <c r="B119" i="8" a="1"/>
  <c r="B119" i="8" s="1"/>
  <c r="C119" i="8" a="1"/>
  <c r="C119" i="8" s="1"/>
  <c r="D119" i="8" a="1"/>
  <c r="D119" i="8" s="1"/>
  <c r="E119" i="8" a="1"/>
  <c r="E119" i="8" s="1"/>
  <c r="F119" i="8" a="1"/>
  <c r="F119" i="8" s="1"/>
  <c r="G119" i="8" a="1"/>
  <c r="G119" i="8" s="1"/>
  <c r="H119" i="8" a="1"/>
  <c r="H119" i="8" s="1"/>
  <c r="I119" i="8" a="1"/>
  <c r="I119" i="8" s="1"/>
  <c r="J119" i="8" a="1"/>
  <c r="J119" i="8" s="1"/>
  <c r="K119" i="8" a="1"/>
  <c r="K119" i="8" s="1"/>
  <c r="L119" i="8" a="1"/>
  <c r="L119" i="8" s="1"/>
  <c r="M119" i="8" a="1"/>
  <c r="M119" i="8" s="1"/>
  <c r="N119" i="8" a="1"/>
  <c r="N119" i="8" s="1"/>
  <c r="Z120" i="8" s="1"/>
  <c r="Z121" i="8" s="1"/>
  <c r="B123" i="8" a="1"/>
  <c r="B123" i="8" s="1"/>
  <c r="C123" i="8" a="1"/>
  <c r="C123" i="8" s="1"/>
  <c r="D123" i="8" a="1"/>
  <c r="D123" i="8" s="1"/>
  <c r="E123" i="8" a="1"/>
  <c r="E123" i="8" s="1"/>
  <c r="F123" i="8" a="1"/>
  <c r="F123" i="8" s="1"/>
  <c r="G123" i="8" a="1"/>
  <c r="G123" i="8" s="1"/>
  <c r="H123" i="8" a="1"/>
  <c r="H123" i="8" s="1"/>
  <c r="I123" i="8" a="1"/>
  <c r="I123" i="8" s="1"/>
  <c r="J123" i="8" a="1"/>
  <c r="J123" i="8" s="1"/>
  <c r="K123" i="8" a="1"/>
  <c r="K123" i="8" s="1"/>
  <c r="L123" i="8" a="1"/>
  <c r="L123" i="8" s="1"/>
  <c r="M123" i="8" a="1"/>
  <c r="M123" i="8" s="1"/>
  <c r="N123" i="8" a="1"/>
  <c r="N123" i="8" s="1"/>
  <c r="Z124" i="8" s="1"/>
  <c r="B125" i="8" a="1"/>
  <c r="B125" i="8" s="1"/>
  <c r="C125" i="8" a="1"/>
  <c r="C125" i="8" s="1"/>
  <c r="D125" i="8" a="1"/>
  <c r="D125" i="8" s="1"/>
  <c r="E125" i="8" a="1"/>
  <c r="E125" i="8" s="1"/>
  <c r="F125" i="8" a="1"/>
  <c r="F125" i="8" s="1"/>
  <c r="G125" i="8" a="1"/>
  <c r="G125" i="8" s="1"/>
  <c r="H125" i="8" a="1"/>
  <c r="H125" i="8" s="1"/>
  <c r="I125" i="8" a="1"/>
  <c r="I125" i="8" s="1"/>
  <c r="J125" i="8" a="1"/>
  <c r="J125" i="8" s="1"/>
  <c r="K125" i="8" a="1"/>
  <c r="K125" i="8" s="1"/>
  <c r="L125" i="8" a="1"/>
  <c r="L125" i="8" s="1"/>
  <c r="M125" i="8" a="1"/>
  <c r="M125" i="8" s="1"/>
  <c r="N125" i="8" a="1"/>
  <c r="N125" i="8" s="1"/>
  <c r="Z126" i="8" s="1"/>
  <c r="B127" i="8" a="1"/>
  <c r="B127" i="8" s="1"/>
  <c r="C127" i="8" a="1"/>
  <c r="C127" i="8" s="1"/>
  <c r="D127" i="8" a="1"/>
  <c r="D127" i="8" s="1"/>
  <c r="E127" i="8" a="1"/>
  <c r="E127" i="8" s="1"/>
  <c r="F127" i="8" a="1"/>
  <c r="F127" i="8" s="1"/>
  <c r="G127" i="8" a="1"/>
  <c r="G127" i="8" s="1"/>
  <c r="H127" i="8" a="1"/>
  <c r="H127" i="8" s="1"/>
  <c r="I127" i="8" a="1"/>
  <c r="I127" i="8" s="1"/>
  <c r="J127" i="8" a="1"/>
  <c r="J127" i="8" s="1"/>
  <c r="K127" i="8" a="1"/>
  <c r="K127" i="8" s="1"/>
  <c r="L127" i="8" a="1"/>
  <c r="L127" i="8" s="1"/>
  <c r="M127" i="8" a="1"/>
  <c r="M127" i="8" s="1"/>
  <c r="N127" i="8" a="1"/>
  <c r="N127" i="8" s="1"/>
  <c r="Z128" i="8" s="1"/>
  <c r="B129" i="8" a="1"/>
  <c r="B129" i="8" s="1"/>
  <c r="C129" i="8" a="1"/>
  <c r="C129" i="8" s="1"/>
  <c r="D129" i="8" a="1"/>
  <c r="D129" i="8" s="1"/>
  <c r="E129" i="8" a="1"/>
  <c r="E129" i="8" s="1"/>
  <c r="F129" i="8" a="1"/>
  <c r="F129" i="8" s="1"/>
  <c r="G129" i="8" a="1"/>
  <c r="G129" i="8" s="1"/>
  <c r="H129" i="8" a="1"/>
  <c r="H129" i="8" s="1"/>
  <c r="I129" i="8" a="1"/>
  <c r="I129" i="8" s="1"/>
  <c r="J129" i="8" a="1"/>
  <c r="J129" i="8" s="1"/>
  <c r="K129" i="8" a="1"/>
  <c r="K129" i="8" s="1"/>
  <c r="L129" i="8" a="1"/>
  <c r="L129" i="8" s="1"/>
  <c r="M129" i="8" a="1"/>
  <c r="M129" i="8" s="1"/>
  <c r="N129" i="8" a="1"/>
  <c r="N129" i="8" s="1"/>
  <c r="Z130" i="8" s="1"/>
  <c r="B136" i="8" a="1"/>
  <c r="B136" i="8" s="1"/>
  <c r="C136" i="8" a="1"/>
  <c r="C136" i="8" s="1"/>
  <c r="D136" i="8" a="1"/>
  <c r="D136" i="8" s="1"/>
  <c r="E136" i="8" a="1"/>
  <c r="E136" i="8" s="1"/>
  <c r="F136" i="8" a="1"/>
  <c r="F136" i="8" s="1"/>
  <c r="G136" i="8" a="1"/>
  <c r="G136" i="8" s="1"/>
  <c r="H136" i="8" a="1"/>
  <c r="H136" i="8" s="1"/>
  <c r="I136" i="8" a="1"/>
  <c r="I136" i="8" s="1"/>
  <c r="J136" i="8" a="1"/>
  <c r="J136" i="8" s="1"/>
  <c r="K136" i="8" a="1"/>
  <c r="K136" i="8" s="1"/>
  <c r="L136" i="8" a="1"/>
  <c r="L136" i="8" s="1"/>
  <c r="M136" i="8" a="1"/>
  <c r="M136" i="8" s="1"/>
  <c r="N136" i="8" a="1"/>
  <c r="N136" i="8" s="1"/>
  <c r="Z137" i="8" s="1"/>
  <c r="B138" i="8" a="1"/>
  <c r="B138" i="8" s="1"/>
  <c r="C138" i="8" a="1"/>
  <c r="C138" i="8" s="1"/>
  <c r="D138" i="8" a="1"/>
  <c r="D138" i="8" s="1"/>
  <c r="E138" i="8" a="1"/>
  <c r="E138" i="8" s="1"/>
  <c r="F138" i="8" a="1"/>
  <c r="F138" i="8" s="1"/>
  <c r="G138" i="8" a="1"/>
  <c r="G138" i="8" s="1"/>
  <c r="H138" i="8" a="1"/>
  <c r="H138" i="8" s="1"/>
  <c r="I138" i="8" a="1"/>
  <c r="I138" i="8" s="1"/>
  <c r="J138" i="8" a="1"/>
  <c r="J138" i="8" s="1"/>
  <c r="K138" i="8" a="1"/>
  <c r="K138" i="8" s="1"/>
  <c r="L138" i="8" a="1"/>
  <c r="L138" i="8" s="1"/>
  <c r="M138" i="8" a="1"/>
  <c r="M138" i="8" s="1"/>
  <c r="N138" i="8" a="1"/>
  <c r="N138" i="8" s="1"/>
  <c r="Z139" i="8" s="1"/>
  <c r="B140" i="8" a="1"/>
  <c r="B140" i="8" s="1"/>
  <c r="B141" i="8" s="1"/>
  <c r="C140" i="8" a="1"/>
  <c r="C140" i="8" s="1"/>
  <c r="D140" i="8" a="1"/>
  <c r="D140" i="8" s="1"/>
  <c r="E140" i="8" a="1"/>
  <c r="E140" i="8" s="1"/>
  <c r="F140" i="8" a="1"/>
  <c r="F140" i="8" s="1"/>
  <c r="G140" i="8" a="1"/>
  <c r="G140" i="8" s="1"/>
  <c r="H140" i="8" a="1"/>
  <c r="H140" i="8" s="1"/>
  <c r="I140" i="8" a="1"/>
  <c r="I140" i="8" s="1"/>
  <c r="J140" i="8" a="1"/>
  <c r="J140" i="8" s="1"/>
  <c r="K140" i="8" a="1"/>
  <c r="K140" i="8" s="1"/>
  <c r="L140" i="8" a="1"/>
  <c r="L140" i="8" s="1"/>
  <c r="M140" i="8" a="1"/>
  <c r="M140" i="8" s="1"/>
  <c r="N140" i="8" a="1"/>
  <c r="N140" i="8" s="1"/>
  <c r="Z141" i="8" s="1"/>
  <c r="B147" i="8" a="1"/>
  <c r="B147" i="8" s="1"/>
  <c r="B148" i="8" s="1"/>
  <c r="C147" i="8" a="1"/>
  <c r="C147" i="8" s="1"/>
  <c r="C148" i="8" s="1"/>
  <c r="D147" i="8" a="1"/>
  <c r="D147" i="8" s="1"/>
  <c r="D148" i="8" s="1"/>
  <c r="E147" i="8" a="1"/>
  <c r="E147" i="8" s="1"/>
  <c r="E148" i="8" s="1"/>
  <c r="F147" i="8" a="1"/>
  <c r="F147" i="8" s="1"/>
  <c r="F148" i="8" s="1"/>
  <c r="G147" i="8" a="1"/>
  <c r="G147" i="8" s="1"/>
  <c r="G148" i="8" s="1"/>
  <c r="H147" i="8" a="1"/>
  <c r="H147" i="8" s="1"/>
  <c r="H148" i="8" s="1"/>
  <c r="I147" i="8" a="1"/>
  <c r="I147" i="8" s="1"/>
  <c r="I148" i="8" s="1"/>
  <c r="J147" i="8" a="1"/>
  <c r="J147" i="8" s="1"/>
  <c r="J148" i="8" s="1"/>
  <c r="K147" i="8" a="1"/>
  <c r="K147" i="8" s="1"/>
  <c r="K148" i="8" s="1"/>
  <c r="L147" i="8" a="1"/>
  <c r="L147" i="8" s="1"/>
  <c r="L148" i="8" s="1"/>
  <c r="M147" i="8" a="1"/>
  <c r="M147" i="8" s="1"/>
  <c r="M148" i="8" s="1"/>
  <c r="N147" i="8" a="1"/>
  <c r="N147" i="8" s="1"/>
  <c r="N148" i="8" s="1"/>
  <c r="B149" i="8" a="1"/>
  <c r="B149" i="8" s="1"/>
  <c r="B150" i="8" s="1"/>
  <c r="C149" i="8" a="1"/>
  <c r="C149" i="8" s="1"/>
  <c r="C150" i="8" s="1"/>
  <c r="D149" i="8" a="1"/>
  <c r="D149" i="8" s="1"/>
  <c r="D150" i="8" s="1"/>
  <c r="E149" i="8" a="1"/>
  <c r="E149" i="8" s="1"/>
  <c r="E150" i="8" s="1"/>
  <c r="F149" i="8" a="1"/>
  <c r="F149" i="8" s="1"/>
  <c r="F150" i="8" s="1"/>
  <c r="G149" i="8" a="1"/>
  <c r="G149" i="8" s="1"/>
  <c r="G150" i="8" s="1"/>
  <c r="H149" i="8" a="1"/>
  <c r="H149" i="8" s="1"/>
  <c r="H150" i="8" s="1"/>
  <c r="I149" i="8" a="1"/>
  <c r="I149" i="8" s="1"/>
  <c r="I150" i="8" s="1"/>
  <c r="J149" i="8" a="1"/>
  <c r="J149" i="8" s="1"/>
  <c r="J150" i="8" s="1"/>
  <c r="K149" i="8" a="1"/>
  <c r="K149" i="8" s="1"/>
  <c r="K150" i="8" s="1"/>
  <c r="L149" i="8" a="1"/>
  <c r="L149" i="8" s="1"/>
  <c r="L150" i="8" s="1"/>
  <c r="M149" i="8" a="1"/>
  <c r="M149" i="8" s="1"/>
  <c r="M150" i="8" s="1"/>
  <c r="N149" i="8" a="1"/>
  <c r="N149" i="8" s="1"/>
  <c r="N150" i="8" s="1"/>
  <c r="B151" i="8" a="1"/>
  <c r="B151" i="8" s="1"/>
  <c r="B152" i="8" s="1"/>
  <c r="C151" i="8" a="1"/>
  <c r="C151" i="8" s="1"/>
  <c r="C152" i="8" s="1"/>
  <c r="D151" i="8" a="1"/>
  <c r="D151" i="8" s="1"/>
  <c r="D152" i="8" s="1"/>
  <c r="E151" i="8" a="1"/>
  <c r="E151" i="8" s="1"/>
  <c r="E152" i="8" s="1"/>
  <c r="F151" i="8" a="1"/>
  <c r="F151" i="8" s="1"/>
  <c r="F152" i="8" s="1"/>
  <c r="G151" i="8" a="1"/>
  <c r="G151" i="8" s="1"/>
  <c r="G152" i="8" s="1"/>
  <c r="H151" i="8" a="1"/>
  <c r="H151" i="8" s="1"/>
  <c r="H152" i="8" s="1"/>
  <c r="I151" i="8" a="1"/>
  <c r="I151" i="8" s="1"/>
  <c r="I152" i="8" s="1"/>
  <c r="J151" i="8" a="1"/>
  <c r="J151" i="8" s="1"/>
  <c r="J152" i="8" s="1"/>
  <c r="K151" i="8" a="1"/>
  <c r="K151" i="8" s="1"/>
  <c r="K152" i="8" s="1"/>
  <c r="L151" i="8" a="1"/>
  <c r="L151" i="8" s="1"/>
  <c r="L152" i="8" s="1"/>
  <c r="M151" i="8" a="1"/>
  <c r="M151" i="8" s="1"/>
  <c r="M152" i="8" s="1"/>
  <c r="N151" i="8" a="1"/>
  <c r="N151" i="8" s="1"/>
  <c r="N152" i="8" s="1"/>
  <c r="B239" i="8" a="1"/>
  <c r="B239" i="8" s="1"/>
  <c r="C239" i="8" a="1"/>
  <c r="C239" i="8" s="1"/>
  <c r="D239" i="8" a="1"/>
  <c r="D239" i="8" s="1"/>
  <c r="E239" i="8" a="1"/>
  <c r="E239" i="8" s="1"/>
  <c r="F239" i="8" a="1"/>
  <c r="F239" i="8" s="1"/>
  <c r="G239" i="8" a="1"/>
  <c r="G239" i="8" s="1"/>
  <c r="H239" i="8" a="1"/>
  <c r="H239" i="8" s="1"/>
  <c r="I239" i="8" a="1"/>
  <c r="I239" i="8" s="1"/>
  <c r="J239" i="8" a="1"/>
  <c r="J239" i="8" s="1"/>
  <c r="K239" i="8" a="1"/>
  <c r="K239" i="8" s="1"/>
  <c r="L239" i="8" a="1"/>
  <c r="L239" i="8" s="1"/>
  <c r="M239" i="8" a="1"/>
  <c r="M239" i="8" s="1"/>
  <c r="N239" i="8" a="1"/>
  <c r="N239" i="8" s="1"/>
  <c r="Z240" i="8" s="1"/>
  <c r="B241" i="8" a="1"/>
  <c r="B241" i="8" s="1"/>
  <c r="C241" i="8" a="1"/>
  <c r="C241" i="8" s="1"/>
  <c r="D241" i="8" a="1"/>
  <c r="D241" i="8" s="1"/>
  <c r="E241" i="8" a="1"/>
  <c r="E241" i="8" s="1"/>
  <c r="F241" i="8" a="1"/>
  <c r="F241" i="8" s="1"/>
  <c r="G241" i="8" a="1"/>
  <c r="G241" i="8" s="1"/>
  <c r="H241" i="8" a="1"/>
  <c r="H241" i="8" s="1"/>
  <c r="I241" i="8" a="1"/>
  <c r="I241" i="8" s="1"/>
  <c r="J241" i="8" a="1"/>
  <c r="J241" i="8" s="1"/>
  <c r="K241" i="8" a="1"/>
  <c r="K241" i="8" s="1"/>
  <c r="L241" i="8" a="1"/>
  <c r="L241" i="8" s="1"/>
  <c r="M241" i="8" a="1"/>
  <c r="M241" i="8" s="1"/>
  <c r="N241" i="8" a="1"/>
  <c r="N241" i="8" s="1"/>
  <c r="Z242" i="8" s="1"/>
  <c r="B243" i="8" a="1"/>
  <c r="B243" i="8" s="1"/>
  <c r="C243" i="8" a="1"/>
  <c r="C243" i="8" s="1"/>
  <c r="D243" i="8" a="1"/>
  <c r="D243" i="8" s="1"/>
  <c r="E243" i="8" a="1"/>
  <c r="E243" i="8" s="1"/>
  <c r="F243" i="8" a="1"/>
  <c r="F243" i="8" s="1"/>
  <c r="G243" i="8" a="1"/>
  <c r="G243" i="8" s="1"/>
  <c r="H243" i="8" a="1"/>
  <c r="H243" i="8" s="1"/>
  <c r="I243" i="8" a="1"/>
  <c r="I243" i="8" s="1"/>
  <c r="J243" i="8" a="1"/>
  <c r="J243" i="8" s="1"/>
  <c r="K243" i="8" a="1"/>
  <c r="K243" i="8" s="1"/>
  <c r="L243" i="8" a="1"/>
  <c r="L243" i="8" s="1"/>
  <c r="M243" i="8" a="1"/>
  <c r="M243" i="8" s="1"/>
  <c r="N243" i="8" a="1"/>
  <c r="N243" i="8" s="1"/>
  <c r="Z244" i="8" s="1"/>
  <c r="B245" i="8" a="1"/>
  <c r="B245" i="8" s="1"/>
  <c r="C245" i="8" a="1"/>
  <c r="C245" i="8" s="1"/>
  <c r="D245" i="8" a="1"/>
  <c r="D245" i="8" s="1"/>
  <c r="E245" i="8" a="1"/>
  <c r="E245" i="8" s="1"/>
  <c r="F245" i="8" a="1"/>
  <c r="F245" i="8" s="1"/>
  <c r="G245" i="8" a="1"/>
  <c r="G245" i="8" s="1"/>
  <c r="H245" i="8" a="1"/>
  <c r="H245" i="8" s="1"/>
  <c r="I245" i="8" a="1"/>
  <c r="I245" i="8" s="1"/>
  <c r="K245" i="8" a="1"/>
  <c r="K245" i="8" s="1"/>
  <c r="L245" i="8" a="1"/>
  <c r="L245" i="8" s="1"/>
  <c r="M245" i="8" a="1"/>
  <c r="M245" i="8" s="1"/>
  <c r="N245" i="8" a="1"/>
  <c r="N245" i="8" s="1"/>
  <c r="Z246" i="8" s="1"/>
  <c r="B247" i="8" a="1"/>
  <c r="B247" i="8" s="1"/>
  <c r="C247" i="8" a="1"/>
  <c r="C247" i="8" s="1"/>
  <c r="D247" i="8" a="1"/>
  <c r="D247" i="8" s="1"/>
  <c r="E247" i="8" a="1"/>
  <c r="E247" i="8" s="1"/>
  <c r="F247" i="8" a="1"/>
  <c r="F247" i="8" s="1"/>
  <c r="G247" i="8" a="1"/>
  <c r="G247" i="8" s="1"/>
  <c r="H247" i="8" a="1"/>
  <c r="H247" i="8" s="1"/>
  <c r="I247" i="8" a="1"/>
  <c r="I247" i="8" s="1"/>
  <c r="J247" i="8" a="1"/>
  <c r="J247" i="8" s="1"/>
  <c r="K247" i="8" a="1"/>
  <c r="K247" i="8" s="1"/>
  <c r="L247" i="8" a="1"/>
  <c r="L247" i="8" s="1"/>
  <c r="M247" i="8" a="1"/>
  <c r="M247" i="8" s="1"/>
  <c r="N247" i="8" a="1"/>
  <c r="N247" i="8" s="1"/>
  <c r="Z248" i="8" s="1"/>
  <c r="B249" i="8" a="1"/>
  <c r="B249" i="8" s="1"/>
  <c r="C249" i="8" a="1"/>
  <c r="C249" i="8" s="1"/>
  <c r="D249" i="8" a="1"/>
  <c r="D249" i="8" s="1"/>
  <c r="E249" i="8" a="1"/>
  <c r="E249" i="8" s="1"/>
  <c r="F249" i="8" a="1"/>
  <c r="F249" i="8" s="1"/>
  <c r="G249" i="8" a="1"/>
  <c r="G249" i="8" s="1"/>
  <c r="H249" i="8" a="1"/>
  <c r="H249" i="8" s="1"/>
  <c r="I249" i="8" a="1"/>
  <c r="I249" i="8" s="1"/>
  <c r="J249" i="8" a="1"/>
  <c r="J249" i="8" s="1"/>
  <c r="K249" i="8" a="1"/>
  <c r="K249" i="8" s="1"/>
  <c r="L249" i="8" a="1"/>
  <c r="L249" i="8" s="1"/>
  <c r="M249" i="8" a="1"/>
  <c r="M249" i="8" s="1"/>
  <c r="N249" i="8" a="1"/>
  <c r="N249" i="8" s="1"/>
  <c r="Z250" i="8" s="1"/>
  <c r="B251" i="8" a="1"/>
  <c r="B251" i="8" s="1"/>
  <c r="C251" i="8" a="1"/>
  <c r="C251" i="8" s="1"/>
  <c r="D251" i="8" a="1"/>
  <c r="D251" i="8" s="1"/>
  <c r="E251" i="8" a="1"/>
  <c r="E251" i="8" s="1"/>
  <c r="F251" i="8" a="1"/>
  <c r="F251" i="8" s="1"/>
  <c r="G251" i="8" a="1"/>
  <c r="G251" i="8" s="1"/>
  <c r="H251" i="8" a="1"/>
  <c r="H251" i="8" s="1"/>
  <c r="I251" i="8" a="1"/>
  <c r="I251" i="8" s="1"/>
  <c r="J251" i="8" a="1"/>
  <c r="J251" i="8" s="1"/>
  <c r="K251" i="8" a="1"/>
  <c r="K251" i="8" s="1"/>
  <c r="L251" i="8" a="1"/>
  <c r="L251" i="8" s="1"/>
  <c r="M251" i="8" a="1"/>
  <c r="M251" i="8" s="1"/>
  <c r="N251" i="8" a="1"/>
  <c r="N251" i="8" s="1"/>
  <c r="Z252" i="8" s="1"/>
  <c r="B214" i="8" a="1"/>
  <c r="B214" i="8" s="1"/>
  <c r="C214" i="8" a="1"/>
  <c r="C214" i="8" s="1"/>
  <c r="D214" i="8" a="1"/>
  <c r="D214" i="8" s="1"/>
  <c r="E214" i="8" a="1"/>
  <c r="E214" i="8" s="1"/>
  <c r="F214" i="8" a="1"/>
  <c r="F214" i="8" s="1"/>
  <c r="G214" i="8" a="1"/>
  <c r="G214" i="8" s="1"/>
  <c r="H214" i="8" a="1"/>
  <c r="H214" i="8" s="1"/>
  <c r="I214" i="8" a="1"/>
  <c r="I214" i="8" s="1"/>
  <c r="J214" i="8" a="1"/>
  <c r="J214" i="8" s="1"/>
  <c r="K214" i="8" a="1"/>
  <c r="K214" i="8" s="1"/>
  <c r="L214" i="8" a="1"/>
  <c r="L214" i="8" s="1"/>
  <c r="M214" i="8" a="1"/>
  <c r="M214" i="8" s="1"/>
  <c r="N214" i="8" a="1"/>
  <c r="N214" i="8" s="1"/>
  <c r="Z215" i="8" s="1"/>
  <c r="B216" i="8" a="1"/>
  <c r="B216" i="8" s="1"/>
  <c r="C216" i="8" a="1"/>
  <c r="C216" i="8" s="1"/>
  <c r="D216" i="8" a="1"/>
  <c r="D216" i="8" s="1"/>
  <c r="E216" i="8" a="1"/>
  <c r="E216" i="8" s="1"/>
  <c r="F216" i="8" a="1"/>
  <c r="F216" i="8" s="1"/>
  <c r="G216" i="8" a="1"/>
  <c r="G216" i="8" s="1"/>
  <c r="H216" i="8" a="1"/>
  <c r="H216" i="8" s="1"/>
  <c r="I216" i="8" a="1"/>
  <c r="I216" i="8" s="1"/>
  <c r="J216" i="8" a="1"/>
  <c r="J216" i="8" s="1"/>
  <c r="K216" i="8" a="1"/>
  <c r="K216" i="8" s="1"/>
  <c r="L216" i="8" a="1"/>
  <c r="L216" i="8" s="1"/>
  <c r="M216" i="8" a="1"/>
  <c r="M216" i="8" s="1"/>
  <c r="N216" i="8" a="1"/>
  <c r="N216" i="8" s="1"/>
  <c r="Z217" i="8" s="1"/>
  <c r="B218" i="8" a="1"/>
  <c r="B218" i="8" s="1"/>
  <c r="C218" i="8" a="1"/>
  <c r="C218" i="8" s="1"/>
  <c r="D218" i="8" a="1"/>
  <c r="D218" i="8" s="1"/>
  <c r="E218" i="8" a="1"/>
  <c r="E218" i="8" s="1"/>
  <c r="F218" i="8" a="1"/>
  <c r="F218" i="8" s="1"/>
  <c r="G218" i="8" a="1"/>
  <c r="G218" i="8" s="1"/>
  <c r="H218" i="8" a="1"/>
  <c r="H218" i="8" s="1"/>
  <c r="I218" i="8" a="1"/>
  <c r="I218" i="8" s="1"/>
  <c r="J218" i="8" a="1"/>
  <c r="J218" i="8" s="1"/>
  <c r="K218" i="8" a="1"/>
  <c r="K218" i="8" s="1"/>
  <c r="L218" i="8" a="1"/>
  <c r="L218" i="8" s="1"/>
  <c r="M218" i="8" a="1"/>
  <c r="M218" i="8" s="1"/>
  <c r="N218" i="8" a="1"/>
  <c r="N218" i="8" s="1"/>
  <c r="Z219" i="8" s="1"/>
  <c r="B220" i="8" a="1"/>
  <c r="B220" i="8" s="1"/>
  <c r="C220" i="8" a="1"/>
  <c r="C220" i="8" s="1"/>
  <c r="D220" i="8" a="1"/>
  <c r="D220" i="8" s="1"/>
  <c r="E220" i="8" a="1"/>
  <c r="E220" i="8" s="1"/>
  <c r="F220" i="8" a="1"/>
  <c r="F220" i="8" s="1"/>
  <c r="G220" i="8" a="1"/>
  <c r="G220" i="8" s="1"/>
  <c r="H220" i="8" a="1"/>
  <c r="H220" i="8" s="1"/>
  <c r="I220" i="8" a="1"/>
  <c r="I220" i="8" s="1"/>
  <c r="J220" i="8" a="1"/>
  <c r="J220" i="8" s="1"/>
  <c r="K220" i="8" a="1"/>
  <c r="K220" i="8" s="1"/>
  <c r="L220" i="8" a="1"/>
  <c r="L220" i="8" s="1"/>
  <c r="M220" i="8" a="1"/>
  <c r="M220" i="8" s="1"/>
  <c r="N220" i="8" a="1"/>
  <c r="N220" i="8" s="1"/>
  <c r="Z221" i="8" s="1"/>
  <c r="B222" i="8" a="1"/>
  <c r="B222" i="8" s="1"/>
  <c r="C222" i="8" a="1"/>
  <c r="C222" i="8" s="1"/>
  <c r="D222" i="8" a="1"/>
  <c r="D222" i="8" s="1"/>
  <c r="E222" i="8" a="1"/>
  <c r="E222" i="8" s="1"/>
  <c r="F222" i="8" a="1"/>
  <c r="F222" i="8" s="1"/>
  <c r="G222" i="8" a="1"/>
  <c r="G222" i="8" s="1"/>
  <c r="H222" i="8" a="1"/>
  <c r="H222" i="8" s="1"/>
  <c r="I222" i="8" a="1"/>
  <c r="I222" i="8" s="1"/>
  <c r="J222" i="8" a="1"/>
  <c r="J222" i="8" s="1"/>
  <c r="K222" i="8" a="1"/>
  <c r="K222" i="8" s="1"/>
  <c r="L222" i="8" a="1"/>
  <c r="L222" i="8" s="1"/>
  <c r="M222" i="8" a="1"/>
  <c r="M222" i="8" s="1"/>
  <c r="N222" i="8" a="1"/>
  <c r="N222" i="8" s="1"/>
  <c r="Z223" i="8" s="1"/>
  <c r="B224" i="8" a="1"/>
  <c r="B224" i="8" s="1"/>
  <c r="C224" i="8" a="1"/>
  <c r="C224" i="8" s="1"/>
  <c r="D224" i="8" a="1"/>
  <c r="D224" i="8" s="1"/>
  <c r="E224" i="8" a="1"/>
  <c r="E224" i="8" s="1"/>
  <c r="F224" i="8" a="1"/>
  <c r="F224" i="8" s="1"/>
  <c r="G224" i="8" a="1"/>
  <c r="G224" i="8" s="1"/>
  <c r="H224" i="8" a="1"/>
  <c r="H224" i="8" s="1"/>
  <c r="I224" i="8" a="1"/>
  <c r="I224" i="8" s="1"/>
  <c r="J224" i="8" a="1"/>
  <c r="J224" i="8" s="1"/>
  <c r="K224" i="8" a="1"/>
  <c r="K224" i="8" s="1"/>
  <c r="L224" i="8" a="1"/>
  <c r="L224" i="8" s="1"/>
  <c r="M224" i="8" a="1"/>
  <c r="M224" i="8" s="1"/>
  <c r="N224" i="8" a="1"/>
  <c r="N224" i="8" s="1"/>
  <c r="Z225" i="8" s="1"/>
  <c r="B226" i="8" a="1"/>
  <c r="B226" i="8" s="1"/>
  <c r="C226" i="8" a="1"/>
  <c r="C226" i="8" s="1"/>
  <c r="D226" i="8" a="1"/>
  <c r="D226" i="8" s="1"/>
  <c r="E226" i="8" a="1"/>
  <c r="E226" i="8" s="1"/>
  <c r="F226" i="8" a="1"/>
  <c r="F226" i="8" s="1"/>
  <c r="G226" i="8" a="1"/>
  <c r="G226" i="8" s="1"/>
  <c r="H226" i="8" a="1"/>
  <c r="H226" i="8" s="1"/>
  <c r="I226" i="8" a="1"/>
  <c r="I226" i="8" s="1"/>
  <c r="J226" i="8" a="1"/>
  <c r="J226" i="8" s="1"/>
  <c r="K226" i="8" a="1"/>
  <c r="K226" i="8" s="1"/>
  <c r="L226" i="8" a="1"/>
  <c r="L226" i="8" s="1"/>
  <c r="M226" i="8" a="1"/>
  <c r="M226" i="8" s="1"/>
  <c r="N226" i="8" a="1"/>
  <c r="N226" i="8" s="1"/>
  <c r="Z227" i="8" s="1"/>
  <c r="B228" i="8" a="1"/>
  <c r="B228" i="8" s="1"/>
  <c r="C228" i="8" a="1"/>
  <c r="C228" i="8" s="1"/>
  <c r="D228" i="8" a="1"/>
  <c r="D228" i="8" s="1"/>
  <c r="E228" i="8" a="1"/>
  <c r="E228" i="8" s="1"/>
  <c r="F228" i="8" a="1"/>
  <c r="F228" i="8" s="1"/>
  <c r="G228" i="8" a="1"/>
  <c r="G228" i="8" s="1"/>
  <c r="H228" i="8" a="1"/>
  <c r="H228" i="8" s="1"/>
  <c r="I228" i="8" a="1"/>
  <c r="I228" i="8" s="1"/>
  <c r="J228" i="8" a="1"/>
  <c r="J228" i="8" s="1"/>
  <c r="K228" i="8" a="1"/>
  <c r="K228" i="8" s="1"/>
  <c r="L228" i="8" a="1"/>
  <c r="L228" i="8" s="1"/>
  <c r="M228" i="8" a="1"/>
  <c r="M228" i="8" s="1"/>
  <c r="N228" i="8" a="1"/>
  <c r="N228" i="8" s="1"/>
  <c r="Z229" i="8" s="1"/>
  <c r="B230" i="8" a="1"/>
  <c r="B230" i="8" s="1"/>
  <c r="C230" i="8" a="1"/>
  <c r="C230" i="8" s="1"/>
  <c r="D230" i="8" a="1"/>
  <c r="D230" i="8" s="1"/>
  <c r="E230" i="8" a="1"/>
  <c r="E230" i="8" s="1"/>
  <c r="F230" i="8" a="1"/>
  <c r="F230" i="8" s="1"/>
  <c r="K230" i="8" a="1"/>
  <c r="K230" i="8" s="1"/>
  <c r="L230" i="8" a="1"/>
  <c r="L230" i="8" s="1"/>
  <c r="M230" i="8" a="1"/>
  <c r="M230" i="8" s="1"/>
  <c r="N230" i="8" a="1"/>
  <c r="N230" i="8" s="1"/>
  <c r="Z231" i="8" s="1"/>
  <c r="B232" i="8" a="1"/>
  <c r="B232" i="8" s="1"/>
  <c r="C232" i="8" a="1"/>
  <c r="C232" i="8" s="1"/>
  <c r="D232" i="8" a="1"/>
  <c r="D232" i="8" s="1"/>
  <c r="E232" i="8" a="1"/>
  <c r="E232" i="8" s="1"/>
  <c r="F232" i="8" a="1"/>
  <c r="F232" i="8" s="1"/>
  <c r="G232" i="8" a="1"/>
  <c r="G232" i="8" s="1"/>
  <c r="H232" i="8" a="1"/>
  <c r="H232" i="8" s="1"/>
  <c r="I232" i="8" a="1"/>
  <c r="I232" i="8" s="1"/>
  <c r="J232" i="8" a="1"/>
  <c r="J232" i="8" s="1"/>
  <c r="K232" i="8" a="1"/>
  <c r="K232" i="8" s="1"/>
  <c r="L232" i="8" a="1"/>
  <c r="L232" i="8" s="1"/>
  <c r="M232" i="8" a="1"/>
  <c r="M232" i="8" s="1"/>
  <c r="N232" i="8" a="1"/>
  <c r="N232" i="8" s="1"/>
  <c r="Z233" i="8" s="1"/>
  <c r="B234" i="8" a="1"/>
  <c r="B234" i="8" s="1"/>
  <c r="C234" i="8" a="1"/>
  <c r="C234" i="8" s="1"/>
  <c r="D234" i="8" a="1"/>
  <c r="D234" i="8" s="1"/>
  <c r="E234" i="8" a="1"/>
  <c r="E234" i="8" s="1"/>
  <c r="F234" i="8" a="1"/>
  <c r="F234" i="8" s="1"/>
  <c r="G234" i="8" a="1"/>
  <c r="G234" i="8" s="1"/>
  <c r="H234" i="8" a="1"/>
  <c r="H234" i="8" s="1"/>
  <c r="I234" i="8" a="1"/>
  <c r="I234" i="8" s="1"/>
  <c r="J234" i="8" a="1"/>
  <c r="J234" i="8" s="1"/>
  <c r="K234" i="8" a="1"/>
  <c r="K234" i="8" s="1"/>
  <c r="L234" i="8" a="1"/>
  <c r="L234" i="8" s="1"/>
  <c r="M234" i="8" a="1"/>
  <c r="M234" i="8" s="1"/>
  <c r="N234" i="8" a="1"/>
  <c r="N234" i="8" s="1"/>
  <c r="Z235" i="8" s="1"/>
  <c r="B257" i="8" a="1"/>
  <c r="B257" i="8" s="1"/>
  <c r="C257" i="8" a="1"/>
  <c r="C257" i="8" s="1"/>
  <c r="D257" i="8" a="1"/>
  <c r="D257" i="8" s="1"/>
  <c r="E257" i="8" a="1"/>
  <c r="E257" i="8" s="1"/>
  <c r="F257" i="8" a="1"/>
  <c r="F257" i="8" s="1"/>
  <c r="G257" i="8" a="1"/>
  <c r="G257" i="8" s="1"/>
  <c r="H257" i="8" a="1"/>
  <c r="H257" i="8" s="1"/>
  <c r="I257" i="8" a="1"/>
  <c r="I257" i="8" s="1"/>
  <c r="J257" i="8" a="1"/>
  <c r="J257" i="8" s="1"/>
  <c r="K257" i="8" a="1"/>
  <c r="K257" i="8" s="1"/>
  <c r="L257" i="8" a="1"/>
  <c r="L257" i="8" s="1"/>
  <c r="M257" i="8" a="1"/>
  <c r="M257" i="8" s="1"/>
  <c r="N257" i="8" a="1"/>
  <c r="N257" i="8" s="1"/>
  <c r="Z258" i="8" s="1"/>
  <c r="B314" i="8"/>
  <c r="C314" i="8"/>
  <c r="D314" i="8"/>
  <c r="E314" i="8"/>
  <c r="F314" i="8"/>
  <c r="G314" i="8"/>
  <c r="H314" i="8"/>
  <c r="I314" i="8"/>
  <c r="J314" i="8"/>
  <c r="K314" i="8"/>
  <c r="L314" i="8"/>
  <c r="M314" i="8"/>
  <c r="N314" i="8"/>
  <c r="B23" i="8"/>
  <c r="C23" i="8"/>
  <c r="D23" i="8"/>
  <c r="E23" i="8"/>
  <c r="F23" i="8"/>
  <c r="G23" i="8"/>
  <c r="H23" i="8"/>
  <c r="I23" i="8"/>
  <c r="J23" i="8"/>
  <c r="K23" i="8"/>
  <c r="L23" i="8"/>
  <c r="M23" i="8"/>
  <c r="N23" i="8"/>
  <c r="B12" i="8" a="1"/>
  <c r="B12" i="8" s="1"/>
  <c r="C12" i="8" a="1"/>
  <c r="C12" i="8" s="1"/>
  <c r="D12" i="8" a="1"/>
  <c r="D12" i="8" s="1"/>
  <c r="E12" i="8" a="1"/>
  <c r="E12" i="8" s="1"/>
  <c r="F12" i="8" a="1"/>
  <c r="F12" i="8" s="1"/>
  <c r="G12" i="8" a="1"/>
  <c r="G12" i="8" s="1"/>
  <c r="H12" i="8" a="1"/>
  <c r="H12" i="8" s="1"/>
  <c r="I12" i="8" a="1"/>
  <c r="I12" i="8" s="1"/>
  <c r="J12" i="8" a="1"/>
  <c r="J12" i="8" s="1"/>
  <c r="K12" i="8" a="1"/>
  <c r="K12" i="8" s="1"/>
  <c r="L12" i="8" a="1"/>
  <c r="L12" i="8" s="1"/>
  <c r="M12" i="8" a="1"/>
  <c r="M12" i="8" s="1"/>
  <c r="N12" i="8" a="1"/>
  <c r="N12" i="8" s="1"/>
  <c r="Z30" i="8" s="1"/>
  <c r="B15" i="8" a="1"/>
  <c r="B15" i="8" s="1"/>
  <c r="C15" i="8" a="1"/>
  <c r="C15" i="8" s="1"/>
  <c r="D15" i="8" a="1"/>
  <c r="D15" i="8" s="1"/>
  <c r="E15" i="8" a="1"/>
  <c r="E15" i="8" s="1"/>
  <c r="F15" i="8" a="1"/>
  <c r="F15" i="8" s="1"/>
  <c r="G15" i="8" a="1"/>
  <c r="G15" i="8" s="1"/>
  <c r="H15" i="8" a="1"/>
  <c r="H15" i="8" s="1"/>
  <c r="I15" i="8" a="1"/>
  <c r="I15" i="8" s="1"/>
  <c r="J15" i="8" a="1"/>
  <c r="J15" i="8" s="1"/>
  <c r="K15" i="8" a="1"/>
  <c r="K15" i="8" s="1"/>
  <c r="L15" i="8" a="1"/>
  <c r="L15" i="8" s="1"/>
  <c r="M15" i="8" a="1"/>
  <c r="M15" i="8" s="1"/>
  <c r="N15" i="8" a="1"/>
  <c r="N15" i="8" s="1"/>
  <c r="C16" i="8" a="1"/>
  <c r="C16" i="8" s="1"/>
  <c r="D16" i="8" a="1"/>
  <c r="D16" i="8" s="1"/>
  <c r="E16" i="8" a="1"/>
  <c r="E16" i="8" s="1"/>
  <c r="F16" i="8" a="1"/>
  <c r="F16" i="8" s="1"/>
  <c r="G16" i="8" a="1"/>
  <c r="G16" i="8" s="1"/>
  <c r="H16" i="8" a="1"/>
  <c r="H16" i="8" s="1"/>
  <c r="I16" i="8" a="1"/>
  <c r="I16" i="8" s="1"/>
  <c r="J16" i="8" a="1"/>
  <c r="J16" i="8" s="1"/>
  <c r="K16" i="8" a="1"/>
  <c r="K16" i="8" s="1"/>
  <c r="L16" i="8" a="1"/>
  <c r="L16" i="8" s="1"/>
  <c r="M16" i="8" a="1"/>
  <c r="M16" i="8" s="1"/>
  <c r="N16" i="8" a="1"/>
  <c r="N16" i="8" s="1"/>
  <c r="B5" i="8" a="1"/>
  <c r="B5" i="8" s="1"/>
  <c r="B6" i="8" s="1"/>
  <c r="C5" i="8" a="1"/>
  <c r="C5" i="8" s="1"/>
  <c r="C6" i="8" s="1"/>
  <c r="D5" i="8" a="1"/>
  <c r="D5" i="8" s="1"/>
  <c r="D6" i="8" s="1"/>
  <c r="E5" i="8" a="1"/>
  <c r="E5" i="8" s="1"/>
  <c r="E6" i="8" s="1"/>
  <c r="F5" i="8" a="1"/>
  <c r="F5" i="8" s="1"/>
  <c r="F6" i="8" s="1"/>
  <c r="G5" i="8" a="1"/>
  <c r="G5" i="8" s="1"/>
  <c r="G6" i="8" s="1"/>
  <c r="H5" i="8" a="1"/>
  <c r="H5" i="8" s="1"/>
  <c r="H6" i="8" s="1"/>
  <c r="I5" i="8" a="1"/>
  <c r="I5" i="8" s="1"/>
  <c r="I6" i="8" s="1"/>
  <c r="J5" i="8" a="1"/>
  <c r="J5" i="8" s="1"/>
  <c r="J6" i="8" s="1"/>
  <c r="K5" i="8" a="1"/>
  <c r="K5" i="8" s="1"/>
  <c r="K6" i="8" s="1"/>
  <c r="L5" i="8" a="1"/>
  <c r="L5" i="8" s="1"/>
  <c r="L6" i="8" s="1"/>
  <c r="M5" i="8" a="1"/>
  <c r="M5" i="8" s="1"/>
  <c r="M6" i="8" s="1"/>
  <c r="N5" i="8" a="1"/>
  <c r="N5" i="8" s="1"/>
  <c r="N6" i="8" s="1"/>
  <c r="Z22" i="8" s="1"/>
  <c r="B8" i="8" a="1"/>
  <c r="B8" i="8" s="1"/>
  <c r="C8" i="8" a="1"/>
  <c r="C8" i="8" s="1"/>
  <c r="D8" i="8" a="1"/>
  <c r="D8" i="8" s="1"/>
  <c r="E8" i="8" a="1"/>
  <c r="E8" i="8" s="1"/>
  <c r="F8" i="8" a="1"/>
  <c r="F8" i="8" s="1"/>
  <c r="G8" i="8" a="1"/>
  <c r="G8" i="8" s="1"/>
  <c r="H8" i="8" a="1"/>
  <c r="H8" i="8" s="1"/>
  <c r="I8" i="8" a="1"/>
  <c r="I8" i="8" s="1"/>
  <c r="J8" i="8" a="1"/>
  <c r="J8" i="8" s="1"/>
  <c r="K8" i="8" a="1"/>
  <c r="K8" i="8" s="1"/>
  <c r="L8" i="8" a="1"/>
  <c r="L8" i="8" s="1"/>
  <c r="M8" i="8" a="1"/>
  <c r="M8" i="8" s="1"/>
  <c r="N8" i="8" a="1"/>
  <c r="N8" i="8" s="1"/>
  <c r="Z24" i="8" s="1"/>
  <c r="B9" i="8" a="1"/>
  <c r="B9" i="8" s="1"/>
  <c r="C9" i="8" a="1"/>
  <c r="C9" i="8" s="1"/>
  <c r="D9" i="8" a="1"/>
  <c r="D9" i="8" s="1"/>
  <c r="E9" i="8" a="1"/>
  <c r="E9" i="8" s="1"/>
  <c r="F9" i="8" a="1"/>
  <c r="F9" i="8" s="1"/>
  <c r="G9" i="8" a="1"/>
  <c r="G9" i="8" s="1"/>
  <c r="H9" i="8" a="1"/>
  <c r="H9" i="8" s="1"/>
  <c r="I9" i="8" a="1"/>
  <c r="I9" i="8" s="1"/>
  <c r="J9" i="8" a="1"/>
  <c r="J9" i="8" s="1"/>
  <c r="K9" i="8" a="1"/>
  <c r="K9" i="8" s="1"/>
  <c r="L9" i="8" a="1"/>
  <c r="L9" i="8" s="1"/>
  <c r="M9" i="8" a="1"/>
  <c r="M9" i="8" s="1"/>
  <c r="N9" i="8" a="1"/>
  <c r="N9" i="8" s="1"/>
  <c r="Z25" i="8" s="1"/>
  <c r="B10" i="8" a="1"/>
  <c r="B10" i="8" s="1"/>
  <c r="C10" i="8" a="1"/>
  <c r="C10" i="8" s="1"/>
  <c r="D10" i="8" a="1"/>
  <c r="D10" i="8" s="1"/>
  <c r="E10" i="8" a="1"/>
  <c r="E10" i="8" s="1"/>
  <c r="F10" i="8" a="1"/>
  <c r="F10" i="8" s="1"/>
  <c r="G10" i="8" a="1"/>
  <c r="G10" i="8" s="1"/>
  <c r="H10" i="8" a="1"/>
  <c r="H10" i="8" s="1"/>
  <c r="I10" i="8" a="1"/>
  <c r="I10" i="8" s="1"/>
  <c r="J10" i="8" a="1"/>
  <c r="J10" i="8" s="1"/>
  <c r="K10" i="8" a="1"/>
  <c r="K10" i="8" s="1"/>
  <c r="L10" i="8" a="1"/>
  <c r="L10" i="8" s="1"/>
  <c r="M10" i="8" a="1"/>
  <c r="M10" i="8" s="1"/>
  <c r="N10" i="8" a="1"/>
  <c r="N10" i="8" s="1"/>
  <c r="Z27" i="8" s="1"/>
  <c r="Z122" i="8" l="1"/>
  <c r="Z131" i="8"/>
  <c r="Z261" i="8"/>
  <c r="AC32" i="8"/>
  <c r="AE32" i="8"/>
  <c r="AF32" i="8"/>
  <c r="AD32" i="8"/>
  <c r="AO31" i="8"/>
  <c r="W137" i="8"/>
  <c r="W103" i="8"/>
  <c r="Y128" i="8"/>
  <c r="Y250" i="8"/>
  <c r="X130" i="8"/>
  <c r="V139" i="8"/>
  <c r="X252" i="8"/>
  <c r="W244" i="8"/>
  <c r="Y240" i="8"/>
  <c r="W215" i="8"/>
  <c r="X242" i="8"/>
  <c r="Y221" i="8"/>
  <c r="Y109" i="8"/>
  <c r="Y27" i="8"/>
  <c r="T27" i="8"/>
  <c r="V24" i="8"/>
  <c r="P258" i="8"/>
  <c r="R233" i="8"/>
  <c r="Q227" i="8"/>
  <c r="S223" i="8"/>
  <c r="V217" i="8"/>
  <c r="T109" i="8"/>
  <c r="U107" i="8"/>
  <c r="V105" i="8"/>
  <c r="U25" i="8"/>
  <c r="W22" i="8"/>
  <c r="X33" i="8"/>
  <c r="Y30" i="8"/>
  <c r="Q235" i="8"/>
  <c r="T221" i="8"/>
  <c r="U219" i="8"/>
  <c r="Y258" i="8"/>
  <c r="Y242" i="8"/>
  <c r="Y48" i="8"/>
  <c r="Y229" i="8"/>
  <c r="W124" i="8"/>
  <c r="X48" i="8"/>
  <c r="Y46" i="8"/>
  <c r="U246" i="8"/>
  <c r="V244" i="8"/>
  <c r="W242" i="8"/>
  <c r="X240" i="8"/>
  <c r="X46" i="8"/>
  <c r="Y44" i="8"/>
  <c r="W258" i="8"/>
  <c r="Q217" i="8"/>
  <c r="U258" i="8"/>
  <c r="T258" i="8"/>
  <c r="Y105" i="8"/>
  <c r="S258" i="8"/>
  <c r="Y22" i="8"/>
  <c r="R258" i="8"/>
  <c r="Y215" i="8"/>
  <c r="X139" i="8"/>
  <c r="Y137" i="8"/>
  <c r="X105" i="8"/>
  <c r="Y103" i="8"/>
  <c r="X258" i="8"/>
  <c r="Q258" i="8"/>
  <c r="W105" i="8"/>
  <c r="X103" i="8"/>
  <c r="Y101" i="8"/>
  <c r="N258" i="8"/>
  <c r="O258" i="8"/>
  <c r="Y120" i="8"/>
  <c r="Y121" i="8" s="1"/>
  <c r="Y227" i="8"/>
  <c r="R215" i="8"/>
  <c r="U248" i="8"/>
  <c r="V124" i="8"/>
  <c r="X120" i="8"/>
  <c r="X121" i="8" s="1"/>
  <c r="Y113" i="8"/>
  <c r="V50" i="8"/>
  <c r="W48" i="8"/>
  <c r="S252" i="8"/>
  <c r="T250" i="8"/>
  <c r="V258" i="8"/>
  <c r="Z15" i="8" a="1"/>
  <c r="Z15" i="8" s="1"/>
  <c r="AK33" i="8" s="1"/>
  <c r="AA32" i="8"/>
  <c r="V22" i="8"/>
  <c r="Q24" i="8"/>
  <c r="X227" i="8"/>
  <c r="Q22" i="8"/>
  <c r="R33" i="8"/>
  <c r="S30" i="8"/>
  <c r="W235" i="8"/>
  <c r="X233" i="8"/>
  <c r="Y231" i="8"/>
  <c r="V229" i="8"/>
  <c r="W227" i="8"/>
  <c r="X225" i="8"/>
  <c r="Y223" i="8"/>
  <c r="Q215" i="8"/>
  <c r="R252" i="8"/>
  <c r="S250" i="8"/>
  <c r="T248" i="8"/>
  <c r="T246" i="8"/>
  <c r="U244" i="8"/>
  <c r="V242" i="8"/>
  <c r="W240" i="8"/>
  <c r="Q137" i="8"/>
  <c r="R130" i="8"/>
  <c r="S128" i="8"/>
  <c r="T126" i="8"/>
  <c r="U124" i="8"/>
  <c r="W120" i="8"/>
  <c r="W121" i="8" s="1"/>
  <c r="X113" i="8"/>
  <c r="Y111" i="8"/>
  <c r="Q103" i="8"/>
  <c r="R101" i="8"/>
  <c r="S99" i="8"/>
  <c r="T52" i="8"/>
  <c r="U50" i="8"/>
  <c r="V48" i="8"/>
  <c r="W46" i="8"/>
  <c r="X44" i="8"/>
  <c r="Y42" i="8"/>
  <c r="Q27" i="8"/>
  <c r="W225" i="8"/>
  <c r="Q252" i="8"/>
  <c r="R250" i="8"/>
  <c r="S248" i="8"/>
  <c r="S246" i="8"/>
  <c r="T244" i="8"/>
  <c r="U242" i="8"/>
  <c r="V240" i="8"/>
  <c r="Q130" i="8"/>
  <c r="R128" i="8"/>
  <c r="S126" i="8"/>
  <c r="T124" i="8"/>
  <c r="V120" i="8"/>
  <c r="V121" i="8" s="1"/>
  <c r="W113" i="8"/>
  <c r="X111" i="8"/>
  <c r="Q101" i="8"/>
  <c r="R99" i="8"/>
  <c r="S52" i="8"/>
  <c r="T50" i="8"/>
  <c r="U48" i="8"/>
  <c r="V46" i="8"/>
  <c r="W44" i="8"/>
  <c r="X42" i="8"/>
  <c r="Y40" i="8"/>
  <c r="V30" i="8"/>
  <c r="S22" i="8"/>
  <c r="W229" i="8"/>
  <c r="W233" i="8"/>
  <c r="X223" i="8"/>
  <c r="X27" i="8"/>
  <c r="V233" i="8"/>
  <c r="W231" i="8"/>
  <c r="S231" i="8"/>
  <c r="T231" i="8"/>
  <c r="U231" i="8"/>
  <c r="V231" i="8"/>
  <c r="T229" i="8"/>
  <c r="U227" i="8"/>
  <c r="V225" i="8"/>
  <c r="W223" i="8"/>
  <c r="X221" i="8"/>
  <c r="Y219" i="8"/>
  <c r="Q250" i="8"/>
  <c r="R248" i="8"/>
  <c r="R246" i="8"/>
  <c r="S244" i="8"/>
  <c r="T242" i="8"/>
  <c r="U240" i="8"/>
  <c r="Y141" i="8"/>
  <c r="Q128" i="8"/>
  <c r="R126" i="8"/>
  <c r="S124" i="8"/>
  <c r="U120" i="8"/>
  <c r="U121" i="8" s="1"/>
  <c r="V113" i="8"/>
  <c r="W111" i="8"/>
  <c r="X109" i="8"/>
  <c r="Y107" i="8"/>
  <c r="Q99" i="8"/>
  <c r="R52" i="8"/>
  <c r="S50" i="8"/>
  <c r="T48" i="8"/>
  <c r="U46" i="8"/>
  <c r="V44" i="8"/>
  <c r="W42" i="8"/>
  <c r="X40" i="8"/>
  <c r="U24" i="8"/>
  <c r="U33" i="8"/>
  <c r="Q25" i="8"/>
  <c r="U30" i="8"/>
  <c r="X229" i="8"/>
  <c r="S33" i="8"/>
  <c r="V235" i="8"/>
  <c r="V227" i="8"/>
  <c r="Y25" i="8"/>
  <c r="Q30" i="8"/>
  <c r="U235" i="8"/>
  <c r="W27" i="8"/>
  <c r="X25" i="8"/>
  <c r="Y24" i="8"/>
  <c r="T235" i="8"/>
  <c r="U233" i="8"/>
  <c r="R231" i="8"/>
  <c r="S229" i="8"/>
  <c r="T227" i="8"/>
  <c r="U225" i="8"/>
  <c r="V223" i="8"/>
  <c r="W221" i="8"/>
  <c r="X219" i="8"/>
  <c r="Y217" i="8"/>
  <c r="Q248" i="8"/>
  <c r="Q246" i="8"/>
  <c r="R244" i="8"/>
  <c r="S242" i="8"/>
  <c r="T240" i="8"/>
  <c r="X141" i="8"/>
  <c r="Y139" i="8"/>
  <c r="Q126" i="8"/>
  <c r="R124" i="8"/>
  <c r="T120" i="8"/>
  <c r="T121" i="8" s="1"/>
  <c r="U113" i="8"/>
  <c r="V111" i="8"/>
  <c r="W109" i="8"/>
  <c r="X107" i="8"/>
  <c r="Q52" i="8"/>
  <c r="R50" i="8"/>
  <c r="S48" i="8"/>
  <c r="T46" i="8"/>
  <c r="U44" i="8"/>
  <c r="V42" i="8"/>
  <c r="W40" i="8"/>
  <c r="S24" i="8"/>
  <c r="T33" i="8"/>
  <c r="R22" i="8"/>
  <c r="X235" i="8"/>
  <c r="R30" i="8"/>
  <c r="U229" i="8"/>
  <c r="W25" i="8"/>
  <c r="S235" i="8"/>
  <c r="T233" i="8"/>
  <c r="Q231" i="8"/>
  <c r="R229" i="8"/>
  <c r="S227" i="8"/>
  <c r="T225" i="8"/>
  <c r="U223" i="8"/>
  <c r="V221" i="8"/>
  <c r="W219" i="8"/>
  <c r="X217" i="8"/>
  <c r="Q244" i="8"/>
  <c r="R242" i="8"/>
  <c r="S240" i="8"/>
  <c r="W141" i="8"/>
  <c r="Q124" i="8"/>
  <c r="S120" i="8"/>
  <c r="S121" i="8" s="1"/>
  <c r="T113" i="8"/>
  <c r="U111" i="8"/>
  <c r="V109" i="8"/>
  <c r="W107" i="8"/>
  <c r="Q50" i="8"/>
  <c r="R48" i="8"/>
  <c r="S46" i="8"/>
  <c r="T44" i="8"/>
  <c r="U42" i="8"/>
  <c r="V40" i="8"/>
  <c r="T25" i="8"/>
  <c r="T22" i="8"/>
  <c r="Y235" i="8"/>
  <c r="T30" i="8"/>
  <c r="Y225" i="8"/>
  <c r="Q33" i="8"/>
  <c r="X231" i="8"/>
  <c r="V27" i="8"/>
  <c r="X24" i="8"/>
  <c r="U27" i="8"/>
  <c r="V25" i="8"/>
  <c r="W24" i="8"/>
  <c r="X22" i="8"/>
  <c r="Y33" i="8"/>
  <c r="R235" i="8"/>
  <c r="S233" i="8"/>
  <c r="Q229" i="8"/>
  <c r="R227" i="8"/>
  <c r="S225" i="8"/>
  <c r="T223" i="8"/>
  <c r="U221" i="8"/>
  <c r="V219" i="8"/>
  <c r="W217" i="8"/>
  <c r="X215" i="8"/>
  <c r="Y252" i="8"/>
  <c r="Q242" i="8"/>
  <c r="R240" i="8"/>
  <c r="V141" i="8"/>
  <c r="W139" i="8"/>
  <c r="X137" i="8"/>
  <c r="Y130" i="8"/>
  <c r="R120" i="8"/>
  <c r="R121" i="8" s="1"/>
  <c r="S113" i="8"/>
  <c r="T111" i="8"/>
  <c r="U109" i="8"/>
  <c r="V107" i="8"/>
  <c r="Q48" i="8"/>
  <c r="R46" i="8"/>
  <c r="S44" i="8"/>
  <c r="T42" i="8"/>
  <c r="U40" i="8"/>
  <c r="R225" i="8"/>
  <c r="Q240" i="8"/>
  <c r="U141" i="8"/>
  <c r="Q120" i="8"/>
  <c r="Q121" i="8" s="1"/>
  <c r="R113" i="8"/>
  <c r="S111" i="8"/>
  <c r="X101" i="8"/>
  <c r="Y99" i="8"/>
  <c r="Q46" i="8"/>
  <c r="R44" i="8"/>
  <c r="S42" i="8"/>
  <c r="T40" i="8"/>
  <c r="W33" i="8"/>
  <c r="Q225" i="8"/>
  <c r="R223" i="8"/>
  <c r="S221" i="8"/>
  <c r="T219" i="8"/>
  <c r="U217" i="8"/>
  <c r="V215" i="8"/>
  <c r="W252" i="8"/>
  <c r="X250" i="8"/>
  <c r="Y248" i="8"/>
  <c r="T141" i="8"/>
  <c r="U139" i="8"/>
  <c r="V137" i="8"/>
  <c r="W130" i="8"/>
  <c r="X128" i="8"/>
  <c r="Y126" i="8"/>
  <c r="Q113" i="8"/>
  <c r="R111" i="8"/>
  <c r="S109" i="8"/>
  <c r="T107" i="8"/>
  <c r="U105" i="8"/>
  <c r="V103" i="8"/>
  <c r="W101" i="8"/>
  <c r="X99" i="8"/>
  <c r="Y52" i="8"/>
  <c r="Q44" i="8"/>
  <c r="R42" i="8"/>
  <c r="S40" i="8"/>
  <c r="X30" i="8"/>
  <c r="Q233" i="8"/>
  <c r="R27" i="8"/>
  <c r="S25" i="8"/>
  <c r="T24" i="8"/>
  <c r="U22" i="8"/>
  <c r="V33" i="8"/>
  <c r="W30" i="8"/>
  <c r="Q223" i="8"/>
  <c r="R221" i="8"/>
  <c r="S219" i="8"/>
  <c r="T217" i="8"/>
  <c r="U215" i="8"/>
  <c r="V252" i="8"/>
  <c r="W250" i="8"/>
  <c r="X248" i="8"/>
  <c r="Y246" i="8"/>
  <c r="Y244" i="8"/>
  <c r="S141" i="8"/>
  <c r="T139" i="8"/>
  <c r="U137" i="8"/>
  <c r="V130" i="8"/>
  <c r="W128" i="8"/>
  <c r="X126" i="8"/>
  <c r="Y124" i="8"/>
  <c r="Q111" i="8"/>
  <c r="R109" i="8"/>
  <c r="S107" i="8"/>
  <c r="T105" i="8"/>
  <c r="U103" i="8"/>
  <c r="V101" i="8"/>
  <c r="W99" i="8"/>
  <c r="X52" i="8"/>
  <c r="Y50" i="8"/>
  <c r="Q42" i="8"/>
  <c r="R40" i="8"/>
  <c r="R25" i="8"/>
  <c r="Q221" i="8"/>
  <c r="R219" i="8"/>
  <c r="S217" i="8"/>
  <c r="T215" i="8"/>
  <c r="U252" i="8"/>
  <c r="V250" i="8"/>
  <c r="W248" i="8"/>
  <c r="X246" i="8"/>
  <c r="X244" i="8"/>
  <c r="R141" i="8"/>
  <c r="S139" i="8"/>
  <c r="T137" i="8"/>
  <c r="U130" i="8"/>
  <c r="V128" i="8"/>
  <c r="W126" i="8"/>
  <c r="X124" i="8"/>
  <c r="Q109" i="8"/>
  <c r="R107" i="8"/>
  <c r="S105" i="8"/>
  <c r="T103" i="8"/>
  <c r="U101" i="8"/>
  <c r="V99" i="8"/>
  <c r="W52" i="8"/>
  <c r="X50" i="8"/>
  <c r="Q40" i="8"/>
  <c r="S27" i="8"/>
  <c r="Q219" i="8"/>
  <c r="R217" i="8"/>
  <c r="S215" i="8"/>
  <c r="T252" i="8"/>
  <c r="U250" i="8"/>
  <c r="V248" i="8"/>
  <c r="V246" i="8"/>
  <c r="W246" i="8"/>
  <c r="Q141" i="8"/>
  <c r="R139" i="8"/>
  <c r="S137" i="8"/>
  <c r="T130" i="8"/>
  <c r="U128" i="8"/>
  <c r="V126" i="8"/>
  <c r="Q107" i="8"/>
  <c r="R105" i="8"/>
  <c r="S103" i="8"/>
  <c r="T101" i="8"/>
  <c r="U99" i="8"/>
  <c r="V52" i="8"/>
  <c r="W50" i="8"/>
  <c r="R24" i="8"/>
  <c r="Y233" i="8"/>
  <c r="Q139" i="8"/>
  <c r="R137" i="8"/>
  <c r="S130" i="8"/>
  <c r="T128" i="8"/>
  <c r="U126" i="8"/>
  <c r="Q105" i="8"/>
  <c r="R103" i="8"/>
  <c r="S101" i="8"/>
  <c r="T99" i="8"/>
  <c r="U52" i="8"/>
  <c r="P252" i="8"/>
  <c r="P130" i="8"/>
  <c r="P101" i="8"/>
  <c r="P217" i="8"/>
  <c r="P139" i="8"/>
  <c r="P105" i="8"/>
  <c r="P215" i="8"/>
  <c r="P137" i="8"/>
  <c r="P103" i="8"/>
  <c r="P27" i="8"/>
  <c r="P30" i="8"/>
  <c r="P250" i="8"/>
  <c r="P128" i="8"/>
  <c r="P99" i="8"/>
  <c r="P33" i="8"/>
  <c r="P248" i="8"/>
  <c r="P246" i="8"/>
  <c r="P126" i="8"/>
  <c r="P52" i="8"/>
  <c r="P24" i="8"/>
  <c r="P22" i="8"/>
  <c r="P231" i="8"/>
  <c r="P244" i="8"/>
  <c r="P124" i="8"/>
  <c r="P50" i="8"/>
  <c r="P229" i="8"/>
  <c r="P242" i="8"/>
  <c r="P48" i="8"/>
  <c r="P227" i="8"/>
  <c r="P240" i="8"/>
  <c r="P120" i="8"/>
  <c r="P121" i="8" s="1"/>
  <c r="P46" i="8"/>
  <c r="P235" i="8"/>
  <c r="P233" i="8"/>
  <c r="P225" i="8"/>
  <c r="P113" i="8"/>
  <c r="P44" i="8"/>
  <c r="P223" i="8"/>
  <c r="P111" i="8"/>
  <c r="P42" i="8"/>
  <c r="P221" i="8"/>
  <c r="P109" i="8"/>
  <c r="P40" i="8"/>
  <c r="P25" i="8"/>
  <c r="P219" i="8"/>
  <c r="P141" i="8"/>
  <c r="P107" i="8"/>
  <c r="O223" i="8"/>
  <c r="O233" i="8"/>
  <c r="O217" i="8"/>
  <c r="O139" i="8"/>
  <c r="O215" i="8"/>
  <c r="O137" i="8"/>
  <c r="O30" i="8"/>
  <c r="O250" i="8"/>
  <c r="O248" i="8"/>
  <c r="O246" i="8"/>
  <c r="O231" i="8"/>
  <c r="O244" i="8"/>
  <c r="O252" i="8"/>
  <c r="O229" i="8"/>
  <c r="O242" i="8"/>
  <c r="O235" i="8"/>
  <c r="O227" i="8"/>
  <c r="O240" i="8"/>
  <c r="O225" i="8"/>
  <c r="O221" i="8"/>
  <c r="O219" i="8"/>
  <c r="O141" i="8"/>
  <c r="O48" i="8"/>
  <c r="O109" i="8"/>
  <c r="O27" i="8"/>
  <c r="O126" i="8"/>
  <c r="O52" i="8"/>
  <c r="O25" i="8"/>
  <c r="O124" i="8"/>
  <c r="O50" i="8"/>
  <c r="O24" i="8"/>
  <c r="O120" i="8"/>
  <c r="O121" i="8" s="1"/>
  <c r="O46" i="8"/>
  <c r="O113" i="8"/>
  <c r="O44" i="8"/>
  <c r="O111" i="8"/>
  <c r="O42" i="8"/>
  <c r="O40" i="8"/>
  <c r="O107" i="8"/>
  <c r="O105" i="8"/>
  <c r="O22" i="8"/>
  <c r="O103" i="8"/>
  <c r="O130" i="8"/>
  <c r="O101" i="8"/>
  <c r="O33" i="8"/>
  <c r="O128" i="8"/>
  <c r="O99" i="8"/>
  <c r="N229" i="8"/>
  <c r="N105" i="8"/>
  <c r="N137" i="8"/>
  <c r="N126" i="8"/>
  <c r="N52" i="8"/>
  <c r="N27" i="8"/>
  <c r="N215" i="8"/>
  <c r="N242" i="8"/>
  <c r="N109" i="8"/>
  <c r="N42" i="8"/>
  <c r="N244" i="8"/>
  <c r="N141" i="8"/>
  <c r="N227" i="8"/>
  <c r="N111" i="8"/>
  <c r="N99" i="8"/>
  <c r="N50" i="8"/>
  <c r="N48" i="8"/>
  <c r="N235" i="8"/>
  <c r="N44" i="8"/>
  <c r="N252" i="8"/>
  <c r="N128" i="8"/>
  <c r="N101" i="8"/>
  <c r="N46" i="8"/>
  <c r="N217" i="8"/>
  <c r="N246" i="8"/>
  <c r="N113" i="8"/>
  <c r="N22" i="8"/>
  <c r="N130" i="8"/>
  <c r="N120" i="8"/>
  <c r="N121" i="8" s="1"/>
  <c r="N122" i="8" s="1"/>
  <c r="N219" i="8"/>
  <c r="N248" i="8"/>
  <c r="N24" i="8"/>
  <c r="N231" i="8"/>
  <c r="N221" i="8"/>
  <c r="N124" i="8"/>
  <c r="N225" i="8"/>
  <c r="N107" i="8"/>
  <c r="N25" i="8"/>
  <c r="N30" i="8"/>
  <c r="N250" i="8"/>
  <c r="N240" i="8"/>
  <c r="N139" i="8"/>
  <c r="N103" i="8"/>
  <c r="N40" i="8"/>
  <c r="N33" i="8"/>
  <c r="N233" i="8"/>
  <c r="N223" i="8"/>
  <c r="G236" i="8"/>
  <c r="C236" i="8"/>
  <c r="N236" i="8"/>
  <c r="J236" i="8"/>
  <c r="F236" i="8"/>
  <c r="M236" i="8"/>
  <c r="I236" i="8"/>
  <c r="E236" i="8"/>
  <c r="L236" i="8"/>
  <c r="H236" i="8"/>
  <c r="D236" i="8"/>
  <c r="K236" i="8"/>
  <c r="C142" i="8"/>
  <c r="I11" i="8"/>
  <c r="E153" i="8"/>
  <c r="E142" i="8"/>
  <c r="D142" i="8"/>
  <c r="M11" i="8"/>
  <c r="L11" i="8"/>
  <c r="H11" i="8"/>
  <c r="B11" i="8"/>
  <c r="E11" i="8"/>
  <c r="C11" i="8"/>
  <c r="K11" i="8"/>
  <c r="G11" i="8"/>
  <c r="D11" i="8"/>
  <c r="L253" i="8"/>
  <c r="H253" i="8"/>
  <c r="D253" i="8"/>
  <c r="B253" i="8"/>
  <c r="N11" i="8"/>
  <c r="Z29" i="8" s="1"/>
  <c r="J11" i="8"/>
  <c r="F11" i="8"/>
  <c r="C253" i="8"/>
  <c r="B142" i="8"/>
  <c r="N142" i="8"/>
  <c r="Z143" i="8" s="1"/>
  <c r="J142" i="8"/>
  <c r="K153" i="8"/>
  <c r="G153" i="8"/>
  <c r="D153" i="8"/>
  <c r="G142" i="8"/>
  <c r="I142" i="8"/>
  <c r="F142" i="8"/>
  <c r="F153" i="8"/>
  <c r="M53" i="8"/>
  <c r="I53" i="8"/>
  <c r="E53" i="8"/>
  <c r="L53" i="8"/>
  <c r="H53" i="8"/>
  <c r="D53" i="8"/>
  <c r="K53" i="8"/>
  <c r="G53" i="8"/>
  <c r="C53" i="8"/>
  <c r="N53" i="8"/>
  <c r="Z54" i="8" s="1"/>
  <c r="J53" i="8"/>
  <c r="F53" i="8"/>
  <c r="B53" i="8"/>
  <c r="M114" i="8"/>
  <c r="I114" i="8"/>
  <c r="E114" i="8"/>
  <c r="L114" i="8"/>
  <c r="H114" i="8"/>
  <c r="D114" i="8"/>
  <c r="K114" i="8"/>
  <c r="G114" i="8"/>
  <c r="C114" i="8"/>
  <c r="N114" i="8"/>
  <c r="Z115" i="8" s="1"/>
  <c r="J114" i="8"/>
  <c r="F114" i="8"/>
  <c r="B114" i="8"/>
  <c r="M142" i="8"/>
  <c r="L142" i="8"/>
  <c r="H142" i="8"/>
  <c r="K142" i="8"/>
  <c r="C153" i="8"/>
  <c r="N153" i="8"/>
  <c r="Z154" i="8" s="1"/>
  <c r="J153" i="8"/>
  <c r="M153" i="8"/>
  <c r="I153" i="8"/>
  <c r="L153" i="8"/>
  <c r="H153" i="8"/>
  <c r="B153" i="8"/>
  <c r="N253" i="8"/>
  <c r="J253" i="8"/>
  <c r="F253" i="8"/>
  <c r="M253" i="8"/>
  <c r="I253" i="8"/>
  <c r="E253" i="8"/>
  <c r="K253" i="8"/>
  <c r="G253" i="8"/>
  <c r="B236" i="8"/>
  <c r="M258" i="8"/>
  <c r="M252" i="8"/>
  <c r="M250" i="8"/>
  <c r="M248" i="8"/>
  <c r="M246" i="8"/>
  <c r="M244" i="8"/>
  <c r="M242" i="8"/>
  <c r="M240" i="8"/>
  <c r="M235" i="8"/>
  <c r="M233" i="8"/>
  <c r="M231" i="8"/>
  <c r="M229" i="8"/>
  <c r="M227" i="8"/>
  <c r="M225" i="8"/>
  <c r="M223" i="8"/>
  <c r="M221" i="8"/>
  <c r="M219" i="8"/>
  <c r="M217" i="8"/>
  <c r="M215" i="8"/>
  <c r="M141" i="8"/>
  <c r="M139" i="8"/>
  <c r="M137" i="8"/>
  <c r="C14" i="16"/>
  <c r="M120" i="8"/>
  <c r="M121" i="8" s="1"/>
  <c r="M122" i="8" s="1"/>
  <c r="M124" i="8"/>
  <c r="M126" i="8"/>
  <c r="M128" i="8"/>
  <c r="M130" i="8"/>
  <c r="M99" i="8"/>
  <c r="M101" i="8"/>
  <c r="M103" i="8"/>
  <c r="M105" i="8"/>
  <c r="M107" i="8"/>
  <c r="M109" i="8"/>
  <c r="M111" i="8"/>
  <c r="M113" i="8"/>
  <c r="M40" i="8"/>
  <c r="M42" i="8"/>
  <c r="M44" i="8"/>
  <c r="M46" i="8"/>
  <c r="M48" i="8"/>
  <c r="M50" i="8"/>
  <c r="M52" i="8"/>
  <c r="M22" i="8"/>
  <c r="M24" i="8"/>
  <c r="M25" i="8"/>
  <c r="M27" i="8"/>
  <c r="M30" i="8"/>
  <c r="M33" i="8"/>
  <c r="M131" i="8" l="1"/>
  <c r="N131" i="8"/>
  <c r="R122" i="8"/>
  <c r="R131" i="8"/>
  <c r="Q122" i="8"/>
  <c r="Q131" i="8"/>
  <c r="O122" i="8"/>
  <c r="O131" i="8"/>
  <c r="P122" i="8"/>
  <c r="P131" i="8"/>
  <c r="T122" i="8"/>
  <c r="T131" i="8"/>
  <c r="U122" i="8"/>
  <c r="U131" i="8"/>
  <c r="S122" i="8"/>
  <c r="S131" i="8"/>
  <c r="V122" i="8"/>
  <c r="V131" i="8"/>
  <c r="X122" i="8"/>
  <c r="X131" i="8"/>
  <c r="W122" i="8"/>
  <c r="W131" i="8"/>
  <c r="Y122" i="8"/>
  <c r="Y131" i="8"/>
  <c r="AK132" i="8" s="1"/>
  <c r="AH33" i="8"/>
  <c r="AI33" i="8"/>
  <c r="AJ33" i="8"/>
  <c r="AG33" i="8"/>
  <c r="Z17" i="8"/>
  <c r="AK34" i="8" s="1"/>
  <c r="AA262" i="8"/>
  <c r="Z33" i="8"/>
  <c r="AC33" i="8"/>
  <c r="AD33" i="8"/>
  <c r="AF33" i="8"/>
  <c r="AE33" i="8"/>
  <c r="AO32" i="8"/>
  <c r="Y143" i="8"/>
  <c r="Y154" i="8"/>
  <c r="Y29" i="8"/>
  <c r="V54" i="8"/>
  <c r="R143" i="8"/>
  <c r="R29" i="8"/>
  <c r="W54" i="8"/>
  <c r="W143" i="8"/>
  <c r="X143" i="8"/>
  <c r="X54" i="8"/>
  <c r="Z16" i="8" a="1"/>
  <c r="Z16" i="8" s="1"/>
  <c r="AA33" i="8"/>
  <c r="K14" i="8"/>
  <c r="W254" i="8"/>
  <c r="U154" i="8"/>
  <c r="V115" i="8"/>
  <c r="R54" i="8"/>
  <c r="R154" i="8"/>
  <c r="Q29" i="8"/>
  <c r="T237" i="8"/>
  <c r="E14" i="8"/>
  <c r="Q254" i="8"/>
  <c r="L13" i="8"/>
  <c r="X237" i="8"/>
  <c r="I14" i="8"/>
  <c r="U254" i="8"/>
  <c r="V154" i="8"/>
  <c r="U143" i="8"/>
  <c r="V29" i="8"/>
  <c r="T29" i="8"/>
  <c r="E13" i="8"/>
  <c r="Q237" i="8"/>
  <c r="M14" i="8"/>
  <c r="Y254" i="8"/>
  <c r="S115" i="8"/>
  <c r="S143" i="8"/>
  <c r="X29" i="8"/>
  <c r="I13" i="8"/>
  <c r="U237" i="8"/>
  <c r="F14" i="8"/>
  <c r="R254" i="8"/>
  <c r="W115" i="8"/>
  <c r="S54" i="8"/>
  <c r="M13" i="8"/>
  <c r="Y237" i="8"/>
  <c r="J14" i="8"/>
  <c r="V254" i="8"/>
  <c r="S154" i="8"/>
  <c r="F13" i="8"/>
  <c r="R237" i="8"/>
  <c r="N14" i="8"/>
  <c r="Z32" i="8" s="1"/>
  <c r="Z254" i="8"/>
  <c r="T115" i="8"/>
  <c r="W154" i="8"/>
  <c r="H14" i="8"/>
  <c r="T254" i="8"/>
  <c r="Q143" i="8"/>
  <c r="J13" i="8"/>
  <c r="V237" i="8"/>
  <c r="T143" i="8"/>
  <c r="X115" i="8"/>
  <c r="T54" i="8"/>
  <c r="V143" i="8"/>
  <c r="L14" i="8"/>
  <c r="X254" i="8"/>
  <c r="Q154" i="8"/>
  <c r="N13" i="8"/>
  <c r="Z31" i="8" s="1"/>
  <c r="Z237" i="8"/>
  <c r="Q115" i="8"/>
  <c r="U29" i="8"/>
  <c r="U115" i="8"/>
  <c r="Q54" i="8"/>
  <c r="S29" i="8"/>
  <c r="T154" i="8"/>
  <c r="Y115" i="8"/>
  <c r="U54" i="8"/>
  <c r="W29" i="8"/>
  <c r="K13" i="8"/>
  <c r="W237" i="8"/>
  <c r="G13" i="8"/>
  <c r="S237" i="8"/>
  <c r="G14" i="8"/>
  <c r="S254" i="8"/>
  <c r="X154" i="8"/>
  <c r="R115" i="8"/>
  <c r="Y54" i="8"/>
  <c r="P115" i="8"/>
  <c r="D14" i="8"/>
  <c r="P254" i="8"/>
  <c r="P143" i="8"/>
  <c r="P54" i="8"/>
  <c r="P29" i="8"/>
  <c r="D13" i="8"/>
  <c r="P237" i="8"/>
  <c r="P154" i="8"/>
  <c r="O29" i="8"/>
  <c r="O115" i="8"/>
  <c r="O54" i="8"/>
  <c r="O154" i="8"/>
  <c r="O143" i="8"/>
  <c r="C14" i="8"/>
  <c r="O254" i="8"/>
  <c r="C13" i="8"/>
  <c r="O237" i="8"/>
  <c r="N29" i="8"/>
  <c r="B13" i="8"/>
  <c r="N237" i="8"/>
  <c r="N54" i="8"/>
  <c r="B14" i="8"/>
  <c r="N254" i="8"/>
  <c r="N115" i="8"/>
  <c r="N143" i="8"/>
  <c r="N154" i="8"/>
  <c r="L120" i="8"/>
  <c r="L121" i="8" s="1"/>
  <c r="L223" i="8"/>
  <c r="L229" i="8"/>
  <c r="L25" i="8"/>
  <c r="L233" i="8"/>
  <c r="L124" i="8"/>
  <c r="L250" i="8"/>
  <c r="L24" i="8"/>
  <c r="L242" i="8"/>
  <c r="L50" i="8"/>
  <c r="L27" i="8"/>
  <c r="L109" i="8"/>
  <c r="L52" i="8"/>
  <c r="L44" i="8"/>
  <c r="L137" i="8"/>
  <c r="L141" i="8"/>
  <c r="L215" i="8"/>
  <c r="L231" i="8"/>
  <c r="L252" i="8"/>
  <c r="L244" i="8"/>
  <c r="L217" i="8"/>
  <c r="L225" i="8"/>
  <c r="L219" i="8"/>
  <c r="L227" i="8"/>
  <c r="L30" i="8"/>
  <c r="L101" i="8"/>
  <c r="L240" i="8"/>
  <c r="L139" i="8"/>
  <c r="L221" i="8"/>
  <c r="L46" i="8"/>
  <c r="L113" i="8"/>
  <c r="L33" i="8"/>
  <c r="L126" i="8"/>
  <c r="L48" i="8"/>
  <c r="L40" i="8"/>
  <c r="L105" i="8"/>
  <c r="L128" i="8"/>
  <c r="L107" i="8"/>
  <c r="L246" i="8"/>
  <c r="L258" i="8"/>
  <c r="L42" i="8"/>
  <c r="L130" i="8"/>
  <c r="L235" i="8"/>
  <c r="L99" i="8"/>
  <c r="L248" i="8"/>
  <c r="L22" i="8"/>
  <c r="L111" i="8"/>
  <c r="L103" i="8"/>
  <c r="K107" i="8"/>
  <c r="K99" i="8"/>
  <c r="K124" i="8"/>
  <c r="K33" i="8"/>
  <c r="K30" i="8"/>
  <c r="K27" i="8"/>
  <c r="K25" i="8"/>
  <c r="K24" i="8"/>
  <c r="K109" i="8"/>
  <c r="K101" i="8"/>
  <c r="K126" i="8"/>
  <c r="K139" i="8"/>
  <c r="K141" i="8"/>
  <c r="K215" i="8"/>
  <c r="K217" i="8"/>
  <c r="K219" i="8"/>
  <c r="K221" i="8"/>
  <c r="K223" i="8"/>
  <c r="K225" i="8"/>
  <c r="K227" i="8"/>
  <c r="K229" i="8"/>
  <c r="K231" i="8"/>
  <c r="K246" i="8"/>
  <c r="K248" i="8"/>
  <c r="K250" i="8"/>
  <c r="K252" i="8"/>
  <c r="K258" i="8"/>
  <c r="K22" i="8"/>
  <c r="K52" i="8"/>
  <c r="K50" i="8"/>
  <c r="K48" i="8"/>
  <c r="K46" i="8"/>
  <c r="K44" i="8"/>
  <c r="K42" i="8"/>
  <c r="K40" i="8"/>
  <c r="K113" i="8"/>
  <c r="K105" i="8"/>
  <c r="K130" i="8"/>
  <c r="K111" i="8"/>
  <c r="K103" i="8"/>
  <c r="K128" i="8"/>
  <c r="K120" i="8"/>
  <c r="K121" i="8" s="1"/>
  <c r="K137" i="8"/>
  <c r="K233" i="8"/>
  <c r="K235" i="8"/>
  <c r="K240" i="8"/>
  <c r="K242" i="8"/>
  <c r="K244" i="8"/>
  <c r="J126" i="8"/>
  <c r="J252" i="8"/>
  <c r="J139" i="8"/>
  <c r="J52" i="8"/>
  <c r="J50" i="8"/>
  <c r="J48" i="8"/>
  <c r="J46" i="8"/>
  <c r="J44" i="8"/>
  <c r="J42" i="8"/>
  <c r="J40" i="8"/>
  <c r="J231" i="8"/>
  <c r="J240" i="8"/>
  <c r="J242" i="8"/>
  <c r="J107" i="8"/>
  <c r="J99" i="8"/>
  <c r="J124" i="8"/>
  <c r="J113" i="8"/>
  <c r="J105" i="8"/>
  <c r="J130" i="8"/>
  <c r="J22" i="8"/>
  <c r="J111" i="8"/>
  <c r="J103" i="8"/>
  <c r="J128" i="8"/>
  <c r="J120" i="8"/>
  <c r="J121" i="8" s="1"/>
  <c r="J137" i="8"/>
  <c r="J233" i="8"/>
  <c r="J235" i="8"/>
  <c r="J244" i="8"/>
  <c r="J33" i="8"/>
  <c r="J30" i="8"/>
  <c r="J27" i="8"/>
  <c r="J25" i="8"/>
  <c r="J24" i="8"/>
  <c r="J109" i="8"/>
  <c r="J101" i="8"/>
  <c r="J141" i="8"/>
  <c r="J215" i="8"/>
  <c r="J217" i="8"/>
  <c r="J219" i="8"/>
  <c r="J221" i="8"/>
  <c r="J223" i="8"/>
  <c r="J225" i="8"/>
  <c r="J227" i="8"/>
  <c r="J229" i="8"/>
  <c r="J246" i="8"/>
  <c r="J248" i="8"/>
  <c r="J250" i="8"/>
  <c r="J258" i="8"/>
  <c r="I231" i="8"/>
  <c r="I24" i="8"/>
  <c r="I22" i="8"/>
  <c r="I111" i="8"/>
  <c r="I103" i="8"/>
  <c r="I128" i="8"/>
  <c r="I120" i="8"/>
  <c r="I121" i="8" s="1"/>
  <c r="I137" i="8"/>
  <c r="I233" i="8"/>
  <c r="I235" i="8"/>
  <c r="I240" i="8"/>
  <c r="I242" i="8"/>
  <c r="I244" i="8"/>
  <c r="I33" i="8"/>
  <c r="I30" i="8"/>
  <c r="I27" i="8"/>
  <c r="I25" i="8"/>
  <c r="I109" i="8"/>
  <c r="I101" i="8"/>
  <c r="I126" i="8"/>
  <c r="I139" i="8"/>
  <c r="I141" i="8"/>
  <c r="I215" i="8"/>
  <c r="I217" i="8"/>
  <c r="I219" i="8"/>
  <c r="I221" i="8"/>
  <c r="I223" i="8"/>
  <c r="I225" i="8"/>
  <c r="I227" i="8"/>
  <c r="I229" i="8"/>
  <c r="I246" i="8"/>
  <c r="I248" i="8"/>
  <c r="I250" i="8"/>
  <c r="I252" i="8"/>
  <c r="I258" i="8"/>
  <c r="I107" i="8"/>
  <c r="I99" i="8"/>
  <c r="I124" i="8"/>
  <c r="I52" i="8"/>
  <c r="I50" i="8"/>
  <c r="I48" i="8"/>
  <c r="I46" i="8"/>
  <c r="I44" i="8"/>
  <c r="I42" i="8"/>
  <c r="I40" i="8"/>
  <c r="I113" i="8"/>
  <c r="I105" i="8"/>
  <c r="I130" i="8"/>
  <c r="H107" i="8"/>
  <c r="H99" i="8"/>
  <c r="H124" i="8"/>
  <c r="H22" i="8"/>
  <c r="H52" i="8"/>
  <c r="H50" i="8"/>
  <c r="H48" i="8"/>
  <c r="H46" i="8"/>
  <c r="H44" i="8"/>
  <c r="H42" i="8"/>
  <c r="H40" i="8"/>
  <c r="H113" i="8"/>
  <c r="H105" i="8"/>
  <c r="H130" i="8"/>
  <c r="H244" i="8"/>
  <c r="H24" i="8"/>
  <c r="H111" i="8"/>
  <c r="H103" i="8"/>
  <c r="H128" i="8"/>
  <c r="H120" i="8"/>
  <c r="H121" i="8" s="1"/>
  <c r="H137" i="8"/>
  <c r="H231" i="8"/>
  <c r="H233" i="8"/>
  <c r="H235" i="8"/>
  <c r="H240" i="8"/>
  <c r="H242" i="8"/>
  <c r="H33" i="8"/>
  <c r="H30" i="8"/>
  <c r="H27" i="8"/>
  <c r="H25" i="8"/>
  <c r="H109" i="8"/>
  <c r="H101" i="8"/>
  <c r="H126" i="8"/>
  <c r="H139" i="8"/>
  <c r="H141" i="8"/>
  <c r="H215" i="8"/>
  <c r="H217" i="8"/>
  <c r="H219" i="8"/>
  <c r="H221" i="8"/>
  <c r="H223" i="8"/>
  <c r="H225" i="8"/>
  <c r="H227" i="8"/>
  <c r="H229" i="8"/>
  <c r="H246" i="8"/>
  <c r="H248" i="8"/>
  <c r="H250" i="8"/>
  <c r="H252" i="8"/>
  <c r="H258" i="8"/>
  <c r="H13" i="8"/>
  <c r="G22" i="8"/>
  <c r="G52" i="8"/>
  <c r="G50" i="8"/>
  <c r="G48" i="8"/>
  <c r="G46" i="8"/>
  <c r="G44" i="8"/>
  <c r="G42" i="8"/>
  <c r="G40" i="8"/>
  <c r="G113" i="8"/>
  <c r="G105" i="8"/>
  <c r="G130" i="8"/>
  <c r="G139" i="8"/>
  <c r="G141" i="8"/>
  <c r="G215" i="8"/>
  <c r="G217" i="8"/>
  <c r="G219" i="8"/>
  <c r="G221" i="8"/>
  <c r="G223" i="8"/>
  <c r="G225" i="8"/>
  <c r="G227" i="8"/>
  <c r="G229" i="8"/>
  <c r="G246" i="8"/>
  <c r="G248" i="8"/>
  <c r="G250" i="8"/>
  <c r="G252" i="8"/>
  <c r="G258" i="8"/>
  <c r="G24" i="8"/>
  <c r="G111" i="8"/>
  <c r="G103" i="8"/>
  <c r="G128" i="8"/>
  <c r="G120" i="8"/>
  <c r="G121" i="8" s="1"/>
  <c r="G244" i="8"/>
  <c r="G33" i="8"/>
  <c r="G30" i="8"/>
  <c r="G27" i="8"/>
  <c r="G25" i="8"/>
  <c r="G109" i="8"/>
  <c r="G101" i="8"/>
  <c r="G126" i="8"/>
  <c r="G107" i="8"/>
  <c r="G99" i="8"/>
  <c r="G124" i="8"/>
  <c r="G137" i="8"/>
  <c r="G231" i="8"/>
  <c r="G233" i="8"/>
  <c r="G235" i="8"/>
  <c r="G240" i="8"/>
  <c r="G242" i="8"/>
  <c r="F24" i="8"/>
  <c r="F111" i="8"/>
  <c r="F103" i="8"/>
  <c r="F128" i="8"/>
  <c r="F120" i="8"/>
  <c r="F121" i="8" s="1"/>
  <c r="F244" i="8"/>
  <c r="F33" i="8"/>
  <c r="F30" i="8"/>
  <c r="F27" i="8"/>
  <c r="F25" i="8"/>
  <c r="F109" i="8"/>
  <c r="F101" i="8"/>
  <c r="F126" i="8"/>
  <c r="F107" i="8"/>
  <c r="F99" i="8"/>
  <c r="F124" i="8"/>
  <c r="F137" i="8"/>
  <c r="F231" i="8"/>
  <c r="F233" i="8"/>
  <c r="F235" i="8"/>
  <c r="F240" i="8"/>
  <c r="F242" i="8"/>
  <c r="F22" i="8"/>
  <c r="F52" i="8"/>
  <c r="F50" i="8"/>
  <c r="F48" i="8"/>
  <c r="F46" i="8"/>
  <c r="F44" i="8"/>
  <c r="F42" i="8"/>
  <c r="F40" i="8"/>
  <c r="F113" i="8"/>
  <c r="F105" i="8"/>
  <c r="F130" i="8"/>
  <c r="F139" i="8"/>
  <c r="F141" i="8"/>
  <c r="F215" i="8"/>
  <c r="F217" i="8"/>
  <c r="F219" i="8"/>
  <c r="F221" i="8"/>
  <c r="F223" i="8"/>
  <c r="F225" i="8"/>
  <c r="F227" i="8"/>
  <c r="F229" i="8"/>
  <c r="F246" i="8"/>
  <c r="F248" i="8"/>
  <c r="F250" i="8"/>
  <c r="F252" i="8"/>
  <c r="F258" i="8"/>
  <c r="E33" i="8"/>
  <c r="E30" i="8"/>
  <c r="E27" i="8"/>
  <c r="E25" i="8"/>
  <c r="E109" i="8"/>
  <c r="E101" i="8"/>
  <c r="E126" i="8"/>
  <c r="E107" i="8"/>
  <c r="E99" i="8"/>
  <c r="E124" i="8"/>
  <c r="E137" i="8"/>
  <c r="E231" i="8"/>
  <c r="E233" i="8"/>
  <c r="E235" i="8"/>
  <c r="E240" i="8"/>
  <c r="E242" i="8"/>
  <c r="E22" i="8"/>
  <c r="E52" i="8"/>
  <c r="E50" i="8"/>
  <c r="E48" i="8"/>
  <c r="E46" i="8"/>
  <c r="E44" i="8"/>
  <c r="E42" i="8"/>
  <c r="E40" i="8"/>
  <c r="E113" i="8"/>
  <c r="E105" i="8"/>
  <c r="E130" i="8"/>
  <c r="E139" i="8"/>
  <c r="E141" i="8"/>
  <c r="E215" i="8"/>
  <c r="E217" i="8"/>
  <c r="E219" i="8"/>
  <c r="E221" i="8"/>
  <c r="E223" i="8"/>
  <c r="E225" i="8"/>
  <c r="E227" i="8"/>
  <c r="E229" i="8"/>
  <c r="E244" i="8"/>
  <c r="E246" i="8"/>
  <c r="E248" i="8"/>
  <c r="E250" i="8"/>
  <c r="E252" i="8"/>
  <c r="E258" i="8"/>
  <c r="E24" i="8"/>
  <c r="E111" i="8"/>
  <c r="E103" i="8"/>
  <c r="E128" i="8"/>
  <c r="E120" i="8"/>
  <c r="E121" i="8" s="1"/>
  <c r="D107" i="8"/>
  <c r="D99" i="8"/>
  <c r="D124" i="8"/>
  <c r="D137" i="8"/>
  <c r="D231" i="8"/>
  <c r="D233" i="8"/>
  <c r="D235" i="8"/>
  <c r="D240" i="8"/>
  <c r="D242" i="8"/>
  <c r="D22" i="8"/>
  <c r="D52" i="8"/>
  <c r="D50" i="8"/>
  <c r="D48" i="8"/>
  <c r="D46" i="8"/>
  <c r="D44" i="8"/>
  <c r="D42" i="8"/>
  <c r="D40" i="8"/>
  <c r="D113" i="8"/>
  <c r="D105" i="8"/>
  <c r="D130" i="8"/>
  <c r="D139" i="8"/>
  <c r="D141" i="8"/>
  <c r="D215" i="8"/>
  <c r="D217" i="8"/>
  <c r="D219" i="8"/>
  <c r="D221" i="8"/>
  <c r="D223" i="8"/>
  <c r="D225" i="8"/>
  <c r="D227" i="8"/>
  <c r="D229" i="8"/>
  <c r="D244" i="8"/>
  <c r="D246" i="8"/>
  <c r="D248" i="8"/>
  <c r="D250" i="8"/>
  <c r="D252" i="8"/>
  <c r="D258" i="8"/>
  <c r="D24" i="8"/>
  <c r="D111" i="8"/>
  <c r="D103" i="8"/>
  <c r="D128" i="8"/>
  <c r="D120" i="8"/>
  <c r="D121" i="8" s="1"/>
  <c r="D33" i="8"/>
  <c r="D30" i="8"/>
  <c r="D27" i="8"/>
  <c r="D25" i="8"/>
  <c r="D109" i="8"/>
  <c r="D101" i="8"/>
  <c r="D126" i="8"/>
  <c r="C107" i="8"/>
  <c r="C99" i="8"/>
  <c r="C124" i="8"/>
  <c r="C137" i="8"/>
  <c r="C231" i="8"/>
  <c r="C233" i="8"/>
  <c r="C235" i="8"/>
  <c r="C240" i="8"/>
  <c r="C242" i="8"/>
  <c r="C22" i="8"/>
  <c r="C52" i="8"/>
  <c r="C50" i="8"/>
  <c r="C48" i="8"/>
  <c r="C46" i="8"/>
  <c r="C44" i="8"/>
  <c r="C42" i="8"/>
  <c r="C40" i="8"/>
  <c r="C113" i="8"/>
  <c r="C105" i="8"/>
  <c r="C130" i="8"/>
  <c r="C139" i="8"/>
  <c r="C141" i="8"/>
  <c r="C215" i="8"/>
  <c r="C217" i="8"/>
  <c r="C219" i="8"/>
  <c r="C221" i="8"/>
  <c r="C223" i="8"/>
  <c r="C225" i="8"/>
  <c r="C227" i="8"/>
  <c r="C229" i="8"/>
  <c r="C244" i="8"/>
  <c r="C246" i="8"/>
  <c r="C248" i="8"/>
  <c r="C250" i="8"/>
  <c r="C252" i="8"/>
  <c r="C258" i="8"/>
  <c r="C111" i="8"/>
  <c r="C103" i="8"/>
  <c r="C128" i="8"/>
  <c r="C120" i="8"/>
  <c r="C121" i="8" s="1"/>
  <c r="C24" i="8"/>
  <c r="C33" i="8"/>
  <c r="C30" i="8"/>
  <c r="C27" i="8"/>
  <c r="C25" i="8"/>
  <c r="C109" i="8"/>
  <c r="C101" i="8"/>
  <c r="C126" i="8"/>
  <c r="B22" i="8"/>
  <c r="B52" i="8"/>
  <c r="B50" i="8"/>
  <c r="B48" i="8"/>
  <c r="B46" i="8"/>
  <c r="B44" i="8"/>
  <c r="B42" i="8"/>
  <c r="B40" i="8"/>
  <c r="B113" i="8"/>
  <c r="B105" i="8"/>
  <c r="B130" i="8"/>
  <c r="B137" i="8"/>
  <c r="B231" i="8"/>
  <c r="B233" i="8"/>
  <c r="B235" i="8"/>
  <c r="B240" i="8"/>
  <c r="B242" i="8"/>
  <c r="B24" i="8"/>
  <c r="B111" i="8"/>
  <c r="B103" i="8"/>
  <c r="B128" i="8"/>
  <c r="B120" i="8"/>
  <c r="B121" i="8" s="1"/>
  <c r="B139" i="8"/>
  <c r="B215" i="8"/>
  <c r="B217" i="8"/>
  <c r="B219" i="8"/>
  <c r="B221" i="8"/>
  <c r="B223" i="8"/>
  <c r="B225" i="8"/>
  <c r="B227" i="8"/>
  <c r="B229" i="8"/>
  <c r="B244" i="8"/>
  <c r="B246" i="8"/>
  <c r="B248" i="8"/>
  <c r="B250" i="8"/>
  <c r="B252" i="8"/>
  <c r="B258" i="8"/>
  <c r="B33" i="8"/>
  <c r="B30" i="8"/>
  <c r="B27" i="8"/>
  <c r="B25" i="8"/>
  <c r="B109" i="8"/>
  <c r="B101" i="8"/>
  <c r="B126" i="8"/>
  <c r="B107" i="8"/>
  <c r="B99" i="8"/>
  <c r="B124" i="8"/>
  <c r="M154" i="8"/>
  <c r="M143" i="8"/>
  <c r="M115" i="8"/>
  <c r="M54" i="8"/>
  <c r="M29" i="8"/>
  <c r="AI132" i="8" l="1"/>
  <c r="Z132" i="8"/>
  <c r="G122" i="8"/>
  <c r="G131" i="8"/>
  <c r="H122" i="8"/>
  <c r="H131" i="8"/>
  <c r="AG132" i="8"/>
  <c r="I122" i="8"/>
  <c r="I131" i="8"/>
  <c r="AF132" i="8"/>
  <c r="C122" i="8"/>
  <c r="C131" i="8"/>
  <c r="D122" i="8"/>
  <c r="D131" i="8"/>
  <c r="AB132" i="8"/>
  <c r="F122" i="8"/>
  <c r="F131" i="8"/>
  <c r="K122" i="8"/>
  <c r="K131" i="8"/>
  <c r="AJ132" i="8"/>
  <c r="AA132" i="8"/>
  <c r="L122" i="8"/>
  <c r="L131" i="8"/>
  <c r="X132" i="8" s="1"/>
  <c r="Y132" i="8"/>
  <c r="AH132" i="8"/>
  <c r="AC132" i="8"/>
  <c r="E122" i="8"/>
  <c r="E131" i="8"/>
  <c r="J122" i="8"/>
  <c r="J131" i="8"/>
  <c r="B122" i="8"/>
  <c r="B131" i="8"/>
  <c r="B132" i="8" s="1"/>
  <c r="AE132" i="8"/>
  <c r="AD132" i="8"/>
  <c r="AH34" i="8"/>
  <c r="AI34" i="8"/>
  <c r="AJ34" i="8"/>
  <c r="AO33" i="8"/>
  <c r="K261" i="8"/>
  <c r="L261" i="8"/>
  <c r="J261" i="8"/>
  <c r="I261" i="8"/>
  <c r="F261" i="8"/>
  <c r="I17" i="8"/>
  <c r="I18" i="8" s="1"/>
  <c r="E17" i="8"/>
  <c r="E18" i="8" s="1"/>
  <c r="Y32" i="8"/>
  <c r="E261" i="8"/>
  <c r="G17" i="8"/>
  <c r="G18" i="8" s="1"/>
  <c r="F17" i="8"/>
  <c r="F18" i="8" s="1"/>
  <c r="G261" i="8"/>
  <c r="T32" i="8"/>
  <c r="J17" i="8"/>
  <c r="J18" i="8" s="1"/>
  <c r="N261" i="8"/>
  <c r="Z262" i="8" s="1"/>
  <c r="M261" i="8"/>
  <c r="M17" i="8"/>
  <c r="M18" i="8" s="1"/>
  <c r="K17" i="8"/>
  <c r="K18" i="8" s="1"/>
  <c r="L17" i="8"/>
  <c r="L18" i="8" s="1"/>
  <c r="V32" i="8"/>
  <c r="T31" i="8"/>
  <c r="Z18" i="8" a="1"/>
  <c r="Z18" i="8" s="1"/>
  <c r="AA34" i="8"/>
  <c r="X31" i="8"/>
  <c r="Y31" i="8"/>
  <c r="X32" i="8"/>
  <c r="Q32" i="8"/>
  <c r="Q31" i="8"/>
  <c r="S32" i="8"/>
  <c r="R32" i="8"/>
  <c r="S31" i="8"/>
  <c r="R31" i="8"/>
  <c r="U31" i="8"/>
  <c r="N17" i="8"/>
  <c r="W31" i="8"/>
  <c r="V31" i="8"/>
  <c r="P32" i="8"/>
  <c r="U32" i="8"/>
  <c r="W32" i="8"/>
  <c r="O32" i="8"/>
  <c r="P31" i="8"/>
  <c r="D17" i="8"/>
  <c r="D261" i="8"/>
  <c r="O31" i="8"/>
  <c r="N32" i="8"/>
  <c r="C261" i="8"/>
  <c r="C17" i="8"/>
  <c r="C18" i="8" s="1"/>
  <c r="B17" i="8"/>
  <c r="B18" i="8" s="1"/>
  <c r="B261" i="8"/>
  <c r="N31" i="8"/>
  <c r="L115" i="8"/>
  <c r="L54" i="8"/>
  <c r="L143" i="8"/>
  <c r="L237" i="8"/>
  <c r="L254" i="8"/>
  <c r="M31" i="8"/>
  <c r="M237" i="8"/>
  <c r="M32" i="8"/>
  <c r="M254" i="8"/>
  <c r="L29" i="8"/>
  <c r="L154" i="8"/>
  <c r="K115" i="8"/>
  <c r="K143" i="8"/>
  <c r="K154" i="8"/>
  <c r="K54" i="8"/>
  <c r="K29" i="8"/>
  <c r="K237" i="8"/>
  <c r="K254" i="8"/>
  <c r="J115" i="8"/>
  <c r="J143" i="8"/>
  <c r="J54" i="8"/>
  <c r="J29" i="8"/>
  <c r="J237" i="8"/>
  <c r="J254" i="8"/>
  <c r="J154" i="8"/>
  <c r="I54" i="8"/>
  <c r="I115" i="8"/>
  <c r="I143" i="8"/>
  <c r="I29" i="8"/>
  <c r="I154" i="8"/>
  <c r="I237" i="8"/>
  <c r="I254" i="8"/>
  <c r="H29" i="8"/>
  <c r="H237" i="8"/>
  <c r="H54" i="8"/>
  <c r="H115" i="8"/>
  <c r="H143" i="8"/>
  <c r="H154" i="8"/>
  <c r="H254" i="8"/>
  <c r="H17" i="8"/>
  <c r="H261" i="8"/>
  <c r="G154" i="8"/>
  <c r="G54" i="8"/>
  <c r="G115" i="8"/>
  <c r="G143" i="8"/>
  <c r="G29" i="8"/>
  <c r="G237" i="8"/>
  <c r="G254" i="8"/>
  <c r="F154" i="8"/>
  <c r="F54" i="8"/>
  <c r="F115" i="8"/>
  <c r="F143" i="8"/>
  <c r="F29" i="8"/>
  <c r="F237" i="8"/>
  <c r="F254" i="8"/>
  <c r="E143" i="8"/>
  <c r="E29" i="8"/>
  <c r="E154" i="8"/>
  <c r="E115" i="8"/>
  <c r="E54" i="8"/>
  <c r="E237" i="8"/>
  <c r="E254" i="8"/>
  <c r="D29" i="8"/>
  <c r="D54" i="8"/>
  <c r="D115" i="8"/>
  <c r="D143" i="8"/>
  <c r="D154" i="8"/>
  <c r="D254" i="8"/>
  <c r="D237" i="8"/>
  <c r="C54" i="8"/>
  <c r="C115" i="8"/>
  <c r="C154" i="8"/>
  <c r="C143" i="8"/>
  <c r="C29" i="8"/>
  <c r="C237" i="8"/>
  <c r="C254" i="8"/>
  <c r="B154" i="8"/>
  <c r="B29" i="8"/>
  <c r="B54" i="8"/>
  <c r="B115" i="8"/>
  <c r="B143" i="8"/>
  <c r="B237" i="8"/>
  <c r="B254" i="8"/>
  <c r="J132" i="8" l="1"/>
  <c r="P132" i="8"/>
  <c r="O132" i="8"/>
  <c r="I132" i="8"/>
  <c r="U132" i="8"/>
  <c r="W132" i="8"/>
  <c r="V132" i="8"/>
  <c r="K132" i="8"/>
  <c r="L132" i="8"/>
  <c r="T132" i="8"/>
  <c r="R132" i="8"/>
  <c r="N132" i="8"/>
  <c r="M132" i="8"/>
  <c r="G132" i="8"/>
  <c r="S132" i="8"/>
  <c r="H132" i="8"/>
  <c r="D132" i="8"/>
  <c r="E132" i="8"/>
  <c r="F132" i="8"/>
  <c r="Q132" i="8"/>
  <c r="C132" i="8"/>
  <c r="AA35" i="8"/>
  <c r="W262" i="8"/>
  <c r="V34" i="8"/>
  <c r="T262" i="8"/>
  <c r="U262" i="8"/>
  <c r="Y262" i="8"/>
  <c r="V262" i="8"/>
  <c r="X262" i="8"/>
  <c r="S34" i="8"/>
  <c r="T34" i="8"/>
  <c r="W34" i="8"/>
  <c r="R34" i="8"/>
  <c r="R262" i="8"/>
  <c r="Y34" i="8"/>
  <c r="Q34" i="8"/>
  <c r="Q262" i="8"/>
  <c r="N18" i="8"/>
  <c r="Z35" i="8" s="1"/>
  <c r="Z34" i="8"/>
  <c r="U34" i="8"/>
  <c r="X34" i="8"/>
  <c r="S262" i="8"/>
  <c r="P262" i="8"/>
  <c r="D18" i="8"/>
  <c r="P34" i="8"/>
  <c r="O262" i="8"/>
  <c r="O34" i="8"/>
  <c r="N262" i="8"/>
  <c r="N34" i="8"/>
  <c r="M262" i="8"/>
  <c r="L32" i="8"/>
  <c r="K31" i="8"/>
  <c r="K32" i="8"/>
  <c r="L31" i="8"/>
  <c r="J31" i="8"/>
  <c r="J32" i="8"/>
  <c r="I31" i="8"/>
  <c r="I32" i="8"/>
  <c r="H32" i="8"/>
  <c r="G31" i="8"/>
  <c r="H31" i="8"/>
  <c r="G32" i="8"/>
  <c r="H18" i="8"/>
  <c r="F31" i="8"/>
  <c r="F32" i="8"/>
  <c r="D32" i="8"/>
  <c r="E32" i="8"/>
  <c r="D31" i="8"/>
  <c r="E31" i="8"/>
  <c r="C31" i="8"/>
  <c r="C32" i="8"/>
  <c r="B32" i="8"/>
  <c r="B31" i="8"/>
  <c r="D15" i="16"/>
  <c r="T35" i="8" l="1"/>
  <c r="W35" i="8"/>
  <c r="Q35" i="8"/>
  <c r="Y35" i="8"/>
  <c r="S35" i="8"/>
  <c r="R35" i="8"/>
  <c r="U35" i="8"/>
  <c r="V35" i="8"/>
  <c r="X35" i="8"/>
  <c r="N35" i="8"/>
  <c r="P35" i="8"/>
  <c r="O35" i="8"/>
  <c r="L34" i="8"/>
  <c r="M34" i="8"/>
  <c r="M35" i="8"/>
  <c r="L262" i="8"/>
  <c r="K262" i="8"/>
  <c r="J262" i="8"/>
  <c r="K34" i="8"/>
  <c r="I262" i="8"/>
  <c r="J34" i="8"/>
  <c r="H262" i="8"/>
  <c r="I34" i="8"/>
  <c r="G262" i="8"/>
  <c r="H34" i="8"/>
  <c r="G34" i="8"/>
  <c r="F262" i="8"/>
  <c r="E262" i="8"/>
  <c r="F34" i="8"/>
  <c r="D262" i="8"/>
  <c r="E34" i="8"/>
  <c r="C262" i="8"/>
  <c r="D34" i="8"/>
  <c r="B262" i="8"/>
  <c r="C34" i="8"/>
  <c r="B34" i="8"/>
  <c r="I35" i="8" l="1"/>
  <c r="J35" i="8"/>
  <c r="K35" i="8"/>
  <c r="L35" i="8"/>
  <c r="E35" i="8"/>
  <c r="D35" i="8"/>
  <c r="H35" i="8"/>
  <c r="F35" i="8"/>
  <c r="G35" i="8"/>
  <c r="C35" i="8"/>
  <c r="B35" i="8"/>
  <c r="S3" i="1" l="1"/>
  <c r="AC3" i="1"/>
  <c r="S4" i="1"/>
  <c r="AC4" i="1"/>
  <c r="M5" i="1"/>
  <c r="S5" i="1"/>
  <c r="AC5" i="1"/>
  <c r="M6" i="1"/>
  <c r="S6" i="1"/>
  <c r="AC6" i="1"/>
  <c r="M7" i="1"/>
  <c r="S7" i="1"/>
  <c r="AC7" i="1"/>
  <c r="M8" i="1"/>
  <c r="S8" i="1"/>
  <c r="AC8" i="1"/>
  <c r="M9" i="1"/>
  <c r="S9" i="1"/>
  <c r="AC9" i="1"/>
  <c r="M10" i="1"/>
  <c r="S10" i="1"/>
  <c r="AC10" i="1"/>
  <c r="S11" i="1"/>
  <c r="AC11" i="1"/>
  <c r="M12" i="1"/>
  <c r="S12" i="1"/>
  <c r="AC12" i="1"/>
  <c r="M13" i="1"/>
  <c r="S13" i="1"/>
  <c r="AC13" i="1"/>
  <c r="S15" i="1"/>
  <c r="AC15" i="1"/>
  <c r="M16" i="1"/>
  <c r="S16" i="1"/>
  <c r="AC16" i="1"/>
  <c r="M17" i="1"/>
  <c r="S17" i="1"/>
  <c r="AC17" i="1"/>
  <c r="M18" i="1"/>
  <c r="S18" i="1"/>
  <c r="AC18" i="1"/>
  <c r="S19" i="1"/>
  <c r="AC19" i="1"/>
  <c r="M20" i="1"/>
  <c r="S20" i="1"/>
  <c r="AC20" i="1"/>
  <c r="M21" i="1"/>
  <c r="S21" i="1"/>
  <c r="AC21" i="1"/>
  <c r="M22" i="1"/>
  <c r="S22" i="1"/>
  <c r="AC22" i="1"/>
  <c r="M23" i="1"/>
  <c r="S23" i="1"/>
  <c r="AC23" i="1"/>
  <c r="M24" i="1"/>
  <c r="S24" i="1"/>
  <c r="AC24" i="1"/>
  <c r="S25" i="1"/>
  <c r="AC25" i="1"/>
  <c r="M26" i="1"/>
  <c r="S26" i="1"/>
  <c r="AC26" i="1"/>
  <c r="M27" i="1"/>
  <c r="S27" i="1"/>
  <c r="AC27" i="1"/>
  <c r="M28" i="1"/>
  <c r="S28" i="1"/>
  <c r="AC28" i="1"/>
  <c r="M29" i="1"/>
  <c r="S29" i="1"/>
  <c r="AC29" i="1"/>
  <c r="M30" i="1"/>
  <c r="S30" i="1"/>
  <c r="AC30" i="1"/>
  <c r="M31" i="1"/>
  <c r="S31" i="1"/>
  <c r="AC31" i="1"/>
  <c r="M32" i="1"/>
  <c r="S32" i="1"/>
  <c r="AC32" i="1"/>
  <c r="M33" i="1"/>
  <c r="S33" i="1"/>
  <c r="AC33" i="1"/>
  <c r="M34" i="1"/>
  <c r="S34" i="1"/>
  <c r="AC34" i="1"/>
  <c r="S35" i="1"/>
  <c r="AC35" i="1"/>
  <c r="M36" i="1"/>
  <c r="S36" i="1"/>
  <c r="AC36" i="1"/>
  <c r="M37" i="1"/>
  <c r="S37" i="1"/>
  <c r="AC37" i="1"/>
  <c r="M38" i="1"/>
  <c r="S38" i="1"/>
  <c r="AC38" i="1"/>
  <c r="M39" i="1"/>
  <c r="S39" i="1"/>
  <c r="AC39" i="1"/>
  <c r="S40" i="1"/>
  <c r="AC40" i="1"/>
  <c r="M41" i="1"/>
  <c r="S41" i="1"/>
  <c r="AC41" i="1"/>
  <c r="M42" i="1"/>
  <c r="S42" i="1"/>
  <c r="AC42" i="1"/>
  <c r="M43" i="1"/>
  <c r="S43" i="1"/>
  <c r="AC43" i="1"/>
  <c r="M44" i="1"/>
  <c r="S44" i="1"/>
  <c r="AC44" i="1"/>
  <c r="M45" i="1"/>
  <c r="S45" i="1"/>
  <c r="AC45" i="1"/>
  <c r="S46" i="1"/>
  <c r="AC46" i="1"/>
  <c r="S47" i="1"/>
  <c r="AC47" i="1"/>
  <c r="S48" i="1"/>
  <c r="AC48" i="1"/>
  <c r="S49" i="1"/>
  <c r="AC49" i="1"/>
  <c r="S50" i="1"/>
  <c r="AC50" i="1"/>
  <c r="S51" i="1"/>
  <c r="AC51" i="1"/>
  <c r="S52" i="1"/>
  <c r="AC52" i="1"/>
  <c r="S53" i="1"/>
  <c r="AC53" i="1"/>
  <c r="S54" i="1"/>
  <c r="AC54" i="1"/>
  <c r="M55" i="1"/>
  <c r="S55" i="1"/>
  <c r="AC55" i="1"/>
  <c r="M56" i="1"/>
  <c r="S56" i="1"/>
  <c r="AC56" i="1"/>
  <c r="M57" i="1"/>
  <c r="S57" i="1"/>
  <c r="AC57" i="1"/>
  <c r="M58" i="1"/>
  <c r="S58" i="1"/>
  <c r="AC58" i="1"/>
  <c r="S59" i="1"/>
  <c r="AC59" i="1"/>
  <c r="M60" i="1"/>
  <c r="AC60" i="1"/>
  <c r="M61" i="1"/>
  <c r="S61" i="1"/>
  <c r="AC61" i="1"/>
  <c r="M62" i="1"/>
  <c r="S62" i="1"/>
  <c r="AC62" i="1"/>
  <c r="M63" i="1"/>
  <c r="S63" i="1"/>
  <c r="AC63" i="1"/>
  <c r="M64" i="1"/>
  <c r="S64" i="1"/>
  <c r="AC64" i="1"/>
  <c r="M65" i="1"/>
  <c r="S65" i="1"/>
  <c r="AC65" i="1"/>
  <c r="M66" i="1"/>
  <c r="S66" i="1"/>
  <c r="AC66" i="1"/>
  <c r="M67" i="1"/>
  <c r="S67" i="1"/>
  <c r="AC67" i="1"/>
  <c r="M68" i="1"/>
  <c r="S68" i="1"/>
  <c r="AC68" i="1"/>
  <c r="M69" i="1"/>
  <c r="S69" i="1"/>
  <c r="AC69" i="1"/>
  <c r="M70" i="1"/>
  <c r="S70" i="1"/>
  <c r="AC70" i="1"/>
  <c r="M71" i="1"/>
  <c r="S71" i="1"/>
  <c r="AC71" i="1"/>
  <c r="M72" i="1"/>
  <c r="S72" i="1"/>
  <c r="AC72" i="1"/>
  <c r="S73" i="1"/>
  <c r="AC73" i="1"/>
  <c r="M74" i="1"/>
  <c r="S74" i="1"/>
  <c r="AC74" i="1"/>
  <c r="M75" i="1"/>
  <c r="S75" i="1"/>
  <c r="AC75" i="1"/>
  <c r="M76" i="1"/>
  <c r="S76" i="1"/>
  <c r="AC76" i="1"/>
  <c r="M77" i="1"/>
  <c r="S77" i="1"/>
  <c r="AC77" i="1"/>
  <c r="M78" i="1"/>
  <c r="S78" i="1"/>
  <c r="AC78" i="1"/>
  <c r="M79" i="1"/>
  <c r="S79" i="1"/>
  <c r="AC79" i="1"/>
  <c r="M80" i="1"/>
  <c r="S80" i="1"/>
  <c r="AC80" i="1"/>
  <c r="M81" i="1"/>
  <c r="S81" i="1"/>
  <c r="AC81" i="1"/>
  <c r="M82" i="1"/>
  <c r="S82" i="1"/>
  <c r="AC82" i="1"/>
  <c r="M83" i="1"/>
  <c r="S83" i="1"/>
  <c r="AC83" i="1"/>
  <c r="M84" i="1"/>
  <c r="S84" i="1"/>
  <c r="AC84" i="1"/>
  <c r="M85" i="1"/>
  <c r="S85" i="1"/>
  <c r="AC85" i="1"/>
  <c r="S86" i="1"/>
  <c r="AC86" i="1"/>
  <c r="S87" i="1"/>
  <c r="AC87" i="1"/>
  <c r="S88" i="1"/>
  <c r="AC88" i="1"/>
  <c r="S89" i="1"/>
  <c r="AC89" i="1"/>
  <c r="S90" i="1"/>
  <c r="AC90" i="1"/>
  <c r="S91" i="1"/>
  <c r="AC91" i="1"/>
  <c r="S92" i="1"/>
  <c r="AC92" i="1"/>
  <c r="M93" i="1"/>
  <c r="S93" i="1"/>
  <c r="AC93" i="1"/>
  <c r="M94" i="1"/>
  <c r="S94" i="1"/>
  <c r="AC94" i="1"/>
  <c r="M95" i="1"/>
  <c r="S95" i="1"/>
  <c r="AC95" i="1"/>
  <c r="M96" i="1"/>
  <c r="S96" i="1"/>
  <c r="AC96" i="1"/>
  <c r="M97" i="1"/>
  <c r="S97" i="1"/>
  <c r="AC97" i="1"/>
  <c r="M98" i="1"/>
  <c r="S98" i="1"/>
  <c r="AC98" i="1"/>
  <c r="M99" i="1"/>
  <c r="S99" i="1"/>
  <c r="AC99" i="1"/>
  <c r="M100" i="1"/>
  <c r="S100" i="1"/>
  <c r="AC100" i="1"/>
  <c r="M101" i="1"/>
  <c r="S101" i="1"/>
  <c r="AC101" i="1"/>
  <c r="M102" i="1"/>
  <c r="S102" i="1"/>
  <c r="AC102" i="1"/>
  <c r="M103" i="1"/>
  <c r="S103" i="1"/>
  <c r="AC103" i="1"/>
  <c r="M104" i="1"/>
  <c r="S104" i="1"/>
  <c r="AC104" i="1"/>
  <c r="M105" i="1"/>
  <c r="S105" i="1"/>
  <c r="AC105" i="1"/>
  <c r="M106" i="1"/>
  <c r="S106" i="1"/>
  <c r="AC106" i="1"/>
  <c r="M107" i="1"/>
  <c r="S107" i="1"/>
  <c r="AC107" i="1"/>
  <c r="M108" i="1"/>
  <c r="S108" i="1"/>
  <c r="AC108" i="1"/>
  <c r="M109" i="1"/>
  <c r="S109" i="1"/>
  <c r="AC109" i="1"/>
  <c r="M110" i="1"/>
  <c r="S110" i="1"/>
  <c r="AC110" i="1"/>
  <c r="M111" i="1"/>
  <c r="S111" i="1"/>
  <c r="AC111" i="1"/>
  <c r="M112" i="1"/>
  <c r="S112" i="1"/>
  <c r="AC112" i="1"/>
  <c r="S113" i="1"/>
  <c r="AC113" i="1"/>
  <c r="S114" i="1"/>
  <c r="AC114" i="1"/>
  <c r="S115" i="1"/>
  <c r="AC115" i="1"/>
  <c r="M116" i="1"/>
  <c r="S116" i="1"/>
  <c r="AC116" i="1"/>
  <c r="M117" i="1"/>
  <c r="S117" i="1"/>
  <c r="AC117" i="1"/>
  <c r="M118" i="1"/>
  <c r="S118" i="1"/>
  <c r="AC118" i="1"/>
  <c r="M119" i="1"/>
  <c r="S119" i="1"/>
  <c r="AC119" i="1"/>
  <c r="M120" i="1"/>
  <c r="S120" i="1"/>
  <c r="AC120" i="1"/>
  <c r="M121" i="1"/>
  <c r="S121" i="1"/>
  <c r="AC121" i="1"/>
  <c r="M122" i="1"/>
  <c r="S122" i="1"/>
  <c r="AC122" i="1"/>
  <c r="M123" i="1"/>
  <c r="S123" i="1"/>
  <c r="AC123" i="1"/>
  <c r="S124" i="1"/>
  <c r="AC124" i="1"/>
  <c r="M125" i="1"/>
  <c r="S125" i="1"/>
  <c r="AC125" i="1"/>
  <c r="M126" i="1"/>
  <c r="S126" i="1"/>
  <c r="AC126" i="1"/>
  <c r="M127" i="1"/>
  <c r="S127" i="1"/>
  <c r="AC127" i="1"/>
  <c r="M128" i="1"/>
  <c r="S128" i="1"/>
  <c r="AC128" i="1"/>
  <c r="M129" i="1"/>
  <c r="S129" i="1"/>
  <c r="AC129" i="1"/>
  <c r="M130" i="1"/>
  <c r="S130" i="1"/>
  <c r="AC130" i="1"/>
  <c r="M131" i="1"/>
  <c r="S131" i="1"/>
  <c r="AC131" i="1"/>
  <c r="M132" i="1"/>
  <c r="S132" i="1"/>
  <c r="AC132" i="1"/>
  <c r="M133" i="1"/>
  <c r="S133" i="1"/>
  <c r="AC133" i="1"/>
  <c r="M134" i="1"/>
  <c r="S134" i="1"/>
  <c r="AC134" i="1"/>
  <c r="S243" i="1"/>
  <c r="AC243" i="1"/>
  <c r="M244" i="1"/>
  <c r="S244" i="1"/>
  <c r="AC244" i="1"/>
  <c r="M135" i="1"/>
  <c r="S135" i="1"/>
  <c r="AC135" i="1"/>
  <c r="M136" i="1"/>
  <c r="S136" i="1"/>
  <c r="AC136" i="1"/>
  <c r="M137" i="1"/>
  <c r="S137" i="1"/>
  <c r="AC137" i="1"/>
  <c r="M138" i="1"/>
  <c r="S138" i="1"/>
  <c r="AC138" i="1"/>
  <c r="M139" i="1"/>
  <c r="S139" i="1"/>
  <c r="AC139" i="1"/>
  <c r="M140" i="1"/>
  <c r="S140" i="1"/>
  <c r="AC140" i="1"/>
  <c r="M141" i="1"/>
  <c r="S141" i="1"/>
  <c r="AC141" i="1"/>
  <c r="M142" i="1"/>
  <c r="S142" i="1"/>
  <c r="AC142" i="1"/>
  <c r="M143" i="1"/>
  <c r="S143" i="1"/>
  <c r="AC143" i="1"/>
  <c r="M144" i="1"/>
  <c r="S144" i="1"/>
  <c r="AC144" i="1"/>
  <c r="M145" i="1"/>
  <c r="S145" i="1"/>
  <c r="AC145" i="1"/>
  <c r="S146" i="1"/>
  <c r="AC146" i="1"/>
  <c r="M147" i="1"/>
  <c r="S147" i="1"/>
  <c r="AC147" i="1"/>
  <c r="M148" i="1"/>
  <c r="S148" i="1"/>
  <c r="AC148" i="1"/>
  <c r="S149" i="1"/>
  <c r="AC149" i="1"/>
  <c r="M150" i="1"/>
  <c r="S150" i="1"/>
  <c r="AC150" i="1"/>
  <c r="M151" i="1"/>
  <c r="S151" i="1"/>
  <c r="AC151" i="1"/>
  <c r="M152" i="1"/>
  <c r="S152" i="1"/>
  <c r="AC152" i="1"/>
  <c r="M153" i="1"/>
  <c r="S153" i="1"/>
  <c r="AC153" i="1"/>
  <c r="S154" i="1"/>
  <c r="AC154" i="1"/>
  <c r="S155" i="1"/>
  <c r="AC155" i="1"/>
  <c r="M156" i="1"/>
  <c r="S156" i="1"/>
  <c r="AC156" i="1"/>
  <c r="M157" i="1"/>
  <c r="S157" i="1"/>
  <c r="AC157" i="1"/>
  <c r="M158" i="1"/>
  <c r="S158" i="1"/>
  <c r="AC158" i="1"/>
  <c r="M159" i="1"/>
  <c r="S159" i="1"/>
  <c r="AC159" i="1"/>
  <c r="M160" i="1"/>
  <c r="S160" i="1"/>
  <c r="AC160" i="1"/>
  <c r="M161" i="1"/>
  <c r="S161" i="1"/>
  <c r="AC161" i="1"/>
  <c r="M162" i="1"/>
  <c r="S162" i="1"/>
  <c r="AC162" i="1"/>
  <c r="M163" i="1"/>
  <c r="S163" i="1"/>
  <c r="AC163" i="1"/>
  <c r="M164" i="1"/>
  <c r="S164" i="1"/>
  <c r="AC164" i="1"/>
  <c r="M165" i="1"/>
  <c r="S165" i="1"/>
  <c r="AC165" i="1"/>
  <c r="S166" i="1"/>
  <c r="AC166" i="1"/>
  <c r="M167" i="1"/>
  <c r="S167" i="1"/>
  <c r="AC167" i="1"/>
  <c r="M168" i="1"/>
  <c r="S168" i="1"/>
  <c r="AC168" i="1"/>
  <c r="M169" i="1"/>
  <c r="S169" i="1"/>
  <c r="AC169" i="1"/>
  <c r="M170" i="1"/>
  <c r="S170" i="1"/>
  <c r="AC170" i="1"/>
  <c r="M171" i="1"/>
  <c r="S171" i="1"/>
  <c r="AC171" i="1"/>
  <c r="M172" i="1"/>
  <c r="S172" i="1"/>
  <c r="AC172" i="1"/>
  <c r="M173" i="1"/>
  <c r="S173" i="1"/>
  <c r="AC173" i="1"/>
  <c r="S174" i="1"/>
  <c r="AC174" i="1"/>
  <c r="M175" i="1"/>
  <c r="S175" i="1"/>
  <c r="AC175" i="1"/>
  <c r="M176" i="1"/>
  <c r="S176" i="1"/>
  <c r="AC176" i="1"/>
  <c r="M177" i="1"/>
  <c r="S177" i="1"/>
  <c r="AC177" i="1"/>
  <c r="M178" i="1"/>
  <c r="S178" i="1"/>
  <c r="AC178" i="1"/>
  <c r="M179" i="1"/>
  <c r="S179" i="1"/>
  <c r="AC179" i="1"/>
  <c r="M180" i="1"/>
  <c r="S180" i="1"/>
  <c r="AC180" i="1"/>
  <c r="M181" i="1"/>
  <c r="S181" i="1"/>
  <c r="AC181" i="1"/>
  <c r="M182" i="1"/>
  <c r="S182" i="1"/>
  <c r="AC182" i="1"/>
  <c r="S183" i="1"/>
  <c r="AC183" i="1"/>
  <c r="M184" i="1"/>
  <c r="S184" i="1"/>
  <c r="AC184" i="1"/>
  <c r="M185" i="1"/>
  <c r="S185" i="1"/>
  <c r="AC185" i="1"/>
  <c r="M186" i="1"/>
  <c r="S186" i="1"/>
  <c r="AC186" i="1"/>
  <c r="S187" i="1"/>
  <c r="AC187" i="1"/>
  <c r="M188" i="1"/>
  <c r="S188" i="1"/>
  <c r="AC188" i="1"/>
  <c r="M189" i="1"/>
  <c r="S189" i="1"/>
  <c r="AC189" i="1"/>
  <c r="M190" i="1"/>
  <c r="S190" i="1"/>
  <c r="AC190" i="1"/>
  <c r="M192" i="1"/>
  <c r="S192" i="1"/>
  <c r="AC192" i="1"/>
  <c r="M193" i="1"/>
  <c r="S193" i="1"/>
  <c r="AC193" i="1"/>
  <c r="M194" i="1"/>
  <c r="S194" i="1"/>
  <c r="AC194" i="1"/>
  <c r="M195" i="1"/>
  <c r="S195" i="1"/>
  <c r="AC195" i="1"/>
  <c r="M196" i="1"/>
  <c r="S196" i="1"/>
  <c r="AC196" i="1"/>
  <c r="M197" i="1"/>
  <c r="S197" i="1"/>
  <c r="AC197" i="1"/>
  <c r="S198" i="1"/>
  <c r="AC198" i="1"/>
  <c r="S199" i="1"/>
  <c r="AC199" i="1"/>
  <c r="S200" i="1"/>
  <c r="AC200" i="1"/>
  <c r="S201" i="1"/>
  <c r="AC201" i="1"/>
  <c r="M202" i="1"/>
  <c r="S202" i="1"/>
  <c r="AC202" i="1"/>
  <c r="S191" i="1"/>
  <c r="AC191" i="1"/>
  <c r="M203" i="1"/>
  <c r="S203" i="1"/>
  <c r="AC203" i="1"/>
  <c r="M204" i="1"/>
  <c r="S204" i="1"/>
  <c r="AC204" i="1"/>
  <c r="M205" i="1"/>
  <c r="S205" i="1"/>
  <c r="AC205" i="1"/>
  <c r="S206" i="1"/>
  <c r="AC206" i="1"/>
  <c r="S207" i="1"/>
  <c r="AC207" i="1"/>
  <c r="M208" i="1"/>
  <c r="S208" i="1"/>
  <c r="AC208" i="1"/>
  <c r="M209" i="1"/>
  <c r="S209" i="1"/>
  <c r="AC209" i="1"/>
  <c r="M210" i="1"/>
  <c r="S210" i="1"/>
  <c r="AC210" i="1"/>
  <c r="M211" i="1"/>
  <c r="S211" i="1"/>
  <c r="AC211" i="1"/>
  <c r="M212" i="1"/>
  <c r="S212" i="1"/>
  <c r="AC212" i="1"/>
  <c r="M214" i="1"/>
  <c r="S214" i="1"/>
  <c r="AC214" i="1"/>
  <c r="M215" i="1"/>
  <c r="S215" i="1"/>
  <c r="AC215" i="1"/>
  <c r="S216" i="1"/>
  <c r="AC216" i="1"/>
  <c r="M218" i="1"/>
  <c r="S218" i="1"/>
  <c r="AC218" i="1"/>
  <c r="M220" i="1"/>
  <c r="S220" i="1"/>
  <c r="AC220" i="1"/>
  <c r="M217" i="1"/>
  <c r="S217" i="1"/>
  <c r="AC217" i="1"/>
  <c r="M219" i="1"/>
  <c r="S219" i="1"/>
  <c r="AC219" i="1"/>
  <c r="M221" i="1"/>
  <c r="S221" i="1"/>
  <c r="AC221" i="1"/>
  <c r="M213" i="1"/>
  <c r="S213" i="1"/>
  <c r="AC213" i="1"/>
  <c r="M222" i="1"/>
  <c r="S222" i="1"/>
  <c r="AC222" i="1"/>
  <c r="M223" i="1"/>
  <c r="S223" i="1"/>
  <c r="AC223" i="1"/>
  <c r="M224" i="1"/>
  <c r="S224" i="1"/>
  <c r="AC224" i="1"/>
  <c r="M225" i="1"/>
  <c r="S225" i="1"/>
  <c r="AC225" i="1"/>
  <c r="S226" i="1"/>
  <c r="AC226" i="1"/>
  <c r="S227" i="1"/>
  <c r="AC227" i="1"/>
  <c r="S228" i="1"/>
  <c r="AC228" i="1"/>
  <c r="M229" i="1"/>
  <c r="S229" i="1"/>
  <c r="AC229" i="1"/>
  <c r="M230" i="1"/>
  <c r="S230" i="1"/>
  <c r="AC230" i="1"/>
  <c r="M231" i="1"/>
  <c r="S231" i="1"/>
  <c r="AC231" i="1"/>
  <c r="M232" i="1"/>
  <c r="S232" i="1"/>
  <c r="AC232" i="1"/>
  <c r="M233" i="1"/>
  <c r="S233" i="1"/>
  <c r="AC233" i="1"/>
  <c r="M234" i="1"/>
  <c r="S234" i="1"/>
  <c r="AC234" i="1"/>
  <c r="M235" i="1"/>
  <c r="S235" i="1"/>
  <c r="AC235" i="1"/>
  <c r="M236" i="1"/>
  <c r="S236" i="1"/>
  <c r="AC236" i="1"/>
  <c r="S237" i="1"/>
  <c r="AC237" i="1"/>
  <c r="M238" i="1"/>
  <c r="S238" i="1"/>
  <c r="AC238" i="1"/>
  <c r="M239" i="1"/>
  <c r="S239" i="1"/>
  <c r="AC239" i="1"/>
  <c r="S240" i="1"/>
  <c r="AC240" i="1"/>
  <c r="M241" i="1"/>
  <c r="S241" i="1"/>
  <c r="AC241" i="1"/>
  <c r="M242" i="1"/>
  <c r="S242" i="1"/>
  <c r="AC242" i="1"/>
  <c r="M245" i="1"/>
  <c r="S245" i="1"/>
  <c r="AC245" i="1"/>
  <c r="M246" i="1"/>
  <c r="S246" i="1"/>
  <c r="AC246" i="1"/>
  <c r="M247" i="1"/>
  <c r="S247" i="1"/>
  <c r="AC247" i="1"/>
  <c r="M248" i="1"/>
  <c r="S248" i="1"/>
  <c r="AC248" i="1"/>
  <c r="M249" i="1"/>
  <c r="S249" i="1"/>
  <c r="AC249" i="1"/>
  <c r="M250" i="1"/>
  <c r="S250" i="1"/>
  <c r="AC250" i="1"/>
  <c r="M251" i="1"/>
  <c r="S251" i="1"/>
  <c r="AC251" i="1"/>
  <c r="M252" i="1"/>
  <c r="S252" i="1"/>
  <c r="AC252" i="1"/>
  <c r="S253" i="1"/>
  <c r="AC253" i="1"/>
  <c r="M254" i="1"/>
  <c r="S254" i="1"/>
  <c r="AC254" i="1"/>
  <c r="M255" i="1"/>
  <c r="S255" i="1"/>
  <c r="AC255" i="1"/>
  <c r="M256" i="1"/>
  <c r="S256" i="1"/>
  <c r="AC256" i="1"/>
  <c r="M257" i="1"/>
  <c r="S257" i="1"/>
  <c r="AC257" i="1"/>
  <c r="M258" i="1"/>
  <c r="S258" i="1"/>
  <c r="AC258" i="1"/>
  <c r="M259" i="1"/>
  <c r="S259" i="1"/>
  <c r="AC259" i="1"/>
  <c r="M260" i="1"/>
  <c r="S260" i="1"/>
  <c r="AC260" i="1"/>
  <c r="M261" i="1"/>
  <c r="S261" i="1"/>
  <c r="AC261" i="1"/>
  <c r="M262" i="1"/>
  <c r="S262" i="1"/>
  <c r="AC262" i="1"/>
  <c r="M263" i="1"/>
  <c r="S263" i="1"/>
  <c r="AC263" i="1"/>
  <c r="M264" i="1"/>
  <c r="S264" i="1"/>
  <c r="AC264" i="1"/>
  <c r="M265" i="1"/>
  <c r="S265" i="1"/>
  <c r="AC265" i="1"/>
  <c r="M266" i="1"/>
  <c r="S266" i="1"/>
  <c r="AC266" i="1"/>
  <c r="M267" i="1"/>
  <c r="S267" i="1"/>
  <c r="AC267" i="1"/>
  <c r="M268" i="1"/>
  <c r="S268" i="1"/>
  <c r="AC268" i="1"/>
  <c r="M269" i="1"/>
  <c r="S269" i="1"/>
  <c r="AC269" i="1"/>
  <c r="M270" i="1"/>
  <c r="S270" i="1"/>
  <c r="AC270" i="1"/>
  <c r="M271" i="1"/>
  <c r="S271" i="1"/>
  <c r="AC271" i="1"/>
  <c r="M272" i="1"/>
  <c r="S272" i="1"/>
  <c r="AC272" i="1"/>
  <c r="S273" i="1"/>
  <c r="AC273" i="1"/>
  <c r="S274" i="1"/>
  <c r="AC274" i="1"/>
  <c r="S275" i="1"/>
  <c r="AC275" i="1"/>
  <c r="M276" i="1"/>
  <c r="S276" i="1"/>
  <c r="AC276" i="1"/>
  <c r="M277" i="1"/>
  <c r="S277" i="1"/>
  <c r="AC277" i="1"/>
  <c r="M278" i="1"/>
  <c r="S278" i="1"/>
  <c r="AC278" i="1"/>
  <c r="M279" i="1"/>
  <c r="S279" i="1"/>
  <c r="AC279" i="1"/>
  <c r="M280" i="1"/>
  <c r="S280" i="1"/>
  <c r="AC280" i="1"/>
  <c r="M281" i="1"/>
  <c r="S281" i="1"/>
  <c r="AC281" i="1"/>
  <c r="M282" i="1"/>
  <c r="S282" i="1"/>
  <c r="AC282" i="1"/>
  <c r="S283" i="1"/>
  <c r="AC283" i="1"/>
  <c r="M284" i="1"/>
  <c r="S284" i="1"/>
  <c r="AC284" i="1"/>
  <c r="S285" i="1"/>
  <c r="AC285" i="1"/>
  <c r="M286" i="1"/>
  <c r="S286" i="1"/>
  <c r="AC286" i="1"/>
  <c r="S287" i="1"/>
  <c r="AC287" i="1"/>
  <c r="M288" i="1"/>
  <c r="S288" i="1"/>
  <c r="AC288" i="1"/>
  <c r="M289" i="1"/>
  <c r="S289" i="1"/>
  <c r="AC289" i="1"/>
  <c r="M290" i="1"/>
  <c r="S290" i="1"/>
  <c r="AC290" i="1"/>
  <c r="S291" i="1"/>
  <c r="AC291" i="1"/>
  <c r="M292" i="1"/>
  <c r="S292" i="1"/>
  <c r="AC292" i="1"/>
  <c r="M293" i="1"/>
  <c r="S293" i="1"/>
  <c r="AC293" i="1"/>
  <c r="M294" i="1"/>
  <c r="S294" i="1"/>
  <c r="AC294" i="1"/>
  <c r="M295" i="1"/>
  <c r="S295" i="1"/>
  <c r="AC295" i="1"/>
  <c r="S296" i="1"/>
  <c r="AC296" i="1"/>
  <c r="S297" i="1"/>
  <c r="AC297" i="1"/>
  <c r="M298" i="1"/>
  <c r="S298" i="1"/>
  <c r="AC298" i="1"/>
  <c r="M299" i="1"/>
  <c r="S299" i="1"/>
  <c r="AC299" i="1"/>
  <c r="M300" i="1"/>
  <c r="S300" i="1"/>
  <c r="AC300" i="1"/>
  <c r="M301" i="1"/>
  <c r="S301" i="1"/>
  <c r="AC301" i="1"/>
  <c r="M302" i="1"/>
  <c r="S302" i="1"/>
  <c r="AC302" i="1"/>
  <c r="M303" i="1"/>
  <c r="S303" i="1"/>
  <c r="AC303" i="1"/>
  <c r="M304" i="1"/>
  <c r="S304" i="1"/>
  <c r="AC304" i="1"/>
  <c r="M305" i="1"/>
  <c r="S305" i="1"/>
  <c r="AC305" i="1"/>
  <c r="M306" i="1"/>
  <c r="S306" i="1"/>
  <c r="AC306" i="1"/>
  <c r="M307" i="1"/>
  <c r="S307" i="1"/>
  <c r="AC307" i="1"/>
  <c r="S308" i="1"/>
  <c r="AC308" i="1"/>
  <c r="M309" i="1"/>
  <c r="S309" i="1"/>
  <c r="AC309" i="1"/>
  <c r="M310" i="1"/>
  <c r="S310" i="1"/>
  <c r="AC310" i="1"/>
  <c r="M311" i="1"/>
  <c r="S311" i="1"/>
  <c r="AC311" i="1"/>
  <c r="S312" i="1"/>
  <c r="AC312" i="1"/>
  <c r="M313" i="1"/>
  <c r="S313" i="1"/>
  <c r="AC313" i="1"/>
  <c r="M314" i="1"/>
  <c r="S314" i="1"/>
  <c r="AC314" i="1"/>
  <c r="M315" i="1"/>
  <c r="S315" i="1"/>
  <c r="AC315" i="1"/>
  <c r="M316" i="1"/>
  <c r="S316" i="1"/>
  <c r="AC316" i="1"/>
  <c r="M317" i="1"/>
  <c r="S317" i="1"/>
  <c r="AC317" i="1"/>
  <c r="M318" i="1"/>
  <c r="S318" i="1"/>
  <c r="AC318" i="1"/>
  <c r="M319" i="1"/>
  <c r="S319" i="1"/>
  <c r="AC319" i="1"/>
  <c r="M320" i="1"/>
  <c r="S320" i="1"/>
  <c r="AC320" i="1"/>
  <c r="M321" i="1"/>
  <c r="S321" i="1"/>
  <c r="AC321" i="1"/>
  <c r="M322" i="1"/>
  <c r="S322" i="1"/>
  <c r="AC322" i="1"/>
  <c r="M323" i="1"/>
  <c r="S323" i="1"/>
  <c r="AC323" i="1"/>
  <c r="M324" i="1"/>
  <c r="S324" i="1"/>
  <c r="AC324" i="1"/>
  <c r="M325" i="1"/>
  <c r="S325" i="1"/>
  <c r="AC325" i="1"/>
  <c r="M326" i="1"/>
  <c r="S326" i="1"/>
  <c r="AC326" i="1"/>
  <c r="M327" i="1"/>
  <c r="S327" i="1"/>
  <c r="AC327" i="1"/>
  <c r="M328" i="1"/>
  <c r="S328" i="1"/>
  <c r="AC328" i="1"/>
  <c r="M329" i="1"/>
  <c r="S329" i="1"/>
  <c r="AC329" i="1"/>
  <c r="M330" i="1"/>
  <c r="S330" i="1"/>
  <c r="AC330" i="1"/>
  <c r="M331" i="1"/>
  <c r="S331" i="1"/>
  <c r="AC331" i="1"/>
  <c r="M332" i="1"/>
  <c r="S332" i="1"/>
  <c r="AC332" i="1"/>
  <c r="M333" i="1"/>
  <c r="S333" i="1"/>
  <c r="AC333" i="1"/>
  <c r="S334" i="1"/>
  <c r="AC334" i="1"/>
  <c r="M335" i="1"/>
  <c r="S335" i="1"/>
  <c r="AC335" i="1"/>
  <c r="M336" i="1"/>
  <c r="S336" i="1"/>
  <c r="AC336" i="1"/>
  <c r="M337" i="1"/>
  <c r="S337" i="1"/>
  <c r="AC337" i="1"/>
  <c r="M338" i="1"/>
  <c r="S338" i="1"/>
  <c r="AC338" i="1"/>
  <c r="S339" i="1"/>
  <c r="AC339" i="1"/>
  <c r="M340" i="1"/>
  <c r="S340" i="1"/>
  <c r="AC340" i="1"/>
  <c r="S341" i="1"/>
  <c r="AC341" i="1"/>
  <c r="M342" i="1"/>
  <c r="S342" i="1"/>
  <c r="AC342" i="1"/>
  <c r="M343" i="1"/>
  <c r="S343" i="1"/>
  <c r="AC343" i="1"/>
  <c r="M344" i="1"/>
  <c r="S344" i="1"/>
  <c r="AC344" i="1"/>
  <c r="M345" i="1"/>
  <c r="S345" i="1"/>
  <c r="AC345" i="1"/>
  <c r="M346" i="1"/>
  <c r="S346" i="1"/>
  <c r="AC346" i="1"/>
  <c r="M347" i="1"/>
  <c r="S347" i="1"/>
  <c r="AC347" i="1"/>
  <c r="M348" i="1"/>
  <c r="S348" i="1"/>
  <c r="AC348" i="1"/>
  <c r="M349" i="1"/>
  <c r="S349" i="1"/>
  <c r="AC349" i="1"/>
  <c r="M350" i="1"/>
  <c r="S350" i="1"/>
  <c r="AC350" i="1"/>
  <c r="M351" i="1"/>
  <c r="S351" i="1"/>
  <c r="AC351" i="1"/>
  <c r="M352" i="1"/>
  <c r="S352" i="1"/>
  <c r="AC352" i="1"/>
  <c r="M353" i="1"/>
  <c r="S353" i="1"/>
  <c r="AC353" i="1"/>
  <c r="M354" i="1"/>
  <c r="S354" i="1"/>
  <c r="AC354" i="1"/>
  <c r="M355" i="1"/>
  <c r="S355" i="1"/>
  <c r="AC355" i="1"/>
  <c r="M356" i="1"/>
  <c r="S356" i="1"/>
  <c r="AC356" i="1"/>
  <c r="M357" i="1"/>
  <c r="S357" i="1"/>
  <c r="AC357" i="1"/>
  <c r="M358" i="1"/>
  <c r="S358" i="1"/>
  <c r="AC358" i="1"/>
  <c r="M359" i="1"/>
  <c r="S359" i="1"/>
  <c r="AC359" i="1"/>
  <c r="S360" i="1"/>
  <c r="AC360" i="1"/>
  <c r="M361" i="1"/>
  <c r="S361" i="1"/>
  <c r="AC361" i="1"/>
  <c r="M362" i="1"/>
  <c r="S362" i="1"/>
  <c r="AC362" i="1"/>
  <c r="M363" i="1"/>
  <c r="S363" i="1"/>
  <c r="AC363" i="1"/>
  <c r="M364" i="1"/>
  <c r="S364" i="1"/>
  <c r="AC364" i="1"/>
  <c r="M365" i="1"/>
  <c r="S365" i="1"/>
  <c r="AC365" i="1"/>
  <c r="M366" i="1"/>
  <c r="S366" i="1"/>
  <c r="AC366" i="1"/>
  <c r="M367" i="1"/>
  <c r="S367" i="1"/>
  <c r="AC367" i="1"/>
  <c r="M368" i="1"/>
  <c r="S368" i="1"/>
  <c r="AC368" i="1"/>
  <c r="S369" i="1"/>
  <c r="AC369" i="1"/>
  <c r="M370" i="1"/>
  <c r="S370" i="1"/>
  <c r="AC370" i="1"/>
  <c r="M371" i="1"/>
  <c r="S371" i="1"/>
  <c r="AC371" i="1"/>
  <c r="M372" i="1"/>
  <c r="S372" i="1"/>
  <c r="AC372" i="1"/>
  <c r="M373" i="1"/>
  <c r="S373" i="1"/>
  <c r="AC373" i="1"/>
  <c r="M374" i="1"/>
  <c r="S374" i="1"/>
  <c r="AC374" i="1"/>
  <c r="M375" i="1"/>
  <c r="S375" i="1"/>
  <c r="AC375" i="1"/>
  <c r="M376" i="1"/>
  <c r="S376" i="1"/>
  <c r="AC376" i="1"/>
  <c r="M377" i="1"/>
  <c r="S377" i="1"/>
  <c r="AC377" i="1"/>
  <c r="M378" i="1"/>
  <c r="S378" i="1"/>
  <c r="AC378" i="1"/>
  <c r="M379" i="1"/>
  <c r="S379" i="1"/>
  <c r="AC379" i="1"/>
  <c r="M380" i="1"/>
  <c r="S380" i="1"/>
  <c r="AC380" i="1"/>
  <c r="M381" i="1"/>
  <c r="S381" i="1"/>
  <c r="AC381" i="1"/>
  <c r="M382" i="1"/>
  <c r="S382" i="1"/>
  <c r="AC382" i="1"/>
  <c r="M383" i="1"/>
  <c r="S383" i="1"/>
  <c r="AC383" i="1"/>
  <c r="M384" i="1"/>
  <c r="S384" i="1"/>
  <c r="AC384" i="1"/>
  <c r="M385" i="1"/>
  <c r="S385" i="1"/>
  <c r="AC385" i="1"/>
  <c r="M386" i="1"/>
  <c r="S386" i="1"/>
  <c r="AC386" i="1"/>
  <c r="M387" i="1"/>
  <c r="S387" i="1"/>
  <c r="AC387" i="1"/>
  <c r="M388" i="1"/>
  <c r="S388" i="1"/>
  <c r="AC388" i="1"/>
  <c r="M389" i="1"/>
  <c r="S389" i="1"/>
  <c r="AC389" i="1"/>
  <c r="S390" i="1"/>
  <c r="AC390" i="1"/>
  <c r="M391" i="1"/>
  <c r="S391" i="1"/>
  <c r="AC391" i="1"/>
  <c r="M392" i="1"/>
  <c r="S392" i="1"/>
  <c r="AC392" i="1"/>
  <c r="M393" i="1"/>
  <c r="S393" i="1"/>
  <c r="AC393" i="1"/>
  <c r="S394" i="1"/>
  <c r="AC394" i="1"/>
  <c r="M395" i="1"/>
  <c r="S395" i="1"/>
  <c r="AC395" i="1"/>
  <c r="M396" i="1"/>
  <c r="S396" i="1"/>
  <c r="AC396" i="1"/>
  <c r="M397" i="1"/>
  <c r="S397" i="1"/>
  <c r="AC397" i="1"/>
  <c r="M398" i="1"/>
  <c r="S398" i="1"/>
  <c r="AC398" i="1"/>
  <c r="M399" i="1"/>
  <c r="S399" i="1"/>
  <c r="AC399" i="1"/>
  <c r="M400" i="1"/>
  <c r="S400" i="1"/>
  <c r="AC400" i="1"/>
  <c r="M401" i="1"/>
  <c r="S401" i="1"/>
  <c r="AC401" i="1"/>
  <c r="M402" i="1"/>
  <c r="S402" i="1"/>
  <c r="AC402" i="1"/>
  <c r="M403" i="1"/>
  <c r="S403" i="1"/>
  <c r="AC403" i="1"/>
  <c r="M404" i="1"/>
  <c r="S404" i="1"/>
  <c r="AC404" i="1"/>
  <c r="M405" i="1"/>
  <c r="S405" i="1"/>
  <c r="AC405" i="1"/>
  <c r="M406" i="1"/>
  <c r="S406" i="1"/>
  <c r="AC406" i="1"/>
  <c r="M407" i="1"/>
  <c r="S407" i="1"/>
  <c r="AC407" i="1"/>
  <c r="M408" i="1"/>
  <c r="S408" i="1"/>
  <c r="AC408" i="1"/>
  <c r="S410" i="1"/>
  <c r="AC410" i="1"/>
  <c r="S411" i="1"/>
  <c r="AC411" i="1"/>
  <c r="M412" i="1"/>
  <c r="S412" i="1"/>
  <c r="AC412" i="1"/>
  <c r="M413" i="1"/>
  <c r="S413" i="1"/>
  <c r="AC413" i="1"/>
  <c r="M414" i="1"/>
  <c r="S414" i="1"/>
  <c r="AC414" i="1"/>
  <c r="M415" i="1"/>
  <c r="S415" i="1"/>
  <c r="AC415" i="1"/>
  <c r="M416" i="1"/>
  <c r="S416" i="1"/>
  <c r="AC416" i="1"/>
  <c r="M417" i="1"/>
  <c r="S417" i="1"/>
  <c r="AC417" i="1"/>
  <c r="M418" i="1"/>
  <c r="S418" i="1"/>
  <c r="AC418" i="1"/>
  <c r="M419" i="1"/>
  <c r="S419" i="1"/>
  <c r="AC419" i="1"/>
  <c r="M420" i="1"/>
  <c r="S420" i="1"/>
  <c r="AC420" i="1"/>
  <c r="M421" i="1"/>
  <c r="S421" i="1"/>
  <c r="AC421" i="1"/>
  <c r="M422" i="1"/>
  <c r="S422" i="1"/>
  <c r="AC422" i="1"/>
  <c r="M423" i="1"/>
  <c r="S423" i="1"/>
  <c r="AC423" i="1"/>
  <c r="M424" i="1"/>
  <c r="S424" i="1"/>
  <c r="AC424" i="1"/>
  <c r="M425" i="1"/>
  <c r="S425" i="1"/>
  <c r="AC425" i="1"/>
  <c r="M426" i="1"/>
  <c r="S426" i="1"/>
  <c r="AC426" i="1"/>
  <c r="M427" i="1"/>
  <c r="S427" i="1"/>
  <c r="AC427" i="1"/>
  <c r="M428" i="1"/>
  <c r="S428" i="1"/>
  <c r="AC428" i="1"/>
  <c r="M429" i="1"/>
  <c r="S429" i="1"/>
  <c r="AC429" i="1"/>
  <c r="M430" i="1"/>
  <c r="S430" i="1"/>
  <c r="AC430" i="1"/>
  <c r="M431" i="1"/>
  <c r="S431" i="1"/>
  <c r="AC431" i="1"/>
  <c r="M432" i="1"/>
  <c r="S432" i="1"/>
  <c r="AC432" i="1"/>
  <c r="S433" i="1"/>
  <c r="AC433" i="1"/>
  <c r="S434" i="1"/>
  <c r="AC434" i="1"/>
  <c r="M435" i="1"/>
  <c r="S435" i="1"/>
  <c r="AC435" i="1"/>
  <c r="M436" i="1"/>
  <c r="S436" i="1"/>
  <c r="AC436" i="1"/>
  <c r="M437" i="1"/>
  <c r="S437" i="1"/>
  <c r="AC437" i="1"/>
  <c r="M438" i="1"/>
  <c r="S438" i="1"/>
  <c r="AC438" i="1"/>
  <c r="M439" i="1"/>
  <c r="S439" i="1"/>
  <c r="AC439" i="1"/>
  <c r="M440" i="1"/>
  <c r="S440" i="1"/>
  <c r="AC440" i="1"/>
  <c r="M441" i="1"/>
  <c r="S441" i="1"/>
  <c r="AC441" i="1"/>
  <c r="M442" i="1"/>
  <c r="S442" i="1"/>
  <c r="AC442" i="1"/>
  <c r="M443" i="1"/>
  <c r="S443" i="1"/>
  <c r="AC443" i="1"/>
  <c r="M444" i="1"/>
  <c r="S444" i="1"/>
  <c r="AC444" i="1"/>
  <c r="M445" i="1"/>
  <c r="S445" i="1"/>
  <c r="AC445" i="1"/>
  <c r="M446" i="1"/>
  <c r="S446" i="1"/>
  <c r="AC446" i="1"/>
  <c r="M447" i="1"/>
  <c r="S447" i="1"/>
  <c r="AC447" i="1"/>
  <c r="M448" i="1"/>
  <c r="S448" i="1"/>
  <c r="AC448" i="1"/>
  <c r="S449" i="1"/>
  <c r="AC449" i="1"/>
  <c r="S450" i="1"/>
  <c r="AC450" i="1"/>
  <c r="M451" i="1"/>
  <c r="S451" i="1"/>
  <c r="AC451" i="1"/>
  <c r="M452" i="1"/>
  <c r="S452" i="1"/>
  <c r="AC452" i="1"/>
  <c r="M453" i="1"/>
  <c r="S453" i="1"/>
  <c r="AC453" i="1"/>
  <c r="M454" i="1"/>
  <c r="S454" i="1"/>
  <c r="AC454" i="1"/>
  <c r="M455" i="1"/>
  <c r="S455" i="1"/>
  <c r="AC455" i="1"/>
  <c r="M456" i="1"/>
  <c r="S456" i="1"/>
  <c r="AC456" i="1"/>
  <c r="S457" i="1"/>
  <c r="AC457" i="1"/>
  <c r="M458" i="1"/>
  <c r="S458" i="1"/>
  <c r="AC458" i="1"/>
  <c r="M459" i="1"/>
  <c r="S459" i="1"/>
  <c r="AC459" i="1"/>
  <c r="S460" i="1"/>
  <c r="AC460" i="1"/>
  <c r="M461" i="1"/>
  <c r="S461" i="1"/>
  <c r="AC461" i="1"/>
  <c r="M462" i="1"/>
  <c r="S462" i="1"/>
  <c r="AC462" i="1"/>
  <c r="M463" i="1"/>
  <c r="S463" i="1"/>
  <c r="AC463" i="1"/>
  <c r="M464" i="1"/>
  <c r="S464" i="1"/>
  <c r="AC464" i="1"/>
  <c r="M465" i="1"/>
  <c r="S465" i="1"/>
  <c r="AC465" i="1"/>
  <c r="M466" i="1"/>
  <c r="S466" i="1"/>
  <c r="AC466" i="1"/>
  <c r="M467" i="1"/>
  <c r="S467" i="1"/>
  <c r="AC467" i="1"/>
  <c r="M468" i="1"/>
  <c r="S468" i="1"/>
  <c r="AC468" i="1"/>
  <c r="M469" i="1"/>
  <c r="S469" i="1"/>
  <c r="AC469" i="1"/>
  <c r="M470" i="1"/>
  <c r="S470" i="1"/>
  <c r="AC470" i="1"/>
  <c r="M471" i="1"/>
  <c r="S471" i="1"/>
  <c r="AC471" i="1"/>
  <c r="S472" i="1"/>
  <c r="AC472" i="1"/>
  <c r="M473" i="1"/>
  <c r="S473" i="1"/>
  <c r="AC473" i="1"/>
  <c r="M474" i="1"/>
  <c r="S474" i="1"/>
  <c r="AC474" i="1"/>
  <c r="M475" i="1"/>
  <c r="S475" i="1"/>
  <c r="AC475" i="1"/>
  <c r="M476" i="1"/>
  <c r="S476" i="1"/>
  <c r="AC476" i="1"/>
  <c r="M477" i="1"/>
  <c r="S477" i="1"/>
  <c r="AC477" i="1"/>
  <c r="M478" i="1"/>
  <c r="S478" i="1"/>
  <c r="AC478" i="1"/>
  <c r="M479" i="1"/>
  <c r="S479" i="1"/>
  <c r="AC479" i="1"/>
  <c r="M480" i="1"/>
  <c r="S480" i="1"/>
  <c r="AC480" i="1"/>
  <c r="M481" i="1"/>
  <c r="S481" i="1"/>
  <c r="AC481" i="1"/>
  <c r="M482" i="1"/>
  <c r="S482" i="1"/>
  <c r="AC482" i="1"/>
  <c r="M483" i="1"/>
  <c r="S483" i="1"/>
  <c r="AC483" i="1"/>
  <c r="M484" i="1"/>
  <c r="S484" i="1"/>
  <c r="AC484" i="1"/>
  <c r="M485" i="1"/>
  <c r="S485" i="1"/>
  <c r="AC485" i="1"/>
  <c r="M486" i="1"/>
  <c r="S486" i="1"/>
  <c r="AC486" i="1"/>
  <c r="M487" i="1"/>
  <c r="S487" i="1"/>
  <c r="AC487" i="1"/>
  <c r="M488" i="1"/>
  <c r="S488" i="1"/>
  <c r="AC488" i="1"/>
  <c r="M489" i="1"/>
  <c r="S489" i="1"/>
  <c r="AC489" i="1"/>
  <c r="M490" i="1"/>
  <c r="S490" i="1"/>
  <c r="AC490" i="1"/>
  <c r="M491" i="1"/>
  <c r="S491" i="1"/>
  <c r="AC491" i="1"/>
  <c r="M492" i="1"/>
  <c r="S492" i="1"/>
  <c r="AC492" i="1"/>
  <c r="M493" i="1"/>
  <c r="S493" i="1"/>
  <c r="AC493" i="1"/>
  <c r="S494" i="1"/>
  <c r="AC494" i="1"/>
  <c r="M495" i="1"/>
  <c r="S495" i="1"/>
  <c r="AC495" i="1"/>
  <c r="M496" i="1"/>
  <c r="S496" i="1"/>
  <c r="AC496" i="1"/>
  <c r="M497" i="1"/>
  <c r="S497" i="1"/>
  <c r="AC497" i="1"/>
  <c r="M498" i="1"/>
  <c r="S498" i="1"/>
  <c r="AC498" i="1"/>
  <c r="M499" i="1"/>
  <c r="S499" i="1"/>
  <c r="AC499" i="1"/>
  <c r="M500" i="1"/>
  <c r="S500" i="1"/>
  <c r="AC500" i="1"/>
  <c r="M501" i="1"/>
  <c r="S501" i="1"/>
  <c r="AC501" i="1"/>
  <c r="M502" i="1"/>
  <c r="S502" i="1"/>
  <c r="AC502" i="1"/>
  <c r="M503" i="1"/>
  <c r="S503" i="1"/>
  <c r="AC503" i="1"/>
  <c r="S504" i="1"/>
  <c r="AC504" i="1"/>
  <c r="M505" i="1"/>
  <c r="S505" i="1"/>
  <c r="AC505" i="1"/>
  <c r="M506" i="1"/>
  <c r="S506" i="1"/>
  <c r="AC506" i="1"/>
  <c r="M507" i="1"/>
  <c r="S507" i="1"/>
  <c r="AC507" i="1"/>
  <c r="M508" i="1"/>
  <c r="S508" i="1"/>
  <c r="AC508" i="1"/>
  <c r="M509" i="1"/>
  <c r="S509" i="1"/>
  <c r="AC509" i="1"/>
  <c r="M510" i="1"/>
  <c r="S510" i="1"/>
  <c r="AC510" i="1"/>
  <c r="M511" i="1"/>
  <c r="S511" i="1"/>
  <c r="AC511" i="1"/>
  <c r="S512" i="1"/>
  <c r="AC512" i="1"/>
  <c r="M513" i="1"/>
  <c r="S513" i="1"/>
  <c r="AC513" i="1"/>
  <c r="M514" i="1"/>
  <c r="S514" i="1"/>
  <c r="AC514" i="1"/>
  <c r="M515" i="1"/>
  <c r="S515" i="1"/>
  <c r="AC515" i="1"/>
  <c r="M516" i="1"/>
  <c r="S516" i="1"/>
  <c r="AC516" i="1"/>
  <c r="S517" i="1"/>
  <c r="AC517" i="1"/>
  <c r="S518" i="1"/>
  <c r="AC518" i="1"/>
  <c r="S519" i="1"/>
  <c r="AC519" i="1"/>
  <c r="S520" i="1"/>
  <c r="AC520" i="1"/>
  <c r="S521" i="1"/>
  <c r="AC521" i="1"/>
  <c r="S522" i="1"/>
  <c r="AC522" i="1"/>
  <c r="M523" i="1"/>
  <c r="S523" i="1"/>
  <c r="AC523" i="1"/>
  <c r="M524" i="1"/>
  <c r="S524" i="1"/>
  <c r="AC524" i="1"/>
  <c r="M525" i="1"/>
  <c r="S525" i="1"/>
  <c r="AC525" i="1"/>
  <c r="M526" i="1"/>
  <c r="S526" i="1"/>
  <c r="AC526" i="1"/>
  <c r="M527" i="1"/>
  <c r="S527" i="1"/>
  <c r="AC527" i="1"/>
  <c r="M528" i="1"/>
  <c r="S528" i="1"/>
  <c r="AC528" i="1"/>
  <c r="M529" i="1"/>
  <c r="S529" i="1"/>
  <c r="AC529" i="1"/>
  <c r="M530" i="1"/>
  <c r="S530" i="1"/>
  <c r="AC530" i="1"/>
  <c r="M531" i="1"/>
  <c r="S531" i="1"/>
  <c r="AC531" i="1"/>
  <c r="M532" i="1"/>
  <c r="S532" i="1"/>
  <c r="AC532" i="1"/>
  <c r="M533" i="1"/>
  <c r="S533" i="1"/>
  <c r="AC533" i="1"/>
  <c r="M534" i="1"/>
  <c r="S534" i="1"/>
  <c r="AC534" i="1"/>
  <c r="M535" i="1"/>
  <c r="S535" i="1"/>
  <c r="AC535" i="1"/>
  <c r="M536" i="1"/>
  <c r="S536" i="1"/>
  <c r="AC536" i="1"/>
  <c r="M537" i="1"/>
  <c r="S537" i="1"/>
  <c r="AC537" i="1"/>
  <c r="M538" i="1"/>
  <c r="S538" i="1"/>
  <c r="AC538" i="1"/>
  <c r="M539" i="1"/>
  <c r="S539" i="1"/>
  <c r="AC539" i="1"/>
  <c r="M540" i="1"/>
  <c r="S540" i="1"/>
  <c r="AC540" i="1"/>
  <c r="M541" i="1"/>
  <c r="S541" i="1"/>
  <c r="AC541" i="1"/>
  <c r="M542" i="1"/>
  <c r="S542" i="1"/>
  <c r="AC542" i="1"/>
  <c r="M543" i="1"/>
  <c r="S543" i="1"/>
  <c r="AC543" i="1"/>
  <c r="M544" i="1"/>
  <c r="S544" i="1"/>
  <c r="AC544" i="1"/>
  <c r="M545" i="1"/>
  <c r="S545" i="1"/>
  <c r="AC545" i="1"/>
  <c r="M546" i="1"/>
  <c r="S546" i="1"/>
  <c r="AC546" i="1"/>
  <c r="M547" i="1"/>
  <c r="S547" i="1"/>
  <c r="AC547" i="1"/>
  <c r="M548" i="1"/>
  <c r="S548" i="1"/>
  <c r="AC548" i="1"/>
  <c r="S549" i="1"/>
  <c r="AC549" i="1"/>
  <c r="S550" i="1"/>
  <c r="AC550" i="1"/>
  <c r="M551" i="1"/>
  <c r="S551" i="1"/>
  <c r="AC551" i="1"/>
  <c r="S552" i="1"/>
  <c r="AC552" i="1"/>
  <c r="M553" i="1"/>
  <c r="S553" i="1"/>
  <c r="AC553" i="1"/>
  <c r="M554" i="1"/>
  <c r="S554" i="1"/>
  <c r="AC554" i="1"/>
  <c r="S555" i="1"/>
  <c r="AC555" i="1"/>
  <c r="M556" i="1"/>
  <c r="S556" i="1"/>
  <c r="AC556" i="1"/>
  <c r="M557" i="1"/>
  <c r="S557" i="1"/>
  <c r="AC557" i="1"/>
  <c r="M558" i="1"/>
  <c r="S558" i="1"/>
  <c r="AC558" i="1"/>
  <c r="M559" i="1"/>
  <c r="S559" i="1"/>
  <c r="AC559" i="1"/>
  <c r="M560" i="1"/>
  <c r="S560" i="1"/>
  <c r="AC560" i="1"/>
  <c r="M561" i="1"/>
  <c r="S561" i="1"/>
  <c r="AC561" i="1"/>
  <c r="S562" i="1"/>
  <c r="AC562" i="1"/>
  <c r="M563" i="1"/>
  <c r="S563" i="1"/>
  <c r="AC563" i="1"/>
  <c r="M564" i="1"/>
  <c r="S564" i="1"/>
  <c r="AC564" i="1"/>
  <c r="M565" i="1"/>
  <c r="S565" i="1"/>
  <c r="AC565" i="1"/>
  <c r="M566" i="1"/>
  <c r="S566" i="1"/>
  <c r="AC566" i="1"/>
  <c r="M567" i="1"/>
  <c r="S567" i="1"/>
  <c r="AC567" i="1"/>
  <c r="M568" i="1"/>
  <c r="S568" i="1"/>
  <c r="AC568" i="1"/>
  <c r="M569" i="1"/>
  <c r="S569" i="1"/>
  <c r="AC569" i="1"/>
  <c r="M570" i="1"/>
  <c r="S570" i="1"/>
  <c r="AC570" i="1"/>
  <c r="M571" i="1"/>
  <c r="S571" i="1"/>
  <c r="AC571" i="1"/>
  <c r="M572" i="1"/>
  <c r="S572" i="1"/>
  <c r="AC572" i="1"/>
  <c r="M573" i="1"/>
  <c r="S573" i="1"/>
  <c r="AC573" i="1"/>
  <c r="M574" i="1"/>
  <c r="S574" i="1"/>
  <c r="AC574" i="1"/>
  <c r="M575" i="1"/>
  <c r="S575" i="1"/>
  <c r="AC575" i="1"/>
  <c r="M576" i="1"/>
  <c r="S576" i="1"/>
  <c r="AC576" i="1"/>
  <c r="M577" i="1"/>
  <c r="S577" i="1"/>
  <c r="AC577" i="1"/>
  <c r="M578" i="1"/>
  <c r="S578" i="1"/>
  <c r="AC578" i="1"/>
  <c r="M579" i="1"/>
  <c r="S579" i="1"/>
  <c r="AC579" i="1"/>
  <c r="S580" i="1"/>
  <c r="AC580" i="1"/>
  <c r="M581" i="1"/>
  <c r="S581" i="1"/>
  <c r="AC581" i="1"/>
  <c r="M582" i="1"/>
  <c r="S582" i="1"/>
  <c r="AC582" i="1"/>
  <c r="M583" i="1"/>
  <c r="S583" i="1"/>
  <c r="AC583" i="1"/>
  <c r="M584" i="1"/>
  <c r="S584" i="1"/>
  <c r="AC584" i="1"/>
  <c r="M585" i="1"/>
  <c r="S585" i="1"/>
  <c r="AC585" i="1"/>
  <c r="M586" i="1"/>
  <c r="S586" i="1"/>
  <c r="AC586" i="1"/>
  <c r="M587" i="1"/>
  <c r="AC587" i="1"/>
  <c r="S588" i="1"/>
  <c r="AC588" i="1"/>
  <c r="M589" i="1"/>
  <c r="S589" i="1"/>
  <c r="AC589" i="1"/>
  <c r="M590" i="1"/>
  <c r="S590" i="1"/>
  <c r="AC590" i="1"/>
  <c r="M591" i="1"/>
  <c r="S591" i="1"/>
  <c r="AC591" i="1"/>
  <c r="S592" i="1"/>
  <c r="AC592" i="1"/>
  <c r="S593" i="1"/>
  <c r="S594" i="1"/>
  <c r="AC594" i="1"/>
  <c r="S595" i="1"/>
  <c r="AC595" i="1"/>
  <c r="M596" i="1"/>
  <c r="S596" i="1"/>
  <c r="AC596" i="1"/>
  <c r="M597" i="1"/>
  <c r="S597" i="1"/>
  <c r="AC597" i="1"/>
  <c r="M598" i="1"/>
  <c r="S598" i="1"/>
  <c r="AC598" i="1"/>
  <c r="M599" i="1"/>
  <c r="S599" i="1"/>
  <c r="AC599" i="1"/>
  <c r="M600" i="1"/>
  <c r="S600" i="1"/>
  <c r="AC600" i="1"/>
  <c r="M601" i="1"/>
  <c r="S601" i="1"/>
  <c r="AC601" i="1"/>
  <c r="M602" i="1"/>
  <c r="S602" i="1"/>
  <c r="AC602" i="1"/>
  <c r="S603" i="1"/>
  <c r="AC603" i="1"/>
  <c r="M604" i="1"/>
  <c r="S604" i="1"/>
  <c r="AC604" i="1"/>
  <c r="M605" i="1"/>
  <c r="S605" i="1"/>
  <c r="AC605" i="1"/>
  <c r="M606" i="1"/>
  <c r="S606" i="1"/>
  <c r="AC606" i="1"/>
  <c r="M607" i="1"/>
  <c r="S607" i="1"/>
  <c r="AC607" i="1"/>
  <c r="M608" i="1"/>
  <c r="S608" i="1"/>
  <c r="AC608" i="1"/>
  <c r="M609" i="1"/>
  <c r="S609" i="1"/>
  <c r="AC609" i="1"/>
  <c r="M610" i="1"/>
  <c r="S610" i="1"/>
  <c r="AC610" i="1"/>
  <c r="M611" i="1"/>
  <c r="S611" i="1"/>
  <c r="AC611" i="1"/>
  <c r="M612" i="1"/>
  <c r="S612" i="1"/>
  <c r="AC612" i="1"/>
  <c r="M613" i="1"/>
  <c r="AC613" i="1"/>
  <c r="M614" i="1"/>
  <c r="S614" i="1"/>
  <c r="AC614" i="1"/>
  <c r="M615" i="1"/>
  <c r="S615" i="1"/>
  <c r="AC615" i="1"/>
  <c r="M616" i="1"/>
  <c r="S616" i="1"/>
  <c r="AC616" i="1"/>
  <c r="M618" i="1"/>
  <c r="S618" i="1"/>
  <c r="AC618" i="1"/>
  <c r="M619" i="1"/>
  <c r="S619" i="1"/>
  <c r="AC619" i="1"/>
  <c r="M620" i="1"/>
  <c r="S620" i="1"/>
  <c r="AC620" i="1"/>
  <c r="M621" i="1"/>
  <c r="S621" i="1"/>
  <c r="AC621" i="1"/>
  <c r="S617" i="1"/>
  <c r="AC617" i="1"/>
  <c r="M622" i="1"/>
  <c r="S622" i="1"/>
  <c r="AC622" i="1"/>
  <c r="S623" i="1"/>
  <c r="AC623" i="1"/>
  <c r="M624" i="1"/>
  <c r="S624" i="1"/>
  <c r="AC624" i="1"/>
  <c r="S625" i="1"/>
  <c r="AC625" i="1"/>
  <c r="M626" i="1"/>
  <c r="S626" i="1"/>
  <c r="AC626" i="1"/>
  <c r="S627" i="1"/>
  <c r="AC627" i="1"/>
  <c r="M628" i="1"/>
  <c r="S628" i="1"/>
  <c r="AC628" i="1"/>
  <c r="S629" i="1"/>
  <c r="AC629" i="1"/>
  <c r="M630" i="1"/>
  <c r="S630" i="1"/>
  <c r="AC630" i="1"/>
  <c r="M631" i="1"/>
  <c r="S631" i="1"/>
  <c r="AC631" i="1"/>
  <c r="M632" i="1"/>
  <c r="S632" i="1"/>
  <c r="AC632" i="1"/>
  <c r="M633" i="1"/>
  <c r="S633" i="1"/>
  <c r="AC633" i="1"/>
  <c r="M634" i="1"/>
  <c r="S634" i="1"/>
  <c r="AC634" i="1"/>
  <c r="M635" i="1"/>
  <c r="S635" i="1"/>
  <c r="AC635" i="1"/>
  <c r="M636" i="1"/>
  <c r="S636" i="1"/>
  <c r="AC636" i="1"/>
  <c r="M637" i="1"/>
  <c r="S637" i="1"/>
  <c r="AC637" i="1"/>
  <c r="M638" i="1"/>
  <c r="S638" i="1"/>
  <c r="AC638" i="1"/>
  <c r="M639" i="1"/>
  <c r="S639" i="1"/>
  <c r="AC639" i="1"/>
  <c r="M640" i="1"/>
  <c r="S640" i="1"/>
  <c r="AC640" i="1"/>
  <c r="M641" i="1"/>
  <c r="S641" i="1"/>
  <c r="AC641" i="1"/>
  <c r="M642" i="1"/>
  <c r="S642" i="1"/>
  <c r="AC642" i="1"/>
  <c r="M643" i="1"/>
  <c r="S643" i="1"/>
  <c r="AC643" i="1"/>
  <c r="M644" i="1"/>
  <c r="S644" i="1"/>
  <c r="AC644" i="1"/>
  <c r="M645" i="1"/>
  <c r="S645" i="1"/>
  <c r="AC645" i="1"/>
  <c r="M646" i="1"/>
  <c r="S646" i="1"/>
  <c r="AC646" i="1"/>
  <c r="M647" i="1"/>
  <c r="S647" i="1"/>
  <c r="AC647" i="1"/>
  <c r="M648" i="1"/>
  <c r="S648" i="1"/>
  <c r="AC648" i="1"/>
  <c r="M649" i="1"/>
  <c r="S649" i="1"/>
  <c r="AC649" i="1"/>
  <c r="S650" i="1"/>
  <c r="AC650" i="1"/>
  <c r="M651" i="1"/>
  <c r="S651" i="1"/>
  <c r="AC651" i="1"/>
  <c r="M652" i="1"/>
  <c r="S652" i="1"/>
  <c r="AC652" i="1"/>
  <c r="M653" i="1"/>
  <c r="S653" i="1"/>
  <c r="AC653" i="1"/>
  <c r="M654" i="1"/>
  <c r="S654" i="1"/>
  <c r="AC654" i="1"/>
  <c r="M655" i="1"/>
  <c r="S655" i="1"/>
  <c r="AC655" i="1"/>
  <c r="S656" i="1"/>
  <c r="AC656" i="1"/>
  <c r="M657" i="1"/>
  <c r="S657" i="1"/>
  <c r="AC657" i="1"/>
  <c r="M658" i="1"/>
  <c r="S658" i="1"/>
  <c r="AC658" i="1"/>
  <c r="S659" i="1"/>
  <c r="AC659" i="1"/>
  <c r="S660" i="1"/>
  <c r="AC660" i="1"/>
  <c r="S661" i="1"/>
  <c r="AC661" i="1"/>
  <c r="M662" i="1"/>
  <c r="S662" i="1"/>
  <c r="AC662" i="1"/>
  <c r="M663" i="1"/>
  <c r="S663" i="1"/>
  <c r="AC663" i="1"/>
  <c r="S664" i="1"/>
  <c r="AC664" i="1"/>
  <c r="M665" i="1"/>
  <c r="S665" i="1"/>
  <c r="AC665" i="1"/>
  <c r="M666" i="1"/>
  <c r="S666" i="1"/>
  <c r="AC666" i="1"/>
  <c r="M667" i="1"/>
  <c r="S667" i="1"/>
  <c r="AC667" i="1"/>
  <c r="S668" i="1"/>
  <c r="AC668" i="1"/>
  <c r="M669" i="1"/>
  <c r="S669" i="1"/>
  <c r="AC669" i="1"/>
  <c r="M670" i="1"/>
  <c r="S670" i="1"/>
  <c r="AC670" i="1"/>
  <c r="M671" i="1"/>
  <c r="S671" i="1"/>
  <c r="AC671" i="1"/>
  <c r="M672" i="1"/>
  <c r="S672" i="1"/>
  <c r="AC672" i="1"/>
  <c r="M673" i="1"/>
  <c r="S673" i="1"/>
  <c r="AC673" i="1"/>
  <c r="M674" i="1"/>
  <c r="S674" i="1"/>
  <c r="AC674" i="1"/>
  <c r="M675" i="1"/>
  <c r="S675" i="1"/>
  <c r="AC675" i="1"/>
  <c r="S676" i="1"/>
  <c r="AC676" i="1"/>
  <c r="M677" i="1"/>
  <c r="S677" i="1"/>
  <c r="AC677" i="1"/>
  <c r="S678" i="1"/>
  <c r="AC678" i="1"/>
  <c r="M679" i="1"/>
  <c r="S679" i="1"/>
  <c r="AC679" i="1"/>
  <c r="M680" i="1"/>
  <c r="S680" i="1"/>
  <c r="AC680" i="1"/>
  <c r="M681" i="1"/>
  <c r="S681" i="1"/>
  <c r="AC681" i="1"/>
  <c r="M682" i="1"/>
  <c r="S682" i="1"/>
  <c r="AC682" i="1"/>
  <c r="M683" i="1"/>
  <c r="S683" i="1"/>
  <c r="AC683" i="1"/>
  <c r="M684" i="1"/>
  <c r="S684" i="1"/>
  <c r="AC684" i="1"/>
  <c r="M685" i="1"/>
  <c r="S685" i="1"/>
  <c r="AC685" i="1"/>
  <c r="M686" i="1"/>
  <c r="S686" i="1"/>
  <c r="AC686" i="1"/>
  <c r="M687" i="1"/>
  <c r="S687" i="1"/>
  <c r="AC687" i="1"/>
  <c r="M688" i="1"/>
  <c r="S688" i="1"/>
  <c r="AC688" i="1"/>
  <c r="M689" i="1"/>
  <c r="S689" i="1"/>
  <c r="AC689" i="1"/>
  <c r="M690" i="1"/>
  <c r="S690" i="1"/>
  <c r="AC690" i="1"/>
  <c r="M692" i="1"/>
  <c r="S692" i="1"/>
  <c r="AC692" i="1"/>
  <c r="M693" i="1"/>
  <c r="S693" i="1"/>
  <c r="AC693" i="1"/>
  <c r="M694" i="1"/>
  <c r="S694" i="1"/>
  <c r="AC694" i="1"/>
  <c r="S691" i="1"/>
  <c r="AC691" i="1"/>
  <c r="M695" i="1"/>
  <c r="S695" i="1"/>
  <c r="AC695" i="1"/>
  <c r="S696" i="1"/>
  <c r="AC696" i="1"/>
  <c r="S697" i="1"/>
  <c r="AC697" i="1"/>
  <c r="M698" i="1"/>
  <c r="S698" i="1"/>
  <c r="AC698" i="1"/>
  <c r="M699" i="1"/>
  <c r="S699" i="1"/>
  <c r="AC699" i="1"/>
  <c r="M700" i="1"/>
  <c r="S700" i="1"/>
  <c r="AC700" i="1"/>
  <c r="M701" i="1"/>
  <c r="S701" i="1"/>
  <c r="AC701" i="1"/>
  <c r="M702" i="1"/>
  <c r="S702" i="1"/>
  <c r="AC702" i="1"/>
  <c r="S703" i="1"/>
  <c r="AC703" i="1"/>
  <c r="M704" i="1"/>
  <c r="S704" i="1"/>
  <c r="AC704" i="1"/>
  <c r="M705" i="1"/>
  <c r="S705" i="1"/>
  <c r="AC705" i="1"/>
  <c r="M706" i="1"/>
  <c r="S706" i="1"/>
  <c r="AC706" i="1"/>
  <c r="M707" i="1"/>
  <c r="S707" i="1"/>
  <c r="AC707" i="1"/>
  <c r="M708" i="1"/>
  <c r="S708" i="1"/>
  <c r="AC708" i="1"/>
  <c r="M709" i="1"/>
  <c r="S709" i="1"/>
  <c r="AC709" i="1"/>
  <c r="S710" i="1"/>
  <c r="AC710" i="1"/>
  <c r="S711" i="1"/>
  <c r="AC711" i="1"/>
  <c r="M712" i="1"/>
  <c r="S712" i="1"/>
  <c r="AC712" i="1"/>
  <c r="M713" i="1"/>
  <c r="S713" i="1"/>
  <c r="AC713" i="1"/>
  <c r="M714" i="1"/>
  <c r="S714" i="1"/>
  <c r="AC714" i="1"/>
  <c r="M715" i="1"/>
  <c r="S715" i="1"/>
  <c r="AC715" i="1"/>
  <c r="M716" i="1"/>
  <c r="S716" i="1"/>
  <c r="AC716" i="1"/>
  <c r="M717" i="1"/>
  <c r="S717" i="1"/>
  <c r="AC717" i="1"/>
  <c r="M718" i="1"/>
  <c r="S718" i="1"/>
  <c r="AC718" i="1"/>
  <c r="M719" i="1"/>
  <c r="S719" i="1"/>
  <c r="AC719" i="1"/>
  <c r="M720" i="1"/>
  <c r="S720" i="1"/>
  <c r="AC720" i="1"/>
  <c r="M721" i="1"/>
  <c r="S721" i="1"/>
  <c r="AC721" i="1"/>
  <c r="M722" i="1"/>
  <c r="S722" i="1"/>
  <c r="AC722" i="1"/>
  <c r="M723" i="1"/>
  <c r="S723" i="1"/>
  <c r="AC723" i="1"/>
  <c r="M724" i="1"/>
  <c r="S724" i="1"/>
  <c r="AC724" i="1"/>
  <c r="M725" i="1"/>
  <c r="S725" i="1"/>
  <c r="AC725" i="1"/>
  <c r="M726" i="1"/>
  <c r="S726" i="1"/>
  <c r="AC726" i="1"/>
  <c r="M727" i="1"/>
  <c r="S727" i="1"/>
  <c r="AC727" i="1"/>
  <c r="M728" i="1"/>
  <c r="S728" i="1"/>
  <c r="AC728" i="1"/>
  <c r="M729" i="1"/>
  <c r="S729" i="1"/>
  <c r="AC729" i="1"/>
  <c r="S730" i="1"/>
  <c r="AC730" i="1"/>
  <c r="M731" i="1"/>
  <c r="S731" i="1"/>
  <c r="AC731" i="1"/>
  <c r="M732" i="1"/>
  <c r="S732" i="1"/>
  <c r="AC732" i="1"/>
  <c r="M733" i="1"/>
  <c r="S733" i="1"/>
  <c r="AC733" i="1"/>
  <c r="M734" i="1"/>
  <c r="S734" i="1"/>
  <c r="AC734" i="1"/>
  <c r="M735" i="1"/>
  <c r="S735" i="1"/>
  <c r="AC735" i="1"/>
  <c r="M736" i="1"/>
  <c r="S736" i="1"/>
  <c r="AC736" i="1"/>
  <c r="M737" i="1"/>
  <c r="S737" i="1"/>
  <c r="AC737" i="1"/>
  <c r="M738" i="1"/>
  <c r="S738" i="1"/>
  <c r="AC738" i="1"/>
  <c r="M739" i="1"/>
  <c r="S739" i="1"/>
  <c r="AC739" i="1"/>
  <c r="M912" i="1"/>
  <c r="S912" i="1"/>
  <c r="AC912" i="1"/>
  <c r="M740" i="1"/>
  <c r="S740" i="1"/>
  <c r="AC740" i="1"/>
  <c r="M741" i="1"/>
  <c r="S741" i="1"/>
  <c r="AC741" i="1"/>
  <c r="M742" i="1"/>
  <c r="S742" i="1"/>
  <c r="AC742" i="1"/>
  <c r="M743" i="1"/>
  <c r="S743" i="1"/>
  <c r="AC743" i="1"/>
  <c r="M744" i="1"/>
  <c r="S744" i="1"/>
  <c r="AC744" i="1"/>
  <c r="M745" i="1"/>
  <c r="S745" i="1"/>
  <c r="AC745" i="1"/>
  <c r="M746" i="1"/>
  <c r="S746" i="1"/>
  <c r="AC746" i="1"/>
  <c r="M747" i="1"/>
  <c r="S747" i="1"/>
  <c r="AC747" i="1"/>
  <c r="M748" i="1"/>
  <c r="S748" i="1"/>
  <c r="AC748" i="1"/>
  <c r="M749" i="1"/>
  <c r="S749" i="1"/>
  <c r="AC749" i="1"/>
  <c r="M750" i="1"/>
  <c r="S750" i="1"/>
  <c r="AC750" i="1"/>
  <c r="M751" i="1"/>
  <c r="S751" i="1"/>
  <c r="AC751" i="1"/>
  <c r="M752" i="1"/>
  <c r="S752" i="1"/>
  <c r="AC752" i="1"/>
  <c r="M753" i="1"/>
  <c r="S753" i="1"/>
  <c r="AC753" i="1"/>
  <c r="M754" i="1"/>
  <c r="S754" i="1"/>
  <c r="AC754" i="1"/>
  <c r="M755" i="1"/>
  <c r="S755" i="1"/>
  <c r="AC755" i="1"/>
  <c r="M756" i="1"/>
  <c r="S756" i="1"/>
  <c r="AC756" i="1"/>
  <c r="M757" i="1"/>
  <c r="S757" i="1"/>
  <c r="AC757" i="1"/>
  <c r="M758" i="1"/>
  <c r="S758" i="1"/>
  <c r="AC758" i="1"/>
  <c r="M759" i="1"/>
  <c r="S759" i="1"/>
  <c r="AC759" i="1"/>
  <c r="S760" i="1"/>
  <c r="AC760" i="1"/>
  <c r="M761" i="1"/>
  <c r="S761" i="1"/>
  <c r="AC761" i="1"/>
  <c r="M762" i="1"/>
  <c r="S762" i="1"/>
  <c r="AC762" i="1"/>
  <c r="M763" i="1"/>
  <c r="S763" i="1"/>
  <c r="AC763" i="1"/>
  <c r="M764" i="1"/>
  <c r="S764" i="1"/>
  <c r="AC764" i="1"/>
  <c r="M765" i="1"/>
  <c r="S765" i="1"/>
  <c r="AC765" i="1"/>
  <c r="M766" i="1"/>
  <c r="S766" i="1"/>
  <c r="AC766" i="1"/>
  <c r="M767" i="1"/>
  <c r="S767" i="1"/>
  <c r="AC767" i="1"/>
  <c r="M768" i="1"/>
  <c r="S768" i="1"/>
  <c r="AC768" i="1"/>
  <c r="M769" i="1"/>
  <c r="S769" i="1"/>
  <c r="AC769" i="1"/>
  <c r="M770" i="1"/>
  <c r="S770" i="1"/>
  <c r="AC770" i="1"/>
  <c r="M771" i="1"/>
  <c r="S771" i="1"/>
  <c r="AC771" i="1"/>
  <c r="M772" i="1"/>
  <c r="S772" i="1"/>
  <c r="AC772" i="1"/>
  <c r="M773" i="1"/>
  <c r="S773" i="1"/>
  <c r="AC773" i="1"/>
  <c r="M774" i="1"/>
  <c r="S774" i="1"/>
  <c r="AC774" i="1"/>
  <c r="M775" i="1"/>
  <c r="S775" i="1"/>
  <c r="AC775" i="1"/>
  <c r="M776" i="1"/>
  <c r="S776" i="1"/>
  <c r="AC776" i="1"/>
  <c r="M777" i="1"/>
  <c r="S777" i="1"/>
  <c r="AC777" i="1"/>
  <c r="M778" i="1"/>
  <c r="S778" i="1"/>
  <c r="AC778" i="1"/>
  <c r="M779" i="1"/>
  <c r="S779" i="1"/>
  <c r="AC779" i="1"/>
  <c r="M780" i="1"/>
  <c r="S780" i="1"/>
  <c r="AC780" i="1"/>
  <c r="M781" i="1"/>
  <c r="S781" i="1"/>
  <c r="AC781" i="1"/>
  <c r="M782" i="1"/>
  <c r="S782" i="1"/>
  <c r="AC782" i="1"/>
  <c r="M783" i="1"/>
  <c r="S783" i="1"/>
  <c r="AC783" i="1"/>
  <c r="S784" i="1"/>
  <c r="AC784" i="1"/>
  <c r="M785" i="1"/>
  <c r="S785" i="1"/>
  <c r="AC785" i="1"/>
  <c r="M786" i="1"/>
  <c r="S786" i="1"/>
  <c r="AC786" i="1"/>
  <c r="S787" i="1"/>
  <c r="AC787" i="1"/>
  <c r="M788" i="1"/>
  <c r="S788" i="1"/>
  <c r="AC788" i="1"/>
  <c r="S789" i="1"/>
  <c r="AC789" i="1"/>
  <c r="M790" i="1"/>
  <c r="S790" i="1"/>
  <c r="AC790" i="1"/>
  <c r="M791" i="1"/>
  <c r="S791" i="1"/>
  <c r="AC791" i="1"/>
  <c r="M792" i="1"/>
  <c r="S792" i="1"/>
  <c r="AC792" i="1"/>
  <c r="M793" i="1"/>
  <c r="S793" i="1"/>
  <c r="AC793" i="1"/>
  <c r="M794" i="1"/>
  <c r="S794" i="1"/>
  <c r="AC794" i="1"/>
  <c r="M795" i="1"/>
  <c r="S795" i="1"/>
  <c r="AC795" i="1"/>
  <c r="S796" i="1"/>
  <c r="AC796" i="1"/>
  <c r="M797" i="1"/>
  <c r="S797" i="1"/>
  <c r="AC797" i="1"/>
  <c r="M798" i="1"/>
  <c r="S798" i="1"/>
  <c r="AC798" i="1"/>
  <c r="M799" i="1"/>
  <c r="S799" i="1"/>
  <c r="AC799" i="1"/>
  <c r="M800" i="1"/>
  <c r="S800" i="1"/>
  <c r="AC800" i="1"/>
  <c r="M801" i="1"/>
  <c r="S801" i="1"/>
  <c r="AC801" i="1"/>
  <c r="S802" i="1"/>
  <c r="AC802" i="1"/>
  <c r="M803" i="1"/>
  <c r="S803" i="1"/>
  <c r="AC803" i="1"/>
  <c r="S804" i="1"/>
  <c r="AC804" i="1"/>
  <c r="M805" i="1"/>
  <c r="S805" i="1"/>
  <c r="AC805" i="1"/>
  <c r="M806" i="1"/>
  <c r="S806" i="1"/>
  <c r="AC806" i="1"/>
  <c r="M807" i="1"/>
  <c r="S807" i="1"/>
  <c r="AC807" i="1"/>
  <c r="S808" i="1"/>
  <c r="AC808" i="1"/>
  <c r="M809" i="1"/>
  <c r="S809" i="1"/>
  <c r="AC809" i="1"/>
  <c r="M810" i="1"/>
  <c r="S810" i="1"/>
  <c r="AC810" i="1"/>
  <c r="M811" i="1"/>
  <c r="S811" i="1"/>
  <c r="AC811" i="1"/>
  <c r="M812" i="1"/>
  <c r="S812" i="1"/>
  <c r="AC812" i="1"/>
  <c r="M813" i="1"/>
  <c r="S813" i="1"/>
  <c r="AC813" i="1"/>
  <c r="M814" i="1"/>
  <c r="S814" i="1"/>
  <c r="AC814" i="1"/>
  <c r="M815" i="1"/>
  <c r="S815" i="1"/>
  <c r="AC815" i="1"/>
  <c r="M816" i="1"/>
  <c r="S816" i="1"/>
  <c r="AC816" i="1"/>
  <c r="M817" i="1"/>
  <c r="S817" i="1"/>
  <c r="AC817" i="1"/>
  <c r="M818" i="1"/>
  <c r="S818" i="1"/>
  <c r="AC818" i="1"/>
  <c r="M819" i="1"/>
  <c r="S819" i="1"/>
  <c r="AC819" i="1"/>
  <c r="M820" i="1"/>
  <c r="S820" i="1"/>
  <c r="AC820" i="1"/>
  <c r="M821" i="1"/>
  <c r="S821" i="1"/>
  <c r="AC821" i="1"/>
  <c r="M822" i="1"/>
  <c r="S822" i="1"/>
  <c r="AC822" i="1"/>
  <c r="M823" i="1"/>
  <c r="S823" i="1"/>
  <c r="AC823" i="1"/>
  <c r="M824" i="1"/>
  <c r="S824" i="1"/>
  <c r="AC824" i="1"/>
  <c r="M825" i="1"/>
  <c r="S825" i="1"/>
  <c r="AC825" i="1"/>
  <c r="M826" i="1"/>
  <c r="S826" i="1"/>
  <c r="AC826" i="1"/>
  <c r="M827" i="1"/>
  <c r="S827" i="1"/>
  <c r="AC827" i="1"/>
  <c r="M828" i="1"/>
  <c r="S828" i="1"/>
  <c r="AC828" i="1"/>
  <c r="M829" i="1"/>
  <c r="S829" i="1"/>
  <c r="AC829" i="1"/>
  <c r="M830" i="1"/>
  <c r="S830" i="1"/>
  <c r="AC830" i="1"/>
  <c r="M831" i="1"/>
  <c r="S831" i="1"/>
  <c r="AC831" i="1"/>
  <c r="M832" i="1"/>
  <c r="S832" i="1"/>
  <c r="AC832" i="1"/>
  <c r="M833" i="1"/>
  <c r="S833" i="1"/>
  <c r="AC833" i="1"/>
  <c r="M834" i="1"/>
  <c r="S834" i="1"/>
  <c r="AC834" i="1"/>
  <c r="S835" i="1"/>
  <c r="AC835" i="1"/>
  <c r="M836" i="1"/>
  <c r="S836" i="1"/>
  <c r="AC836" i="1"/>
  <c r="M837" i="1"/>
  <c r="S837" i="1"/>
  <c r="AC837" i="1"/>
  <c r="S838" i="1"/>
  <c r="AC838" i="1"/>
  <c r="M839" i="1"/>
  <c r="S839" i="1"/>
  <c r="AC839" i="1"/>
  <c r="M840" i="1"/>
  <c r="S840" i="1"/>
  <c r="AC840" i="1"/>
  <c r="S841" i="1"/>
  <c r="AC841" i="1"/>
  <c r="M842" i="1"/>
  <c r="S842" i="1"/>
  <c r="AC842" i="1"/>
  <c r="M843" i="1"/>
  <c r="S843" i="1"/>
  <c r="AC843" i="1"/>
  <c r="M844" i="1"/>
  <c r="S844" i="1"/>
  <c r="AC844" i="1"/>
  <c r="M845" i="1"/>
  <c r="S845" i="1"/>
  <c r="AC845" i="1"/>
  <c r="M846" i="1"/>
  <c r="S846" i="1"/>
  <c r="AC846" i="1"/>
  <c r="S847" i="1"/>
  <c r="AC847" i="1"/>
  <c r="M848" i="1"/>
  <c r="S848" i="1"/>
  <c r="AC848" i="1"/>
  <c r="M849" i="1"/>
  <c r="S849" i="1"/>
  <c r="AC849" i="1"/>
  <c r="M850" i="1"/>
  <c r="S850" i="1"/>
  <c r="AC850" i="1"/>
  <c r="M851" i="1"/>
  <c r="S851" i="1"/>
  <c r="AC851" i="1"/>
  <c r="M852" i="1"/>
  <c r="S852" i="1"/>
  <c r="AC852" i="1"/>
  <c r="M853" i="1"/>
  <c r="S853" i="1"/>
  <c r="AC853" i="1"/>
  <c r="M854" i="1"/>
  <c r="S854" i="1"/>
  <c r="AC854" i="1"/>
  <c r="M855" i="1"/>
  <c r="S855" i="1"/>
  <c r="AC855" i="1"/>
  <c r="M856" i="1"/>
  <c r="S856" i="1"/>
  <c r="AC856" i="1"/>
  <c r="M857" i="1"/>
  <c r="S857" i="1"/>
  <c r="AC857" i="1"/>
  <c r="M858" i="1"/>
  <c r="S858" i="1"/>
  <c r="AC858" i="1"/>
  <c r="M859" i="1"/>
  <c r="S859" i="1"/>
  <c r="AC859" i="1"/>
  <c r="M860" i="1"/>
  <c r="S860" i="1"/>
  <c r="AC860" i="1"/>
  <c r="M861" i="1"/>
  <c r="S861" i="1"/>
  <c r="AC861" i="1"/>
  <c r="M862" i="1"/>
  <c r="S862" i="1"/>
  <c r="AC862" i="1"/>
  <c r="M863" i="1"/>
  <c r="S863" i="1"/>
  <c r="AC863" i="1"/>
  <c r="M864" i="1"/>
  <c r="S864" i="1"/>
  <c r="AC864" i="1"/>
  <c r="M865" i="1"/>
  <c r="S865" i="1"/>
  <c r="AC865" i="1"/>
  <c r="M866" i="1"/>
  <c r="S866" i="1"/>
  <c r="AC866" i="1"/>
  <c r="M867" i="1"/>
  <c r="S867" i="1"/>
  <c r="AC867" i="1"/>
  <c r="M868" i="1"/>
  <c r="S868" i="1"/>
  <c r="AC868" i="1"/>
  <c r="M869" i="1"/>
  <c r="S869" i="1"/>
  <c r="AC869" i="1"/>
  <c r="M870" i="1"/>
  <c r="S870" i="1"/>
  <c r="AC870" i="1"/>
  <c r="M871" i="1"/>
  <c r="S871" i="1"/>
  <c r="AC871" i="1"/>
  <c r="M872" i="1"/>
  <c r="S872" i="1"/>
  <c r="AC872" i="1"/>
  <c r="M873" i="1"/>
  <c r="S873" i="1"/>
  <c r="AC873" i="1"/>
  <c r="M874" i="1"/>
  <c r="S874" i="1"/>
  <c r="AC874" i="1"/>
  <c r="M875" i="1"/>
  <c r="S875" i="1"/>
  <c r="AC875" i="1"/>
  <c r="M876" i="1"/>
  <c r="S876" i="1"/>
  <c r="AC876" i="1"/>
  <c r="M877" i="1"/>
  <c r="S877" i="1"/>
  <c r="AC877" i="1"/>
  <c r="M878" i="1"/>
  <c r="S878" i="1"/>
  <c r="AC878" i="1"/>
  <c r="M879" i="1"/>
  <c r="S879" i="1"/>
  <c r="AC879" i="1"/>
  <c r="M880" i="1"/>
  <c r="S880" i="1"/>
  <c r="AC880" i="1"/>
  <c r="M881" i="1"/>
  <c r="AC881" i="1"/>
  <c r="S882" i="1"/>
  <c r="AC882" i="1"/>
  <c r="M883" i="1"/>
  <c r="S883" i="1"/>
  <c r="AC883" i="1"/>
  <c r="M884" i="1"/>
  <c r="S884" i="1"/>
  <c r="AC884" i="1"/>
  <c r="M885" i="1"/>
  <c r="S885" i="1"/>
  <c r="AC885" i="1"/>
  <c r="M886" i="1"/>
  <c r="AC886" i="1"/>
  <c r="M887" i="1"/>
  <c r="S887" i="1"/>
  <c r="AC887" i="1"/>
  <c r="M888" i="1"/>
  <c r="S888" i="1"/>
  <c r="AC888" i="1"/>
  <c r="M889" i="1"/>
  <c r="S889" i="1"/>
  <c r="AC889" i="1"/>
  <c r="M890" i="1"/>
  <c r="S890" i="1"/>
  <c r="AC890" i="1"/>
  <c r="M891" i="1"/>
  <c r="S891" i="1"/>
  <c r="AC891" i="1"/>
  <c r="M892" i="1"/>
  <c r="S892" i="1"/>
  <c r="AC892" i="1"/>
  <c r="M893" i="1"/>
  <c r="S893" i="1"/>
  <c r="AC893" i="1"/>
  <c r="M894" i="1"/>
  <c r="S894" i="1"/>
  <c r="AC894" i="1"/>
  <c r="M895" i="1"/>
  <c r="S895" i="1"/>
  <c r="AC895" i="1"/>
  <c r="M896" i="1"/>
  <c r="S896" i="1"/>
  <c r="AC896" i="1"/>
  <c r="M897" i="1"/>
  <c r="S897" i="1"/>
  <c r="AC897" i="1"/>
  <c r="M898" i="1"/>
  <c r="S898" i="1"/>
  <c r="AC898" i="1"/>
  <c r="M899" i="1"/>
  <c r="S899" i="1"/>
  <c r="AC899" i="1"/>
  <c r="M900" i="1"/>
  <c r="S900" i="1"/>
  <c r="AC900" i="1"/>
  <c r="M901" i="1"/>
  <c r="S901" i="1"/>
  <c r="AC901" i="1"/>
  <c r="M902" i="1"/>
  <c r="S902" i="1"/>
  <c r="AC902" i="1"/>
  <c r="M903" i="1"/>
  <c r="S903" i="1"/>
  <c r="AC903" i="1"/>
  <c r="M904" i="1"/>
  <c r="S904" i="1"/>
  <c r="AC904" i="1"/>
  <c r="M905" i="1"/>
  <c r="S905" i="1"/>
  <c r="AC905" i="1"/>
  <c r="M906" i="1"/>
  <c r="S906" i="1"/>
  <c r="AC906" i="1"/>
  <c r="S907" i="1"/>
  <c r="AC907" i="1"/>
  <c r="S908" i="1"/>
  <c r="AC908" i="1"/>
  <c r="M909" i="1"/>
  <c r="S909" i="1"/>
  <c r="AC909" i="1"/>
  <c r="M910" i="1"/>
  <c r="S910" i="1"/>
  <c r="AC910" i="1"/>
  <c r="M911" i="1"/>
  <c r="S911" i="1"/>
  <c r="AC911" i="1"/>
  <c r="M913" i="1"/>
  <c r="S913" i="1"/>
  <c r="AC913" i="1"/>
  <c r="M914" i="1"/>
  <c r="S914" i="1"/>
  <c r="AC914" i="1"/>
  <c r="M915" i="1"/>
  <c r="S915" i="1"/>
  <c r="AC915" i="1"/>
  <c r="M916" i="1"/>
  <c r="S916" i="1"/>
  <c r="AC916" i="1"/>
  <c r="M917" i="1"/>
  <c r="S917" i="1"/>
  <c r="AC917" i="1"/>
  <c r="M918" i="1"/>
  <c r="S918" i="1"/>
  <c r="AC918" i="1"/>
  <c r="M919" i="1"/>
  <c r="S919" i="1"/>
  <c r="AC919" i="1"/>
  <c r="M920" i="1"/>
  <c r="S920" i="1"/>
  <c r="AC920" i="1"/>
  <c r="M921" i="1"/>
  <c r="S921" i="1"/>
  <c r="AC921" i="1"/>
  <c r="M922" i="1"/>
  <c r="AC922" i="1"/>
  <c r="M923" i="1"/>
  <c r="S923" i="1"/>
  <c r="AC923" i="1"/>
  <c r="M924" i="1"/>
  <c r="S924" i="1"/>
  <c r="AC924" i="1"/>
  <c r="M925" i="1"/>
  <c r="S925" i="1"/>
  <c r="AC925" i="1"/>
  <c r="S926" i="1"/>
  <c r="AC926" i="1"/>
  <c r="M927" i="1"/>
  <c r="S927" i="1"/>
  <c r="AC927" i="1"/>
  <c r="M928" i="1"/>
  <c r="S928" i="1"/>
  <c r="AC928" i="1"/>
  <c r="M929" i="1"/>
  <c r="S929" i="1"/>
  <c r="AC929" i="1"/>
  <c r="M930" i="1"/>
  <c r="S930" i="1"/>
  <c r="AC930" i="1"/>
  <c r="M931" i="1"/>
  <c r="S931" i="1"/>
  <c r="AC931" i="1"/>
  <c r="M932" i="1"/>
  <c r="S932" i="1"/>
  <c r="AC932" i="1"/>
  <c r="M933" i="1"/>
  <c r="S933" i="1"/>
  <c r="AC933" i="1"/>
  <c r="M934" i="1"/>
  <c r="S934" i="1"/>
  <c r="AC934" i="1"/>
  <c r="M935" i="1"/>
  <c r="S935" i="1"/>
  <c r="AC935" i="1"/>
  <c r="M936" i="1"/>
  <c r="S936" i="1"/>
  <c r="AC936" i="1"/>
  <c r="M937" i="1"/>
  <c r="S937" i="1"/>
  <c r="AC937" i="1"/>
  <c r="M938" i="1"/>
  <c r="S938" i="1"/>
  <c r="AC938" i="1"/>
  <c r="M939" i="1"/>
  <c r="S939" i="1"/>
  <c r="AC939" i="1"/>
  <c r="M940" i="1"/>
  <c r="S940" i="1"/>
  <c r="AC940" i="1"/>
  <c r="M941" i="1"/>
  <c r="S941" i="1"/>
  <c r="AC941" i="1"/>
  <c r="S942" i="1"/>
  <c r="AC942" i="1"/>
  <c r="M943" i="1"/>
  <c r="S943" i="1"/>
  <c r="AC943" i="1"/>
  <c r="M944" i="1"/>
  <c r="S944" i="1"/>
  <c r="AC944" i="1"/>
  <c r="M945" i="1"/>
  <c r="S945" i="1"/>
  <c r="AC945" i="1"/>
  <c r="M946" i="1"/>
  <c r="S946" i="1"/>
  <c r="AC946" i="1"/>
  <c r="M947" i="1"/>
  <c r="S947" i="1"/>
  <c r="AC947" i="1"/>
  <c r="M948" i="1"/>
  <c r="S948" i="1"/>
  <c r="AC948" i="1"/>
  <c r="S949" i="1"/>
  <c r="AC949" i="1"/>
  <c r="M950" i="1"/>
  <c r="S950" i="1"/>
  <c r="AC950" i="1"/>
  <c r="S951" i="1"/>
  <c r="AC951" i="1"/>
  <c r="M952" i="1"/>
  <c r="S952" i="1"/>
  <c r="AC952" i="1"/>
  <c r="M953" i="1"/>
  <c r="S953" i="1"/>
  <c r="AC953" i="1"/>
  <c r="M954" i="1"/>
  <c r="S954" i="1"/>
  <c r="AC954" i="1"/>
  <c r="S955" i="1"/>
  <c r="AC955" i="1"/>
  <c r="M956" i="1"/>
  <c r="S956" i="1"/>
  <c r="AC956" i="1"/>
  <c r="M957" i="1"/>
  <c r="S957" i="1"/>
  <c r="AC957" i="1"/>
  <c r="M958" i="1"/>
  <c r="S958" i="1"/>
  <c r="AC958" i="1"/>
  <c r="S959" i="1"/>
  <c r="AC959" i="1"/>
  <c r="M960" i="1"/>
  <c r="S960" i="1"/>
  <c r="AC960" i="1"/>
  <c r="M961" i="1"/>
  <c r="S961" i="1"/>
  <c r="AC961" i="1"/>
  <c r="M962" i="1"/>
  <c r="S962" i="1"/>
  <c r="AC962" i="1"/>
  <c r="M963" i="1"/>
  <c r="S963" i="1"/>
  <c r="AC963" i="1"/>
  <c r="M964" i="1"/>
  <c r="S964" i="1"/>
  <c r="AC964" i="1"/>
  <c r="M965" i="1"/>
  <c r="S965" i="1"/>
  <c r="AC965" i="1"/>
  <c r="M966" i="1"/>
  <c r="S966" i="1"/>
  <c r="AC966" i="1"/>
  <c r="S967" i="1"/>
  <c r="AC967" i="1"/>
  <c r="M968" i="1"/>
  <c r="S968" i="1"/>
  <c r="AC968" i="1"/>
  <c r="M969" i="1"/>
  <c r="S969" i="1"/>
  <c r="AC969" i="1"/>
  <c r="M970" i="1"/>
  <c r="S970" i="1"/>
  <c r="AC970" i="1"/>
  <c r="S971" i="1"/>
  <c r="AC971" i="1"/>
  <c r="M972" i="1"/>
  <c r="S972" i="1"/>
  <c r="AC972" i="1"/>
  <c r="M973" i="1"/>
  <c r="S973" i="1"/>
  <c r="AC973" i="1"/>
  <c r="M974" i="1"/>
  <c r="S974" i="1"/>
  <c r="AC974" i="1"/>
  <c r="M975" i="1"/>
  <c r="S975" i="1"/>
  <c r="AC975" i="1"/>
  <c r="M976" i="1"/>
  <c r="S976" i="1"/>
  <c r="AC976" i="1"/>
  <c r="S977" i="1"/>
  <c r="AC977" i="1"/>
  <c r="M978" i="1"/>
  <c r="S978" i="1"/>
  <c r="AC978" i="1"/>
  <c r="M979" i="1"/>
  <c r="S979" i="1"/>
  <c r="AC979" i="1"/>
  <c r="M980" i="1"/>
  <c r="S980" i="1"/>
  <c r="AC980" i="1"/>
  <c r="M981" i="1"/>
  <c r="S981" i="1"/>
  <c r="AC981" i="1"/>
  <c r="M982" i="1"/>
  <c r="S982" i="1"/>
  <c r="AC982" i="1"/>
  <c r="M983" i="1"/>
  <c r="S983" i="1"/>
  <c r="AC983" i="1"/>
  <c r="M984" i="1"/>
  <c r="S984" i="1"/>
  <c r="AC984" i="1"/>
  <c r="S985" i="1"/>
  <c r="AC985" i="1"/>
  <c r="M986" i="1"/>
  <c r="S986" i="1"/>
  <c r="AC986" i="1"/>
  <c r="M987" i="1"/>
  <c r="S987" i="1"/>
  <c r="AC987" i="1"/>
  <c r="M988" i="1"/>
  <c r="S988" i="1"/>
  <c r="AC988" i="1"/>
  <c r="M989" i="1"/>
  <c r="S989" i="1"/>
  <c r="AC989" i="1"/>
  <c r="M990" i="1"/>
  <c r="S990" i="1"/>
  <c r="AC990" i="1"/>
  <c r="S991" i="1"/>
  <c r="AC991" i="1"/>
  <c r="M992" i="1"/>
  <c r="S992" i="1"/>
  <c r="AC992" i="1"/>
  <c r="M993" i="1"/>
  <c r="S993" i="1"/>
  <c r="AC993" i="1"/>
  <c r="M994" i="1"/>
  <c r="S994" i="1"/>
  <c r="AC994" i="1"/>
  <c r="M995" i="1"/>
  <c r="S995" i="1"/>
  <c r="AC995" i="1"/>
  <c r="M996" i="1"/>
  <c r="S996" i="1"/>
  <c r="AC996" i="1"/>
  <c r="M997" i="1"/>
  <c r="S997" i="1"/>
  <c r="AC997" i="1"/>
  <c r="M998" i="1"/>
  <c r="S998" i="1"/>
  <c r="AC998" i="1"/>
  <c r="M999" i="1"/>
  <c r="S999" i="1"/>
  <c r="AC999" i="1"/>
  <c r="M1000" i="1"/>
  <c r="S1000" i="1"/>
  <c r="AC1000" i="1"/>
  <c r="M1001" i="1"/>
  <c r="S1001" i="1"/>
  <c r="AC1001" i="1"/>
  <c r="M1002" i="1"/>
  <c r="S1002" i="1"/>
  <c r="AC1002" i="1"/>
  <c r="M1003" i="1"/>
  <c r="S1003" i="1"/>
  <c r="AC1003" i="1"/>
  <c r="M1004" i="1"/>
  <c r="S1004" i="1"/>
  <c r="AC1004" i="1"/>
  <c r="M1005" i="1"/>
  <c r="S1005" i="1"/>
  <c r="AC1005" i="1"/>
  <c r="M1006" i="1"/>
  <c r="S1006" i="1"/>
  <c r="AC1006" i="1"/>
  <c r="M1007" i="1"/>
  <c r="S1007" i="1"/>
  <c r="AC1007" i="1"/>
  <c r="M1008" i="1"/>
  <c r="S1008" i="1"/>
  <c r="AC1008" i="1"/>
  <c r="M1009" i="1"/>
  <c r="S1009" i="1"/>
  <c r="AC1009" i="1"/>
  <c r="M1010" i="1"/>
  <c r="S1010" i="1"/>
  <c r="AC1010" i="1"/>
  <c r="M1011" i="1"/>
  <c r="S1011" i="1"/>
  <c r="AC1011" i="1"/>
  <c r="M1012" i="1"/>
  <c r="S1012" i="1"/>
  <c r="AC1012" i="1"/>
  <c r="M1013" i="1"/>
  <c r="S1013" i="1"/>
  <c r="AC1013" i="1"/>
  <c r="M1014" i="1"/>
  <c r="S1014" i="1"/>
  <c r="AC1014" i="1"/>
  <c r="M1015" i="1"/>
  <c r="S1015" i="1"/>
  <c r="AC1015" i="1"/>
  <c r="M1016" i="1"/>
  <c r="S1016" i="1"/>
  <c r="AC1016" i="1"/>
  <c r="M1017" i="1"/>
  <c r="S1017" i="1"/>
  <c r="AC1017" i="1"/>
  <c r="M1018" i="1"/>
  <c r="S1018" i="1"/>
  <c r="AC1018" i="1"/>
  <c r="M1020" i="1"/>
  <c r="S1020" i="1"/>
  <c r="AC1020" i="1"/>
  <c r="M1021" i="1"/>
  <c r="S1021" i="1"/>
  <c r="AC1021" i="1"/>
  <c r="M1022" i="1"/>
  <c r="S1022" i="1"/>
  <c r="AC1022" i="1"/>
  <c r="M1023" i="1"/>
  <c r="S1023" i="1"/>
  <c r="AC1023" i="1"/>
  <c r="S1024" i="1"/>
  <c r="AC1024" i="1"/>
  <c r="M1025" i="1"/>
  <c r="S1025" i="1"/>
  <c r="AC1025" i="1"/>
  <c r="M1026" i="1"/>
  <c r="S1026" i="1"/>
  <c r="AC1026" i="1"/>
  <c r="M1027" i="1"/>
  <c r="S1027" i="1"/>
  <c r="AC1027" i="1"/>
  <c r="M1028" i="1"/>
  <c r="S1028" i="1"/>
  <c r="AC1028" i="1"/>
  <c r="S1029" i="1"/>
  <c r="AC1029" i="1"/>
  <c r="M1030" i="1"/>
  <c r="S1030" i="1"/>
  <c r="AC1030" i="1"/>
  <c r="M1031" i="1"/>
  <c r="S1031" i="1"/>
  <c r="AC1031" i="1"/>
  <c r="M1032" i="1"/>
  <c r="S1032" i="1"/>
  <c r="AC1032" i="1"/>
  <c r="M1033" i="1"/>
  <c r="S1033" i="1"/>
  <c r="AC1033" i="1"/>
  <c r="M1034" i="1"/>
  <c r="S1034" i="1"/>
  <c r="AC1034" i="1"/>
  <c r="M1035" i="1"/>
  <c r="S1035" i="1"/>
  <c r="AC1035" i="1"/>
  <c r="M1036" i="1"/>
  <c r="S1036" i="1"/>
  <c r="AC1036" i="1"/>
  <c r="M1037" i="1"/>
  <c r="S1037" i="1"/>
  <c r="AC1037" i="1"/>
  <c r="M1038" i="1"/>
  <c r="S1038" i="1"/>
  <c r="AC1038" i="1"/>
  <c r="M1039" i="1"/>
  <c r="S1039" i="1"/>
  <c r="AC1039" i="1"/>
  <c r="M1040" i="1"/>
  <c r="S1040" i="1"/>
  <c r="AC1040" i="1"/>
  <c r="M1041" i="1"/>
  <c r="S1041" i="1"/>
  <c r="AC1041" i="1"/>
  <c r="M1042" i="1"/>
  <c r="S1042" i="1"/>
  <c r="AC1042" i="1"/>
  <c r="M1043" i="1"/>
  <c r="S1043" i="1"/>
  <c r="AC1043" i="1"/>
  <c r="M1044" i="1"/>
  <c r="S1044" i="1"/>
  <c r="AC1044" i="1"/>
  <c r="M1045" i="1"/>
  <c r="S1045" i="1"/>
  <c r="AC1045" i="1"/>
  <c r="M1046" i="1"/>
  <c r="S1046" i="1"/>
  <c r="AC1046" i="1"/>
  <c r="M1047" i="1"/>
  <c r="S1047" i="1"/>
  <c r="AC1047" i="1"/>
  <c r="S1048" i="1"/>
  <c r="AC1048" i="1"/>
  <c r="M1049" i="1"/>
  <c r="S1049" i="1"/>
  <c r="AC1049" i="1"/>
  <c r="M1050" i="1"/>
  <c r="S1050" i="1"/>
  <c r="AC1050" i="1"/>
  <c r="M1051" i="1"/>
  <c r="S1051" i="1"/>
  <c r="AC1051" i="1"/>
  <c r="M1052" i="1"/>
  <c r="S1052" i="1"/>
  <c r="AC1052" i="1"/>
  <c r="M1053" i="1"/>
  <c r="S1053" i="1"/>
  <c r="AC1053" i="1"/>
  <c r="S1054" i="1"/>
  <c r="AC1054" i="1"/>
  <c r="M1055" i="1"/>
  <c r="S1055" i="1"/>
  <c r="AC1055" i="1"/>
  <c r="M1056" i="1"/>
  <c r="S1056" i="1"/>
  <c r="AC1056" i="1"/>
  <c r="M1057" i="1"/>
  <c r="S1057" i="1"/>
  <c r="AC1057" i="1"/>
  <c r="S1058" i="1"/>
  <c r="AC1058" i="1"/>
  <c r="S1059" i="1"/>
  <c r="AC1059" i="1"/>
  <c r="S1060" i="1"/>
  <c r="AC1060" i="1"/>
  <c r="M1061" i="1"/>
  <c r="S1061" i="1"/>
  <c r="AC1061" i="1"/>
  <c r="M1062" i="1"/>
  <c r="S1062" i="1"/>
  <c r="AC1062" i="1"/>
  <c r="M1063" i="1"/>
  <c r="S1063" i="1"/>
  <c r="AC1063" i="1"/>
  <c r="M1064" i="1"/>
  <c r="S1064" i="1"/>
  <c r="AC1064" i="1"/>
  <c r="M1065" i="1"/>
  <c r="S1065" i="1"/>
  <c r="AC1065" i="1"/>
  <c r="M1066" i="1"/>
  <c r="S1066" i="1"/>
  <c r="AC1066" i="1"/>
  <c r="M1067" i="1"/>
  <c r="S1067" i="1"/>
  <c r="AC1067" i="1"/>
  <c r="S1068" i="1"/>
  <c r="AC1068" i="1"/>
  <c r="M1069" i="1"/>
  <c r="S1069" i="1"/>
  <c r="AC1069" i="1"/>
  <c r="M1070" i="1"/>
  <c r="S1070" i="1"/>
  <c r="AC1070" i="1"/>
  <c r="M1071" i="1"/>
  <c r="S1071" i="1"/>
  <c r="AC1071" i="1"/>
  <c r="M1072" i="1"/>
  <c r="S1072" i="1"/>
  <c r="AC1072" i="1"/>
  <c r="S1073" i="1"/>
  <c r="AC1073" i="1"/>
  <c r="S1074" i="1"/>
  <c r="AC1074" i="1"/>
  <c r="M1075" i="1"/>
  <c r="S1075" i="1"/>
  <c r="AC1075" i="1"/>
  <c r="M1076" i="1"/>
  <c r="S1076" i="1"/>
  <c r="AC1076" i="1"/>
  <c r="M1077" i="1"/>
  <c r="S1077" i="1"/>
  <c r="AC1077" i="1"/>
  <c r="M1078" i="1"/>
  <c r="S1078" i="1"/>
  <c r="AC1078" i="1"/>
  <c r="M1079" i="1"/>
  <c r="S1079" i="1"/>
  <c r="AC1079" i="1"/>
  <c r="M1080" i="1"/>
  <c r="S1080" i="1"/>
  <c r="AC1080" i="1"/>
  <c r="M1081" i="1"/>
  <c r="S1081" i="1"/>
  <c r="AC1081" i="1"/>
  <c r="M1082" i="1"/>
  <c r="S1082" i="1"/>
  <c r="AC1082" i="1"/>
  <c r="M1083" i="1"/>
  <c r="S1083" i="1"/>
  <c r="AC1083" i="1"/>
  <c r="M1084" i="1"/>
  <c r="S1084" i="1"/>
  <c r="AC1084" i="1"/>
  <c r="M1085" i="1"/>
  <c r="S1085" i="1"/>
  <c r="AC1085" i="1"/>
  <c r="S1086" i="1"/>
  <c r="AC1086" i="1"/>
  <c r="S1087" i="1"/>
  <c r="AC1087" i="1"/>
  <c r="M1088" i="1"/>
  <c r="S1088" i="1"/>
  <c r="AC1088" i="1"/>
  <c r="M1089" i="1"/>
  <c r="S1089" i="1"/>
  <c r="AC1089" i="1"/>
  <c r="M1090" i="1"/>
  <c r="S1090" i="1"/>
  <c r="AC1090" i="1"/>
  <c r="M1091" i="1"/>
  <c r="S1091" i="1"/>
  <c r="AC1091" i="1"/>
  <c r="M1092" i="1"/>
  <c r="S1092" i="1"/>
  <c r="AC1092" i="1"/>
  <c r="M1093" i="1"/>
  <c r="S1093" i="1"/>
  <c r="AC1093" i="1"/>
  <c r="M1094" i="1"/>
  <c r="S1094" i="1"/>
  <c r="AC1094" i="1"/>
  <c r="M1095" i="1"/>
  <c r="S1095" i="1"/>
  <c r="AC1095" i="1"/>
  <c r="M1096" i="1"/>
  <c r="S1096" i="1"/>
  <c r="AC1096" i="1"/>
  <c r="M1097" i="1"/>
  <c r="S1097" i="1"/>
  <c r="AC1097" i="1"/>
  <c r="S1098" i="1"/>
  <c r="AC1098" i="1"/>
  <c r="M1099" i="1"/>
  <c r="S1099" i="1"/>
  <c r="AC1099" i="1"/>
  <c r="M1100" i="1"/>
  <c r="S1100" i="1"/>
  <c r="AC1100" i="1"/>
  <c r="M1101" i="1"/>
  <c r="S1101" i="1"/>
  <c r="AC1101" i="1"/>
  <c r="M1102" i="1"/>
  <c r="S1102" i="1"/>
  <c r="AC1102" i="1"/>
  <c r="M1103" i="1"/>
  <c r="S1103" i="1"/>
  <c r="AC1103" i="1"/>
  <c r="M1104" i="1"/>
  <c r="S1104" i="1"/>
  <c r="AC1104" i="1"/>
  <c r="M1105" i="1"/>
  <c r="S1105" i="1"/>
  <c r="AC1105" i="1"/>
  <c r="M1106" i="1"/>
  <c r="S1106" i="1"/>
  <c r="AC1106" i="1"/>
  <c r="M1107" i="1"/>
  <c r="S1107" i="1"/>
  <c r="AC1107" i="1"/>
  <c r="M1108" i="1"/>
  <c r="S1108" i="1"/>
  <c r="AC1108" i="1"/>
  <c r="M1109" i="1"/>
  <c r="S1109" i="1"/>
  <c r="AC1109" i="1"/>
  <c r="M1110" i="1"/>
  <c r="S1110" i="1"/>
  <c r="AC1110" i="1"/>
  <c r="M1111" i="1"/>
  <c r="S1111" i="1"/>
  <c r="AC1111" i="1"/>
  <c r="M1112" i="1"/>
  <c r="S1112" i="1"/>
  <c r="AC1112" i="1"/>
  <c r="M1113" i="1"/>
  <c r="S1113" i="1"/>
  <c r="AC1113" i="1"/>
  <c r="M1114" i="1"/>
  <c r="S1114" i="1"/>
  <c r="AC1114" i="1"/>
  <c r="M1115" i="1"/>
  <c r="S1115" i="1"/>
  <c r="AC1115" i="1"/>
  <c r="M1116" i="1"/>
  <c r="S1116" i="1"/>
  <c r="AC1116" i="1"/>
  <c r="M1117" i="1"/>
  <c r="S1117" i="1"/>
  <c r="AC1117" i="1"/>
  <c r="S1118" i="1"/>
  <c r="AC1118" i="1"/>
  <c r="M1119" i="1"/>
  <c r="S1119" i="1"/>
  <c r="AC1119" i="1"/>
  <c r="M1120" i="1"/>
  <c r="S1120" i="1"/>
  <c r="AC1120" i="1"/>
  <c r="M1121" i="1"/>
  <c r="S1121" i="1"/>
  <c r="AC1121" i="1"/>
  <c r="AC1122" i="1"/>
  <c r="M1123" i="1"/>
  <c r="AC1123" i="1"/>
  <c r="M1124" i="1"/>
  <c r="S1124" i="1"/>
  <c r="AC1124" i="1"/>
  <c r="S1125" i="1"/>
  <c r="AC1125" i="1"/>
  <c r="M1126" i="1"/>
  <c r="S1126" i="1"/>
  <c r="AC1126" i="1"/>
  <c r="M1127" i="1"/>
  <c r="S1127" i="1"/>
  <c r="AC1127" i="1"/>
  <c r="M1128" i="1"/>
  <c r="S1128" i="1"/>
  <c r="AC1128" i="1"/>
  <c r="M1129" i="1"/>
  <c r="S1129" i="1"/>
  <c r="AC1129" i="1"/>
  <c r="S1130" i="1"/>
  <c r="AC1130" i="1"/>
  <c r="S1131" i="1"/>
  <c r="AC1131" i="1"/>
  <c r="S1132" i="1"/>
  <c r="AC1132" i="1"/>
  <c r="M1133" i="1"/>
  <c r="S1133" i="1"/>
  <c r="AC1133" i="1"/>
  <c r="M1134" i="1"/>
  <c r="S1134" i="1"/>
  <c r="AC1134" i="1"/>
  <c r="M1135" i="1"/>
  <c r="S1135" i="1"/>
  <c r="AC1135" i="1"/>
  <c r="M1136" i="1"/>
  <c r="S1136" i="1"/>
  <c r="AC1136" i="1"/>
  <c r="M1137" i="1"/>
  <c r="S1137" i="1"/>
  <c r="AC1137" i="1"/>
  <c r="M1138" i="1"/>
  <c r="S1138" i="1"/>
  <c r="AC1138" i="1"/>
  <c r="M1139" i="1"/>
  <c r="S1139" i="1"/>
  <c r="AC1139" i="1"/>
  <c r="M1140" i="1"/>
  <c r="S1140" i="1"/>
  <c r="AC1140" i="1"/>
  <c r="M1141" i="1"/>
  <c r="S1141" i="1"/>
  <c r="AC1141" i="1"/>
  <c r="M1142" i="1"/>
  <c r="S1142" i="1"/>
  <c r="AC1142" i="1"/>
  <c r="M1143" i="1"/>
  <c r="S1143" i="1"/>
  <c r="AC1143" i="1"/>
  <c r="S1144" i="1"/>
  <c r="AC1144" i="1"/>
  <c r="M1145" i="1"/>
  <c r="S1145" i="1"/>
  <c r="AC1145" i="1"/>
  <c r="M1146" i="1"/>
  <c r="S1146" i="1"/>
  <c r="AC1146" i="1"/>
  <c r="S1147" i="1"/>
  <c r="AC1147" i="1"/>
  <c r="M1148" i="1"/>
  <c r="S1148" i="1"/>
  <c r="AC1148" i="1"/>
  <c r="S1149" i="1"/>
  <c r="AC1149" i="1"/>
  <c r="S1150" i="1"/>
  <c r="AC1150" i="1"/>
  <c r="M1151" i="1"/>
  <c r="S1151" i="1"/>
  <c r="AC1151" i="1"/>
  <c r="M1152" i="1"/>
  <c r="S1152" i="1"/>
  <c r="AC1152" i="1"/>
  <c r="M1153" i="1"/>
  <c r="S1153" i="1"/>
  <c r="AC1153" i="1"/>
  <c r="M1154" i="1"/>
  <c r="S1154" i="1"/>
  <c r="AC1154" i="1"/>
  <c r="M1155" i="1"/>
  <c r="S1155" i="1"/>
  <c r="AC1155" i="1"/>
  <c r="M1156" i="1"/>
  <c r="S1156" i="1"/>
  <c r="AC1156" i="1"/>
  <c r="M1157" i="1"/>
  <c r="S1157" i="1"/>
  <c r="AC1157" i="1"/>
  <c r="M1158" i="1"/>
  <c r="S1158" i="1"/>
  <c r="AC1158" i="1"/>
  <c r="M1159" i="1"/>
  <c r="S1159" i="1"/>
  <c r="AC1159" i="1"/>
  <c r="M1160" i="1"/>
  <c r="S1160" i="1"/>
  <c r="AC1160" i="1"/>
  <c r="S1161" i="1"/>
  <c r="AC1161" i="1"/>
  <c r="M1162" i="1"/>
  <c r="S1162" i="1"/>
  <c r="AC1162" i="1"/>
  <c r="M1163" i="1"/>
  <c r="S1163" i="1"/>
  <c r="AC1163" i="1"/>
  <c r="M1164" i="1"/>
  <c r="S1164" i="1"/>
  <c r="AC1164" i="1"/>
  <c r="S1165" i="1"/>
  <c r="AC1165" i="1"/>
  <c r="M1166" i="1"/>
  <c r="S1166" i="1"/>
  <c r="AC1166" i="1"/>
  <c r="M1167" i="1"/>
  <c r="S1167" i="1"/>
  <c r="AC1167" i="1"/>
  <c r="S1168" i="1"/>
  <c r="AC1168" i="1"/>
  <c r="M1169" i="1"/>
  <c r="S1169" i="1"/>
  <c r="AC1169" i="1"/>
  <c r="M1170" i="1"/>
  <c r="S1170" i="1"/>
  <c r="AC1170" i="1"/>
  <c r="M1171" i="1"/>
  <c r="S1171" i="1"/>
  <c r="AC1171" i="1"/>
  <c r="M1300" i="1"/>
  <c r="S1300" i="1"/>
  <c r="AC1300" i="1"/>
  <c r="M1172" i="1"/>
  <c r="S1172" i="1"/>
  <c r="AC1172" i="1"/>
  <c r="M1174" i="1"/>
  <c r="S1174" i="1"/>
  <c r="AC1174" i="1"/>
  <c r="M1175" i="1"/>
  <c r="S1175" i="1"/>
  <c r="AC1175" i="1"/>
  <c r="M1176" i="1"/>
  <c r="S1176" i="1"/>
  <c r="AC1176" i="1"/>
  <c r="S1177" i="1"/>
  <c r="AC1177" i="1"/>
  <c r="M1178" i="1"/>
  <c r="S1178" i="1"/>
  <c r="AC1178" i="1"/>
  <c r="M1179" i="1"/>
  <c r="S1179" i="1"/>
  <c r="AC1179" i="1"/>
  <c r="M1180" i="1"/>
  <c r="S1180" i="1"/>
  <c r="AC1180" i="1"/>
  <c r="S1181" i="1"/>
  <c r="AC1181" i="1"/>
  <c r="M1182" i="1"/>
  <c r="S1182" i="1"/>
  <c r="AC1182" i="1"/>
  <c r="M1183" i="1"/>
  <c r="S1183" i="1"/>
  <c r="AC1183" i="1"/>
  <c r="M1184" i="1"/>
  <c r="S1184" i="1"/>
  <c r="AC1184" i="1"/>
  <c r="M1185" i="1"/>
  <c r="S1185" i="1"/>
  <c r="AC1185" i="1"/>
  <c r="S1186" i="1"/>
  <c r="M1187" i="1"/>
  <c r="S1187" i="1"/>
  <c r="AC1187" i="1"/>
  <c r="M1188" i="1"/>
  <c r="S1188" i="1"/>
  <c r="AC1188" i="1"/>
  <c r="M1189" i="1"/>
  <c r="S1189" i="1"/>
  <c r="AC1189" i="1"/>
  <c r="M1190" i="1"/>
  <c r="S1190" i="1"/>
  <c r="AC1190" i="1"/>
  <c r="M1191" i="1"/>
  <c r="S1191" i="1"/>
  <c r="AC1191" i="1"/>
  <c r="M1192" i="1"/>
  <c r="S1192" i="1"/>
  <c r="AC1192" i="1"/>
  <c r="M1193" i="1"/>
  <c r="S1193" i="1"/>
  <c r="AC1193" i="1"/>
  <c r="M1194" i="1"/>
  <c r="S1194" i="1"/>
  <c r="AC1194" i="1"/>
  <c r="S1195" i="1"/>
  <c r="AC1195" i="1"/>
  <c r="M1196" i="1"/>
  <c r="S1196" i="1"/>
  <c r="AC1196" i="1"/>
  <c r="AC1197" i="1"/>
  <c r="M1198" i="1"/>
  <c r="S1198" i="1"/>
  <c r="AC1198" i="1"/>
  <c r="M1199" i="1"/>
  <c r="S1199" i="1"/>
  <c r="AC1199" i="1"/>
  <c r="S1200" i="1"/>
  <c r="AC1200" i="1"/>
  <c r="M1201" i="1"/>
  <c r="S1201" i="1"/>
  <c r="AC1201" i="1"/>
  <c r="M1202" i="1"/>
  <c r="S1202" i="1"/>
  <c r="AC1202" i="1"/>
  <c r="M1203" i="1"/>
  <c r="S1203" i="1"/>
  <c r="AC1203" i="1"/>
  <c r="M1204" i="1"/>
  <c r="S1204" i="1"/>
  <c r="AC1204" i="1"/>
  <c r="M1205" i="1"/>
  <c r="S1205" i="1"/>
  <c r="AC1205" i="1"/>
  <c r="M1206" i="1"/>
  <c r="S1206" i="1"/>
  <c r="AC1206" i="1"/>
  <c r="M1207" i="1"/>
  <c r="S1207" i="1"/>
  <c r="AC1207" i="1"/>
  <c r="M1209" i="1"/>
  <c r="S1209" i="1"/>
  <c r="AC1209" i="1"/>
  <c r="M1211" i="1"/>
  <c r="S1211" i="1"/>
  <c r="AC1211" i="1"/>
  <c r="M1213" i="1"/>
  <c r="S1213" i="1"/>
  <c r="AC1213" i="1"/>
  <c r="M1214" i="1"/>
  <c r="S1214" i="1"/>
  <c r="AC1214" i="1"/>
  <c r="M1216" i="1"/>
  <c r="S1216" i="1"/>
  <c r="AC1216" i="1"/>
  <c r="M1218" i="1"/>
  <c r="S1218" i="1"/>
  <c r="AC1218" i="1"/>
  <c r="M1220" i="1"/>
  <c r="S1220" i="1"/>
  <c r="AC1220" i="1"/>
  <c r="M1221" i="1"/>
  <c r="S1221" i="1"/>
  <c r="AC1221" i="1"/>
  <c r="M1208" i="1"/>
  <c r="S1208" i="1"/>
  <c r="AC1208" i="1"/>
  <c r="M1210" i="1"/>
  <c r="S1210" i="1"/>
  <c r="AC1210" i="1"/>
  <c r="M1212" i="1"/>
  <c r="S1212" i="1"/>
  <c r="AC1212" i="1"/>
  <c r="M1215" i="1"/>
  <c r="S1215" i="1"/>
  <c r="AC1215" i="1"/>
  <c r="M1217" i="1"/>
  <c r="S1217" i="1"/>
  <c r="AC1217" i="1"/>
  <c r="M1219" i="1"/>
  <c r="S1219" i="1"/>
  <c r="AC1219" i="1"/>
  <c r="M1222" i="1"/>
  <c r="S1222" i="1"/>
  <c r="AC1222" i="1"/>
  <c r="M1223" i="1"/>
  <c r="S1223" i="1"/>
  <c r="AC1223" i="1"/>
  <c r="M1224" i="1"/>
  <c r="S1224" i="1"/>
  <c r="AC1224" i="1"/>
  <c r="M1225" i="1"/>
  <c r="S1225" i="1"/>
  <c r="AC1225" i="1"/>
  <c r="M1226" i="1"/>
  <c r="S1226" i="1"/>
  <c r="AC1226" i="1"/>
  <c r="M1227" i="1"/>
  <c r="S1227" i="1"/>
  <c r="AC1227" i="1"/>
  <c r="M1228" i="1"/>
  <c r="S1228" i="1"/>
  <c r="AC1228" i="1"/>
  <c r="M1229" i="1"/>
  <c r="S1229" i="1"/>
  <c r="AC1229" i="1"/>
  <c r="M1230" i="1"/>
  <c r="S1230" i="1"/>
  <c r="AC1230" i="1"/>
  <c r="M1301" i="1"/>
  <c r="S1301" i="1"/>
  <c r="AC1301" i="1"/>
  <c r="M1231" i="1"/>
  <c r="S1231" i="1"/>
  <c r="AC1231" i="1"/>
  <c r="S1232" i="1"/>
  <c r="AC1232" i="1"/>
  <c r="M1233" i="1"/>
  <c r="S1233" i="1"/>
  <c r="AC1233" i="1"/>
  <c r="M1234" i="1"/>
  <c r="S1234" i="1"/>
  <c r="AC1234" i="1"/>
  <c r="M1235" i="1"/>
  <c r="S1235" i="1"/>
  <c r="AC1235" i="1"/>
  <c r="M1236" i="1"/>
  <c r="AC1236" i="1"/>
  <c r="S1237" i="1"/>
  <c r="AC1237" i="1"/>
  <c r="S1238" i="1"/>
  <c r="AC1238" i="1"/>
  <c r="M1239" i="1"/>
  <c r="S1239" i="1"/>
  <c r="AC1239" i="1"/>
  <c r="M1240" i="1"/>
  <c r="S1240" i="1"/>
  <c r="AC1240" i="1"/>
  <c r="M1241" i="1"/>
  <c r="S1241" i="1"/>
  <c r="AC1241" i="1"/>
  <c r="M1242" i="1"/>
  <c r="S1242" i="1"/>
  <c r="AC1242" i="1"/>
  <c r="M1243" i="1"/>
  <c r="S1243" i="1"/>
  <c r="AC1243" i="1"/>
  <c r="M1244" i="1"/>
  <c r="S1244" i="1"/>
  <c r="AC1244" i="1"/>
  <c r="M1245" i="1"/>
  <c r="S1245" i="1"/>
  <c r="AC1245" i="1"/>
  <c r="M1246" i="1"/>
  <c r="S1246" i="1"/>
  <c r="AC1246" i="1"/>
  <c r="M1247" i="1"/>
  <c r="S1247" i="1"/>
  <c r="AC1247" i="1"/>
  <c r="M1248" i="1"/>
  <c r="S1248" i="1"/>
  <c r="AC1248" i="1"/>
  <c r="M1249" i="1"/>
  <c r="S1249" i="1"/>
  <c r="AC1249" i="1"/>
  <c r="S1250" i="1"/>
  <c r="AC1250" i="1"/>
  <c r="M1251" i="1"/>
  <c r="S1251" i="1"/>
  <c r="AC1251" i="1"/>
  <c r="M1252" i="1"/>
  <c r="S1252" i="1"/>
  <c r="AC1252" i="1"/>
  <c r="AC1253" i="1"/>
  <c r="AC1254" i="1"/>
  <c r="AC1255" i="1"/>
  <c r="AC1256" i="1"/>
  <c r="AC1257" i="1"/>
  <c r="AC1258" i="1"/>
  <c r="AC1259" i="1"/>
  <c r="AC1260" i="1"/>
  <c r="AC1261" i="1"/>
  <c r="AC1262" i="1"/>
  <c r="AC1263" i="1"/>
  <c r="AC1264" i="1"/>
  <c r="AC1265" i="1"/>
  <c r="AC1266" i="1"/>
  <c r="AC1267" i="1"/>
  <c r="AC1268" i="1"/>
  <c r="M1269" i="1"/>
  <c r="S1269" i="1"/>
  <c r="AC1269" i="1"/>
  <c r="M1270" i="1"/>
  <c r="S1270" i="1"/>
  <c r="AC1270" i="1"/>
  <c r="M1271" i="1"/>
  <c r="S1271" i="1"/>
  <c r="AC1271" i="1"/>
  <c r="M1272" i="1"/>
  <c r="S1272" i="1"/>
  <c r="AC1272" i="1"/>
  <c r="M1273" i="1"/>
  <c r="S1273" i="1"/>
  <c r="AC1273" i="1"/>
  <c r="M1274" i="1"/>
  <c r="S1274" i="1"/>
  <c r="AC1274" i="1"/>
  <c r="M1275" i="1"/>
  <c r="S1275" i="1"/>
  <c r="AC1275" i="1"/>
  <c r="M1276" i="1"/>
  <c r="S1276" i="1"/>
  <c r="AC1276" i="1"/>
  <c r="M1277" i="1"/>
  <c r="S1277" i="1"/>
  <c r="AC1277" i="1"/>
  <c r="M1278" i="1"/>
  <c r="S1278" i="1"/>
  <c r="AC1278" i="1"/>
  <c r="M1279" i="1"/>
  <c r="S1279" i="1"/>
  <c r="AC1279" i="1"/>
  <c r="M1280" i="1"/>
  <c r="S1280" i="1"/>
  <c r="AC1280" i="1"/>
  <c r="S1281" i="1"/>
  <c r="AC1281" i="1"/>
  <c r="M1282" i="1"/>
  <c r="S1282" i="1"/>
  <c r="AC1282" i="1"/>
  <c r="M1283" i="1"/>
  <c r="S1283" i="1"/>
  <c r="AC1283" i="1"/>
  <c r="M1284" i="1"/>
  <c r="S1284" i="1"/>
  <c r="AC1284" i="1"/>
  <c r="M1285" i="1"/>
  <c r="S1285" i="1"/>
  <c r="AC1285" i="1"/>
  <c r="M1286" i="1"/>
  <c r="S1286" i="1"/>
  <c r="AC1286" i="1"/>
  <c r="M1287" i="1"/>
  <c r="S1287" i="1"/>
  <c r="AC1287" i="1"/>
  <c r="M1288" i="1"/>
  <c r="S1288" i="1"/>
  <c r="AC1288" i="1"/>
  <c r="M1289" i="1"/>
  <c r="S1289" i="1"/>
  <c r="AC1289" i="1"/>
  <c r="M1290" i="1"/>
  <c r="S1290" i="1"/>
  <c r="AC1290" i="1"/>
  <c r="M1291" i="1"/>
  <c r="S1291" i="1"/>
  <c r="AC1291" i="1"/>
  <c r="M1292" i="1"/>
  <c r="S1292" i="1"/>
  <c r="AC1292" i="1"/>
  <c r="M1293" i="1"/>
  <c r="S1293" i="1"/>
  <c r="AC1293" i="1"/>
  <c r="M1294" i="1"/>
  <c r="S1294" i="1"/>
  <c r="AC1294" i="1"/>
  <c r="M1295" i="1"/>
  <c r="S1295" i="1"/>
  <c r="AC1295" i="1"/>
  <c r="M1296" i="1"/>
  <c r="S1296" i="1"/>
  <c r="AC1296" i="1"/>
  <c r="M1297" i="1"/>
  <c r="S1297" i="1"/>
  <c r="AC1297" i="1"/>
  <c r="M1298" i="1"/>
  <c r="S1298" i="1"/>
  <c r="AC1298" i="1"/>
  <c r="M1299" i="1"/>
  <c r="S1299" i="1"/>
  <c r="AC1299" i="1"/>
  <c r="M1302" i="1"/>
  <c r="S1302" i="1"/>
  <c r="AC1302" i="1"/>
  <c r="M1303" i="1"/>
  <c r="S1303" i="1"/>
  <c r="AC1303" i="1"/>
  <c r="M1304" i="1"/>
  <c r="S1304" i="1"/>
  <c r="AC1304" i="1"/>
  <c r="M1307" i="1"/>
  <c r="S1307" i="1"/>
  <c r="AC1307" i="1"/>
  <c r="M1308" i="1"/>
  <c r="S1308" i="1"/>
  <c r="AC1308" i="1"/>
  <c r="M1309" i="1"/>
  <c r="S1309" i="1"/>
  <c r="AC1309" i="1"/>
  <c r="M1310" i="1"/>
  <c r="S1310" i="1"/>
  <c r="AC1310" i="1"/>
  <c r="M1311" i="1"/>
  <c r="S1311" i="1"/>
  <c r="AC1311" i="1"/>
  <c r="M1312" i="1"/>
  <c r="S1312" i="1"/>
  <c r="AC1312" i="1"/>
  <c r="M1313" i="1"/>
  <c r="S1313" i="1"/>
  <c r="AC1313" i="1"/>
  <c r="M1314" i="1"/>
  <c r="S1314" i="1"/>
  <c r="AC1314" i="1"/>
  <c r="M1315" i="1"/>
  <c r="S1315" i="1"/>
  <c r="AC1315" i="1"/>
  <c r="M1316" i="1"/>
  <c r="S1316" i="1"/>
  <c r="AC1316" i="1"/>
  <c r="M1317" i="1"/>
  <c r="S1317" i="1"/>
  <c r="AC1317" i="1"/>
  <c r="M1318" i="1"/>
  <c r="S1318" i="1"/>
  <c r="AC1318" i="1"/>
  <c r="M1319" i="1"/>
  <c r="S1319" i="1"/>
  <c r="AC1319" i="1"/>
  <c r="M1320" i="1"/>
  <c r="S1320" i="1"/>
  <c r="AC1320" i="1"/>
  <c r="M1321" i="1"/>
  <c r="S1321" i="1"/>
  <c r="AC1321" i="1"/>
  <c r="M1322" i="1"/>
  <c r="S1322" i="1"/>
  <c r="AC1322" i="1"/>
  <c r="M1323" i="1"/>
  <c r="S1323" i="1"/>
  <c r="AC1323" i="1"/>
  <c r="M1324" i="1"/>
  <c r="S1324" i="1"/>
  <c r="AC1324" i="1"/>
  <c r="M1325" i="1"/>
  <c r="S1325" i="1"/>
  <c r="AC1325" i="1"/>
  <c r="M1326" i="1"/>
  <c r="S1326" i="1"/>
  <c r="AC1326" i="1"/>
  <c r="M1327" i="1"/>
  <c r="S1327" i="1"/>
  <c r="AC1327" i="1"/>
  <c r="M1328" i="1"/>
  <c r="S1328" i="1"/>
  <c r="AC1328" i="1"/>
  <c r="M1329" i="1"/>
  <c r="S1329" i="1"/>
  <c r="AC1329" i="1"/>
  <c r="M1330" i="1"/>
  <c r="S1330" i="1"/>
  <c r="AC1330" i="1"/>
  <c r="M1331" i="1"/>
  <c r="S1331" i="1"/>
  <c r="AC1331" i="1"/>
  <c r="M1332" i="1"/>
  <c r="S1332" i="1"/>
  <c r="AC1332" i="1"/>
  <c r="M1333" i="1"/>
  <c r="S1333" i="1"/>
  <c r="AC1333" i="1"/>
  <c r="M1334" i="1"/>
  <c r="S1334" i="1"/>
  <c r="AC1334" i="1"/>
  <c r="M1335" i="1"/>
  <c r="S1335" i="1"/>
  <c r="AC1335" i="1"/>
  <c r="M1336" i="1"/>
  <c r="S1336" i="1"/>
  <c r="AC1336" i="1"/>
  <c r="M1337" i="1"/>
  <c r="S1337" i="1"/>
  <c r="AC1337" i="1"/>
  <c r="M1338" i="1"/>
  <c r="S1338" i="1"/>
  <c r="AC1338" i="1"/>
  <c r="M1339" i="1"/>
  <c r="S1339" i="1"/>
  <c r="AC1339" i="1"/>
  <c r="M1340" i="1"/>
  <c r="S1340" i="1"/>
  <c r="AC1340" i="1"/>
  <c r="S1341" i="1"/>
  <c r="AC1341" i="1"/>
  <c r="M1342" i="1"/>
  <c r="S1342" i="1"/>
  <c r="AC1342" i="1"/>
  <c r="M1343" i="1"/>
  <c r="S1343" i="1"/>
  <c r="AC1343" i="1"/>
  <c r="M1344" i="1"/>
  <c r="S1344" i="1"/>
  <c r="AC1344" i="1"/>
  <c r="M1345" i="1"/>
  <c r="S1345" i="1"/>
  <c r="AC1345" i="1"/>
  <c r="M1346" i="1"/>
  <c r="S1346" i="1"/>
  <c r="AC1346" i="1"/>
  <c r="M1347" i="1"/>
  <c r="S1347" i="1"/>
  <c r="AC1347" i="1"/>
  <c r="M1348" i="1"/>
  <c r="S1348" i="1"/>
  <c r="AC1348" i="1"/>
  <c r="M1349" i="1"/>
  <c r="S1349" i="1"/>
  <c r="AC1349" i="1"/>
  <c r="M1350" i="1"/>
  <c r="S1350" i="1"/>
  <c r="AC1350" i="1"/>
  <c r="M1351" i="1"/>
  <c r="S1351" i="1"/>
  <c r="AC1351" i="1"/>
  <c r="M1352" i="1"/>
  <c r="S1352" i="1"/>
  <c r="AC1352" i="1"/>
  <c r="S1353" i="1"/>
  <c r="AC1353" i="1"/>
  <c r="M1354" i="1"/>
  <c r="S1354" i="1"/>
  <c r="AC1354" i="1"/>
  <c r="S1355" i="1"/>
  <c r="AC1355" i="1"/>
  <c r="M1356" i="1"/>
  <c r="S1356" i="1"/>
  <c r="AC1356" i="1"/>
  <c r="M1357" i="1"/>
  <c r="S1357" i="1"/>
  <c r="AC1357" i="1"/>
  <c r="M1358" i="1"/>
  <c r="S1358" i="1"/>
  <c r="AC1358" i="1"/>
  <c r="M1359" i="1"/>
  <c r="S1359" i="1"/>
  <c r="AC1359" i="1"/>
  <c r="M1360" i="1"/>
  <c r="S1360" i="1"/>
  <c r="AC1360" i="1"/>
  <c r="M1361" i="1"/>
  <c r="S1361" i="1"/>
  <c r="AC1361" i="1"/>
  <c r="M1362" i="1"/>
  <c r="S1362" i="1"/>
  <c r="AC1362" i="1"/>
  <c r="M1363" i="1"/>
  <c r="S1363" i="1"/>
  <c r="AC1363" i="1"/>
  <c r="S1364" i="1"/>
  <c r="AC1364" i="1"/>
  <c r="M1365" i="1"/>
  <c r="S1365" i="1"/>
  <c r="AC1365" i="1"/>
  <c r="S1366" i="1"/>
  <c r="AC1366" i="1"/>
  <c r="M1367" i="1"/>
  <c r="S1367" i="1"/>
  <c r="AC1367" i="1"/>
  <c r="M1368" i="1"/>
  <c r="S1368" i="1"/>
  <c r="AC1368" i="1"/>
  <c r="S1369" i="1"/>
  <c r="AC1369" i="1"/>
  <c r="M1370" i="1"/>
  <c r="S1370" i="1"/>
  <c r="AC1370" i="1"/>
  <c r="M1371" i="1"/>
  <c r="S1371" i="1"/>
  <c r="AC1371" i="1"/>
  <c r="M1372" i="1"/>
  <c r="S1372" i="1"/>
  <c r="AC1372" i="1"/>
  <c r="M1373" i="1"/>
  <c r="S1373" i="1"/>
  <c r="AC1373" i="1"/>
  <c r="S1374" i="1"/>
  <c r="AC1374" i="1"/>
  <c r="M1375" i="1"/>
  <c r="S1375" i="1"/>
  <c r="AC1375" i="1"/>
  <c r="M1376" i="1"/>
  <c r="S1376" i="1"/>
  <c r="AC1376" i="1"/>
  <c r="M1377" i="1"/>
  <c r="S1377" i="1"/>
  <c r="AC1377" i="1"/>
  <c r="M1378" i="1"/>
  <c r="S1378" i="1"/>
  <c r="AC1378" i="1"/>
  <c r="M1379" i="1"/>
  <c r="S1379" i="1"/>
  <c r="AC1379" i="1"/>
  <c r="M1380" i="1"/>
  <c r="S1380" i="1"/>
  <c r="AC1380" i="1"/>
  <c r="M1381" i="1"/>
  <c r="S1381" i="1"/>
  <c r="AC1381" i="1"/>
  <c r="M1382" i="1"/>
  <c r="S1382" i="1"/>
  <c r="AC1382" i="1"/>
  <c r="M1383" i="1"/>
  <c r="S1383" i="1"/>
  <c r="AC1383" i="1"/>
  <c r="M1384" i="1"/>
  <c r="S1384" i="1"/>
  <c r="AC1384" i="1"/>
  <c r="M1385" i="1"/>
  <c r="S1385" i="1"/>
  <c r="AC1385" i="1"/>
  <c r="M1386" i="1"/>
  <c r="S1386" i="1"/>
  <c r="AC1386" i="1"/>
  <c r="M1387" i="1"/>
  <c r="S1387" i="1"/>
  <c r="AC1387" i="1"/>
  <c r="M1388" i="1"/>
  <c r="S1388" i="1"/>
  <c r="AC1388" i="1"/>
  <c r="M1389" i="1"/>
  <c r="S1389" i="1"/>
  <c r="AC1389" i="1"/>
  <c r="S1390" i="1"/>
  <c r="AC1390" i="1"/>
  <c r="S1391" i="1"/>
  <c r="AC1391" i="1"/>
  <c r="M1392" i="1"/>
  <c r="S1392" i="1"/>
  <c r="AC1392" i="1"/>
  <c r="M1393" i="1"/>
  <c r="S1393" i="1"/>
  <c r="AC1393" i="1"/>
  <c r="S1394" i="1"/>
  <c r="AC1394" i="1"/>
  <c r="S1395" i="1"/>
  <c r="AC1395" i="1"/>
  <c r="M1396" i="1"/>
  <c r="S1396" i="1"/>
  <c r="AC1396" i="1"/>
  <c r="M1397" i="1"/>
  <c r="S1397" i="1"/>
  <c r="AC1397" i="1"/>
  <c r="M1398" i="1"/>
  <c r="S1398" i="1"/>
  <c r="AC1398" i="1"/>
  <c r="S1399" i="1"/>
  <c r="AC1399" i="1"/>
  <c r="M1400" i="1"/>
  <c r="S1400" i="1"/>
  <c r="AC1400" i="1"/>
  <c r="M1401" i="1"/>
  <c r="S1401" i="1"/>
  <c r="AC1401" i="1"/>
  <c r="M1402" i="1"/>
  <c r="S1402" i="1"/>
  <c r="AC1402" i="1"/>
  <c r="M1403" i="1"/>
  <c r="S1403" i="1"/>
  <c r="AC1403" i="1"/>
  <c r="M1404" i="1"/>
  <c r="S1404" i="1"/>
  <c r="AC1404" i="1"/>
  <c r="M1405" i="1"/>
  <c r="S1405" i="1"/>
  <c r="AC1405" i="1"/>
  <c r="M1406" i="1"/>
  <c r="S1406" i="1"/>
  <c r="AC1406" i="1"/>
  <c r="M1407" i="1"/>
  <c r="S1407" i="1"/>
  <c r="AC1407" i="1"/>
  <c r="M1408" i="1"/>
  <c r="S1408" i="1"/>
  <c r="AC1408" i="1"/>
  <c r="M1409" i="1"/>
  <c r="S1409" i="1"/>
  <c r="AC1409" i="1"/>
  <c r="M1410" i="1"/>
  <c r="S1410" i="1"/>
  <c r="AC1410" i="1"/>
  <c r="M1411" i="1"/>
  <c r="S1411" i="1"/>
  <c r="AC1411" i="1"/>
  <c r="M1412" i="1"/>
  <c r="S1412" i="1"/>
  <c r="AC1412" i="1"/>
  <c r="M1413" i="1"/>
  <c r="S1413" i="1"/>
  <c r="AC1413" i="1"/>
  <c r="M1414" i="1"/>
  <c r="S1414" i="1"/>
  <c r="AC1414" i="1"/>
  <c r="M1415" i="1"/>
  <c r="S1415" i="1"/>
  <c r="AC1415" i="1"/>
  <c r="M1416" i="1"/>
  <c r="S1416" i="1"/>
  <c r="AC1416" i="1"/>
  <c r="S1417" i="1"/>
  <c r="AC1417" i="1"/>
  <c r="M1418" i="1"/>
  <c r="S1418" i="1"/>
  <c r="AC1418" i="1"/>
  <c r="M1419" i="1"/>
  <c r="S1419" i="1"/>
  <c r="AC1419" i="1"/>
  <c r="M1420" i="1"/>
  <c r="S1420" i="1"/>
  <c r="AC1420" i="1"/>
  <c r="M1421" i="1"/>
  <c r="S1421" i="1"/>
  <c r="AC1421" i="1"/>
  <c r="M1422" i="1"/>
  <c r="S1422" i="1"/>
  <c r="AC1422" i="1"/>
  <c r="M1423" i="1"/>
  <c r="S1423" i="1"/>
  <c r="AC1423" i="1"/>
  <c r="M1424" i="1"/>
  <c r="S1424" i="1"/>
  <c r="AC1424" i="1"/>
  <c r="M1425" i="1"/>
  <c r="S1425" i="1"/>
  <c r="AC1425" i="1"/>
  <c r="M1426" i="1"/>
  <c r="S1426" i="1"/>
  <c r="AC1426" i="1"/>
  <c r="M1427" i="1"/>
  <c r="S1427" i="1"/>
  <c r="AC1427" i="1"/>
  <c r="M1428" i="1"/>
  <c r="S1428" i="1"/>
  <c r="AC1428" i="1"/>
  <c r="M1429" i="1"/>
  <c r="S1429" i="1"/>
  <c r="AC1429" i="1"/>
  <c r="M1430" i="1"/>
  <c r="S1430" i="1"/>
  <c r="AC1430" i="1"/>
  <c r="M1431" i="1"/>
  <c r="S1431" i="1"/>
  <c r="AC1431" i="1"/>
  <c r="M1432" i="1"/>
  <c r="S1432" i="1"/>
  <c r="AC1432" i="1"/>
  <c r="M1433" i="1"/>
  <c r="S1433" i="1"/>
  <c r="AC1433" i="1"/>
  <c r="M1434" i="1"/>
  <c r="S1434" i="1"/>
  <c r="AC1434" i="1"/>
  <c r="M1435" i="1"/>
  <c r="S1435" i="1"/>
  <c r="AC1435" i="1"/>
  <c r="M1436" i="1"/>
  <c r="S1436" i="1"/>
  <c r="AC1436" i="1"/>
  <c r="M1437" i="1"/>
  <c r="S1437" i="1"/>
  <c r="AC1437" i="1"/>
  <c r="M1438" i="1"/>
  <c r="S1438" i="1"/>
  <c r="AC1438" i="1"/>
  <c r="M1439" i="1"/>
  <c r="S1439" i="1"/>
  <c r="AC1439" i="1"/>
  <c r="M1440" i="1"/>
  <c r="S1440" i="1"/>
  <c r="AC1440" i="1"/>
  <c r="M1441" i="1"/>
  <c r="S1441" i="1"/>
  <c r="AC1441" i="1"/>
  <c r="M1442" i="1"/>
  <c r="S1442" i="1"/>
  <c r="AC1442" i="1"/>
  <c r="M1443" i="1"/>
  <c r="S1443" i="1"/>
  <c r="AC1443" i="1"/>
  <c r="M1444" i="1"/>
  <c r="S1444" i="1"/>
  <c r="AC1444" i="1"/>
  <c r="M1445" i="1"/>
  <c r="S1445" i="1"/>
  <c r="AC1445" i="1"/>
  <c r="M1446" i="1"/>
  <c r="S1446" i="1"/>
  <c r="AC1446" i="1"/>
  <c r="M1447" i="1"/>
  <c r="S1447" i="1"/>
  <c r="AC1447" i="1"/>
  <c r="M1448" i="1"/>
  <c r="S1448" i="1"/>
  <c r="AC1448" i="1"/>
  <c r="M1449" i="1"/>
  <c r="S1449" i="1"/>
  <c r="AC1449" i="1"/>
  <c r="M1450" i="1"/>
  <c r="S1450" i="1"/>
  <c r="AC1450" i="1"/>
  <c r="M1451" i="1"/>
  <c r="S1451" i="1"/>
  <c r="AC1451" i="1"/>
  <c r="M1452" i="1"/>
  <c r="S1452" i="1"/>
  <c r="AC1452" i="1"/>
  <c r="M1453" i="1"/>
  <c r="S1453" i="1"/>
  <c r="AC1453" i="1"/>
  <c r="M1454" i="1"/>
  <c r="S1454" i="1"/>
  <c r="AC1454" i="1"/>
  <c r="M1455" i="1"/>
  <c r="S1455" i="1"/>
  <c r="AC1455" i="1"/>
  <c r="M1456" i="1"/>
  <c r="S1456" i="1"/>
  <c r="AC1456" i="1"/>
  <c r="M1457" i="1"/>
  <c r="S1457" i="1"/>
  <c r="AC1457" i="1"/>
  <c r="M1458" i="1"/>
  <c r="S1458" i="1"/>
  <c r="AC1458" i="1"/>
  <c r="S1459" i="1"/>
  <c r="AC1459" i="1"/>
  <c r="M1460" i="1"/>
  <c r="S1460" i="1"/>
  <c r="AC1460" i="1"/>
  <c r="M1461" i="1"/>
  <c r="S1461" i="1"/>
  <c r="AC1461" i="1"/>
  <c r="M1462" i="1"/>
  <c r="S1462" i="1"/>
  <c r="AC1462" i="1"/>
  <c r="M1463" i="1"/>
  <c r="S1463" i="1"/>
  <c r="AC1463" i="1"/>
  <c r="M1464" i="1"/>
  <c r="S1464" i="1"/>
  <c r="AC1464" i="1"/>
  <c r="M1465" i="1"/>
  <c r="S1465" i="1"/>
  <c r="AC1465" i="1"/>
  <c r="M1466" i="1"/>
  <c r="S1466" i="1"/>
  <c r="AC1466" i="1"/>
  <c r="M1467" i="1"/>
  <c r="S1467" i="1"/>
  <c r="AC1467" i="1"/>
  <c r="M1468" i="1"/>
  <c r="S1468" i="1"/>
  <c r="AC1468" i="1"/>
  <c r="M1469" i="1"/>
  <c r="S1469" i="1"/>
  <c r="AC1469" i="1"/>
  <c r="M1470" i="1"/>
  <c r="S1470" i="1"/>
  <c r="AC1470" i="1"/>
  <c r="M1471" i="1"/>
  <c r="S1471" i="1"/>
  <c r="AC1471" i="1"/>
  <c r="M1472" i="1"/>
  <c r="S1472" i="1"/>
  <c r="AC1472" i="1"/>
  <c r="M1473" i="1"/>
  <c r="S1473" i="1"/>
  <c r="AC1473" i="1"/>
  <c r="M1474" i="1"/>
  <c r="S1474" i="1"/>
  <c r="AC1474" i="1"/>
  <c r="M1475" i="1"/>
  <c r="S1475" i="1"/>
  <c r="AC1475" i="1"/>
  <c r="M1476" i="1"/>
  <c r="S1476" i="1"/>
  <c r="AC1476" i="1"/>
  <c r="M1477" i="1"/>
  <c r="S1477" i="1"/>
  <c r="AC1477" i="1"/>
  <c r="M1478" i="1"/>
  <c r="S1478" i="1"/>
  <c r="AC1478" i="1"/>
  <c r="M1479" i="1"/>
  <c r="S1479" i="1"/>
  <c r="AC1479" i="1"/>
  <c r="M1480" i="1"/>
  <c r="S1480" i="1"/>
  <c r="AC1480" i="1"/>
  <c r="M1481" i="1"/>
  <c r="S1481" i="1"/>
  <c r="AC1481" i="1"/>
  <c r="M1482" i="1"/>
  <c r="S1482" i="1"/>
  <c r="AC1482" i="1"/>
  <c r="M1483" i="1"/>
  <c r="S1483" i="1"/>
  <c r="AC1483" i="1"/>
  <c r="M1484" i="1"/>
  <c r="S1484" i="1"/>
  <c r="AC1484" i="1"/>
  <c r="M1485" i="1"/>
  <c r="S1485" i="1"/>
  <c r="AC1485" i="1"/>
  <c r="M1486" i="1"/>
  <c r="S1486" i="1"/>
  <c r="AC1486" i="1"/>
  <c r="M1487" i="1"/>
  <c r="S1487" i="1"/>
  <c r="AC1487" i="1"/>
  <c r="M1488" i="1"/>
  <c r="S1488" i="1"/>
  <c r="AC1488" i="1"/>
  <c r="S1489" i="1"/>
  <c r="AC1489" i="1"/>
  <c r="S1490" i="1"/>
  <c r="AC1490" i="1"/>
  <c r="M1491" i="1"/>
  <c r="S1491" i="1"/>
  <c r="AC1491" i="1"/>
  <c r="M1492" i="1"/>
  <c r="S1492" i="1"/>
  <c r="AC1492" i="1"/>
  <c r="M1493" i="1"/>
  <c r="S1493" i="1"/>
  <c r="AC1493" i="1"/>
  <c r="M1494" i="1"/>
  <c r="S1494" i="1"/>
  <c r="AC1494" i="1"/>
  <c r="S1495" i="1"/>
  <c r="AC1495" i="1"/>
  <c r="M1496" i="1"/>
  <c r="S1496" i="1"/>
  <c r="AC1496" i="1"/>
  <c r="M1497" i="1"/>
  <c r="S1497" i="1"/>
  <c r="AC1497" i="1"/>
  <c r="M1498" i="1"/>
  <c r="S1498" i="1"/>
  <c r="AC1498" i="1"/>
  <c r="M1499" i="1"/>
  <c r="S1499" i="1"/>
  <c r="AC1499" i="1"/>
  <c r="M1500" i="1"/>
  <c r="S1500" i="1"/>
  <c r="AC1500" i="1"/>
  <c r="M1501" i="1"/>
  <c r="S1501" i="1"/>
  <c r="AC1501" i="1"/>
  <c r="M1502" i="1"/>
  <c r="S1502" i="1"/>
  <c r="AC1502" i="1"/>
  <c r="M1503" i="1"/>
  <c r="S1503" i="1"/>
  <c r="AC1503" i="1"/>
  <c r="M1504" i="1"/>
  <c r="S1504" i="1"/>
  <c r="AC1504" i="1"/>
  <c r="M1505" i="1"/>
  <c r="S1505" i="1"/>
  <c r="AC1505" i="1"/>
  <c r="M1506" i="1"/>
  <c r="S1506" i="1"/>
  <c r="AC1506" i="1"/>
  <c r="M1507" i="1"/>
  <c r="S1507" i="1"/>
  <c r="AC1507" i="1"/>
  <c r="M1508" i="1"/>
  <c r="S1508" i="1"/>
  <c r="AC1508" i="1"/>
  <c r="M1509" i="1"/>
  <c r="S1509" i="1"/>
  <c r="AC1509" i="1"/>
  <c r="M1510" i="1"/>
  <c r="S1510" i="1"/>
  <c r="AC1510" i="1"/>
  <c r="M1511" i="1"/>
  <c r="S1511" i="1"/>
  <c r="AC1511" i="1"/>
  <c r="M1512" i="1"/>
  <c r="S1512" i="1"/>
  <c r="AC1512" i="1"/>
  <c r="M1513" i="1"/>
  <c r="S1513" i="1"/>
  <c r="AC1513" i="1"/>
  <c r="M1514" i="1"/>
  <c r="S1514" i="1"/>
  <c r="AC1514" i="1"/>
  <c r="M1515" i="1"/>
  <c r="S1515" i="1"/>
  <c r="AC1515" i="1"/>
  <c r="M1516" i="1"/>
  <c r="S1516" i="1"/>
  <c r="AC1516" i="1"/>
  <c r="M1517" i="1"/>
  <c r="S1517" i="1"/>
  <c r="AC1517" i="1"/>
  <c r="M1518" i="1"/>
  <c r="S1518" i="1"/>
  <c r="AC1518" i="1"/>
  <c r="M1519" i="1"/>
  <c r="S1519" i="1"/>
  <c r="AC1519" i="1"/>
  <c r="M1520" i="1"/>
  <c r="S1520" i="1"/>
  <c r="AC1520" i="1"/>
  <c r="M1521" i="1"/>
  <c r="S1521" i="1"/>
  <c r="AC1521" i="1"/>
  <c r="M1522" i="1"/>
  <c r="S1522" i="1"/>
  <c r="AC1522" i="1"/>
  <c r="S1523" i="1"/>
  <c r="AC1523" i="1"/>
  <c r="M1524" i="1"/>
  <c r="S1524" i="1"/>
  <c r="AC1524" i="1"/>
  <c r="S1525" i="1"/>
  <c r="AC1525" i="1"/>
  <c r="M1526" i="1"/>
  <c r="S1526" i="1"/>
  <c r="AC1526" i="1"/>
  <c r="S1527" i="1"/>
  <c r="AC1527" i="1"/>
  <c r="M1528" i="1"/>
  <c r="S1528" i="1"/>
  <c r="AC1528" i="1"/>
  <c r="S1529" i="1"/>
  <c r="AC1529" i="1"/>
  <c r="M1530" i="1"/>
  <c r="S1530" i="1"/>
  <c r="AC1530" i="1"/>
  <c r="M1531" i="1"/>
  <c r="S1531" i="1"/>
  <c r="AC1531" i="1"/>
  <c r="M1532" i="1"/>
  <c r="S1532" i="1"/>
  <c r="AC1532" i="1"/>
  <c r="M1533" i="1"/>
  <c r="S1533" i="1"/>
  <c r="AC1533" i="1"/>
  <c r="AC1534" i="1"/>
  <c r="M1535" i="1"/>
  <c r="S1535" i="1"/>
  <c r="AC1535" i="1"/>
  <c r="AC1536" i="1"/>
  <c r="S1537" i="1"/>
  <c r="AC1537" i="1"/>
  <c r="M1538" i="1"/>
  <c r="S1538" i="1"/>
  <c r="AC1538" i="1"/>
  <c r="M1539" i="1"/>
  <c r="S1539" i="1"/>
  <c r="AC1539" i="1"/>
  <c r="M1540" i="1"/>
  <c r="S1540" i="1"/>
  <c r="AC1540" i="1"/>
  <c r="M1541" i="1"/>
  <c r="S1541" i="1"/>
  <c r="AC1541" i="1"/>
  <c r="M1542" i="1"/>
  <c r="S1542" i="1"/>
  <c r="AA1542" i="1" s="1"/>
  <c r="A1542" i="1" s="1"/>
  <c r="AC1542" i="1"/>
  <c r="S1543" i="1"/>
  <c r="AA1543" i="1" s="1"/>
  <c r="A1543" i="1" s="1"/>
  <c r="AC1543" i="1"/>
  <c r="M1544" i="1"/>
  <c r="S1544" i="1"/>
  <c r="AA1544" i="1" s="1"/>
  <c r="A1544" i="1" s="1"/>
  <c r="AC1544" i="1"/>
  <c r="M1545" i="1"/>
  <c r="S1545" i="1"/>
  <c r="AA1545" i="1" s="1"/>
  <c r="AC1545" i="1"/>
  <c r="S1546" i="1"/>
  <c r="AA1546" i="1" s="1"/>
  <c r="A1546" i="1" s="1"/>
  <c r="AC1546" i="1"/>
  <c r="M1547" i="1"/>
  <c r="S1547" i="1"/>
  <c r="AA1547" i="1" s="1"/>
  <c r="A1547" i="1" s="1"/>
  <c r="AC1547" i="1"/>
  <c r="M1548" i="1"/>
  <c r="S1548" i="1"/>
  <c r="AA1548" i="1" s="1"/>
  <c r="A1548" i="1" s="1"/>
  <c r="AC1548" i="1"/>
  <c r="M1549" i="1"/>
  <c r="S1549" i="1"/>
  <c r="AA1549" i="1" s="1"/>
  <c r="A1549" i="1" s="1"/>
  <c r="AC1549" i="1"/>
  <c r="M1550" i="1"/>
  <c r="S1550" i="1"/>
  <c r="AA1550" i="1" s="1"/>
  <c r="A1550" i="1" s="1"/>
  <c r="AC1550" i="1"/>
  <c r="M1551" i="1"/>
  <c r="S1551" i="1"/>
  <c r="AA1551" i="1" s="1"/>
  <c r="A1551" i="1" s="1"/>
  <c r="AC1551" i="1"/>
  <c r="S1552" i="1"/>
  <c r="AA1552" i="1" s="1"/>
  <c r="A1552" i="1" s="1"/>
  <c r="AC1552" i="1"/>
  <c r="M1553" i="1"/>
  <c r="S1553" i="1"/>
  <c r="AA1553" i="1" s="1"/>
  <c r="A1553" i="1" s="1"/>
  <c r="AC1553" i="1"/>
  <c r="M1554" i="1"/>
  <c r="S1554" i="1"/>
  <c r="AA1554" i="1" s="1"/>
  <c r="A1554" i="1" s="1"/>
  <c r="AC1554" i="1"/>
  <c r="M1555" i="1"/>
  <c r="S1555" i="1"/>
  <c r="AA1555" i="1" s="1"/>
  <c r="A1555" i="1" s="1"/>
  <c r="AC1555" i="1"/>
  <c r="M1556" i="1"/>
  <c r="S1556" i="1"/>
  <c r="AA1556" i="1" s="1"/>
  <c r="A1556" i="1" s="1"/>
  <c r="AC1556" i="1"/>
  <c r="M1557" i="1"/>
  <c r="S1557" i="1"/>
  <c r="AA1557" i="1" s="1"/>
  <c r="A1557" i="1" s="1"/>
  <c r="AC1557" i="1"/>
  <c r="M1558" i="1"/>
  <c r="S1558" i="1"/>
  <c r="AA1558" i="1" s="1"/>
  <c r="A1558" i="1" s="1"/>
  <c r="AC1558" i="1"/>
  <c r="M1559" i="1"/>
  <c r="S1559" i="1"/>
  <c r="AA1559" i="1" s="1"/>
  <c r="A1559" i="1" s="1"/>
  <c r="AC1559" i="1"/>
  <c r="M1560" i="1"/>
  <c r="S1560" i="1"/>
  <c r="AA1560" i="1" s="1"/>
  <c r="A1560" i="1" s="1"/>
  <c r="AC1560" i="1"/>
  <c r="M1561" i="1"/>
  <c r="S1561" i="1"/>
  <c r="AA1561" i="1" s="1"/>
  <c r="A1561" i="1" s="1"/>
  <c r="AC1561" i="1"/>
  <c r="M1562" i="1"/>
  <c r="S1562" i="1"/>
  <c r="AA1562" i="1" s="1"/>
  <c r="A1562" i="1" s="1"/>
  <c r="AC1562" i="1"/>
  <c r="M1563" i="1"/>
  <c r="S1563" i="1"/>
  <c r="AA1563" i="1" s="1"/>
  <c r="A1563" i="1" s="1"/>
  <c r="AC1563" i="1"/>
  <c r="M1564" i="1"/>
  <c r="S1564" i="1"/>
  <c r="AA1564" i="1" s="1"/>
  <c r="A1564" i="1" s="1"/>
  <c r="AC1564" i="1"/>
  <c r="S1565" i="1"/>
  <c r="AA1565" i="1" s="1"/>
  <c r="A1565" i="1" s="1"/>
  <c r="AC1565" i="1"/>
  <c r="S1566" i="1"/>
  <c r="AA1566" i="1" s="1"/>
  <c r="A1566" i="1" s="1"/>
  <c r="AC1566" i="1"/>
  <c r="S1567" i="1"/>
  <c r="AA1567" i="1" s="1"/>
  <c r="A1567" i="1" s="1"/>
  <c r="AC1567" i="1"/>
  <c r="M1568" i="1"/>
  <c r="S1568" i="1"/>
  <c r="AA1568" i="1" s="1"/>
  <c r="A1568" i="1" s="1"/>
  <c r="AC1568" i="1"/>
  <c r="M1569" i="1"/>
  <c r="S1569" i="1"/>
  <c r="AA1569" i="1" s="1"/>
  <c r="A1569" i="1" s="1"/>
  <c r="AC1569" i="1"/>
  <c r="M1570" i="1"/>
  <c r="S1570" i="1"/>
  <c r="AA1570" i="1" s="1"/>
  <c r="A1570" i="1" s="1"/>
  <c r="AC1570" i="1"/>
  <c r="M1571" i="1"/>
  <c r="S1571" i="1"/>
  <c r="AA1571" i="1" s="1"/>
  <c r="A1571" i="1" s="1"/>
  <c r="AC1571" i="1"/>
  <c r="M1572" i="1"/>
  <c r="S1572" i="1"/>
  <c r="AA1572" i="1" s="1"/>
  <c r="A1572" i="1" s="1"/>
  <c r="AC1572" i="1"/>
  <c r="M1573" i="1"/>
  <c r="S1573" i="1"/>
  <c r="AA1573" i="1"/>
  <c r="A1573" i="1" s="1"/>
  <c r="AC1573" i="1"/>
  <c r="M1574" i="1"/>
  <c r="S1574" i="1"/>
  <c r="AA1574" i="1"/>
  <c r="A1574" i="1" s="1"/>
  <c r="AC1574" i="1"/>
  <c r="M1575" i="1"/>
  <c r="S1575" i="1"/>
  <c r="AA1575" i="1"/>
  <c r="A1575" i="1" s="1"/>
  <c r="AC1575" i="1"/>
  <c r="M1576" i="1"/>
  <c r="S1576" i="1"/>
  <c r="AA1576" i="1"/>
  <c r="A1576" i="1" s="1"/>
  <c r="AC1576" i="1"/>
  <c r="M1577" i="1"/>
  <c r="S1577" i="1"/>
  <c r="AA1577" i="1"/>
  <c r="A1577" i="1" s="1"/>
  <c r="AC1577" i="1"/>
  <c r="M1578" i="1"/>
  <c r="S1578" i="1"/>
  <c r="AA1578" i="1"/>
  <c r="A1578" i="1" s="1"/>
  <c r="AC1578" i="1"/>
  <c r="M1579" i="1"/>
  <c r="S1579" i="1"/>
  <c r="AA1579" i="1"/>
  <c r="A1579" i="1" s="1"/>
  <c r="AC1579" i="1"/>
  <c r="M1580" i="1"/>
  <c r="S1580" i="1"/>
  <c r="AA1580" i="1"/>
  <c r="A1580" i="1" s="1"/>
  <c r="AC1580" i="1"/>
  <c r="M1581" i="1"/>
  <c r="S1581" i="1"/>
  <c r="AA1581" i="1"/>
  <c r="A1581" i="1" s="1"/>
  <c r="AC1581" i="1"/>
  <c r="M1582" i="1"/>
  <c r="S1582" i="1"/>
  <c r="AA1582" i="1"/>
  <c r="A1582" i="1" s="1"/>
  <c r="AC1582" i="1"/>
  <c r="M1583" i="1"/>
  <c r="S1583" i="1"/>
  <c r="AA1583" i="1"/>
  <c r="A1583" i="1" s="1"/>
  <c r="AC1583" i="1"/>
  <c r="M1584" i="1"/>
  <c r="S1584" i="1"/>
  <c r="AA1584" i="1"/>
  <c r="A1584" i="1" s="1"/>
  <c r="AC1584" i="1"/>
  <c r="M1585" i="1"/>
  <c r="S1585" i="1"/>
  <c r="AA1585" i="1"/>
  <c r="A1585" i="1" s="1"/>
  <c r="AC1585" i="1"/>
  <c r="M1586" i="1"/>
  <c r="S1586" i="1"/>
  <c r="AA1586" i="1"/>
  <c r="A1586" i="1" s="1"/>
  <c r="AC1586" i="1"/>
  <c r="M1587" i="1"/>
  <c r="S1587" i="1"/>
  <c r="AA1587" i="1"/>
  <c r="A1587" i="1" s="1"/>
  <c r="AC1587" i="1"/>
  <c r="M1588" i="1"/>
  <c r="S1588" i="1"/>
  <c r="AA1588" i="1"/>
  <c r="A1588" i="1" s="1"/>
  <c r="AC1588" i="1"/>
  <c r="M1589" i="1"/>
  <c r="S1589" i="1"/>
  <c r="AA1589" i="1"/>
  <c r="A1589" i="1" s="1"/>
  <c r="AC1589" i="1"/>
  <c r="M1590" i="1"/>
  <c r="S1590" i="1"/>
  <c r="AA1590" i="1"/>
  <c r="A1590" i="1" s="1"/>
  <c r="AC1590" i="1"/>
  <c r="M1591" i="1"/>
  <c r="S1591" i="1"/>
  <c r="AA1591" i="1"/>
  <c r="A1591" i="1" s="1"/>
  <c r="AC1591" i="1"/>
  <c r="M1592" i="1"/>
  <c r="S1592" i="1"/>
  <c r="AA1592" i="1"/>
  <c r="A1592" i="1" s="1"/>
  <c r="AC1592" i="1"/>
  <c r="M1593" i="1"/>
  <c r="S1593" i="1"/>
  <c r="AA1593" i="1"/>
  <c r="A1593" i="1" s="1"/>
  <c r="AC1593" i="1"/>
  <c r="M1594" i="1"/>
  <c r="S1594" i="1"/>
  <c r="AA1594" i="1"/>
  <c r="A1594" i="1" s="1"/>
  <c r="AC1594" i="1"/>
  <c r="M1595" i="1"/>
  <c r="S1595" i="1"/>
  <c r="AA1595" i="1"/>
  <c r="A1595" i="1" s="1"/>
  <c r="AC1595" i="1"/>
  <c r="M1596" i="1"/>
  <c r="S1596" i="1"/>
  <c r="AA1596" i="1"/>
  <c r="A1596" i="1" s="1"/>
  <c r="AC1596" i="1"/>
  <c r="M1597" i="1"/>
  <c r="S1597" i="1"/>
  <c r="AA1597" i="1"/>
  <c r="A1597" i="1" s="1"/>
  <c r="AC1597" i="1"/>
  <c r="M1598" i="1"/>
  <c r="S1598" i="1"/>
  <c r="AA1598" i="1"/>
  <c r="A1598" i="1" s="1"/>
  <c r="AC1598" i="1"/>
  <c r="M1599" i="1"/>
  <c r="S1599" i="1"/>
  <c r="AA1599" i="1"/>
  <c r="A1599" i="1" s="1"/>
  <c r="AC1599" i="1"/>
  <c r="M1600" i="1"/>
  <c r="S1600" i="1"/>
  <c r="AA1600" i="1"/>
  <c r="A1600" i="1" s="1"/>
  <c r="AC1600" i="1"/>
  <c r="M1601" i="1"/>
  <c r="S1601" i="1"/>
  <c r="AA1601" i="1"/>
  <c r="A1601" i="1" s="1"/>
  <c r="AC1601" i="1"/>
  <c r="M1602" i="1"/>
  <c r="S1602" i="1"/>
  <c r="AA1602" i="1"/>
  <c r="A1602" i="1" s="1"/>
  <c r="AC1602" i="1"/>
  <c r="M1603" i="1"/>
  <c r="S1603" i="1"/>
  <c r="AA1603" i="1"/>
  <c r="A1603" i="1" s="1"/>
  <c r="AC1603" i="1"/>
  <c r="M1604" i="1"/>
  <c r="S1604" i="1"/>
  <c r="AA1604" i="1"/>
  <c r="A1604" i="1" s="1"/>
  <c r="AC1604" i="1"/>
  <c r="M1605" i="1"/>
  <c r="S1605" i="1"/>
  <c r="AA1605" i="1"/>
  <c r="A1605" i="1" s="1"/>
  <c r="AC1605" i="1"/>
  <c r="M1606" i="1"/>
  <c r="S1606" i="1"/>
  <c r="AA1606" i="1"/>
  <c r="A1606" i="1" s="1"/>
  <c r="AC1606" i="1"/>
  <c r="M1607" i="1"/>
  <c r="S1607" i="1"/>
  <c r="AA1607" i="1"/>
  <c r="A1607" i="1" s="1"/>
  <c r="AC1607" i="1"/>
  <c r="M1608" i="1"/>
  <c r="S1608" i="1"/>
  <c r="AA1608" i="1"/>
  <c r="A1608" i="1" s="1"/>
  <c r="AC1608" i="1"/>
  <c r="M1609" i="1"/>
  <c r="S1609" i="1"/>
  <c r="AA1609" i="1"/>
  <c r="A1609" i="1" s="1"/>
  <c r="AC1609" i="1"/>
  <c r="M1610" i="1"/>
  <c r="S1610" i="1"/>
  <c r="AA1610" i="1"/>
  <c r="A1610" i="1" s="1"/>
  <c r="AC1610" i="1"/>
  <c r="M1611" i="1"/>
  <c r="S1611" i="1"/>
  <c r="AA1611" i="1"/>
  <c r="A1611" i="1" s="1"/>
  <c r="AC1611" i="1"/>
  <c r="M1612" i="1"/>
  <c r="S1612" i="1"/>
  <c r="AA1612" i="1"/>
  <c r="A1612" i="1" s="1"/>
  <c r="AC1612" i="1"/>
  <c r="M1613" i="1"/>
  <c r="S1613" i="1"/>
  <c r="AA1613" i="1"/>
  <c r="A1613" i="1" s="1"/>
  <c r="AC1613" i="1"/>
  <c r="M1614" i="1"/>
  <c r="S1614" i="1"/>
  <c r="AA1614" i="1"/>
  <c r="A1614" i="1" s="1"/>
  <c r="AC1614" i="1"/>
  <c r="M1615" i="1"/>
  <c r="S1615" i="1"/>
  <c r="AA1615" i="1"/>
  <c r="A1615" i="1" s="1"/>
  <c r="AC1615" i="1"/>
  <c r="M1616" i="1"/>
  <c r="S1616" i="1"/>
  <c r="AA1616" i="1"/>
  <c r="A1616" i="1" s="1"/>
  <c r="AC1616" i="1"/>
  <c r="M1617" i="1"/>
  <c r="S1617" i="1"/>
  <c r="AA1617" i="1"/>
  <c r="A1617" i="1" s="1"/>
  <c r="AC1617" i="1"/>
  <c r="M1618" i="1"/>
  <c r="S1618" i="1"/>
  <c r="AA1618" i="1"/>
  <c r="A1618" i="1" s="1"/>
  <c r="AC1618" i="1"/>
  <c r="M1619" i="1"/>
  <c r="S1619" i="1"/>
  <c r="AA1619" i="1"/>
  <c r="A1619" i="1" s="1"/>
  <c r="AC1619" i="1"/>
  <c r="M1620" i="1"/>
  <c r="S1620" i="1"/>
  <c r="AA1620" i="1"/>
  <c r="A1620" i="1" s="1"/>
  <c r="AC1620" i="1"/>
  <c r="M1621" i="1"/>
  <c r="S1621" i="1"/>
  <c r="AA1621" i="1"/>
  <c r="A1621" i="1" s="1"/>
  <c r="AC1621" i="1"/>
  <c r="M1622" i="1"/>
  <c r="S1622" i="1"/>
  <c r="AA1622" i="1"/>
  <c r="A1622" i="1" s="1"/>
  <c r="AC1622" i="1"/>
  <c r="M1623" i="1"/>
  <c r="S1623" i="1"/>
  <c r="AA1623" i="1"/>
  <c r="A1623" i="1" s="1"/>
  <c r="AC1623" i="1"/>
  <c r="M1624" i="1"/>
  <c r="S1624" i="1"/>
  <c r="AA1624" i="1"/>
  <c r="A1624" i="1" s="1"/>
  <c r="AC1624" i="1"/>
  <c r="M1625" i="1"/>
  <c r="S1625" i="1"/>
  <c r="AA1625" i="1"/>
  <c r="A1625" i="1" s="1"/>
  <c r="AC1625" i="1"/>
  <c r="M1626" i="1"/>
  <c r="S1626" i="1"/>
  <c r="AA1626" i="1"/>
  <c r="A1626" i="1" s="1"/>
  <c r="AC1626" i="1"/>
  <c r="M1627" i="1"/>
  <c r="S1627" i="1"/>
  <c r="AA1627" i="1"/>
  <c r="A1627" i="1" s="1"/>
  <c r="AC1627" i="1"/>
  <c r="M1628" i="1"/>
  <c r="S1628" i="1"/>
  <c r="AA1628" i="1"/>
  <c r="A1628" i="1" s="1"/>
  <c r="AC1628" i="1"/>
  <c r="M1629" i="1"/>
  <c r="S1629" i="1"/>
  <c r="AA1629" i="1"/>
  <c r="A1629" i="1" s="1"/>
  <c r="AC1629" i="1"/>
  <c r="M1630" i="1"/>
  <c r="S1630" i="1"/>
  <c r="AA1630" i="1"/>
  <c r="A1630" i="1" s="1"/>
  <c r="AC1630" i="1"/>
  <c r="M1631" i="1"/>
  <c r="S1631" i="1"/>
  <c r="AA1631" i="1"/>
  <c r="A1631" i="1" s="1"/>
  <c r="AC1631" i="1"/>
  <c r="M1632" i="1"/>
  <c r="S1632" i="1"/>
  <c r="AA1632" i="1"/>
  <c r="A1632" i="1" s="1"/>
  <c r="AC1632" i="1"/>
  <c r="M1633" i="1"/>
  <c r="S1633" i="1"/>
  <c r="AA1633" i="1"/>
  <c r="A1633" i="1" s="1"/>
  <c r="AC1633" i="1"/>
  <c r="M1634" i="1"/>
  <c r="S1634" i="1"/>
  <c r="AA1634" i="1"/>
  <c r="A1634" i="1" s="1"/>
  <c r="AC1634" i="1"/>
  <c r="M1635" i="1"/>
  <c r="S1635" i="1"/>
  <c r="AA1635" i="1"/>
  <c r="A1635" i="1" s="1"/>
  <c r="AC1635" i="1"/>
  <c r="M1636" i="1"/>
  <c r="S1636" i="1"/>
  <c r="AA1636" i="1"/>
  <c r="A1636" i="1" s="1"/>
  <c r="AC1636" i="1"/>
  <c r="M1637" i="1"/>
  <c r="S1637" i="1"/>
  <c r="AA1637" i="1"/>
  <c r="A1637" i="1" s="1"/>
  <c r="AC1637" i="1"/>
  <c r="M1638" i="1"/>
  <c r="S1638" i="1"/>
  <c r="AA1638" i="1"/>
  <c r="A1638" i="1" s="1"/>
  <c r="AC1638" i="1"/>
  <c r="M1639" i="1"/>
  <c r="S1639" i="1"/>
  <c r="AA1639" i="1"/>
  <c r="A1639" i="1" s="1"/>
  <c r="AC1639" i="1"/>
  <c r="M1640" i="1"/>
  <c r="S1640" i="1"/>
  <c r="AA1640" i="1"/>
  <c r="A1640" i="1" s="1"/>
  <c r="AC1640" i="1"/>
  <c r="M1641" i="1"/>
  <c r="S1641" i="1"/>
  <c r="AA1641" i="1"/>
  <c r="A1641" i="1" s="1"/>
  <c r="AC1641" i="1"/>
  <c r="M1642" i="1"/>
  <c r="S1642" i="1"/>
  <c r="AA1642" i="1"/>
  <c r="A1642" i="1" s="1"/>
  <c r="AC1642" i="1"/>
  <c r="M1643" i="1"/>
  <c r="S1643" i="1"/>
  <c r="AA1643" i="1"/>
  <c r="A1643" i="1" s="1"/>
  <c r="AC1643" i="1"/>
  <c r="M1644" i="1"/>
  <c r="S1644" i="1"/>
  <c r="AA1644" i="1"/>
  <c r="A1644" i="1" s="1"/>
  <c r="AC1644" i="1"/>
  <c r="M1645" i="1"/>
  <c r="S1645" i="1"/>
  <c r="AA1645" i="1"/>
  <c r="A1645" i="1" s="1"/>
  <c r="AC1645" i="1"/>
  <c r="M1646" i="1"/>
  <c r="S1646" i="1"/>
  <c r="AA1646" i="1"/>
  <c r="A1646" i="1" s="1"/>
  <c r="AC1646" i="1"/>
  <c r="M1647" i="1"/>
  <c r="S1647" i="1"/>
  <c r="AA1647" i="1"/>
  <c r="A1647" i="1" s="1"/>
  <c r="AC1647" i="1"/>
  <c r="M1648" i="1"/>
  <c r="S1648" i="1"/>
  <c r="AA1648" i="1"/>
  <c r="A1648" i="1" s="1"/>
  <c r="AC1648" i="1"/>
  <c r="M1649" i="1"/>
  <c r="S1649" i="1"/>
  <c r="AA1649" i="1"/>
  <c r="A1649" i="1" s="1"/>
  <c r="AC1649" i="1"/>
  <c r="M1650" i="1"/>
  <c r="S1650" i="1"/>
  <c r="AA1650" i="1"/>
  <c r="A1650" i="1" s="1"/>
  <c r="AC1650" i="1"/>
  <c r="M1651" i="1"/>
  <c r="S1651" i="1"/>
  <c r="AA1651" i="1"/>
  <c r="A1651" i="1" s="1"/>
  <c r="AC1651" i="1"/>
  <c r="M1652" i="1"/>
  <c r="S1652" i="1"/>
  <c r="AA1652" i="1"/>
  <c r="A1652" i="1" s="1"/>
  <c r="AC1652" i="1"/>
  <c r="M1653" i="1"/>
  <c r="S1653" i="1"/>
  <c r="AA1653" i="1"/>
  <c r="A1653" i="1" s="1"/>
  <c r="AC1653" i="1"/>
  <c r="M1654" i="1"/>
  <c r="S1654" i="1"/>
  <c r="AA1654" i="1"/>
  <c r="A1654" i="1" s="1"/>
  <c r="AC1654" i="1"/>
  <c r="M1655" i="1"/>
  <c r="S1655" i="1"/>
  <c r="AA1655" i="1"/>
  <c r="A1655" i="1" s="1"/>
  <c r="AC1655" i="1"/>
  <c r="M1656" i="1"/>
  <c r="S1656" i="1"/>
  <c r="AA1656" i="1"/>
  <c r="A1656" i="1" s="1"/>
  <c r="AC1656" i="1"/>
  <c r="M1657" i="1"/>
  <c r="S1657" i="1"/>
  <c r="AA1657" i="1"/>
  <c r="A1657" i="1" s="1"/>
  <c r="AC1657" i="1"/>
  <c r="M1658" i="1"/>
  <c r="S1658" i="1"/>
  <c r="AA1658" i="1"/>
  <c r="A1658" i="1" s="1"/>
  <c r="AC1658" i="1"/>
  <c r="M1659" i="1"/>
  <c r="S1659" i="1"/>
  <c r="AA1659" i="1"/>
  <c r="A1659" i="1" s="1"/>
  <c r="AC1659" i="1"/>
  <c r="M1660" i="1"/>
  <c r="S1660" i="1"/>
  <c r="AA1660" i="1"/>
  <c r="A1660" i="1" s="1"/>
  <c r="AC1660" i="1"/>
  <c r="M1661" i="1"/>
  <c r="S1661" i="1"/>
  <c r="AA1661" i="1"/>
  <c r="A1661" i="1" s="1"/>
  <c r="AC1661" i="1"/>
  <c r="M1662" i="1"/>
  <c r="S1662" i="1"/>
  <c r="AA1662" i="1"/>
  <c r="A1662" i="1" s="1"/>
  <c r="AC1662" i="1"/>
  <c r="M1663" i="1"/>
  <c r="S1663" i="1"/>
  <c r="AA1663" i="1"/>
  <c r="A1663" i="1" s="1"/>
  <c r="AC1663" i="1"/>
  <c r="M1664" i="1"/>
  <c r="S1664" i="1"/>
  <c r="AA1664" i="1"/>
  <c r="A1664" i="1" s="1"/>
  <c r="AC1664" i="1"/>
  <c r="M1665" i="1"/>
  <c r="S1665" i="1"/>
  <c r="AA1665" i="1"/>
  <c r="A1665" i="1" s="1"/>
  <c r="AC1665" i="1"/>
  <c r="M1666" i="1"/>
  <c r="S1666" i="1"/>
  <c r="AA1666" i="1"/>
  <c r="A1666" i="1" s="1"/>
  <c r="AC1666" i="1"/>
  <c r="M1667" i="1"/>
  <c r="S1667" i="1"/>
  <c r="AA1667" i="1"/>
  <c r="A1667" i="1" s="1"/>
  <c r="AC1667" i="1"/>
  <c r="M1668" i="1"/>
  <c r="S1668" i="1"/>
  <c r="AA1668" i="1"/>
  <c r="A1668" i="1" s="1"/>
  <c r="AC1668" i="1"/>
  <c r="M1669" i="1"/>
  <c r="S1669" i="1"/>
  <c r="AA1669" i="1"/>
  <c r="A1669" i="1" s="1"/>
  <c r="AC1669" i="1"/>
  <c r="M1670" i="1"/>
  <c r="S1670" i="1"/>
  <c r="AA1670" i="1"/>
  <c r="A1670" i="1" s="1"/>
  <c r="AC1670" i="1"/>
  <c r="M1671" i="1"/>
  <c r="S1671" i="1"/>
  <c r="AA1671" i="1"/>
  <c r="A1671" i="1" s="1"/>
  <c r="AC1671" i="1"/>
  <c r="M1672" i="1"/>
  <c r="S1672" i="1"/>
  <c r="AA1672" i="1"/>
  <c r="A1672" i="1" s="1"/>
  <c r="AC1672" i="1"/>
  <c r="M1673" i="1"/>
  <c r="S1673" i="1"/>
  <c r="AA1673" i="1"/>
  <c r="A1673" i="1" s="1"/>
  <c r="AC1673" i="1"/>
  <c r="M1674" i="1"/>
  <c r="S1674" i="1"/>
  <c r="AA1674" i="1"/>
  <c r="A1674" i="1" s="1"/>
  <c r="AC1674" i="1"/>
  <c r="M1675" i="1"/>
  <c r="S1675" i="1"/>
  <c r="AA1675" i="1"/>
  <c r="A1675" i="1" s="1"/>
  <c r="AC1675" i="1"/>
  <c r="M1676" i="1"/>
  <c r="S1676" i="1"/>
  <c r="AA1676" i="1"/>
  <c r="A1676" i="1" s="1"/>
  <c r="AC1676" i="1"/>
  <c r="M1677" i="1"/>
  <c r="S1677" i="1"/>
  <c r="AA1677" i="1"/>
  <c r="A1677" i="1" s="1"/>
  <c r="AC1677" i="1"/>
  <c r="M1678" i="1"/>
  <c r="S1678" i="1"/>
  <c r="AA1678" i="1"/>
  <c r="A1678" i="1" s="1"/>
  <c r="AC1678" i="1"/>
  <c r="M1679" i="1"/>
  <c r="S1679" i="1"/>
  <c r="AA1679" i="1"/>
  <c r="A1679" i="1" s="1"/>
  <c r="AC1679" i="1"/>
  <c r="M1680" i="1"/>
  <c r="S1680" i="1"/>
  <c r="AA1680" i="1"/>
  <c r="A1680" i="1" s="1"/>
  <c r="AC1680" i="1"/>
  <c r="M1681" i="1"/>
  <c r="S1681" i="1"/>
  <c r="AA1681" i="1"/>
  <c r="A1681" i="1" s="1"/>
  <c r="AC1681" i="1"/>
  <c r="M1682" i="1"/>
  <c r="S1682" i="1"/>
  <c r="AA1682" i="1"/>
  <c r="A1682" i="1" s="1"/>
  <c r="AC1682" i="1"/>
  <c r="M1683" i="1"/>
  <c r="S1683" i="1"/>
  <c r="AA1683" i="1"/>
  <c r="A1683" i="1" s="1"/>
  <c r="AC1683" i="1"/>
  <c r="M1684" i="1"/>
  <c r="S1684" i="1"/>
  <c r="AA1684" i="1"/>
  <c r="A1684" i="1" s="1"/>
  <c r="AC1684" i="1"/>
  <c r="M1685" i="1"/>
  <c r="S1685" i="1"/>
  <c r="AA1685" i="1"/>
  <c r="A1685" i="1" s="1"/>
  <c r="AC1685" i="1"/>
  <c r="M1686" i="1"/>
  <c r="S1686" i="1"/>
  <c r="AA1686" i="1"/>
  <c r="A1686" i="1" s="1"/>
  <c r="AC1686" i="1"/>
  <c r="M1687" i="1"/>
  <c r="S1687" i="1"/>
  <c r="AA1687" i="1"/>
  <c r="A1687" i="1" s="1"/>
  <c r="AC1687" i="1"/>
  <c r="M1688" i="1"/>
  <c r="S1688" i="1"/>
  <c r="AA1688" i="1"/>
  <c r="A1688" i="1" s="1"/>
  <c r="AC1688" i="1"/>
  <c r="M1689" i="1"/>
  <c r="S1689" i="1"/>
  <c r="AA1689" i="1"/>
  <c r="A1689" i="1" s="1"/>
  <c r="AC1689" i="1"/>
  <c r="M1690" i="1"/>
  <c r="S1690" i="1"/>
  <c r="AA1690" i="1"/>
  <c r="A1690" i="1" s="1"/>
  <c r="AC1690" i="1"/>
  <c r="M1691" i="1"/>
  <c r="S1691" i="1"/>
  <c r="AA1691" i="1"/>
  <c r="A1691" i="1" s="1"/>
  <c r="AC1691" i="1"/>
  <c r="M1692" i="1"/>
  <c r="S1692" i="1"/>
  <c r="AA1692" i="1"/>
  <c r="A1692" i="1" s="1"/>
  <c r="AC1692" i="1"/>
  <c r="M1693" i="1"/>
  <c r="S1693" i="1"/>
  <c r="AA1693" i="1"/>
  <c r="A1693" i="1" s="1"/>
  <c r="AC1693" i="1"/>
  <c r="M1694" i="1"/>
  <c r="S1694" i="1"/>
  <c r="AA1694" i="1"/>
  <c r="A1694" i="1" s="1"/>
  <c r="AC1694" i="1"/>
  <c r="M1695" i="1"/>
  <c r="S1695" i="1"/>
  <c r="AA1695" i="1"/>
  <c r="A1695" i="1" s="1"/>
  <c r="AC1695" i="1"/>
  <c r="M1696" i="1"/>
  <c r="S1696" i="1"/>
  <c r="AA1696" i="1"/>
  <c r="A1696" i="1" s="1"/>
  <c r="AC1696" i="1"/>
  <c r="M1697" i="1"/>
  <c r="S1697" i="1"/>
  <c r="AA1697" i="1"/>
  <c r="A1697" i="1" s="1"/>
  <c r="AC1697" i="1"/>
  <c r="M1698" i="1"/>
  <c r="S1698" i="1"/>
  <c r="AA1698" i="1"/>
  <c r="A1698" i="1" s="1"/>
  <c r="AC1698" i="1"/>
  <c r="M1699" i="1"/>
  <c r="S1699" i="1"/>
  <c r="AA1699" i="1"/>
  <c r="A1699" i="1" s="1"/>
  <c r="AC1699" i="1"/>
  <c r="M1700" i="1"/>
  <c r="S1700" i="1"/>
  <c r="AA1700" i="1"/>
  <c r="A1700" i="1" s="1"/>
  <c r="AC1700" i="1"/>
  <c r="M1701" i="1"/>
  <c r="S1701" i="1"/>
  <c r="AA1701" i="1"/>
  <c r="A1701" i="1" s="1"/>
  <c r="AC1701" i="1"/>
  <c r="M1702" i="1"/>
  <c r="S1702" i="1"/>
  <c r="AA1702" i="1"/>
  <c r="A1702" i="1" s="1"/>
  <c r="AC1702" i="1"/>
  <c r="M1703" i="1"/>
  <c r="S1703" i="1"/>
  <c r="AA1703" i="1"/>
  <c r="A1703" i="1" s="1"/>
  <c r="AC1703" i="1"/>
  <c r="M1704" i="1"/>
  <c r="S1704" i="1"/>
  <c r="AA1704" i="1"/>
  <c r="A1704" i="1" s="1"/>
  <c r="AC1704" i="1"/>
  <c r="M1705" i="1"/>
  <c r="S1705" i="1"/>
  <c r="AA1705" i="1"/>
  <c r="A1705" i="1" s="1"/>
  <c r="AC1705" i="1"/>
  <c r="M1706" i="1"/>
  <c r="S1706" i="1"/>
  <c r="AA1706" i="1"/>
  <c r="A1706" i="1" s="1"/>
  <c r="AC1706" i="1"/>
  <c r="M1707" i="1"/>
  <c r="S1707" i="1"/>
  <c r="AA1707" i="1"/>
  <c r="A1707" i="1" s="1"/>
  <c r="AC1707" i="1"/>
  <c r="M1708" i="1"/>
  <c r="S1708" i="1"/>
  <c r="AA1708" i="1"/>
  <c r="A1708" i="1" s="1"/>
  <c r="AC1708" i="1"/>
  <c r="M1709" i="1"/>
  <c r="S1709" i="1"/>
  <c r="AA1709" i="1"/>
  <c r="A1709" i="1" s="1"/>
  <c r="AC1709" i="1"/>
  <c r="M1710" i="1"/>
  <c r="S1710" i="1"/>
  <c r="AA1710" i="1"/>
  <c r="A1710" i="1" s="1"/>
  <c r="AC1710" i="1"/>
  <c r="M1711" i="1"/>
  <c r="S1711" i="1"/>
  <c r="AA1711" i="1"/>
  <c r="A1711" i="1" s="1"/>
  <c r="AC1711" i="1"/>
  <c r="M1712" i="1"/>
  <c r="S1712" i="1"/>
  <c r="AA1712" i="1"/>
  <c r="A1712" i="1" s="1"/>
  <c r="AC1712" i="1"/>
  <c r="M1713" i="1"/>
  <c r="S1713" i="1"/>
  <c r="AA1713" i="1"/>
  <c r="A1713" i="1" s="1"/>
  <c r="AC1713" i="1"/>
  <c r="M1714" i="1"/>
  <c r="S1714" i="1"/>
  <c r="AA1714" i="1"/>
  <c r="A1714" i="1" s="1"/>
  <c r="AC1714" i="1"/>
  <c r="M1715" i="1"/>
  <c r="S1715" i="1"/>
  <c r="AA1715" i="1"/>
  <c r="A1715" i="1" s="1"/>
  <c r="AC1715" i="1"/>
  <c r="M1716" i="1"/>
  <c r="S1716" i="1"/>
  <c r="AA1716" i="1"/>
  <c r="A1716" i="1" s="1"/>
  <c r="AC1716" i="1"/>
  <c r="M1717" i="1"/>
  <c r="S1717" i="1"/>
  <c r="AA1717" i="1"/>
  <c r="A1717" i="1" s="1"/>
  <c r="AC1717" i="1"/>
  <c r="M1718" i="1"/>
  <c r="S1718" i="1"/>
  <c r="AA1718" i="1"/>
  <c r="A1718" i="1" s="1"/>
  <c r="AC1718" i="1"/>
  <c r="M1719" i="1"/>
  <c r="S1719" i="1"/>
  <c r="AA1719" i="1"/>
  <c r="A1719" i="1" s="1"/>
  <c r="AC1719" i="1"/>
  <c r="M1720" i="1"/>
  <c r="S1720" i="1"/>
  <c r="AA1720" i="1"/>
  <c r="A1720" i="1" s="1"/>
  <c r="AC1720" i="1"/>
  <c r="M1721" i="1"/>
  <c r="S1721" i="1"/>
  <c r="AA1721" i="1"/>
  <c r="A1721" i="1" s="1"/>
  <c r="AC1721" i="1"/>
  <c r="M1722" i="1"/>
  <c r="S1722" i="1"/>
  <c r="AA1722" i="1"/>
  <c r="A1722" i="1" s="1"/>
  <c r="AC1722" i="1"/>
  <c r="M1723" i="1"/>
  <c r="S1723" i="1"/>
  <c r="AA1723" i="1"/>
  <c r="A1723" i="1" s="1"/>
  <c r="AC1723" i="1"/>
  <c r="M1724" i="1"/>
  <c r="S1724" i="1"/>
  <c r="AA1724" i="1"/>
  <c r="A1724" i="1" s="1"/>
  <c r="AC1724" i="1"/>
  <c r="M1725" i="1"/>
  <c r="S1725" i="1"/>
  <c r="AA1725" i="1"/>
  <c r="A1725" i="1" s="1"/>
  <c r="AC1725" i="1"/>
  <c r="M1726" i="1"/>
  <c r="S1726" i="1"/>
  <c r="AA1726" i="1"/>
  <c r="A1726" i="1" s="1"/>
  <c r="AC1726" i="1"/>
  <c r="M1727" i="1"/>
  <c r="S1727" i="1"/>
  <c r="AA1727" i="1"/>
  <c r="A1727" i="1" s="1"/>
  <c r="AC1727" i="1"/>
  <c r="M1728" i="1"/>
  <c r="S1728" i="1"/>
  <c r="AA1728" i="1"/>
  <c r="A1728" i="1" s="1"/>
  <c r="AC1728" i="1"/>
  <c r="M1729" i="1"/>
  <c r="S1729" i="1"/>
  <c r="AA1729" i="1"/>
  <c r="A1729" i="1" s="1"/>
  <c r="AC1729" i="1"/>
  <c r="M1730" i="1"/>
  <c r="S1730" i="1"/>
  <c r="AA1730" i="1"/>
  <c r="A1730" i="1" s="1"/>
  <c r="AC1730" i="1"/>
  <c r="M1731" i="1"/>
  <c r="S1731" i="1"/>
  <c r="AA1731" i="1"/>
  <c r="A1731" i="1" s="1"/>
  <c r="AC1731" i="1"/>
  <c r="M1732" i="1"/>
  <c r="S1732" i="1"/>
  <c r="AA1732" i="1"/>
  <c r="A1732" i="1" s="1"/>
  <c r="AC1732" i="1"/>
  <c r="M1733" i="1"/>
  <c r="S1733" i="1"/>
  <c r="AA1733" i="1"/>
  <c r="A1733" i="1" s="1"/>
  <c r="AC1733" i="1"/>
  <c r="M1734" i="1"/>
  <c r="S1734" i="1"/>
  <c r="AA1734" i="1"/>
  <c r="A1734" i="1" s="1"/>
  <c r="AC1734" i="1"/>
  <c r="M1735" i="1"/>
  <c r="S1735" i="1"/>
  <c r="AA1735" i="1"/>
  <c r="A1735" i="1" s="1"/>
  <c r="AC1735" i="1"/>
  <c r="M1736" i="1"/>
  <c r="S1736" i="1"/>
  <c r="AA1736" i="1"/>
  <c r="A1736" i="1" s="1"/>
  <c r="AC1736" i="1"/>
  <c r="M1737" i="1"/>
  <c r="S1737" i="1"/>
  <c r="AA1737" i="1"/>
  <c r="A1737" i="1" s="1"/>
  <c r="AC1737" i="1"/>
  <c r="M1738" i="1"/>
  <c r="S1738" i="1"/>
  <c r="AA1738" i="1"/>
  <c r="A1738" i="1" s="1"/>
  <c r="AC1738" i="1"/>
  <c r="M1739" i="1"/>
  <c r="S1739" i="1"/>
  <c r="AA1739" i="1"/>
  <c r="A1739" i="1" s="1"/>
  <c r="AC1739" i="1"/>
  <c r="M1740" i="1"/>
  <c r="S1740" i="1"/>
  <c r="AA1740" i="1"/>
  <c r="A1740" i="1" s="1"/>
  <c r="AC1740" i="1"/>
  <c r="M1741" i="1"/>
  <c r="S1741" i="1"/>
  <c r="AA1741" i="1"/>
  <c r="A1741" i="1" s="1"/>
  <c r="AC1741" i="1"/>
  <c r="M1742" i="1"/>
  <c r="S1742" i="1"/>
  <c r="AA1742" i="1"/>
  <c r="A1742" i="1" s="1"/>
  <c r="AC1742" i="1"/>
  <c r="M1743" i="1"/>
  <c r="S1743" i="1"/>
  <c r="AA1743" i="1"/>
  <c r="A1743" i="1" s="1"/>
  <c r="AC1743" i="1"/>
  <c r="M1744" i="1"/>
  <c r="S1744" i="1"/>
  <c r="AA1744" i="1"/>
  <c r="A1744" i="1" s="1"/>
  <c r="AC1744" i="1"/>
  <c r="M1745" i="1"/>
  <c r="S1745" i="1"/>
  <c r="AA1745" i="1"/>
  <c r="A1745" i="1" s="1"/>
  <c r="AC1745" i="1"/>
  <c r="M1746" i="1"/>
  <c r="S1746" i="1"/>
  <c r="AA1746" i="1"/>
  <c r="A1746" i="1" s="1"/>
  <c r="AC1746" i="1"/>
  <c r="M1747" i="1"/>
  <c r="S1747" i="1"/>
  <c r="AA1747" i="1"/>
  <c r="A1747" i="1" s="1"/>
  <c r="AC1747" i="1"/>
  <c r="M1748" i="1"/>
  <c r="S1748" i="1"/>
  <c r="AA1748" i="1"/>
  <c r="A1748" i="1" s="1"/>
  <c r="AC1748" i="1"/>
  <c r="M1749" i="1"/>
  <c r="S1749" i="1"/>
  <c r="AA1749" i="1"/>
  <c r="A1749" i="1" s="1"/>
  <c r="AC1749" i="1"/>
  <c r="M1750" i="1"/>
  <c r="S1750" i="1"/>
  <c r="AA1750" i="1"/>
  <c r="A1750" i="1" s="1"/>
  <c r="AC1750" i="1"/>
  <c r="M1751" i="1"/>
  <c r="S1751" i="1"/>
  <c r="AA1751" i="1"/>
  <c r="A1751" i="1" s="1"/>
  <c r="AC1751" i="1"/>
  <c r="M1752" i="1"/>
  <c r="S1752" i="1"/>
  <c r="AA1752" i="1"/>
  <c r="A1752" i="1" s="1"/>
  <c r="AC1752" i="1"/>
  <c r="M1753" i="1"/>
  <c r="S1753" i="1"/>
  <c r="AA1753" i="1"/>
  <c r="A1753" i="1" s="1"/>
  <c r="AC1753" i="1"/>
  <c r="M1754" i="1"/>
  <c r="S1754" i="1"/>
  <c r="AA1754" i="1"/>
  <c r="A1754" i="1" s="1"/>
  <c r="AC1754" i="1"/>
  <c r="M1755" i="1"/>
  <c r="S1755" i="1"/>
  <c r="AA1755" i="1"/>
  <c r="A1755" i="1" s="1"/>
  <c r="AC1755" i="1"/>
  <c r="M1756" i="1"/>
  <c r="S1756" i="1"/>
  <c r="AA1756" i="1"/>
  <c r="A1756" i="1" s="1"/>
  <c r="AC1756" i="1"/>
  <c r="M1757" i="1"/>
  <c r="S1757" i="1"/>
  <c r="AA1757" i="1"/>
  <c r="A1757" i="1" s="1"/>
  <c r="AC1757" i="1"/>
  <c r="M1758" i="1"/>
  <c r="S1758" i="1"/>
  <c r="AA1758" i="1"/>
  <c r="A1758" i="1" s="1"/>
  <c r="AC1758" i="1"/>
  <c r="M1759" i="1"/>
  <c r="S1759" i="1"/>
  <c r="AA1759" i="1"/>
  <c r="A1759" i="1" s="1"/>
  <c r="AC1759" i="1"/>
  <c r="M1760" i="1"/>
  <c r="S1760" i="1"/>
  <c r="AA1760" i="1"/>
  <c r="A1760" i="1" s="1"/>
  <c r="AC1760" i="1"/>
  <c r="M1761" i="1"/>
  <c r="S1761" i="1"/>
  <c r="AA1761" i="1"/>
  <c r="A1761" i="1" s="1"/>
  <c r="AC1761" i="1"/>
  <c r="M1762" i="1"/>
  <c r="S1762" i="1"/>
  <c r="AA1762" i="1"/>
  <c r="A1762" i="1" s="1"/>
  <c r="AC1762" i="1"/>
  <c r="M1763" i="1"/>
  <c r="S1763" i="1"/>
  <c r="AA1763" i="1"/>
  <c r="A1763" i="1" s="1"/>
  <c r="AC1763" i="1"/>
  <c r="M1764" i="1"/>
  <c r="S1764" i="1"/>
  <c r="AA1764" i="1"/>
  <c r="A1764" i="1" s="1"/>
  <c r="AC1764" i="1"/>
  <c r="M1765" i="1"/>
  <c r="S1765" i="1"/>
  <c r="AA1765" i="1"/>
  <c r="A1765" i="1" s="1"/>
  <c r="AC1765" i="1"/>
  <c r="M1766" i="1"/>
  <c r="S1766" i="1"/>
  <c r="AA1766" i="1"/>
  <c r="A1766" i="1" s="1"/>
  <c r="AC1766" i="1"/>
  <c r="M1767" i="1"/>
  <c r="S1767" i="1"/>
  <c r="AA1767" i="1"/>
  <c r="A1767" i="1" s="1"/>
  <c r="AC1767" i="1"/>
  <c r="M1768" i="1"/>
  <c r="S1768" i="1"/>
  <c r="AA1768" i="1"/>
  <c r="A1768" i="1" s="1"/>
  <c r="AC1768" i="1"/>
  <c r="M1769" i="1"/>
  <c r="S1769" i="1"/>
  <c r="AA1769" i="1"/>
  <c r="A1769" i="1" s="1"/>
  <c r="AC1769" i="1"/>
  <c r="M1770" i="1"/>
  <c r="S1770" i="1"/>
  <c r="AA1770" i="1"/>
  <c r="A1770" i="1" s="1"/>
  <c r="AC1770" i="1"/>
  <c r="M1771" i="1"/>
  <c r="S1771" i="1"/>
  <c r="AA1771" i="1"/>
  <c r="A1771" i="1" s="1"/>
  <c r="AC1771" i="1"/>
  <c r="M1772" i="1"/>
  <c r="S1772" i="1"/>
  <c r="AA1772" i="1"/>
  <c r="A1772" i="1" s="1"/>
  <c r="AC1772" i="1"/>
  <c r="M1773" i="1"/>
  <c r="S1773" i="1"/>
  <c r="AA1773" i="1"/>
  <c r="A1773" i="1" s="1"/>
  <c r="AC1773" i="1"/>
  <c r="M1774" i="1"/>
  <c r="S1774" i="1"/>
  <c r="AA1774" i="1"/>
  <c r="A1774" i="1" s="1"/>
  <c r="AC1774" i="1"/>
  <c r="M1775" i="1"/>
  <c r="S1775" i="1"/>
  <c r="AA1775" i="1"/>
  <c r="A1775" i="1" s="1"/>
  <c r="AC1775" i="1"/>
  <c r="M1776" i="1"/>
  <c r="S1776" i="1"/>
  <c r="AA1776" i="1"/>
  <c r="A1776" i="1" s="1"/>
  <c r="AC1776" i="1"/>
  <c r="M1777" i="1"/>
  <c r="S1777" i="1"/>
  <c r="AA1777" i="1"/>
  <c r="A1777" i="1" s="1"/>
  <c r="AC1777" i="1"/>
  <c r="M1778" i="1"/>
  <c r="S1778" i="1"/>
  <c r="AA1778" i="1"/>
  <c r="A1778" i="1" s="1"/>
  <c r="AC1778" i="1"/>
  <c r="M1779" i="1"/>
  <c r="S1779" i="1"/>
  <c r="AA1779" i="1"/>
  <c r="A1779" i="1" s="1"/>
  <c r="AC1779" i="1"/>
  <c r="M1780" i="1"/>
  <c r="S1780" i="1"/>
  <c r="AA1780" i="1"/>
  <c r="A1780" i="1" s="1"/>
  <c r="AC1780" i="1"/>
  <c r="M1781" i="1"/>
  <c r="S1781" i="1"/>
  <c r="AA1781" i="1"/>
  <c r="A1781" i="1" s="1"/>
  <c r="AC1781" i="1"/>
  <c r="M1782" i="1"/>
  <c r="S1782" i="1"/>
  <c r="AA1782" i="1"/>
  <c r="A1782" i="1" s="1"/>
  <c r="AC1782" i="1"/>
  <c r="M1783" i="1"/>
  <c r="S1783" i="1"/>
  <c r="AA1783" i="1"/>
  <c r="A1783" i="1" s="1"/>
  <c r="AC1783" i="1"/>
  <c r="M1784" i="1"/>
  <c r="S1784" i="1"/>
  <c r="AA1784" i="1"/>
  <c r="A1784" i="1" s="1"/>
  <c r="AC1784" i="1"/>
  <c r="M1785" i="1"/>
  <c r="S1785" i="1"/>
  <c r="AA1785" i="1"/>
  <c r="A1785" i="1" s="1"/>
  <c r="AC1785" i="1"/>
  <c r="M1786" i="1"/>
  <c r="S1786" i="1"/>
  <c r="AA1786" i="1"/>
  <c r="A1786" i="1" s="1"/>
  <c r="AC1786" i="1"/>
  <c r="M1787" i="1"/>
  <c r="S1787" i="1"/>
  <c r="AA1787" i="1"/>
  <c r="A1787" i="1" s="1"/>
  <c r="AC1787" i="1"/>
  <c r="M1788" i="1"/>
  <c r="S1788" i="1"/>
  <c r="AA1788" i="1"/>
  <c r="A1788" i="1" s="1"/>
  <c r="AC1788" i="1"/>
  <c r="M1789" i="1"/>
  <c r="S1789" i="1"/>
  <c r="AA1789" i="1"/>
  <c r="A1789" i="1" s="1"/>
  <c r="AC1789" i="1"/>
  <c r="M1790" i="1"/>
  <c r="S1790" i="1"/>
  <c r="AA1790" i="1"/>
  <c r="A1790" i="1" s="1"/>
  <c r="AC1790" i="1"/>
  <c r="M1791" i="1"/>
  <c r="S1791" i="1"/>
  <c r="AA1791" i="1"/>
  <c r="A1791" i="1" s="1"/>
  <c r="AC1791" i="1"/>
  <c r="M1792" i="1"/>
  <c r="S1792" i="1"/>
  <c r="AA1792" i="1"/>
  <c r="A1792" i="1" s="1"/>
  <c r="AC1792" i="1"/>
  <c r="M1793" i="1"/>
  <c r="S1793" i="1"/>
  <c r="AA1793" i="1"/>
  <c r="A1793" i="1" s="1"/>
  <c r="AC1793" i="1"/>
  <c r="M1794" i="1"/>
  <c r="S1794" i="1"/>
  <c r="AA1794" i="1"/>
  <c r="A1794" i="1" s="1"/>
  <c r="AC1794" i="1"/>
  <c r="M1795" i="1"/>
  <c r="S1795" i="1"/>
  <c r="AA1795" i="1"/>
  <c r="A1795" i="1" s="1"/>
  <c r="AC1795" i="1"/>
  <c r="M1796" i="1"/>
  <c r="S1796" i="1"/>
  <c r="AA1796" i="1"/>
  <c r="A1796" i="1" s="1"/>
  <c r="AC1796" i="1"/>
  <c r="M1797" i="1"/>
  <c r="S1797" i="1"/>
  <c r="AA1797" i="1"/>
  <c r="A1797" i="1" s="1"/>
  <c r="AC1797" i="1"/>
  <c r="M1798" i="1"/>
  <c r="S1798" i="1"/>
  <c r="AA1798" i="1"/>
  <c r="A1798" i="1" s="1"/>
  <c r="AC1798" i="1"/>
  <c r="M1799" i="1"/>
  <c r="S1799" i="1"/>
  <c r="AA1799" i="1"/>
  <c r="A1799" i="1" s="1"/>
  <c r="AC1799" i="1"/>
  <c r="M1800" i="1"/>
  <c r="S1800" i="1"/>
  <c r="AA1800" i="1"/>
  <c r="A1800" i="1" s="1"/>
  <c r="AC1800" i="1"/>
  <c r="M1801" i="1"/>
  <c r="S1801" i="1"/>
  <c r="AA1801" i="1"/>
  <c r="A1801" i="1" s="1"/>
  <c r="AC1801" i="1"/>
  <c r="M1802" i="1"/>
  <c r="S1802" i="1"/>
  <c r="AA1802" i="1"/>
  <c r="A1802" i="1" s="1"/>
  <c r="AC1802" i="1"/>
  <c r="M1803" i="1"/>
  <c r="S1803" i="1"/>
  <c r="AA1803" i="1"/>
  <c r="A1803" i="1" s="1"/>
  <c r="AC1803" i="1"/>
  <c r="M1804" i="1"/>
  <c r="S1804" i="1"/>
  <c r="AA1804" i="1"/>
  <c r="A1804" i="1" s="1"/>
  <c r="AC1804" i="1"/>
  <c r="M1805" i="1"/>
  <c r="S1805" i="1"/>
  <c r="AA1805" i="1"/>
  <c r="A1805" i="1" s="1"/>
  <c r="AC1805" i="1"/>
  <c r="M1806" i="1"/>
  <c r="S1806" i="1"/>
  <c r="AA1806" i="1"/>
  <c r="A1806" i="1" s="1"/>
  <c r="AC1806" i="1"/>
  <c r="M1807" i="1"/>
  <c r="S1807" i="1"/>
  <c r="AA1807" i="1"/>
  <c r="A1807" i="1" s="1"/>
  <c r="AC1807" i="1"/>
  <c r="M1808" i="1"/>
  <c r="S1808" i="1"/>
  <c r="AA1808" i="1"/>
  <c r="A1808" i="1" s="1"/>
  <c r="AC1808" i="1"/>
  <c r="M1809" i="1"/>
  <c r="S1809" i="1"/>
  <c r="AA1809" i="1"/>
  <c r="A1809" i="1" s="1"/>
  <c r="AC1809" i="1"/>
  <c r="M1810" i="1"/>
  <c r="S1810" i="1"/>
  <c r="AA1810" i="1"/>
  <c r="A1810" i="1" s="1"/>
  <c r="AC1810" i="1"/>
  <c r="M1811" i="1"/>
  <c r="S1811" i="1"/>
  <c r="AA1811" i="1"/>
  <c r="A1811" i="1" s="1"/>
  <c r="AC1811" i="1"/>
  <c r="M1812" i="1"/>
  <c r="S1812" i="1"/>
  <c r="AA1812" i="1"/>
  <c r="A1812" i="1" s="1"/>
  <c r="AC1812" i="1"/>
  <c r="M1813" i="1"/>
  <c r="S1813" i="1"/>
  <c r="AA1813" i="1"/>
  <c r="A1813" i="1" s="1"/>
  <c r="AC1813" i="1"/>
  <c r="M1814" i="1"/>
  <c r="S1814" i="1"/>
  <c r="AA1814" i="1"/>
  <c r="A1814" i="1" s="1"/>
  <c r="AC1814" i="1"/>
  <c r="M1815" i="1"/>
  <c r="S1815" i="1"/>
  <c r="AA1815" i="1"/>
  <c r="A1815" i="1" s="1"/>
  <c r="AC1815" i="1"/>
  <c r="M1816" i="1"/>
  <c r="S1816" i="1"/>
  <c r="AA1816" i="1"/>
  <c r="A1816" i="1" s="1"/>
  <c r="AC1816" i="1"/>
  <c r="M1817" i="1"/>
  <c r="S1817" i="1"/>
  <c r="AA1817" i="1"/>
  <c r="A1817" i="1" s="1"/>
  <c r="AC1817" i="1"/>
  <c r="M1818" i="1"/>
  <c r="S1818" i="1"/>
  <c r="AA1818" i="1"/>
  <c r="A1818" i="1" s="1"/>
  <c r="AC1818" i="1"/>
  <c r="M1819" i="1"/>
  <c r="S1819" i="1"/>
  <c r="AA1819" i="1"/>
  <c r="A1819" i="1" s="1"/>
  <c r="AC1819" i="1"/>
  <c r="M1820" i="1"/>
  <c r="S1820" i="1"/>
  <c r="AA1820" i="1"/>
  <c r="A1820" i="1" s="1"/>
  <c r="AC1820" i="1"/>
  <c r="M1821" i="1"/>
  <c r="S1821" i="1"/>
  <c r="AA1821" i="1"/>
  <c r="A1821" i="1" s="1"/>
  <c r="AC1821" i="1"/>
  <c r="M1822" i="1"/>
  <c r="S1822" i="1"/>
  <c r="AA1822" i="1"/>
  <c r="A1822" i="1" s="1"/>
  <c r="AC1822" i="1"/>
  <c r="M1823" i="1"/>
  <c r="S1823" i="1"/>
  <c r="AA1823" i="1"/>
  <c r="A1823" i="1" s="1"/>
  <c r="AC1823" i="1"/>
  <c r="M1824" i="1"/>
  <c r="S1824" i="1"/>
  <c r="AA1824" i="1"/>
  <c r="A1824" i="1" s="1"/>
  <c r="AC1824" i="1"/>
  <c r="M1825" i="1"/>
  <c r="S1825" i="1"/>
  <c r="AA1825" i="1"/>
  <c r="A1825" i="1" s="1"/>
  <c r="AC1825" i="1"/>
  <c r="M1826" i="1"/>
  <c r="S1826" i="1"/>
  <c r="AA1826" i="1"/>
  <c r="A1826" i="1" s="1"/>
  <c r="AC1826" i="1"/>
  <c r="M1827" i="1"/>
  <c r="S1827" i="1"/>
  <c r="AA1827" i="1"/>
  <c r="A1827" i="1" s="1"/>
  <c r="AC1827" i="1"/>
  <c r="M1828" i="1"/>
  <c r="S1828" i="1"/>
  <c r="AA1828" i="1"/>
  <c r="A1828" i="1" s="1"/>
  <c r="AC1828" i="1"/>
  <c r="M1829" i="1"/>
  <c r="S1829" i="1"/>
  <c r="AA1829" i="1"/>
  <c r="A1829" i="1" s="1"/>
  <c r="AC1829" i="1"/>
  <c r="M1830" i="1"/>
  <c r="S1830" i="1"/>
  <c r="AA1830" i="1"/>
  <c r="A1830" i="1" s="1"/>
  <c r="AC1830" i="1"/>
  <c r="M1831" i="1"/>
  <c r="S1831" i="1"/>
  <c r="AA1831" i="1"/>
  <c r="A1831" i="1" s="1"/>
  <c r="AC1831" i="1"/>
  <c r="M1832" i="1"/>
  <c r="S1832" i="1"/>
  <c r="AA1832" i="1"/>
  <c r="A1832" i="1" s="1"/>
  <c r="AC1832" i="1"/>
  <c r="M1833" i="1"/>
  <c r="S1833" i="1"/>
  <c r="AA1833" i="1"/>
  <c r="A1833" i="1" s="1"/>
  <c r="AC1833" i="1"/>
  <c r="M1834" i="1"/>
  <c r="S1834" i="1"/>
  <c r="AA1834" i="1"/>
  <c r="A1834" i="1" s="1"/>
  <c r="AC1834" i="1"/>
  <c r="M1835" i="1"/>
  <c r="S1835" i="1"/>
  <c r="AA1835" i="1"/>
  <c r="A1835" i="1" s="1"/>
  <c r="AC1835" i="1"/>
  <c r="M1836" i="1"/>
  <c r="S1836" i="1"/>
  <c r="AA1836" i="1"/>
  <c r="A1836" i="1" s="1"/>
  <c r="AC1836" i="1"/>
  <c r="M1837" i="1"/>
  <c r="S1837" i="1"/>
  <c r="AA1837" i="1"/>
  <c r="A1837" i="1" s="1"/>
  <c r="AC1837" i="1"/>
  <c r="M1838" i="1"/>
  <c r="S1838" i="1"/>
  <c r="AA1838" i="1"/>
  <c r="A1838" i="1" s="1"/>
  <c r="AC1838" i="1"/>
  <c r="M1839" i="1"/>
  <c r="S1839" i="1"/>
  <c r="AA1839" i="1"/>
  <c r="A1839" i="1" s="1"/>
  <c r="AC1839" i="1"/>
  <c r="M1840" i="1"/>
  <c r="S1840" i="1"/>
  <c r="AA1840" i="1"/>
  <c r="A1840" i="1" s="1"/>
  <c r="AC1840" i="1"/>
  <c r="M1841" i="1"/>
  <c r="S1841" i="1"/>
  <c r="AA1841" i="1"/>
  <c r="A1841" i="1" s="1"/>
  <c r="AC1841" i="1"/>
  <c r="M1842" i="1"/>
  <c r="S1842" i="1"/>
  <c r="AA1842" i="1"/>
  <c r="A1842" i="1" s="1"/>
  <c r="AC1842" i="1"/>
  <c r="M1843" i="1"/>
  <c r="S1843" i="1"/>
  <c r="AA1843" i="1"/>
  <c r="A1843" i="1" s="1"/>
  <c r="AC1843" i="1"/>
  <c r="M1844" i="1"/>
  <c r="S1844" i="1"/>
  <c r="AA1844" i="1"/>
  <c r="A1844" i="1" s="1"/>
  <c r="AC1844" i="1"/>
  <c r="M1845" i="1"/>
  <c r="S1845" i="1"/>
  <c r="AA1845" i="1"/>
  <c r="A1845" i="1" s="1"/>
  <c r="AC1845" i="1"/>
  <c r="M1846" i="1"/>
  <c r="S1846" i="1"/>
  <c r="AA1846" i="1"/>
  <c r="A1846" i="1" s="1"/>
  <c r="AC1846" i="1"/>
  <c r="M1847" i="1"/>
  <c r="S1847" i="1"/>
  <c r="AA1847" i="1"/>
  <c r="A1847" i="1" s="1"/>
  <c r="AC1847" i="1"/>
  <c r="M1848" i="1"/>
  <c r="S1848" i="1"/>
  <c r="AA1848" i="1"/>
  <c r="A1848" i="1" s="1"/>
  <c r="AC1848" i="1"/>
  <c r="M1849" i="1"/>
  <c r="S1849" i="1"/>
  <c r="AA1849" i="1"/>
  <c r="A1849" i="1" s="1"/>
  <c r="AC1849" i="1"/>
  <c r="M1850" i="1"/>
  <c r="S1850" i="1"/>
  <c r="AA1850" i="1"/>
  <c r="A1850" i="1" s="1"/>
  <c r="AC1850" i="1"/>
  <c r="M1851" i="1"/>
  <c r="S1851" i="1"/>
  <c r="AA1851" i="1"/>
  <c r="A1851" i="1" s="1"/>
  <c r="AC1851" i="1"/>
  <c r="M1852" i="1"/>
  <c r="S1852" i="1"/>
  <c r="AA1852" i="1"/>
  <c r="A1852" i="1" s="1"/>
  <c r="AC1852" i="1"/>
  <c r="M1853" i="1"/>
  <c r="S1853" i="1"/>
  <c r="AA1853" i="1"/>
  <c r="A1853" i="1" s="1"/>
  <c r="AC1853" i="1"/>
  <c r="M1854" i="1"/>
  <c r="S1854" i="1"/>
  <c r="AA1854" i="1"/>
  <c r="A1854" i="1" s="1"/>
  <c r="AC1854" i="1"/>
  <c r="M1855" i="1"/>
  <c r="S1855" i="1"/>
  <c r="AA1855" i="1"/>
  <c r="A1855" i="1" s="1"/>
  <c r="AC1855" i="1"/>
  <c r="M1856" i="1"/>
  <c r="S1856" i="1"/>
  <c r="AA1856" i="1"/>
  <c r="A1856" i="1" s="1"/>
  <c r="AC1856" i="1"/>
  <c r="M1857" i="1"/>
  <c r="S1857" i="1"/>
  <c r="AA1857" i="1"/>
  <c r="A1857" i="1" s="1"/>
  <c r="AC1857" i="1"/>
  <c r="M1858" i="1"/>
  <c r="S1858" i="1"/>
  <c r="AA1858" i="1"/>
  <c r="A1858" i="1" s="1"/>
  <c r="AC1858" i="1"/>
  <c r="M1859" i="1"/>
  <c r="S1859" i="1"/>
  <c r="AA1859" i="1"/>
  <c r="A1859" i="1" s="1"/>
  <c r="AC1859" i="1"/>
  <c r="M1860" i="1"/>
  <c r="S1860" i="1"/>
  <c r="AA1860" i="1"/>
  <c r="A1860" i="1" s="1"/>
  <c r="AC1860" i="1"/>
  <c r="M1861" i="1"/>
  <c r="S1861" i="1"/>
  <c r="AA1861" i="1"/>
  <c r="A1861" i="1" s="1"/>
  <c r="AC1861" i="1"/>
  <c r="M1862" i="1"/>
  <c r="S1862" i="1"/>
  <c r="AA1862" i="1"/>
  <c r="A1862" i="1" s="1"/>
  <c r="AC1862" i="1"/>
  <c r="M1863" i="1"/>
  <c r="S1863" i="1"/>
  <c r="AA1863" i="1"/>
  <c r="A1863" i="1" s="1"/>
  <c r="AC1863" i="1"/>
  <c r="M1864" i="1"/>
  <c r="S1864" i="1"/>
  <c r="AA1864" i="1"/>
  <c r="A1864" i="1" s="1"/>
  <c r="AC1864" i="1"/>
  <c r="M1865" i="1"/>
  <c r="S1865" i="1"/>
  <c r="AA1865" i="1"/>
  <c r="A1865" i="1" s="1"/>
  <c r="AC1865" i="1"/>
  <c r="M1866" i="1"/>
  <c r="S1866" i="1"/>
  <c r="AA1866" i="1"/>
  <c r="A1866" i="1" s="1"/>
  <c r="AC1866" i="1"/>
  <c r="M1867" i="1"/>
  <c r="S1867" i="1"/>
  <c r="AA1867" i="1"/>
  <c r="A1867" i="1" s="1"/>
  <c r="AC1867" i="1"/>
  <c r="M1868" i="1"/>
  <c r="S1868" i="1"/>
  <c r="AA1868" i="1"/>
  <c r="A1868" i="1" s="1"/>
  <c r="AC1868" i="1"/>
  <c r="M1869" i="1"/>
  <c r="S1869" i="1"/>
  <c r="AA1869" i="1"/>
  <c r="A1869" i="1" s="1"/>
  <c r="AC1869" i="1"/>
  <c r="M1870" i="1"/>
  <c r="S1870" i="1"/>
  <c r="AA1870" i="1"/>
  <c r="A1870" i="1" s="1"/>
  <c r="AC1870" i="1"/>
  <c r="M1871" i="1"/>
  <c r="S1871" i="1"/>
  <c r="AA1871" i="1"/>
  <c r="A1871" i="1" s="1"/>
  <c r="AC1871" i="1"/>
  <c r="M1872" i="1"/>
  <c r="S1872" i="1"/>
  <c r="AA1872" i="1"/>
  <c r="A1872" i="1" s="1"/>
  <c r="AC1872" i="1"/>
  <c r="M1873" i="1"/>
  <c r="S1873" i="1"/>
  <c r="AA1873" i="1"/>
  <c r="A1873" i="1" s="1"/>
  <c r="AC1873" i="1"/>
  <c r="M1874" i="1"/>
  <c r="S1874" i="1"/>
  <c r="AA1874" i="1"/>
  <c r="A1874" i="1" s="1"/>
  <c r="AC1874" i="1"/>
  <c r="M1875" i="1"/>
  <c r="S1875" i="1"/>
  <c r="AA1875" i="1"/>
  <c r="A1875" i="1" s="1"/>
  <c r="AC1875" i="1"/>
  <c r="M1876" i="1"/>
  <c r="S1876" i="1"/>
  <c r="AA1876" i="1"/>
  <c r="A1876" i="1" s="1"/>
  <c r="AC1876" i="1"/>
  <c r="M1877" i="1"/>
  <c r="S1877" i="1"/>
  <c r="AA1877" i="1"/>
  <c r="A1877" i="1" s="1"/>
  <c r="AC1877" i="1"/>
  <c r="M1878" i="1"/>
  <c r="S1878" i="1"/>
  <c r="AA1878" i="1"/>
  <c r="A1878" i="1" s="1"/>
  <c r="AC1878" i="1"/>
  <c r="M1879" i="1"/>
  <c r="S1879" i="1"/>
  <c r="AA1879" i="1"/>
  <c r="A1879" i="1" s="1"/>
  <c r="AC1879" i="1"/>
  <c r="M1880" i="1"/>
  <c r="S1880" i="1"/>
  <c r="AA1880" i="1"/>
  <c r="A1880" i="1" s="1"/>
  <c r="AC1880" i="1"/>
  <c r="M1881" i="1"/>
  <c r="S1881" i="1"/>
  <c r="AA1881" i="1"/>
  <c r="A1881" i="1" s="1"/>
  <c r="AC1881" i="1"/>
  <c r="M1882" i="1"/>
  <c r="S1882" i="1"/>
  <c r="AA1882" i="1"/>
  <c r="A1882" i="1" s="1"/>
  <c r="AC1882" i="1"/>
  <c r="M1883" i="1"/>
  <c r="S1883" i="1"/>
  <c r="AA1883" i="1"/>
  <c r="A1883" i="1" s="1"/>
  <c r="AC1883" i="1"/>
  <c r="M1884" i="1"/>
  <c r="S1884" i="1"/>
  <c r="AA1884" i="1"/>
  <c r="A1884" i="1" s="1"/>
  <c r="AC1884" i="1"/>
  <c r="M1885" i="1"/>
  <c r="S1885" i="1"/>
  <c r="AA1885" i="1"/>
  <c r="A1885" i="1" s="1"/>
  <c r="AC1885" i="1"/>
  <c r="M1886" i="1"/>
  <c r="S1886" i="1"/>
  <c r="AA1886" i="1"/>
  <c r="A1886" i="1" s="1"/>
  <c r="AC1886" i="1"/>
  <c r="M1887" i="1"/>
  <c r="S1887" i="1"/>
  <c r="AA1887" i="1"/>
  <c r="A1887" i="1" s="1"/>
  <c r="AC1887" i="1"/>
  <c r="M1888" i="1"/>
  <c r="S1888" i="1"/>
  <c r="AA1888" i="1"/>
  <c r="A1888" i="1" s="1"/>
  <c r="AC1888" i="1"/>
  <c r="M1889" i="1"/>
  <c r="S1889" i="1"/>
  <c r="AA1889" i="1"/>
  <c r="A1889" i="1" s="1"/>
  <c r="AC1889" i="1"/>
  <c r="M1890" i="1"/>
  <c r="S1890" i="1"/>
  <c r="AA1890" i="1"/>
  <c r="A1890" i="1" s="1"/>
  <c r="AC1890" i="1"/>
  <c r="M1891" i="1"/>
  <c r="S1891" i="1"/>
  <c r="AA1891" i="1"/>
  <c r="A1891" i="1" s="1"/>
  <c r="AC1891" i="1"/>
  <c r="M1892" i="1"/>
  <c r="S1892" i="1"/>
  <c r="AA1892" i="1"/>
  <c r="A1892" i="1" s="1"/>
  <c r="AC1892" i="1"/>
  <c r="M1893" i="1"/>
  <c r="S1893" i="1"/>
  <c r="AA1893" i="1"/>
  <c r="A1893" i="1" s="1"/>
  <c r="AC1893" i="1"/>
  <c r="M1894" i="1"/>
  <c r="S1894" i="1"/>
  <c r="AA1894" i="1"/>
  <c r="A1894" i="1" s="1"/>
  <c r="AC1894" i="1"/>
  <c r="M1895" i="1"/>
  <c r="S1895" i="1"/>
  <c r="AA1895" i="1"/>
  <c r="A1895" i="1" s="1"/>
  <c r="AC1895" i="1"/>
  <c r="M1896" i="1"/>
  <c r="S1896" i="1"/>
  <c r="AA1896" i="1"/>
  <c r="A1896" i="1" s="1"/>
  <c r="AC1896" i="1"/>
  <c r="M1897" i="1"/>
  <c r="S1897" i="1"/>
  <c r="AA1897" i="1"/>
  <c r="A1897" i="1" s="1"/>
  <c r="AC1897" i="1"/>
  <c r="M1898" i="1"/>
  <c r="S1898" i="1"/>
  <c r="AA1898" i="1"/>
  <c r="A1898" i="1" s="1"/>
  <c r="AC1898" i="1"/>
  <c r="M1899" i="1"/>
  <c r="S1899" i="1"/>
  <c r="AA1899" i="1"/>
  <c r="A1899" i="1" s="1"/>
  <c r="AC1899" i="1"/>
  <c r="M1900" i="1"/>
  <c r="S1900" i="1"/>
  <c r="AA1900" i="1"/>
  <c r="A1900" i="1" s="1"/>
  <c r="AC1900" i="1"/>
  <c r="M1901" i="1"/>
  <c r="S1901" i="1"/>
  <c r="AA1901" i="1"/>
  <c r="A1901" i="1" s="1"/>
  <c r="AC1901" i="1"/>
  <c r="M1902" i="1"/>
  <c r="S1902" i="1"/>
  <c r="AA1902" i="1"/>
  <c r="A1902" i="1" s="1"/>
  <c r="AC1902" i="1"/>
  <c r="M1903" i="1"/>
  <c r="S1903" i="1"/>
  <c r="AA1903" i="1"/>
  <c r="A1903" i="1" s="1"/>
  <c r="AC1903" i="1"/>
  <c r="M1904" i="1"/>
  <c r="S1904" i="1"/>
  <c r="AA1904" i="1"/>
  <c r="A1904" i="1" s="1"/>
  <c r="AC1904" i="1"/>
  <c r="M1905" i="1"/>
  <c r="S1905" i="1"/>
  <c r="AA1905" i="1"/>
  <c r="A1905" i="1" s="1"/>
  <c r="AC1905" i="1"/>
  <c r="M1906" i="1"/>
  <c r="S1906" i="1"/>
  <c r="AA1906" i="1"/>
  <c r="A1906" i="1" s="1"/>
  <c r="AC1906" i="1"/>
  <c r="M1907" i="1"/>
  <c r="S1907" i="1"/>
  <c r="AA1907" i="1"/>
  <c r="A1907" i="1" s="1"/>
  <c r="AC1907" i="1"/>
  <c r="M1908" i="1"/>
  <c r="S1908" i="1"/>
  <c r="AA1908" i="1"/>
  <c r="A1908" i="1" s="1"/>
  <c r="AC1908" i="1"/>
  <c r="M1909" i="1"/>
  <c r="S1909" i="1"/>
  <c r="AA1909" i="1"/>
  <c r="A1909" i="1" s="1"/>
  <c r="AC1909" i="1"/>
  <c r="M1910" i="1"/>
  <c r="S1910" i="1"/>
  <c r="AA1910" i="1"/>
  <c r="A1910" i="1" s="1"/>
  <c r="AC1910" i="1"/>
  <c r="M1911" i="1"/>
  <c r="S1911" i="1"/>
  <c r="AA1911" i="1"/>
  <c r="A1911" i="1" s="1"/>
  <c r="AC1911" i="1"/>
  <c r="M1912" i="1"/>
  <c r="S1912" i="1"/>
  <c r="AA1912" i="1"/>
  <c r="A1912" i="1" s="1"/>
  <c r="AC1912" i="1"/>
  <c r="M1913" i="1"/>
  <c r="S1913" i="1"/>
  <c r="AA1913" i="1"/>
  <c r="A1913" i="1" s="1"/>
  <c r="AC1913" i="1"/>
  <c r="M1914" i="1"/>
  <c r="S1914" i="1"/>
  <c r="AA1914" i="1"/>
  <c r="A1914" i="1" s="1"/>
  <c r="AC1914" i="1"/>
  <c r="M1915" i="1"/>
  <c r="S1915" i="1"/>
  <c r="AA1915" i="1"/>
  <c r="A1915" i="1" s="1"/>
  <c r="AC1915" i="1"/>
  <c r="M1916" i="1"/>
  <c r="S1916" i="1"/>
  <c r="AA1916" i="1"/>
  <c r="A1916" i="1" s="1"/>
  <c r="AC1916" i="1"/>
  <c r="M1917" i="1"/>
  <c r="S1917" i="1"/>
  <c r="AA1917" i="1"/>
  <c r="A1917" i="1" s="1"/>
  <c r="AC1917" i="1"/>
  <c r="M1918" i="1"/>
  <c r="S1918" i="1"/>
  <c r="AA1918" i="1"/>
  <c r="A1918" i="1" s="1"/>
  <c r="AC1918" i="1"/>
  <c r="M1919" i="1"/>
  <c r="S1919" i="1"/>
  <c r="AA1919" i="1"/>
  <c r="A1919" i="1" s="1"/>
  <c r="AC1919" i="1"/>
  <c r="M1920" i="1"/>
  <c r="S1920" i="1"/>
  <c r="AA1920" i="1"/>
  <c r="A1920" i="1" s="1"/>
  <c r="AC1920" i="1"/>
  <c r="M1921" i="1"/>
  <c r="S1921" i="1"/>
  <c r="AA1921" i="1"/>
  <c r="A1921" i="1" s="1"/>
  <c r="AC1921" i="1"/>
  <c r="M1922" i="1"/>
  <c r="S1922" i="1"/>
  <c r="AA1922" i="1"/>
  <c r="A1922" i="1" s="1"/>
  <c r="AC1922" i="1"/>
  <c r="M1923" i="1"/>
  <c r="S1923" i="1"/>
  <c r="AA1923" i="1"/>
  <c r="A1923" i="1" s="1"/>
  <c r="AC1923" i="1"/>
  <c r="M1924" i="1"/>
  <c r="S1924" i="1"/>
  <c r="AA1924" i="1"/>
  <c r="A1924" i="1" s="1"/>
  <c r="AC1924" i="1"/>
  <c r="M1925" i="1"/>
  <c r="S1925" i="1"/>
  <c r="AA1925" i="1"/>
  <c r="A1925" i="1" s="1"/>
  <c r="AC1925" i="1"/>
  <c r="M1926" i="1"/>
  <c r="S1926" i="1"/>
  <c r="AA1926" i="1"/>
  <c r="A1926" i="1" s="1"/>
  <c r="AC1926" i="1"/>
  <c r="M1927" i="1"/>
  <c r="S1927" i="1"/>
  <c r="AA1927" i="1"/>
  <c r="A1927" i="1" s="1"/>
  <c r="AC1927" i="1"/>
  <c r="M1928" i="1"/>
  <c r="S1928" i="1"/>
  <c r="AA1928" i="1"/>
  <c r="A1928" i="1" s="1"/>
  <c r="AC1928" i="1"/>
  <c r="M1929" i="1"/>
  <c r="S1929" i="1"/>
  <c r="AA1929" i="1"/>
  <c r="A1929" i="1" s="1"/>
  <c r="AC1929" i="1"/>
  <c r="M1930" i="1"/>
  <c r="S1930" i="1"/>
  <c r="AA1930" i="1"/>
  <c r="A1930" i="1" s="1"/>
  <c r="AC1930" i="1"/>
  <c r="M1931" i="1"/>
  <c r="S1931" i="1"/>
  <c r="AA1931" i="1"/>
  <c r="A1931" i="1" s="1"/>
  <c r="AC1931" i="1"/>
  <c r="M1932" i="1"/>
  <c r="S1932" i="1"/>
  <c r="AA1932" i="1"/>
  <c r="A1932" i="1" s="1"/>
  <c r="AC1932" i="1"/>
  <c r="M1933" i="1"/>
  <c r="S1933" i="1"/>
  <c r="AA1933" i="1"/>
  <c r="A1933" i="1" s="1"/>
  <c r="AC1933" i="1"/>
  <c r="M1934" i="1"/>
  <c r="S1934" i="1"/>
  <c r="AA1934" i="1"/>
  <c r="A1934" i="1" s="1"/>
  <c r="AC1934" i="1"/>
  <c r="M1935" i="1"/>
  <c r="S1935" i="1"/>
  <c r="AA1935" i="1"/>
  <c r="A1935" i="1" s="1"/>
  <c r="AC1935" i="1"/>
  <c r="M1936" i="1"/>
  <c r="S1936" i="1"/>
  <c r="AA1936" i="1"/>
  <c r="A1936" i="1" s="1"/>
  <c r="AC1936" i="1"/>
  <c r="M1937" i="1"/>
  <c r="S1937" i="1"/>
  <c r="AA1937" i="1"/>
  <c r="A1937" i="1" s="1"/>
  <c r="AC1937" i="1"/>
  <c r="M1938" i="1"/>
  <c r="S1938" i="1"/>
  <c r="AA1938" i="1"/>
  <c r="A1938" i="1" s="1"/>
  <c r="AC1938" i="1"/>
  <c r="M1939" i="1"/>
  <c r="S1939" i="1"/>
  <c r="AA1939" i="1"/>
  <c r="A1939" i="1" s="1"/>
  <c r="AC1939" i="1"/>
  <c r="M1940" i="1"/>
  <c r="S1940" i="1"/>
  <c r="AA1940" i="1"/>
  <c r="A1940" i="1" s="1"/>
  <c r="AC1940" i="1"/>
  <c r="M1941" i="1"/>
  <c r="S1941" i="1"/>
  <c r="AA1941" i="1"/>
  <c r="A1941" i="1" s="1"/>
  <c r="AC1941" i="1"/>
  <c r="M1942" i="1"/>
  <c r="S1942" i="1"/>
  <c r="AA1942" i="1"/>
  <c r="A1942" i="1" s="1"/>
  <c r="AC1942" i="1"/>
  <c r="M1943" i="1"/>
  <c r="S1943" i="1"/>
  <c r="AA1943" i="1"/>
  <c r="A1943" i="1" s="1"/>
  <c r="AC1943" i="1"/>
  <c r="M1944" i="1"/>
  <c r="S1944" i="1"/>
  <c r="AA1944" i="1"/>
  <c r="A1944" i="1" s="1"/>
  <c r="AC1944" i="1"/>
  <c r="M1945" i="1"/>
  <c r="S1945" i="1"/>
  <c r="AA1945" i="1"/>
  <c r="A1945" i="1" s="1"/>
  <c r="AC1945" i="1"/>
  <c r="M1946" i="1"/>
  <c r="S1946" i="1"/>
  <c r="AA1946" i="1"/>
  <c r="A1946" i="1" s="1"/>
  <c r="AC1946" i="1"/>
  <c r="M1947" i="1"/>
  <c r="S1947" i="1"/>
  <c r="AA1947" i="1"/>
  <c r="A1947" i="1" s="1"/>
  <c r="AC1947" i="1"/>
  <c r="M1948" i="1"/>
  <c r="S1948" i="1"/>
  <c r="AA1948" i="1"/>
  <c r="A1948" i="1" s="1"/>
  <c r="AC1948" i="1"/>
  <c r="M1949" i="1"/>
  <c r="S1949" i="1"/>
  <c r="AA1949" i="1"/>
  <c r="A1949" i="1" s="1"/>
  <c r="AC1949" i="1"/>
  <c r="M1950" i="1"/>
  <c r="S1950" i="1"/>
  <c r="AA1950" i="1"/>
  <c r="A1950" i="1" s="1"/>
  <c r="AC1950" i="1"/>
  <c r="M1951" i="1"/>
  <c r="S1951" i="1"/>
  <c r="AA1951" i="1"/>
  <c r="A1951" i="1" s="1"/>
  <c r="AC1951" i="1"/>
  <c r="M1952" i="1"/>
  <c r="S1952" i="1"/>
  <c r="AA1952" i="1"/>
  <c r="A1952" i="1" s="1"/>
  <c r="AC1952" i="1"/>
  <c r="M1953" i="1"/>
  <c r="S1953" i="1"/>
  <c r="AA1953" i="1"/>
  <c r="A1953" i="1" s="1"/>
  <c r="AC1953" i="1"/>
  <c r="M1954" i="1"/>
  <c r="S1954" i="1"/>
  <c r="AA1954" i="1"/>
  <c r="A1954" i="1" s="1"/>
  <c r="AC1954" i="1"/>
  <c r="M1955" i="1"/>
  <c r="S1955" i="1"/>
  <c r="AA1955" i="1"/>
  <c r="A1955" i="1" s="1"/>
  <c r="AC1955" i="1"/>
  <c r="M1956" i="1"/>
  <c r="S1956" i="1"/>
  <c r="AA1956" i="1"/>
  <c r="A1956" i="1" s="1"/>
  <c r="AC1956" i="1"/>
  <c r="M1957" i="1"/>
  <c r="S1957" i="1"/>
  <c r="AA1957" i="1"/>
  <c r="A1957" i="1" s="1"/>
  <c r="AC1957" i="1"/>
  <c r="M1958" i="1"/>
  <c r="S1958" i="1"/>
  <c r="AA1958" i="1"/>
  <c r="A1958" i="1" s="1"/>
  <c r="AC1958" i="1"/>
  <c r="M1959" i="1"/>
  <c r="S1959" i="1"/>
  <c r="AA1959" i="1"/>
  <c r="A1959" i="1" s="1"/>
  <c r="AC1959" i="1"/>
  <c r="M1960" i="1"/>
  <c r="S1960" i="1"/>
  <c r="AA1960" i="1"/>
  <c r="A1960" i="1" s="1"/>
  <c r="AC1960" i="1"/>
  <c r="M1961" i="1"/>
  <c r="S1961" i="1"/>
  <c r="AA1961" i="1"/>
  <c r="A1961" i="1" s="1"/>
  <c r="AC1961" i="1"/>
  <c r="M1962" i="1"/>
  <c r="S1962" i="1"/>
  <c r="AA1962" i="1"/>
  <c r="A1962" i="1" s="1"/>
  <c r="AC1962" i="1"/>
  <c r="M1963" i="1"/>
  <c r="S1963" i="1"/>
  <c r="AA1963" i="1"/>
  <c r="A1963" i="1" s="1"/>
  <c r="AC1963" i="1"/>
  <c r="M1964" i="1"/>
  <c r="S1964" i="1"/>
  <c r="AA1964" i="1"/>
  <c r="A1964" i="1" s="1"/>
  <c r="AC1964" i="1"/>
  <c r="M1965" i="1"/>
  <c r="S1965" i="1"/>
  <c r="AA1965" i="1"/>
  <c r="A1965" i="1" s="1"/>
  <c r="AC1965" i="1"/>
  <c r="M1966" i="1"/>
  <c r="S1966" i="1"/>
  <c r="AA1966" i="1"/>
  <c r="A1966" i="1" s="1"/>
  <c r="AC1966" i="1"/>
  <c r="M1967" i="1"/>
  <c r="S1967" i="1"/>
  <c r="AA1967" i="1"/>
  <c r="A1967" i="1" s="1"/>
  <c r="AC1967" i="1"/>
  <c r="M1968" i="1"/>
  <c r="S1968" i="1"/>
  <c r="AA1968" i="1"/>
  <c r="A1968" i="1" s="1"/>
  <c r="AC1968" i="1"/>
  <c r="M1969" i="1"/>
  <c r="S1969" i="1"/>
  <c r="AA1969" i="1"/>
  <c r="A1969" i="1" s="1"/>
  <c r="AC1969" i="1"/>
  <c r="M1970" i="1"/>
  <c r="S1970" i="1"/>
  <c r="AA1970" i="1"/>
  <c r="A1970" i="1" s="1"/>
  <c r="AC1970" i="1"/>
  <c r="M1971" i="1"/>
  <c r="S1971" i="1"/>
  <c r="AA1971" i="1"/>
  <c r="A1971" i="1" s="1"/>
  <c r="AC1971" i="1"/>
  <c r="M1972" i="1"/>
  <c r="S1972" i="1"/>
  <c r="AA1972" i="1"/>
  <c r="A1972" i="1" s="1"/>
  <c r="AC1972" i="1"/>
  <c r="M1973" i="1"/>
  <c r="S1973" i="1"/>
  <c r="AA1973" i="1"/>
  <c r="A1973" i="1" s="1"/>
  <c r="AC1973" i="1"/>
  <c r="M1974" i="1"/>
  <c r="S1974" i="1"/>
  <c r="AA1974" i="1"/>
  <c r="A1974" i="1" s="1"/>
  <c r="AC1974" i="1"/>
  <c r="M1975" i="1"/>
  <c r="S1975" i="1"/>
  <c r="AA1975" i="1"/>
  <c r="A1975" i="1" s="1"/>
  <c r="AC1975" i="1"/>
  <c r="M1976" i="1"/>
  <c r="S1976" i="1"/>
  <c r="AA1976" i="1"/>
  <c r="A1976" i="1" s="1"/>
  <c r="AC1976" i="1"/>
  <c r="M1977" i="1"/>
  <c r="S1977" i="1"/>
  <c r="AA1977" i="1"/>
  <c r="A1977" i="1" s="1"/>
  <c r="AC1977" i="1"/>
  <c r="M1978" i="1"/>
  <c r="S1978" i="1"/>
  <c r="AA1978" i="1"/>
  <c r="A1978" i="1" s="1"/>
  <c r="AC1978" i="1"/>
  <c r="M1979" i="1"/>
  <c r="S1979" i="1"/>
  <c r="AA1979" i="1"/>
  <c r="A1979" i="1" s="1"/>
  <c r="AC1979" i="1"/>
  <c r="M1980" i="1"/>
  <c r="S1980" i="1"/>
  <c r="AA1980" i="1"/>
  <c r="A1980" i="1" s="1"/>
  <c r="AC1980" i="1"/>
  <c r="M1981" i="1"/>
  <c r="S1981" i="1"/>
  <c r="AA1981" i="1"/>
  <c r="A1981" i="1" s="1"/>
  <c r="AC1981" i="1"/>
  <c r="M1982" i="1"/>
  <c r="S1982" i="1"/>
  <c r="AA1982" i="1"/>
  <c r="A1982" i="1" s="1"/>
  <c r="AC1982" i="1"/>
  <c r="M1983" i="1"/>
  <c r="S1983" i="1"/>
  <c r="AA1983" i="1"/>
  <c r="A1983" i="1" s="1"/>
  <c r="AC1983" i="1"/>
  <c r="M1984" i="1"/>
  <c r="S1984" i="1"/>
  <c r="AA1984" i="1"/>
  <c r="A1984" i="1" s="1"/>
  <c r="AC1984" i="1"/>
  <c r="M1985" i="1"/>
  <c r="S1985" i="1"/>
  <c r="AA1985" i="1"/>
  <c r="A1985" i="1" s="1"/>
  <c r="AC1985" i="1"/>
  <c r="M1986" i="1"/>
  <c r="S1986" i="1"/>
  <c r="AA1986" i="1"/>
  <c r="A1986" i="1" s="1"/>
  <c r="AC1986" i="1"/>
  <c r="M1987" i="1"/>
  <c r="S1987" i="1"/>
  <c r="AA1987" i="1"/>
  <c r="A1987" i="1" s="1"/>
  <c r="AC1987" i="1"/>
  <c r="M1988" i="1"/>
  <c r="S1988" i="1"/>
  <c r="AA1988" i="1"/>
  <c r="A1988" i="1" s="1"/>
  <c r="AC1988" i="1"/>
  <c r="M1989" i="1"/>
  <c r="S1989" i="1"/>
  <c r="AA1989" i="1"/>
  <c r="A1989" i="1" s="1"/>
  <c r="AC1989" i="1"/>
  <c r="M1990" i="1"/>
  <c r="S1990" i="1"/>
  <c r="AA1990" i="1"/>
  <c r="A1990" i="1" s="1"/>
  <c r="AC1990" i="1"/>
  <c r="M1991" i="1"/>
  <c r="S1991" i="1"/>
  <c r="AA1991" i="1"/>
  <c r="A1991" i="1" s="1"/>
  <c r="AC1991" i="1"/>
  <c r="M1992" i="1"/>
  <c r="S1992" i="1"/>
  <c r="AA1992" i="1"/>
  <c r="A1992" i="1" s="1"/>
  <c r="AC1992" i="1"/>
  <c r="M1993" i="1"/>
  <c r="S1993" i="1"/>
  <c r="AA1993" i="1"/>
  <c r="A1993" i="1" s="1"/>
  <c r="AC1993" i="1"/>
  <c r="M1994" i="1"/>
  <c r="S1994" i="1"/>
  <c r="AA1994" i="1"/>
  <c r="A1994" i="1" s="1"/>
  <c r="AC1994" i="1"/>
  <c r="M1995" i="1"/>
  <c r="S1995" i="1"/>
  <c r="AA1995" i="1"/>
  <c r="A1995" i="1" s="1"/>
  <c r="AC1995" i="1"/>
  <c r="M1996" i="1"/>
  <c r="S1996" i="1"/>
  <c r="AA1996" i="1"/>
  <c r="A1996" i="1" s="1"/>
  <c r="AC1996" i="1"/>
  <c r="M1997" i="1"/>
  <c r="S1997" i="1"/>
  <c r="AA1997" i="1"/>
  <c r="A1997" i="1" s="1"/>
  <c r="AC1997" i="1"/>
  <c r="M1998" i="1"/>
  <c r="S1998" i="1"/>
  <c r="AA1998" i="1"/>
  <c r="A1998" i="1" s="1"/>
  <c r="AC1998" i="1"/>
  <c r="M1999" i="1"/>
  <c r="S1999" i="1"/>
  <c r="AA1999" i="1"/>
  <c r="A1999" i="1" s="1"/>
  <c r="AC1999" i="1"/>
  <c r="M2000" i="1"/>
  <c r="S2000" i="1"/>
  <c r="AA2000" i="1"/>
  <c r="A2000" i="1" s="1"/>
  <c r="AC2000" i="1"/>
  <c r="M2001" i="1"/>
  <c r="S2001" i="1"/>
  <c r="AA2001" i="1"/>
  <c r="A2001" i="1" s="1"/>
  <c r="AC2001" i="1"/>
  <c r="M2002" i="1"/>
  <c r="S2002" i="1"/>
  <c r="AA2002" i="1"/>
  <c r="A2002" i="1" s="1"/>
  <c r="AC2002" i="1"/>
  <c r="M2003" i="1"/>
  <c r="S2003" i="1"/>
  <c r="AA2003" i="1"/>
  <c r="A2003" i="1" s="1"/>
  <c r="AC2003" i="1"/>
  <c r="M2004" i="1"/>
  <c r="S2004" i="1"/>
  <c r="AA2004" i="1"/>
  <c r="A2004" i="1" s="1"/>
  <c r="AC2004" i="1"/>
  <c r="M2005" i="1"/>
  <c r="S2005" i="1"/>
  <c r="AA2005" i="1"/>
  <c r="A2005" i="1" s="1"/>
  <c r="AC2005" i="1"/>
  <c r="M2006" i="1"/>
  <c r="S2006" i="1"/>
  <c r="AA2006" i="1"/>
  <c r="A2006" i="1" s="1"/>
  <c r="AC2006" i="1"/>
  <c r="M2007" i="1"/>
  <c r="S2007" i="1"/>
  <c r="AA2007" i="1"/>
  <c r="A2007" i="1" s="1"/>
  <c r="AC2007" i="1"/>
  <c r="M2008" i="1"/>
  <c r="S2008" i="1"/>
  <c r="AA2008" i="1"/>
  <c r="A2008" i="1" s="1"/>
  <c r="AC2008" i="1"/>
  <c r="M2009" i="1"/>
  <c r="S2009" i="1"/>
  <c r="AA2009" i="1"/>
  <c r="A2009" i="1" s="1"/>
  <c r="AC2009" i="1"/>
  <c r="M2010" i="1"/>
  <c r="S2010" i="1"/>
  <c r="AA2010" i="1"/>
  <c r="A2010" i="1" s="1"/>
  <c r="AC2010" i="1"/>
  <c r="M2011" i="1"/>
  <c r="S2011" i="1"/>
  <c r="AA2011" i="1"/>
  <c r="A2011" i="1" s="1"/>
  <c r="AC2011" i="1"/>
  <c r="M2012" i="1"/>
  <c r="S2012" i="1"/>
  <c r="AA2012" i="1"/>
  <c r="A2012" i="1" s="1"/>
  <c r="AC2012" i="1"/>
  <c r="M2013" i="1"/>
  <c r="S2013" i="1"/>
  <c r="AA2013" i="1"/>
  <c r="A2013" i="1" s="1"/>
  <c r="AC2013" i="1"/>
  <c r="M2014" i="1"/>
  <c r="S2014" i="1"/>
  <c r="AA2014" i="1"/>
  <c r="A2014" i="1" s="1"/>
  <c r="AC2014" i="1"/>
  <c r="M2015" i="1"/>
  <c r="S2015" i="1"/>
  <c r="AA2015" i="1"/>
  <c r="A2015" i="1" s="1"/>
  <c r="AC2015" i="1"/>
  <c r="M2016" i="1"/>
  <c r="S2016" i="1"/>
  <c r="AA2016" i="1"/>
  <c r="A2016" i="1" s="1"/>
  <c r="AC2016" i="1"/>
  <c r="M2017" i="1"/>
  <c r="S2017" i="1"/>
  <c r="AA2017" i="1"/>
  <c r="A2017" i="1" s="1"/>
  <c r="AC2017" i="1"/>
  <c r="M2018" i="1"/>
  <c r="S2018" i="1"/>
  <c r="AA2018" i="1"/>
  <c r="A2018" i="1" s="1"/>
  <c r="AC2018" i="1"/>
  <c r="M2019" i="1"/>
  <c r="S2019" i="1"/>
  <c r="AA2019" i="1"/>
  <c r="A2019" i="1" s="1"/>
  <c r="AC2019" i="1"/>
  <c r="M2020" i="1"/>
  <c r="S2020" i="1"/>
  <c r="AA2020" i="1"/>
  <c r="A2020" i="1" s="1"/>
  <c r="AC2020" i="1"/>
  <c r="M2021" i="1"/>
  <c r="S2021" i="1"/>
  <c r="AA2021" i="1"/>
  <c r="A2021" i="1" s="1"/>
  <c r="AC2021" i="1"/>
  <c r="M2022" i="1"/>
  <c r="S2022" i="1"/>
  <c r="AA2022" i="1"/>
  <c r="A2022" i="1" s="1"/>
  <c r="AC2022" i="1"/>
  <c r="M2023" i="1"/>
  <c r="S2023" i="1"/>
  <c r="AA2023" i="1"/>
  <c r="A2023" i="1" s="1"/>
  <c r="AC2023" i="1"/>
  <c r="M2024" i="1"/>
  <c r="S2024" i="1"/>
  <c r="AA2024" i="1"/>
  <c r="A2024" i="1" s="1"/>
  <c r="AC2024" i="1"/>
  <c r="M2025" i="1"/>
  <c r="S2025" i="1"/>
  <c r="AA2025" i="1"/>
  <c r="A2025" i="1" s="1"/>
  <c r="AC2025" i="1"/>
  <c r="M2026" i="1"/>
  <c r="S2026" i="1"/>
  <c r="AA2026" i="1"/>
  <c r="A2026" i="1" s="1"/>
  <c r="AC2026" i="1"/>
  <c r="M2027" i="1"/>
  <c r="S2027" i="1"/>
  <c r="AA2027" i="1"/>
  <c r="A2027" i="1" s="1"/>
  <c r="AC2027" i="1"/>
  <c r="M2028" i="1"/>
  <c r="S2028" i="1"/>
  <c r="AA2028" i="1"/>
  <c r="A2028" i="1" s="1"/>
  <c r="AC2028" i="1"/>
  <c r="M2029" i="1"/>
  <c r="S2029" i="1"/>
  <c r="AA2029" i="1"/>
  <c r="A2029" i="1" s="1"/>
  <c r="AC2029" i="1"/>
  <c r="M2030" i="1"/>
  <c r="S2030" i="1"/>
  <c r="AA2030" i="1"/>
  <c r="A2030" i="1" s="1"/>
  <c r="AC2030" i="1"/>
  <c r="M2031" i="1"/>
  <c r="S2031" i="1"/>
  <c r="AA2031" i="1"/>
  <c r="A2031" i="1" s="1"/>
  <c r="AC2031" i="1"/>
  <c r="M2032" i="1"/>
  <c r="S2032" i="1"/>
  <c r="AA2032" i="1"/>
  <c r="A2032" i="1" s="1"/>
  <c r="AC2032" i="1"/>
  <c r="M2033" i="1"/>
  <c r="S2033" i="1"/>
  <c r="AA2033" i="1"/>
  <c r="A2033" i="1" s="1"/>
  <c r="AC2033" i="1"/>
  <c r="M2034" i="1"/>
  <c r="S2034" i="1"/>
  <c r="AA2034" i="1"/>
  <c r="A2034" i="1" s="1"/>
  <c r="AC2034" i="1"/>
  <c r="M2035" i="1"/>
  <c r="S2035" i="1"/>
  <c r="AA2035" i="1"/>
  <c r="A2035" i="1" s="1"/>
  <c r="AC2035" i="1"/>
  <c r="M2036" i="1"/>
  <c r="S2036" i="1"/>
  <c r="AA2036" i="1"/>
  <c r="A2036" i="1" s="1"/>
  <c r="AC2036" i="1"/>
  <c r="M2037" i="1"/>
  <c r="S2037" i="1"/>
  <c r="AA2037" i="1"/>
  <c r="A2037" i="1" s="1"/>
  <c r="AC2037" i="1"/>
  <c r="M2038" i="1"/>
  <c r="S2038" i="1"/>
  <c r="AA2038" i="1"/>
  <c r="A2038" i="1" s="1"/>
  <c r="AC2038" i="1"/>
  <c r="M2039" i="1"/>
  <c r="S2039" i="1"/>
  <c r="AA2039" i="1"/>
  <c r="A2039" i="1" s="1"/>
  <c r="AC2039" i="1"/>
  <c r="M2040" i="1"/>
  <c r="S2040" i="1"/>
  <c r="AA2040" i="1"/>
  <c r="A2040" i="1" s="1"/>
  <c r="AC2040" i="1"/>
  <c r="M2041" i="1"/>
  <c r="S2041" i="1"/>
  <c r="AA2041" i="1"/>
  <c r="A2041" i="1" s="1"/>
  <c r="AC2041" i="1"/>
  <c r="M2042" i="1"/>
  <c r="S2042" i="1"/>
  <c r="AA2042" i="1"/>
  <c r="A2042" i="1" s="1"/>
  <c r="AC2042" i="1"/>
  <c r="M2043" i="1"/>
  <c r="S2043" i="1"/>
  <c r="AA2043" i="1"/>
  <c r="A2043" i="1" s="1"/>
  <c r="AC2043" i="1"/>
  <c r="M2044" i="1"/>
  <c r="S2044" i="1"/>
  <c r="AA2044" i="1"/>
  <c r="A2044" i="1" s="1"/>
  <c r="AC2044" i="1"/>
  <c r="M2045" i="1"/>
  <c r="S2045" i="1"/>
  <c r="AA2045" i="1"/>
  <c r="A2045" i="1" s="1"/>
  <c r="AC2045" i="1"/>
  <c r="M2046" i="1"/>
  <c r="S2046" i="1"/>
  <c r="AA2046" i="1"/>
  <c r="A2046" i="1" s="1"/>
  <c r="AC2046" i="1"/>
  <c r="M2047" i="1"/>
  <c r="S2047" i="1"/>
  <c r="AA2047" i="1"/>
  <c r="A2047" i="1" s="1"/>
  <c r="AC2047" i="1"/>
  <c r="M2048" i="1"/>
  <c r="S2048" i="1"/>
  <c r="AA2048" i="1"/>
  <c r="A2048" i="1" s="1"/>
  <c r="AC2048" i="1"/>
  <c r="M2049" i="1"/>
  <c r="S2049" i="1"/>
  <c r="AA2049" i="1"/>
  <c r="A2049" i="1" s="1"/>
  <c r="AC2049" i="1"/>
  <c r="M2050" i="1"/>
  <c r="S2050" i="1"/>
  <c r="AA2050" i="1"/>
  <c r="A2050" i="1" s="1"/>
  <c r="AC2050" i="1"/>
  <c r="M2051" i="1"/>
  <c r="S2051" i="1"/>
  <c r="AA2051" i="1"/>
  <c r="A2051" i="1" s="1"/>
  <c r="AC2051" i="1"/>
  <c r="M2052" i="1"/>
  <c r="S2052" i="1"/>
  <c r="AA2052" i="1"/>
  <c r="A2052" i="1" s="1"/>
  <c r="AC2052" i="1"/>
  <c r="M2053" i="1"/>
  <c r="S2053" i="1"/>
  <c r="AA2053" i="1"/>
  <c r="A2053" i="1" s="1"/>
  <c r="AC2053" i="1"/>
  <c r="M2054" i="1"/>
  <c r="S2054" i="1"/>
  <c r="AA2054" i="1"/>
  <c r="A2054" i="1" s="1"/>
  <c r="AC2054" i="1"/>
  <c r="M2055" i="1"/>
  <c r="S2055" i="1"/>
  <c r="AA2055" i="1"/>
  <c r="A2055" i="1" s="1"/>
  <c r="AC2055" i="1"/>
  <c r="M2056" i="1"/>
  <c r="S2056" i="1"/>
  <c r="AA2056" i="1"/>
  <c r="A2056" i="1" s="1"/>
  <c r="AC2056" i="1"/>
  <c r="M2057" i="1"/>
  <c r="S2057" i="1"/>
  <c r="AA2057" i="1"/>
  <c r="A2057" i="1" s="1"/>
  <c r="AC2057" i="1"/>
  <c r="M2058" i="1"/>
  <c r="S2058" i="1"/>
  <c r="AA2058" i="1"/>
  <c r="A2058" i="1" s="1"/>
  <c r="AC2058" i="1"/>
  <c r="M2059" i="1"/>
  <c r="S2059" i="1"/>
  <c r="AA2059" i="1"/>
  <c r="A2059" i="1" s="1"/>
  <c r="AC2059" i="1"/>
  <c r="M2060" i="1"/>
  <c r="S2060" i="1"/>
  <c r="AA2060" i="1"/>
  <c r="A2060" i="1" s="1"/>
  <c r="AC2060" i="1"/>
  <c r="M2061" i="1"/>
  <c r="S2061" i="1"/>
  <c r="AA2061" i="1"/>
  <c r="A2061" i="1" s="1"/>
  <c r="AC2061" i="1"/>
  <c r="M2062" i="1"/>
  <c r="S2062" i="1"/>
  <c r="AA2062" i="1"/>
  <c r="A2062" i="1" s="1"/>
  <c r="AC2062" i="1"/>
  <c r="M2063" i="1"/>
  <c r="S2063" i="1"/>
  <c r="AA2063" i="1"/>
  <c r="A2063" i="1" s="1"/>
  <c r="AC2063" i="1"/>
  <c r="M2064" i="1"/>
  <c r="S2064" i="1"/>
  <c r="AA2064" i="1"/>
  <c r="A2064" i="1" s="1"/>
  <c r="AC2064" i="1"/>
  <c r="M2065" i="1"/>
  <c r="S2065" i="1"/>
  <c r="AA2065" i="1"/>
  <c r="A2065" i="1" s="1"/>
  <c r="AC2065" i="1"/>
  <c r="M2066" i="1"/>
  <c r="S2066" i="1"/>
  <c r="AA2066" i="1"/>
  <c r="A2066" i="1" s="1"/>
  <c r="AC2066" i="1"/>
  <c r="M2067" i="1"/>
  <c r="S2067" i="1"/>
  <c r="AA2067" i="1"/>
  <c r="A2067" i="1" s="1"/>
  <c r="AC2067" i="1"/>
  <c r="M2068" i="1"/>
  <c r="S2068" i="1"/>
  <c r="AA2068" i="1"/>
  <c r="A2068" i="1" s="1"/>
  <c r="AC2068" i="1"/>
  <c r="M2069" i="1"/>
  <c r="S2069" i="1"/>
  <c r="AA2069" i="1"/>
  <c r="A2069" i="1" s="1"/>
  <c r="AC2069" i="1"/>
  <c r="M2070" i="1"/>
  <c r="S2070" i="1"/>
  <c r="AA2070" i="1"/>
  <c r="A2070" i="1" s="1"/>
  <c r="AC2070" i="1"/>
  <c r="M2071" i="1"/>
  <c r="S2071" i="1"/>
  <c r="AA2071" i="1"/>
  <c r="A2071" i="1" s="1"/>
  <c r="AC2071" i="1"/>
  <c r="M2072" i="1"/>
  <c r="S2072" i="1"/>
  <c r="AA2072" i="1"/>
  <c r="A2072" i="1" s="1"/>
  <c r="AC2072" i="1"/>
  <c r="M2073" i="1"/>
  <c r="S2073" i="1"/>
  <c r="AA2073" i="1"/>
  <c r="A2073" i="1" s="1"/>
  <c r="AC2073" i="1"/>
  <c r="M2074" i="1"/>
  <c r="S2074" i="1"/>
  <c r="AA2074" i="1"/>
  <c r="A2074" i="1" s="1"/>
  <c r="AC2074" i="1"/>
  <c r="M2075" i="1"/>
  <c r="S2075" i="1"/>
  <c r="AA2075" i="1"/>
  <c r="A2075" i="1" s="1"/>
  <c r="AC2075" i="1"/>
  <c r="M2076" i="1"/>
  <c r="S2076" i="1"/>
  <c r="AA2076" i="1"/>
  <c r="A2076" i="1" s="1"/>
  <c r="AC2076" i="1"/>
  <c r="M2077" i="1"/>
  <c r="S2077" i="1"/>
  <c r="AA2077" i="1"/>
  <c r="A2077" i="1" s="1"/>
  <c r="AC2077" i="1"/>
  <c r="M2078" i="1"/>
  <c r="S2078" i="1"/>
  <c r="AA2078" i="1"/>
  <c r="A2078" i="1" s="1"/>
  <c r="AC2078" i="1"/>
  <c r="M2079" i="1"/>
  <c r="S2079" i="1"/>
  <c r="AA2079" i="1"/>
  <c r="A2079" i="1" s="1"/>
  <c r="AC2079" i="1"/>
  <c r="M2080" i="1"/>
  <c r="S2080" i="1"/>
  <c r="AA2080" i="1"/>
  <c r="A2080" i="1" s="1"/>
  <c r="AC2080" i="1"/>
  <c r="M2081" i="1"/>
  <c r="S2081" i="1"/>
  <c r="AA2081" i="1"/>
  <c r="A2081" i="1" s="1"/>
  <c r="AC2081" i="1"/>
  <c r="M2082" i="1"/>
  <c r="S2082" i="1"/>
  <c r="AA2082" i="1"/>
  <c r="A2082" i="1" s="1"/>
  <c r="AC2082" i="1"/>
  <c r="M2083" i="1"/>
  <c r="S2083" i="1"/>
  <c r="AA2083" i="1"/>
  <c r="A2083" i="1" s="1"/>
  <c r="AC2083" i="1"/>
  <c r="M2084" i="1"/>
  <c r="S2084" i="1"/>
  <c r="AA2084" i="1"/>
  <c r="A2084" i="1" s="1"/>
  <c r="AC2084" i="1"/>
  <c r="M2085" i="1"/>
  <c r="S2085" i="1"/>
  <c r="AA2085" i="1"/>
  <c r="A2085" i="1" s="1"/>
  <c r="AC2085" i="1"/>
  <c r="M2086" i="1"/>
  <c r="S2086" i="1"/>
  <c r="AA2086" i="1"/>
  <c r="A2086" i="1" s="1"/>
  <c r="AC2086" i="1"/>
  <c r="M2087" i="1"/>
  <c r="S2087" i="1"/>
  <c r="AA2087" i="1"/>
  <c r="A2087" i="1" s="1"/>
  <c r="AC2087" i="1"/>
  <c r="M2088" i="1"/>
  <c r="S2088" i="1"/>
  <c r="AA2088" i="1"/>
  <c r="A2088" i="1" s="1"/>
  <c r="AC2088" i="1"/>
  <c r="M2089" i="1"/>
  <c r="S2089" i="1"/>
  <c r="AA2089" i="1"/>
  <c r="A2089" i="1" s="1"/>
  <c r="AC2089" i="1"/>
  <c r="M2090" i="1"/>
  <c r="S2090" i="1"/>
  <c r="AA2090" i="1"/>
  <c r="A2090" i="1" s="1"/>
  <c r="AC2090" i="1"/>
  <c r="M2091" i="1"/>
  <c r="S2091" i="1"/>
  <c r="AA2091" i="1"/>
  <c r="A2091" i="1" s="1"/>
  <c r="AC2091" i="1"/>
  <c r="M2092" i="1"/>
  <c r="S2092" i="1"/>
  <c r="AA2092" i="1"/>
  <c r="A2092" i="1" s="1"/>
  <c r="AC2092" i="1"/>
  <c r="M2093" i="1"/>
  <c r="S2093" i="1"/>
  <c r="AA2093" i="1"/>
  <c r="A2093" i="1" s="1"/>
  <c r="AC2093" i="1"/>
  <c r="M2094" i="1"/>
  <c r="S2094" i="1"/>
  <c r="AA2094" i="1"/>
  <c r="A2094" i="1" s="1"/>
  <c r="AC2094" i="1"/>
  <c r="M2095" i="1"/>
  <c r="S2095" i="1"/>
  <c r="AA2095" i="1"/>
  <c r="A2095" i="1" s="1"/>
  <c r="AC2095" i="1"/>
  <c r="M2096" i="1"/>
  <c r="S2096" i="1"/>
  <c r="AA2096" i="1"/>
  <c r="A2096" i="1" s="1"/>
  <c r="AC2096" i="1"/>
  <c r="M2097" i="1"/>
  <c r="S2097" i="1"/>
  <c r="AA2097" i="1"/>
  <c r="A2097" i="1" s="1"/>
  <c r="AC2097" i="1"/>
  <c r="M2098" i="1"/>
  <c r="S2098" i="1"/>
  <c r="AA2098" i="1"/>
  <c r="A2098" i="1" s="1"/>
  <c r="AC2098" i="1"/>
  <c r="M2099" i="1"/>
  <c r="S2099" i="1"/>
  <c r="AA2099" i="1"/>
  <c r="A2099" i="1" s="1"/>
  <c r="AC2099" i="1"/>
  <c r="M2100" i="1"/>
  <c r="S2100" i="1"/>
  <c r="AA2100" i="1"/>
  <c r="A2100" i="1" s="1"/>
  <c r="AC2100" i="1"/>
  <c r="M2101" i="1"/>
  <c r="S2101" i="1"/>
  <c r="AA2101" i="1"/>
  <c r="A2101" i="1" s="1"/>
  <c r="AC2101" i="1"/>
  <c r="M2102" i="1"/>
  <c r="S2102" i="1"/>
  <c r="AA2102" i="1"/>
  <c r="A2102" i="1" s="1"/>
  <c r="AC2102" i="1"/>
  <c r="M2103" i="1"/>
  <c r="S2103" i="1"/>
  <c r="AA2103" i="1"/>
  <c r="A2103" i="1" s="1"/>
  <c r="AC2103" i="1"/>
  <c r="M2104" i="1"/>
  <c r="S2104" i="1"/>
  <c r="AA2104" i="1"/>
  <c r="A2104" i="1" s="1"/>
  <c r="AC2104" i="1"/>
  <c r="M2105" i="1"/>
  <c r="S2105" i="1"/>
  <c r="AA2105" i="1"/>
  <c r="A2105" i="1" s="1"/>
  <c r="AC2105" i="1"/>
  <c r="M2106" i="1"/>
  <c r="S2106" i="1"/>
  <c r="AA2106" i="1"/>
  <c r="A2106" i="1" s="1"/>
  <c r="AC2106" i="1"/>
  <c r="M2107" i="1"/>
  <c r="S2107" i="1"/>
  <c r="AA2107" i="1"/>
  <c r="A2107" i="1" s="1"/>
  <c r="AC2107" i="1"/>
  <c r="M2108" i="1"/>
  <c r="S2108" i="1"/>
  <c r="AA2108" i="1"/>
  <c r="A2108" i="1" s="1"/>
  <c r="AC2108" i="1"/>
  <c r="M2109" i="1"/>
  <c r="S2109" i="1"/>
  <c r="AA2109" i="1"/>
  <c r="A2109" i="1" s="1"/>
  <c r="AC2109" i="1"/>
  <c r="M2110" i="1"/>
  <c r="S2110" i="1"/>
  <c r="AA2110" i="1"/>
  <c r="A2110" i="1" s="1"/>
  <c r="AC2110" i="1"/>
  <c r="M2111" i="1"/>
  <c r="S2111" i="1"/>
  <c r="AA2111" i="1"/>
  <c r="A2111" i="1" s="1"/>
  <c r="AC2111" i="1"/>
  <c r="M2112" i="1"/>
  <c r="S2112" i="1"/>
  <c r="AA2112" i="1"/>
  <c r="A2112" i="1" s="1"/>
  <c r="AC2112" i="1"/>
  <c r="M2113" i="1"/>
  <c r="S2113" i="1"/>
  <c r="AA2113" i="1"/>
  <c r="A2113" i="1" s="1"/>
  <c r="AC2113" i="1"/>
  <c r="M2114" i="1"/>
  <c r="S2114" i="1"/>
  <c r="AA2114" i="1"/>
  <c r="A2114" i="1" s="1"/>
  <c r="AC2114" i="1"/>
  <c r="M2115" i="1"/>
  <c r="S2115" i="1"/>
  <c r="AA2115" i="1"/>
  <c r="A2115" i="1" s="1"/>
  <c r="AC2115" i="1"/>
  <c r="M2116" i="1"/>
  <c r="S2116" i="1"/>
  <c r="AA2116" i="1"/>
  <c r="A2116" i="1" s="1"/>
  <c r="AC2116" i="1"/>
  <c r="M2117" i="1"/>
  <c r="S2117" i="1"/>
  <c r="AA2117" i="1"/>
  <c r="A2117" i="1" s="1"/>
  <c r="AC2117" i="1"/>
  <c r="M2118" i="1"/>
  <c r="S2118" i="1"/>
  <c r="AA2118" i="1"/>
  <c r="A2118" i="1" s="1"/>
  <c r="AC2118" i="1"/>
  <c r="M2119" i="1"/>
  <c r="S2119" i="1"/>
  <c r="AA2119" i="1"/>
  <c r="A2119" i="1" s="1"/>
  <c r="AC2119" i="1"/>
  <c r="M2120" i="1"/>
  <c r="S2120" i="1"/>
  <c r="AA2120" i="1"/>
  <c r="A2120" i="1" s="1"/>
  <c r="AC2120" i="1"/>
  <c r="M2121" i="1"/>
  <c r="S2121" i="1"/>
  <c r="AA2121" i="1"/>
  <c r="A2121" i="1" s="1"/>
  <c r="AC2121" i="1"/>
  <c r="M2122" i="1"/>
  <c r="S2122" i="1"/>
  <c r="AA2122" i="1"/>
  <c r="A2122" i="1" s="1"/>
  <c r="AC2122" i="1"/>
  <c r="M2123" i="1"/>
  <c r="S2123" i="1"/>
  <c r="AA2123" i="1"/>
  <c r="A2123" i="1" s="1"/>
  <c r="AC2123" i="1"/>
  <c r="M2124" i="1"/>
  <c r="S2124" i="1"/>
  <c r="AA2124" i="1"/>
  <c r="A2124" i="1" s="1"/>
  <c r="AC2124" i="1"/>
  <c r="M2125" i="1"/>
  <c r="S2125" i="1"/>
  <c r="AA2125" i="1"/>
  <c r="A2125" i="1" s="1"/>
  <c r="AC2125" i="1"/>
  <c r="M2126" i="1"/>
  <c r="S2126" i="1"/>
  <c r="AA2126" i="1"/>
  <c r="A2126" i="1" s="1"/>
  <c r="AC2126" i="1"/>
  <c r="M2127" i="1"/>
  <c r="S2127" i="1"/>
  <c r="AA2127" i="1"/>
  <c r="A2127" i="1" s="1"/>
  <c r="AC2127" i="1"/>
  <c r="M2128" i="1"/>
  <c r="S2128" i="1"/>
  <c r="AA2128" i="1"/>
  <c r="A2128" i="1" s="1"/>
  <c r="AC2128" i="1"/>
  <c r="M2129" i="1"/>
  <c r="S2129" i="1"/>
  <c r="AA2129" i="1"/>
  <c r="A2129" i="1" s="1"/>
  <c r="AC2129" i="1"/>
  <c r="M2130" i="1"/>
  <c r="S2130" i="1"/>
  <c r="AA2130" i="1"/>
  <c r="A2130" i="1" s="1"/>
  <c r="AC2130" i="1"/>
  <c r="M2131" i="1"/>
  <c r="S2131" i="1"/>
  <c r="AA2131" i="1"/>
  <c r="A2131" i="1" s="1"/>
  <c r="AC2131" i="1"/>
  <c r="M2132" i="1"/>
  <c r="S2132" i="1"/>
  <c r="AA2132" i="1"/>
  <c r="A2132" i="1" s="1"/>
  <c r="AC2132" i="1"/>
  <c r="M2133" i="1"/>
  <c r="S2133" i="1"/>
  <c r="AA2133" i="1"/>
  <c r="A2133" i="1" s="1"/>
  <c r="AC2133" i="1"/>
  <c r="M2134" i="1"/>
  <c r="S2134" i="1"/>
  <c r="AA2134" i="1"/>
  <c r="A2134" i="1" s="1"/>
  <c r="AC2134" i="1"/>
  <c r="M2135" i="1"/>
  <c r="S2135" i="1"/>
  <c r="AA2135" i="1"/>
  <c r="A2135" i="1" s="1"/>
  <c r="AC2135" i="1"/>
  <c r="M2136" i="1"/>
  <c r="S2136" i="1"/>
  <c r="AA2136" i="1"/>
  <c r="A2136" i="1" s="1"/>
  <c r="AC2136" i="1"/>
  <c r="M2137" i="1"/>
  <c r="S2137" i="1"/>
  <c r="AA2137" i="1"/>
  <c r="A2137" i="1" s="1"/>
  <c r="AC2137" i="1"/>
  <c r="M2138" i="1"/>
  <c r="S2138" i="1"/>
  <c r="AA2138" i="1"/>
  <c r="A2138" i="1" s="1"/>
  <c r="AC2138" i="1"/>
  <c r="M2139" i="1"/>
  <c r="S2139" i="1"/>
  <c r="AA2139" i="1"/>
  <c r="A2139" i="1" s="1"/>
  <c r="AC2139" i="1"/>
  <c r="M2140" i="1"/>
  <c r="S2140" i="1"/>
  <c r="AA2140" i="1"/>
  <c r="A2140" i="1" s="1"/>
  <c r="AC2140" i="1"/>
  <c r="M2141" i="1"/>
  <c r="S2141" i="1"/>
  <c r="AA2141" i="1"/>
  <c r="A2141" i="1" s="1"/>
  <c r="AC2141" i="1"/>
  <c r="M2142" i="1"/>
  <c r="S2142" i="1"/>
  <c r="AA2142" i="1"/>
  <c r="A2142" i="1" s="1"/>
  <c r="AC2142" i="1"/>
  <c r="M2143" i="1"/>
  <c r="S2143" i="1"/>
  <c r="AA2143" i="1"/>
  <c r="A2143" i="1" s="1"/>
  <c r="AC2143" i="1"/>
  <c r="M2144" i="1"/>
  <c r="S2144" i="1"/>
  <c r="AA2144" i="1"/>
  <c r="A2144" i="1" s="1"/>
  <c r="AC2144" i="1"/>
  <c r="M2145" i="1"/>
  <c r="S2145" i="1"/>
  <c r="AA2145" i="1"/>
  <c r="A2145" i="1" s="1"/>
  <c r="AC2145" i="1"/>
  <c r="M2146" i="1"/>
  <c r="S2146" i="1"/>
  <c r="AA2146" i="1"/>
  <c r="A2146" i="1" s="1"/>
  <c r="AC2146" i="1"/>
  <c r="M2147" i="1"/>
  <c r="S2147" i="1"/>
  <c r="AA2147" i="1"/>
  <c r="A2147" i="1" s="1"/>
  <c r="AC2147" i="1"/>
  <c r="M2148" i="1"/>
  <c r="S2148" i="1"/>
  <c r="AA2148" i="1"/>
  <c r="A2148" i="1" s="1"/>
  <c r="AC2148" i="1"/>
  <c r="M2149" i="1"/>
  <c r="S2149" i="1"/>
  <c r="AA2149" i="1"/>
  <c r="A2149" i="1" s="1"/>
  <c r="AC2149" i="1"/>
  <c r="M2150" i="1"/>
  <c r="S2150" i="1"/>
  <c r="AA2150" i="1"/>
  <c r="A2150" i="1" s="1"/>
  <c r="AC2150" i="1"/>
  <c r="M2151" i="1"/>
  <c r="S2151" i="1"/>
  <c r="AA2151" i="1"/>
  <c r="A2151" i="1" s="1"/>
  <c r="AC2151" i="1"/>
  <c r="M2152" i="1"/>
  <c r="S2152" i="1"/>
  <c r="AA2152" i="1"/>
  <c r="A2152" i="1" s="1"/>
  <c r="AC2152" i="1"/>
  <c r="M2153" i="1"/>
  <c r="S2153" i="1"/>
  <c r="AA2153" i="1"/>
  <c r="A2153" i="1" s="1"/>
  <c r="AC2153" i="1"/>
  <c r="M2154" i="1"/>
  <c r="S2154" i="1"/>
  <c r="AA2154" i="1"/>
  <c r="A2154" i="1" s="1"/>
  <c r="AC2154" i="1"/>
  <c r="M2155" i="1"/>
  <c r="S2155" i="1"/>
  <c r="AA2155" i="1"/>
  <c r="A2155" i="1" s="1"/>
  <c r="AC2155" i="1"/>
  <c r="M2156" i="1"/>
  <c r="S2156" i="1"/>
  <c r="AA2156" i="1"/>
  <c r="A2156" i="1" s="1"/>
  <c r="AC2156" i="1"/>
  <c r="M2157" i="1"/>
  <c r="S2157" i="1"/>
  <c r="AA2157" i="1"/>
  <c r="A2157" i="1" s="1"/>
  <c r="AC2157" i="1"/>
  <c r="M2158" i="1"/>
  <c r="S2158" i="1"/>
  <c r="AA2158" i="1"/>
  <c r="A2158" i="1" s="1"/>
  <c r="AC2158" i="1"/>
  <c r="M2159" i="1"/>
  <c r="S2159" i="1"/>
  <c r="AA2159" i="1"/>
  <c r="A2159" i="1" s="1"/>
  <c r="AC2159" i="1"/>
  <c r="M2160" i="1"/>
  <c r="S2160" i="1"/>
  <c r="AA2160" i="1"/>
  <c r="A2160" i="1" s="1"/>
  <c r="AC2160" i="1"/>
  <c r="M2161" i="1"/>
  <c r="S2161" i="1"/>
  <c r="AA2161" i="1"/>
  <c r="A2161" i="1" s="1"/>
  <c r="AC2161" i="1"/>
  <c r="M2162" i="1"/>
  <c r="S2162" i="1"/>
  <c r="AA2162" i="1"/>
  <c r="A2162" i="1" s="1"/>
  <c r="AC2162" i="1"/>
  <c r="M2163" i="1"/>
  <c r="S2163" i="1"/>
  <c r="AA2163" i="1"/>
  <c r="A2163" i="1" s="1"/>
  <c r="AC2163" i="1"/>
  <c r="M2164" i="1"/>
  <c r="S2164" i="1"/>
  <c r="AA2164" i="1"/>
  <c r="A2164" i="1" s="1"/>
  <c r="AC2164" i="1"/>
  <c r="M2165" i="1"/>
  <c r="S2165" i="1"/>
  <c r="AA2165" i="1"/>
  <c r="A2165" i="1" s="1"/>
  <c r="AC2165" i="1"/>
  <c r="M2166" i="1"/>
  <c r="S2166" i="1"/>
  <c r="AA2166" i="1"/>
  <c r="A2166" i="1" s="1"/>
  <c r="AC2166" i="1"/>
  <c r="M2167" i="1"/>
  <c r="S2167" i="1"/>
  <c r="AA2167" i="1"/>
  <c r="A2167" i="1" s="1"/>
  <c r="AC2167" i="1"/>
  <c r="M2168" i="1"/>
  <c r="S2168" i="1"/>
  <c r="AA2168" i="1"/>
  <c r="A2168" i="1" s="1"/>
  <c r="AC2168" i="1"/>
  <c r="M2169" i="1"/>
  <c r="S2169" i="1"/>
  <c r="AA2169" i="1"/>
  <c r="A2169" i="1" s="1"/>
  <c r="AC2169" i="1"/>
  <c r="M2170" i="1"/>
  <c r="S2170" i="1"/>
  <c r="AA2170" i="1"/>
  <c r="A2170" i="1" s="1"/>
  <c r="AC2170" i="1"/>
  <c r="M2171" i="1"/>
  <c r="S2171" i="1"/>
  <c r="AA2171" i="1"/>
  <c r="A2171" i="1" s="1"/>
  <c r="AC2171" i="1"/>
  <c r="M2172" i="1"/>
  <c r="S2172" i="1"/>
  <c r="AA2172" i="1"/>
  <c r="A2172" i="1" s="1"/>
  <c r="AC2172" i="1"/>
  <c r="M2173" i="1"/>
  <c r="S2173" i="1"/>
  <c r="AA2173" i="1"/>
  <c r="A2173" i="1" s="1"/>
  <c r="AC2173" i="1"/>
  <c r="M2174" i="1"/>
  <c r="S2174" i="1"/>
  <c r="AA2174" i="1"/>
  <c r="A2174" i="1" s="1"/>
  <c r="AC2174" i="1"/>
  <c r="M2175" i="1"/>
  <c r="S2175" i="1"/>
  <c r="AA2175" i="1"/>
  <c r="A2175" i="1" s="1"/>
  <c r="AC2175" i="1"/>
  <c r="M2176" i="1"/>
  <c r="S2176" i="1"/>
  <c r="AA2176" i="1"/>
  <c r="A2176" i="1" s="1"/>
  <c r="AC2176" i="1"/>
  <c r="M2177" i="1"/>
  <c r="S2177" i="1"/>
  <c r="AA2177" i="1"/>
  <c r="A2177" i="1" s="1"/>
  <c r="AC2177" i="1"/>
  <c r="M2178" i="1"/>
  <c r="S2178" i="1"/>
  <c r="AA2178" i="1"/>
  <c r="A2178" i="1" s="1"/>
  <c r="AC2178" i="1"/>
  <c r="M2179" i="1"/>
  <c r="S2179" i="1"/>
  <c r="AA2179" i="1"/>
  <c r="A2179" i="1" s="1"/>
  <c r="AC2179" i="1"/>
  <c r="M2180" i="1"/>
  <c r="S2180" i="1"/>
  <c r="AA2180" i="1"/>
  <c r="A2180" i="1" s="1"/>
  <c r="AC2180" i="1"/>
  <c r="M2181" i="1"/>
  <c r="S2181" i="1"/>
  <c r="AA2181" i="1"/>
  <c r="A2181" i="1" s="1"/>
  <c r="AC2181" i="1"/>
  <c r="M2182" i="1"/>
  <c r="S2182" i="1"/>
  <c r="AA2182" i="1"/>
  <c r="A2182" i="1" s="1"/>
  <c r="AC2182" i="1"/>
  <c r="M2183" i="1"/>
  <c r="S2183" i="1"/>
  <c r="AA2183" i="1"/>
  <c r="A2183" i="1" s="1"/>
  <c r="AC2183" i="1"/>
  <c r="M2184" i="1"/>
  <c r="S2184" i="1"/>
  <c r="AA2184" i="1"/>
  <c r="A2184" i="1" s="1"/>
  <c r="AC2184" i="1"/>
  <c r="M2185" i="1"/>
  <c r="S2185" i="1"/>
  <c r="AA2185" i="1"/>
  <c r="A2185" i="1" s="1"/>
  <c r="AC2185" i="1"/>
  <c r="M2186" i="1"/>
  <c r="S2186" i="1"/>
  <c r="AA2186" i="1"/>
  <c r="A2186" i="1" s="1"/>
  <c r="AC2186" i="1"/>
  <c r="M2187" i="1"/>
  <c r="S2187" i="1"/>
  <c r="AA2187" i="1"/>
  <c r="A2187" i="1" s="1"/>
  <c r="AC2187" i="1"/>
  <c r="M2188" i="1"/>
  <c r="S2188" i="1"/>
  <c r="AA2188" i="1"/>
  <c r="A2188" i="1" s="1"/>
  <c r="AC2188" i="1"/>
  <c r="M2189" i="1"/>
  <c r="S2189" i="1"/>
  <c r="AA2189" i="1"/>
  <c r="A2189" i="1" s="1"/>
  <c r="AC2189" i="1"/>
  <c r="M2190" i="1"/>
  <c r="S2190" i="1"/>
  <c r="AA2190" i="1"/>
  <c r="A2190" i="1" s="1"/>
  <c r="AC2190" i="1"/>
  <c r="M2191" i="1"/>
  <c r="S2191" i="1"/>
  <c r="AA2191" i="1"/>
  <c r="A2191" i="1" s="1"/>
  <c r="AC2191" i="1"/>
  <c r="M2192" i="1"/>
  <c r="S2192" i="1"/>
  <c r="AA2192" i="1"/>
  <c r="A2192" i="1" s="1"/>
  <c r="AC2192" i="1"/>
  <c r="M2193" i="1"/>
  <c r="S2193" i="1"/>
  <c r="AA2193" i="1"/>
  <c r="A2193" i="1" s="1"/>
  <c r="AC2193" i="1"/>
  <c r="M2194" i="1"/>
  <c r="S2194" i="1"/>
  <c r="AA2194" i="1"/>
  <c r="A2194" i="1" s="1"/>
  <c r="AC2194" i="1"/>
  <c r="M2195" i="1"/>
  <c r="S2195" i="1"/>
  <c r="AA2195" i="1"/>
  <c r="A2195" i="1" s="1"/>
  <c r="AC2195" i="1"/>
  <c r="M2196" i="1"/>
  <c r="S2196" i="1"/>
  <c r="AA2196" i="1"/>
  <c r="A2196" i="1" s="1"/>
  <c r="AC2196" i="1"/>
  <c r="M2197" i="1"/>
  <c r="S2197" i="1"/>
  <c r="AA2197" i="1"/>
  <c r="A2197" i="1" s="1"/>
  <c r="AC2197" i="1"/>
  <c r="M2198" i="1"/>
  <c r="S2198" i="1"/>
  <c r="AA2198" i="1"/>
  <c r="A2198" i="1" s="1"/>
  <c r="AC2198" i="1"/>
  <c r="M2199" i="1"/>
  <c r="S2199" i="1"/>
  <c r="AA2199" i="1"/>
  <c r="A2199" i="1" s="1"/>
  <c r="AC2199" i="1"/>
  <c r="M2200" i="1"/>
  <c r="S2200" i="1"/>
  <c r="AA2200" i="1"/>
  <c r="A2200" i="1" s="1"/>
  <c r="AC2200" i="1"/>
  <c r="M2201" i="1"/>
  <c r="S2201" i="1"/>
  <c r="AA2201" i="1"/>
  <c r="A2201" i="1" s="1"/>
  <c r="AC2201" i="1"/>
  <c r="M2202" i="1"/>
  <c r="S2202" i="1"/>
  <c r="AA2202" i="1"/>
  <c r="A2202" i="1" s="1"/>
  <c r="AC2202" i="1"/>
  <c r="M2203" i="1"/>
  <c r="S2203" i="1"/>
  <c r="AA2203" i="1"/>
  <c r="A2203" i="1" s="1"/>
  <c r="AC2203" i="1"/>
  <c r="M2204" i="1"/>
  <c r="S2204" i="1"/>
  <c r="AA2204" i="1"/>
  <c r="A2204" i="1" s="1"/>
  <c r="AC2204" i="1"/>
  <c r="M2205" i="1"/>
  <c r="S2205" i="1"/>
  <c r="AA2205" i="1"/>
  <c r="A2205" i="1" s="1"/>
  <c r="AC2205" i="1"/>
  <c r="M2206" i="1"/>
  <c r="S2206" i="1"/>
  <c r="AA2206" i="1"/>
  <c r="A2206" i="1" s="1"/>
  <c r="AC2206" i="1"/>
  <c r="M2207" i="1"/>
  <c r="S2207" i="1"/>
  <c r="AA2207" i="1"/>
  <c r="A2207" i="1" s="1"/>
  <c r="AC2207" i="1"/>
  <c r="M2208" i="1"/>
  <c r="S2208" i="1"/>
  <c r="AA2208" i="1"/>
  <c r="A2208" i="1" s="1"/>
  <c r="AC2208" i="1"/>
  <c r="M2209" i="1"/>
  <c r="S2209" i="1"/>
  <c r="AA2209" i="1"/>
  <c r="A2209" i="1" s="1"/>
  <c r="AC2209" i="1"/>
  <c r="M2210" i="1"/>
  <c r="S2210" i="1"/>
  <c r="AA2210" i="1"/>
  <c r="A2210" i="1" s="1"/>
  <c r="AC2210" i="1"/>
  <c r="M2211" i="1"/>
  <c r="S2211" i="1"/>
  <c r="AA2211" i="1"/>
  <c r="A2211" i="1" s="1"/>
  <c r="AC2211" i="1"/>
  <c r="M2212" i="1"/>
  <c r="S2212" i="1"/>
  <c r="AA2212" i="1"/>
  <c r="A2212" i="1" s="1"/>
  <c r="AC2212" i="1"/>
  <c r="M2213" i="1"/>
  <c r="S2213" i="1"/>
  <c r="AA2213" i="1"/>
  <c r="A2213" i="1" s="1"/>
  <c r="AC2213" i="1"/>
  <c r="M2214" i="1"/>
  <c r="S2214" i="1"/>
  <c r="AA2214" i="1"/>
  <c r="A2214" i="1" s="1"/>
  <c r="AC2214" i="1"/>
  <c r="M2215" i="1"/>
  <c r="S2215" i="1"/>
  <c r="AA2215" i="1"/>
  <c r="A2215" i="1" s="1"/>
  <c r="AC2215" i="1"/>
  <c r="M2216" i="1"/>
  <c r="S2216" i="1"/>
  <c r="AA2216" i="1"/>
  <c r="A2216" i="1" s="1"/>
  <c r="AC2216" i="1"/>
  <c r="M2217" i="1"/>
  <c r="S2217" i="1"/>
  <c r="AA2217" i="1"/>
  <c r="A2217" i="1" s="1"/>
  <c r="AC2217" i="1"/>
  <c r="M2218" i="1"/>
  <c r="S2218" i="1"/>
  <c r="AA2218" i="1"/>
  <c r="A2218" i="1" s="1"/>
  <c r="AC2218" i="1"/>
  <c r="M2219" i="1"/>
  <c r="S2219" i="1"/>
  <c r="AA2219" i="1"/>
  <c r="A2219" i="1" s="1"/>
  <c r="AC2219" i="1"/>
  <c r="M2220" i="1"/>
  <c r="S2220" i="1"/>
  <c r="AA2220" i="1"/>
  <c r="A2220" i="1" s="1"/>
  <c r="AC2220" i="1"/>
  <c r="M2221" i="1"/>
  <c r="S2221" i="1"/>
  <c r="AA2221" i="1"/>
  <c r="A2221" i="1" s="1"/>
  <c r="AC2221" i="1"/>
  <c r="M2222" i="1"/>
  <c r="S2222" i="1"/>
  <c r="AA2222" i="1"/>
  <c r="A2222" i="1" s="1"/>
  <c r="AC2222" i="1"/>
  <c r="M2223" i="1"/>
  <c r="S2223" i="1"/>
  <c r="AA2223" i="1"/>
  <c r="A2223" i="1" s="1"/>
  <c r="AC2223" i="1"/>
  <c r="M2224" i="1"/>
  <c r="S2224" i="1"/>
  <c r="AA2224" i="1"/>
  <c r="A2224" i="1" s="1"/>
  <c r="AC2224" i="1"/>
  <c r="M2225" i="1"/>
  <c r="S2225" i="1"/>
  <c r="AA2225" i="1"/>
  <c r="A2225" i="1" s="1"/>
  <c r="AC2225" i="1"/>
  <c r="M2226" i="1"/>
  <c r="S2226" i="1"/>
  <c r="AA2226" i="1"/>
  <c r="A2226" i="1" s="1"/>
  <c r="AC2226" i="1"/>
  <c r="M2227" i="1"/>
  <c r="S2227" i="1"/>
  <c r="AA2227" i="1"/>
  <c r="A2227" i="1" s="1"/>
  <c r="AC2227" i="1"/>
  <c r="M2228" i="1"/>
  <c r="S2228" i="1"/>
  <c r="AA2228" i="1"/>
  <c r="A2228" i="1" s="1"/>
  <c r="AC2228" i="1"/>
  <c r="M2229" i="1"/>
  <c r="S2229" i="1"/>
  <c r="AA2229" i="1"/>
  <c r="A2229" i="1" s="1"/>
  <c r="AC2229" i="1"/>
  <c r="M2230" i="1"/>
  <c r="S2230" i="1"/>
  <c r="AA2230" i="1"/>
  <c r="A2230" i="1" s="1"/>
  <c r="AC2230" i="1"/>
  <c r="M2231" i="1"/>
  <c r="S2231" i="1"/>
  <c r="AA2231" i="1"/>
  <c r="A2231" i="1" s="1"/>
  <c r="AC2231" i="1"/>
  <c r="M2232" i="1"/>
  <c r="S2232" i="1"/>
  <c r="AA2232" i="1"/>
  <c r="A2232" i="1" s="1"/>
  <c r="AC2232" i="1"/>
  <c r="M2233" i="1"/>
  <c r="S2233" i="1"/>
  <c r="AA2233" i="1"/>
  <c r="A2233" i="1" s="1"/>
  <c r="AC2233" i="1"/>
  <c r="M2234" i="1"/>
  <c r="S2234" i="1"/>
  <c r="AA2234" i="1"/>
  <c r="A2234" i="1" s="1"/>
  <c r="AC2234" i="1"/>
  <c r="M2235" i="1"/>
  <c r="S2235" i="1"/>
  <c r="AA2235" i="1"/>
  <c r="A2235" i="1" s="1"/>
  <c r="AC2235" i="1"/>
  <c r="M2236" i="1"/>
  <c r="S2236" i="1"/>
  <c r="AA2236" i="1"/>
  <c r="A2236" i="1" s="1"/>
  <c r="AC2236" i="1"/>
  <c r="M2237" i="1"/>
  <c r="S2237" i="1"/>
  <c r="AA2237" i="1"/>
  <c r="A2237" i="1" s="1"/>
  <c r="AC2237" i="1"/>
  <c r="M2238" i="1"/>
  <c r="S2238" i="1"/>
  <c r="AA2238" i="1"/>
  <c r="A2238" i="1" s="1"/>
  <c r="AC2238" i="1"/>
  <c r="M2239" i="1"/>
  <c r="S2239" i="1"/>
  <c r="AA2239" i="1"/>
  <c r="A2239" i="1" s="1"/>
  <c r="AC2239" i="1"/>
  <c r="M2240" i="1"/>
  <c r="S2240" i="1"/>
  <c r="AA2240" i="1"/>
  <c r="A2240" i="1" s="1"/>
  <c r="AC2240" i="1"/>
  <c r="M2241" i="1"/>
  <c r="S2241" i="1"/>
  <c r="AA2241" i="1"/>
  <c r="A2241" i="1" s="1"/>
  <c r="AC2241" i="1"/>
  <c r="M2242" i="1"/>
  <c r="S2242" i="1"/>
  <c r="AA2242" i="1"/>
  <c r="A2242" i="1" s="1"/>
  <c r="AC2242" i="1"/>
  <c r="M2243" i="1"/>
  <c r="S2243" i="1"/>
  <c r="AA2243" i="1"/>
  <c r="A2243" i="1" s="1"/>
  <c r="AC2243" i="1"/>
  <c r="M2244" i="1"/>
  <c r="S2244" i="1"/>
  <c r="AA2244" i="1"/>
  <c r="A2244" i="1" s="1"/>
  <c r="AC2244" i="1"/>
  <c r="M2245" i="1"/>
  <c r="S2245" i="1"/>
  <c r="AA2245" i="1"/>
  <c r="A2245" i="1" s="1"/>
  <c r="AC2245" i="1"/>
  <c r="M2246" i="1"/>
  <c r="S2246" i="1"/>
  <c r="AA2246" i="1"/>
  <c r="A2246" i="1" s="1"/>
  <c r="AC2246" i="1"/>
  <c r="M2247" i="1"/>
  <c r="S2247" i="1"/>
  <c r="AA2247" i="1"/>
  <c r="A2247" i="1" s="1"/>
  <c r="AC2247" i="1"/>
  <c r="M2248" i="1"/>
  <c r="S2248" i="1"/>
  <c r="AA2248" i="1"/>
  <c r="A2248" i="1" s="1"/>
  <c r="AC2248" i="1"/>
  <c r="M2249" i="1"/>
  <c r="S2249" i="1"/>
  <c r="AA2249" i="1"/>
  <c r="A2249" i="1" s="1"/>
  <c r="AC2249" i="1"/>
  <c r="M2250" i="1"/>
  <c r="S2250" i="1"/>
  <c r="AA2250" i="1"/>
  <c r="A2250" i="1" s="1"/>
  <c r="AC2250" i="1"/>
  <c r="M2251" i="1"/>
  <c r="S2251" i="1"/>
  <c r="AA2251" i="1"/>
  <c r="A2251" i="1" s="1"/>
  <c r="AC2251" i="1"/>
  <c r="M2252" i="1"/>
  <c r="S2252" i="1"/>
  <c r="AA2252" i="1"/>
  <c r="A2252" i="1" s="1"/>
  <c r="AC2252" i="1"/>
  <c r="M2253" i="1"/>
  <c r="S2253" i="1"/>
  <c r="AA2253" i="1"/>
  <c r="A2253" i="1" s="1"/>
  <c r="AC2253" i="1"/>
  <c r="M2254" i="1"/>
  <c r="S2254" i="1"/>
  <c r="AA2254" i="1"/>
  <c r="A2254" i="1" s="1"/>
  <c r="AC2254" i="1"/>
  <c r="M2255" i="1"/>
  <c r="S2255" i="1"/>
  <c r="AA2255" i="1"/>
  <c r="A2255" i="1" s="1"/>
  <c r="AC2255" i="1"/>
  <c r="M2256" i="1"/>
  <c r="S2256" i="1"/>
  <c r="AA2256" i="1"/>
  <c r="A2256" i="1" s="1"/>
  <c r="AC2256" i="1"/>
  <c r="M2257" i="1"/>
  <c r="S2257" i="1"/>
  <c r="AA2257" i="1"/>
  <c r="A2257" i="1" s="1"/>
  <c r="AC2257" i="1"/>
  <c r="M2258" i="1"/>
  <c r="S2258" i="1"/>
  <c r="AA2258" i="1"/>
  <c r="A2258" i="1" s="1"/>
  <c r="AC2258" i="1"/>
  <c r="M2259" i="1"/>
  <c r="S2259" i="1"/>
  <c r="AA2259" i="1"/>
  <c r="A2259" i="1" s="1"/>
  <c r="AC2259" i="1"/>
  <c r="M2260" i="1"/>
  <c r="S2260" i="1"/>
  <c r="AA2260" i="1"/>
  <c r="A2260" i="1" s="1"/>
  <c r="AC2260" i="1"/>
  <c r="M2261" i="1"/>
  <c r="S2261" i="1"/>
  <c r="AA2261" i="1"/>
  <c r="A2261" i="1" s="1"/>
  <c r="AC2261" i="1"/>
  <c r="M2262" i="1"/>
  <c r="S2262" i="1"/>
  <c r="AA2262" i="1"/>
  <c r="A2262" i="1" s="1"/>
  <c r="AC2262" i="1"/>
  <c r="M2263" i="1"/>
  <c r="S2263" i="1"/>
  <c r="AA2263" i="1"/>
  <c r="A2263" i="1" s="1"/>
  <c r="AC2263" i="1"/>
  <c r="M2264" i="1"/>
  <c r="S2264" i="1"/>
  <c r="AA2264" i="1"/>
  <c r="A2264" i="1" s="1"/>
  <c r="AC2264" i="1"/>
  <c r="M2265" i="1"/>
  <c r="S2265" i="1"/>
  <c r="AA2265" i="1"/>
  <c r="A2265" i="1" s="1"/>
  <c r="AC2265" i="1"/>
  <c r="M2266" i="1"/>
  <c r="S2266" i="1"/>
  <c r="AA2266" i="1"/>
  <c r="A2266" i="1" s="1"/>
  <c r="AC2266" i="1"/>
  <c r="M2267" i="1"/>
  <c r="S2267" i="1"/>
  <c r="AA2267" i="1"/>
  <c r="A2267" i="1" s="1"/>
  <c r="AC2267" i="1"/>
  <c r="M2268" i="1"/>
  <c r="S2268" i="1"/>
  <c r="AA2268" i="1"/>
  <c r="A2268" i="1" s="1"/>
  <c r="AC2268" i="1"/>
  <c r="M2269" i="1"/>
  <c r="S2269" i="1"/>
  <c r="AA2269" i="1"/>
  <c r="A2269" i="1" s="1"/>
  <c r="AC2269" i="1"/>
  <c r="M2270" i="1"/>
  <c r="S2270" i="1"/>
  <c r="AA2270" i="1"/>
  <c r="A2270" i="1" s="1"/>
  <c r="AC2270" i="1"/>
  <c r="M2271" i="1"/>
  <c r="S2271" i="1"/>
  <c r="AA2271" i="1"/>
  <c r="A2271" i="1" s="1"/>
  <c r="AC2271" i="1"/>
  <c r="M2272" i="1"/>
  <c r="S2272" i="1"/>
  <c r="AA2272" i="1"/>
  <c r="A2272" i="1" s="1"/>
  <c r="AC2272" i="1"/>
  <c r="M2273" i="1"/>
  <c r="S2273" i="1"/>
  <c r="AA2273" i="1"/>
  <c r="A2273" i="1" s="1"/>
  <c r="AC2273" i="1"/>
  <c r="M2274" i="1"/>
  <c r="S2274" i="1"/>
  <c r="AA2274" i="1"/>
  <c r="A2274" i="1" s="1"/>
  <c r="AC2274" i="1"/>
  <c r="M2275" i="1"/>
  <c r="S2275" i="1"/>
  <c r="AA2275" i="1"/>
  <c r="A2275" i="1" s="1"/>
  <c r="AC2275" i="1"/>
  <c r="M2276" i="1"/>
  <c r="S2276" i="1"/>
  <c r="AA2276" i="1"/>
  <c r="A2276" i="1" s="1"/>
  <c r="AC2276" i="1"/>
  <c r="M2277" i="1"/>
  <c r="S2277" i="1"/>
  <c r="AA2277" i="1"/>
  <c r="A2277" i="1" s="1"/>
  <c r="AC2277" i="1"/>
  <c r="M2278" i="1"/>
  <c r="S2278" i="1"/>
  <c r="AA2278" i="1"/>
  <c r="A2278" i="1" s="1"/>
  <c r="AC2278" i="1"/>
  <c r="M2279" i="1"/>
  <c r="S2279" i="1"/>
  <c r="AA2279" i="1"/>
  <c r="A2279" i="1" s="1"/>
  <c r="AC2279" i="1"/>
  <c r="M2280" i="1"/>
  <c r="S2280" i="1"/>
  <c r="AA2280" i="1"/>
  <c r="A2280" i="1" s="1"/>
  <c r="AC2280" i="1"/>
  <c r="M2281" i="1"/>
  <c r="S2281" i="1"/>
  <c r="AA2281" i="1"/>
  <c r="A2281" i="1" s="1"/>
  <c r="AC2281" i="1"/>
  <c r="M2282" i="1"/>
  <c r="S2282" i="1"/>
  <c r="AA2282" i="1"/>
  <c r="A2282" i="1" s="1"/>
  <c r="AC2282" i="1"/>
  <c r="M2283" i="1"/>
  <c r="S2283" i="1"/>
  <c r="AA2283" i="1"/>
  <c r="A2283" i="1" s="1"/>
  <c r="AC2283" i="1"/>
  <c r="M2284" i="1"/>
  <c r="S2284" i="1"/>
  <c r="AA2284" i="1"/>
  <c r="A2284" i="1" s="1"/>
  <c r="AC2284" i="1"/>
  <c r="M2285" i="1"/>
  <c r="S2285" i="1"/>
  <c r="AA2285" i="1"/>
  <c r="A2285" i="1" s="1"/>
  <c r="AC2285" i="1"/>
  <c r="M2286" i="1"/>
  <c r="S2286" i="1"/>
  <c r="AA2286" i="1"/>
  <c r="A2286" i="1" s="1"/>
  <c r="AC2286" i="1"/>
  <c r="M2287" i="1"/>
  <c r="S2287" i="1"/>
  <c r="AA2287" i="1"/>
  <c r="A2287" i="1" s="1"/>
  <c r="AC2287" i="1"/>
  <c r="M2288" i="1"/>
  <c r="S2288" i="1"/>
  <c r="AA2288" i="1"/>
  <c r="A2288" i="1" s="1"/>
  <c r="AC2288" i="1"/>
  <c r="M2289" i="1"/>
  <c r="S2289" i="1"/>
  <c r="AA2289" i="1"/>
  <c r="A2289" i="1" s="1"/>
  <c r="AC2289" i="1"/>
  <c r="M2290" i="1"/>
  <c r="S2290" i="1"/>
  <c r="AA2290" i="1"/>
  <c r="A2290" i="1" s="1"/>
  <c r="AC2290" i="1"/>
  <c r="M2291" i="1"/>
  <c r="S2291" i="1"/>
  <c r="AA2291" i="1"/>
  <c r="A2291" i="1" s="1"/>
  <c r="AC2291" i="1"/>
  <c r="M2292" i="1"/>
  <c r="S2292" i="1"/>
  <c r="AA2292" i="1"/>
  <c r="A2292" i="1" s="1"/>
  <c r="AC2292" i="1"/>
  <c r="M2293" i="1"/>
  <c r="S2293" i="1"/>
  <c r="AA2293" i="1"/>
  <c r="A2293" i="1" s="1"/>
  <c r="AC2293" i="1"/>
  <c r="M2294" i="1"/>
  <c r="S2294" i="1"/>
  <c r="AA2294" i="1"/>
  <c r="A2294" i="1" s="1"/>
  <c r="AC2294" i="1"/>
  <c r="M2295" i="1"/>
  <c r="S2295" i="1"/>
  <c r="AA2295" i="1"/>
  <c r="A2295" i="1" s="1"/>
  <c r="AC2295" i="1"/>
  <c r="M2296" i="1"/>
  <c r="S2296" i="1"/>
  <c r="AA2296" i="1"/>
  <c r="A2296" i="1" s="1"/>
  <c r="AC2296" i="1"/>
  <c r="M2297" i="1"/>
  <c r="S2297" i="1"/>
  <c r="AA2297" i="1"/>
  <c r="A2297" i="1" s="1"/>
  <c r="AC2297" i="1"/>
  <c r="M2298" i="1"/>
  <c r="S2298" i="1"/>
  <c r="AA2298" i="1"/>
  <c r="A2298" i="1" s="1"/>
  <c r="AC2298" i="1"/>
  <c r="M2299" i="1"/>
  <c r="S2299" i="1"/>
  <c r="AA2299" i="1"/>
  <c r="A2299" i="1" s="1"/>
  <c r="AC2299" i="1"/>
  <c r="M2300" i="1"/>
  <c r="S2300" i="1"/>
  <c r="AA2300" i="1"/>
  <c r="A2300" i="1" s="1"/>
  <c r="AC2300" i="1"/>
  <c r="M2301" i="1"/>
  <c r="S2301" i="1"/>
  <c r="AA2301" i="1"/>
  <c r="A2301" i="1" s="1"/>
  <c r="AC2301" i="1"/>
  <c r="M2302" i="1"/>
  <c r="S2302" i="1"/>
  <c r="AA2302" i="1"/>
  <c r="A2302" i="1" s="1"/>
  <c r="AC2302" i="1"/>
  <c r="M2303" i="1"/>
  <c r="S2303" i="1"/>
  <c r="AA2303" i="1"/>
  <c r="A2303" i="1" s="1"/>
  <c r="AC2303" i="1"/>
  <c r="M2304" i="1"/>
  <c r="S2304" i="1"/>
  <c r="AA2304" i="1"/>
  <c r="A2304" i="1" s="1"/>
  <c r="AC2304" i="1"/>
  <c r="M2305" i="1"/>
  <c r="S2305" i="1"/>
  <c r="AA2305" i="1"/>
  <c r="A2305" i="1" s="1"/>
  <c r="AC2305" i="1"/>
  <c r="M2306" i="1"/>
  <c r="S2306" i="1"/>
  <c r="AA2306" i="1"/>
  <c r="A2306" i="1" s="1"/>
  <c r="AC2306" i="1"/>
  <c r="M2307" i="1"/>
  <c r="S2307" i="1"/>
  <c r="AA2307" i="1"/>
  <c r="A2307" i="1" s="1"/>
  <c r="AC2307" i="1"/>
  <c r="M2308" i="1"/>
  <c r="S2308" i="1"/>
  <c r="AA2308" i="1"/>
  <c r="A2308" i="1" s="1"/>
  <c r="AC2308" i="1"/>
  <c r="M2309" i="1"/>
  <c r="S2309" i="1"/>
  <c r="AA2309" i="1"/>
  <c r="A2309" i="1" s="1"/>
  <c r="AC2309" i="1"/>
  <c r="M2310" i="1"/>
  <c r="S2310" i="1"/>
  <c r="AA2310" i="1"/>
  <c r="A2310" i="1" s="1"/>
  <c r="AC2310" i="1"/>
  <c r="M2311" i="1"/>
  <c r="S2311" i="1"/>
  <c r="AA2311" i="1"/>
  <c r="A2311" i="1" s="1"/>
  <c r="AC2311" i="1"/>
  <c r="M2312" i="1"/>
  <c r="S2312" i="1"/>
  <c r="AA2312" i="1"/>
  <c r="A2312" i="1" s="1"/>
  <c r="AC2312" i="1"/>
  <c r="M2313" i="1"/>
  <c r="S2313" i="1"/>
  <c r="AA2313" i="1"/>
  <c r="A2313" i="1" s="1"/>
  <c r="AC2313" i="1"/>
  <c r="M2314" i="1"/>
  <c r="S2314" i="1"/>
  <c r="AA2314" i="1"/>
  <c r="A2314" i="1" s="1"/>
  <c r="AC2314" i="1"/>
  <c r="M2315" i="1"/>
  <c r="S2315" i="1"/>
  <c r="AA2315" i="1"/>
  <c r="A2315" i="1" s="1"/>
  <c r="AC2315" i="1"/>
  <c r="M2316" i="1"/>
  <c r="S2316" i="1"/>
  <c r="AA2316" i="1"/>
  <c r="A2316" i="1" s="1"/>
  <c r="AC2316" i="1"/>
  <c r="M2317" i="1"/>
  <c r="S2317" i="1"/>
  <c r="AA2317" i="1"/>
  <c r="A2317" i="1" s="1"/>
  <c r="AC2317" i="1"/>
  <c r="M2318" i="1"/>
  <c r="S2318" i="1"/>
  <c r="AA2318" i="1"/>
  <c r="A2318" i="1" s="1"/>
  <c r="AC2318" i="1"/>
  <c r="M2319" i="1"/>
  <c r="S2319" i="1"/>
  <c r="AA2319" i="1"/>
  <c r="A2319" i="1" s="1"/>
  <c r="AC2319" i="1"/>
  <c r="M2320" i="1"/>
  <c r="S2320" i="1"/>
  <c r="AA2320" i="1"/>
  <c r="A2320" i="1" s="1"/>
  <c r="AC2320" i="1"/>
  <c r="M2321" i="1"/>
  <c r="S2321" i="1"/>
  <c r="AA2321" i="1"/>
  <c r="A2321" i="1" s="1"/>
  <c r="AC2321" i="1"/>
  <c r="M2322" i="1"/>
  <c r="S2322" i="1"/>
  <c r="AA2322" i="1"/>
  <c r="A2322" i="1" s="1"/>
  <c r="AC2322" i="1"/>
  <c r="M2323" i="1"/>
  <c r="S2323" i="1"/>
  <c r="AA2323" i="1"/>
  <c r="A2323" i="1" s="1"/>
  <c r="AC2323" i="1"/>
  <c r="M2324" i="1"/>
  <c r="S2324" i="1"/>
  <c r="AA2324" i="1"/>
  <c r="A2324" i="1" s="1"/>
  <c r="AC2324" i="1"/>
  <c r="M2325" i="1"/>
  <c r="S2325" i="1"/>
  <c r="AA2325" i="1"/>
  <c r="A2325" i="1" s="1"/>
  <c r="AC2325" i="1"/>
  <c r="M2326" i="1"/>
  <c r="S2326" i="1"/>
  <c r="AA2326" i="1"/>
  <c r="A2326" i="1" s="1"/>
  <c r="AC2326" i="1"/>
  <c r="M2327" i="1"/>
  <c r="S2327" i="1"/>
  <c r="AA2327" i="1"/>
  <c r="A2327" i="1" s="1"/>
  <c r="AC2327" i="1"/>
  <c r="M2328" i="1"/>
  <c r="S2328" i="1"/>
  <c r="AA2328" i="1"/>
  <c r="A2328" i="1" s="1"/>
  <c r="AC2328" i="1"/>
  <c r="M2329" i="1"/>
  <c r="S2329" i="1"/>
  <c r="AA2329" i="1"/>
  <c r="A2329" i="1" s="1"/>
  <c r="AC2329" i="1"/>
  <c r="M2330" i="1"/>
  <c r="S2330" i="1"/>
  <c r="AA2330" i="1"/>
  <c r="A2330" i="1" s="1"/>
  <c r="AC2330" i="1"/>
  <c r="M2331" i="1"/>
  <c r="S2331" i="1"/>
  <c r="AA2331" i="1"/>
  <c r="A2331" i="1" s="1"/>
  <c r="AC2331" i="1"/>
  <c r="M2332" i="1"/>
  <c r="S2332" i="1"/>
  <c r="AA2332" i="1"/>
  <c r="A2332" i="1" s="1"/>
  <c r="AC2332" i="1"/>
  <c r="M2333" i="1"/>
  <c r="S2333" i="1"/>
  <c r="AA2333" i="1"/>
  <c r="A2333" i="1" s="1"/>
  <c r="AC2333" i="1"/>
  <c r="M2334" i="1"/>
  <c r="S2334" i="1"/>
  <c r="AA2334" i="1"/>
  <c r="A2334" i="1" s="1"/>
  <c r="AC2334" i="1"/>
  <c r="M2335" i="1"/>
  <c r="S2335" i="1"/>
  <c r="AA2335" i="1"/>
  <c r="A2335" i="1" s="1"/>
  <c r="AC2335" i="1"/>
  <c r="M2336" i="1"/>
  <c r="S2336" i="1"/>
  <c r="AA2336" i="1"/>
  <c r="A2336" i="1" s="1"/>
  <c r="AC2336" i="1"/>
  <c r="M2337" i="1"/>
  <c r="S2337" i="1"/>
  <c r="AA2337" i="1"/>
  <c r="A2337" i="1" s="1"/>
  <c r="AC2337" i="1"/>
  <c r="M2338" i="1"/>
  <c r="S2338" i="1"/>
  <c r="AA2338" i="1"/>
  <c r="A2338" i="1" s="1"/>
  <c r="AC2338" i="1"/>
  <c r="M2339" i="1"/>
  <c r="S2339" i="1"/>
  <c r="AA2339" i="1"/>
  <c r="A2339" i="1" s="1"/>
  <c r="AC2339" i="1"/>
  <c r="M2340" i="1"/>
  <c r="S2340" i="1"/>
  <c r="AA2340" i="1"/>
  <c r="A2340" i="1" s="1"/>
  <c r="AC2340" i="1"/>
  <c r="M2341" i="1"/>
  <c r="S2341" i="1"/>
  <c r="AA2341" i="1"/>
  <c r="A2341" i="1" s="1"/>
  <c r="AC2341" i="1"/>
  <c r="M2342" i="1"/>
  <c r="S2342" i="1"/>
  <c r="AA2342" i="1"/>
  <c r="A2342" i="1" s="1"/>
  <c r="AC2342" i="1"/>
  <c r="M2343" i="1"/>
  <c r="S2343" i="1"/>
  <c r="AA2343" i="1"/>
  <c r="A2343" i="1" s="1"/>
  <c r="AC2343" i="1"/>
  <c r="M2344" i="1"/>
  <c r="S2344" i="1"/>
  <c r="AA2344" i="1"/>
  <c r="A2344" i="1" s="1"/>
  <c r="AC2344" i="1"/>
  <c r="M2345" i="1"/>
  <c r="S2345" i="1"/>
  <c r="AA2345" i="1"/>
  <c r="A2345" i="1" s="1"/>
  <c r="AC2345" i="1"/>
  <c r="M2346" i="1"/>
  <c r="S2346" i="1"/>
  <c r="AA2346" i="1"/>
  <c r="A2346" i="1" s="1"/>
  <c r="AC2346" i="1"/>
  <c r="M2347" i="1"/>
  <c r="S2347" i="1"/>
  <c r="AA2347" i="1"/>
  <c r="A2347" i="1" s="1"/>
  <c r="AC2347" i="1"/>
  <c r="M2348" i="1"/>
  <c r="S2348" i="1"/>
  <c r="AA2348" i="1"/>
  <c r="A2348" i="1" s="1"/>
  <c r="AC2348" i="1"/>
  <c r="M2349" i="1"/>
  <c r="S2349" i="1"/>
  <c r="AA2349" i="1"/>
  <c r="A2349" i="1" s="1"/>
  <c r="AC2349" i="1"/>
  <c r="M2350" i="1"/>
  <c r="S2350" i="1"/>
  <c r="AA2350" i="1"/>
  <c r="A2350" i="1" s="1"/>
  <c r="AC2350" i="1"/>
  <c r="M2351" i="1"/>
  <c r="S2351" i="1"/>
  <c r="AA2351" i="1"/>
  <c r="A2351" i="1" s="1"/>
  <c r="AC2351" i="1"/>
  <c r="M2352" i="1"/>
  <c r="S2352" i="1"/>
  <c r="AA2352" i="1"/>
  <c r="A2352" i="1" s="1"/>
  <c r="AC2352" i="1"/>
  <c r="M2353" i="1"/>
  <c r="S2353" i="1"/>
  <c r="AA2353" i="1"/>
  <c r="A2353" i="1" s="1"/>
  <c r="AC2353" i="1"/>
  <c r="M2354" i="1"/>
  <c r="S2354" i="1"/>
  <c r="AA2354" i="1"/>
  <c r="A2354" i="1" s="1"/>
  <c r="AC2354" i="1"/>
  <c r="M2355" i="1"/>
  <c r="S2355" i="1"/>
  <c r="AA2355" i="1"/>
  <c r="A2355" i="1" s="1"/>
  <c r="AC2355" i="1"/>
  <c r="M2356" i="1"/>
  <c r="S2356" i="1"/>
  <c r="AA2356" i="1"/>
  <c r="A2356" i="1" s="1"/>
  <c r="AC2356" i="1"/>
  <c r="M2357" i="1"/>
  <c r="S2357" i="1"/>
  <c r="AA2357" i="1"/>
  <c r="A2357" i="1" s="1"/>
  <c r="AC2357" i="1"/>
  <c r="M2358" i="1"/>
  <c r="S2358" i="1"/>
  <c r="AA2358" i="1"/>
  <c r="A2358" i="1" s="1"/>
  <c r="AC2358" i="1"/>
  <c r="M2359" i="1"/>
  <c r="S2359" i="1"/>
  <c r="AA2359" i="1"/>
  <c r="A2359" i="1" s="1"/>
  <c r="AC2359" i="1"/>
  <c r="M2360" i="1"/>
  <c r="S2360" i="1"/>
  <c r="AA2360" i="1"/>
  <c r="A2360" i="1" s="1"/>
  <c r="AC2360" i="1"/>
  <c r="M2361" i="1"/>
  <c r="S2361" i="1"/>
  <c r="AA2361" i="1"/>
  <c r="A2361" i="1" s="1"/>
  <c r="AC2361" i="1"/>
  <c r="M2362" i="1"/>
  <c r="S2362" i="1"/>
  <c r="AA2362" i="1"/>
  <c r="A2362" i="1" s="1"/>
  <c r="AC2362" i="1"/>
  <c r="M2363" i="1"/>
  <c r="S2363" i="1"/>
  <c r="AA2363" i="1"/>
  <c r="A2363" i="1" s="1"/>
  <c r="AC2363" i="1"/>
  <c r="M2364" i="1"/>
  <c r="S2364" i="1"/>
  <c r="AA2364" i="1"/>
  <c r="A2364" i="1" s="1"/>
  <c r="AC2364" i="1"/>
  <c r="M2365" i="1"/>
  <c r="S2365" i="1"/>
  <c r="AA2365" i="1"/>
  <c r="A2365" i="1" s="1"/>
  <c r="AC2365" i="1"/>
  <c r="M2366" i="1"/>
  <c r="S2366" i="1"/>
  <c r="AA2366" i="1"/>
  <c r="A2366" i="1" s="1"/>
  <c r="AC2366" i="1"/>
  <c r="M2367" i="1"/>
  <c r="S2367" i="1"/>
  <c r="AA2367" i="1"/>
  <c r="A2367" i="1" s="1"/>
  <c r="AC2367" i="1"/>
  <c r="M2368" i="1"/>
  <c r="S2368" i="1"/>
  <c r="AA2368" i="1"/>
  <c r="A2368" i="1" s="1"/>
  <c r="AC2368" i="1"/>
  <c r="M2369" i="1"/>
  <c r="S2369" i="1"/>
  <c r="AA2369" i="1"/>
  <c r="A2369" i="1" s="1"/>
  <c r="AC2369" i="1"/>
  <c r="M2370" i="1"/>
  <c r="S2370" i="1"/>
  <c r="AA2370" i="1"/>
  <c r="A2370" i="1" s="1"/>
  <c r="AC2370" i="1"/>
  <c r="M2371" i="1"/>
  <c r="S2371" i="1"/>
  <c r="AA2371" i="1"/>
  <c r="A2371" i="1" s="1"/>
  <c r="AC2371" i="1"/>
  <c r="G24" i="6" l="1"/>
  <c r="M24" i="6"/>
  <c r="G22" i="6"/>
  <c r="M22" i="6"/>
  <c r="G15" i="6"/>
  <c r="M15" i="6"/>
  <c r="G16" i="6"/>
  <c r="M16" i="6"/>
  <c r="G28" i="6"/>
  <c r="M28" i="6"/>
  <c r="G30" i="6"/>
  <c r="M30" i="6"/>
  <c r="G33" i="6"/>
  <c r="M33" i="6"/>
  <c r="G32" i="6"/>
  <c r="M32" i="6"/>
  <c r="G34" i="6"/>
  <c r="M34" i="6"/>
  <c r="G23" i="6"/>
  <c r="M23" i="6"/>
  <c r="G7" i="6"/>
  <c r="M7" i="6"/>
  <c r="G8" i="6"/>
  <c r="G9" i="6"/>
  <c r="G10" i="6"/>
  <c r="M10" i="6"/>
  <c r="G11" i="6"/>
  <c r="G12" i="6"/>
  <c r="G13" i="6"/>
  <c r="M13" i="6"/>
  <c r="G38" i="6"/>
  <c r="M38" i="6"/>
  <c r="G51" i="6"/>
  <c r="M51" i="6"/>
  <c r="G46" i="6"/>
  <c r="M46" i="6"/>
  <c r="G47" i="6"/>
  <c r="M47" i="6"/>
  <c r="G42" i="6"/>
  <c r="M42" i="6"/>
  <c r="G43" i="6"/>
  <c r="M43" i="6"/>
  <c r="G39" i="6"/>
  <c r="M39" i="6"/>
  <c r="G36" i="6"/>
  <c r="M36" i="6"/>
  <c r="G37" i="6"/>
  <c r="M37" i="6"/>
  <c r="M52" i="6"/>
  <c r="G53" i="6"/>
  <c r="M53" i="6"/>
  <c r="G54" i="6"/>
  <c r="M54" i="6"/>
  <c r="G35" i="6"/>
  <c r="M35" i="6"/>
  <c r="G29" i="6"/>
  <c r="M29" i="6"/>
  <c r="G25" i="6"/>
  <c r="M25" i="6"/>
  <c r="G14" i="6"/>
  <c r="M14" i="6"/>
  <c r="G26" i="6"/>
  <c r="M26" i="6"/>
  <c r="G27" i="6"/>
  <c r="M27" i="6"/>
  <c r="G55" i="6"/>
  <c r="G59" i="6"/>
  <c r="M59" i="6"/>
  <c r="G61" i="6"/>
  <c r="M61" i="6"/>
  <c r="G62" i="6"/>
  <c r="M62" i="6"/>
  <c r="G60" i="6"/>
  <c r="M60" i="6"/>
  <c r="G57" i="6"/>
  <c r="M57" i="6"/>
  <c r="G58" i="6"/>
  <c r="M58" i="6"/>
  <c r="G65" i="6"/>
  <c r="M65" i="6"/>
  <c r="G40" i="6"/>
  <c r="M40" i="6"/>
  <c r="G41" i="6"/>
  <c r="M41" i="6"/>
  <c r="G44" i="6"/>
  <c r="M44" i="6"/>
  <c r="G68" i="6"/>
  <c r="M68" i="6"/>
  <c r="G69" i="6"/>
  <c r="M69" i="6"/>
  <c r="G70" i="6"/>
  <c r="M70" i="6"/>
  <c r="G71" i="6"/>
  <c r="M71" i="6"/>
  <c r="G66" i="6"/>
  <c r="M66" i="6"/>
  <c r="G67" i="6"/>
  <c r="M67" i="6"/>
  <c r="G74" i="6"/>
  <c r="M74" i="6"/>
  <c r="G78" i="6"/>
  <c r="M78" i="6"/>
  <c r="G77" i="6"/>
  <c r="M77" i="6"/>
  <c r="G72" i="6"/>
  <c r="M72" i="6"/>
  <c r="G73" i="6"/>
  <c r="M73" i="6"/>
  <c r="G75" i="6"/>
  <c r="M75" i="6"/>
  <c r="G76" i="6"/>
  <c r="M76" i="6"/>
  <c r="G85" i="6"/>
  <c r="M85" i="6"/>
  <c r="G86" i="6"/>
  <c r="G87" i="6"/>
  <c r="G88" i="6"/>
  <c r="M88" i="6"/>
  <c r="G89" i="6"/>
  <c r="M89" i="6"/>
  <c r="G90" i="6"/>
  <c r="M90" i="6"/>
  <c r="G91" i="6"/>
  <c r="G5" i="6"/>
  <c r="M5" i="6"/>
  <c r="G92" i="6"/>
  <c r="M92" i="6"/>
  <c r="G48" i="6"/>
  <c r="M48" i="6"/>
  <c r="G49" i="6"/>
  <c r="M49" i="6"/>
  <c r="G50" i="6"/>
  <c r="M50" i="6"/>
  <c r="G45" i="6"/>
  <c r="M45" i="6"/>
  <c r="G56" i="6"/>
  <c r="M56" i="6"/>
  <c r="G31" i="6"/>
  <c r="M31" i="6"/>
  <c r="G93" i="6"/>
  <c r="M93" i="6"/>
  <c r="G94" i="6"/>
  <c r="M94" i="6"/>
  <c r="G95" i="6"/>
  <c r="M95" i="6"/>
  <c r="G96" i="6"/>
  <c r="M96" i="6"/>
  <c r="G97" i="6"/>
  <c r="G103" i="6"/>
  <c r="M103" i="6"/>
  <c r="G104" i="6"/>
  <c r="M104" i="6"/>
  <c r="G105" i="6"/>
  <c r="M105" i="6"/>
  <c r="G98" i="6"/>
  <c r="M98" i="6"/>
  <c r="G99" i="6"/>
  <c r="M99" i="6"/>
  <c r="G100" i="6"/>
  <c r="M100" i="6"/>
  <c r="G101" i="6"/>
  <c r="M101" i="6"/>
  <c r="G102" i="6"/>
  <c r="M102" i="6"/>
  <c r="G106" i="6"/>
  <c r="M106" i="6"/>
  <c r="G107" i="6"/>
  <c r="M107" i="6"/>
  <c r="G112" i="6"/>
  <c r="M112" i="6"/>
  <c r="G113" i="6"/>
  <c r="M113" i="6"/>
  <c r="G111" i="6"/>
  <c r="M111" i="6"/>
  <c r="G108" i="6"/>
  <c r="M108" i="6"/>
  <c r="G127" i="6"/>
  <c r="M127" i="6"/>
  <c r="G128" i="6"/>
  <c r="M128" i="6"/>
  <c r="G109" i="6"/>
  <c r="M109" i="6"/>
  <c r="M385" i="6"/>
  <c r="G114" i="6"/>
  <c r="M114" i="6"/>
  <c r="G115" i="6"/>
  <c r="M115" i="6"/>
  <c r="G116" i="6"/>
  <c r="M116" i="6"/>
  <c r="G117" i="6"/>
  <c r="M117" i="6"/>
  <c r="G118" i="6"/>
  <c r="M118" i="6"/>
  <c r="G119" i="6"/>
  <c r="M119" i="6"/>
  <c r="G120" i="6"/>
  <c r="M120" i="6"/>
  <c r="G121" i="6"/>
  <c r="M121" i="6"/>
  <c r="G122" i="6"/>
  <c r="M122" i="6"/>
  <c r="G123" i="6"/>
  <c r="M123" i="6"/>
  <c r="G137" i="6"/>
  <c r="M137" i="6"/>
  <c r="G138" i="6"/>
  <c r="M138" i="6"/>
  <c r="G133" i="6"/>
  <c r="M133" i="6"/>
  <c r="G139" i="6"/>
  <c r="M139" i="6"/>
  <c r="G140" i="6"/>
  <c r="M140" i="6"/>
  <c r="G141" i="6"/>
  <c r="M141" i="6"/>
  <c r="G142" i="6"/>
  <c r="M142" i="6"/>
  <c r="G143" i="6"/>
  <c r="M143" i="6"/>
  <c r="G144" i="6"/>
  <c r="M144" i="6"/>
  <c r="G145" i="6"/>
  <c r="M145" i="6"/>
  <c r="G146" i="6"/>
  <c r="M146" i="6"/>
  <c r="G147" i="6"/>
  <c r="M147" i="6"/>
  <c r="G148" i="6"/>
  <c r="M148" i="6"/>
  <c r="G161" i="6"/>
  <c r="M161" i="6"/>
  <c r="G162" i="6"/>
  <c r="M162" i="6"/>
  <c r="G110" i="6"/>
  <c r="M110" i="6"/>
  <c r="G4" i="6"/>
  <c r="M4" i="6"/>
  <c r="G166" i="6"/>
  <c r="M166" i="6"/>
  <c r="G167" i="6"/>
  <c r="M167" i="6"/>
  <c r="G168" i="6"/>
  <c r="M168" i="6"/>
  <c r="G169" i="6"/>
  <c r="M169" i="6"/>
  <c r="M170" i="6"/>
  <c r="M171" i="6"/>
  <c r="G175" i="6"/>
  <c r="M175" i="6"/>
  <c r="M176" i="6"/>
  <c r="M172" i="6"/>
  <c r="M173" i="6"/>
  <c r="M174" i="6"/>
  <c r="M82" i="6"/>
  <c r="M83" i="6"/>
  <c r="M84" i="6"/>
  <c r="M177" i="6"/>
  <c r="M178" i="6"/>
  <c r="M179" i="6"/>
  <c r="M163" i="6"/>
  <c r="M164" i="6"/>
  <c r="M165" i="6"/>
  <c r="M180" i="6"/>
  <c r="M324" i="6"/>
  <c r="M278" i="6"/>
  <c r="M279" i="6"/>
  <c r="M134" i="6"/>
  <c r="M135" i="6"/>
  <c r="M136" i="6"/>
  <c r="M79" i="6"/>
  <c r="M80" i="6"/>
  <c r="M81" i="6"/>
  <c r="M181" i="6"/>
  <c r="M182" i="6"/>
  <c r="M184" i="6"/>
  <c r="M185" i="6"/>
  <c r="M153" i="6"/>
  <c r="M154" i="6"/>
  <c r="M155" i="6"/>
  <c r="M156" i="6"/>
  <c r="M157" i="6"/>
  <c r="M158" i="6"/>
  <c r="M159" i="6"/>
  <c r="M160" i="6"/>
  <c r="M124" i="6"/>
  <c r="M129" i="6"/>
  <c r="M130" i="6"/>
  <c r="M125" i="6"/>
  <c r="M126" i="6"/>
  <c r="M131" i="6"/>
  <c r="M132" i="6"/>
  <c r="M189" i="6"/>
  <c r="M190" i="6"/>
  <c r="M183" i="6"/>
  <c r="M188" i="6"/>
  <c r="M192" i="6"/>
  <c r="M193" i="6"/>
  <c r="M194" i="6"/>
  <c r="M195" i="6"/>
  <c r="M196" i="6"/>
  <c r="M198" i="6"/>
  <c r="M197" i="6"/>
  <c r="M191" i="6"/>
  <c r="M200" i="6"/>
  <c r="M201" i="6"/>
  <c r="M203" i="6"/>
  <c r="M204" i="6"/>
  <c r="M205" i="6"/>
  <c r="M206" i="6"/>
  <c r="M207" i="6"/>
  <c r="M208" i="6"/>
  <c r="M209" i="6"/>
  <c r="M212" i="6"/>
  <c r="M63" i="6"/>
  <c r="M64" i="6"/>
  <c r="M215" i="6"/>
  <c r="M216" i="6"/>
  <c r="M219" i="6"/>
  <c r="M213" i="6"/>
  <c r="M214" i="6"/>
  <c r="M218" i="6"/>
  <c r="M220" i="6"/>
  <c r="M225" i="6"/>
  <c r="M222" i="6"/>
  <c r="M223" i="6"/>
  <c r="M224" i="6"/>
  <c r="M226" i="6"/>
  <c r="M228" i="6"/>
  <c r="M253" i="6"/>
  <c r="M227" i="6"/>
  <c r="M254" i="6"/>
  <c r="M255" i="6"/>
  <c r="M256" i="6"/>
  <c r="M257" i="6"/>
  <c r="M258" i="6"/>
  <c r="M259" i="6"/>
  <c r="M252" i="6"/>
  <c r="M260" i="6"/>
  <c r="M261" i="6"/>
  <c r="M263" i="6"/>
  <c r="M262" i="6"/>
  <c r="M264" i="6"/>
  <c r="M268" i="6"/>
  <c r="M270" i="6"/>
  <c r="M277" i="6"/>
  <c r="M271" i="6"/>
  <c r="M276" i="6"/>
  <c r="M272" i="6"/>
  <c r="M273" i="6"/>
  <c r="M274" i="6"/>
  <c r="M275" i="6"/>
  <c r="M280" i="6"/>
  <c r="M281" i="6"/>
  <c r="M282" i="6"/>
  <c r="M283" i="6"/>
  <c r="M284" i="6"/>
  <c r="M286" i="6"/>
  <c r="M287" i="6"/>
  <c r="M288" i="6"/>
  <c r="M289" i="6"/>
  <c r="M285" i="6"/>
  <c r="M265" i="6"/>
  <c r="M266" i="6"/>
  <c r="M267" i="6"/>
  <c r="M210" i="6"/>
  <c r="M211" i="6"/>
  <c r="M290" i="6"/>
  <c r="M291" i="6"/>
  <c r="M292" i="6"/>
  <c r="M293" i="6"/>
  <c r="M297" i="6"/>
  <c r="M298" i="6"/>
  <c r="M299" i="6"/>
  <c r="M300" i="6"/>
  <c r="M306" i="6"/>
  <c r="M302" i="6"/>
  <c r="M303" i="6"/>
  <c r="M304" i="6"/>
  <c r="M305" i="6"/>
  <c r="M301" i="6"/>
  <c r="M296" i="6"/>
  <c r="M229" i="6"/>
  <c r="M230" i="6"/>
  <c r="M231" i="6"/>
  <c r="M232" i="6"/>
  <c r="M233" i="6"/>
  <c r="M234" i="6"/>
  <c r="M235" i="6"/>
  <c r="M236" i="6"/>
  <c r="M237" i="6"/>
  <c r="M238" i="6"/>
  <c r="M295" i="6"/>
  <c r="M239" i="6"/>
  <c r="M240" i="6"/>
  <c r="M241" i="6"/>
  <c r="M242" i="6"/>
  <c r="M307" i="6"/>
  <c r="M308" i="6"/>
  <c r="M309" i="6"/>
  <c r="M310" i="6"/>
  <c r="M313" i="6"/>
  <c r="M243" i="6"/>
  <c r="M244" i="6"/>
  <c r="M245" i="6"/>
  <c r="M246" i="6"/>
  <c r="M247" i="6"/>
  <c r="M248" i="6"/>
  <c r="M249" i="6"/>
  <c r="M250" i="6"/>
  <c r="M251" i="6"/>
  <c r="M315" i="6"/>
  <c r="M314" i="6"/>
  <c r="M320" i="6"/>
  <c r="M321" i="6"/>
  <c r="M322" i="6"/>
  <c r="M312" i="6"/>
  <c r="M311" i="6"/>
  <c r="M199" i="6"/>
  <c r="M186" i="6"/>
  <c r="M187" i="6"/>
  <c r="M149" i="6"/>
  <c r="M150" i="6"/>
  <c r="M151" i="6"/>
  <c r="M152" i="6"/>
  <c r="M217" i="6"/>
  <c r="M221" i="6"/>
  <c r="M327" i="6"/>
  <c r="M330" i="6"/>
  <c r="M331" i="6"/>
  <c r="M328" i="6"/>
  <c r="M329" i="6"/>
  <c r="M326" i="6"/>
  <c r="M334" i="6"/>
  <c r="M335" i="6"/>
  <c r="M336" i="6"/>
  <c r="M337" i="6"/>
  <c r="M332" i="6"/>
  <c r="M338" i="6"/>
  <c r="M339" i="6"/>
  <c r="M341" i="6"/>
  <c r="M342" i="6"/>
  <c r="M343" i="6"/>
  <c r="M344" i="6"/>
  <c r="M347" i="6"/>
  <c r="M348" i="6"/>
  <c r="M349" i="6"/>
  <c r="M350" i="6"/>
  <c r="M351" i="6"/>
  <c r="M352" i="6"/>
  <c r="M346" i="6"/>
  <c r="M353" i="6"/>
  <c r="M354" i="6"/>
  <c r="M355" i="6"/>
  <c r="M356" i="6"/>
  <c r="M357" i="6"/>
  <c r="M358" i="6"/>
  <c r="M359" i="6"/>
  <c r="M360" i="6"/>
  <c r="M361" i="6"/>
  <c r="M362" i="6"/>
  <c r="M363" i="6"/>
  <c r="M365" i="6"/>
  <c r="M366" i="6"/>
  <c r="M367" i="6"/>
  <c r="M368" i="6"/>
  <c r="M369" i="6"/>
  <c r="M316" i="6"/>
  <c r="M345" i="6"/>
  <c r="M370" i="6"/>
  <c r="M371" i="6"/>
  <c r="M372" i="6"/>
  <c r="M384" i="6"/>
  <c r="M386" i="6"/>
  <c r="M387" i="6"/>
  <c r="M388" i="6"/>
  <c r="M389" i="6"/>
  <c r="M390" i="6"/>
  <c r="M391" i="6"/>
  <c r="M392" i="6"/>
  <c r="M394" i="6"/>
  <c r="M395" i="6"/>
  <c r="M398" i="6"/>
  <c r="M400" i="6"/>
  <c r="M405" i="6"/>
  <c r="M406" i="6"/>
  <c r="M414"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N489" i="6"/>
  <c r="A489" i="6" s="1"/>
  <c r="M490" i="6"/>
  <c r="N490" i="6"/>
  <c r="A490" i="6" s="1"/>
  <c r="M491" i="6"/>
  <c r="N491" i="6"/>
  <c r="A491" i="6" s="1"/>
  <c r="M492" i="6"/>
  <c r="N492" i="6"/>
  <c r="A492" i="6" s="1"/>
  <c r="M493" i="6"/>
  <c r="N493" i="6"/>
  <c r="A493" i="6" s="1"/>
  <c r="M494" i="6"/>
  <c r="N494" i="6"/>
  <c r="A494" i="6" s="1"/>
  <c r="M495" i="6"/>
  <c r="N495" i="6"/>
  <c r="A495" i="6" s="1"/>
  <c r="M496" i="6"/>
  <c r="N496" i="6"/>
  <c r="A496" i="6" s="1"/>
  <c r="M497" i="6"/>
  <c r="N497" i="6"/>
  <c r="A497" i="6" s="1"/>
  <c r="M498" i="6"/>
  <c r="N498" i="6"/>
  <c r="A498" i="6" s="1"/>
  <c r="M499" i="6"/>
  <c r="N499" i="6"/>
  <c r="A499" i="6" s="1"/>
  <c r="M500" i="6"/>
  <c r="N500" i="6"/>
  <c r="A500" i="6" s="1"/>
  <c r="M501" i="6"/>
  <c r="N501" i="6"/>
  <c r="A501" i="6" s="1"/>
  <c r="M502" i="6"/>
  <c r="N502" i="6"/>
  <c r="A502" i="6" s="1"/>
  <c r="M503" i="6"/>
  <c r="N503" i="6"/>
  <c r="A503" i="6" s="1"/>
  <c r="M504" i="6"/>
  <c r="N504" i="6"/>
  <c r="A504" i="6" s="1"/>
  <c r="M505" i="6"/>
  <c r="N505" i="6"/>
  <c r="A505" i="6" s="1"/>
  <c r="M506" i="6"/>
  <c r="N506" i="6"/>
  <c r="A506" i="6" s="1"/>
  <c r="M507" i="6"/>
  <c r="N507" i="6"/>
  <c r="A507" i="6" s="1"/>
  <c r="M508" i="6"/>
  <c r="N508" i="6"/>
  <c r="A508" i="6" s="1"/>
  <c r="M509" i="6"/>
  <c r="N509" i="6"/>
  <c r="A509" i="6" s="1"/>
  <c r="M510" i="6"/>
  <c r="N510" i="6"/>
  <c r="A510" i="6" s="1"/>
  <c r="M511" i="6"/>
  <c r="N511" i="6"/>
  <c r="A511" i="6" s="1"/>
  <c r="M512" i="6"/>
  <c r="N512" i="6"/>
  <c r="A512" i="6" s="1"/>
  <c r="M513" i="6"/>
  <c r="N513" i="6"/>
  <c r="A513" i="6" s="1"/>
  <c r="M514" i="6"/>
  <c r="N514" i="6"/>
  <c r="A514" i="6" s="1"/>
  <c r="M515" i="6"/>
  <c r="N515" i="6"/>
  <c r="A515" i="6" s="1"/>
  <c r="M516" i="6"/>
  <c r="N516" i="6"/>
  <c r="A516" i="6" s="1"/>
  <c r="M517" i="6"/>
  <c r="N517" i="6"/>
  <c r="A517" i="6" s="1"/>
  <c r="M518" i="6"/>
  <c r="N518" i="6"/>
  <c r="A518" i="6" s="1"/>
  <c r="M519" i="6"/>
  <c r="N519" i="6"/>
  <c r="A519" i="6" s="1"/>
  <c r="M520" i="6"/>
  <c r="N520" i="6"/>
  <c r="A520" i="6" s="1"/>
  <c r="M521" i="6"/>
  <c r="N521" i="6"/>
  <c r="A521" i="6" s="1"/>
  <c r="M522" i="6"/>
  <c r="N522" i="6"/>
  <c r="A522" i="6" s="1"/>
  <c r="M523" i="6"/>
  <c r="N523" i="6"/>
  <c r="A523" i="6" s="1"/>
  <c r="M524" i="6"/>
  <c r="N524" i="6"/>
  <c r="A524" i="6" s="1"/>
  <c r="M525" i="6"/>
  <c r="N525" i="6"/>
  <c r="A525" i="6" s="1"/>
  <c r="M526" i="6"/>
  <c r="N526" i="6"/>
  <c r="A526" i="6" s="1"/>
  <c r="M527" i="6"/>
  <c r="N527" i="6"/>
  <c r="A527" i="6" s="1"/>
  <c r="M528" i="6"/>
  <c r="N528" i="6"/>
  <c r="A528" i="6" s="1"/>
  <c r="M529" i="6"/>
  <c r="N529" i="6"/>
  <c r="A529" i="6" s="1"/>
  <c r="M530" i="6"/>
  <c r="N530" i="6"/>
  <c r="A530" i="6" s="1"/>
  <c r="M531" i="6"/>
  <c r="N531" i="6"/>
  <c r="A531" i="6" s="1"/>
  <c r="M532" i="6"/>
  <c r="N532" i="6"/>
  <c r="A532" i="6" s="1"/>
  <c r="M533" i="6"/>
  <c r="N533" i="6"/>
  <c r="A533" i="6" s="1"/>
  <c r="M534" i="6"/>
  <c r="N534" i="6"/>
  <c r="A534" i="6" s="1"/>
  <c r="M535" i="6"/>
  <c r="N535" i="6"/>
  <c r="A535" i="6" s="1"/>
  <c r="M536" i="6"/>
  <c r="N536" i="6"/>
  <c r="A536" i="6" s="1"/>
  <c r="M537" i="6"/>
  <c r="N537" i="6"/>
  <c r="A537" i="6" s="1"/>
  <c r="M538" i="6"/>
  <c r="N538" i="6"/>
  <c r="A538" i="6" s="1"/>
  <c r="M539" i="6"/>
  <c r="N539" i="6"/>
  <c r="A539" i="6" s="1"/>
  <c r="M540" i="6"/>
  <c r="N540" i="6"/>
  <c r="A540" i="6" s="1"/>
  <c r="M541" i="6"/>
  <c r="N541" i="6"/>
  <c r="A541" i="6" s="1"/>
  <c r="M542" i="6"/>
  <c r="N542" i="6"/>
  <c r="A542" i="6" s="1"/>
  <c r="M543" i="6"/>
  <c r="N543" i="6"/>
  <c r="A543" i="6" s="1"/>
  <c r="M544" i="6"/>
  <c r="N544" i="6"/>
  <c r="A544" i="6" s="1"/>
  <c r="M545" i="6"/>
  <c r="N545" i="6"/>
  <c r="A545" i="6" s="1"/>
  <c r="M546" i="6"/>
  <c r="N546" i="6"/>
  <c r="A546" i="6" s="1"/>
  <c r="M547" i="6"/>
  <c r="N547" i="6"/>
  <c r="A547" i="6" s="1"/>
  <c r="M548" i="6"/>
  <c r="N548" i="6"/>
  <c r="A548" i="6" s="1"/>
  <c r="M549" i="6"/>
  <c r="N549" i="6"/>
  <c r="A549" i="6" s="1"/>
  <c r="M550" i="6"/>
  <c r="N550" i="6"/>
  <c r="A550" i="6" s="1"/>
  <c r="M551" i="6"/>
  <c r="N551" i="6"/>
  <c r="A551" i="6" s="1"/>
  <c r="M552" i="6"/>
  <c r="N552" i="6"/>
  <c r="A552" i="6" s="1"/>
  <c r="M553" i="6"/>
  <c r="N553" i="6"/>
  <c r="A553" i="6" s="1"/>
  <c r="M554" i="6"/>
  <c r="N554" i="6"/>
  <c r="A554" i="6" s="1"/>
  <c r="M555" i="6"/>
  <c r="N555" i="6"/>
  <c r="A555" i="6" s="1"/>
  <c r="M556" i="6"/>
  <c r="N556" i="6"/>
  <c r="A556" i="6" s="1"/>
  <c r="M557" i="6"/>
  <c r="N557" i="6"/>
  <c r="A557" i="6" s="1"/>
  <c r="M558" i="6"/>
  <c r="N558" i="6"/>
  <c r="A558" i="6" s="1"/>
  <c r="M559" i="6"/>
  <c r="N559" i="6"/>
  <c r="A559" i="6" s="1"/>
  <c r="M560" i="6"/>
  <c r="N560" i="6"/>
  <c r="A560" i="6" s="1"/>
  <c r="M561" i="6"/>
  <c r="N561" i="6"/>
  <c r="A561" i="6" s="1"/>
  <c r="M562" i="6"/>
  <c r="N562" i="6"/>
  <c r="A562" i="6" s="1"/>
  <c r="M563" i="6"/>
  <c r="N563" i="6"/>
  <c r="A563" i="6" s="1"/>
  <c r="M564" i="6"/>
  <c r="N564" i="6"/>
  <c r="A564" i="6" s="1"/>
  <c r="M565" i="6"/>
  <c r="N565" i="6"/>
  <c r="A565" i="6" s="1"/>
  <c r="M566" i="6"/>
  <c r="N566" i="6"/>
  <c r="A566" i="6" s="1"/>
  <c r="M567" i="6"/>
  <c r="N567" i="6"/>
  <c r="A567" i="6" s="1"/>
  <c r="M568" i="6"/>
  <c r="N568" i="6"/>
  <c r="A568" i="6" s="1"/>
  <c r="M569" i="6"/>
  <c r="N569" i="6"/>
  <c r="A569" i="6" s="1"/>
  <c r="M570" i="6"/>
  <c r="N570" i="6"/>
  <c r="A570" i="6" s="1"/>
  <c r="M571" i="6"/>
  <c r="N571" i="6"/>
  <c r="A571" i="6" s="1"/>
  <c r="M572" i="6"/>
  <c r="N572" i="6"/>
  <c r="A572" i="6" s="1"/>
  <c r="M573" i="6"/>
  <c r="N573" i="6"/>
  <c r="A573" i="6" s="1"/>
  <c r="M574" i="6"/>
  <c r="N574" i="6"/>
  <c r="A574" i="6" s="1"/>
  <c r="M575" i="6"/>
  <c r="N575" i="6"/>
  <c r="A575" i="6" s="1"/>
  <c r="M576" i="6"/>
  <c r="N576" i="6"/>
  <c r="A576" i="6" s="1"/>
  <c r="M577" i="6"/>
  <c r="N577" i="6"/>
  <c r="A577" i="6" s="1"/>
  <c r="M578" i="6"/>
  <c r="N578" i="6"/>
  <c r="A578" i="6" s="1"/>
  <c r="M579" i="6"/>
  <c r="N579" i="6"/>
  <c r="A579" i="6" s="1"/>
  <c r="M580" i="6"/>
  <c r="N580" i="6"/>
  <c r="A580" i="6" s="1"/>
  <c r="M581" i="6"/>
  <c r="N581" i="6"/>
  <c r="A581" i="6" s="1"/>
  <c r="M582" i="6"/>
  <c r="N582" i="6"/>
  <c r="A582" i="6" s="1"/>
  <c r="M583" i="6"/>
  <c r="N583" i="6"/>
  <c r="A583" i="6" s="1"/>
  <c r="M584" i="6"/>
  <c r="N584" i="6"/>
  <c r="A584" i="6" s="1"/>
  <c r="M585" i="6"/>
  <c r="N585" i="6"/>
  <c r="A585" i="6" s="1"/>
  <c r="M586" i="6"/>
  <c r="N586" i="6"/>
  <c r="A586" i="6" s="1"/>
  <c r="M587" i="6"/>
  <c r="N587" i="6"/>
  <c r="A587" i="6" s="1"/>
  <c r="M588" i="6"/>
  <c r="N588" i="6"/>
  <c r="A588" i="6" s="1"/>
  <c r="M589" i="6"/>
  <c r="N589" i="6"/>
  <c r="A589" i="6" s="1"/>
  <c r="M590" i="6"/>
  <c r="N590" i="6"/>
  <c r="A590" i="6" s="1"/>
  <c r="M591" i="6"/>
  <c r="N591" i="6"/>
  <c r="A591" i="6" s="1"/>
  <c r="M592" i="6"/>
  <c r="N592" i="6"/>
  <c r="A592" i="6" s="1"/>
  <c r="M593" i="6"/>
  <c r="N593" i="6"/>
  <c r="A593" i="6" s="1"/>
  <c r="M594" i="6"/>
  <c r="N594" i="6"/>
  <c r="A594" i="6" s="1"/>
  <c r="M595" i="6"/>
  <c r="N595" i="6"/>
  <c r="A595" i="6" s="1"/>
  <c r="M596" i="6"/>
  <c r="N596" i="6"/>
  <c r="A596" i="6" s="1"/>
  <c r="M597" i="6"/>
  <c r="N597" i="6"/>
  <c r="A597" i="6" s="1"/>
  <c r="M598" i="6"/>
  <c r="N598" i="6"/>
  <c r="A598" i="6" s="1"/>
  <c r="M599" i="6"/>
  <c r="N599" i="6"/>
  <c r="A599" i="6" s="1"/>
  <c r="M600" i="6"/>
  <c r="N600" i="6"/>
  <c r="A600" i="6" s="1"/>
  <c r="M601" i="6"/>
  <c r="N601" i="6"/>
  <c r="A601" i="6" s="1"/>
  <c r="M602" i="6"/>
  <c r="N602" i="6"/>
  <c r="A602" i="6" s="1"/>
  <c r="M603" i="6"/>
  <c r="N603" i="6"/>
  <c r="A603" i="6" s="1"/>
  <c r="M604" i="6"/>
  <c r="N604" i="6"/>
  <c r="A604" i="6" s="1"/>
  <c r="M605" i="6"/>
  <c r="N605" i="6"/>
  <c r="A605" i="6" s="1"/>
  <c r="M606" i="6"/>
  <c r="N606" i="6"/>
  <c r="A606" i="6" s="1"/>
  <c r="M607" i="6"/>
  <c r="N607" i="6"/>
  <c r="A607" i="6" s="1"/>
  <c r="M608" i="6"/>
  <c r="N608" i="6"/>
  <c r="A608" i="6" s="1"/>
  <c r="M609" i="6"/>
  <c r="N609" i="6"/>
  <c r="A609" i="6" s="1"/>
  <c r="M610" i="6"/>
  <c r="N610" i="6"/>
  <c r="A610" i="6" s="1"/>
  <c r="M611" i="6"/>
  <c r="N611" i="6"/>
  <c r="A611" i="6" s="1"/>
  <c r="M612" i="6"/>
  <c r="N612" i="6"/>
  <c r="A612" i="6" s="1"/>
  <c r="M613" i="6"/>
  <c r="N613" i="6"/>
  <c r="A613" i="6" s="1"/>
  <c r="M614" i="6"/>
  <c r="N614" i="6"/>
  <c r="A614" i="6" s="1"/>
  <c r="M615" i="6"/>
  <c r="N615" i="6"/>
  <c r="A615" i="6" s="1"/>
  <c r="M616" i="6"/>
  <c r="N616" i="6"/>
  <c r="A616" i="6" s="1"/>
  <c r="M617" i="6"/>
  <c r="N617" i="6"/>
  <c r="A617" i="6" s="1"/>
  <c r="M618" i="6"/>
  <c r="N618" i="6"/>
  <c r="A618" i="6" s="1"/>
  <c r="M619" i="6"/>
  <c r="N619" i="6"/>
  <c r="A619" i="6" s="1"/>
  <c r="M620" i="6"/>
  <c r="N620" i="6"/>
  <c r="A620" i="6" s="1"/>
  <c r="M621" i="6"/>
  <c r="N621" i="6"/>
  <c r="A621" i="6" s="1"/>
  <c r="M622" i="6"/>
  <c r="N622" i="6"/>
  <c r="A622" i="6" s="1"/>
  <c r="M623" i="6"/>
  <c r="N623" i="6"/>
  <c r="A623" i="6" s="1"/>
  <c r="M624" i="6"/>
  <c r="N624" i="6"/>
  <c r="A624" i="6" s="1"/>
  <c r="M625" i="6"/>
  <c r="N625" i="6"/>
  <c r="A625" i="6" s="1"/>
  <c r="M626" i="6"/>
  <c r="N626" i="6"/>
  <c r="A626" i="6" s="1"/>
  <c r="M627" i="6"/>
  <c r="N627" i="6"/>
  <c r="A627" i="6" s="1"/>
  <c r="M628" i="6"/>
  <c r="N628" i="6"/>
  <c r="A628" i="6" s="1"/>
  <c r="M629" i="6"/>
  <c r="N629" i="6"/>
  <c r="A629" i="6" s="1"/>
  <c r="M630" i="6"/>
  <c r="N630" i="6"/>
  <c r="A630" i="6" s="1"/>
  <c r="M631" i="6"/>
  <c r="N631" i="6"/>
  <c r="A631" i="6" s="1"/>
  <c r="M632" i="6"/>
  <c r="N632" i="6"/>
  <c r="A632" i="6" s="1"/>
  <c r="M633" i="6"/>
  <c r="N633" i="6"/>
  <c r="A633" i="6" s="1"/>
  <c r="M634" i="6"/>
  <c r="N634" i="6"/>
  <c r="A634" i="6" s="1"/>
  <c r="M635" i="6"/>
  <c r="N635" i="6"/>
  <c r="A635" i="6" s="1"/>
  <c r="M636" i="6"/>
  <c r="N636" i="6"/>
  <c r="A636" i="6" s="1"/>
  <c r="M637" i="6"/>
  <c r="N637" i="6"/>
  <c r="A637" i="6" s="1"/>
  <c r="M638" i="6"/>
  <c r="N638" i="6"/>
  <c r="A638" i="6" s="1"/>
  <c r="M639" i="6"/>
  <c r="N639" i="6"/>
  <c r="A639" i="6" s="1"/>
  <c r="M640" i="6"/>
  <c r="N640" i="6"/>
  <c r="A640" i="6" s="1"/>
  <c r="M641" i="6"/>
  <c r="N641" i="6"/>
  <c r="A641" i="6" s="1"/>
  <c r="M642" i="6"/>
  <c r="N642" i="6"/>
  <c r="A642" i="6" s="1"/>
  <c r="M643" i="6"/>
  <c r="N643" i="6"/>
  <c r="A643" i="6" s="1"/>
  <c r="M644" i="6"/>
  <c r="N644" i="6"/>
  <c r="A644" i="6" s="1"/>
  <c r="M645" i="6"/>
  <c r="N645" i="6"/>
  <c r="A645" i="6" s="1"/>
  <c r="M646" i="6"/>
  <c r="N646" i="6"/>
  <c r="A646" i="6" s="1"/>
  <c r="M647" i="6"/>
  <c r="N647" i="6"/>
  <c r="A647" i="6" s="1"/>
  <c r="M648" i="6"/>
  <c r="N648" i="6"/>
  <c r="A648" i="6" s="1"/>
  <c r="M649" i="6"/>
  <c r="N649" i="6"/>
  <c r="A649" i="6" s="1"/>
  <c r="M650" i="6"/>
  <c r="N650" i="6"/>
  <c r="A650" i="6" s="1"/>
  <c r="M651" i="6"/>
  <c r="N651" i="6"/>
  <c r="A651" i="6" s="1"/>
  <c r="M652" i="6"/>
  <c r="N652" i="6"/>
  <c r="A652" i="6" s="1"/>
  <c r="M653" i="6"/>
  <c r="N653" i="6"/>
  <c r="A653" i="6" s="1"/>
  <c r="M654" i="6"/>
  <c r="N654" i="6"/>
  <c r="A654" i="6" s="1"/>
  <c r="M655" i="6"/>
  <c r="N655" i="6"/>
  <c r="A655" i="6" s="1"/>
  <c r="M656" i="6"/>
  <c r="N656" i="6"/>
  <c r="A656" i="6" s="1"/>
  <c r="M657" i="6"/>
  <c r="N657" i="6"/>
  <c r="A657" i="6" s="1"/>
  <c r="M658" i="6"/>
  <c r="N658" i="6"/>
  <c r="A658" i="6" s="1"/>
  <c r="M659" i="6"/>
  <c r="N659" i="6"/>
  <c r="A659" i="6" s="1"/>
  <c r="M660" i="6"/>
  <c r="N660" i="6"/>
  <c r="A660" i="6" s="1"/>
  <c r="M661" i="6"/>
  <c r="N661" i="6"/>
  <c r="A661" i="6" s="1"/>
  <c r="M662" i="6"/>
  <c r="N662" i="6"/>
  <c r="A662" i="6" s="1"/>
  <c r="M663" i="6"/>
  <c r="N663" i="6"/>
  <c r="A663" i="6" s="1"/>
  <c r="M664" i="6"/>
  <c r="N664" i="6"/>
  <c r="A664" i="6" s="1"/>
  <c r="M665" i="6"/>
  <c r="N665" i="6"/>
  <c r="A665" i="6" s="1"/>
  <c r="M666" i="6"/>
  <c r="N666" i="6"/>
  <c r="A666" i="6" s="1"/>
  <c r="M667" i="6"/>
  <c r="N667" i="6"/>
  <c r="A667" i="6" s="1"/>
  <c r="M668" i="6"/>
  <c r="N668" i="6"/>
  <c r="A668" i="6" s="1"/>
  <c r="M669" i="6"/>
  <c r="N669" i="6"/>
  <c r="A669" i="6" s="1"/>
  <c r="M670" i="6"/>
  <c r="N670" i="6"/>
  <c r="A670" i="6" s="1"/>
  <c r="M671" i="6"/>
  <c r="N671" i="6"/>
  <c r="A671" i="6" s="1"/>
  <c r="M672" i="6"/>
  <c r="N672" i="6"/>
  <c r="A672" i="6" s="1"/>
  <c r="M673" i="6"/>
  <c r="N673" i="6"/>
  <c r="A673" i="6" s="1"/>
  <c r="M674" i="6"/>
  <c r="N674" i="6"/>
  <c r="A674" i="6" s="1"/>
  <c r="M675" i="6"/>
  <c r="N675" i="6"/>
  <c r="A675" i="6" s="1"/>
  <c r="M676" i="6"/>
  <c r="N676" i="6"/>
  <c r="A676" i="6" s="1"/>
  <c r="M677" i="6"/>
  <c r="N677" i="6"/>
  <c r="A677" i="6" s="1"/>
  <c r="M678" i="6"/>
  <c r="N678" i="6"/>
  <c r="A678" i="6" s="1"/>
  <c r="M679" i="6"/>
  <c r="N679" i="6"/>
  <c r="A679" i="6" s="1"/>
  <c r="M680" i="6"/>
  <c r="N680" i="6"/>
  <c r="A680" i="6" s="1"/>
  <c r="M681" i="6"/>
  <c r="N681" i="6"/>
  <c r="A681" i="6" s="1"/>
  <c r="M682" i="6"/>
  <c r="N682" i="6"/>
  <c r="A682" i="6" s="1"/>
  <c r="M683" i="6"/>
  <c r="N683" i="6"/>
  <c r="A683" i="6" s="1"/>
  <c r="M684" i="6"/>
  <c r="N684" i="6"/>
  <c r="A684" i="6" s="1"/>
  <c r="M685" i="6"/>
  <c r="N685" i="6"/>
  <c r="A685" i="6" s="1"/>
  <c r="M686" i="6"/>
  <c r="N686" i="6"/>
  <c r="A686" i="6" s="1"/>
  <c r="M687" i="6"/>
  <c r="N687" i="6"/>
  <c r="A687" i="6" s="1"/>
  <c r="M688" i="6"/>
  <c r="N688" i="6"/>
  <c r="A688" i="6" s="1"/>
  <c r="M689" i="6"/>
  <c r="N689" i="6"/>
  <c r="A689" i="6" s="1"/>
  <c r="M690" i="6"/>
  <c r="N690" i="6"/>
  <c r="A690" i="6" s="1"/>
  <c r="M691" i="6"/>
  <c r="N691" i="6"/>
  <c r="A691" i="6" s="1"/>
  <c r="M692" i="6"/>
  <c r="N692" i="6"/>
  <c r="A692" i="6" s="1"/>
  <c r="M693" i="6"/>
  <c r="N693" i="6"/>
  <c r="A693" i="6" s="1"/>
  <c r="M694" i="6"/>
  <c r="N694" i="6"/>
  <c r="A694" i="6" s="1"/>
  <c r="M695" i="6"/>
  <c r="N695" i="6"/>
  <c r="A695" i="6" s="1"/>
  <c r="M696" i="6"/>
  <c r="N696" i="6"/>
  <c r="A696" i="6" s="1"/>
  <c r="M697" i="6"/>
  <c r="N697" i="6"/>
  <c r="A697" i="6" s="1"/>
  <c r="M698" i="6"/>
  <c r="N698" i="6"/>
  <c r="A698" i="6" s="1"/>
  <c r="M699" i="6"/>
  <c r="N699" i="6"/>
  <c r="A699" i="6" s="1"/>
  <c r="M700" i="6"/>
  <c r="N700" i="6"/>
  <c r="A700" i="6" s="1"/>
  <c r="M701" i="6"/>
  <c r="N701" i="6"/>
  <c r="A701" i="6" s="1"/>
  <c r="M702" i="6"/>
  <c r="N702" i="6"/>
  <c r="A702" i="6" s="1"/>
  <c r="M703" i="6"/>
  <c r="N703" i="6"/>
  <c r="A703" i="6" s="1"/>
  <c r="M704" i="6"/>
  <c r="N704" i="6"/>
  <c r="A704" i="6" s="1"/>
  <c r="M705" i="6"/>
  <c r="N705" i="6"/>
  <c r="A705" i="6" s="1"/>
  <c r="M706" i="6"/>
  <c r="N706" i="6"/>
  <c r="A706" i="6" s="1"/>
  <c r="M707" i="6"/>
  <c r="N707" i="6"/>
  <c r="A707" i="6" s="1"/>
  <c r="M708" i="6"/>
  <c r="N708" i="6"/>
  <c r="A708" i="6" s="1"/>
  <c r="M709" i="6"/>
  <c r="N709" i="6"/>
  <c r="A709" i="6" s="1"/>
  <c r="M710" i="6"/>
  <c r="N710" i="6"/>
  <c r="A710" i="6" s="1"/>
  <c r="M711" i="6"/>
  <c r="N711" i="6"/>
  <c r="A711" i="6" s="1"/>
  <c r="M712" i="6"/>
  <c r="N712" i="6"/>
  <c r="A712" i="6" s="1"/>
  <c r="M713" i="6"/>
  <c r="N713" i="6"/>
  <c r="A713" i="6" s="1"/>
  <c r="M714" i="6"/>
  <c r="N714" i="6"/>
  <c r="A714" i="6" s="1"/>
  <c r="M715" i="6"/>
  <c r="N715" i="6"/>
  <c r="A715" i="6" s="1"/>
  <c r="M716" i="6"/>
  <c r="N716" i="6"/>
  <c r="A716" i="6" s="1"/>
  <c r="M717" i="6"/>
  <c r="N717" i="6"/>
  <c r="A717" i="6" s="1"/>
  <c r="M718" i="6"/>
  <c r="N718" i="6"/>
  <c r="A718" i="6" s="1"/>
  <c r="M719" i="6"/>
  <c r="N719" i="6"/>
  <c r="A719" i="6" s="1"/>
  <c r="M720" i="6"/>
  <c r="N720" i="6"/>
  <c r="A720" i="6" s="1"/>
  <c r="M721" i="6"/>
  <c r="N721" i="6"/>
  <c r="A721" i="6" s="1"/>
  <c r="M722" i="6"/>
  <c r="N722" i="6"/>
  <c r="A722" i="6" s="1"/>
  <c r="M723" i="6"/>
  <c r="N723" i="6"/>
  <c r="A723" i="6" s="1"/>
  <c r="M724" i="6"/>
  <c r="N724" i="6"/>
  <c r="A724" i="6" s="1"/>
  <c r="M725" i="6"/>
  <c r="N725" i="6"/>
  <c r="A725" i="6" s="1"/>
  <c r="M726" i="6"/>
  <c r="N726" i="6"/>
  <c r="A726" i="6" s="1"/>
  <c r="M727" i="6"/>
  <c r="N727" i="6"/>
  <c r="A727" i="6" s="1"/>
  <c r="M728" i="6"/>
  <c r="N728" i="6"/>
  <c r="A728" i="6" s="1"/>
  <c r="M729" i="6"/>
  <c r="N729" i="6"/>
  <c r="A729" i="6" s="1"/>
  <c r="M730" i="6"/>
  <c r="N730" i="6"/>
  <c r="A730" i="6" s="1"/>
  <c r="M731" i="6"/>
  <c r="N731" i="6"/>
  <c r="A731" i="6" s="1"/>
  <c r="M732" i="6"/>
  <c r="N732" i="6"/>
  <c r="A732" i="6" s="1"/>
  <c r="M733" i="6"/>
  <c r="N733" i="6"/>
  <c r="A733" i="6" s="1"/>
  <c r="M734" i="6"/>
  <c r="N734" i="6"/>
  <c r="A734" i="6" s="1"/>
  <c r="M735" i="6"/>
  <c r="N735" i="6"/>
  <c r="A735" i="6" s="1"/>
  <c r="M736" i="6"/>
  <c r="N736" i="6"/>
  <c r="A736" i="6" s="1"/>
  <c r="M737" i="6"/>
  <c r="N737" i="6"/>
  <c r="A737" i="6" s="1"/>
  <c r="M738" i="6"/>
  <c r="N738" i="6"/>
  <c r="A738" i="6" s="1"/>
  <c r="M739" i="6"/>
  <c r="N739" i="6"/>
  <c r="A739" i="6" s="1"/>
  <c r="M740" i="6"/>
  <c r="N740" i="6"/>
  <c r="A740" i="6" s="1"/>
  <c r="M741" i="6"/>
  <c r="N741" i="6"/>
  <c r="A741" i="6" s="1"/>
  <c r="M742" i="6"/>
  <c r="N742" i="6"/>
  <c r="A742" i="6" s="1"/>
  <c r="M743" i="6"/>
  <c r="N743" i="6"/>
  <c r="A743" i="6" s="1"/>
  <c r="M744" i="6"/>
  <c r="N744" i="6"/>
  <c r="A744" i="6" s="1"/>
  <c r="M745" i="6"/>
  <c r="N745" i="6"/>
  <c r="A745" i="6" s="1"/>
  <c r="M746" i="6"/>
  <c r="N746" i="6"/>
  <c r="A746" i="6" s="1"/>
  <c r="M747" i="6"/>
  <c r="N747" i="6"/>
  <c r="A747" i="6" s="1"/>
  <c r="M748" i="6"/>
  <c r="N748" i="6"/>
  <c r="A748" i="6" s="1"/>
  <c r="M749" i="6"/>
  <c r="N749" i="6"/>
  <c r="A749" i="6" s="1"/>
  <c r="M750" i="6"/>
  <c r="N750" i="6"/>
  <c r="A750" i="6" s="1"/>
  <c r="M751" i="6"/>
  <c r="N751" i="6"/>
  <c r="A751" i="6" s="1"/>
  <c r="M752" i="6"/>
  <c r="N752" i="6"/>
  <c r="A752" i="6" s="1"/>
  <c r="M753" i="6"/>
  <c r="N753" i="6"/>
  <c r="A753" i="6" s="1"/>
  <c r="M754" i="6"/>
  <c r="N754" i="6"/>
  <c r="A754" i="6" s="1"/>
  <c r="M755" i="6"/>
  <c r="N755" i="6"/>
  <c r="A755" i="6" s="1"/>
  <c r="M756" i="6"/>
  <c r="N756" i="6"/>
  <c r="A756" i="6" s="1"/>
  <c r="M757" i="6"/>
  <c r="N757" i="6"/>
  <c r="A757" i="6" s="1"/>
  <c r="M758" i="6"/>
  <c r="N758" i="6"/>
  <c r="A758" i="6" s="1"/>
  <c r="M759" i="6"/>
  <c r="N759" i="6"/>
  <c r="A759" i="6" s="1"/>
  <c r="M760" i="6"/>
  <c r="N760" i="6"/>
  <c r="A760" i="6" s="1"/>
  <c r="M761" i="6"/>
  <c r="N761" i="6"/>
  <c r="A761" i="6" s="1"/>
  <c r="M762" i="6"/>
  <c r="N762" i="6"/>
  <c r="A762" i="6" s="1"/>
  <c r="M763" i="6"/>
  <c r="N763" i="6"/>
  <c r="A763" i="6" s="1"/>
  <c r="M764" i="6"/>
  <c r="N764" i="6"/>
  <c r="A764" i="6" s="1"/>
  <c r="M765" i="6"/>
  <c r="N765" i="6"/>
  <c r="A765" i="6" s="1"/>
  <c r="M766" i="6"/>
  <c r="N766" i="6"/>
  <c r="A766" i="6" s="1"/>
  <c r="M767" i="6"/>
  <c r="N767" i="6"/>
  <c r="A767" i="6" s="1"/>
  <c r="M768" i="6"/>
  <c r="N768" i="6"/>
  <c r="A768" i="6" s="1"/>
  <c r="M769" i="6"/>
  <c r="N769" i="6"/>
  <c r="A769" i="6" s="1"/>
  <c r="M770" i="6"/>
  <c r="N770" i="6"/>
  <c r="A770" i="6" s="1"/>
  <c r="M771" i="6"/>
  <c r="N771" i="6"/>
  <c r="A771" i="6" s="1"/>
  <c r="M772" i="6"/>
  <c r="N772" i="6"/>
  <c r="A772" i="6" s="1"/>
  <c r="M773" i="6"/>
  <c r="N773" i="6"/>
  <c r="A773" i="6" s="1"/>
  <c r="M774" i="6"/>
  <c r="N774" i="6"/>
  <c r="A774" i="6" s="1"/>
  <c r="M775" i="6"/>
  <c r="N775" i="6"/>
  <c r="A775" i="6" s="1"/>
  <c r="M776" i="6"/>
  <c r="N776" i="6"/>
  <c r="A776" i="6" s="1"/>
  <c r="M777" i="6"/>
  <c r="N777" i="6"/>
  <c r="A777" i="6" s="1"/>
  <c r="M778" i="6"/>
  <c r="N778" i="6"/>
  <c r="A778" i="6" s="1"/>
  <c r="M779" i="6"/>
  <c r="N779" i="6"/>
  <c r="A779" i="6" s="1"/>
  <c r="M780" i="6"/>
  <c r="N780" i="6"/>
  <c r="A780" i="6" s="1"/>
  <c r="M781" i="6"/>
  <c r="N781" i="6"/>
  <c r="A781" i="6" s="1"/>
  <c r="M782" i="6"/>
  <c r="N782" i="6"/>
  <c r="A782" i="6" s="1"/>
  <c r="M783" i="6"/>
  <c r="N783" i="6"/>
  <c r="A783" i="6" s="1"/>
  <c r="M784" i="6"/>
  <c r="N784" i="6"/>
  <c r="A784" i="6" s="1"/>
  <c r="M785" i="6"/>
  <c r="N785" i="6"/>
  <c r="A785" i="6" s="1"/>
  <c r="M786" i="6"/>
  <c r="N786" i="6"/>
  <c r="A786" i="6" s="1"/>
  <c r="M787" i="6"/>
  <c r="N787" i="6"/>
  <c r="A787" i="6" s="1"/>
  <c r="M788" i="6"/>
  <c r="N788" i="6"/>
  <c r="A788" i="6" s="1"/>
  <c r="M789" i="6"/>
  <c r="N789" i="6"/>
  <c r="A789" i="6" s="1"/>
  <c r="M790" i="6"/>
  <c r="N790" i="6"/>
  <c r="A790" i="6" s="1"/>
  <c r="M791" i="6"/>
  <c r="N791" i="6"/>
  <c r="A791" i="6" s="1"/>
  <c r="M792" i="6"/>
  <c r="N792" i="6"/>
  <c r="A792" i="6" s="1"/>
  <c r="M793" i="6"/>
  <c r="N793" i="6"/>
  <c r="A793" i="6" s="1"/>
  <c r="M794" i="6"/>
  <c r="N794" i="6"/>
  <c r="A794" i="6" s="1"/>
  <c r="M795" i="6"/>
  <c r="N795" i="6"/>
  <c r="A795" i="6" s="1"/>
  <c r="M796" i="6"/>
  <c r="N796" i="6"/>
  <c r="A796" i="6" s="1"/>
  <c r="M797" i="6"/>
  <c r="N797" i="6"/>
  <c r="A797" i="6" s="1"/>
  <c r="M798" i="6"/>
  <c r="N798" i="6"/>
  <c r="A798" i="6" s="1"/>
  <c r="M799" i="6"/>
  <c r="N799" i="6"/>
  <c r="A799" i="6" s="1"/>
  <c r="M800" i="6"/>
  <c r="N800" i="6"/>
  <c r="A800" i="6" s="1"/>
  <c r="M801" i="6"/>
  <c r="N801" i="6"/>
  <c r="A801" i="6" s="1"/>
  <c r="M802" i="6"/>
  <c r="N802" i="6"/>
  <c r="A802" i="6" s="1"/>
  <c r="M803" i="6"/>
  <c r="N803" i="6"/>
  <c r="A803" i="6" s="1"/>
  <c r="M804" i="6"/>
  <c r="N804" i="6"/>
  <c r="A804" i="6" s="1"/>
  <c r="M805" i="6"/>
  <c r="N805" i="6"/>
  <c r="A805" i="6" s="1"/>
  <c r="M806" i="6"/>
  <c r="N806" i="6"/>
  <c r="A806" i="6" s="1"/>
  <c r="M807" i="6"/>
  <c r="N807" i="6"/>
  <c r="A807" i="6" s="1"/>
  <c r="M808" i="6"/>
  <c r="N808" i="6"/>
  <c r="A808" i="6" s="1"/>
  <c r="M809" i="6"/>
  <c r="N809" i="6"/>
  <c r="A809" i="6" s="1"/>
  <c r="M810" i="6"/>
  <c r="N810" i="6"/>
  <c r="A810" i="6" s="1"/>
  <c r="M811" i="6"/>
  <c r="N811" i="6"/>
  <c r="A811" i="6" s="1"/>
  <c r="M812" i="6"/>
  <c r="N812" i="6"/>
  <c r="A812" i="6" s="1"/>
  <c r="M813" i="6"/>
  <c r="N813" i="6"/>
  <c r="A813" i="6" s="1"/>
  <c r="M814" i="6"/>
  <c r="N814" i="6"/>
  <c r="A814" i="6" s="1"/>
  <c r="M815" i="6"/>
  <c r="N815" i="6"/>
  <c r="A815" i="6" s="1"/>
  <c r="M816" i="6"/>
  <c r="N816" i="6"/>
  <c r="A816" i="6" s="1"/>
  <c r="M817" i="6"/>
  <c r="N817" i="6"/>
  <c r="A817" i="6" s="1"/>
  <c r="M818" i="6"/>
  <c r="N818" i="6"/>
  <c r="A818" i="6" s="1"/>
  <c r="M819" i="6"/>
  <c r="N819" i="6"/>
  <c r="A819" i="6" s="1"/>
  <c r="M820" i="6"/>
  <c r="N820" i="6"/>
  <c r="A820" i="6" s="1"/>
  <c r="M821" i="6"/>
  <c r="N821" i="6"/>
  <c r="A821" i="6" s="1"/>
  <c r="M822" i="6"/>
  <c r="N822" i="6"/>
  <c r="A822" i="6" s="1"/>
  <c r="M823" i="6"/>
  <c r="N823" i="6"/>
  <c r="A823" i="6" s="1"/>
  <c r="M824" i="6"/>
  <c r="N824" i="6"/>
  <c r="A824" i="6" s="1"/>
  <c r="M825" i="6"/>
  <c r="N825" i="6"/>
  <c r="A825" i="6" s="1"/>
  <c r="M826" i="6"/>
  <c r="N826" i="6"/>
  <c r="A826" i="6" s="1"/>
  <c r="M827" i="6"/>
  <c r="N827" i="6"/>
  <c r="A827" i="6" s="1"/>
  <c r="M828" i="6"/>
  <c r="N828" i="6"/>
  <c r="A828" i="6" s="1"/>
  <c r="M829" i="6"/>
  <c r="N829" i="6"/>
  <c r="A829" i="6" s="1"/>
  <c r="M830" i="6"/>
  <c r="N830" i="6"/>
  <c r="A830" i="6" s="1"/>
  <c r="M831" i="6"/>
  <c r="N831" i="6"/>
  <c r="A831" i="6" s="1"/>
  <c r="M832" i="6"/>
  <c r="N832" i="6"/>
  <c r="A832" i="6" s="1"/>
  <c r="M833" i="6"/>
  <c r="N833" i="6"/>
  <c r="A833" i="6" s="1"/>
  <c r="M834" i="6"/>
  <c r="N834" i="6"/>
  <c r="A834" i="6" s="1"/>
  <c r="M835" i="6"/>
  <c r="N835" i="6"/>
  <c r="A835" i="6" s="1"/>
  <c r="M836" i="6"/>
  <c r="N836" i="6"/>
  <c r="A836" i="6" s="1"/>
  <c r="M837" i="6"/>
  <c r="N837" i="6"/>
  <c r="A837" i="6" s="1"/>
  <c r="M838" i="6"/>
  <c r="N838" i="6"/>
  <c r="A838" i="6" s="1"/>
  <c r="M839" i="6"/>
  <c r="N839" i="6"/>
  <c r="A839" i="6" s="1"/>
  <c r="M840" i="6"/>
  <c r="N840" i="6"/>
  <c r="A840" i="6" s="1"/>
  <c r="M841" i="6"/>
  <c r="N841" i="6"/>
  <c r="A841" i="6" s="1"/>
  <c r="M842" i="6"/>
  <c r="N842" i="6"/>
  <c r="A842" i="6" s="1"/>
  <c r="M843" i="6"/>
  <c r="N843" i="6"/>
  <c r="A843" i="6" s="1"/>
  <c r="M844" i="6"/>
  <c r="N844" i="6"/>
  <c r="A844" i="6" s="1"/>
  <c r="M845" i="6"/>
  <c r="N845" i="6"/>
  <c r="A845" i="6" s="1"/>
  <c r="M846" i="6"/>
  <c r="N846" i="6"/>
  <c r="A846" i="6" s="1"/>
  <c r="M847" i="6"/>
  <c r="N847" i="6"/>
  <c r="A847" i="6" s="1"/>
  <c r="M848" i="6"/>
  <c r="N848" i="6"/>
  <c r="A848" i="6" s="1"/>
  <c r="M849" i="6"/>
  <c r="N849" i="6"/>
  <c r="A849" i="6" s="1"/>
  <c r="M850" i="6"/>
  <c r="N850" i="6"/>
  <c r="A850" i="6" s="1"/>
  <c r="M851" i="6"/>
  <c r="N851" i="6"/>
  <c r="A851" i="6" s="1"/>
  <c r="M852" i="6"/>
  <c r="N852" i="6"/>
  <c r="A852" i="6" s="1"/>
  <c r="M853" i="6"/>
  <c r="N853" i="6"/>
  <c r="A853" i="6" s="1"/>
  <c r="M854" i="6"/>
  <c r="N854" i="6"/>
  <c r="A854" i="6" s="1"/>
  <c r="M855" i="6"/>
  <c r="N855" i="6"/>
  <c r="A855" i="6" s="1"/>
  <c r="M856" i="6"/>
  <c r="N856" i="6"/>
  <c r="A856" i="6" s="1"/>
  <c r="M857" i="6"/>
  <c r="N857" i="6"/>
  <c r="A857" i="6" s="1"/>
  <c r="M858" i="6"/>
  <c r="N858" i="6"/>
  <c r="A858" i="6" s="1"/>
  <c r="M859" i="6"/>
  <c r="N859" i="6"/>
  <c r="A859" i="6" s="1"/>
  <c r="M860" i="6"/>
  <c r="N860" i="6"/>
  <c r="A860" i="6" s="1"/>
  <c r="M861" i="6"/>
  <c r="N861" i="6"/>
  <c r="A861" i="6" s="1"/>
  <c r="M862" i="6"/>
  <c r="N862" i="6"/>
  <c r="A862" i="6" s="1"/>
  <c r="M863" i="6"/>
  <c r="N863" i="6"/>
  <c r="A863" i="6" s="1"/>
  <c r="M864" i="6"/>
  <c r="N864" i="6"/>
  <c r="A864" i="6" s="1"/>
  <c r="M865" i="6"/>
  <c r="N865" i="6"/>
  <c r="A865" i="6" s="1"/>
  <c r="M866" i="6"/>
  <c r="N866" i="6"/>
  <c r="A866" i="6" s="1"/>
  <c r="M867" i="6"/>
  <c r="N867" i="6"/>
  <c r="A867" i="6" s="1"/>
  <c r="M868" i="6"/>
  <c r="N868" i="6"/>
  <c r="A868" i="6" s="1"/>
  <c r="M869" i="6"/>
  <c r="N869" i="6"/>
  <c r="A869" i="6" s="1"/>
  <c r="M870" i="6"/>
  <c r="N870" i="6"/>
  <c r="A870" i="6" s="1"/>
  <c r="M871" i="6"/>
  <c r="N871" i="6"/>
  <c r="A871" i="6" s="1"/>
  <c r="M872" i="6"/>
  <c r="N872" i="6"/>
  <c r="A872" i="6" s="1"/>
  <c r="M873" i="6"/>
  <c r="N873" i="6"/>
  <c r="A873" i="6" s="1"/>
  <c r="M874" i="6"/>
  <c r="N874" i="6"/>
  <c r="A874" i="6" s="1"/>
  <c r="M875" i="6"/>
  <c r="N875" i="6"/>
  <c r="A875" i="6" s="1"/>
  <c r="M876" i="6"/>
  <c r="N876" i="6"/>
  <c r="A876" i="6" s="1"/>
  <c r="M877" i="6"/>
  <c r="N877" i="6"/>
  <c r="A877" i="6" s="1"/>
  <c r="M878" i="6"/>
  <c r="N878" i="6"/>
  <c r="A878" i="6" s="1"/>
  <c r="M879" i="6"/>
  <c r="N879" i="6"/>
  <c r="A879" i="6" s="1"/>
  <c r="M880" i="6"/>
  <c r="N880" i="6"/>
  <c r="A880" i="6" s="1"/>
  <c r="M881" i="6"/>
  <c r="N881" i="6"/>
  <c r="A881" i="6" s="1"/>
  <c r="M882" i="6"/>
  <c r="N882" i="6"/>
  <c r="A882" i="6" s="1"/>
  <c r="M883" i="6"/>
  <c r="N883" i="6"/>
  <c r="A883" i="6" s="1"/>
  <c r="M884" i="6"/>
  <c r="N884" i="6"/>
  <c r="A884" i="6" s="1"/>
  <c r="M885" i="6"/>
  <c r="N885" i="6"/>
  <c r="A885" i="6" s="1"/>
  <c r="M886" i="6"/>
  <c r="N886" i="6"/>
  <c r="A886" i="6" s="1"/>
  <c r="M887" i="6"/>
  <c r="N887" i="6"/>
  <c r="A887" i="6" s="1"/>
  <c r="M888" i="6"/>
  <c r="N888" i="6"/>
  <c r="A888" i="6" s="1"/>
  <c r="M889" i="6"/>
  <c r="N889" i="6"/>
  <c r="A889" i="6" s="1"/>
  <c r="M890" i="6"/>
  <c r="N890" i="6"/>
  <c r="A890" i="6" s="1"/>
  <c r="M891" i="6"/>
  <c r="N891" i="6"/>
  <c r="A891" i="6" s="1"/>
  <c r="M892" i="6"/>
  <c r="N892" i="6"/>
  <c r="A892" i="6" s="1"/>
  <c r="M893" i="6"/>
  <c r="N893" i="6"/>
  <c r="A893" i="6" s="1"/>
  <c r="M894" i="6"/>
  <c r="N894" i="6"/>
  <c r="A894" i="6" s="1"/>
  <c r="M895" i="6"/>
  <c r="N895" i="6"/>
  <c r="A895" i="6" s="1"/>
  <c r="M896" i="6"/>
  <c r="N896" i="6"/>
  <c r="A896" i="6" s="1"/>
  <c r="M897" i="6"/>
  <c r="N897" i="6"/>
  <c r="A897" i="6" s="1"/>
  <c r="M898" i="6"/>
  <c r="N898" i="6"/>
  <c r="A898" i="6" s="1"/>
  <c r="M899" i="6"/>
  <c r="N899" i="6"/>
  <c r="A899" i="6" s="1"/>
  <c r="M900" i="6"/>
  <c r="N900" i="6"/>
  <c r="A900" i="6" s="1"/>
  <c r="M901" i="6"/>
  <c r="N901" i="6"/>
  <c r="A901" i="6" s="1"/>
  <c r="M902" i="6"/>
  <c r="N902" i="6"/>
  <c r="A902" i="6" s="1"/>
  <c r="M903" i="6"/>
  <c r="N903" i="6"/>
  <c r="A903" i="6" s="1"/>
  <c r="M904" i="6"/>
  <c r="N904" i="6"/>
  <c r="A904" i="6" s="1"/>
  <c r="M905" i="6"/>
  <c r="N905" i="6"/>
  <c r="A905" i="6" s="1"/>
  <c r="M906" i="6"/>
  <c r="N906" i="6"/>
  <c r="A906" i="6" s="1"/>
  <c r="M907" i="6"/>
  <c r="N907" i="6"/>
  <c r="A907" i="6" s="1"/>
  <c r="M908" i="6"/>
  <c r="N908" i="6"/>
  <c r="A908" i="6" s="1"/>
  <c r="M909" i="6"/>
  <c r="N909" i="6"/>
  <c r="A909" i="6" s="1"/>
  <c r="M910" i="6"/>
  <c r="N910" i="6"/>
  <c r="A910" i="6" s="1"/>
  <c r="M911" i="6"/>
  <c r="N911" i="6"/>
  <c r="A911" i="6" s="1"/>
  <c r="M912" i="6"/>
  <c r="N912" i="6"/>
  <c r="A912" i="6" s="1"/>
  <c r="M913" i="6"/>
  <c r="N913" i="6"/>
  <c r="A913" i="6" s="1"/>
  <c r="M914" i="6"/>
  <c r="N914" i="6"/>
  <c r="A914" i="6" s="1"/>
  <c r="M915" i="6"/>
  <c r="N915" i="6"/>
  <c r="A915" i="6" s="1"/>
  <c r="M916" i="6"/>
  <c r="N916" i="6"/>
  <c r="A916" i="6" s="1"/>
  <c r="M917" i="6"/>
  <c r="N917" i="6"/>
  <c r="A917" i="6" s="1"/>
  <c r="M918" i="6"/>
  <c r="N918" i="6"/>
  <c r="A918" i="6" s="1"/>
  <c r="M919" i="6"/>
  <c r="N919" i="6"/>
  <c r="A919" i="6" s="1"/>
  <c r="M920" i="6"/>
  <c r="N920" i="6"/>
  <c r="A920" i="6" s="1"/>
  <c r="M921" i="6"/>
  <c r="N921" i="6"/>
  <c r="A921" i="6" s="1"/>
  <c r="M922" i="6"/>
  <c r="N922" i="6"/>
  <c r="A922" i="6" s="1"/>
  <c r="M923" i="6"/>
  <c r="N923" i="6"/>
  <c r="A923" i="6" s="1"/>
  <c r="M924" i="6"/>
  <c r="N924" i="6"/>
  <c r="A924" i="6" s="1"/>
  <c r="M925" i="6"/>
  <c r="N925" i="6"/>
  <c r="A925" i="6" s="1"/>
  <c r="M926" i="6"/>
  <c r="N926" i="6"/>
  <c r="A926" i="6" s="1"/>
  <c r="M927" i="6"/>
  <c r="N927" i="6"/>
  <c r="A927" i="6" s="1"/>
  <c r="M928" i="6"/>
  <c r="N928" i="6"/>
  <c r="A928" i="6" s="1"/>
  <c r="M929" i="6"/>
  <c r="N929" i="6"/>
  <c r="A929" i="6" s="1"/>
  <c r="M930" i="6"/>
  <c r="N930" i="6"/>
  <c r="A930" i="6" s="1"/>
  <c r="M931" i="6"/>
  <c r="N931" i="6"/>
  <c r="A931" i="6" s="1"/>
  <c r="M932" i="6"/>
  <c r="N932" i="6"/>
  <c r="A932" i="6" s="1"/>
  <c r="M933" i="6"/>
  <c r="N933" i="6"/>
  <c r="A933" i="6" s="1"/>
  <c r="M934" i="6"/>
  <c r="N934" i="6"/>
  <c r="A934" i="6" s="1"/>
  <c r="M935" i="6"/>
  <c r="N935" i="6"/>
  <c r="A935" i="6" s="1"/>
  <c r="M936" i="6"/>
  <c r="N936" i="6"/>
  <c r="A936" i="6" s="1"/>
  <c r="M937" i="6"/>
  <c r="N937" i="6"/>
  <c r="A937" i="6" s="1"/>
  <c r="M938" i="6"/>
  <c r="N938" i="6"/>
  <c r="A938" i="6" s="1"/>
  <c r="M939" i="6"/>
  <c r="N939" i="6"/>
  <c r="A939" i="6" s="1"/>
  <c r="M940" i="6"/>
  <c r="N940" i="6"/>
  <c r="A940" i="6" s="1"/>
  <c r="M941" i="6"/>
  <c r="N941" i="6"/>
  <c r="A941" i="6" s="1"/>
  <c r="M942" i="6"/>
  <c r="N942" i="6"/>
  <c r="A942" i="6" s="1"/>
  <c r="M943" i="6"/>
  <c r="N943" i="6"/>
  <c r="A943" i="6" s="1"/>
  <c r="M944" i="6"/>
  <c r="N944" i="6"/>
  <c r="A944" i="6" s="1"/>
  <c r="M945" i="6"/>
  <c r="N945" i="6"/>
  <c r="A945" i="6" s="1"/>
  <c r="M946" i="6"/>
  <c r="N946" i="6"/>
  <c r="A946" i="6" s="1"/>
  <c r="M947" i="6"/>
  <c r="N947" i="6"/>
  <c r="A947" i="6" s="1"/>
  <c r="M948" i="6"/>
  <c r="N948" i="6"/>
  <c r="A948" i="6" s="1"/>
  <c r="M949" i="6"/>
  <c r="N949" i="6"/>
  <c r="A949" i="6" s="1"/>
  <c r="M950" i="6"/>
  <c r="N950" i="6"/>
  <c r="A950" i="6" s="1"/>
  <c r="M951" i="6"/>
  <c r="N951" i="6"/>
  <c r="A951" i="6" s="1"/>
  <c r="M952" i="6"/>
  <c r="N952" i="6"/>
  <c r="A952" i="6" s="1"/>
  <c r="M953" i="6"/>
  <c r="N953" i="6"/>
  <c r="A953" i="6" s="1"/>
  <c r="M954" i="6"/>
  <c r="N954" i="6"/>
  <c r="A954" i="6" s="1"/>
  <c r="M955" i="6"/>
  <c r="N955" i="6"/>
  <c r="A955" i="6" s="1"/>
  <c r="M956" i="6"/>
  <c r="N956" i="6"/>
  <c r="A956" i="6" s="1"/>
  <c r="M957" i="6"/>
  <c r="N957" i="6"/>
  <c r="A957" i="6" s="1"/>
  <c r="M958" i="6"/>
  <c r="N958" i="6"/>
  <c r="A958" i="6" s="1"/>
  <c r="M959" i="6"/>
  <c r="N959" i="6"/>
  <c r="A959" i="6" s="1"/>
  <c r="M960" i="6"/>
  <c r="N960" i="6"/>
  <c r="A960" i="6" s="1"/>
  <c r="M961" i="6"/>
  <c r="N961" i="6"/>
  <c r="A961" i="6" s="1"/>
  <c r="M962" i="6"/>
  <c r="N962" i="6"/>
  <c r="A962" i="6" s="1"/>
  <c r="M963" i="6"/>
  <c r="N963" i="6"/>
  <c r="A963" i="6" s="1"/>
  <c r="M964" i="6"/>
  <c r="N964" i="6"/>
  <c r="A964" i="6" s="1"/>
  <c r="M965" i="6"/>
  <c r="N965" i="6"/>
  <c r="A965" i="6" s="1"/>
  <c r="M966" i="6"/>
  <c r="N966" i="6"/>
  <c r="A966" i="6" s="1"/>
  <c r="M967" i="6"/>
  <c r="N967" i="6"/>
  <c r="A967" i="6" s="1"/>
  <c r="M968" i="6"/>
  <c r="N968" i="6"/>
  <c r="A968" i="6" s="1"/>
  <c r="M969" i="6"/>
  <c r="N969" i="6"/>
  <c r="A969" i="6" s="1"/>
  <c r="M970" i="6"/>
  <c r="N970" i="6"/>
  <c r="A970" i="6" s="1"/>
  <c r="M971" i="6"/>
  <c r="N971" i="6"/>
  <c r="A971" i="6" s="1"/>
  <c r="M972" i="6"/>
  <c r="N972" i="6"/>
  <c r="A972" i="6" s="1"/>
  <c r="M973" i="6"/>
  <c r="N973" i="6"/>
  <c r="A973" i="6" s="1"/>
  <c r="M974" i="6"/>
  <c r="N974" i="6"/>
  <c r="A974" i="6" s="1"/>
  <c r="M975" i="6"/>
  <c r="N975" i="6"/>
  <c r="A975" i="6" s="1"/>
  <c r="M976" i="6"/>
  <c r="N976" i="6"/>
  <c r="A976" i="6" s="1"/>
  <c r="M977" i="6"/>
  <c r="N977" i="6"/>
  <c r="A977" i="6" s="1"/>
  <c r="M978" i="6"/>
  <c r="N978" i="6"/>
  <c r="A978" i="6" s="1"/>
  <c r="M979" i="6"/>
  <c r="N979" i="6"/>
  <c r="A979" i="6" s="1"/>
  <c r="M980" i="6"/>
  <c r="N980" i="6"/>
  <c r="A980" i="6" s="1"/>
  <c r="M981" i="6"/>
  <c r="N981" i="6"/>
  <c r="A981" i="6" s="1"/>
  <c r="M982" i="6"/>
  <c r="N982" i="6"/>
  <c r="A982" i="6" s="1"/>
  <c r="M983" i="6"/>
  <c r="N983" i="6"/>
  <c r="A983" i="6" s="1"/>
  <c r="M984" i="6"/>
  <c r="N984" i="6"/>
  <c r="A984" i="6" s="1"/>
  <c r="M985" i="6"/>
  <c r="N985" i="6"/>
  <c r="A985" i="6" s="1"/>
  <c r="M986" i="6"/>
  <c r="N986" i="6"/>
  <c r="A986" i="6" s="1"/>
  <c r="M987" i="6"/>
  <c r="N987" i="6"/>
  <c r="A987" i="6" s="1"/>
  <c r="M988" i="6"/>
  <c r="N988" i="6"/>
  <c r="A988" i="6" s="1"/>
  <c r="M989" i="6"/>
  <c r="N989" i="6"/>
  <c r="A989" i="6" s="1"/>
  <c r="M990" i="6"/>
  <c r="N990" i="6"/>
  <c r="A990" i="6" s="1"/>
  <c r="M991" i="6"/>
  <c r="N991" i="6"/>
  <c r="A991" i="6" s="1"/>
  <c r="M992" i="6"/>
  <c r="N992" i="6"/>
  <c r="A992" i="6" s="1"/>
  <c r="M993" i="6"/>
  <c r="N993" i="6"/>
  <c r="A993" i="6" s="1"/>
  <c r="M994" i="6"/>
  <c r="N994" i="6"/>
  <c r="A994" i="6" s="1"/>
  <c r="M995" i="6"/>
  <c r="N995" i="6"/>
  <c r="A995" i="6" s="1"/>
  <c r="M996" i="6"/>
  <c r="N996" i="6"/>
  <c r="A996" i="6" s="1"/>
  <c r="M997" i="6"/>
  <c r="N997" i="6"/>
  <c r="A997" i="6" s="1"/>
  <c r="M998" i="6"/>
  <c r="N998" i="6"/>
  <c r="A998" i="6" s="1"/>
  <c r="M999" i="6"/>
  <c r="N999" i="6"/>
  <c r="A999" i="6" s="1"/>
  <c r="M1000" i="6"/>
  <c r="N1000" i="6"/>
  <c r="A1000" i="6" s="1"/>
  <c r="M1001" i="6"/>
  <c r="N1001" i="6"/>
  <c r="A1001" i="6" s="1"/>
  <c r="M1002" i="6"/>
  <c r="N1002" i="6"/>
  <c r="A1002" i="6" s="1"/>
  <c r="M1003" i="6"/>
  <c r="N1003" i="6"/>
  <c r="A1003" i="6" s="1"/>
  <c r="M1004" i="6"/>
  <c r="N1004" i="6"/>
  <c r="A1004" i="6" s="1"/>
  <c r="M1005" i="6"/>
  <c r="N1005" i="6"/>
  <c r="A1005" i="6" s="1"/>
  <c r="M1006" i="6"/>
  <c r="N1006" i="6"/>
  <c r="A1006" i="6" s="1"/>
  <c r="M1007" i="6"/>
  <c r="N1007" i="6"/>
  <c r="A1007" i="6" s="1"/>
  <c r="M1008" i="6"/>
  <c r="N1008" i="6"/>
  <c r="A1008" i="6" s="1"/>
  <c r="M1009" i="6"/>
  <c r="N1009" i="6"/>
  <c r="A1009" i="6" s="1"/>
  <c r="M1010" i="6"/>
  <c r="N1010" i="6"/>
  <c r="A1010" i="6" s="1"/>
  <c r="M1011" i="6"/>
  <c r="N1011" i="6"/>
  <c r="A1011" i="6" s="1"/>
  <c r="M1012" i="6"/>
  <c r="N1012" i="6"/>
  <c r="A1012" i="6" s="1"/>
  <c r="M1013" i="6"/>
  <c r="N1013" i="6"/>
  <c r="A1013" i="6" s="1"/>
  <c r="M1014" i="6"/>
  <c r="N1014" i="6"/>
  <c r="A1014" i="6" s="1"/>
  <c r="M1015" i="6"/>
  <c r="N1015" i="6"/>
  <c r="A1015" i="6" s="1"/>
  <c r="M1016" i="6"/>
  <c r="N1016" i="6"/>
  <c r="A1016" i="6" s="1"/>
  <c r="M1017" i="6"/>
  <c r="N1017" i="6"/>
  <c r="A1017" i="6" s="1"/>
  <c r="M1018" i="6"/>
  <c r="N1018" i="6"/>
  <c r="A1018" i="6" s="1"/>
  <c r="M1019" i="6"/>
  <c r="N1019" i="6"/>
  <c r="A1019" i="6" s="1"/>
  <c r="M1020" i="6"/>
  <c r="N1020" i="6"/>
  <c r="A1020" i="6" s="1"/>
  <c r="M1021" i="6"/>
  <c r="N1021" i="6"/>
  <c r="A1021" i="6" s="1"/>
  <c r="M1022" i="6"/>
  <c r="N1022" i="6"/>
  <c r="A1022" i="6" s="1"/>
  <c r="M1023" i="6"/>
  <c r="N1023" i="6"/>
  <c r="A1023" i="6" s="1"/>
  <c r="M1024" i="6"/>
  <c r="N1024" i="6"/>
  <c r="A1024" i="6" s="1"/>
  <c r="M1025" i="6"/>
  <c r="N1025" i="6"/>
  <c r="A1025" i="6" s="1"/>
  <c r="M1026" i="6"/>
  <c r="N1026" i="6"/>
  <c r="A1026" i="6" s="1"/>
  <c r="M1027" i="6"/>
  <c r="N1027" i="6"/>
  <c r="A1027" i="6" s="1"/>
  <c r="M1028" i="6"/>
  <c r="N1028" i="6"/>
  <c r="A1028" i="6" s="1"/>
  <c r="M1029" i="6"/>
  <c r="N1029" i="6"/>
  <c r="A1029" i="6" s="1"/>
  <c r="M1030" i="6"/>
  <c r="N1030" i="6"/>
  <c r="A1030" i="6" s="1"/>
  <c r="M1031" i="6"/>
  <c r="N1031" i="6"/>
  <c r="A1031" i="6" s="1"/>
  <c r="M1032" i="6"/>
  <c r="N1032" i="6"/>
  <c r="A1032" i="6" s="1"/>
  <c r="M1033" i="6"/>
  <c r="N1033" i="6"/>
  <c r="A1033" i="6" s="1"/>
  <c r="M1034" i="6"/>
  <c r="N1034" i="6"/>
  <c r="A1034" i="6" s="1"/>
  <c r="M1035" i="6"/>
  <c r="N1035" i="6"/>
  <c r="A1035" i="6" s="1"/>
  <c r="M1036" i="6"/>
  <c r="N1036" i="6"/>
  <c r="A1036" i="6" s="1"/>
  <c r="M1037" i="6"/>
  <c r="N1037" i="6"/>
  <c r="A1037" i="6" s="1"/>
  <c r="M1038" i="6"/>
  <c r="N1038" i="6"/>
  <c r="A1038" i="6" s="1"/>
  <c r="M1039" i="6"/>
  <c r="N1039" i="6"/>
  <c r="A1039" i="6" s="1"/>
  <c r="M1040" i="6"/>
  <c r="N1040" i="6"/>
  <c r="A1040" i="6" s="1"/>
  <c r="M1041" i="6"/>
  <c r="N1041" i="6"/>
  <c r="A1041" i="6" s="1"/>
  <c r="M1042" i="6"/>
  <c r="N1042" i="6"/>
  <c r="A1042" i="6" s="1"/>
  <c r="M1043" i="6"/>
  <c r="N1043" i="6"/>
  <c r="A1043" i="6" s="1"/>
  <c r="M1044" i="6"/>
  <c r="N1044" i="6"/>
  <c r="A1044" i="6" s="1"/>
  <c r="M1045" i="6"/>
  <c r="N1045" i="6"/>
  <c r="A1045" i="6" s="1"/>
  <c r="M1046" i="6"/>
  <c r="N1046" i="6"/>
  <c r="A1046" i="6" s="1"/>
  <c r="M1047" i="6"/>
  <c r="N1047" i="6"/>
  <c r="A1047" i="6" s="1"/>
  <c r="M1048" i="6"/>
  <c r="N1048" i="6"/>
  <c r="A1048" i="6" s="1"/>
  <c r="M1049" i="6"/>
  <c r="N1049" i="6"/>
  <c r="A1049" i="6" s="1"/>
  <c r="M1050" i="6"/>
  <c r="N1050" i="6"/>
  <c r="A1050" i="6" s="1"/>
  <c r="M1051" i="6"/>
  <c r="N1051" i="6"/>
  <c r="A1051" i="6" s="1"/>
  <c r="M1052" i="6"/>
  <c r="N1052" i="6"/>
  <c r="A1052" i="6" s="1"/>
  <c r="M1053" i="6"/>
  <c r="N1053" i="6"/>
  <c r="A1053" i="6" s="1"/>
  <c r="M1054" i="6"/>
  <c r="N1054" i="6"/>
  <c r="A1054" i="6" s="1"/>
  <c r="M1055" i="6"/>
  <c r="N1055" i="6"/>
  <c r="A1055" i="6" s="1"/>
  <c r="M1056" i="6"/>
  <c r="N1056" i="6"/>
  <c r="A1056" i="6" s="1"/>
  <c r="M1057" i="6"/>
  <c r="N1057" i="6"/>
  <c r="A1057" i="6" s="1"/>
  <c r="M1058" i="6"/>
  <c r="N1058" i="6"/>
  <c r="A1058" i="6" s="1"/>
  <c r="M1059" i="6"/>
  <c r="N1059" i="6"/>
  <c r="A1059" i="6" s="1"/>
  <c r="M1060" i="6"/>
  <c r="N1060" i="6"/>
  <c r="A1060" i="6" s="1"/>
  <c r="M1061" i="6"/>
  <c r="N1061" i="6"/>
  <c r="A1061" i="6" s="1"/>
  <c r="M1062" i="6"/>
  <c r="N1062" i="6"/>
  <c r="A1062" i="6" s="1"/>
  <c r="M1063" i="6"/>
  <c r="N1063" i="6"/>
  <c r="A1063" i="6" s="1"/>
  <c r="M1064" i="6"/>
  <c r="N1064" i="6"/>
  <c r="A1064" i="6" s="1"/>
  <c r="M1065" i="6"/>
  <c r="N1065" i="6"/>
  <c r="A1065" i="6" s="1"/>
  <c r="M1066" i="6"/>
  <c r="N1066" i="6"/>
  <c r="A1066" i="6" s="1"/>
  <c r="M1067" i="6"/>
  <c r="N1067" i="6"/>
  <c r="A1067" i="6" s="1"/>
  <c r="M1068" i="6"/>
  <c r="N1068" i="6"/>
  <c r="A1068" i="6" s="1"/>
  <c r="M1069" i="6"/>
  <c r="N1069" i="6"/>
  <c r="A1069" i="6" s="1"/>
  <c r="M1070" i="6"/>
  <c r="N1070" i="6"/>
  <c r="A1070" i="6" s="1"/>
  <c r="M1071" i="6"/>
  <c r="N1071" i="6"/>
  <c r="A1071" i="6" s="1"/>
  <c r="M1072" i="6"/>
  <c r="N1072" i="6"/>
  <c r="A1072" i="6" s="1"/>
  <c r="M1073" i="6"/>
  <c r="N1073" i="6"/>
  <c r="A1073" i="6" s="1"/>
  <c r="M1074" i="6"/>
  <c r="N1074" i="6"/>
  <c r="A1074" i="6" s="1"/>
  <c r="M1075" i="6"/>
  <c r="N1075" i="6"/>
  <c r="A1075" i="6" s="1"/>
  <c r="M1076" i="6"/>
  <c r="N1076" i="6"/>
  <c r="A1076" i="6" s="1"/>
  <c r="M1077" i="6"/>
  <c r="N1077" i="6"/>
  <c r="A1077" i="6" s="1"/>
  <c r="M1078" i="6"/>
  <c r="N1078" i="6"/>
  <c r="A1078" i="6" s="1"/>
  <c r="M1079" i="6"/>
  <c r="N1079" i="6"/>
  <c r="A1079" i="6" s="1"/>
  <c r="M1080" i="6"/>
  <c r="N1080" i="6"/>
  <c r="A1080" i="6" s="1"/>
  <c r="M1081" i="6"/>
  <c r="N1081" i="6"/>
  <c r="A1081" i="6" s="1"/>
  <c r="M1082" i="6"/>
  <c r="N1082" i="6"/>
  <c r="A1082" i="6" s="1"/>
  <c r="M1083" i="6"/>
  <c r="N1083" i="6"/>
  <c r="A1083" i="6" s="1"/>
  <c r="M1084" i="6"/>
  <c r="N1084" i="6"/>
  <c r="A1084" i="6" s="1"/>
  <c r="M1085" i="6"/>
  <c r="N1085" i="6"/>
  <c r="A1085" i="6" s="1"/>
  <c r="M1086" i="6"/>
  <c r="N1086" i="6"/>
  <c r="A1086" i="6" s="1"/>
  <c r="M1087" i="6"/>
  <c r="N1087" i="6"/>
  <c r="A1087" i="6" s="1"/>
  <c r="M1088" i="6"/>
  <c r="N1088" i="6"/>
  <c r="A1088" i="6" s="1"/>
  <c r="M1089" i="6"/>
  <c r="N1089" i="6"/>
  <c r="A1089" i="6" s="1"/>
  <c r="M1090" i="6"/>
  <c r="N1090" i="6"/>
  <c r="A1090" i="6" s="1"/>
  <c r="M1091" i="6"/>
  <c r="N1091" i="6"/>
  <c r="A1091" i="6" s="1"/>
  <c r="M1092" i="6"/>
  <c r="N1092" i="6"/>
  <c r="A1092" i="6" s="1"/>
  <c r="M1093" i="6"/>
  <c r="N1093" i="6"/>
  <c r="A1093" i="6" s="1"/>
  <c r="M1094" i="6"/>
  <c r="N1094" i="6"/>
  <c r="A1094" i="6" s="1"/>
  <c r="M1095" i="6"/>
  <c r="N1095" i="6"/>
  <c r="A1095" i="6" s="1"/>
  <c r="M1096" i="6"/>
  <c r="N1096" i="6"/>
  <c r="A1096" i="6" s="1"/>
  <c r="M1097" i="6"/>
  <c r="N1097" i="6"/>
  <c r="A1097" i="6" s="1"/>
  <c r="M1098" i="6"/>
  <c r="N1098" i="6"/>
  <c r="A1098" i="6" s="1"/>
  <c r="M1099" i="6"/>
  <c r="N1099" i="6"/>
  <c r="A1099" i="6" s="1"/>
  <c r="M1100" i="6"/>
  <c r="N1100" i="6"/>
  <c r="A1100" i="6" s="1"/>
  <c r="M1101" i="6"/>
  <c r="N1101" i="6"/>
  <c r="A1101" i="6" s="1"/>
  <c r="M1102" i="6"/>
  <c r="N1102" i="6"/>
  <c r="A1102" i="6" s="1"/>
  <c r="M1103" i="6"/>
  <c r="N1103" i="6"/>
  <c r="A1103" i="6" s="1"/>
  <c r="M1104" i="6"/>
  <c r="N1104" i="6"/>
  <c r="A1104" i="6" s="1"/>
  <c r="M1105" i="6"/>
  <c r="N1105" i="6"/>
  <c r="A1105" i="6" s="1"/>
  <c r="M1106" i="6"/>
  <c r="N1106" i="6"/>
  <c r="A1106" i="6" s="1"/>
  <c r="M1107" i="6"/>
  <c r="N1107" i="6"/>
  <c r="A1107" i="6" s="1"/>
  <c r="M1108" i="6"/>
  <c r="N1108" i="6"/>
  <c r="A1108" i="6" s="1"/>
  <c r="M1109" i="6"/>
  <c r="N1109" i="6"/>
  <c r="A1109" i="6" s="1"/>
  <c r="M1110" i="6"/>
  <c r="N1110" i="6"/>
  <c r="A1110" i="6" s="1"/>
  <c r="M1111" i="6"/>
  <c r="N1111" i="6"/>
  <c r="A1111" i="6" s="1"/>
  <c r="M1112" i="6"/>
  <c r="N1112" i="6"/>
  <c r="A1112" i="6" s="1"/>
  <c r="M1113" i="6"/>
  <c r="N1113" i="6"/>
  <c r="A1113" i="6" s="1"/>
  <c r="M1114" i="6"/>
  <c r="N1114" i="6"/>
  <c r="A1114" i="6" s="1"/>
  <c r="M1115" i="6"/>
  <c r="N1115" i="6"/>
  <c r="A1115" i="6" s="1"/>
  <c r="M1116" i="6"/>
  <c r="N1116" i="6"/>
  <c r="A1116" i="6" s="1"/>
  <c r="M1117" i="6"/>
  <c r="N1117" i="6"/>
  <c r="A1117" i="6" s="1"/>
  <c r="M1118" i="6"/>
  <c r="N1118" i="6"/>
  <c r="A1118" i="6" s="1"/>
  <c r="M1119" i="6"/>
  <c r="N1119" i="6"/>
  <c r="A1119" i="6" s="1"/>
  <c r="M1120" i="6"/>
  <c r="N1120" i="6"/>
  <c r="A1120" i="6" s="1"/>
  <c r="M1121" i="6"/>
  <c r="N1121" i="6"/>
  <c r="A1121" i="6" s="1"/>
  <c r="M1122" i="6"/>
  <c r="N1122" i="6"/>
  <c r="A1122" i="6" s="1"/>
  <c r="M1123" i="6"/>
  <c r="N1123" i="6"/>
  <c r="A1123" i="6" s="1"/>
  <c r="M1124" i="6"/>
  <c r="N1124" i="6"/>
  <c r="A1124" i="6" s="1"/>
  <c r="M1125" i="6"/>
  <c r="N1125" i="6"/>
  <c r="A1125" i="6" s="1"/>
  <c r="M1126" i="6"/>
  <c r="N1126" i="6"/>
  <c r="A1126" i="6" s="1"/>
  <c r="M1127" i="6"/>
  <c r="N1127" i="6"/>
  <c r="A1127" i="6" s="1"/>
  <c r="M1128" i="6"/>
  <c r="N1128" i="6"/>
  <c r="A1128" i="6" s="1"/>
  <c r="M1129" i="6"/>
  <c r="N1129" i="6"/>
  <c r="A1129" i="6" s="1"/>
  <c r="M1130" i="6"/>
  <c r="N1130" i="6"/>
  <c r="A1130" i="6" s="1"/>
  <c r="M1131" i="6"/>
  <c r="N1131" i="6"/>
  <c r="A1131" i="6" s="1"/>
  <c r="M1132" i="6"/>
  <c r="N1132" i="6"/>
  <c r="A1132" i="6" s="1"/>
  <c r="M1133" i="6"/>
  <c r="N1133" i="6"/>
  <c r="A1133" i="6" s="1"/>
  <c r="M1134" i="6"/>
  <c r="N1134" i="6"/>
  <c r="A1134" i="6" s="1"/>
  <c r="M1135" i="6"/>
  <c r="N1135" i="6"/>
  <c r="A1135" i="6" s="1"/>
  <c r="M1136" i="6"/>
  <c r="N1136" i="6"/>
  <c r="A1136" i="6" s="1"/>
  <c r="M1137" i="6"/>
  <c r="N1137" i="6"/>
  <c r="A1137" i="6" s="1"/>
  <c r="M1138" i="6"/>
  <c r="N1138" i="6"/>
  <c r="A1138" i="6" s="1"/>
  <c r="M1139" i="6"/>
  <c r="N1139" i="6"/>
  <c r="A1139" i="6" s="1"/>
  <c r="M1140" i="6"/>
  <c r="N1140" i="6"/>
  <c r="A1140" i="6" s="1"/>
  <c r="M1141" i="6"/>
  <c r="N1141" i="6"/>
  <c r="A1141" i="6" s="1"/>
  <c r="M1142" i="6"/>
  <c r="N1142" i="6"/>
  <c r="A1142" i="6" s="1"/>
  <c r="M1143" i="6"/>
  <c r="N1143" i="6"/>
  <c r="A1143" i="6" s="1"/>
  <c r="M1144" i="6"/>
  <c r="N1144" i="6"/>
  <c r="A1144" i="6" s="1"/>
  <c r="M1145" i="6"/>
  <c r="N1145" i="6"/>
  <c r="A1145" i="6" s="1"/>
  <c r="M1146" i="6"/>
  <c r="N1146" i="6"/>
  <c r="A1146" i="6" s="1"/>
  <c r="M1147" i="6"/>
  <c r="N1147" i="6"/>
  <c r="A1147" i="6" s="1"/>
  <c r="M1148" i="6"/>
  <c r="N1148" i="6"/>
  <c r="A1148" i="6" s="1"/>
  <c r="M1149" i="6"/>
  <c r="N1149" i="6"/>
  <c r="A1149" i="6" s="1"/>
  <c r="M1150" i="6"/>
  <c r="N1150" i="6"/>
  <c r="A1150" i="6" s="1"/>
  <c r="M1151" i="6"/>
  <c r="N1151" i="6"/>
  <c r="A1151" i="6" s="1"/>
  <c r="M1152" i="6"/>
  <c r="N1152" i="6"/>
  <c r="A1152" i="6" s="1"/>
  <c r="M1153" i="6"/>
  <c r="N1153" i="6"/>
  <c r="A1153" i="6" s="1"/>
  <c r="M1154" i="6"/>
  <c r="N1154" i="6"/>
  <c r="A1154" i="6" s="1"/>
  <c r="M1155" i="6"/>
  <c r="N1155" i="6"/>
  <c r="A1155" i="6" s="1"/>
  <c r="M1156" i="6"/>
  <c r="N1156" i="6"/>
  <c r="A1156" i="6" s="1"/>
  <c r="M1157" i="6"/>
  <c r="N1157" i="6"/>
  <c r="A1157" i="6" s="1"/>
  <c r="M1158" i="6"/>
  <c r="N1158" i="6"/>
  <c r="A1158" i="6" s="1"/>
  <c r="M1159" i="6"/>
  <c r="N1159" i="6"/>
  <c r="A1159" i="6" s="1"/>
  <c r="M1160" i="6"/>
  <c r="N1160" i="6"/>
  <c r="A1160" i="6" s="1"/>
  <c r="M1161" i="6"/>
  <c r="N1161" i="6"/>
  <c r="A1161" i="6" s="1"/>
  <c r="M1162" i="6"/>
  <c r="N1162" i="6"/>
  <c r="A1162" i="6" s="1"/>
  <c r="M1163" i="6"/>
  <c r="N1163" i="6"/>
  <c r="A1163" i="6" s="1"/>
  <c r="M1164" i="6"/>
  <c r="N1164" i="6"/>
  <c r="A1164" i="6" s="1"/>
  <c r="M1165" i="6"/>
  <c r="N1165" i="6"/>
  <c r="A1165" i="6" s="1"/>
  <c r="M1166" i="6"/>
  <c r="N1166" i="6"/>
  <c r="A1166" i="6" s="1"/>
  <c r="M1167" i="6"/>
  <c r="N1167" i="6"/>
  <c r="A1167" i="6" s="1"/>
  <c r="M1168" i="6"/>
  <c r="N1168" i="6"/>
  <c r="A1168" i="6" s="1"/>
  <c r="M1169" i="6"/>
  <c r="N1169" i="6"/>
  <c r="A1169" i="6" s="1"/>
  <c r="M1170" i="6"/>
  <c r="N1170" i="6"/>
  <c r="A1170" i="6" s="1"/>
  <c r="M1171" i="6"/>
  <c r="N1171" i="6"/>
  <c r="A1171" i="6" s="1"/>
  <c r="M1172" i="6"/>
  <c r="N1172" i="6"/>
  <c r="A1172" i="6" s="1"/>
  <c r="M1173" i="6"/>
  <c r="N1173" i="6"/>
  <c r="A1173" i="6" s="1"/>
  <c r="M1174" i="6"/>
  <c r="N1174" i="6"/>
  <c r="A1174" i="6" s="1"/>
  <c r="M1175" i="6"/>
  <c r="N1175" i="6"/>
  <c r="A1175" i="6" s="1"/>
  <c r="M1176" i="6"/>
  <c r="N1176" i="6"/>
  <c r="A1176" i="6" s="1"/>
  <c r="M1177" i="6"/>
  <c r="N1177" i="6"/>
  <c r="A1177" i="6" s="1"/>
  <c r="M1178" i="6"/>
  <c r="N1178" i="6"/>
  <c r="A1178" i="6" s="1"/>
  <c r="M1179" i="6"/>
  <c r="N1179" i="6"/>
  <c r="A1179" i="6" s="1"/>
  <c r="M1180" i="6"/>
  <c r="N1180" i="6"/>
  <c r="A1180" i="6" s="1"/>
  <c r="M1181" i="6"/>
  <c r="N1181" i="6"/>
  <c r="A1181" i="6" s="1"/>
  <c r="M1182" i="6"/>
  <c r="N1182" i="6"/>
  <c r="A1182" i="6" s="1"/>
  <c r="M1183" i="6"/>
  <c r="N1183" i="6"/>
  <c r="A1183" i="6" s="1"/>
  <c r="M1184" i="6"/>
  <c r="N1184" i="6"/>
  <c r="A1184" i="6" s="1"/>
  <c r="M1185" i="6"/>
  <c r="N1185" i="6"/>
  <c r="A1185" i="6" s="1"/>
  <c r="M1186" i="6"/>
  <c r="N1186" i="6"/>
  <c r="A1186" i="6" s="1"/>
  <c r="M1187" i="6"/>
  <c r="N1187" i="6"/>
  <c r="A1187" i="6" s="1"/>
  <c r="M1188" i="6"/>
  <c r="N1188" i="6"/>
  <c r="A1188" i="6" s="1"/>
  <c r="M1189" i="6"/>
  <c r="N1189" i="6"/>
  <c r="A1189" i="6" s="1"/>
  <c r="M1190" i="6"/>
  <c r="N1190" i="6"/>
  <c r="A1190" i="6" s="1"/>
  <c r="M1191" i="6"/>
  <c r="N1191" i="6"/>
  <c r="A1191" i="6" s="1"/>
  <c r="M1192" i="6"/>
  <c r="N1192" i="6"/>
  <c r="A1192" i="6" s="1"/>
  <c r="M1193" i="6"/>
  <c r="N1193" i="6"/>
  <c r="A1193" i="6" s="1"/>
  <c r="M1194" i="6"/>
  <c r="N1194" i="6"/>
  <c r="A1194" i="6" s="1"/>
  <c r="M1195" i="6"/>
  <c r="N1195" i="6"/>
  <c r="A1195" i="6" s="1"/>
  <c r="M1196" i="6"/>
  <c r="N1196" i="6"/>
  <c r="A1196" i="6" s="1"/>
  <c r="M1197" i="6"/>
  <c r="N1197" i="6"/>
  <c r="A1197" i="6" s="1"/>
  <c r="M1198" i="6"/>
  <c r="N1198" i="6"/>
  <c r="A1198" i="6" s="1"/>
  <c r="M1199" i="6"/>
  <c r="N1199" i="6"/>
  <c r="A1199" i="6" s="1"/>
  <c r="M1200" i="6"/>
  <c r="N1200" i="6"/>
  <c r="A1200" i="6" s="1"/>
  <c r="M1201" i="6"/>
  <c r="N1201" i="6"/>
  <c r="A1201" i="6" s="1"/>
  <c r="M1202" i="6"/>
  <c r="N1202" i="6"/>
  <c r="A1202" i="6" s="1"/>
  <c r="M1203" i="6"/>
  <c r="N1203" i="6"/>
  <c r="A1203" i="6" s="1"/>
  <c r="M1204" i="6"/>
  <c r="N1204" i="6"/>
  <c r="A1204" i="6" s="1"/>
  <c r="M1205" i="6"/>
  <c r="N1205" i="6"/>
  <c r="A1205" i="6" s="1"/>
  <c r="M1206" i="6"/>
  <c r="N1206" i="6"/>
  <c r="A1206" i="6" s="1"/>
  <c r="M1207" i="6"/>
  <c r="N1207" i="6"/>
  <c r="A1207" i="6" s="1"/>
  <c r="M1208" i="6"/>
  <c r="N1208" i="6"/>
  <c r="A1208" i="6" s="1"/>
  <c r="M1209" i="6"/>
  <c r="N1209" i="6"/>
  <c r="A1209" i="6" s="1"/>
  <c r="M1210" i="6"/>
  <c r="N1210" i="6"/>
  <c r="A1210" i="6" s="1"/>
  <c r="M1211" i="6"/>
  <c r="N1211" i="6"/>
  <c r="A1211" i="6" s="1"/>
  <c r="M1212" i="6"/>
  <c r="N1212" i="6"/>
  <c r="A1212" i="6" s="1"/>
  <c r="M1213" i="6"/>
  <c r="N1213" i="6"/>
  <c r="A1213" i="6" s="1"/>
  <c r="M1214" i="6"/>
  <c r="N1214" i="6"/>
  <c r="A1214" i="6" s="1"/>
  <c r="M1215" i="6"/>
  <c r="N1215" i="6"/>
  <c r="A1215" i="6" s="1"/>
  <c r="M1216" i="6"/>
  <c r="N1216" i="6"/>
  <c r="A1216" i="6" s="1"/>
  <c r="M1217" i="6"/>
  <c r="N1217" i="6"/>
  <c r="A1217" i="6" s="1"/>
  <c r="M1218" i="6"/>
  <c r="N1218" i="6"/>
  <c r="A1218" i="6" s="1"/>
  <c r="M1219" i="6"/>
  <c r="N1219" i="6"/>
  <c r="A1219" i="6" s="1"/>
  <c r="M1220" i="6"/>
  <c r="N1220" i="6"/>
  <c r="A1220" i="6" s="1"/>
  <c r="M1221" i="6"/>
  <c r="N1221" i="6"/>
  <c r="A1221" i="6" s="1"/>
  <c r="M1222" i="6"/>
  <c r="N1222" i="6"/>
  <c r="A1222" i="6" s="1"/>
  <c r="M1223" i="6"/>
  <c r="N1223" i="6"/>
  <c r="A1223" i="6" s="1"/>
  <c r="M1224" i="6"/>
  <c r="N1224" i="6"/>
  <c r="A1224" i="6" s="1"/>
  <c r="M1225" i="6"/>
  <c r="N1225" i="6"/>
  <c r="A1225" i="6" s="1"/>
  <c r="M1226" i="6"/>
  <c r="N1226" i="6"/>
  <c r="A1226" i="6" s="1"/>
  <c r="M1227" i="6"/>
  <c r="N1227" i="6"/>
  <c r="A1227" i="6" s="1"/>
  <c r="M1228" i="6"/>
  <c r="N1228" i="6"/>
  <c r="A1228" i="6" s="1"/>
  <c r="M1229" i="6"/>
  <c r="N1229" i="6"/>
  <c r="A1229" i="6" s="1"/>
  <c r="M1230" i="6"/>
  <c r="N1230" i="6"/>
  <c r="A1230" i="6" s="1"/>
  <c r="M1231" i="6"/>
  <c r="N1231" i="6"/>
  <c r="A1231" i="6" s="1"/>
  <c r="M1232" i="6"/>
  <c r="N1232" i="6"/>
  <c r="A1232" i="6" s="1"/>
  <c r="M1233" i="6"/>
  <c r="N1233" i="6"/>
  <c r="A1233" i="6" s="1"/>
  <c r="M1234" i="6"/>
  <c r="N1234" i="6"/>
  <c r="A1234" i="6" s="1"/>
  <c r="M1235" i="6"/>
  <c r="N1235" i="6"/>
  <c r="A1235" i="6" s="1"/>
  <c r="M1236" i="6"/>
  <c r="N1236" i="6"/>
  <c r="A1236" i="6" s="1"/>
  <c r="M1237" i="6"/>
  <c r="N1237" i="6"/>
  <c r="A1237" i="6" s="1"/>
  <c r="M1238" i="6"/>
  <c r="N1238" i="6"/>
  <c r="A1238" i="6" s="1"/>
  <c r="M1239" i="6"/>
  <c r="N1239" i="6"/>
  <c r="A1239" i="6" s="1"/>
  <c r="M1240" i="6"/>
  <c r="N1240" i="6"/>
  <c r="A1240" i="6" s="1"/>
  <c r="M1241" i="6"/>
  <c r="N1241" i="6"/>
  <c r="A1241" i="6" s="1"/>
  <c r="M1242" i="6"/>
  <c r="N1242" i="6"/>
  <c r="A1242" i="6" s="1"/>
  <c r="M1243" i="6"/>
  <c r="N1243" i="6"/>
  <c r="A1243" i="6" s="1"/>
  <c r="M1244" i="6"/>
  <c r="N1244" i="6"/>
  <c r="A1244" i="6" s="1"/>
  <c r="M1245" i="6"/>
  <c r="N1245" i="6"/>
  <c r="A1245" i="6" s="1"/>
  <c r="M1246" i="6"/>
  <c r="N1246" i="6"/>
  <c r="A1246" i="6" s="1"/>
  <c r="M1247" i="6"/>
  <c r="N1247" i="6"/>
  <c r="A1247" i="6" s="1"/>
  <c r="M1248" i="6"/>
  <c r="N1248" i="6"/>
  <c r="A1248" i="6" s="1"/>
  <c r="M1249" i="6"/>
  <c r="N1249" i="6"/>
  <c r="A1249" i="6" s="1"/>
  <c r="M1250" i="6"/>
  <c r="N1250" i="6"/>
  <c r="A1250" i="6" s="1"/>
  <c r="M1251" i="6"/>
  <c r="N1251" i="6"/>
  <c r="A1251" i="6" s="1"/>
  <c r="M1252" i="6"/>
  <c r="N1252" i="6"/>
  <c r="A1252" i="6" s="1"/>
  <c r="M1253" i="6"/>
  <c r="N1253" i="6"/>
  <c r="A1253" i="6" s="1"/>
  <c r="M1254" i="6"/>
  <c r="N1254" i="6"/>
  <c r="A1254" i="6" s="1"/>
  <c r="M1255" i="6"/>
  <c r="N1255" i="6"/>
  <c r="A1255" i="6" s="1"/>
  <c r="M1256" i="6"/>
  <c r="N1256" i="6"/>
  <c r="A1256" i="6" s="1"/>
  <c r="M1257" i="6"/>
  <c r="N1257" i="6"/>
  <c r="A1257" i="6" s="1"/>
  <c r="M1258" i="6"/>
  <c r="N1258" i="6"/>
  <c r="A1258" i="6" s="1"/>
  <c r="M1259" i="6"/>
  <c r="N1259" i="6"/>
  <c r="A1259" i="6" s="1"/>
  <c r="M1260" i="6"/>
  <c r="N1260" i="6"/>
  <c r="A1260" i="6" s="1"/>
  <c r="M1261" i="6"/>
  <c r="N1261" i="6"/>
  <c r="A1261" i="6" s="1"/>
  <c r="M1262" i="6"/>
  <c r="N1262" i="6"/>
  <c r="A1262" i="6" s="1"/>
  <c r="M1263" i="6"/>
  <c r="N1263" i="6"/>
  <c r="A1263" i="6" s="1"/>
  <c r="M1264" i="6"/>
  <c r="N1264" i="6"/>
  <c r="A1264" i="6" s="1"/>
  <c r="M1265" i="6"/>
  <c r="N1265" i="6"/>
  <c r="A1265" i="6" s="1"/>
  <c r="M1266" i="6"/>
  <c r="N1266" i="6"/>
  <c r="A1266" i="6" s="1"/>
  <c r="M1267" i="6"/>
  <c r="N1267" i="6"/>
  <c r="A1267" i="6" s="1"/>
  <c r="M1268" i="6"/>
  <c r="N1268" i="6"/>
  <c r="A1268" i="6" s="1"/>
  <c r="M1269" i="6"/>
  <c r="N1269" i="6"/>
  <c r="A1269" i="6" s="1"/>
  <c r="M1270" i="6"/>
  <c r="N1270" i="6"/>
  <c r="A1270" i="6" s="1"/>
  <c r="M1271" i="6"/>
  <c r="N1271" i="6"/>
  <c r="A1271" i="6" s="1"/>
  <c r="M1272" i="6"/>
  <c r="N1272" i="6"/>
  <c r="A1272" i="6" s="1"/>
  <c r="M1273" i="6"/>
  <c r="N1273" i="6"/>
  <c r="A1273" i="6" s="1"/>
  <c r="M1274" i="6"/>
  <c r="N1274" i="6"/>
  <c r="A1274" i="6" s="1"/>
  <c r="M1275" i="6"/>
  <c r="N1275" i="6"/>
  <c r="A1275" i="6" s="1"/>
  <c r="M1276" i="6"/>
  <c r="N1276" i="6"/>
  <c r="A1276" i="6" s="1"/>
  <c r="M1277" i="6"/>
  <c r="N1277" i="6"/>
  <c r="A1277" i="6" s="1"/>
  <c r="M1278" i="6"/>
  <c r="N1278" i="6"/>
  <c r="A1278" i="6" s="1"/>
  <c r="M1279" i="6"/>
  <c r="N1279" i="6"/>
  <c r="A1279" i="6" s="1"/>
  <c r="M1280" i="6"/>
  <c r="N1280" i="6"/>
  <c r="A1280" i="6" s="1"/>
  <c r="M1281" i="6"/>
  <c r="N1281" i="6"/>
  <c r="A1281" i="6" s="1"/>
  <c r="M1282" i="6"/>
  <c r="N1282" i="6"/>
  <c r="A1282" i="6" s="1"/>
  <c r="M1283" i="6"/>
  <c r="N1283" i="6"/>
  <c r="A1283" i="6" s="1"/>
  <c r="M1284" i="6"/>
  <c r="N1284" i="6"/>
  <c r="A1284" i="6" s="1"/>
  <c r="M1285" i="6"/>
  <c r="N1285" i="6"/>
  <c r="A1285" i="6" s="1"/>
  <c r="M1286" i="6"/>
  <c r="N1286" i="6"/>
  <c r="A1286" i="6" s="1"/>
  <c r="M1287" i="6"/>
  <c r="N1287" i="6"/>
  <c r="A1287" i="6" s="1"/>
  <c r="M1288" i="6"/>
  <c r="N1288" i="6"/>
  <c r="A1288" i="6" s="1"/>
  <c r="M1289" i="6"/>
  <c r="N1289" i="6"/>
  <c r="A1289" i="6" s="1"/>
  <c r="M1290" i="6"/>
  <c r="N1290" i="6"/>
  <c r="A1290" i="6" s="1"/>
  <c r="M1291" i="6"/>
  <c r="N1291" i="6"/>
  <c r="A1291" i="6" s="1"/>
  <c r="M1292" i="6"/>
  <c r="N1292" i="6"/>
  <c r="A1292" i="6" s="1"/>
  <c r="M1293" i="6"/>
  <c r="N1293" i="6"/>
  <c r="A1293" i="6" s="1"/>
  <c r="M1294" i="6"/>
  <c r="N1294" i="6"/>
  <c r="A1294" i="6" s="1"/>
  <c r="M1295" i="6"/>
  <c r="N1295" i="6"/>
  <c r="A1295" i="6" s="1"/>
  <c r="M1296" i="6"/>
  <c r="N1296" i="6"/>
  <c r="A1296" i="6" s="1"/>
  <c r="M1297" i="6"/>
  <c r="N1297" i="6"/>
  <c r="A1297" i="6" s="1"/>
  <c r="M1298" i="6"/>
  <c r="N1298" i="6"/>
  <c r="A1298" i="6" s="1"/>
  <c r="M1299" i="6"/>
  <c r="N1299" i="6"/>
  <c r="A1299" i="6" s="1"/>
  <c r="M1300" i="6"/>
  <c r="N1300" i="6"/>
  <c r="A1300" i="6" s="1"/>
  <c r="M1301" i="6"/>
  <c r="N1301" i="6"/>
  <c r="A1301" i="6" s="1"/>
  <c r="M1302" i="6"/>
  <c r="N1302" i="6"/>
  <c r="A1302" i="6" s="1"/>
  <c r="M1303" i="6"/>
  <c r="N1303" i="6"/>
  <c r="A1303" i="6" s="1"/>
  <c r="M1304" i="6"/>
  <c r="N1304" i="6"/>
  <c r="A1304" i="6" s="1"/>
  <c r="M1305" i="6"/>
  <c r="N1305" i="6"/>
  <c r="A1305" i="6" s="1"/>
  <c r="M1306" i="6"/>
  <c r="N1306" i="6"/>
  <c r="A1306" i="6" s="1"/>
  <c r="M1307" i="6"/>
  <c r="N1307" i="6"/>
  <c r="A1307" i="6" s="1"/>
  <c r="M1308" i="6"/>
  <c r="N1308" i="6"/>
  <c r="A1308" i="6" s="1"/>
  <c r="M1309" i="6"/>
  <c r="N1309" i="6"/>
  <c r="A1309" i="6" s="1"/>
  <c r="M1310" i="6"/>
  <c r="N1310" i="6"/>
  <c r="A1310" i="6" s="1"/>
  <c r="M1311" i="6"/>
  <c r="N1311" i="6"/>
  <c r="A1311" i="6" s="1"/>
  <c r="M1312" i="6"/>
  <c r="N1312" i="6"/>
  <c r="A1312" i="6" s="1"/>
  <c r="M1313" i="6"/>
  <c r="N1313" i="6"/>
  <c r="A1313" i="6" s="1"/>
  <c r="M1314" i="6"/>
  <c r="N1314" i="6"/>
  <c r="A1314" i="6" s="1"/>
  <c r="M1315" i="6"/>
  <c r="N1315" i="6"/>
  <c r="A1315" i="6" s="1"/>
  <c r="M1316" i="6"/>
  <c r="N1316" i="6"/>
  <c r="A1316" i="6" s="1"/>
  <c r="M1317" i="6"/>
  <c r="N1317" i="6"/>
  <c r="A1317" i="6" s="1"/>
  <c r="M1318" i="6"/>
  <c r="N1318" i="6"/>
  <c r="A1318" i="6" s="1"/>
  <c r="M1319" i="6"/>
  <c r="N1319" i="6"/>
  <c r="A1319" i="6" s="1"/>
  <c r="M1320" i="6"/>
  <c r="N1320" i="6"/>
  <c r="A1320" i="6" s="1"/>
  <c r="M1321" i="6"/>
  <c r="N1321" i="6"/>
  <c r="A1321" i="6" s="1"/>
  <c r="M1322" i="6"/>
  <c r="N1322" i="6"/>
  <c r="A1322" i="6" s="1"/>
  <c r="M1323" i="6"/>
  <c r="N1323" i="6"/>
  <c r="A1323" i="6" s="1"/>
  <c r="M1324" i="6"/>
  <c r="N1324" i="6"/>
  <c r="A1324" i="6" s="1"/>
  <c r="M1325" i="6"/>
  <c r="N1325" i="6"/>
  <c r="A1325" i="6" s="1"/>
  <c r="M1326" i="6"/>
  <c r="N1326" i="6"/>
  <c r="A1326" i="6" s="1"/>
  <c r="M1327" i="6"/>
  <c r="N1327" i="6"/>
  <c r="A1327" i="6" s="1"/>
  <c r="M1328" i="6"/>
  <c r="N1328" i="6"/>
  <c r="A1328" i="6" s="1"/>
  <c r="M1329" i="6"/>
  <c r="N1329" i="6"/>
  <c r="A1329" i="6" s="1"/>
  <c r="M1330" i="6"/>
  <c r="N1330" i="6"/>
  <c r="A1330" i="6" s="1"/>
  <c r="M1331" i="6"/>
  <c r="N1331" i="6"/>
  <c r="A1331" i="6" s="1"/>
  <c r="M1332" i="6"/>
  <c r="N1332" i="6"/>
  <c r="A1332" i="6" s="1"/>
  <c r="M1333" i="6"/>
  <c r="N1333" i="6"/>
  <c r="A1333" i="6" s="1"/>
  <c r="M1334" i="6"/>
  <c r="N1334" i="6"/>
  <c r="A1334" i="6" s="1"/>
  <c r="M1335" i="6"/>
  <c r="N1335" i="6"/>
  <c r="A1335" i="6" s="1"/>
  <c r="M1336" i="6"/>
  <c r="N1336" i="6"/>
  <c r="A1336" i="6" s="1"/>
  <c r="M1337" i="6"/>
  <c r="N1337" i="6"/>
  <c r="A1337" i="6" s="1"/>
  <c r="M1338" i="6"/>
  <c r="N1338" i="6"/>
  <c r="A1338" i="6" s="1"/>
  <c r="M1339" i="6"/>
  <c r="N1339" i="6"/>
  <c r="A1339" i="6" s="1"/>
  <c r="M1340" i="6"/>
  <c r="N1340" i="6"/>
  <c r="A1340" i="6" s="1"/>
  <c r="M1341" i="6"/>
  <c r="N1341" i="6"/>
  <c r="A1341" i="6" s="1"/>
  <c r="M1342" i="6"/>
  <c r="N1342" i="6"/>
  <c r="A1342" i="6" s="1"/>
  <c r="M1343" i="6"/>
  <c r="N1343" i="6"/>
  <c r="A1343" i="6" s="1"/>
  <c r="M1344" i="6"/>
  <c r="N1344" i="6"/>
  <c r="A1344" i="6" s="1"/>
  <c r="M1345" i="6"/>
  <c r="N1345" i="6"/>
  <c r="A1345" i="6" s="1"/>
  <c r="M1346" i="6"/>
  <c r="N1346" i="6"/>
  <c r="A1346" i="6" s="1"/>
  <c r="M1347" i="6"/>
  <c r="N1347" i="6"/>
  <c r="A1347" i="6" s="1"/>
  <c r="M1348" i="6"/>
  <c r="N1348" i="6"/>
  <c r="A1348" i="6" s="1"/>
  <c r="M1349" i="6"/>
  <c r="N1349" i="6"/>
  <c r="A1349" i="6" s="1"/>
  <c r="M1350" i="6"/>
  <c r="N1350" i="6"/>
  <c r="A1350" i="6" s="1"/>
  <c r="M1351" i="6"/>
  <c r="N1351" i="6"/>
  <c r="A1351" i="6" s="1"/>
  <c r="M1352" i="6"/>
  <c r="N1352" i="6"/>
  <c r="A1352" i="6" s="1"/>
  <c r="M1353" i="6"/>
  <c r="N1353" i="6"/>
  <c r="A1353" i="6" s="1"/>
  <c r="M1354" i="6"/>
  <c r="N1354" i="6"/>
  <c r="A1354" i="6" s="1"/>
  <c r="M1355" i="6"/>
  <c r="N1355" i="6"/>
  <c r="A1355" i="6" s="1"/>
  <c r="M1356" i="6"/>
  <c r="N1356" i="6"/>
  <c r="A1356" i="6" s="1"/>
  <c r="M1357" i="6"/>
  <c r="N1357" i="6"/>
  <c r="A1357" i="6" s="1"/>
  <c r="M1358" i="6"/>
  <c r="N1358" i="6"/>
  <c r="A1358" i="6" s="1"/>
  <c r="M1359" i="6"/>
  <c r="N1359" i="6"/>
  <c r="A1359" i="6" s="1"/>
  <c r="M1360" i="6"/>
  <c r="N1360" i="6"/>
  <c r="A1360" i="6" s="1"/>
  <c r="M1361" i="6"/>
  <c r="N1361" i="6"/>
  <c r="A1361" i="6" s="1"/>
  <c r="M1362" i="6"/>
  <c r="N1362" i="6"/>
  <c r="A1362" i="6" s="1"/>
  <c r="M1363" i="6"/>
  <c r="N1363" i="6"/>
  <c r="A1363" i="6" s="1"/>
  <c r="M1364" i="6"/>
  <c r="N1364" i="6"/>
  <c r="A1364" i="6" s="1"/>
  <c r="M1365" i="6"/>
  <c r="N1365" i="6"/>
  <c r="A1365" i="6" s="1"/>
  <c r="M1366" i="6"/>
  <c r="N1366" i="6"/>
  <c r="A1366" i="6" s="1"/>
  <c r="M1367" i="6"/>
  <c r="N1367" i="6"/>
  <c r="A1367" i="6" s="1"/>
  <c r="M1368" i="6"/>
  <c r="N1368" i="6"/>
  <c r="A1368" i="6" s="1"/>
  <c r="G1369" i="6"/>
  <c r="M1369" i="6"/>
  <c r="N1369" i="6"/>
  <c r="A1369" i="6" s="1"/>
  <c r="G1370" i="6"/>
  <c r="M1370" i="6"/>
  <c r="N1370" i="6"/>
  <c r="A1370" i="6" s="1"/>
  <c r="G1371" i="6"/>
  <c r="M1371" i="6"/>
  <c r="N1371" i="6"/>
  <c r="A1371" i="6" s="1"/>
  <c r="G1372" i="6"/>
  <c r="M1372" i="6"/>
  <c r="N1372" i="6"/>
  <c r="A1372" i="6" s="1"/>
  <c r="G1373" i="6"/>
  <c r="M1373" i="6"/>
  <c r="N1373" i="6"/>
  <c r="A1373" i="6" s="1"/>
  <c r="G1374" i="6"/>
  <c r="M1374" i="6"/>
  <c r="N1374" i="6"/>
  <c r="A1374" i="6" s="1"/>
  <c r="G1375" i="6"/>
  <c r="M1375" i="6"/>
  <c r="N1375" i="6"/>
  <c r="A1375" i="6" s="1"/>
  <c r="G1376" i="6"/>
  <c r="M1376" i="6"/>
  <c r="N1376" i="6"/>
  <c r="A1376" i="6" s="1"/>
  <c r="G1377" i="6"/>
  <c r="M1377" i="6"/>
  <c r="N1377" i="6"/>
  <c r="A1377" i="6" s="1"/>
  <c r="G1378" i="6"/>
  <c r="M1378" i="6"/>
  <c r="N1378" i="6"/>
  <c r="A1378" i="6" s="1"/>
  <c r="G1379" i="6"/>
  <c r="M1379" i="6"/>
  <c r="N1379" i="6"/>
  <c r="A1379" i="6" s="1"/>
  <c r="G1380" i="6"/>
  <c r="M1380" i="6"/>
  <c r="N1380" i="6"/>
  <c r="A1380" i="6" s="1"/>
  <c r="G1381" i="6"/>
  <c r="M1381" i="6"/>
  <c r="N1381" i="6"/>
  <c r="A1381" i="6" s="1"/>
  <c r="G1382" i="6"/>
  <c r="M1382" i="6"/>
  <c r="N1382" i="6"/>
  <c r="A1382" i="6" s="1"/>
  <c r="G1383" i="6"/>
  <c r="M1383" i="6"/>
  <c r="N1383" i="6"/>
  <c r="A1383" i="6" s="1"/>
  <c r="G1384" i="6"/>
  <c r="M1384" i="6"/>
  <c r="N1384" i="6"/>
  <c r="A1384" i="6" s="1"/>
  <c r="G1385" i="6"/>
  <c r="M1385" i="6"/>
  <c r="N1385" i="6"/>
  <c r="A1385" i="6" s="1"/>
  <c r="G1386" i="6"/>
  <c r="M1386" i="6"/>
  <c r="N1386" i="6"/>
  <c r="A1386" i="6" s="1"/>
  <c r="G1387" i="6"/>
  <c r="M1387" i="6"/>
  <c r="N1387" i="6"/>
  <c r="A1387" i="6" s="1"/>
  <c r="G1388" i="6"/>
  <c r="M1388" i="6"/>
  <c r="N1388" i="6"/>
  <c r="A1388" i="6" s="1"/>
  <c r="G1389" i="6"/>
  <c r="M1389" i="6"/>
  <c r="N1389" i="6"/>
  <c r="A1389" i="6" s="1"/>
  <c r="G1390" i="6"/>
  <c r="M1390" i="6"/>
  <c r="N1390" i="6"/>
  <c r="A1390" i="6" s="1"/>
  <c r="G1391" i="6"/>
  <c r="M1391" i="6"/>
  <c r="N1391" i="6"/>
  <c r="A1391" i="6" s="1"/>
  <c r="G1392" i="6"/>
  <c r="M1392" i="6"/>
  <c r="N1392" i="6"/>
  <c r="A1392" i="6" s="1"/>
  <c r="G1393" i="6"/>
  <c r="M1393" i="6"/>
  <c r="N1393" i="6"/>
  <c r="A1393" i="6" s="1"/>
  <c r="G1394" i="6"/>
  <c r="M1394" i="6"/>
  <c r="N1394" i="6"/>
  <c r="A1394" i="6" s="1"/>
  <c r="G1395" i="6"/>
  <c r="M1395" i="6"/>
  <c r="N1395" i="6"/>
  <c r="A1395" i="6" s="1"/>
  <c r="G1396" i="6"/>
  <c r="M1396" i="6"/>
  <c r="N1396" i="6"/>
  <c r="A1396" i="6" s="1"/>
  <c r="G1397" i="6"/>
  <c r="M1397" i="6"/>
  <c r="N1397" i="6"/>
  <c r="A1397" i="6" s="1"/>
  <c r="G1398" i="6"/>
  <c r="M1398" i="6"/>
  <c r="N1398" i="6"/>
  <c r="A1398" i="6" s="1"/>
  <c r="G1399" i="6"/>
  <c r="M1399" i="6"/>
  <c r="N1399" i="6"/>
  <c r="A1399" i="6" s="1"/>
  <c r="G1400" i="6"/>
  <c r="M1400" i="6"/>
  <c r="N1400" i="6"/>
  <c r="A1400" i="6" s="1"/>
  <c r="G1401" i="6"/>
  <c r="M1401" i="6"/>
  <c r="N1401" i="6"/>
  <c r="A1401" i="6" s="1"/>
  <c r="G1402" i="6"/>
  <c r="M1402" i="6"/>
  <c r="N1402" i="6"/>
  <c r="A1402" i="6" s="1"/>
  <c r="G1403" i="6"/>
  <c r="M1403" i="6"/>
  <c r="N1403" i="6"/>
  <c r="A1403" i="6" s="1"/>
  <c r="G1404" i="6"/>
  <c r="M1404" i="6"/>
  <c r="N1404" i="6"/>
  <c r="A1404" i="6" s="1"/>
  <c r="G1405" i="6"/>
  <c r="M1405" i="6"/>
  <c r="N1405" i="6"/>
  <c r="A1405" i="6" s="1"/>
  <c r="G1406" i="6"/>
  <c r="M1406" i="6"/>
  <c r="N1406" i="6"/>
  <c r="A1406" i="6" s="1"/>
  <c r="G1407" i="6"/>
  <c r="M1407" i="6"/>
  <c r="N1407" i="6"/>
  <c r="A1407" i="6" s="1"/>
  <c r="G1408" i="6"/>
  <c r="M1408" i="6"/>
  <c r="N1408" i="6"/>
  <c r="A1408" i="6" s="1"/>
  <c r="G1409" i="6"/>
  <c r="M1409" i="6"/>
  <c r="N1409" i="6"/>
  <c r="A1409" i="6" s="1"/>
  <c r="G1410" i="6"/>
  <c r="M1410" i="6"/>
  <c r="N1410" i="6"/>
  <c r="A1410" i="6" s="1"/>
  <c r="G1411" i="6"/>
  <c r="M1411" i="6"/>
  <c r="N1411" i="6"/>
  <c r="A1411" i="6" s="1"/>
  <c r="G1412" i="6"/>
  <c r="M1412" i="6"/>
  <c r="N1412" i="6"/>
  <c r="A1412" i="6" s="1"/>
  <c r="G1413" i="6"/>
  <c r="M1413" i="6"/>
  <c r="N1413" i="6"/>
  <c r="A1413" i="6" s="1"/>
  <c r="G1414" i="6"/>
  <c r="M1414" i="6"/>
  <c r="N1414" i="6"/>
  <c r="A1414" i="6" s="1"/>
  <c r="G1415" i="6"/>
  <c r="M1415" i="6"/>
  <c r="N1415" i="6"/>
  <c r="A1415" i="6" s="1"/>
  <c r="G1416" i="6"/>
  <c r="M1416" i="6"/>
  <c r="N1416" i="6"/>
  <c r="A1416" i="6" s="1"/>
  <c r="G1417" i="6"/>
  <c r="M1417" i="6"/>
  <c r="N1417" i="6"/>
  <c r="A1417" i="6" s="1"/>
  <c r="G1418" i="6"/>
  <c r="M1418" i="6"/>
  <c r="N1418" i="6"/>
  <c r="A1418" i="6" s="1"/>
  <c r="G1419" i="6"/>
  <c r="M1419" i="6"/>
  <c r="N1419" i="6"/>
  <c r="A1419" i="6" s="1"/>
  <c r="G1420" i="6"/>
  <c r="M1420" i="6"/>
  <c r="N1420" i="6"/>
  <c r="A1420" i="6" s="1"/>
  <c r="G1421" i="6"/>
  <c r="M1421" i="6"/>
  <c r="N1421" i="6"/>
  <c r="A1421" i="6" s="1"/>
  <c r="G1422" i="6"/>
  <c r="M1422" i="6"/>
  <c r="N1422" i="6"/>
  <c r="A1422" i="6" s="1"/>
  <c r="G1423" i="6"/>
  <c r="M1423" i="6"/>
  <c r="N1423" i="6"/>
  <c r="A1423" i="6" s="1"/>
  <c r="G1424" i="6"/>
  <c r="M1424" i="6"/>
  <c r="N1424" i="6"/>
  <c r="A1424" i="6" s="1"/>
  <c r="G1425" i="6"/>
  <c r="M1425" i="6"/>
  <c r="N1425" i="6"/>
  <c r="A1425" i="6" s="1"/>
  <c r="G1426" i="6"/>
  <c r="M1426" i="6"/>
  <c r="N1426" i="6"/>
  <c r="A1426" i="6" s="1"/>
  <c r="G1427" i="6"/>
  <c r="M1427" i="6"/>
  <c r="N1427" i="6"/>
  <c r="A1427" i="6" s="1"/>
  <c r="G1428" i="6"/>
  <c r="M1428" i="6"/>
  <c r="N1428" i="6"/>
  <c r="A1428" i="6" s="1"/>
  <c r="G1429" i="6"/>
  <c r="M1429" i="6"/>
  <c r="N1429" i="6"/>
  <c r="A1429" i="6" s="1"/>
  <c r="G1430" i="6"/>
  <c r="M1430" i="6"/>
  <c r="N1430" i="6"/>
  <c r="A1430" i="6" s="1"/>
  <c r="G1431" i="6"/>
  <c r="M1431" i="6"/>
  <c r="N1431" i="6"/>
  <c r="A1431" i="6" s="1"/>
  <c r="G1432" i="6"/>
  <c r="M1432" i="6"/>
  <c r="N1432" i="6"/>
  <c r="A1432" i="6" s="1"/>
  <c r="G1433" i="6"/>
  <c r="M1433" i="6"/>
  <c r="N1433" i="6"/>
  <c r="A1433" i="6" s="1"/>
  <c r="G1434" i="6"/>
  <c r="M1434" i="6"/>
  <c r="N1434" i="6"/>
  <c r="A1434" i="6" s="1"/>
  <c r="G1435" i="6"/>
  <c r="M1435" i="6"/>
  <c r="N1435" i="6"/>
  <c r="A1435" i="6" s="1"/>
  <c r="G1436" i="6"/>
  <c r="M1436" i="6"/>
  <c r="N1436" i="6"/>
  <c r="A1436" i="6" s="1"/>
  <c r="G1437" i="6"/>
  <c r="M1437" i="6"/>
  <c r="N1437" i="6"/>
  <c r="A1437" i="6" s="1"/>
  <c r="G1438" i="6"/>
  <c r="M1438" i="6"/>
  <c r="N1438" i="6"/>
  <c r="A1438" i="6" s="1"/>
  <c r="G1439" i="6"/>
  <c r="M1439" i="6"/>
  <c r="N1439" i="6"/>
  <c r="A1439" i="6" s="1"/>
  <c r="G1440" i="6"/>
  <c r="M1440" i="6"/>
  <c r="N1440" i="6"/>
  <c r="A1440" i="6" s="1"/>
  <c r="G1441" i="6"/>
  <c r="M1441" i="6"/>
  <c r="N1441" i="6"/>
  <c r="A1441" i="6" s="1"/>
  <c r="G1442" i="6"/>
  <c r="M1442" i="6"/>
  <c r="N1442" i="6"/>
  <c r="A1442" i="6" s="1"/>
  <c r="G1443" i="6"/>
  <c r="M1443" i="6"/>
  <c r="N1443" i="6"/>
  <c r="A1443" i="6" s="1"/>
  <c r="G1444" i="6"/>
  <c r="M1444" i="6"/>
  <c r="N1444" i="6"/>
  <c r="A1444" i="6" s="1"/>
  <c r="G1445" i="6"/>
  <c r="M1445" i="6"/>
  <c r="N1445" i="6"/>
  <c r="A1445" i="6" s="1"/>
  <c r="G1446" i="6"/>
  <c r="M1446" i="6"/>
  <c r="N1446" i="6"/>
  <c r="A1446" i="6" s="1"/>
  <c r="G1447" i="6"/>
  <c r="M1447" i="6"/>
  <c r="N1447" i="6"/>
  <c r="A1447" i="6" s="1"/>
  <c r="G1448" i="6"/>
  <c r="M1448" i="6"/>
  <c r="N1448" i="6"/>
  <c r="A1448" i="6" s="1"/>
  <c r="G1449" i="6"/>
  <c r="M1449" i="6"/>
  <c r="N1449" i="6"/>
  <c r="A1449" i="6" s="1"/>
  <c r="G1450" i="6"/>
  <c r="M1450" i="6"/>
  <c r="N1450" i="6"/>
  <c r="A1450" i="6" s="1"/>
  <c r="G1451" i="6"/>
  <c r="M1451" i="6"/>
  <c r="N1451" i="6"/>
  <c r="A1451" i="6" s="1"/>
  <c r="G1452" i="6"/>
  <c r="M1452" i="6"/>
  <c r="N1452" i="6"/>
  <c r="A1452" i="6" s="1"/>
  <c r="G1453" i="6"/>
  <c r="M1453" i="6"/>
  <c r="N1453" i="6"/>
  <c r="A1453" i="6" s="1"/>
  <c r="G1454" i="6"/>
  <c r="M1454" i="6"/>
  <c r="N1454" i="6"/>
  <c r="A1454" i="6" s="1"/>
  <c r="G1455" i="6"/>
  <c r="M1455" i="6"/>
  <c r="N1455" i="6"/>
  <c r="A1455" i="6" s="1"/>
  <c r="G1456" i="6"/>
  <c r="M1456" i="6"/>
  <c r="N1456" i="6"/>
  <c r="A1456" i="6" s="1"/>
  <c r="G1457" i="6"/>
  <c r="N1457" i="6"/>
  <c r="A1457" i="6" s="1"/>
  <c r="M17" i="6"/>
  <c r="M18" i="6"/>
  <c r="M19" i="6"/>
  <c r="M202" i="6"/>
  <c r="M20" i="6"/>
  <c r="M21" i="6"/>
  <c r="M6" i="6"/>
  <c r="G17" i="6"/>
  <c r="G18" i="6"/>
  <c r="G19" i="6"/>
  <c r="G202" i="6"/>
  <c r="G20" i="6"/>
  <c r="G21" i="6"/>
  <c r="G6" i="6"/>
  <c r="S373" i="6"/>
  <c r="S372" i="6"/>
  <c r="S369" i="6"/>
  <c r="S360" i="6"/>
  <c r="S353" i="6"/>
  <c r="S346" i="6"/>
  <c r="S342" i="6"/>
  <c r="S338" i="6"/>
  <c r="S339" i="6"/>
  <c r="S332" i="6"/>
  <c r="S330" i="6"/>
  <c r="S331" i="6"/>
  <c r="S327" i="6"/>
  <c r="S323" i="6"/>
  <c r="S318" i="6"/>
  <c r="S314" i="6"/>
  <c r="S310" i="6"/>
  <c r="S307" i="6"/>
  <c r="S308" i="6"/>
  <c r="S309" i="6"/>
  <c r="S297" i="6"/>
  <c r="S289" i="6"/>
  <c r="C8" i="16" l="1"/>
  <c r="C11" i="16"/>
  <c r="C7" i="16" l="1"/>
  <c r="C13" i="16" l="1"/>
  <c r="C10" i="16"/>
  <c r="C9" i="16"/>
  <c r="F12" i="16" l="1"/>
  <c r="AA1541" i="1" l="1"/>
  <c r="AA1539" i="1" l="1"/>
  <c r="AA1540" i="1"/>
  <c r="AA1537" i="1"/>
  <c r="A1537" i="1" s="1"/>
  <c r="AA1538" i="1"/>
  <c r="AA1535" i="1"/>
  <c r="AA1536" i="1"/>
  <c r="A1536" i="1" s="1"/>
  <c r="AA1533" i="1"/>
  <c r="AA1534" i="1"/>
  <c r="AA1531" i="1"/>
  <c r="AA1532" i="1"/>
  <c r="A1532" i="1" s="1"/>
  <c r="AA1529" i="1"/>
  <c r="A1529" i="1" s="1"/>
  <c r="AA1530" i="1"/>
  <c r="AA1527" i="1"/>
  <c r="A1527" i="1" s="1"/>
  <c r="AA1528" i="1"/>
  <c r="AA1019" i="1"/>
  <c r="AA1526" i="1"/>
  <c r="A1526" i="1" s="1"/>
  <c r="AA1524" i="1"/>
  <c r="AA1525" i="1"/>
  <c r="A1525" i="1" s="1"/>
  <c r="AA1522" i="1"/>
  <c r="AA1523" i="1"/>
  <c r="AA1520" i="1"/>
  <c r="AA1521" i="1"/>
  <c r="AA1518" i="1"/>
  <c r="AA1519" i="1"/>
  <c r="AA1516" i="1"/>
  <c r="AA1517" i="1"/>
  <c r="A1517" i="1" s="1"/>
  <c r="AA1514" i="1"/>
  <c r="AA1515" i="1"/>
  <c r="AA1512" i="1"/>
  <c r="A1512" i="1" s="1"/>
  <c r="AA1513" i="1"/>
  <c r="AA1510" i="1"/>
  <c r="AA1511" i="1"/>
  <c r="A1511" i="1" s="1"/>
  <c r="AA1508" i="1"/>
  <c r="A1508" i="1" s="1"/>
  <c r="AA1509" i="1"/>
  <c r="AA1506" i="1"/>
  <c r="A1506" i="1" s="1"/>
  <c r="AA1507" i="1"/>
  <c r="AA1504" i="1"/>
  <c r="AA1505" i="1"/>
  <c r="A1505" i="1" s="1"/>
  <c r="AA1501" i="1"/>
  <c r="AA1503" i="1"/>
  <c r="AA1502" i="1"/>
  <c r="AA1499" i="1"/>
  <c r="AA1500" i="1"/>
  <c r="AA1497" i="1"/>
  <c r="AA1498" i="1"/>
  <c r="AA1495" i="1"/>
  <c r="A1495" i="1" s="1"/>
  <c r="AA1496" i="1"/>
  <c r="AA1493" i="1"/>
  <c r="A1493" i="1" s="1"/>
  <c r="AA1494" i="1"/>
  <c r="A1494" i="1" s="1"/>
  <c r="AA1491" i="1"/>
  <c r="A1491" i="1" s="1"/>
  <c r="AA1492" i="1"/>
  <c r="A1492" i="1" s="1"/>
  <c r="AA1489" i="1"/>
  <c r="A1489" i="1" s="1"/>
  <c r="AA1490" i="1"/>
  <c r="A1490" i="1" s="1"/>
  <c r="AA1487" i="1"/>
  <c r="AA1488" i="1"/>
  <c r="AA1485" i="1"/>
  <c r="AA1486" i="1"/>
  <c r="AA1483" i="1"/>
  <c r="AA1484" i="1"/>
  <c r="A1484" i="1" s="1"/>
  <c r="AA1481" i="1"/>
  <c r="A1481" i="1" s="1"/>
  <c r="AA1482" i="1"/>
  <c r="AA1479" i="1"/>
  <c r="A1479" i="1" s="1"/>
  <c r="AA1477" i="1"/>
  <c r="A1477" i="1" s="1"/>
  <c r="AA1480" i="1"/>
  <c r="A1480" i="1" s="1"/>
  <c r="AA1475" i="1"/>
  <c r="A1475" i="1" s="1"/>
  <c r="AA1478" i="1"/>
  <c r="AA1476" i="1"/>
  <c r="AA1473" i="1"/>
  <c r="AA1474" i="1"/>
  <c r="A1474" i="1" s="1"/>
  <c r="AA1471" i="1"/>
  <c r="A1471" i="1" s="1"/>
  <c r="AA1472" i="1"/>
  <c r="AA1469" i="1"/>
  <c r="AA1470" i="1"/>
  <c r="AA1467" i="1"/>
  <c r="A1467" i="1" s="1"/>
  <c r="AA1468" i="1"/>
  <c r="A1468" i="1" s="1"/>
  <c r="AA1465" i="1"/>
  <c r="A1465" i="1" s="1"/>
  <c r="AA1466" i="1"/>
  <c r="A1466" i="1" s="1"/>
  <c r="AA1463" i="1"/>
  <c r="A1463" i="1" s="1"/>
  <c r="AA1464" i="1"/>
  <c r="A1464" i="1" s="1"/>
  <c r="AA1461" i="1"/>
  <c r="AA1462" i="1"/>
  <c r="A1462" i="1" s="1"/>
  <c r="AA1459" i="1"/>
  <c r="A1459" i="1" s="1"/>
  <c r="AA1460" i="1"/>
  <c r="AA1457" i="1"/>
  <c r="AA1458" i="1"/>
  <c r="AA1455" i="1"/>
  <c r="AA1456" i="1"/>
  <c r="AA1453" i="1"/>
  <c r="AA1454" i="1"/>
  <c r="A1454" i="1" s="1"/>
  <c r="AA1451" i="1"/>
  <c r="A1451" i="1" s="1"/>
  <c r="AA1452" i="1"/>
  <c r="A1452" i="1" s="1"/>
  <c r="AA1449" i="1"/>
  <c r="AA1450" i="1"/>
  <c r="AA1447" i="1"/>
  <c r="A1447" i="1" s="1"/>
  <c r="AA1448" i="1"/>
  <c r="A1448" i="1" s="1"/>
  <c r="AA1445" i="1"/>
  <c r="AA1444" i="1"/>
  <c r="AA1446" i="1"/>
  <c r="A1446" i="1" s="1"/>
  <c r="AA1442" i="1"/>
  <c r="AA1443" i="1"/>
  <c r="AA1440" i="1"/>
  <c r="A1440" i="1" s="1"/>
  <c r="AA1441" i="1"/>
  <c r="A1441" i="1" s="1"/>
  <c r="AA1438" i="1"/>
  <c r="A1438" i="1" s="1"/>
  <c r="AA1439" i="1"/>
  <c r="A1439" i="1" s="1"/>
  <c r="AA1436" i="1"/>
  <c r="AA1437" i="1"/>
  <c r="AA1434" i="1"/>
  <c r="AA1435" i="1"/>
  <c r="A1435" i="1" s="1"/>
  <c r="AA1432" i="1"/>
  <c r="AA1433" i="1"/>
  <c r="AA1430" i="1"/>
  <c r="AA1431" i="1"/>
  <c r="AA1428" i="1"/>
  <c r="AA1429" i="1"/>
  <c r="A1429" i="1" s="1"/>
  <c r="AA1426" i="1"/>
  <c r="A1426" i="1" s="1"/>
  <c r="AA1427" i="1"/>
  <c r="AA1424" i="1"/>
  <c r="A1424" i="1" s="1"/>
  <c r="AA1425" i="1"/>
  <c r="AA1422" i="1"/>
  <c r="A1422" i="1" s="1"/>
  <c r="AA1423" i="1"/>
  <c r="AA1420" i="1"/>
  <c r="AA1421" i="1"/>
  <c r="A1421" i="1" s="1"/>
  <c r="AA1418" i="1"/>
  <c r="AA1419" i="1"/>
  <c r="AA1416" i="1"/>
  <c r="A1416" i="1" s="1"/>
  <c r="AA1417" i="1"/>
  <c r="A1417" i="1" s="1"/>
  <c r="AA1414" i="1"/>
  <c r="A1414" i="1" s="1"/>
  <c r="AA1415" i="1"/>
  <c r="A1415" i="1" s="1"/>
  <c r="AA1412" i="1"/>
  <c r="A1412" i="1" s="1"/>
  <c r="AA1413" i="1"/>
  <c r="A1413" i="1" s="1"/>
  <c r="AA1410" i="1"/>
  <c r="AA1411" i="1"/>
  <c r="AA1408" i="1"/>
  <c r="A1408" i="1" s="1"/>
  <c r="AA1409" i="1"/>
  <c r="AA1406" i="1"/>
  <c r="AA1407" i="1"/>
  <c r="AA1404" i="1"/>
  <c r="A1404" i="1" s="1"/>
  <c r="AA1405" i="1"/>
  <c r="AA1402" i="1"/>
  <c r="AA1403" i="1"/>
  <c r="AA1400" i="1"/>
  <c r="AA1401" i="1"/>
  <c r="AA1398" i="1"/>
  <c r="AA1399" i="1"/>
  <c r="A1399" i="1" s="1"/>
  <c r="AA1396" i="1"/>
  <c r="A1396" i="1" s="1"/>
  <c r="AA1397" i="1"/>
  <c r="A1397" i="1" s="1"/>
  <c r="AA1394" i="1"/>
  <c r="A1394" i="1" s="1"/>
  <c r="AA1395" i="1"/>
  <c r="A1395" i="1" s="1"/>
  <c r="AA1392" i="1"/>
  <c r="AA1393" i="1"/>
  <c r="AA1211" i="1"/>
  <c r="AA1391" i="1"/>
  <c r="A1391" i="1" s="1"/>
  <c r="AA1389" i="1"/>
  <c r="AA1390" i="1"/>
  <c r="AA1387" i="1"/>
  <c r="AA1388" i="1"/>
  <c r="AA1385" i="1"/>
  <c r="AA1386" i="1"/>
  <c r="AA1383" i="1"/>
  <c r="A1383" i="1" s="1"/>
  <c r="AA1384" i="1"/>
  <c r="A1384" i="1" s="1"/>
  <c r="AA1380" i="1"/>
  <c r="AA1381" i="1"/>
  <c r="AA1382" i="1"/>
  <c r="AA1378" i="1"/>
  <c r="AA1379" i="1"/>
  <c r="A1379" i="1" s="1"/>
  <c r="AA1376" i="1"/>
  <c r="AA1377" i="1"/>
  <c r="AA1374" i="1"/>
  <c r="A1374" i="1" s="1"/>
  <c r="AA1375" i="1"/>
  <c r="A1375" i="1" s="1"/>
  <c r="AA1372" i="1"/>
  <c r="AA1373" i="1"/>
  <c r="AA1370" i="1"/>
  <c r="AA1368" i="1"/>
  <c r="A1368" i="1" s="1"/>
  <c r="AA1371" i="1"/>
  <c r="AA1369" i="1"/>
  <c r="AA1366" i="1"/>
  <c r="A1366" i="1" s="1"/>
  <c r="AA1367" i="1"/>
  <c r="A1367" i="1" s="1"/>
  <c r="AA1364" i="1"/>
  <c r="A1364" i="1" s="1"/>
  <c r="AA1365" i="1"/>
  <c r="AA1362" i="1"/>
  <c r="AA1363" i="1"/>
  <c r="AA1360" i="1"/>
  <c r="AA1361" i="1"/>
  <c r="AA1358" i="1"/>
  <c r="A1358" i="1" s="1"/>
  <c r="AA1359" i="1"/>
  <c r="AA1356" i="1"/>
  <c r="AA1357" i="1"/>
  <c r="A1357" i="1" s="1"/>
  <c r="AA1354" i="1"/>
  <c r="AA1355" i="1"/>
  <c r="A1355" i="1" s="1"/>
  <c r="AA1352" i="1"/>
  <c r="A1352" i="1" s="1"/>
  <c r="AA1353" i="1"/>
  <c r="AA1350" i="1"/>
  <c r="A1350" i="1" s="1"/>
  <c r="AA1351" i="1"/>
  <c r="AA1348" i="1"/>
  <c r="A1348" i="1" s="1"/>
  <c r="AA1349" i="1"/>
  <c r="AA1346" i="1"/>
  <c r="AA1347" i="1"/>
  <c r="A1347" i="1" s="1"/>
  <c r="AA1344" i="1"/>
  <c r="AA1345" i="1"/>
  <c r="AA1342" i="1"/>
  <c r="AA1343" i="1"/>
  <c r="AA1340" i="1"/>
  <c r="A1340" i="1" s="1"/>
  <c r="AA1341" i="1"/>
  <c r="A1341" i="1" s="1"/>
  <c r="AA1338" i="1"/>
  <c r="AA1339" i="1"/>
  <c r="A1339" i="1" s="1"/>
  <c r="AA1336" i="1"/>
  <c r="AA1337" i="1"/>
  <c r="A1337" i="1" s="1"/>
  <c r="AA1334" i="1"/>
  <c r="AA1335" i="1"/>
  <c r="A1335" i="1" s="1"/>
  <c r="AA1332" i="1"/>
  <c r="AA1333" i="1"/>
  <c r="AA1330" i="1"/>
  <c r="AA1331" i="1"/>
  <c r="AA1328" i="1"/>
  <c r="AA1329" i="1"/>
  <c r="AA1326" i="1"/>
  <c r="AA1327" i="1"/>
  <c r="AA1324" i="1"/>
  <c r="AA1325" i="1"/>
  <c r="AA1322" i="1"/>
  <c r="AA1323" i="1"/>
  <c r="AA1320" i="1"/>
  <c r="AA1321" i="1"/>
  <c r="AA1318" i="1"/>
  <c r="AA1319" i="1"/>
  <c r="AA1317" i="1"/>
  <c r="AA800" i="1"/>
  <c r="AA1315" i="1"/>
  <c r="AA1316" i="1"/>
  <c r="AA1306" i="1"/>
  <c r="A1306" i="1" s="1"/>
  <c r="AA1312" i="1"/>
  <c r="AA1314" i="1"/>
  <c r="AA1313" i="1"/>
  <c r="A1313" i="1" s="1"/>
  <c r="AA1310" i="1"/>
  <c r="A1310" i="1" s="1"/>
  <c r="AA1311" i="1"/>
  <c r="AA1308" i="1"/>
  <c r="AA1309" i="1"/>
  <c r="AA1305" i="1"/>
  <c r="AA1307" i="1"/>
  <c r="AA1303" i="1"/>
  <c r="AA1304" i="1"/>
  <c r="A1304" i="1" s="1"/>
  <c r="AA1299" i="1"/>
  <c r="A1299" i="1" s="1"/>
  <c r="AA1302" i="1"/>
  <c r="AA1297" i="1"/>
  <c r="A1297" i="1" s="1"/>
  <c r="AA1298" i="1"/>
  <c r="AA1295" i="1"/>
  <c r="AA1296" i="1"/>
  <c r="AA1293" i="1"/>
  <c r="AA1294" i="1"/>
  <c r="AA1291" i="1"/>
  <c r="AA1292" i="1"/>
  <c r="A1292" i="1" s="1"/>
  <c r="AA1289" i="1"/>
  <c r="AA1290" i="1"/>
  <c r="AA1287" i="1"/>
  <c r="AA1288" i="1"/>
  <c r="AA1285" i="1"/>
  <c r="AA1286" i="1"/>
  <c r="AA1283" i="1"/>
  <c r="AA1284" i="1"/>
  <c r="AA1281" i="1"/>
  <c r="AA1282" i="1"/>
  <c r="AA1279" i="1"/>
  <c r="AA1280" i="1"/>
  <c r="AA1277" i="1"/>
  <c r="AA1278" i="1"/>
  <c r="A1278" i="1" s="1"/>
  <c r="AA1275" i="1"/>
  <c r="AA1276" i="1"/>
  <c r="AA1273" i="1"/>
  <c r="AA1274" i="1"/>
  <c r="AA1271" i="1"/>
  <c r="AA1272" i="1"/>
  <c r="A1272" i="1" s="1"/>
  <c r="AA1269" i="1"/>
  <c r="A1269" i="1" s="1"/>
  <c r="AA1270" i="1"/>
  <c r="AA1252" i="1"/>
  <c r="A1252" i="1" s="1"/>
  <c r="AA1258" i="1"/>
  <c r="AA1264" i="1"/>
  <c r="A1264" i="1" s="1"/>
  <c r="AA1253" i="1"/>
  <c r="AA1259" i="1"/>
  <c r="AA1265" i="1"/>
  <c r="AA1254" i="1"/>
  <c r="AA1260" i="1"/>
  <c r="A1260" i="1" s="1"/>
  <c r="AA1266" i="1"/>
  <c r="A1266" i="1" s="1"/>
  <c r="AA1255" i="1"/>
  <c r="AA1261" i="1"/>
  <c r="A1261" i="1" s="1"/>
  <c r="AA1267" i="1"/>
  <c r="A1267" i="1" s="1"/>
  <c r="AA1256" i="1"/>
  <c r="AA1262" i="1"/>
  <c r="A1262" i="1" s="1"/>
  <c r="AA1268" i="1"/>
  <c r="A1268" i="1" s="1"/>
  <c r="AA1257" i="1"/>
  <c r="AA1263" i="1"/>
  <c r="AA1250" i="1"/>
  <c r="AA1251" i="1"/>
  <c r="AA1248" i="1"/>
  <c r="AA1249" i="1"/>
  <c r="AA1246" i="1"/>
  <c r="A1246" i="1" s="1"/>
  <c r="AA1247" i="1"/>
  <c r="AA1244" i="1"/>
  <c r="AA1245" i="1"/>
  <c r="AA1242" i="1"/>
  <c r="AA1243" i="1"/>
  <c r="AA1240" i="1"/>
  <c r="AA1241" i="1"/>
  <c r="AA1238" i="1"/>
  <c r="A1238" i="1" s="1"/>
  <c r="AA1239" i="1"/>
  <c r="AA1236" i="1"/>
  <c r="A1236" i="1" s="1"/>
  <c r="AA1237" i="1"/>
  <c r="AA1234" i="1"/>
  <c r="AA1235" i="1"/>
  <c r="AA1232" i="1"/>
  <c r="A1232" i="1" s="1"/>
  <c r="AA1233" i="1"/>
  <c r="A1233" i="1" s="1"/>
  <c r="AA1301" i="1"/>
  <c r="AA1231" i="1"/>
  <c r="AA1229" i="1"/>
  <c r="AA1230" i="1"/>
  <c r="AA1226" i="1"/>
  <c r="AA1227" i="1"/>
  <c r="AA1228" i="1"/>
  <c r="AA1224" i="1"/>
  <c r="AA1225" i="1"/>
  <c r="AA1222" i="1"/>
  <c r="AA1223" i="1"/>
  <c r="AA1215" i="1"/>
  <c r="A1215" i="1" s="1"/>
  <c r="AA1217" i="1"/>
  <c r="AA1212" i="1"/>
  <c r="AA1219" i="1"/>
  <c r="A1219" i="1" s="1"/>
  <c r="AA1210" i="1"/>
  <c r="AA1218" i="1"/>
  <c r="AA1221" i="1"/>
  <c r="AA1208" i="1"/>
  <c r="AA1216" i="1"/>
  <c r="AA1213" i="1"/>
  <c r="AA1220" i="1"/>
  <c r="AA1209" i="1"/>
  <c r="AA1207" i="1"/>
  <c r="AA1214" i="1"/>
  <c r="AA1205" i="1"/>
  <c r="AA1206" i="1"/>
  <c r="AA1201" i="1"/>
  <c r="AA1204" i="1"/>
  <c r="AA1202" i="1"/>
  <c r="AA1203" i="1"/>
  <c r="A1203" i="1" s="1"/>
  <c r="AA1196" i="1"/>
  <c r="AA1198" i="1"/>
  <c r="A1198" i="1" s="1"/>
  <c r="AA1199" i="1"/>
  <c r="AA1200" i="1"/>
  <c r="AA1197" i="1"/>
  <c r="AA1194" i="1"/>
  <c r="AA1195" i="1"/>
  <c r="AA1192" i="1"/>
  <c r="AA1193" i="1"/>
  <c r="AA1190" i="1"/>
  <c r="AA1191" i="1"/>
  <c r="AA1188" i="1"/>
  <c r="AA1189" i="1"/>
  <c r="AA1186" i="1"/>
  <c r="AA1187" i="1"/>
  <c r="AA1184" i="1"/>
  <c r="AA1185" i="1"/>
  <c r="AA1181" i="1"/>
  <c r="AA1182" i="1"/>
  <c r="AA1179" i="1"/>
  <c r="AA1180" i="1"/>
  <c r="AA1177" i="1"/>
  <c r="AA1178" i="1"/>
  <c r="AA1176" i="1"/>
  <c r="AA1183" i="1"/>
  <c r="AA1174" i="1"/>
  <c r="AA1175" i="1"/>
  <c r="AA1172" i="1"/>
  <c r="AA1300" i="1"/>
  <c r="AA1171" i="1"/>
  <c r="AA1169" i="1"/>
  <c r="AA1170" i="1"/>
  <c r="AA1167" i="1"/>
  <c r="AA1168" i="1"/>
  <c r="AA1165" i="1"/>
  <c r="AA1166" i="1"/>
  <c r="AA1163" i="1"/>
  <c r="AA1164" i="1"/>
  <c r="AA1161" i="1"/>
  <c r="AA1162" i="1"/>
  <c r="AA1159" i="1"/>
  <c r="AA1160" i="1"/>
  <c r="AA1157" i="1"/>
  <c r="AA1158" i="1"/>
  <c r="AA1155" i="1"/>
  <c r="AA1156" i="1"/>
  <c r="AA1153" i="1"/>
  <c r="AA1154" i="1"/>
  <c r="AA1149" i="1"/>
  <c r="AA1151" i="1"/>
  <c r="AA1152" i="1"/>
  <c r="AA1150" i="1"/>
  <c r="AA1147" i="1"/>
  <c r="AA1148" i="1"/>
  <c r="AA1145" i="1"/>
  <c r="AA1146" i="1"/>
  <c r="AA1143" i="1"/>
  <c r="AA1144" i="1"/>
  <c r="AA1141" i="1"/>
  <c r="AA1142" i="1"/>
  <c r="AA1139" i="1"/>
  <c r="AA1140" i="1"/>
  <c r="AA1137" i="1"/>
  <c r="AA1138" i="1"/>
  <c r="AA1136" i="1"/>
  <c r="AA1135" i="1"/>
  <c r="AA1134" i="1"/>
  <c r="AA1132" i="1"/>
  <c r="A1132" i="1" s="1"/>
  <c r="AA1133" i="1"/>
  <c r="AA1131" i="1"/>
  <c r="AA1129" i="1"/>
  <c r="AA1130" i="1"/>
  <c r="AA1127" i="1"/>
  <c r="AA1128" i="1"/>
  <c r="AA1125" i="1"/>
  <c r="AA1126" i="1"/>
  <c r="AA1018" i="1"/>
  <c r="AA1124" i="1"/>
  <c r="AA1123" i="1"/>
  <c r="AA1120" i="1"/>
  <c r="AA1121" i="1"/>
  <c r="AA1118" i="1"/>
  <c r="AA1119" i="1"/>
  <c r="AA1116" i="1"/>
  <c r="AA1117" i="1"/>
  <c r="AA1114" i="1"/>
  <c r="AA1115" i="1"/>
  <c r="AA1112" i="1"/>
  <c r="AA1113" i="1"/>
  <c r="AA1110" i="1"/>
  <c r="AA1111" i="1"/>
  <c r="AA1108" i="1"/>
  <c r="AA1109" i="1"/>
  <c r="AA1106" i="1"/>
  <c r="AA1107" i="1"/>
  <c r="AA1104" i="1"/>
  <c r="AA1105" i="1"/>
  <c r="AA1102" i="1"/>
  <c r="AA1103" i="1"/>
  <c r="AA1100" i="1"/>
  <c r="AA1101" i="1"/>
  <c r="AA1098" i="1"/>
  <c r="AA1099" i="1"/>
  <c r="AA1096" i="1"/>
  <c r="AA1097" i="1"/>
  <c r="AA1094" i="1"/>
  <c r="AA1095" i="1"/>
  <c r="AA1092" i="1"/>
  <c r="AA1093" i="1"/>
  <c r="AA1090" i="1"/>
  <c r="AA1091" i="1"/>
  <c r="AA1088" i="1"/>
  <c r="AA1089" i="1"/>
  <c r="AA1086" i="1"/>
  <c r="AA1087" i="1"/>
  <c r="AA1084" i="1"/>
  <c r="AA1085" i="1"/>
  <c r="AA1082" i="1"/>
  <c r="AA1083" i="1"/>
  <c r="AA1081" i="1"/>
  <c r="AA1080" i="1"/>
  <c r="AA1078" i="1"/>
  <c r="AA1079" i="1"/>
  <c r="AA1076" i="1"/>
  <c r="AA1077" i="1"/>
  <c r="AA1074" i="1"/>
  <c r="AA1075" i="1"/>
  <c r="AA1072" i="1"/>
  <c r="AA1073" i="1"/>
  <c r="AA1071" i="1"/>
  <c r="AA1069" i="1"/>
  <c r="AA1070" i="1"/>
  <c r="AA1067" i="1"/>
  <c r="AA1068" i="1"/>
  <c r="AA1065" i="1"/>
  <c r="AA1066" i="1"/>
  <c r="AA1063" i="1"/>
  <c r="AA1064" i="1"/>
  <c r="AA1061" i="1"/>
  <c r="AA1062" i="1"/>
  <c r="AA1059" i="1"/>
  <c r="AA1060" i="1"/>
  <c r="AA1057" i="1"/>
  <c r="AA1058" i="1"/>
  <c r="AA1055" i="1"/>
  <c r="AA1056" i="1"/>
  <c r="AA1053" i="1"/>
  <c r="AA1054" i="1"/>
  <c r="AA1051" i="1"/>
  <c r="AA1052" i="1"/>
  <c r="AA1049" i="1"/>
  <c r="AA1050" i="1"/>
  <c r="AA1047" i="1"/>
  <c r="AA1048" i="1"/>
  <c r="AA1045" i="1"/>
  <c r="AA1046" i="1"/>
  <c r="AA1043" i="1"/>
  <c r="AA1044" i="1"/>
  <c r="AA1041" i="1"/>
  <c r="AA1042" i="1"/>
  <c r="AA1039" i="1"/>
  <c r="AA1040" i="1"/>
  <c r="AA1037" i="1"/>
  <c r="AA1038" i="1"/>
  <c r="AA1035" i="1"/>
  <c r="AA1036" i="1"/>
  <c r="AA1033" i="1"/>
  <c r="AA1034" i="1"/>
  <c r="A1034" i="1" s="1"/>
  <c r="AA1031" i="1"/>
  <c r="AA1032" i="1"/>
  <c r="AA1029" i="1"/>
  <c r="AA1030" i="1"/>
  <c r="A1030" i="1" s="1"/>
  <c r="AA1027" i="1"/>
  <c r="AA1028" i="1"/>
  <c r="AA1025" i="1"/>
  <c r="AA1026" i="1"/>
  <c r="AA1023" i="1"/>
  <c r="AA1024" i="1"/>
  <c r="AA1021" i="1"/>
  <c r="AA1022" i="1"/>
  <c r="AA1015" i="1"/>
  <c r="AA1020" i="1"/>
  <c r="AA1013" i="1"/>
  <c r="AA1014" i="1"/>
  <c r="AA1017" i="1"/>
  <c r="AA1016" i="1"/>
  <c r="AA1011" i="1"/>
  <c r="AA1012" i="1"/>
  <c r="AA1010" i="1"/>
  <c r="AA1008" i="1"/>
  <c r="AA1009" i="1"/>
  <c r="AA1006" i="1"/>
  <c r="AA1007" i="1"/>
  <c r="AA1002" i="1"/>
  <c r="AA1005" i="1"/>
  <c r="AA1004" i="1"/>
  <c r="AA1003" i="1"/>
  <c r="AA1000" i="1"/>
  <c r="AA1001" i="1"/>
  <c r="AA998" i="1"/>
  <c r="AA999" i="1"/>
  <c r="AA996" i="1"/>
  <c r="AA997" i="1"/>
  <c r="AA994" i="1"/>
  <c r="AA995" i="1"/>
  <c r="AA992" i="1"/>
  <c r="AA993" i="1"/>
  <c r="AA990" i="1"/>
  <c r="AA991" i="1"/>
  <c r="AA988" i="1"/>
  <c r="AA989" i="1"/>
  <c r="AA986" i="1"/>
  <c r="AA987" i="1"/>
  <c r="AA984" i="1"/>
  <c r="AA985" i="1"/>
  <c r="AA982" i="1"/>
  <c r="AA983" i="1"/>
  <c r="AA980" i="1"/>
  <c r="AA981" i="1"/>
  <c r="AA978" i="1"/>
  <c r="AA979" i="1"/>
  <c r="AA976" i="1"/>
  <c r="AA977" i="1"/>
  <c r="AA974" i="1"/>
  <c r="AA975" i="1"/>
  <c r="AA972" i="1"/>
  <c r="AA973" i="1"/>
  <c r="AA970" i="1"/>
  <c r="AA971" i="1"/>
  <c r="AA968" i="1"/>
  <c r="AA969" i="1"/>
  <c r="AA966" i="1"/>
  <c r="AA967" i="1"/>
  <c r="AA964" i="1"/>
  <c r="AA965" i="1"/>
  <c r="AA962" i="1"/>
  <c r="AA963" i="1"/>
  <c r="AA960" i="1"/>
  <c r="AA961" i="1"/>
  <c r="AA958" i="1"/>
  <c r="AA959" i="1"/>
  <c r="AA956" i="1"/>
  <c r="AA957" i="1"/>
  <c r="AA954" i="1"/>
  <c r="AA955" i="1"/>
  <c r="AA952" i="1"/>
  <c r="AA953" i="1"/>
  <c r="AA950" i="1"/>
  <c r="AA951" i="1"/>
  <c r="AA948" i="1"/>
  <c r="AA949" i="1"/>
  <c r="AA946" i="1"/>
  <c r="AA947" i="1"/>
  <c r="AA944" i="1"/>
  <c r="AA945" i="1"/>
  <c r="AA942" i="1"/>
  <c r="AA943" i="1"/>
  <c r="AA940" i="1"/>
  <c r="AA941" i="1"/>
  <c r="AA938" i="1"/>
  <c r="AA939" i="1"/>
  <c r="AA936" i="1"/>
  <c r="AA937" i="1"/>
  <c r="AA934" i="1"/>
  <c r="AA935" i="1"/>
  <c r="AA932" i="1"/>
  <c r="AA933" i="1"/>
  <c r="AA929" i="1"/>
  <c r="AA930" i="1"/>
  <c r="AA931" i="1"/>
  <c r="AA928" i="1"/>
  <c r="AA927" i="1"/>
  <c r="AA925" i="1"/>
  <c r="AA926" i="1"/>
  <c r="AA923" i="1"/>
  <c r="AA924" i="1"/>
  <c r="AA922" i="1"/>
  <c r="AA920" i="1"/>
  <c r="AA921" i="1"/>
  <c r="AA918" i="1"/>
  <c r="AA919" i="1"/>
  <c r="AA916" i="1"/>
  <c r="AA917" i="1"/>
  <c r="AA914" i="1"/>
  <c r="AA915" i="1"/>
  <c r="AA911" i="1"/>
  <c r="AA913" i="1"/>
  <c r="AA909" i="1"/>
  <c r="AA910" i="1"/>
  <c r="AA907" i="1"/>
  <c r="AA908" i="1"/>
  <c r="AA904" i="1"/>
  <c r="AA906" i="1"/>
  <c r="AA905" i="1"/>
  <c r="AA902" i="1"/>
  <c r="AA903" i="1"/>
  <c r="AA900" i="1"/>
  <c r="AA901" i="1"/>
  <c r="AA898" i="1"/>
  <c r="AA899" i="1"/>
  <c r="AA896" i="1"/>
  <c r="AA897" i="1"/>
  <c r="AA894" i="1"/>
  <c r="AA895" i="1"/>
  <c r="AA892" i="1"/>
  <c r="AA893" i="1"/>
  <c r="AA891" i="1"/>
  <c r="AA889" i="1"/>
  <c r="AA890" i="1"/>
  <c r="AA887" i="1"/>
  <c r="AA888" i="1"/>
  <c r="AA885" i="1"/>
  <c r="AA883" i="1"/>
  <c r="AA884" i="1"/>
  <c r="AA880" i="1"/>
  <c r="AA882" i="1"/>
  <c r="AA878" i="1"/>
  <c r="AA879" i="1"/>
  <c r="AA876" i="1"/>
  <c r="AA877" i="1"/>
  <c r="AA874" i="1"/>
  <c r="AA875" i="1"/>
  <c r="AA872" i="1"/>
  <c r="AA873" i="1"/>
  <c r="AA870" i="1"/>
  <c r="AA871" i="1"/>
  <c r="AA868" i="1"/>
  <c r="AA869" i="1"/>
  <c r="AA866" i="1"/>
  <c r="AA867" i="1"/>
  <c r="AA864" i="1"/>
  <c r="AA865" i="1"/>
  <c r="AA862" i="1"/>
  <c r="AA863" i="1"/>
  <c r="AA860" i="1"/>
  <c r="AA861" i="1"/>
  <c r="AA858" i="1"/>
  <c r="AA859" i="1"/>
  <c r="AA856" i="1"/>
  <c r="AA857" i="1"/>
  <c r="AA854" i="1"/>
  <c r="AA855" i="1"/>
  <c r="AA852" i="1"/>
  <c r="AA853" i="1"/>
  <c r="AA850" i="1"/>
  <c r="AA851" i="1"/>
  <c r="AA848" i="1"/>
  <c r="AA849" i="1"/>
  <c r="AA846" i="1"/>
  <c r="AA847" i="1"/>
  <c r="AA844" i="1"/>
  <c r="AA845" i="1"/>
  <c r="AA842" i="1"/>
  <c r="AA843" i="1"/>
  <c r="AA840" i="1"/>
  <c r="AA841" i="1"/>
  <c r="AA839" i="1"/>
  <c r="AA837" i="1"/>
  <c r="AA838" i="1"/>
  <c r="AA835" i="1"/>
  <c r="AA836" i="1"/>
  <c r="AA833" i="1"/>
  <c r="AA834" i="1"/>
  <c r="AA831" i="1"/>
  <c r="AA832" i="1"/>
  <c r="AA829" i="1"/>
  <c r="AA830" i="1"/>
  <c r="AA827" i="1"/>
  <c r="AA828" i="1"/>
  <c r="AA825" i="1"/>
  <c r="AA826" i="1"/>
  <c r="AA823" i="1"/>
  <c r="AA824" i="1"/>
  <c r="AA821" i="1"/>
  <c r="AA822" i="1"/>
  <c r="AA815" i="1"/>
  <c r="AA818" i="1"/>
  <c r="AA816" i="1"/>
  <c r="AA819" i="1"/>
  <c r="AA817" i="1"/>
  <c r="AA820" i="1"/>
  <c r="AA813" i="1"/>
  <c r="AA814" i="1"/>
  <c r="AA811" i="1"/>
  <c r="AA812" i="1"/>
  <c r="AA809" i="1"/>
  <c r="AA810" i="1"/>
  <c r="AA807" i="1"/>
  <c r="AA808" i="1"/>
  <c r="AA805" i="1"/>
  <c r="AA806" i="1"/>
  <c r="AA803" i="1"/>
  <c r="AA804" i="1"/>
  <c r="AA801" i="1"/>
  <c r="AA802" i="1"/>
  <c r="AA799" i="1"/>
  <c r="AA797" i="1"/>
  <c r="AA798" i="1"/>
  <c r="AA795" i="1"/>
  <c r="AA796" i="1"/>
  <c r="AA793" i="1"/>
  <c r="AA794" i="1"/>
  <c r="AA791" i="1"/>
  <c r="AA792" i="1"/>
  <c r="AA789" i="1"/>
  <c r="AA790" i="1"/>
  <c r="AA787" i="1"/>
  <c r="AA788" i="1"/>
  <c r="AA785" i="1"/>
  <c r="AA786" i="1"/>
  <c r="AA783" i="1"/>
  <c r="AA784" i="1"/>
  <c r="AA781" i="1"/>
  <c r="AA782" i="1"/>
  <c r="AA779" i="1"/>
  <c r="AA780" i="1"/>
  <c r="AA777" i="1"/>
  <c r="AA778" i="1"/>
  <c r="AA774" i="1"/>
  <c r="AA775" i="1"/>
  <c r="AA772" i="1"/>
  <c r="AA773" i="1"/>
  <c r="AA770" i="1"/>
  <c r="AA771" i="1"/>
  <c r="AA768" i="1"/>
  <c r="AA769" i="1"/>
  <c r="AA766" i="1"/>
  <c r="AA767" i="1"/>
  <c r="AA764" i="1"/>
  <c r="AA765" i="1"/>
  <c r="AA762" i="1"/>
  <c r="AA763" i="1"/>
  <c r="AA760" i="1"/>
  <c r="AA761" i="1"/>
  <c r="AA758" i="1"/>
  <c r="AA759" i="1"/>
  <c r="AA756" i="1"/>
  <c r="AA757" i="1"/>
  <c r="AA754" i="1"/>
  <c r="AA755" i="1"/>
  <c r="AA752" i="1"/>
  <c r="AA753" i="1"/>
  <c r="AA750" i="1"/>
  <c r="AA751" i="1"/>
  <c r="AA748" i="1"/>
  <c r="AA749" i="1"/>
  <c r="AA746" i="1"/>
  <c r="AA747" i="1"/>
  <c r="AA744" i="1"/>
  <c r="AA745" i="1"/>
  <c r="AA742" i="1"/>
  <c r="AA743" i="1"/>
  <c r="AA740" i="1"/>
  <c r="AA741" i="1"/>
  <c r="AA739" i="1"/>
  <c r="AA912" i="1"/>
  <c r="AA737" i="1"/>
  <c r="AA738" i="1"/>
  <c r="AA735" i="1"/>
  <c r="AA736" i="1"/>
  <c r="AA734" i="1"/>
  <c r="AA733" i="1"/>
  <c r="AA731" i="1"/>
  <c r="AA732" i="1"/>
  <c r="AA729" i="1"/>
  <c r="AA730" i="1"/>
  <c r="AA727" i="1"/>
  <c r="AA728" i="1"/>
  <c r="AA725" i="1"/>
  <c r="AA726" i="1"/>
  <c r="AA723" i="1"/>
  <c r="AA724" i="1"/>
  <c r="AA721" i="1"/>
  <c r="AA722" i="1"/>
  <c r="AA720" i="1"/>
  <c r="AA717" i="1"/>
  <c r="AA719" i="1"/>
  <c r="AA715" i="1"/>
  <c r="AA716" i="1"/>
  <c r="AA714" i="1"/>
  <c r="AA713" i="1"/>
  <c r="AA712" i="1"/>
  <c r="AA710" i="1"/>
  <c r="AA711" i="1"/>
  <c r="AA708" i="1"/>
  <c r="AA709" i="1"/>
  <c r="AA706" i="1"/>
  <c r="AA707" i="1"/>
  <c r="AA704" i="1"/>
  <c r="AA705" i="1"/>
  <c r="AA701" i="1"/>
  <c r="AA703" i="1"/>
  <c r="AA702" i="1"/>
  <c r="AA700" i="1"/>
  <c r="AA698" i="1"/>
  <c r="AA699" i="1"/>
  <c r="AA696" i="1"/>
  <c r="AA697" i="1"/>
  <c r="AA691" i="1"/>
  <c r="AA695" i="1"/>
  <c r="AA690" i="1"/>
  <c r="AA694" i="1"/>
  <c r="AA692" i="1"/>
  <c r="AA693" i="1"/>
  <c r="AA688" i="1"/>
  <c r="AA689" i="1"/>
  <c r="AA686" i="1"/>
  <c r="AA687" i="1"/>
  <c r="AA684" i="1"/>
  <c r="AA685" i="1"/>
  <c r="AA683" i="1"/>
  <c r="AA679" i="1"/>
  <c r="AA680" i="1"/>
  <c r="AA682" i="1"/>
  <c r="AA678" i="1"/>
  <c r="AA677" i="1"/>
  <c r="AA681" i="1"/>
  <c r="AA675" i="1"/>
  <c r="AA676" i="1"/>
  <c r="AA673" i="1"/>
  <c r="AA674" i="1"/>
  <c r="AA671" i="1"/>
  <c r="AA672" i="1"/>
  <c r="AA669" i="1"/>
  <c r="AA670" i="1"/>
  <c r="AA667" i="1"/>
  <c r="AA668" i="1"/>
  <c r="AA665" i="1"/>
  <c r="AA666" i="1"/>
  <c r="AA663" i="1"/>
  <c r="AA664" i="1"/>
  <c r="AA661" i="1"/>
  <c r="AA662" i="1"/>
  <c r="AA659" i="1"/>
  <c r="AA660" i="1"/>
  <c r="AA657" i="1"/>
  <c r="AA658" i="1"/>
  <c r="AA655" i="1"/>
  <c r="AA656" i="1"/>
  <c r="AA652" i="1"/>
  <c r="AA653" i="1"/>
  <c r="AA654" i="1"/>
  <c r="AA650" i="1"/>
  <c r="AA651" i="1"/>
  <c r="AA648" i="1"/>
  <c r="AA649" i="1"/>
  <c r="AA646" i="1"/>
  <c r="AA647" i="1"/>
  <c r="AA644" i="1"/>
  <c r="AA645" i="1"/>
  <c r="AA642" i="1"/>
  <c r="AA643" i="1"/>
  <c r="AA640" i="1"/>
  <c r="AA641" i="1"/>
  <c r="AA638" i="1"/>
  <c r="AA639" i="1"/>
  <c r="AA636" i="1"/>
  <c r="AA637" i="1"/>
  <c r="AA634" i="1"/>
  <c r="AA635" i="1"/>
  <c r="AA632" i="1"/>
  <c r="AA633" i="1"/>
  <c r="AA630" i="1"/>
  <c r="AA631" i="1"/>
  <c r="AA628" i="1"/>
  <c r="AA629" i="1"/>
  <c r="AA623" i="1"/>
  <c r="AA624" i="1"/>
  <c r="AA627" i="1"/>
  <c r="AA625" i="1"/>
  <c r="AA626" i="1"/>
  <c r="AA617" i="1"/>
  <c r="AA622" i="1"/>
  <c r="AA620" i="1"/>
  <c r="AA621" i="1"/>
  <c r="AA618" i="1"/>
  <c r="AA619" i="1"/>
  <c r="AA615" i="1"/>
  <c r="AA616" i="1"/>
  <c r="AA612" i="1"/>
  <c r="AA613" i="1"/>
  <c r="AA614" i="1"/>
  <c r="AA610" i="1"/>
  <c r="AA611" i="1"/>
  <c r="AA608" i="1"/>
  <c r="AA609" i="1"/>
  <c r="AA606" i="1"/>
  <c r="AA607" i="1"/>
  <c r="AA604" i="1"/>
  <c r="AA605" i="1"/>
  <c r="AA602" i="1"/>
  <c r="AA603" i="1"/>
  <c r="AA600" i="1"/>
  <c r="AA601" i="1"/>
  <c r="AA598" i="1"/>
  <c r="AA599" i="1"/>
  <c r="AA596" i="1"/>
  <c r="AA597" i="1"/>
  <c r="AA594" i="1"/>
  <c r="AA595" i="1"/>
  <c r="AA592" i="1"/>
  <c r="AA593" i="1"/>
  <c r="AA590" i="1"/>
  <c r="AA591" i="1"/>
  <c r="AA587" i="1"/>
  <c r="AA589" i="1"/>
  <c r="AA586" i="1"/>
  <c r="AA588" i="1"/>
  <c r="AA584" i="1"/>
  <c r="AA585" i="1"/>
  <c r="AA582" i="1"/>
  <c r="AA583" i="1"/>
  <c r="AA580" i="1"/>
  <c r="AA581" i="1"/>
  <c r="AA578" i="1"/>
  <c r="AA579" i="1"/>
  <c r="AA576" i="1"/>
  <c r="AA577" i="1"/>
  <c r="AA574" i="1"/>
  <c r="AA575" i="1"/>
  <c r="AA572" i="1"/>
  <c r="AA573" i="1"/>
  <c r="AA570" i="1"/>
  <c r="AA571" i="1"/>
  <c r="AA568" i="1"/>
  <c r="AA569" i="1"/>
  <c r="AA566" i="1"/>
  <c r="AA567" i="1"/>
  <c r="AA564" i="1"/>
  <c r="AA565" i="1"/>
  <c r="AA562" i="1"/>
  <c r="AA563" i="1"/>
  <c r="AA560" i="1"/>
  <c r="AA561" i="1"/>
  <c r="AA558" i="1"/>
  <c r="AA559" i="1"/>
  <c r="AA556" i="1"/>
  <c r="AA557" i="1"/>
  <c r="AA554" i="1"/>
  <c r="AA555" i="1"/>
  <c r="AA552" i="1"/>
  <c r="AA553" i="1"/>
  <c r="AA550" i="1"/>
  <c r="AA551" i="1"/>
  <c r="AA548" i="1"/>
  <c r="AA549" i="1"/>
  <c r="AA546" i="1"/>
  <c r="AA547" i="1"/>
  <c r="AA544" i="1"/>
  <c r="AA545" i="1"/>
  <c r="AA542" i="1"/>
  <c r="AA543" i="1"/>
  <c r="AA540" i="1"/>
  <c r="AA541" i="1"/>
  <c r="AA538" i="1"/>
  <c r="AA539" i="1"/>
  <c r="AA536" i="1"/>
  <c r="AA537" i="1"/>
  <c r="AA531" i="1"/>
  <c r="AA533" i="1"/>
  <c r="AA534" i="1"/>
  <c r="AA535" i="1"/>
  <c r="AA532" i="1"/>
  <c r="AA529" i="1"/>
  <c r="AA530" i="1"/>
  <c r="AA527" i="1"/>
  <c r="AA528" i="1"/>
  <c r="AA525" i="1"/>
  <c r="AA526" i="1"/>
  <c r="AA523" i="1"/>
  <c r="AA524" i="1"/>
  <c r="AA521" i="1"/>
  <c r="AA522" i="1"/>
  <c r="AA520" i="1"/>
  <c r="AA273" i="1"/>
  <c r="AA518" i="1"/>
  <c r="AA519" i="1"/>
  <c r="AA516" i="1"/>
  <c r="AA517" i="1"/>
  <c r="AA514" i="1"/>
  <c r="AA515" i="1"/>
  <c r="AA512" i="1"/>
  <c r="AA513" i="1"/>
  <c r="AA510" i="1"/>
  <c r="AA511" i="1"/>
  <c r="AA508" i="1"/>
  <c r="AA509" i="1"/>
  <c r="AA506" i="1"/>
  <c r="AA507" i="1"/>
  <c r="AA504" i="1"/>
  <c r="AA505" i="1"/>
  <c r="AA502" i="1"/>
  <c r="AA503" i="1"/>
  <c r="AA500" i="1"/>
  <c r="AA501" i="1"/>
  <c r="AA498" i="1"/>
  <c r="AA499" i="1"/>
  <c r="AA496" i="1"/>
  <c r="AA497" i="1"/>
  <c r="AA494" i="1"/>
  <c r="AA495" i="1"/>
  <c r="AA492" i="1"/>
  <c r="AA493" i="1"/>
  <c r="AA490" i="1"/>
  <c r="AA491" i="1"/>
  <c r="AA488" i="1"/>
  <c r="AA489" i="1"/>
  <c r="AA486" i="1"/>
  <c r="AA487" i="1"/>
  <c r="AA484" i="1"/>
  <c r="AA485" i="1"/>
  <c r="AA482" i="1"/>
  <c r="AA483" i="1"/>
  <c r="AA480" i="1"/>
  <c r="AA481" i="1"/>
  <c r="AA476" i="1"/>
  <c r="AA478" i="1"/>
  <c r="AA477" i="1"/>
  <c r="AA475" i="1"/>
  <c r="AA474" i="1"/>
  <c r="AA479" i="1"/>
  <c r="AA472" i="1"/>
  <c r="AA473" i="1"/>
  <c r="AA470" i="1"/>
  <c r="AA471" i="1"/>
  <c r="AA468" i="1"/>
  <c r="AA469" i="1"/>
  <c r="AA466" i="1"/>
  <c r="AA467" i="1"/>
  <c r="AA464" i="1"/>
  <c r="AA465" i="1"/>
  <c r="AA462" i="1"/>
  <c r="AA463" i="1"/>
  <c r="AA460" i="1"/>
  <c r="AA461" i="1"/>
  <c r="AA458" i="1"/>
  <c r="AA459" i="1"/>
  <c r="AA456" i="1"/>
  <c r="AA457" i="1"/>
  <c r="AA454" i="1"/>
  <c r="AA455" i="1"/>
  <c r="AA452" i="1"/>
  <c r="AA453" i="1"/>
  <c r="AA450" i="1"/>
  <c r="AA451" i="1"/>
  <c r="AA448" i="1"/>
  <c r="AA449" i="1"/>
  <c r="AA446" i="1"/>
  <c r="AA447" i="1"/>
  <c r="AA444" i="1"/>
  <c r="AA445" i="1"/>
  <c r="AA442" i="1"/>
  <c r="AA443" i="1"/>
  <c r="AA440" i="1"/>
  <c r="AA441" i="1"/>
  <c r="AA438" i="1"/>
  <c r="AA439" i="1"/>
  <c r="AA436" i="1"/>
  <c r="AA437" i="1"/>
  <c r="AA434" i="1"/>
  <c r="AA435" i="1"/>
  <c r="AA432" i="1"/>
  <c r="AA433" i="1"/>
  <c r="AA430" i="1"/>
  <c r="AA431" i="1"/>
  <c r="AA428" i="1"/>
  <c r="AA429" i="1"/>
  <c r="AA427" i="1"/>
  <c r="AA425" i="1"/>
  <c r="AA426" i="1"/>
  <c r="AA423" i="1"/>
  <c r="AA424" i="1"/>
  <c r="AA421" i="1"/>
  <c r="AA422" i="1"/>
  <c r="AA419" i="1"/>
  <c r="AA420" i="1"/>
  <c r="AA417" i="1"/>
  <c r="AA418" i="1"/>
  <c r="AA415" i="1"/>
  <c r="AA416" i="1"/>
  <c r="AA413" i="1"/>
  <c r="AA414" i="1"/>
  <c r="AA411" i="1"/>
  <c r="AA412" i="1"/>
  <c r="AA410" i="1"/>
  <c r="AA408" i="1"/>
  <c r="AA401" i="1"/>
  <c r="AA406" i="1"/>
  <c r="AA405" i="1"/>
  <c r="AA407" i="1"/>
  <c r="AA403" i="1"/>
  <c r="AA404" i="1"/>
  <c r="AA402" i="1"/>
  <c r="AA400" i="1"/>
  <c r="AA397" i="1"/>
  <c r="AA398" i="1"/>
  <c r="AA395" i="1"/>
  <c r="AA396" i="1"/>
  <c r="AA393" i="1"/>
  <c r="AA394" i="1"/>
  <c r="AA391" i="1"/>
  <c r="AA392" i="1"/>
  <c r="AA389" i="1"/>
  <c r="AA390" i="1"/>
  <c r="AA387" i="1"/>
  <c r="AA388" i="1"/>
  <c r="AA385" i="1"/>
  <c r="AA386" i="1"/>
  <c r="AA383" i="1"/>
  <c r="AA384" i="1"/>
  <c r="AA381" i="1"/>
  <c r="AA382" i="1"/>
  <c r="AA380" i="1"/>
  <c r="AA378" i="1"/>
  <c r="AA379" i="1"/>
  <c r="AA376" i="1"/>
  <c r="AA377" i="1"/>
  <c r="AA374" i="1"/>
  <c r="AA375" i="1"/>
  <c r="AA372" i="1"/>
  <c r="AA373" i="1"/>
  <c r="AA370" i="1"/>
  <c r="AA371" i="1"/>
  <c r="AA368" i="1"/>
  <c r="AA369" i="1"/>
  <c r="AA366" i="1"/>
  <c r="AA367" i="1"/>
  <c r="AA364" i="1"/>
  <c r="AA365" i="1"/>
  <c r="AA362" i="1"/>
  <c r="AA363" i="1"/>
  <c r="AA360" i="1"/>
  <c r="AA361" i="1"/>
  <c r="AA350" i="1"/>
  <c r="AA352" i="1"/>
  <c r="AA354" i="1"/>
  <c r="AA355" i="1"/>
  <c r="AA356" i="1"/>
  <c r="AA357" i="1"/>
  <c r="AA347" i="1"/>
  <c r="AA359" i="1"/>
  <c r="AA348" i="1"/>
  <c r="AA349" i="1"/>
  <c r="AA351" i="1"/>
  <c r="AA353" i="1"/>
  <c r="AA358" i="1"/>
  <c r="AA346" i="1"/>
  <c r="AA344" i="1"/>
  <c r="AA345" i="1"/>
  <c r="AA342" i="1"/>
  <c r="AA343" i="1"/>
  <c r="AA339" i="1"/>
  <c r="AA341" i="1"/>
  <c r="AA340" i="1"/>
  <c r="AA337" i="1"/>
  <c r="AA338" i="1"/>
  <c r="AA335" i="1"/>
  <c r="AA336" i="1"/>
  <c r="AA333" i="1"/>
  <c r="AA334" i="1"/>
  <c r="AA331" i="1"/>
  <c r="AA332" i="1"/>
  <c r="AA329" i="1"/>
  <c r="AA330" i="1"/>
  <c r="AA327" i="1"/>
  <c r="AA328" i="1"/>
  <c r="AA325" i="1"/>
  <c r="AA326" i="1"/>
  <c r="AA323" i="1"/>
  <c r="AA324" i="1"/>
  <c r="AA321" i="1"/>
  <c r="AA322" i="1"/>
  <c r="AA319" i="1"/>
  <c r="AA320" i="1"/>
  <c r="AA317" i="1"/>
  <c r="AA318" i="1"/>
  <c r="AA315" i="1"/>
  <c r="AA316" i="1"/>
  <c r="AA313" i="1"/>
  <c r="AA314" i="1"/>
  <c r="AA311" i="1"/>
  <c r="AA312" i="1"/>
  <c r="AA309" i="1"/>
  <c r="AA310" i="1"/>
  <c r="AA307" i="1"/>
  <c r="AA308" i="1"/>
  <c r="AA305" i="1"/>
  <c r="AA306" i="1"/>
  <c r="AA303" i="1"/>
  <c r="AA304" i="1"/>
  <c r="AA301" i="1"/>
  <c r="AA302" i="1"/>
  <c r="AA299" i="1"/>
  <c r="AA300" i="1"/>
  <c r="AA297" i="1"/>
  <c r="AA298" i="1"/>
  <c r="AA295" i="1"/>
  <c r="AA296" i="1"/>
  <c r="AA293" i="1"/>
  <c r="AA294" i="1"/>
  <c r="AA292" i="1"/>
  <c r="AA290" i="1"/>
  <c r="AA291" i="1"/>
  <c r="AA288" i="1"/>
  <c r="AA289" i="1"/>
  <c r="AA286" i="1"/>
  <c r="AA287" i="1"/>
  <c r="AA284" i="1"/>
  <c r="AA285" i="1"/>
  <c r="AA282" i="1"/>
  <c r="AA283" i="1"/>
  <c r="AA280" i="1"/>
  <c r="AA281" i="1"/>
  <c r="AA278" i="1"/>
  <c r="AA279" i="1"/>
  <c r="AA276" i="1"/>
  <c r="AA277" i="1"/>
  <c r="AA274" i="1"/>
  <c r="AA275" i="1"/>
  <c r="AA272" i="1"/>
  <c r="AA270" i="1"/>
  <c r="AA271" i="1"/>
  <c r="AA268" i="1"/>
  <c r="AA269" i="1"/>
  <c r="AA267" i="1"/>
  <c r="AA265" i="1"/>
  <c r="AA266" i="1"/>
  <c r="AA263" i="1"/>
  <c r="AA264" i="1"/>
  <c r="AA261" i="1"/>
  <c r="AA262" i="1"/>
  <c r="AA259" i="1"/>
  <c r="AA260" i="1"/>
  <c r="AA258" i="1"/>
  <c r="AA256" i="1"/>
  <c r="AA257" i="1"/>
  <c r="AA254" i="1"/>
  <c r="AA255" i="1"/>
  <c r="AA252" i="1"/>
  <c r="AA253" i="1"/>
  <c r="AA250" i="1"/>
  <c r="AA251" i="1"/>
  <c r="AA248" i="1"/>
  <c r="AA249" i="1"/>
  <c r="AA246" i="1"/>
  <c r="AA247" i="1"/>
  <c r="AA242" i="1"/>
  <c r="AA245" i="1"/>
  <c r="AA240" i="1"/>
  <c r="AA241" i="1"/>
  <c r="AA238" i="1"/>
  <c r="AA239" i="1"/>
  <c r="AA236" i="1"/>
  <c r="AA237" i="1"/>
  <c r="AA234" i="1"/>
  <c r="AA235" i="1"/>
  <c r="AA233" i="1"/>
  <c r="AA232" i="1"/>
  <c r="AA230" i="1"/>
  <c r="AA231" i="1"/>
  <c r="AA228" i="1"/>
  <c r="AA229" i="1"/>
  <c r="AA226" i="1"/>
  <c r="AA227" i="1"/>
  <c r="AA224" i="1"/>
  <c r="AA225" i="1"/>
  <c r="AA222" i="1"/>
  <c r="AA223" i="1"/>
  <c r="AA221" i="1"/>
  <c r="AA213" i="1"/>
  <c r="AA217" i="1"/>
  <c r="AA219" i="1"/>
  <c r="AA218" i="1"/>
  <c r="AA220" i="1"/>
  <c r="AA215" i="1"/>
  <c r="AA216" i="1"/>
  <c r="AA212" i="1"/>
  <c r="AA214" i="1"/>
  <c r="AA210" i="1"/>
  <c r="AA211" i="1"/>
  <c r="AA208" i="1"/>
  <c r="AA209" i="1"/>
  <c r="AA206" i="1"/>
  <c r="AA207" i="1"/>
  <c r="AA204" i="1"/>
  <c r="AA205" i="1"/>
  <c r="AA191" i="1"/>
  <c r="AA203" i="1"/>
  <c r="AA201" i="1"/>
  <c r="AA202" i="1"/>
  <c r="AA194" i="1"/>
  <c r="AA200" i="1"/>
  <c r="AA198" i="1"/>
  <c r="AA199" i="1"/>
  <c r="AA196" i="1"/>
  <c r="AA197" i="1"/>
  <c r="AA193" i="1"/>
  <c r="AA195" i="1"/>
  <c r="AA190" i="1"/>
  <c r="AA192" i="1"/>
  <c r="AA185" i="1"/>
  <c r="AA187" i="1"/>
  <c r="AA183" i="1"/>
  <c r="AA184" i="1"/>
  <c r="AA181" i="1"/>
  <c r="AA182" i="1"/>
  <c r="AA179" i="1"/>
  <c r="AA180" i="1"/>
  <c r="AA189" i="1"/>
  <c r="AA186" i="1"/>
  <c r="AA178" i="1"/>
  <c r="AA188" i="1"/>
  <c r="AA176" i="1"/>
  <c r="AA177" i="1"/>
  <c r="AA174" i="1"/>
  <c r="AA175" i="1"/>
  <c r="AA171" i="1"/>
  <c r="AA173" i="1"/>
  <c r="AA172" i="1"/>
  <c r="AA169" i="1"/>
  <c r="AA170" i="1"/>
  <c r="AA167" i="1"/>
  <c r="AA168" i="1"/>
  <c r="AA165" i="1"/>
  <c r="AA166" i="1"/>
  <c r="AA163" i="1"/>
  <c r="AA164" i="1"/>
  <c r="AA161" i="1"/>
  <c r="AA162" i="1"/>
  <c r="AA159" i="1"/>
  <c r="AA160" i="1"/>
  <c r="AA157" i="1"/>
  <c r="AA158" i="1"/>
  <c r="AA155" i="1"/>
  <c r="AA156" i="1"/>
  <c r="AA153" i="1"/>
  <c r="AA154" i="1"/>
  <c r="AA151" i="1"/>
  <c r="AA152" i="1"/>
  <c r="AA149" i="1"/>
  <c r="AA150" i="1"/>
  <c r="AA147" i="1"/>
  <c r="AA148" i="1"/>
  <c r="AA145" i="1"/>
  <c r="AA146" i="1"/>
  <c r="AA143" i="1"/>
  <c r="AA144" i="1"/>
  <c r="AA141" i="1"/>
  <c r="AA142" i="1"/>
  <c r="AA139" i="1"/>
  <c r="AA140" i="1"/>
  <c r="AA137" i="1"/>
  <c r="AA138" i="1"/>
  <c r="AA135" i="1"/>
  <c r="AA136" i="1"/>
  <c r="AA243" i="1"/>
  <c r="AA244" i="1"/>
  <c r="AA133" i="1"/>
  <c r="AA134" i="1"/>
  <c r="AA131" i="1"/>
  <c r="AA132" i="1"/>
  <c r="AA129" i="1"/>
  <c r="AA130" i="1"/>
  <c r="AA127" i="1"/>
  <c r="AA128" i="1"/>
  <c r="AA125" i="1"/>
  <c r="AA126" i="1"/>
  <c r="AA123" i="1"/>
  <c r="AA124" i="1"/>
  <c r="AA121" i="1"/>
  <c r="AA122" i="1"/>
  <c r="AA119" i="1"/>
  <c r="AA120" i="1"/>
  <c r="AA117" i="1"/>
  <c r="AA118" i="1"/>
  <c r="AA115" i="1"/>
  <c r="AA116" i="1"/>
  <c r="AA113" i="1"/>
  <c r="AA114" i="1"/>
  <c r="AA111" i="1"/>
  <c r="AA112" i="1"/>
  <c r="AA109" i="1"/>
  <c r="AA110" i="1"/>
  <c r="AA107" i="1"/>
  <c r="AA108" i="1"/>
  <c r="AA105" i="1"/>
  <c r="AA106" i="1"/>
  <c r="AA103" i="1"/>
  <c r="AA104" i="1"/>
  <c r="AA101" i="1"/>
  <c r="AA102" i="1"/>
  <c r="AA99" i="1"/>
  <c r="AA100" i="1"/>
  <c r="AA97" i="1"/>
  <c r="AA98" i="1"/>
  <c r="AA95" i="1"/>
  <c r="AA96" i="1"/>
  <c r="AA93" i="1"/>
  <c r="AA94" i="1"/>
  <c r="AA91" i="1"/>
  <c r="AA92" i="1"/>
  <c r="AA89" i="1"/>
  <c r="AA90" i="1"/>
  <c r="AA87" i="1"/>
  <c r="AA88" i="1"/>
  <c r="AA85" i="1"/>
  <c r="AA86" i="1"/>
  <c r="AA83" i="1"/>
  <c r="AA84" i="1"/>
  <c r="AA81" i="1"/>
  <c r="AA82" i="1"/>
  <c r="AA79" i="1"/>
  <c r="AA80" i="1"/>
  <c r="AA77" i="1"/>
  <c r="AA78" i="1"/>
  <c r="AA75" i="1"/>
  <c r="AA76" i="1"/>
  <c r="AA73" i="1"/>
  <c r="AA74" i="1"/>
  <c r="AA71" i="1"/>
  <c r="AA72" i="1"/>
  <c r="AA69" i="1"/>
  <c r="AA70" i="1"/>
  <c r="AA67" i="1"/>
  <c r="AA68" i="1"/>
  <c r="AA65" i="1"/>
  <c r="AA66" i="1"/>
  <c r="AA63" i="1"/>
  <c r="AA64" i="1"/>
  <c r="AA61" i="1"/>
  <c r="AA62" i="1"/>
  <c r="AA59" i="1"/>
  <c r="AA60" i="1"/>
  <c r="AA57" i="1"/>
  <c r="AA58" i="1"/>
  <c r="AA55" i="1"/>
  <c r="AA56" i="1"/>
  <c r="AA53" i="1"/>
  <c r="AA54" i="1"/>
  <c r="AA51" i="1"/>
  <c r="AA52" i="1"/>
  <c r="AA49" i="1"/>
  <c r="AA50" i="1"/>
  <c r="AA47" i="1"/>
  <c r="AA48" i="1"/>
  <c r="AA45" i="1"/>
  <c r="AA46" i="1"/>
  <c r="AA42" i="1"/>
  <c r="AA44" i="1"/>
  <c r="AA43" i="1"/>
  <c r="AA40" i="1"/>
  <c r="AA41" i="1"/>
  <c r="AA38" i="1"/>
  <c r="AA39" i="1"/>
  <c r="AA36" i="1"/>
  <c r="AA37" i="1"/>
  <c r="AA34" i="1"/>
  <c r="AA35" i="1"/>
  <c r="AA32" i="1"/>
  <c r="AA33" i="1"/>
  <c r="AA31" i="1"/>
  <c r="AA27" i="1"/>
  <c r="AA30" i="1"/>
  <c r="AA28" i="1"/>
  <c r="AA29" i="1"/>
  <c r="AA25" i="1"/>
  <c r="AA26" i="1"/>
  <c r="AA23" i="1"/>
  <c r="AA24" i="1"/>
  <c r="AA21" i="1"/>
  <c r="AA22" i="1"/>
  <c r="AA19" i="1"/>
  <c r="AA20" i="1"/>
  <c r="AA17" i="1"/>
  <c r="AA18" i="1"/>
  <c r="AA15" i="1"/>
  <c r="AA16" i="1"/>
  <c r="AA13" i="1"/>
  <c r="AA11" i="1"/>
  <c r="AA12" i="1"/>
  <c r="AA9" i="1"/>
  <c r="AA10" i="1"/>
  <c r="AA7" i="1"/>
  <c r="AA8" i="1"/>
  <c r="AA5" i="1"/>
  <c r="AA6" i="1"/>
  <c r="AA3" i="1"/>
  <c r="AA4" i="1"/>
  <c r="B5" i="16" l="1"/>
  <c r="A2" i="6" l="1"/>
  <c r="N488" i="6" s="1"/>
  <c r="A488" i="6" s="1"/>
  <c r="N399" i="6" l="1"/>
  <c r="A399" i="6" s="1"/>
  <c r="N487" i="6"/>
  <c r="A487" i="6" s="1"/>
  <c r="N398" i="6"/>
  <c r="A398" i="6" s="1"/>
  <c r="N400" i="6"/>
  <c r="A400" i="6" s="1"/>
  <c r="N414" i="6"/>
  <c r="A414" i="6" s="1"/>
  <c r="N405" i="6"/>
  <c r="A405" i="6" s="1"/>
  <c r="N406" i="6"/>
  <c r="A406" i="6" s="1"/>
  <c r="N486" i="6"/>
  <c r="A486" i="6" s="1"/>
  <c r="N383" i="6"/>
  <c r="A383" i="6" s="1"/>
  <c r="N484" i="6"/>
  <c r="A484" i="6" s="1"/>
  <c r="N485" i="6"/>
  <c r="A485" i="6" s="1"/>
  <c r="N482" i="6"/>
  <c r="A482" i="6" s="1"/>
  <c r="N483" i="6"/>
  <c r="A483" i="6" s="1"/>
  <c r="N480" i="6"/>
  <c r="A480" i="6" s="1"/>
  <c r="N481" i="6"/>
  <c r="A481" i="6" s="1"/>
  <c r="N478" i="6"/>
  <c r="A478" i="6" s="1"/>
  <c r="N479" i="6"/>
  <c r="A479" i="6" s="1"/>
  <c r="N476" i="6"/>
  <c r="A476" i="6" s="1"/>
  <c r="N477" i="6"/>
  <c r="A477" i="6" s="1"/>
  <c r="N474" i="6"/>
  <c r="A474" i="6" s="1"/>
  <c r="N475" i="6"/>
  <c r="A475" i="6" s="1"/>
  <c r="N472" i="6"/>
  <c r="A472" i="6" s="1"/>
  <c r="N473" i="6"/>
  <c r="A473" i="6" s="1"/>
  <c r="N470" i="6"/>
  <c r="A470" i="6" s="1"/>
  <c r="N471" i="6"/>
  <c r="A471" i="6" s="1"/>
  <c r="N468" i="6"/>
  <c r="A468" i="6" s="1"/>
  <c r="N469" i="6"/>
  <c r="A469" i="6" s="1"/>
  <c r="N466" i="6"/>
  <c r="A466" i="6" s="1"/>
  <c r="N467" i="6"/>
  <c r="A467" i="6" s="1"/>
  <c r="N464" i="6"/>
  <c r="A464" i="6" s="1"/>
  <c r="N465" i="6"/>
  <c r="A465" i="6" s="1"/>
  <c r="N461" i="6"/>
  <c r="A461" i="6" s="1"/>
  <c r="N463" i="6"/>
  <c r="A463" i="6" s="1"/>
  <c r="N460" i="6"/>
  <c r="A460" i="6" s="1"/>
  <c r="N462" i="6"/>
  <c r="A462" i="6" s="1"/>
  <c r="N459" i="6"/>
  <c r="A459" i="6" s="1"/>
  <c r="N457" i="6"/>
  <c r="A457" i="6" s="1"/>
  <c r="N458" i="6"/>
  <c r="A458" i="6" s="1"/>
  <c r="N1458" i="6"/>
  <c r="A1458" i="6" s="1"/>
  <c r="N456" i="6"/>
  <c r="A456" i="6" s="1"/>
  <c r="N402" i="6"/>
  <c r="A402" i="6" s="1"/>
  <c r="N415" i="6"/>
  <c r="A415" i="6" s="1"/>
  <c r="N455" i="6"/>
  <c r="A455" i="6" s="1"/>
  <c r="N401" i="6"/>
  <c r="A401" i="6" s="1"/>
  <c r="N453" i="6"/>
  <c r="A453" i="6" s="1"/>
  <c r="N454" i="6"/>
  <c r="A454" i="6" s="1"/>
  <c r="N452" i="6"/>
  <c r="A452" i="6" s="1"/>
  <c r="N448" i="6"/>
  <c r="A448" i="6" s="1"/>
  <c r="N449" i="6"/>
  <c r="A449" i="6" s="1"/>
  <c r="N450" i="6"/>
  <c r="A450" i="6" s="1"/>
  <c r="N451" i="6"/>
  <c r="A451" i="6" s="1"/>
  <c r="N446" i="6"/>
  <c r="A446" i="6" s="1"/>
  <c r="N447" i="6"/>
  <c r="A447" i="6" s="1"/>
  <c r="N444" i="6"/>
  <c r="A444" i="6" s="1"/>
  <c r="N445" i="6"/>
  <c r="A445" i="6" s="1"/>
  <c r="N442" i="6"/>
  <c r="A442" i="6" s="1"/>
  <c r="N443" i="6"/>
  <c r="A443" i="6" s="1"/>
  <c r="N440" i="6"/>
  <c r="A440" i="6" s="1"/>
  <c r="N441" i="6"/>
  <c r="A441" i="6" s="1"/>
  <c r="N438" i="6"/>
  <c r="A438" i="6" s="1"/>
  <c r="N439" i="6"/>
  <c r="A439" i="6" s="1"/>
  <c r="N417" i="6"/>
  <c r="A417" i="6" s="1"/>
  <c r="N416" i="6"/>
  <c r="A416" i="6" s="1"/>
  <c r="N412" i="6"/>
  <c r="A412" i="6" s="1"/>
  <c r="N413" i="6"/>
  <c r="A413" i="6" s="1"/>
  <c r="N410" i="6"/>
  <c r="A410" i="6" s="1"/>
  <c r="N411" i="6"/>
  <c r="A411" i="6" s="1"/>
  <c r="N408" i="6"/>
  <c r="A408" i="6" s="1"/>
  <c r="N409" i="6"/>
  <c r="A409" i="6" s="1"/>
  <c r="N404" i="6"/>
  <c r="A404" i="6" s="1"/>
  <c r="N407" i="6"/>
  <c r="A407" i="6" s="1"/>
  <c r="N397" i="6"/>
  <c r="A397" i="6" s="1"/>
  <c r="N403" i="6"/>
  <c r="A403" i="6" s="1"/>
  <c r="A437" i="6"/>
  <c r="N437" i="6"/>
  <c r="N435" i="6"/>
  <c r="A435" i="6" s="1"/>
  <c r="N436" i="6"/>
  <c r="A436" i="6" s="1"/>
  <c r="N433" i="6"/>
  <c r="A433" i="6" s="1"/>
  <c r="N434" i="6"/>
  <c r="A434" i="6" s="1"/>
  <c r="N431" i="6"/>
  <c r="A431" i="6" s="1"/>
  <c r="N432" i="6"/>
  <c r="A432" i="6" s="1"/>
  <c r="N429" i="6"/>
  <c r="A429" i="6" s="1"/>
  <c r="N430" i="6"/>
  <c r="A430" i="6" s="1"/>
  <c r="N427" i="6"/>
  <c r="A427" i="6" s="1"/>
  <c r="N428" i="6"/>
  <c r="A428" i="6" s="1"/>
  <c r="N425" i="6"/>
  <c r="A425" i="6" s="1"/>
  <c r="N426" i="6"/>
  <c r="A426" i="6" s="1"/>
  <c r="N423" i="6"/>
  <c r="A423" i="6" s="1"/>
  <c r="N424" i="6"/>
  <c r="A424" i="6" s="1"/>
  <c r="N419" i="6"/>
  <c r="A419" i="6" s="1"/>
  <c r="N421" i="6"/>
  <c r="A421" i="6" s="1"/>
  <c r="N422" i="6"/>
  <c r="A422" i="6" s="1"/>
  <c r="N420" i="6"/>
  <c r="A420" i="6" s="1"/>
  <c r="N396" i="6"/>
  <c r="A396" i="6" s="1"/>
  <c r="N418" i="6"/>
  <c r="A418" i="6" s="1"/>
  <c r="N394" i="6"/>
  <c r="A394" i="6" s="1"/>
  <c r="N395" i="6"/>
  <c r="A395" i="6" s="1"/>
  <c r="N393" i="6"/>
  <c r="A393" i="6" s="1"/>
  <c r="N391" i="6"/>
  <c r="A391" i="6" s="1"/>
  <c r="N392" i="6"/>
  <c r="A392" i="6" s="1"/>
  <c r="N389" i="6"/>
  <c r="A389" i="6" s="1"/>
  <c r="N390" i="6"/>
  <c r="A390" i="6" s="1"/>
  <c r="N387" i="6"/>
  <c r="A387" i="6" s="1"/>
  <c r="N388" i="6"/>
  <c r="A388" i="6" s="1"/>
  <c r="N385" i="6"/>
  <c r="A385" i="6" s="1"/>
  <c r="N386" i="6"/>
  <c r="A386" i="6" s="1"/>
  <c r="N295" i="6"/>
  <c r="A295" i="6" s="1"/>
  <c r="N384" i="6"/>
  <c r="A384" i="6" s="1"/>
  <c r="N379" i="6"/>
  <c r="A379" i="6" s="1"/>
  <c r="N377" i="6"/>
  <c r="A377" i="6" s="1"/>
  <c r="N373" i="6"/>
  <c r="N378" i="6"/>
  <c r="A378" i="6" s="1"/>
  <c r="N382" i="6"/>
  <c r="A382" i="6" s="1"/>
  <c r="N381" i="6"/>
  <c r="A381" i="6" s="1"/>
  <c r="N374" i="6"/>
  <c r="N380" i="6"/>
  <c r="A380" i="6" s="1"/>
  <c r="N375" i="6"/>
  <c r="A375" i="6" s="1"/>
  <c r="N376" i="6"/>
  <c r="A376" i="6" s="1"/>
  <c r="N372" i="6"/>
  <c r="A359" i="6"/>
  <c r="N370" i="6"/>
  <c r="N371" i="6"/>
  <c r="A357" i="6" s="1"/>
  <c r="N345" i="6"/>
  <c r="A345" i="6" s="1"/>
  <c r="N316" i="6"/>
  <c r="A316" i="6" s="1"/>
  <c r="N317" i="6"/>
  <c r="A317" i="6" s="1"/>
  <c r="N369" i="6"/>
  <c r="A373" i="6" s="1"/>
  <c r="N367" i="6"/>
  <c r="N368" i="6"/>
  <c r="A372" i="6" s="1"/>
  <c r="N365" i="6"/>
  <c r="A371" i="6" s="1"/>
  <c r="N366" i="6"/>
  <c r="A370" i="6" s="1"/>
  <c r="N364" i="6"/>
  <c r="N362" i="6"/>
  <c r="A366" i="6" s="1"/>
  <c r="N363" i="6"/>
  <c r="N360" i="6"/>
  <c r="N361" i="6"/>
  <c r="N358" i="6"/>
  <c r="A362" i="6" s="1"/>
  <c r="N359" i="6"/>
  <c r="A363" i="6" s="1"/>
  <c r="N357" i="6"/>
  <c r="A361" i="6" s="1"/>
  <c r="N355" i="6"/>
  <c r="A355" i="6" s="1"/>
  <c r="N356" i="6"/>
  <c r="A356" i="6" s="1"/>
  <c r="N353" i="6"/>
  <c r="A353" i="6" s="1"/>
  <c r="N354" i="6"/>
  <c r="A354" i="6" s="1"/>
  <c r="N351" i="6"/>
  <c r="A351" i="6" s="1"/>
  <c r="N346" i="6"/>
  <c r="A346" i="6" s="1"/>
  <c r="N352" i="6"/>
  <c r="A352" i="6" s="1"/>
  <c r="N349" i="6"/>
  <c r="A349" i="6" s="1"/>
  <c r="N350" i="6"/>
  <c r="A350" i="6" s="1"/>
  <c r="N348" i="6"/>
  <c r="A348" i="6" s="1"/>
  <c r="N344" i="6"/>
  <c r="A344" i="6" s="1"/>
  <c r="N347" i="6"/>
  <c r="A347" i="6" s="1"/>
  <c r="N342" i="6"/>
  <c r="A342" i="6" s="1"/>
  <c r="N343" i="6"/>
  <c r="A343" i="6" s="1"/>
  <c r="N340" i="6"/>
  <c r="A340" i="6" s="1"/>
  <c r="N341" i="6"/>
  <c r="A341" i="6" s="1"/>
  <c r="N338" i="6"/>
  <c r="A338" i="6" s="1"/>
  <c r="N339" i="6"/>
  <c r="A339" i="6" s="1"/>
  <c r="N314" i="6"/>
  <c r="N332" i="6"/>
  <c r="A332" i="6" s="1"/>
  <c r="N236" i="6"/>
  <c r="N337" i="6"/>
  <c r="A337" i="6" s="1"/>
  <c r="N334" i="6"/>
  <c r="A334" i="6" s="1"/>
  <c r="N335" i="6"/>
  <c r="A335" i="6" s="1"/>
  <c r="N336" i="6"/>
  <c r="A336" i="6" s="1"/>
  <c r="N333" i="6"/>
  <c r="A333" i="6" s="1"/>
  <c r="N325" i="6"/>
  <c r="A325" i="6" s="1"/>
  <c r="N326" i="6"/>
  <c r="A326" i="6" s="1"/>
  <c r="N328" i="6"/>
  <c r="A328" i="6" s="1"/>
  <c r="N329" i="6"/>
  <c r="A329" i="6" s="1"/>
  <c r="N330" i="6"/>
  <c r="A330" i="6" s="1"/>
  <c r="N331" i="6"/>
  <c r="A331" i="6" s="1"/>
  <c r="N221" i="6"/>
  <c r="A221" i="6" s="1"/>
  <c r="N327" i="6"/>
  <c r="A327" i="6" s="1"/>
  <c r="N152" i="6"/>
  <c r="N217" i="6"/>
  <c r="A217" i="6" s="1"/>
  <c r="N150" i="6"/>
  <c r="A150" i="6" s="1"/>
  <c r="N151" i="6"/>
  <c r="A151" i="6" s="1"/>
  <c r="N187" i="6"/>
  <c r="A187" i="6" s="1"/>
  <c r="N149" i="6"/>
  <c r="A149" i="6" s="1"/>
  <c r="N199" i="6"/>
  <c r="A199" i="6" s="1"/>
  <c r="N186" i="6"/>
  <c r="A186" i="6" s="1"/>
  <c r="N312" i="6"/>
  <c r="A312" i="6" s="1"/>
  <c r="N311" i="6"/>
  <c r="A311" i="6" s="1"/>
  <c r="N323" i="6"/>
  <c r="A323" i="6" s="1"/>
  <c r="N322" i="6"/>
  <c r="A322" i="6" s="1"/>
  <c r="N320" i="6"/>
  <c r="A320" i="6" s="1"/>
  <c r="N321" i="6"/>
  <c r="A321" i="6" s="1"/>
  <c r="A314" i="6"/>
  <c r="N318" i="6"/>
  <c r="A318" i="6" s="1"/>
  <c r="N251" i="6"/>
  <c r="A251" i="6" s="1"/>
  <c r="N315" i="6"/>
  <c r="A315" i="6" s="1"/>
  <c r="N248" i="6"/>
  <c r="A248" i="6" s="1"/>
  <c r="N250" i="6"/>
  <c r="A250" i="6" s="1"/>
  <c r="N249" i="6"/>
  <c r="A249" i="6" s="1"/>
  <c r="N243" i="6"/>
  <c r="A243" i="6" s="1"/>
  <c r="N247" i="6"/>
  <c r="A247" i="6" s="1"/>
  <c r="N244" i="6"/>
  <c r="A244" i="6" s="1"/>
  <c r="N245" i="6"/>
  <c r="A245" i="6" s="1"/>
  <c r="N246" i="6"/>
  <c r="A246" i="6" s="1"/>
  <c r="N310" i="6"/>
  <c r="A310" i="6" s="1"/>
  <c r="N313" i="6"/>
  <c r="A313" i="6" s="1"/>
  <c r="N307" i="6"/>
  <c r="A307" i="6" s="1"/>
  <c r="N308" i="6"/>
  <c r="A308" i="6" s="1"/>
  <c r="N309" i="6"/>
  <c r="A309" i="6" s="1"/>
  <c r="N230" i="6"/>
  <c r="A230" i="6" s="1"/>
  <c r="N240" i="6"/>
  <c r="A240" i="6" s="1"/>
  <c r="A236" i="6"/>
  <c r="N241" i="6"/>
  <c r="A241" i="6" s="1"/>
  <c r="N237" i="6"/>
  <c r="A237" i="6" s="1"/>
  <c r="N242" i="6"/>
  <c r="A242" i="6" s="1"/>
  <c r="N238" i="6"/>
  <c r="A238" i="6" s="1"/>
  <c r="N233" i="6"/>
  <c r="A233" i="6" s="1"/>
  <c r="N232" i="6"/>
  <c r="A232" i="6" s="1"/>
  <c r="N239" i="6"/>
  <c r="A239" i="6" s="1"/>
  <c r="N235" i="6"/>
  <c r="A235" i="6" s="1"/>
  <c r="N234" i="6"/>
  <c r="A234" i="6" s="1"/>
  <c r="N294" i="6"/>
  <c r="A294" i="6" s="1"/>
  <c r="N229" i="6"/>
  <c r="A229" i="6" s="1"/>
  <c r="N301" i="6"/>
  <c r="A301" i="6" s="1"/>
  <c r="N296" i="6"/>
  <c r="A296" i="6" s="1"/>
  <c r="N302" i="6"/>
  <c r="A302" i="6" s="1"/>
  <c r="N303" i="6"/>
  <c r="A303" i="6" s="1"/>
  <c r="N305" i="6"/>
  <c r="A305" i="6" s="1"/>
  <c r="N304" i="6"/>
  <c r="A304" i="6" s="1"/>
  <c r="N290" i="6"/>
  <c r="A290" i="6" s="1"/>
  <c r="N291" i="6"/>
  <c r="A291" i="6" s="1"/>
  <c r="N300" i="6"/>
  <c r="A300" i="6" s="1"/>
  <c r="N292" i="6"/>
  <c r="A292" i="6" s="1"/>
  <c r="N306" i="6"/>
  <c r="A306" i="6" s="1"/>
  <c r="N293" i="6"/>
  <c r="A293" i="6" s="1"/>
  <c r="N299" i="6"/>
  <c r="A299" i="6" s="1"/>
  <c r="N298" i="6"/>
  <c r="A298" i="6" s="1"/>
  <c r="N297" i="6"/>
  <c r="A297" i="6" s="1"/>
  <c r="N210" i="6"/>
  <c r="A210" i="6" s="1"/>
  <c r="N211" i="6"/>
  <c r="A211" i="6" s="1"/>
  <c r="N266" i="6"/>
  <c r="A266" i="6" s="1"/>
  <c r="N267" i="6"/>
  <c r="A267" i="6" s="1"/>
  <c r="N285" i="6"/>
  <c r="A285" i="6" s="1"/>
  <c r="N265" i="6"/>
  <c r="A265" i="6" s="1"/>
  <c r="N288" i="6"/>
  <c r="A288" i="6" s="1"/>
  <c r="N289" i="6"/>
  <c r="A289" i="6" s="1"/>
  <c r="N286" i="6"/>
  <c r="A286" i="6" s="1"/>
  <c r="N287" i="6"/>
  <c r="A287" i="6" s="1"/>
  <c r="N283" i="6"/>
  <c r="A283" i="6" s="1"/>
  <c r="N284" i="6"/>
  <c r="A284" i="6" s="1"/>
  <c r="N282" i="6"/>
  <c r="A282" i="6" s="1"/>
  <c r="N280" i="6"/>
  <c r="A280" i="6" s="1"/>
  <c r="N281" i="6"/>
  <c r="A281" i="6" s="1"/>
  <c r="N275" i="6"/>
  <c r="A275" i="6" s="1"/>
  <c r="N274" i="6"/>
  <c r="A274" i="6" s="1"/>
  <c r="N272" i="6"/>
  <c r="A272" i="6" s="1"/>
  <c r="N273" i="6"/>
  <c r="A273" i="6" s="1"/>
  <c r="N271" i="6"/>
  <c r="A271" i="6" s="1"/>
  <c r="N276" i="6"/>
  <c r="A276" i="6" s="1"/>
  <c r="N270" i="6"/>
  <c r="A270" i="6" s="1"/>
  <c r="N277" i="6"/>
  <c r="A277" i="6" s="1"/>
  <c r="N268" i="6"/>
  <c r="A268" i="6" s="1"/>
  <c r="N269" i="6"/>
  <c r="A269" i="6" s="1"/>
  <c r="N262" i="6"/>
  <c r="A262" i="6" s="1"/>
  <c r="N264" i="6"/>
  <c r="A264" i="6" s="1"/>
  <c r="N261" i="6"/>
  <c r="A261" i="6" s="1"/>
  <c r="N263" i="6"/>
  <c r="A263" i="6" s="1"/>
  <c r="N252" i="6"/>
  <c r="A252" i="6" s="1"/>
  <c r="N260" i="6"/>
  <c r="A260" i="6" s="1"/>
  <c r="N258" i="6"/>
  <c r="A258" i="6" s="1"/>
  <c r="N259" i="6"/>
  <c r="A259" i="6" s="1"/>
  <c r="N256" i="6"/>
  <c r="A256" i="6" s="1"/>
  <c r="N257" i="6"/>
  <c r="A257" i="6" s="1"/>
  <c r="N254" i="6"/>
  <c r="A254" i="6" s="1"/>
  <c r="N255" i="6"/>
  <c r="A255" i="6" s="1"/>
  <c r="N253" i="6"/>
  <c r="A253" i="6" s="1"/>
  <c r="N227" i="6"/>
  <c r="A227" i="6" s="1"/>
  <c r="N226" i="6"/>
  <c r="A226" i="6" s="1"/>
  <c r="N228" i="6"/>
  <c r="A228" i="6" s="1"/>
  <c r="N223" i="6"/>
  <c r="A223" i="6" s="1"/>
  <c r="N224" i="6"/>
  <c r="A224" i="6" s="1"/>
  <c r="N225" i="6"/>
  <c r="A225" i="6" s="1"/>
  <c r="N222" i="6"/>
  <c r="A222" i="6" s="1"/>
  <c r="N218" i="6"/>
  <c r="A218" i="6" s="1"/>
  <c r="N220" i="6"/>
  <c r="A220" i="6" s="1"/>
  <c r="N213" i="6"/>
  <c r="A213" i="6" s="1"/>
  <c r="N214" i="6"/>
  <c r="A214" i="6" s="1"/>
  <c r="N216" i="6"/>
  <c r="A216" i="6" s="1"/>
  <c r="N219" i="6"/>
  <c r="A219" i="6" s="1"/>
  <c r="N64" i="6"/>
  <c r="A64" i="6" s="1"/>
  <c r="N215" i="6"/>
  <c r="A215" i="6" s="1"/>
  <c r="N212" i="6"/>
  <c r="A212" i="6" s="1"/>
  <c r="N63" i="6"/>
  <c r="A63" i="6" s="1"/>
  <c r="N208" i="6"/>
  <c r="A208" i="6" s="1"/>
  <c r="N209" i="6"/>
  <c r="A209" i="6" s="1"/>
  <c r="N206" i="6"/>
  <c r="A206" i="6" s="1"/>
  <c r="N207" i="6"/>
  <c r="A207" i="6" s="1"/>
  <c r="N200" i="6"/>
  <c r="A200" i="6" s="1"/>
  <c r="N205" i="6"/>
  <c r="A205" i="6" s="1"/>
  <c r="N204" i="6"/>
  <c r="A204" i="6" s="1"/>
  <c r="N201" i="6"/>
  <c r="A201" i="6" s="1"/>
  <c r="N203" i="6"/>
  <c r="A203" i="6" s="1"/>
  <c r="N197" i="6"/>
  <c r="A197" i="6" s="1"/>
  <c r="N191" i="6"/>
  <c r="A191" i="6" s="1"/>
  <c r="N196" i="6"/>
  <c r="A196" i="6" s="1"/>
  <c r="N198" i="6"/>
  <c r="A198" i="6" s="1"/>
  <c r="N194" i="6"/>
  <c r="A194" i="6" s="1"/>
  <c r="N195" i="6"/>
  <c r="A195" i="6" s="1"/>
  <c r="N192" i="6"/>
  <c r="A192" i="6" s="1"/>
  <c r="N193" i="6"/>
  <c r="A193" i="6" s="1"/>
  <c r="N183" i="6"/>
  <c r="A183" i="6" s="1"/>
  <c r="N188" i="6"/>
  <c r="A188" i="6" s="1"/>
  <c r="N189" i="6"/>
  <c r="A189" i="6" s="1"/>
  <c r="N190" i="6"/>
  <c r="A190" i="6" s="1"/>
  <c r="N131" i="6"/>
  <c r="A131" i="6" s="1"/>
  <c r="N132" i="6"/>
  <c r="A132" i="6" s="1"/>
  <c r="N125" i="6"/>
  <c r="A125" i="6" s="1"/>
  <c r="N126" i="6"/>
  <c r="A126" i="6" s="1"/>
  <c r="N129" i="6"/>
  <c r="A129" i="6" s="1"/>
  <c r="N130" i="6"/>
  <c r="A130" i="6" s="1"/>
  <c r="N155" i="6"/>
  <c r="A155" i="6" s="1"/>
  <c r="N124" i="6"/>
  <c r="A124" i="6" s="1"/>
  <c r="N157" i="6"/>
  <c r="A157" i="6" s="1"/>
  <c r="N158" i="6"/>
  <c r="A158" i="6" s="1"/>
  <c r="N160" i="6"/>
  <c r="A160" i="6" s="1"/>
  <c r="N159" i="6"/>
  <c r="A159" i="6" s="1"/>
  <c r="N156" i="6"/>
  <c r="A156" i="6" s="1"/>
  <c r="N153" i="6"/>
  <c r="A153" i="6" s="1"/>
  <c r="N154" i="6"/>
  <c r="A154" i="6" s="1"/>
  <c r="N184" i="6"/>
  <c r="A184" i="6" s="1"/>
  <c r="N185" i="6"/>
  <c r="A185" i="6" s="1"/>
  <c r="N181" i="6"/>
  <c r="A181" i="6" s="1"/>
  <c r="N182" i="6"/>
  <c r="A182" i="6" s="1"/>
  <c r="N80" i="6"/>
  <c r="A80" i="6" s="1"/>
  <c r="N81" i="6"/>
  <c r="A81" i="6" s="1"/>
  <c r="N136" i="6"/>
  <c r="A136" i="6" s="1"/>
  <c r="N79" i="6"/>
  <c r="A79" i="6" s="1"/>
  <c r="N134" i="6"/>
  <c r="A134" i="6" s="1"/>
  <c r="N135" i="6"/>
  <c r="A135" i="6" s="1"/>
  <c r="N278" i="6"/>
  <c r="A278" i="6" s="1"/>
  <c r="N279" i="6"/>
  <c r="A279" i="6" s="1"/>
  <c r="N180" i="6"/>
  <c r="A180" i="6" s="1"/>
  <c r="N324" i="6"/>
  <c r="A324" i="6" s="1"/>
  <c r="N164" i="6"/>
  <c r="A164" i="6" s="1"/>
  <c r="N165" i="6"/>
  <c r="A165" i="6" s="1"/>
  <c r="N179" i="6"/>
  <c r="A179" i="6" s="1"/>
  <c r="N163" i="6"/>
  <c r="A163" i="6" s="1"/>
  <c r="N177" i="6"/>
  <c r="A177" i="6" s="1"/>
  <c r="N178" i="6"/>
  <c r="A178" i="6" s="1"/>
  <c r="N83" i="6"/>
  <c r="A83" i="6" s="1"/>
  <c r="N84" i="6"/>
  <c r="A84" i="6" s="1"/>
  <c r="N174" i="6"/>
  <c r="A174" i="6" s="1"/>
  <c r="N82" i="6"/>
  <c r="A82" i="6" s="1"/>
  <c r="N172" i="6"/>
  <c r="A172" i="6" s="1"/>
  <c r="N173" i="6"/>
  <c r="A173" i="6" s="1"/>
  <c r="N175" i="6"/>
  <c r="A175" i="6" s="1"/>
  <c r="N176" i="6"/>
  <c r="A176" i="6" s="1"/>
  <c r="N170" i="6"/>
  <c r="A170" i="6" s="1"/>
  <c r="N171" i="6"/>
  <c r="A171" i="6" s="1"/>
  <c r="N169" i="6"/>
  <c r="A169" i="6" s="1"/>
  <c r="N168" i="6"/>
  <c r="A168" i="6" s="1"/>
  <c r="N166" i="6"/>
  <c r="A166" i="6" s="1"/>
  <c r="N167" i="6"/>
  <c r="A167" i="6" s="1"/>
  <c r="N110" i="6"/>
  <c r="A110" i="6" s="1"/>
  <c r="N4" i="6"/>
  <c r="A4" i="6" s="1"/>
  <c r="N161" i="6"/>
  <c r="A161" i="6" s="1"/>
  <c r="N162" i="6"/>
  <c r="A162" i="6" s="1"/>
  <c r="N147" i="6"/>
  <c r="A147" i="6" s="1"/>
  <c r="N148" i="6"/>
  <c r="A148" i="6" s="1"/>
  <c r="N145" i="6"/>
  <c r="A145" i="6" s="1"/>
  <c r="N146" i="6"/>
  <c r="A146" i="6" s="1"/>
  <c r="N143" i="6"/>
  <c r="A143" i="6" s="1"/>
  <c r="N144" i="6"/>
  <c r="A144" i="6" s="1"/>
  <c r="N142" i="6"/>
  <c r="A142" i="6" s="1"/>
  <c r="N140" i="6"/>
  <c r="A140" i="6" s="1"/>
  <c r="N141" i="6"/>
  <c r="A141" i="6" s="1"/>
  <c r="N133" i="6"/>
  <c r="A133" i="6" s="1"/>
  <c r="N139" i="6"/>
  <c r="A139" i="6" s="1"/>
  <c r="N137" i="6"/>
  <c r="A137" i="6" s="1"/>
  <c r="N138" i="6"/>
  <c r="A138" i="6" s="1"/>
  <c r="N122" i="6"/>
  <c r="A122" i="6" s="1"/>
  <c r="N123" i="6"/>
  <c r="A123" i="6" s="1"/>
  <c r="N121" i="6"/>
  <c r="A121" i="6" s="1"/>
  <c r="N120" i="6"/>
  <c r="A120" i="6" s="1"/>
  <c r="N118" i="6"/>
  <c r="A118" i="6" s="1"/>
  <c r="N119" i="6"/>
  <c r="A119" i="6" s="1"/>
  <c r="N116" i="6"/>
  <c r="A116" i="6" s="1"/>
  <c r="N117" i="6"/>
  <c r="A117" i="6" s="1"/>
  <c r="N114" i="6"/>
  <c r="A114" i="6" s="1"/>
  <c r="N115" i="6"/>
  <c r="A115" i="6" s="1"/>
  <c r="N128" i="6"/>
  <c r="A128" i="6" s="1"/>
  <c r="N109" i="6"/>
  <c r="A109" i="6" s="1"/>
  <c r="N108" i="6"/>
  <c r="A108" i="6" s="1"/>
  <c r="N127" i="6"/>
  <c r="A127" i="6" s="1"/>
  <c r="N113" i="6"/>
  <c r="A113" i="6" s="1"/>
  <c r="N111" i="6"/>
  <c r="A111" i="6" s="1"/>
  <c r="N107" i="6"/>
  <c r="N112" i="6"/>
  <c r="A112" i="6" s="1"/>
  <c r="A107" i="6"/>
  <c r="N106" i="6"/>
  <c r="A106" i="6" s="1"/>
  <c r="N102" i="6"/>
  <c r="A102" i="6" s="1"/>
  <c r="N101" i="6"/>
  <c r="A101" i="6" s="1"/>
  <c r="N99" i="6"/>
  <c r="A99" i="6" s="1"/>
  <c r="N100" i="6"/>
  <c r="A100" i="6" s="1"/>
  <c r="N105" i="6"/>
  <c r="A105" i="6" s="1"/>
  <c r="N98" i="6"/>
  <c r="A98" i="6" s="1"/>
  <c r="N103" i="6"/>
  <c r="A103" i="6" s="1"/>
  <c r="N104" i="6"/>
  <c r="A104" i="6" s="1"/>
  <c r="N96" i="6"/>
  <c r="A96" i="6" s="1"/>
  <c r="N97" i="6"/>
  <c r="A97" i="6" s="1"/>
  <c r="N94" i="6"/>
  <c r="A94" i="6" s="1"/>
  <c r="N95" i="6"/>
  <c r="A95" i="6" s="1"/>
  <c r="N56" i="6"/>
  <c r="N93" i="6"/>
  <c r="A93" i="6" s="1"/>
  <c r="N45" i="6"/>
  <c r="A45" i="6" s="1"/>
  <c r="N31" i="6"/>
  <c r="A31" i="6" s="1"/>
  <c r="N49" i="6"/>
  <c r="A49" i="6" s="1"/>
  <c r="N50" i="6"/>
  <c r="A50" i="6" s="1"/>
  <c r="N92" i="6"/>
  <c r="A92" i="6" s="1"/>
  <c r="N48" i="6"/>
  <c r="A48" i="6" s="1"/>
  <c r="N90" i="6"/>
  <c r="A90" i="6" s="1"/>
  <c r="N91" i="6"/>
  <c r="A91" i="6" s="1"/>
  <c r="N88" i="6"/>
  <c r="A88" i="6" s="1"/>
  <c r="N89" i="6"/>
  <c r="A89" i="6" s="1"/>
  <c r="N86" i="6"/>
  <c r="A86" i="6" s="1"/>
  <c r="N87" i="6"/>
  <c r="A87" i="6" s="1"/>
  <c r="N5" i="6"/>
  <c r="A5" i="6" s="1"/>
  <c r="N85" i="6"/>
  <c r="A85" i="6" s="1"/>
  <c r="N75" i="6"/>
  <c r="A75" i="6" s="1"/>
  <c r="N76" i="6"/>
  <c r="A76" i="6" s="1"/>
  <c r="N72" i="6"/>
  <c r="A72" i="6" s="1"/>
  <c r="N73" i="6"/>
  <c r="A73" i="6" s="1"/>
  <c r="N77" i="6"/>
  <c r="A77" i="6" s="1"/>
  <c r="N74" i="6"/>
  <c r="A74" i="6" s="1"/>
  <c r="N78" i="6"/>
  <c r="A78" i="6" s="1"/>
  <c r="N67" i="6"/>
  <c r="A67" i="6" s="1"/>
  <c r="N71" i="6"/>
  <c r="A71" i="6" s="1"/>
  <c r="N66" i="6"/>
  <c r="A66" i="6" s="1"/>
  <c r="N68" i="6"/>
  <c r="A68" i="6" s="1"/>
  <c r="N70" i="6"/>
  <c r="A70" i="6" s="1"/>
  <c r="N69" i="6"/>
  <c r="A69" i="6" s="1"/>
  <c r="N41" i="6"/>
  <c r="A41" i="6" s="1"/>
  <c r="N44" i="6"/>
  <c r="A44" i="6" s="1"/>
  <c r="N65" i="6"/>
  <c r="A65" i="6" s="1"/>
  <c r="N40" i="6"/>
  <c r="A40" i="6" s="1"/>
  <c r="N58" i="6"/>
  <c r="A58" i="6" s="1"/>
  <c r="N57" i="6"/>
  <c r="A57" i="6" s="1"/>
  <c r="N62" i="6"/>
  <c r="A62" i="6" s="1"/>
  <c r="N60" i="6"/>
  <c r="A60" i="6" s="1"/>
  <c r="N59" i="6"/>
  <c r="A59" i="6" s="1"/>
  <c r="N61" i="6"/>
  <c r="A61" i="6" s="1"/>
  <c r="N27" i="6"/>
  <c r="A27" i="6" s="1"/>
  <c r="N55" i="6"/>
  <c r="A55" i="6" s="1"/>
  <c r="N14" i="6"/>
  <c r="A14" i="6" s="1"/>
  <c r="N26" i="6"/>
  <c r="A26" i="6" s="1"/>
  <c r="N8" i="6"/>
  <c r="A8" i="6" s="1"/>
  <c r="N9" i="6"/>
  <c r="A9" i="6" s="1"/>
  <c r="N29" i="6"/>
  <c r="A29" i="6" s="1"/>
  <c r="N25" i="6"/>
  <c r="A25" i="6" s="1"/>
  <c r="N54" i="6"/>
  <c r="A54" i="6" s="1"/>
  <c r="N35" i="6"/>
  <c r="A35" i="6" s="1"/>
  <c r="N52" i="6"/>
  <c r="A52" i="6" s="1"/>
  <c r="N53" i="6"/>
  <c r="A53" i="6" s="1"/>
  <c r="N37" i="6"/>
  <c r="A37" i="6" s="1"/>
  <c r="N36" i="6"/>
  <c r="A36" i="6" s="1"/>
  <c r="N43" i="6"/>
  <c r="A43" i="6" s="1"/>
  <c r="N39" i="6"/>
  <c r="A39" i="6" s="1"/>
  <c r="N47" i="6"/>
  <c r="A47" i="6" s="1"/>
  <c r="N42" i="6"/>
  <c r="A42" i="6" s="1"/>
  <c r="N51" i="6"/>
  <c r="A51" i="6" s="1"/>
  <c r="N46" i="6"/>
  <c r="A46" i="6" s="1"/>
  <c r="N13" i="6"/>
  <c r="A13" i="6" s="1"/>
  <c r="N38" i="6"/>
  <c r="A38" i="6" s="1"/>
  <c r="N11" i="6"/>
  <c r="A11" i="6" s="1"/>
  <c r="N12" i="6"/>
  <c r="A12" i="6" s="1"/>
  <c r="N10" i="6"/>
  <c r="A10" i="6" s="1"/>
  <c r="N7" i="6"/>
  <c r="A7" i="6" s="1"/>
  <c r="N34" i="6"/>
  <c r="A34" i="6" s="1"/>
  <c r="A23" i="6"/>
  <c r="N33" i="6"/>
  <c r="A33" i="6" s="1"/>
  <c r="N32" i="6"/>
  <c r="A32" i="6" s="1"/>
  <c r="N30" i="6"/>
  <c r="A30" i="6" s="1"/>
  <c r="N16" i="6"/>
  <c r="A16" i="6" s="1"/>
  <c r="N28" i="6"/>
  <c r="A28" i="6" s="1"/>
  <c r="N22" i="6"/>
  <c r="A22" i="6" s="1"/>
  <c r="N15" i="6"/>
  <c r="A15" i="6" s="1"/>
  <c r="N6" i="6"/>
  <c r="A6" i="6" s="1"/>
  <c r="N24" i="6"/>
  <c r="A24" i="6" s="1"/>
  <c r="N20" i="6"/>
  <c r="A20" i="6" s="1"/>
  <c r="N21" i="6"/>
  <c r="A21" i="6" s="1"/>
  <c r="N19" i="6"/>
  <c r="A19" i="6" s="1"/>
  <c r="N202" i="6"/>
  <c r="A202" i="6" s="1"/>
  <c r="N17" i="6"/>
  <c r="A17" i="6" s="1"/>
  <c r="N18" i="6"/>
  <c r="A18" i="6" s="1"/>
  <c r="A367" i="6" l="1"/>
  <c r="A365" i="6"/>
  <c r="A358" i="6"/>
  <c r="A360" i="6"/>
  <c r="R360" i="6" s="1"/>
  <c r="A368" i="6"/>
  <c r="A369" i="6"/>
  <c r="U369" i="6" s="1"/>
  <c r="A364" i="6"/>
  <c r="V310" i="6"/>
  <c r="R297" i="6"/>
  <c r="U297" i="6"/>
  <c r="V297" i="6"/>
  <c r="T297" i="6"/>
  <c r="R307" i="6"/>
  <c r="U307" i="6"/>
  <c r="V307" i="6"/>
  <c r="T307" i="6"/>
  <c r="R318" i="6"/>
  <c r="V318" i="6"/>
  <c r="T318" i="6"/>
  <c r="U318" i="6"/>
  <c r="U310" i="6"/>
  <c r="R310" i="6"/>
  <c r="T310" i="6"/>
  <c r="T327" i="6"/>
  <c r="R327" i="6"/>
  <c r="U327" i="6"/>
  <c r="V327" i="6"/>
  <c r="R346" i="6"/>
  <c r="V346" i="6"/>
  <c r="T346" i="6"/>
  <c r="U346" i="6"/>
  <c r="T338" i="6"/>
  <c r="U338" i="6"/>
  <c r="V338" i="6"/>
  <c r="R338" i="6"/>
  <c r="R331" i="6"/>
  <c r="V331" i="6"/>
  <c r="U331" i="6"/>
  <c r="T331" i="6"/>
  <c r="R308" i="6"/>
  <c r="V308" i="6"/>
  <c r="T308" i="6"/>
  <c r="U308" i="6"/>
  <c r="U309" i="6"/>
  <c r="T309" i="6"/>
  <c r="V309" i="6"/>
  <c r="R309" i="6"/>
  <c r="T289" i="6"/>
  <c r="V289" i="6"/>
  <c r="R289" i="6"/>
  <c r="U289" i="6"/>
  <c r="T353" i="6"/>
  <c r="R353" i="6"/>
  <c r="U353" i="6"/>
  <c r="V353" i="6"/>
  <c r="U314" i="6"/>
  <c r="R314" i="6"/>
  <c r="T314" i="6"/>
  <c r="V314" i="6"/>
  <c r="R323" i="6"/>
  <c r="V323" i="6"/>
  <c r="U323" i="6"/>
  <c r="T323" i="6"/>
  <c r="U372" i="6"/>
  <c r="T372" i="6"/>
  <c r="R372" i="6"/>
  <c r="V372" i="6"/>
  <c r="U342" i="6"/>
  <c r="T342" i="6"/>
  <c r="V342" i="6"/>
  <c r="R342" i="6"/>
  <c r="U373" i="6"/>
  <c r="T369" i="6" l="1"/>
  <c r="V369" i="6"/>
  <c r="W369" i="6" s="1"/>
  <c r="U360" i="6"/>
  <c r="T360" i="6"/>
  <c r="R369" i="6"/>
  <c r="V360" i="6"/>
  <c r="W310" i="6"/>
  <c r="W318" i="6"/>
  <c r="W307" i="6"/>
  <c r="W297" i="6"/>
  <c r="W309" i="6"/>
  <c r="W353" i="6"/>
  <c r="W327" i="6"/>
  <c r="W346" i="6"/>
  <c r="W323" i="6"/>
  <c r="W289" i="6"/>
  <c r="W331" i="6"/>
  <c r="W308" i="6"/>
  <c r="W342" i="6"/>
  <c r="W372" i="6"/>
  <c r="W314" i="6"/>
  <c r="W338" i="6"/>
  <c r="T373" i="6"/>
  <c r="V373" i="6"/>
  <c r="W373" i="6" s="1"/>
  <c r="R373" i="6"/>
  <c r="U330" i="6"/>
  <c r="V330" i="6"/>
  <c r="R330" i="6"/>
  <c r="T330" i="6"/>
  <c r="W360" i="6" l="1"/>
  <c r="AJ58" i="8" a="1"/>
  <c r="AH60" i="8" a="1"/>
  <c r="AF62" i="8" a="1"/>
  <c r="AK58" i="8" a="1"/>
  <c r="AK58" i="8" s="1"/>
  <c r="AI60" i="8" a="1"/>
  <c r="AI60" i="8" s="1"/>
  <c r="AG62" i="8" a="1"/>
  <c r="AE64" i="8" a="1"/>
  <c r="AC66" i="8" a="1"/>
  <c r="AC66" i="8" s="1"/>
  <c r="AA68" i="8" a="1"/>
  <c r="AA68" i="8" s="1"/>
  <c r="AM68" i="8" a="1"/>
  <c r="AM68" i="8" s="1"/>
  <c r="AK70" i="8" a="1"/>
  <c r="AK70" i="8" s="1"/>
  <c r="AI72" i="8" a="1"/>
  <c r="AI72" i="8" s="1"/>
  <c r="AL58" i="8" a="1"/>
  <c r="AJ60" i="8" a="1"/>
  <c r="AH62" i="8" a="1"/>
  <c r="AF64" i="8" a="1"/>
  <c r="AD66" i="8" a="1"/>
  <c r="AD66" i="8" s="1"/>
  <c r="AB68" i="8" a="1"/>
  <c r="AB68" i="8" s="1"/>
  <c r="AN68" i="8" a="1"/>
  <c r="AL70" i="8" a="1"/>
  <c r="AL70" i="8" s="1"/>
  <c r="AJ72" i="8" a="1"/>
  <c r="AJ72" i="8" s="1"/>
  <c r="AA72" i="8" a="1"/>
  <c r="AA72" i="8" s="1"/>
  <c r="AA58" i="8" a="1"/>
  <c r="AA58" i="8" s="1"/>
  <c r="AM58" i="8" a="1"/>
  <c r="AM58" i="8" s="1"/>
  <c r="AK60" i="8" a="1"/>
  <c r="AI62" i="8" a="1"/>
  <c r="AI62" i="8" s="1"/>
  <c r="AG64" i="8" a="1"/>
  <c r="AE66" i="8" a="1"/>
  <c r="AE66" i="8" s="1"/>
  <c r="AC68" i="8" a="1"/>
  <c r="AC68" i="8" s="1"/>
  <c r="AA70" i="8" a="1"/>
  <c r="AM70" i="8" a="1"/>
  <c r="AM70" i="8" s="1"/>
  <c r="AK72" i="8" a="1"/>
  <c r="AK72" i="8" s="1"/>
  <c r="AC58" i="8" a="1"/>
  <c r="AC58" i="8" s="1"/>
  <c r="AK62" i="8" a="1"/>
  <c r="AK62" i="8" s="1"/>
  <c r="AI64" i="8" a="1"/>
  <c r="AI64" i="8" s="1"/>
  <c r="AE68" i="8" a="1"/>
  <c r="AE68" i="8" s="1"/>
  <c r="AC70" i="8" a="1"/>
  <c r="AB58" i="8" a="1"/>
  <c r="AB58" i="8" s="1"/>
  <c r="AN58" i="8" a="1"/>
  <c r="AN58" i="8" s="1"/>
  <c r="AL60" i="8" a="1"/>
  <c r="AJ62" i="8" a="1"/>
  <c r="AJ62" i="8" s="1"/>
  <c r="AH64" i="8" a="1"/>
  <c r="AH64" i="8" s="1"/>
  <c r="AF66" i="8" a="1"/>
  <c r="AF66" i="8" s="1"/>
  <c r="AD68" i="8" a="1"/>
  <c r="AD68" i="8" s="1"/>
  <c r="AB70" i="8" a="1"/>
  <c r="AB70" i="8" s="1"/>
  <c r="AN70" i="8" a="1"/>
  <c r="AN70" i="8" s="1"/>
  <c r="AL72" i="8" a="1"/>
  <c r="AL72" i="8" s="1"/>
  <c r="AA60" i="8" a="1"/>
  <c r="AA60" i="8" s="1"/>
  <c r="AG66" i="8" a="1"/>
  <c r="AG66" i="8" s="1"/>
  <c r="AE62" i="8" a="1"/>
  <c r="AE62" i="8" s="1"/>
  <c r="AD64" i="8" a="1"/>
  <c r="AD64" i="8" s="1"/>
  <c r="AM60" i="8" a="1"/>
  <c r="AM60" i="8" s="1"/>
  <c r="AM72" i="8" a="1"/>
  <c r="AM72" i="8" s="1"/>
  <c r="AC64" i="8" a="1"/>
  <c r="AC64" i="8" s="1"/>
  <c r="AJ70" i="8" a="1"/>
  <c r="AJ70" i="8" s="1"/>
  <c r="AD58" i="8" a="1"/>
  <c r="AD58" i="8" s="1"/>
  <c r="AB60" i="8" a="1"/>
  <c r="AB60" i="8" s="1"/>
  <c r="AN60" i="8" a="1"/>
  <c r="AN60" i="8" s="1"/>
  <c r="AL62" i="8" a="1"/>
  <c r="AL62" i="8" s="1"/>
  <c r="AJ64" i="8" a="1"/>
  <c r="AJ64" i="8" s="1"/>
  <c r="AH66" i="8" a="1"/>
  <c r="AH66" i="8" s="1"/>
  <c r="AF68" i="8" a="1"/>
  <c r="AF68" i="8" s="1"/>
  <c r="AD70" i="8" a="1"/>
  <c r="AD70" i="8" s="1"/>
  <c r="AB72" i="8" a="1"/>
  <c r="AB72" i="8" s="1"/>
  <c r="AN72" i="8" a="1"/>
  <c r="AN72" i="8" s="1"/>
  <c r="AI66" i="8" a="1"/>
  <c r="AI66" i="8" s="1"/>
  <c r="AG68" i="8" a="1"/>
  <c r="AG68" i="8" s="1"/>
  <c r="AC72" i="8" a="1"/>
  <c r="AC72" i="8" s="1"/>
  <c r="AG60" i="8" a="1"/>
  <c r="AG60" i="8" s="1"/>
  <c r="AM66" i="8" a="1"/>
  <c r="AM66" i="8" s="1"/>
  <c r="AG72" i="8" a="1"/>
  <c r="AG72" i="8" s="1"/>
  <c r="AE58" i="8" a="1"/>
  <c r="AE58" i="8" s="1"/>
  <c r="AC60" i="8" a="1"/>
  <c r="AC60" i="8" s="1"/>
  <c r="AA62" i="8" a="1"/>
  <c r="AA62" i="8" s="1"/>
  <c r="AM62" i="8" a="1"/>
  <c r="AM62" i="8" s="1"/>
  <c r="AK64" i="8" a="1"/>
  <c r="AK64" i="8" s="1"/>
  <c r="AE70" i="8" a="1"/>
  <c r="AE70" i="8" s="1"/>
  <c r="AK68" i="8" a="1"/>
  <c r="AK68" i="8" s="1"/>
  <c r="AN66" i="8" a="1"/>
  <c r="AN66" i="8" s="1"/>
  <c r="AF58" i="8" a="1"/>
  <c r="AF58" i="8" s="1"/>
  <c r="AD60" i="8" a="1"/>
  <c r="AD60" i="8" s="1"/>
  <c r="AB62" i="8" a="1"/>
  <c r="AB62" i="8" s="1"/>
  <c r="AN62" i="8" a="1"/>
  <c r="AN62" i="8" s="1"/>
  <c r="AL64" i="8" a="1"/>
  <c r="AL64" i="8" s="1"/>
  <c r="AJ66" i="8" a="1"/>
  <c r="AJ66" i="8" s="1"/>
  <c r="AH68" i="8" a="1"/>
  <c r="AH68" i="8" s="1"/>
  <c r="AF70" i="8" a="1"/>
  <c r="AF70" i="8" s="1"/>
  <c r="AD72" i="8" a="1"/>
  <c r="AD72" i="8" s="1"/>
  <c r="AL68" i="8" a="1"/>
  <c r="AL68" i="8" s="1"/>
  <c r="AG58" i="8" a="1"/>
  <c r="AG58" i="8" s="1"/>
  <c r="AE60" i="8" a="1"/>
  <c r="AE60" i="8" s="1"/>
  <c r="AC62" i="8" a="1"/>
  <c r="AC62" i="8" s="1"/>
  <c r="AA64" i="8" a="1"/>
  <c r="AA64" i="8" s="1"/>
  <c r="AM64" i="8" a="1"/>
  <c r="AM64" i="8" s="1"/>
  <c r="AK66" i="8" a="1"/>
  <c r="AK66" i="8" s="1"/>
  <c r="AI68" i="8" a="1"/>
  <c r="AI68" i="8" s="1"/>
  <c r="AG70" i="8" a="1"/>
  <c r="AG70" i="8" s="1"/>
  <c r="AE72" i="8" a="1"/>
  <c r="AE72" i="8" s="1"/>
  <c r="AI58" i="8" a="1"/>
  <c r="AI58" i="8" s="1"/>
  <c r="AI70" i="8" a="1"/>
  <c r="AI70" i="8" s="1"/>
  <c r="AB66" i="8" a="1"/>
  <c r="AB66" i="8" s="1"/>
  <c r="AH58" i="8" a="1"/>
  <c r="AH58" i="8" s="1"/>
  <c r="AF60" i="8" a="1"/>
  <c r="AF60" i="8" s="1"/>
  <c r="AD62" i="8" a="1"/>
  <c r="AD62" i="8" s="1"/>
  <c r="AB64" i="8" a="1"/>
  <c r="AB64" i="8" s="1"/>
  <c r="AN64" i="8" a="1"/>
  <c r="AN64" i="8" s="1"/>
  <c r="AL66" i="8" a="1"/>
  <c r="AL66" i="8" s="1"/>
  <c r="AJ68" i="8" a="1"/>
  <c r="AJ68" i="8" s="1"/>
  <c r="AH70" i="8" a="1"/>
  <c r="AH70" i="8" s="1"/>
  <c r="AF72" i="8" a="1"/>
  <c r="AF72" i="8" s="1"/>
  <c r="AA66" i="8" a="1"/>
  <c r="AA66" i="8" s="1"/>
  <c r="AH72" i="8" a="1"/>
  <c r="AH72" i="8" s="1"/>
  <c r="AF64" i="8"/>
  <c r="AC70" i="8"/>
  <c r="AN68" i="8"/>
  <c r="AG64" i="8"/>
  <c r="AF62" i="8"/>
  <c r="AH60" i="8"/>
  <c r="AL58" i="8"/>
  <c r="AJ58" i="8"/>
  <c r="AE64" i="8"/>
  <c r="AH62" i="8"/>
  <c r="AG62" i="8"/>
  <c r="AL60" i="8"/>
  <c r="AK60" i="8"/>
  <c r="AA70" i="8"/>
  <c r="AJ60" i="8"/>
  <c r="S58" i="8" a="1"/>
  <c r="S58" i="8" s="1"/>
  <c r="T60" i="8" a="1"/>
  <c r="U62" i="8" a="1"/>
  <c r="V64" i="8" a="1"/>
  <c r="V64" i="8" s="1"/>
  <c r="W66" i="8" a="1"/>
  <c r="W66" i="8" s="1"/>
  <c r="X68" i="8" a="1"/>
  <c r="X68" i="8" s="1"/>
  <c r="Y70" i="8" a="1"/>
  <c r="Y70" i="8" s="1"/>
  <c r="Z72" i="8" a="1"/>
  <c r="Z72" i="8" s="1"/>
  <c r="T58" i="8" a="1"/>
  <c r="T58" i="8" s="1"/>
  <c r="U60" i="8" a="1"/>
  <c r="U60" i="8" s="1"/>
  <c r="V62" i="8" a="1"/>
  <c r="V62" i="8" s="1"/>
  <c r="W64" i="8" a="1"/>
  <c r="W64" i="8" s="1"/>
  <c r="X66" i="8" a="1"/>
  <c r="Y68" i="8" a="1"/>
  <c r="Y68" i="8" s="1"/>
  <c r="Z70" i="8" a="1"/>
  <c r="Z70" i="8" s="1"/>
  <c r="O72" i="8" a="1"/>
  <c r="O72" i="8" s="1"/>
  <c r="U58" i="8" a="1"/>
  <c r="U58" i="8" s="1"/>
  <c r="V60" i="8" a="1"/>
  <c r="V60" i="8" s="1"/>
  <c r="W62" i="8" a="1"/>
  <c r="W62" i="8" s="1"/>
  <c r="X64" i="8" a="1"/>
  <c r="X64" i="8" s="1"/>
  <c r="Y66" i="8" a="1"/>
  <c r="Y66" i="8" s="1"/>
  <c r="Z68" i="8" a="1"/>
  <c r="Z68" i="8" s="1"/>
  <c r="O70" i="8" a="1"/>
  <c r="O70" i="8" s="1"/>
  <c r="P72" i="8" a="1"/>
  <c r="P72" i="8" s="1"/>
  <c r="V58" i="8" a="1"/>
  <c r="V58" i="8" s="1"/>
  <c r="W60" i="8" a="1"/>
  <c r="W60" i="8" s="1"/>
  <c r="X62" i="8" a="1"/>
  <c r="X62" i="8" s="1"/>
  <c r="Y64" i="8" a="1"/>
  <c r="Y64" i="8" s="1"/>
  <c r="Z66" i="8" a="1"/>
  <c r="Z66" i="8" s="1"/>
  <c r="O68" i="8" a="1"/>
  <c r="O68" i="8" s="1"/>
  <c r="P70" i="8" a="1"/>
  <c r="P70" i="8" s="1"/>
  <c r="Q72" i="8" a="1"/>
  <c r="Q72" i="8" s="1"/>
  <c r="W58" i="8" a="1"/>
  <c r="W58" i="8" s="1"/>
  <c r="X60" i="8" a="1"/>
  <c r="X60" i="8" s="1"/>
  <c r="Y62" i="8" a="1"/>
  <c r="Y62" i="8" s="1"/>
  <c r="Z64" i="8" a="1"/>
  <c r="Z64" i="8" s="1"/>
  <c r="O66" i="8" a="1"/>
  <c r="O66" i="8" s="1"/>
  <c r="P68" i="8" a="1"/>
  <c r="P68" i="8" s="1"/>
  <c r="Q70" i="8" a="1"/>
  <c r="Q70" i="8" s="1"/>
  <c r="R72" i="8" a="1"/>
  <c r="R72" i="8" s="1"/>
  <c r="X58" i="8" a="1"/>
  <c r="X58" i="8" s="1"/>
  <c r="Y60" i="8" a="1"/>
  <c r="Y60" i="8" s="1"/>
  <c r="Z62" i="8" a="1"/>
  <c r="Z62" i="8" s="1"/>
  <c r="O64" i="8" a="1"/>
  <c r="O64" i="8" s="1"/>
  <c r="P66" i="8" a="1"/>
  <c r="P66" i="8" s="1"/>
  <c r="Q68" i="8" a="1"/>
  <c r="Q68" i="8" s="1"/>
  <c r="R70" i="8" a="1"/>
  <c r="R70" i="8" s="1"/>
  <c r="S72" i="8" a="1"/>
  <c r="S72" i="8" s="1"/>
  <c r="Y58" i="8" a="1"/>
  <c r="Y58" i="8" s="1"/>
  <c r="Z60" i="8" a="1"/>
  <c r="Z60" i="8" s="1"/>
  <c r="O62" i="8" a="1"/>
  <c r="O62" i="8" s="1"/>
  <c r="P64" i="8" a="1"/>
  <c r="P64" i="8" s="1"/>
  <c r="Q66" i="8" a="1"/>
  <c r="Q66" i="8" s="1"/>
  <c r="R68" i="8" a="1"/>
  <c r="R68" i="8" s="1"/>
  <c r="S70" i="8" a="1"/>
  <c r="S70" i="8" s="1"/>
  <c r="T72" i="8" a="1"/>
  <c r="T72" i="8" s="1"/>
  <c r="Z58" i="8" a="1"/>
  <c r="Z58" i="8" s="1"/>
  <c r="O60" i="8" a="1"/>
  <c r="O60" i="8" s="1"/>
  <c r="P62" i="8" a="1"/>
  <c r="P62" i="8" s="1"/>
  <c r="Q64" i="8" a="1"/>
  <c r="Q64" i="8" s="1"/>
  <c r="R66" i="8" a="1"/>
  <c r="R66" i="8" s="1"/>
  <c r="S68" i="8" a="1"/>
  <c r="S68" i="8" s="1"/>
  <c r="T70" i="8" a="1"/>
  <c r="T70" i="8" s="1"/>
  <c r="U72" i="8" a="1"/>
  <c r="U72" i="8" s="1"/>
  <c r="O58" i="8" a="1"/>
  <c r="O58" i="8" s="1"/>
  <c r="P60" i="8" a="1"/>
  <c r="P60" i="8" s="1"/>
  <c r="Q62" i="8" a="1"/>
  <c r="Q62" i="8" s="1"/>
  <c r="R64" i="8" a="1"/>
  <c r="R64" i="8" s="1"/>
  <c r="S66" i="8" a="1"/>
  <c r="S66" i="8" s="1"/>
  <c r="T68" i="8" a="1"/>
  <c r="T68" i="8" s="1"/>
  <c r="U70" i="8" a="1"/>
  <c r="U70" i="8" s="1"/>
  <c r="V72" i="8" a="1"/>
  <c r="V72" i="8" s="1"/>
  <c r="P58" i="8" a="1"/>
  <c r="P58" i="8" s="1"/>
  <c r="Q60" i="8" a="1"/>
  <c r="Q60" i="8" s="1"/>
  <c r="R62" i="8" a="1"/>
  <c r="R62" i="8" s="1"/>
  <c r="S64" i="8" a="1"/>
  <c r="S64" i="8" s="1"/>
  <c r="T66" i="8" a="1"/>
  <c r="T66" i="8" s="1"/>
  <c r="U68" i="8" a="1"/>
  <c r="U68" i="8" s="1"/>
  <c r="V70" i="8" a="1"/>
  <c r="V70" i="8" s="1"/>
  <c r="W72" i="8" a="1"/>
  <c r="W72" i="8" s="1"/>
  <c r="Q58" i="8" a="1"/>
  <c r="Q58" i="8" s="1"/>
  <c r="R60" i="8" a="1"/>
  <c r="R60" i="8" s="1"/>
  <c r="S62" i="8" a="1"/>
  <c r="S62" i="8" s="1"/>
  <c r="T64" i="8" a="1"/>
  <c r="T64" i="8" s="1"/>
  <c r="U66" i="8" a="1"/>
  <c r="U66" i="8" s="1"/>
  <c r="V68" i="8" a="1"/>
  <c r="V68" i="8" s="1"/>
  <c r="W70" i="8" a="1"/>
  <c r="W70" i="8" s="1"/>
  <c r="X72" i="8" a="1"/>
  <c r="X72" i="8" s="1"/>
  <c r="R58" i="8" a="1"/>
  <c r="R58" i="8" s="1"/>
  <c r="S60" i="8" a="1"/>
  <c r="S60" i="8" s="1"/>
  <c r="T62" i="8" a="1"/>
  <c r="T62" i="8" s="1"/>
  <c r="U64" i="8" a="1"/>
  <c r="U64" i="8" s="1"/>
  <c r="V66" i="8" a="1"/>
  <c r="V66" i="8" s="1"/>
  <c r="W68" i="8" a="1"/>
  <c r="W68" i="8" s="1"/>
  <c r="X70" i="8" a="1"/>
  <c r="X70" i="8" s="1"/>
  <c r="Y72" i="8" a="1"/>
  <c r="Y72" i="8" s="1"/>
  <c r="X66" i="8"/>
  <c r="T60" i="8"/>
  <c r="U62" i="8"/>
  <c r="D58" i="8" a="1"/>
  <c r="D58" i="8" s="1"/>
  <c r="H58" i="8" a="1"/>
  <c r="H58" i="8" s="1"/>
  <c r="L58" i="8" a="1"/>
  <c r="L58" i="8" s="1"/>
  <c r="D60" i="8" a="1"/>
  <c r="D60" i="8" s="1"/>
  <c r="H60" i="8" a="1"/>
  <c r="H60" i="8" s="1"/>
  <c r="L60" i="8" a="1"/>
  <c r="L60" i="8" s="1"/>
  <c r="E62" i="8" a="1"/>
  <c r="E62" i="8" s="1"/>
  <c r="I62" i="8" a="1"/>
  <c r="I62" i="8" s="1"/>
  <c r="M62" i="8" a="1"/>
  <c r="M62" i="8" s="1"/>
  <c r="E64" i="8" a="1"/>
  <c r="E64" i="8" s="1"/>
  <c r="I64" i="8" a="1"/>
  <c r="I64" i="8" s="1"/>
  <c r="M64" i="8" a="1"/>
  <c r="M64" i="8" s="1"/>
  <c r="E66" i="8" a="1"/>
  <c r="E66" i="8" s="1"/>
  <c r="I66" i="8" a="1"/>
  <c r="I66" i="8" s="1"/>
  <c r="M66" i="8" a="1"/>
  <c r="M66" i="8" s="1"/>
  <c r="E68" i="8" a="1"/>
  <c r="E68" i="8" s="1"/>
  <c r="I68" i="8" a="1"/>
  <c r="I68" i="8" s="1"/>
  <c r="M68" i="8" a="1"/>
  <c r="M68" i="8" s="1"/>
  <c r="E70" i="8" a="1"/>
  <c r="E70" i="8" s="1"/>
  <c r="I70" i="8" a="1"/>
  <c r="I70" i="8" s="1"/>
  <c r="M70" i="8" a="1"/>
  <c r="M70" i="8" s="1"/>
  <c r="E72" i="8" a="1"/>
  <c r="E72" i="8" s="1"/>
  <c r="I72" i="8" a="1"/>
  <c r="I72" i="8" s="1"/>
  <c r="M72" i="8" a="1"/>
  <c r="M72" i="8" s="1"/>
  <c r="E58" i="8" a="1"/>
  <c r="E58" i="8" s="1"/>
  <c r="I58" i="8" a="1"/>
  <c r="I58" i="8" s="1"/>
  <c r="M58" i="8" a="1"/>
  <c r="M58" i="8" s="1"/>
  <c r="E60" i="8" a="1"/>
  <c r="E60" i="8" s="1"/>
  <c r="I60" i="8" a="1"/>
  <c r="I60" i="8" s="1"/>
  <c r="M60" i="8" a="1"/>
  <c r="M60" i="8" s="1"/>
  <c r="B62" i="8" a="1"/>
  <c r="B62" i="8" s="1"/>
  <c r="F62" i="8" a="1"/>
  <c r="F62" i="8" s="1"/>
  <c r="J62" i="8" a="1"/>
  <c r="N62" i="8" a="1"/>
  <c r="N62" i="8" s="1"/>
  <c r="B64" i="8" a="1"/>
  <c r="B64" i="8" s="1"/>
  <c r="F64" i="8" a="1"/>
  <c r="F64" i="8" s="1"/>
  <c r="J64" i="8" a="1"/>
  <c r="J64" i="8" s="1"/>
  <c r="N64" i="8" a="1"/>
  <c r="N64" i="8" s="1"/>
  <c r="B66" i="8" a="1"/>
  <c r="B66" i="8" s="1"/>
  <c r="F66" i="8" a="1"/>
  <c r="F66" i="8" s="1"/>
  <c r="J66" i="8" a="1"/>
  <c r="J66" i="8" s="1"/>
  <c r="N66" i="8" a="1"/>
  <c r="N66" i="8" s="1"/>
  <c r="B68" i="8" a="1"/>
  <c r="B68" i="8" s="1"/>
  <c r="F68" i="8" a="1"/>
  <c r="F68" i="8" s="1"/>
  <c r="J68" i="8" a="1"/>
  <c r="J68" i="8" s="1"/>
  <c r="N68" i="8" a="1"/>
  <c r="N68" i="8" s="1"/>
  <c r="B70" i="8" a="1"/>
  <c r="B70" i="8" s="1"/>
  <c r="F70" i="8" a="1"/>
  <c r="F70" i="8" s="1"/>
  <c r="J70" i="8" a="1"/>
  <c r="J70" i="8" s="1"/>
  <c r="N70" i="8" a="1"/>
  <c r="N70" i="8" s="1"/>
  <c r="B72" i="8" a="1"/>
  <c r="B72" i="8" s="1"/>
  <c r="F72" i="8" a="1"/>
  <c r="F72" i="8" s="1"/>
  <c r="J72" i="8" a="1"/>
  <c r="J72" i="8" s="1"/>
  <c r="N72" i="8" a="1"/>
  <c r="N72" i="8" s="1"/>
  <c r="B58" i="8" a="1"/>
  <c r="B58" i="8" s="1"/>
  <c r="F58" i="8" a="1"/>
  <c r="F58" i="8" s="1"/>
  <c r="J58" i="8" a="1"/>
  <c r="J58" i="8" s="1"/>
  <c r="N58" i="8" a="1"/>
  <c r="N58" i="8" s="1"/>
  <c r="B60" i="8" a="1"/>
  <c r="B60" i="8" s="1"/>
  <c r="F60" i="8" a="1"/>
  <c r="F60" i="8" s="1"/>
  <c r="J60" i="8" a="1"/>
  <c r="J60" i="8" s="1"/>
  <c r="N60" i="8" a="1"/>
  <c r="N60" i="8" s="1"/>
  <c r="C62" i="8" a="1"/>
  <c r="C62" i="8" s="1"/>
  <c r="G62" i="8" a="1"/>
  <c r="G62" i="8" s="1"/>
  <c r="K62" i="8" a="1"/>
  <c r="K62" i="8" s="1"/>
  <c r="C64" i="8" a="1"/>
  <c r="C64" i="8" s="1"/>
  <c r="G64" i="8" a="1"/>
  <c r="G64" i="8" s="1"/>
  <c r="K64" i="8" a="1"/>
  <c r="K64" i="8" s="1"/>
  <c r="C66" i="8" a="1"/>
  <c r="C66" i="8" s="1"/>
  <c r="G66" i="8" a="1"/>
  <c r="G66" i="8" s="1"/>
  <c r="K66" i="8" a="1"/>
  <c r="K66" i="8" s="1"/>
  <c r="C68" i="8" a="1"/>
  <c r="C68" i="8" s="1"/>
  <c r="G68" i="8" a="1"/>
  <c r="G68" i="8" s="1"/>
  <c r="K68" i="8" a="1"/>
  <c r="K68" i="8" s="1"/>
  <c r="C70" i="8" a="1"/>
  <c r="C70" i="8" s="1"/>
  <c r="G70" i="8" a="1"/>
  <c r="G70" i="8" s="1"/>
  <c r="K70" i="8" a="1"/>
  <c r="K70" i="8" s="1"/>
  <c r="C72" i="8" a="1"/>
  <c r="C72" i="8" s="1"/>
  <c r="G72" i="8" a="1"/>
  <c r="G72" i="8" s="1"/>
  <c r="K72" i="8" a="1"/>
  <c r="K72" i="8" s="1"/>
  <c r="C58" i="8" a="1"/>
  <c r="C58" i="8" s="1"/>
  <c r="G58" i="8" a="1"/>
  <c r="G58" i="8" s="1"/>
  <c r="K58" i="8" a="1"/>
  <c r="K58" i="8" s="1"/>
  <c r="C60" i="8" a="1"/>
  <c r="C60" i="8" s="1"/>
  <c r="G60" i="8" a="1"/>
  <c r="G60" i="8" s="1"/>
  <c r="K60" i="8" a="1"/>
  <c r="K60" i="8" s="1"/>
  <c r="D62" i="8" a="1"/>
  <c r="D62" i="8" s="1"/>
  <c r="H62" i="8" a="1"/>
  <c r="H62" i="8" s="1"/>
  <c r="L62" i="8" a="1"/>
  <c r="L62" i="8" s="1"/>
  <c r="D64" i="8" a="1"/>
  <c r="D64" i="8" s="1"/>
  <c r="H64" i="8" a="1"/>
  <c r="H64" i="8" s="1"/>
  <c r="L64" i="8" a="1"/>
  <c r="L64" i="8" s="1"/>
  <c r="D66" i="8" a="1"/>
  <c r="D66" i="8" s="1"/>
  <c r="H66" i="8" a="1"/>
  <c r="H66" i="8" s="1"/>
  <c r="L66" i="8" a="1"/>
  <c r="L66" i="8" s="1"/>
  <c r="D68" i="8" a="1"/>
  <c r="D68" i="8" s="1"/>
  <c r="H68" i="8" a="1"/>
  <c r="H68" i="8" s="1"/>
  <c r="L68" i="8" a="1"/>
  <c r="L68" i="8" s="1"/>
  <c r="D70" i="8" a="1"/>
  <c r="D70" i="8" s="1"/>
  <c r="H70" i="8" a="1"/>
  <c r="H70" i="8" s="1"/>
  <c r="L70" i="8" a="1"/>
  <c r="L70" i="8" s="1"/>
  <c r="D72" i="8" a="1"/>
  <c r="D72" i="8" s="1"/>
  <c r="H72" i="8" a="1"/>
  <c r="H72" i="8" s="1"/>
  <c r="L72" i="8" a="1"/>
  <c r="L72" i="8" s="1"/>
  <c r="J62" i="8"/>
  <c r="W330" i="6"/>
  <c r="AK73" i="8" l="1"/>
  <c r="AK61" i="8"/>
  <c r="AK63" i="8"/>
  <c r="AK67" i="8"/>
  <c r="AK71" i="8"/>
  <c r="AK65" i="8"/>
  <c r="AK69" i="8"/>
  <c r="AK59" i="8"/>
  <c r="AI69" i="8"/>
  <c r="AI73" i="8"/>
  <c r="AJ65" i="8"/>
  <c r="AJ73" i="8"/>
  <c r="AI71" i="8"/>
  <c r="AI59" i="8"/>
  <c r="AI63" i="8"/>
  <c r="AJ69" i="8"/>
  <c r="AJ59" i="8"/>
  <c r="AI67" i="8"/>
  <c r="AJ63" i="8"/>
  <c r="AI61" i="8"/>
  <c r="AJ67" i="8"/>
  <c r="AI65" i="8"/>
  <c r="AJ71" i="8"/>
  <c r="AJ61" i="8"/>
  <c r="AH67" i="8"/>
  <c r="AH71" i="8"/>
  <c r="AH61" i="8"/>
  <c r="AH65" i="8"/>
  <c r="AH69" i="8"/>
  <c r="AH59" i="8"/>
  <c r="AH73" i="8"/>
  <c r="AH63" i="8"/>
  <c r="AF63" i="8"/>
  <c r="AG69" i="8"/>
  <c r="AG65" i="8"/>
  <c r="AG59" i="8"/>
  <c r="AG73" i="8"/>
  <c r="AG63" i="8"/>
  <c r="AG67" i="8"/>
  <c r="AG71" i="8"/>
  <c r="AG61" i="8"/>
  <c r="AD59" i="8"/>
  <c r="AE61" i="8"/>
  <c r="AE63" i="8"/>
  <c r="AC59" i="8"/>
  <c r="AD65" i="8"/>
  <c r="AF73" i="8"/>
  <c r="AC73" i="8"/>
  <c r="AC63" i="8"/>
  <c r="AE71" i="8"/>
  <c r="AD69" i="8"/>
  <c r="AF67" i="8"/>
  <c r="AC67" i="8"/>
  <c r="AE65" i="8"/>
  <c r="AD73" i="8"/>
  <c r="AD63" i="8"/>
  <c r="AF71" i="8"/>
  <c r="AC71" i="8"/>
  <c r="AF61" i="8"/>
  <c r="AC61" i="8"/>
  <c r="AE69" i="8"/>
  <c r="AD67" i="8"/>
  <c r="AE59" i="8"/>
  <c r="AF65" i="8"/>
  <c r="AC65" i="8"/>
  <c r="AE73" i="8"/>
  <c r="AD71" i="8"/>
  <c r="AD61" i="8"/>
  <c r="AF69" i="8"/>
  <c r="AC69" i="8"/>
  <c r="AE67" i="8"/>
  <c r="AF59" i="8"/>
  <c r="X65" i="8"/>
  <c r="Z73" i="8"/>
  <c r="X63" i="8"/>
  <c r="AB73" i="8"/>
  <c r="Z67" i="8"/>
  <c r="AN74" i="8"/>
  <c r="AB69" i="8"/>
  <c r="AB74" i="8"/>
  <c r="Y59" i="8"/>
  <c r="AB59" i="8"/>
  <c r="AF74" i="8"/>
  <c r="X69" i="8"/>
  <c r="Z61" i="8"/>
  <c r="Z71" i="8"/>
  <c r="Z65" i="8"/>
  <c r="AD74" i="8"/>
  <c r="AB63" i="8"/>
  <c r="R71" i="8"/>
  <c r="Y73" i="8"/>
  <c r="AK74" i="8"/>
  <c r="X61" i="8"/>
  <c r="X67" i="8"/>
  <c r="W59" i="8"/>
  <c r="AA71" i="8"/>
  <c r="AB67" i="8"/>
  <c r="AI74" i="8"/>
  <c r="V63" i="8"/>
  <c r="Y63" i="8"/>
  <c r="AB71" i="8"/>
  <c r="AG74" i="8"/>
  <c r="AJ74" i="8"/>
  <c r="X73" i="8"/>
  <c r="AB61" i="8"/>
  <c r="AL74" i="8"/>
  <c r="AH74" i="8"/>
  <c r="AM74" i="8"/>
  <c r="AB65" i="8"/>
  <c r="AE74" i="8"/>
  <c r="AC74" i="8"/>
  <c r="AA74" i="8"/>
  <c r="W73" i="8"/>
  <c r="W65" i="8"/>
  <c r="R59" i="8"/>
  <c r="R69" i="8"/>
  <c r="R63" i="8"/>
  <c r="U71" i="8"/>
  <c r="U63" i="8"/>
  <c r="AA69" i="8"/>
  <c r="T73" i="8"/>
  <c r="T65" i="8"/>
  <c r="S73" i="8"/>
  <c r="S65" i="8"/>
  <c r="Q71" i="8"/>
  <c r="Q63" i="8"/>
  <c r="AA59" i="8"/>
  <c r="Y61" i="8"/>
  <c r="Y69" i="8"/>
  <c r="AA73" i="8"/>
  <c r="X71" i="8"/>
  <c r="W71" i="8"/>
  <c r="W63" i="8"/>
  <c r="V73" i="8"/>
  <c r="V67" i="8"/>
  <c r="U61" i="8"/>
  <c r="U69" i="8"/>
  <c r="T61" i="8"/>
  <c r="AA63" i="8"/>
  <c r="T71" i="8"/>
  <c r="T63" i="8"/>
  <c r="S71" i="8"/>
  <c r="S63" i="8"/>
  <c r="R73" i="8"/>
  <c r="R67" i="8"/>
  <c r="Q61" i="8"/>
  <c r="Q69" i="8"/>
  <c r="X59" i="8"/>
  <c r="AA67" i="8"/>
  <c r="W61" i="8"/>
  <c r="W69" i="8"/>
  <c r="U59" i="8"/>
  <c r="U67" i="8"/>
  <c r="T59" i="8"/>
  <c r="T69" i="8"/>
  <c r="S61" i="8"/>
  <c r="S69" i="8"/>
  <c r="V61" i="8"/>
  <c r="V71" i="8"/>
  <c r="V65" i="8"/>
  <c r="Q59" i="8"/>
  <c r="Q67" i="8"/>
  <c r="R61" i="8"/>
  <c r="R65" i="8"/>
  <c r="Y65" i="8"/>
  <c r="AA61" i="8"/>
  <c r="W67" i="8"/>
  <c r="U73" i="8"/>
  <c r="U65" i="8"/>
  <c r="Y67" i="8"/>
  <c r="T67" i="8"/>
  <c r="S59" i="8"/>
  <c r="S67" i="8"/>
  <c r="Z59" i="8"/>
  <c r="Z69" i="8"/>
  <c r="Z63" i="8"/>
  <c r="Q73" i="8"/>
  <c r="Q65" i="8"/>
  <c r="AA65" i="8"/>
  <c r="V59" i="8"/>
  <c r="V69" i="8"/>
  <c r="Y71" i="8"/>
  <c r="P59" i="8"/>
  <c r="P61" i="8"/>
  <c r="P73" i="8"/>
  <c r="P65" i="8"/>
  <c r="P71" i="8"/>
  <c r="P63" i="8"/>
  <c r="P69" i="8"/>
  <c r="P67" i="8"/>
  <c r="P74" i="8"/>
  <c r="U74" i="8"/>
  <c r="O74" i="8"/>
  <c r="W74" i="8"/>
  <c r="S74" i="8"/>
  <c r="V74" i="8"/>
  <c r="R74" i="8"/>
  <c r="Y74" i="8"/>
  <c r="Q74" i="8"/>
  <c r="Z74" i="8"/>
  <c r="T74" i="8"/>
  <c r="X74" i="8"/>
  <c r="O59" i="8"/>
  <c r="O67" i="8"/>
  <c r="O73" i="8"/>
  <c r="O65" i="8"/>
  <c r="O71" i="8"/>
  <c r="O63" i="8"/>
  <c r="O61" i="8"/>
  <c r="O69" i="8"/>
  <c r="M69" i="8"/>
  <c r="M63" i="8"/>
  <c r="M59" i="8"/>
  <c r="N63" i="8"/>
  <c r="N71" i="8"/>
  <c r="M61" i="8"/>
  <c r="M67" i="8"/>
  <c r="L61" i="8"/>
  <c r="N59" i="8"/>
  <c r="N69" i="8"/>
  <c r="N61" i="8"/>
  <c r="N67" i="8"/>
  <c r="N73" i="8"/>
  <c r="N65" i="8"/>
  <c r="M65" i="8"/>
  <c r="M71" i="8"/>
  <c r="M73" i="8"/>
  <c r="L63" i="8"/>
  <c r="L73" i="8"/>
  <c r="L69" i="8"/>
  <c r="L71" i="8"/>
  <c r="L67" i="8"/>
  <c r="L59" i="8"/>
  <c r="L65" i="8"/>
  <c r="K67" i="8"/>
  <c r="K65" i="8"/>
  <c r="K59" i="8"/>
  <c r="K63" i="8"/>
  <c r="K73" i="8"/>
  <c r="K69" i="8"/>
  <c r="K71" i="8"/>
  <c r="K61" i="8"/>
  <c r="J71" i="8"/>
  <c r="J73" i="8"/>
  <c r="J63" i="8"/>
  <c r="J65" i="8"/>
  <c r="J67" i="8"/>
  <c r="J69" i="8"/>
  <c r="J59" i="8"/>
  <c r="J61" i="8"/>
  <c r="I65" i="8"/>
  <c r="I61" i="8"/>
  <c r="I59" i="8"/>
  <c r="I73" i="8"/>
  <c r="I63" i="8"/>
  <c r="I67" i="8"/>
  <c r="I69" i="8"/>
  <c r="I71" i="8"/>
  <c r="H65" i="8"/>
  <c r="H59" i="8"/>
  <c r="H69" i="8"/>
  <c r="H73" i="8"/>
  <c r="H61" i="8"/>
  <c r="H63" i="8"/>
  <c r="H67" i="8"/>
  <c r="H71" i="8"/>
  <c r="G59" i="8"/>
  <c r="G69" i="8"/>
  <c r="G71" i="8"/>
  <c r="G63" i="8"/>
  <c r="G73" i="8"/>
  <c r="G61" i="8"/>
  <c r="G65" i="8"/>
  <c r="G67" i="8"/>
  <c r="F65" i="8"/>
  <c r="F61" i="8"/>
  <c r="F63" i="8"/>
  <c r="F73" i="8"/>
  <c r="F69" i="8"/>
  <c r="F71" i="8"/>
  <c r="F67" i="8"/>
  <c r="F59" i="8"/>
  <c r="E69" i="8"/>
  <c r="E63" i="8"/>
  <c r="E73" i="8"/>
  <c r="E59" i="8"/>
  <c r="E67" i="8"/>
  <c r="E61" i="8"/>
  <c r="E71" i="8"/>
  <c r="E65" i="8"/>
  <c r="D65" i="8"/>
  <c r="D63" i="8"/>
  <c r="D59" i="8"/>
  <c r="D71" i="8"/>
  <c r="D61" i="8"/>
  <c r="D73" i="8"/>
  <c r="D67" i="8"/>
  <c r="D69" i="8"/>
  <c r="C67" i="8"/>
  <c r="C59" i="8"/>
  <c r="C73" i="8"/>
  <c r="C69" i="8"/>
  <c r="C65" i="8"/>
  <c r="C61" i="8"/>
  <c r="C71" i="8"/>
  <c r="C63" i="8"/>
  <c r="B73" i="8"/>
  <c r="B61" i="8"/>
  <c r="B69" i="8"/>
  <c r="B63" i="8"/>
  <c r="B71" i="8"/>
  <c r="B65" i="8"/>
  <c r="B67" i="8"/>
  <c r="B59" i="8"/>
  <c r="B74" i="8"/>
  <c r="G74" i="8"/>
  <c r="M74" i="8"/>
  <c r="E74" i="8"/>
  <c r="N74" i="8"/>
  <c r="C74" i="8"/>
  <c r="L74" i="8"/>
  <c r="I74" i="8"/>
  <c r="H74" i="8"/>
  <c r="J74" i="8"/>
  <c r="F74" i="8"/>
  <c r="K74" i="8"/>
  <c r="D74" i="8"/>
  <c r="AK75" i="8" l="1"/>
  <c r="AJ75" i="8"/>
  <c r="AI75" i="8"/>
  <c r="AH75" i="8"/>
  <c r="AG75" i="8"/>
  <c r="AF75" i="8"/>
  <c r="AC75" i="8"/>
  <c r="AD75" i="8"/>
  <c r="AE75" i="8"/>
  <c r="V75" i="8"/>
  <c r="U75" i="8"/>
  <c r="T75" i="8"/>
  <c r="X75" i="8"/>
  <c r="AA75" i="8"/>
  <c r="Z75" i="8"/>
  <c r="Q75" i="8"/>
  <c r="Y75" i="8"/>
  <c r="S75" i="8"/>
  <c r="W75" i="8"/>
  <c r="R75" i="8"/>
  <c r="P75" i="8"/>
  <c r="O75" i="8"/>
  <c r="N75" i="8"/>
  <c r="L75" i="8"/>
  <c r="M75" i="8"/>
  <c r="K75" i="8"/>
  <c r="J75" i="8"/>
  <c r="I75" i="8"/>
  <c r="H75" i="8"/>
  <c r="G75" i="8"/>
  <c r="F75" i="8"/>
  <c r="E75" i="8"/>
  <c r="D75" i="8"/>
  <c r="C75" i="8"/>
  <c r="B75" i="8"/>
  <c r="U332" i="6" l="1"/>
  <c r="T332" i="6"/>
  <c r="V332" i="6"/>
  <c r="R332" i="6"/>
  <c r="W332" i="6" l="1"/>
  <c r="T339" i="6" l="1"/>
  <c r="R339" i="6"/>
  <c r="V339" i="6"/>
  <c r="U339" i="6"/>
  <c r="AN331" i="8" l="1" a="1"/>
  <c r="AN331" i="8" s="1"/>
  <c r="AF331" i="8" a="1"/>
  <c r="AF331" i="8" s="1"/>
  <c r="AD332" i="8" a="1"/>
  <c r="AD332" i="8" s="1"/>
  <c r="AM336" i="8" a="1"/>
  <c r="AM336" i="8" s="1"/>
  <c r="AN330" i="8" a="1"/>
  <c r="AN330" i="8" s="1"/>
  <c r="AG319" i="8" a="1"/>
  <c r="AG319" i="8" s="1"/>
  <c r="V9" i="16" s="1"/>
  <c r="AN310" i="8" a="1"/>
  <c r="AN310" i="8" s="1"/>
  <c r="AG338" i="8" a="1"/>
  <c r="AG338" i="8" s="1"/>
  <c r="AA336" i="8" a="1"/>
  <c r="AA336" i="8" s="1"/>
  <c r="AN338" i="8" a="1"/>
  <c r="AN338" i="8" s="1"/>
  <c r="AA320" i="8" a="1"/>
  <c r="AA320" i="8" s="1"/>
  <c r="P7" i="16" s="1"/>
  <c r="AB311" i="8" a="1"/>
  <c r="AB311" i="8" s="1"/>
  <c r="AF7" i="16" s="1"/>
  <c r="AC336" i="8" a="1"/>
  <c r="AC336" i="8" s="1"/>
  <c r="AI331" i="8" a="1"/>
  <c r="AI331" i="8" s="1"/>
  <c r="AG336" i="8" a="1"/>
  <c r="AG336" i="8" s="1"/>
  <c r="AC330" i="8" a="1"/>
  <c r="AC330" i="8" s="1"/>
  <c r="AD318" i="8" a="1"/>
  <c r="AD318" i="8" s="1"/>
  <c r="S8" i="16" s="1"/>
  <c r="AJ338" i="8" a="1"/>
  <c r="AJ338" i="8" s="1"/>
  <c r="AK318" i="8" a="1"/>
  <c r="AK318" i="8" s="1"/>
  <c r="Z8" i="16" s="1"/>
  <c r="AE309" i="8" a="1"/>
  <c r="AE309" i="8" s="1"/>
  <c r="AI8" i="16" s="1"/>
  <c r="AH337" i="8" a="1"/>
  <c r="AH337" i="8" s="1"/>
  <c r="AK337" i="8" a="1"/>
  <c r="AK337" i="8" s="1"/>
  <c r="AN337" i="8" a="1"/>
  <c r="AN337" i="8" s="1"/>
  <c r="AF319" i="8" a="1"/>
  <c r="AF319" i="8" s="1"/>
  <c r="U9" i="16" s="1"/>
  <c r="AA332" i="8" a="1"/>
  <c r="AA332" i="8" s="1"/>
  <c r="AC338" i="8" a="1"/>
  <c r="AC338" i="8" s="1"/>
  <c r="AJ330" i="8" a="1"/>
  <c r="AJ330" i="8" s="1"/>
  <c r="AA331" i="8" a="1"/>
  <c r="AA331" i="8" s="1"/>
  <c r="AF336" i="8" a="1"/>
  <c r="AF336" i="8" s="1"/>
  <c r="AN336" i="8" a="1"/>
  <c r="AN336" i="8" s="1"/>
  <c r="AD331" i="8" a="1"/>
  <c r="AD331" i="8" s="1"/>
  <c r="AD330" i="8" a="1"/>
  <c r="AD330" i="8" s="1"/>
  <c r="AJ331" i="8" a="1"/>
  <c r="AJ331" i="8" s="1"/>
  <c r="AJ336" i="8" a="1"/>
  <c r="AJ336" i="8" s="1"/>
  <c r="AF338" i="8" a="1"/>
  <c r="AF338" i="8" s="1"/>
  <c r="AL337" i="8" a="1"/>
  <c r="AL337" i="8" s="1"/>
  <c r="AK330" i="8" a="1"/>
  <c r="AK330" i="8" s="1"/>
  <c r="AB336" i="8" a="1"/>
  <c r="AB336" i="8" s="1"/>
  <c r="AI336" i="8" a="1"/>
  <c r="AI336" i="8" s="1"/>
  <c r="AB319" i="8" a="1"/>
  <c r="AB319" i="8" s="1"/>
  <c r="Q9" i="16" s="1"/>
  <c r="AD337" i="8" a="1"/>
  <c r="AD337" i="8" s="1"/>
  <c r="AD336" i="8" a="1"/>
  <c r="AD336" i="8" s="1"/>
  <c r="AA309" i="8" a="1"/>
  <c r="AA309" i="8" s="1"/>
  <c r="AE8" i="16" s="1"/>
  <c r="AK332" i="8" a="1"/>
  <c r="AK332" i="8" s="1"/>
  <c r="AL311" i="8" a="1"/>
  <c r="AL311" i="8" s="1"/>
  <c r="AD338" i="8" a="1"/>
  <c r="AD338" i="8" s="1"/>
  <c r="AN332" i="8" a="1"/>
  <c r="AN332" i="8" s="1"/>
  <c r="AL336" i="8" a="1"/>
  <c r="AL336" i="8" s="1"/>
  <c r="AF330" i="8" a="1"/>
  <c r="AF330" i="8" s="1"/>
  <c r="AK338" i="8" a="1"/>
  <c r="AK338" i="8" s="1"/>
  <c r="AA337" i="8" a="1"/>
  <c r="AA337" i="8" s="1"/>
  <c r="AF332" i="8" a="1"/>
  <c r="AF332" i="8" s="1"/>
  <c r="AI332" i="8" a="1"/>
  <c r="AI332" i="8" s="1"/>
  <c r="AF310" i="8" a="1"/>
  <c r="AF310" i="8" s="1"/>
  <c r="AJ9" i="16" s="1"/>
  <c r="AI337" i="8" a="1"/>
  <c r="AI337" i="8" s="1"/>
  <c r="AI311" i="8" a="1"/>
  <c r="AI311" i="8" s="1"/>
  <c r="AM7" i="16" s="1"/>
  <c r="AJ332" i="8" a="1"/>
  <c r="AJ332" i="8" s="1"/>
  <c r="AI309" i="8" a="1"/>
  <c r="AI309" i="8" s="1"/>
  <c r="AM8" i="16" s="1"/>
  <c r="AG337" i="8" a="1"/>
  <c r="AG337" i="8" s="1"/>
  <c r="AK311" i="8" a="1"/>
  <c r="AK311" i="8" s="1"/>
  <c r="AO7" i="16" s="1"/>
  <c r="AE336" i="8" a="1"/>
  <c r="AE336" i="8" s="1"/>
  <c r="AM338" i="8" a="1"/>
  <c r="AM338" i="8" s="1"/>
  <c r="AB318" i="8" a="1"/>
  <c r="AB318" i="8" s="1"/>
  <c r="Q8" i="16" s="1"/>
  <c r="AH338" i="8" a="1"/>
  <c r="AH338" i="8" s="1"/>
  <c r="AJ310" i="8" a="1"/>
  <c r="AJ310" i="8" s="1"/>
  <c r="AN9" i="16" s="1"/>
  <c r="AC331" i="8" a="1"/>
  <c r="AC331" i="8" s="1"/>
  <c r="AI319" i="8" a="1"/>
  <c r="AI319" i="8" s="1"/>
  <c r="X9" i="16" s="1"/>
  <c r="AE310" i="8" a="1"/>
  <c r="AE310" i="8" s="1"/>
  <c r="AI9" i="16" s="1"/>
  <c r="AC309" i="8" a="1"/>
  <c r="AC309" i="8" s="1"/>
  <c r="AG8" i="16" s="1"/>
  <c r="AE319" i="8" a="1"/>
  <c r="AE319" i="8" s="1"/>
  <c r="T9" i="16" s="1"/>
  <c r="AE311" i="8" a="1"/>
  <c r="AE311" i="8" s="1"/>
  <c r="AI7" i="16" s="1"/>
  <c r="AC337" i="8" a="1"/>
  <c r="AC337" i="8" s="1"/>
  <c r="AJ318" i="8" a="1"/>
  <c r="AJ318" i="8" s="1"/>
  <c r="Y8" i="16" s="1"/>
  <c r="AF309" i="8" a="1"/>
  <c r="AF309" i="8" s="1"/>
  <c r="AJ8" i="16" s="1"/>
  <c r="AG309" i="8" a="1"/>
  <c r="AG309" i="8" s="1"/>
  <c r="AK8" i="16" s="1"/>
  <c r="AA311" i="8" a="1"/>
  <c r="AA311" i="8" s="1"/>
  <c r="AE7" i="16" s="1"/>
  <c r="AM337" i="8" a="1"/>
  <c r="AM337" i="8" s="1"/>
  <c r="AE338" i="8" a="1"/>
  <c r="AE338" i="8" s="1"/>
  <c r="AH309" i="8" a="1"/>
  <c r="AH309" i="8" s="1"/>
  <c r="AL8" i="16" s="1"/>
  <c r="AG318" i="8" a="1"/>
  <c r="AG318" i="8" s="1"/>
  <c r="V8" i="16" s="1"/>
  <c r="AG310" i="8" a="1"/>
  <c r="AG310" i="8" s="1"/>
  <c r="AK9" i="16" s="1"/>
  <c r="AH331" i="8" a="1"/>
  <c r="AH331" i="8" s="1"/>
  <c r="AK319" i="8" a="1"/>
  <c r="AK319" i="8" s="1"/>
  <c r="Z9" i="16" s="1"/>
  <c r="AJ319" i="8" a="1"/>
  <c r="AJ319" i="8" s="1"/>
  <c r="Y9" i="16" s="1"/>
  <c r="AB309" i="8" a="1"/>
  <c r="AB309" i="8" s="1"/>
  <c r="AF8" i="16" s="1"/>
  <c r="AA319" i="8" a="1"/>
  <c r="AA319" i="8" s="1"/>
  <c r="P9" i="16" s="1"/>
  <c r="AL309" i="8" a="1"/>
  <c r="AL309" i="8" s="1"/>
  <c r="AI338" i="8" a="1"/>
  <c r="AI338" i="8" s="1"/>
  <c r="AI320" i="8" a="1"/>
  <c r="AI320" i="8" s="1"/>
  <c r="X7" i="16" s="1"/>
  <c r="AH310" i="8" a="1"/>
  <c r="AH310" i="8" s="1"/>
  <c r="AL9" i="16" s="1"/>
  <c r="AJ309" i="8" a="1"/>
  <c r="AJ309" i="8" s="1"/>
  <c r="AN8" i="16" s="1"/>
  <c r="AL320" i="8" a="1"/>
  <c r="AL320" i="8" s="1"/>
  <c r="AM311" i="8" a="1"/>
  <c r="AM311" i="8" s="1"/>
  <c r="AI310" i="8" a="1"/>
  <c r="AI310" i="8" s="1"/>
  <c r="AM9" i="16" s="1"/>
  <c r="AL338" i="8" a="1"/>
  <c r="AL338" i="8" s="1"/>
  <c r="AJ311" i="8" a="1"/>
  <c r="AJ311" i="8" s="1"/>
  <c r="AN7" i="16" s="1"/>
  <c r="AF320" i="8" a="1"/>
  <c r="AF320" i="8" s="1"/>
  <c r="U7" i="16" s="1"/>
  <c r="AH311" i="8" a="1"/>
  <c r="AH311" i="8" s="1"/>
  <c r="AL7" i="16" s="1"/>
  <c r="AI318" i="8" a="1"/>
  <c r="AI318" i="8" s="1"/>
  <c r="X8" i="16" s="1"/>
  <c r="AG311" i="8" a="1"/>
  <c r="AG311" i="8" s="1"/>
  <c r="AK7" i="16" s="1"/>
  <c r="AE337" i="8" a="1"/>
  <c r="AE337" i="8" s="1"/>
  <c r="AN319" i="8" a="1"/>
  <c r="AN319" i="8" s="1"/>
  <c r="AN318" i="8" a="1"/>
  <c r="AN318" i="8" s="1"/>
  <c r="AD309" i="8" a="1"/>
  <c r="AD309" i="8" s="1"/>
  <c r="AH8" i="16" s="1"/>
  <c r="AL318" i="8" a="1"/>
  <c r="AL318" i="8" s="1"/>
  <c r="AM330" i="8" a="1"/>
  <c r="AM330" i="8" s="1"/>
  <c r="AC319" i="8" a="1"/>
  <c r="AC319" i="8" s="1"/>
  <c r="R9" i="16" s="1"/>
  <c r="AC320" i="8" a="1"/>
  <c r="AC320" i="8" s="1"/>
  <c r="R7" i="16" s="1"/>
  <c r="AN309" i="8" a="1"/>
  <c r="AN309" i="8" s="1"/>
  <c r="AM319" i="8" a="1"/>
  <c r="AM319" i="8" s="1"/>
  <c r="AN311" i="8" a="1"/>
  <c r="AN311" i="8" s="1"/>
  <c r="AA318" i="8" a="1"/>
  <c r="AA318" i="8" s="1"/>
  <c r="P8" i="16" s="1"/>
  <c r="AA310" i="8" a="1"/>
  <c r="AA310" i="8" s="1"/>
  <c r="AE9" i="16" s="1"/>
  <c r="AJ337" i="8" a="1"/>
  <c r="AJ337" i="8" s="1"/>
  <c r="AH336" i="8" a="1"/>
  <c r="AH336" i="8" s="1"/>
  <c r="AF318" i="8" a="1"/>
  <c r="AF318" i="8" s="1"/>
  <c r="U8" i="16" s="1"/>
  <c r="AD319" i="8" a="1"/>
  <c r="AD319" i="8" s="1"/>
  <c r="S9" i="16" s="1"/>
  <c r="AB332" i="8" a="1"/>
  <c r="AB332" i="8" s="1"/>
  <c r="AB337" i="8" a="1"/>
  <c r="AB337" i="8" s="1"/>
  <c r="AE331" i="8" a="1"/>
  <c r="AE331" i="8" s="1"/>
  <c r="AD320" i="8" a="1"/>
  <c r="AD320" i="8" s="1"/>
  <c r="S7" i="16" s="1"/>
  <c r="AK310" i="8" a="1"/>
  <c r="AK310" i="8" s="1"/>
  <c r="AO9" i="16" s="1"/>
  <c r="AH320" i="8" a="1"/>
  <c r="AH320" i="8" s="1"/>
  <c r="W7" i="16" s="1"/>
  <c r="AH319" i="8" a="1"/>
  <c r="AH319" i="8" s="1"/>
  <c r="W9" i="16" s="1"/>
  <c r="AK309" i="8" a="1"/>
  <c r="AK309" i="8" s="1"/>
  <c r="AO8" i="16" s="1"/>
  <c r="AC310" i="8" a="1"/>
  <c r="AC310" i="8" s="1"/>
  <c r="AG9" i="16" s="1"/>
  <c r="AC311" i="8" a="1"/>
  <c r="AC311" i="8" s="1"/>
  <c r="AG7" i="16" s="1"/>
  <c r="AK336" i="8" a="1"/>
  <c r="AK336" i="8" s="1"/>
  <c r="AA330" i="8" a="1"/>
  <c r="AA330" i="8" s="1"/>
  <c r="AH332" i="8" a="1"/>
  <c r="AH332" i="8" s="1"/>
  <c r="AM310" i="8" a="1"/>
  <c r="AM310" i="8" s="1"/>
  <c r="AE330" i="8" a="1"/>
  <c r="AE330" i="8" s="1"/>
  <c r="AB320" i="8" a="1"/>
  <c r="AB320" i="8" s="1"/>
  <c r="Q7" i="16" s="1"/>
  <c r="AB331" i="8" a="1"/>
  <c r="AB331" i="8" s="1"/>
  <c r="AM320" i="8" a="1"/>
  <c r="AM320" i="8" s="1"/>
  <c r="AM309" i="8" a="1"/>
  <c r="AM309" i="8" s="1"/>
  <c r="AC318" i="8" a="1"/>
  <c r="AC318" i="8" s="1"/>
  <c r="R8" i="16" s="1"/>
  <c r="AB310" i="8" a="1"/>
  <c r="AB310" i="8" s="1"/>
  <c r="AF9" i="16" s="1"/>
  <c r="AH318" i="8" a="1"/>
  <c r="AH318" i="8" s="1"/>
  <c r="W8" i="16" s="1"/>
  <c r="AG320" i="8" a="1"/>
  <c r="AG320" i="8" s="1"/>
  <c r="V7" i="16" s="1"/>
  <c r="AE320" i="8" a="1"/>
  <c r="AE320" i="8" s="1"/>
  <c r="T7" i="16" s="1"/>
  <c r="AE318" i="8" a="1"/>
  <c r="AE318" i="8" s="1"/>
  <c r="T8" i="16" s="1"/>
  <c r="AE332" i="8" a="1"/>
  <c r="AE332" i="8" s="1"/>
  <c r="AN320" i="8" a="1"/>
  <c r="AN320" i="8" s="1"/>
  <c r="AG330" i="8" a="1"/>
  <c r="AG330" i="8" s="1"/>
  <c r="AB338" i="8" a="1"/>
  <c r="AB338" i="8" s="1"/>
  <c r="AL331" i="8" a="1"/>
  <c r="AL331" i="8" s="1"/>
  <c r="AM332" i="8" a="1"/>
  <c r="AM332" i="8" s="1"/>
  <c r="AG332" i="8" a="1"/>
  <c r="AG332" i="8" s="1"/>
  <c r="AL310" i="8" a="1"/>
  <c r="AL310" i="8" s="1"/>
  <c r="AL332" i="8" a="1"/>
  <c r="AL332" i="8" s="1"/>
  <c r="AI330" i="8" a="1"/>
  <c r="AI330" i="8" s="1"/>
  <c r="AH330" i="8" a="1"/>
  <c r="AH330" i="8" s="1"/>
  <c r="AL319" i="8" a="1"/>
  <c r="AL319" i="8" s="1"/>
  <c r="AM318" i="8" a="1"/>
  <c r="AM318" i="8" s="1"/>
  <c r="AD311" i="8" a="1"/>
  <c r="AD311" i="8" s="1"/>
  <c r="AH7" i="16" s="1"/>
  <c r="AG331" i="8" a="1"/>
  <c r="AG331" i="8" s="1"/>
  <c r="AD310" i="8" a="1"/>
  <c r="AD310" i="8" s="1"/>
  <c r="AH9" i="16" s="1"/>
  <c r="AL330" i="8" a="1"/>
  <c r="AL330" i="8" s="1"/>
  <c r="AM331" i="8" a="1"/>
  <c r="AM331" i="8" s="1"/>
  <c r="AF337" i="8" a="1"/>
  <c r="AF337" i="8" s="1"/>
  <c r="AK320" i="8" a="1"/>
  <c r="AK320" i="8" s="1"/>
  <c r="Z7" i="16" s="1"/>
  <c r="AF311" i="8" a="1"/>
  <c r="AF311" i="8" s="1"/>
  <c r="AJ7" i="16" s="1"/>
  <c r="AA338" i="8" a="1"/>
  <c r="AA338" i="8" s="1"/>
  <c r="AC332" i="8" a="1"/>
  <c r="AC332" i="8" s="1"/>
  <c r="AB330" i="8" a="1"/>
  <c r="AB330" i="8" s="1"/>
  <c r="AK331" i="8" a="1"/>
  <c r="AK331" i="8" s="1"/>
  <c r="AJ320" i="8" a="1"/>
  <c r="AJ320" i="8" s="1"/>
  <c r="Y7" i="16" s="1"/>
  <c r="Q310" i="8" a="1"/>
  <c r="Q310" i="8" s="1"/>
  <c r="U310" i="8" a="1"/>
  <c r="U310" i="8" s="1"/>
  <c r="Y310" i="8" a="1"/>
  <c r="Y310" i="8" s="1"/>
  <c r="AC9" i="16" s="1"/>
  <c r="O309" i="8" a="1"/>
  <c r="O309" i="8" s="1"/>
  <c r="T310" i="8" a="1"/>
  <c r="T310" i="8" s="1"/>
  <c r="Y309" i="8" a="1"/>
  <c r="Y309" i="8" s="1"/>
  <c r="AC8" i="16" s="1"/>
  <c r="W309" i="8" a="1"/>
  <c r="W309" i="8" s="1"/>
  <c r="R311" i="8" a="1"/>
  <c r="R311" i="8" s="1"/>
  <c r="P311" i="8" a="1"/>
  <c r="P311" i="8" s="1"/>
  <c r="Z311" i="8" a="1"/>
  <c r="Z311" i="8" s="1"/>
  <c r="AD7" i="16" s="1"/>
  <c r="Z310" i="8" a="1"/>
  <c r="Z310" i="8" s="1"/>
  <c r="AD9" i="16" s="1"/>
  <c r="X310" i="8" a="1"/>
  <c r="X310" i="8" s="1"/>
  <c r="V310" i="8" a="1"/>
  <c r="V310" i="8" s="1"/>
  <c r="Z309" i="8" a="1"/>
  <c r="Z309" i="8" s="1"/>
  <c r="AD8" i="16" s="1"/>
  <c r="R309" i="8" a="1"/>
  <c r="R309" i="8" s="1"/>
  <c r="P309" i="8" a="1"/>
  <c r="P309" i="8" s="1"/>
  <c r="T309" i="8" a="1"/>
  <c r="T309" i="8" s="1"/>
  <c r="X311" i="8" a="1"/>
  <c r="X311" i="8" s="1"/>
  <c r="V311" i="8" a="1"/>
  <c r="V311" i="8" s="1"/>
  <c r="T311" i="8" a="1"/>
  <c r="T311" i="8" s="1"/>
  <c r="R310" i="8" a="1"/>
  <c r="R310" i="8" s="1"/>
  <c r="P310" i="8" a="1"/>
  <c r="P310" i="8" s="1"/>
  <c r="S311" i="8" a="1"/>
  <c r="S311" i="8" s="1"/>
  <c r="X309" i="8" a="1"/>
  <c r="X309" i="8" s="1"/>
  <c r="V309" i="8" a="1"/>
  <c r="V309" i="8" s="1"/>
  <c r="S310" i="8" a="1"/>
  <c r="S310" i="8" s="1"/>
  <c r="W311" i="8" a="1"/>
  <c r="W311" i="8" s="1"/>
  <c r="U311" i="8" a="1"/>
  <c r="U311" i="8" s="1"/>
  <c r="S309" i="8" a="1"/>
  <c r="S309" i="8" s="1"/>
  <c r="W310" i="8" a="1"/>
  <c r="W310" i="8" s="1"/>
  <c r="O310" i="8" a="1"/>
  <c r="O310" i="8" s="1"/>
  <c r="O311" i="8" a="1"/>
  <c r="O311" i="8" s="1"/>
  <c r="Q309" i="8" a="1"/>
  <c r="Q309" i="8" s="1"/>
  <c r="U309" i="8" a="1"/>
  <c r="U309" i="8" s="1"/>
  <c r="Y311" i="8" a="1"/>
  <c r="Y311" i="8" s="1"/>
  <c r="AC7" i="16" s="1"/>
  <c r="Q311" i="8" a="1"/>
  <c r="Q311" i="8" s="1"/>
  <c r="O336" i="8" a="1"/>
  <c r="O336" i="8" s="1"/>
  <c r="S338" i="8" a="1"/>
  <c r="S338" i="8" s="1"/>
  <c r="S337" i="8" a="1"/>
  <c r="S337" i="8" s="1"/>
  <c r="Y337" i="8" a="1"/>
  <c r="Y337" i="8" s="1"/>
  <c r="Z336" i="8" a="1"/>
  <c r="Z336" i="8" s="1"/>
  <c r="T336" i="8" a="1"/>
  <c r="T336" i="8" s="1"/>
  <c r="Y338" i="8" a="1"/>
  <c r="Y338" i="8" s="1"/>
  <c r="Z332" i="8" a="1"/>
  <c r="Z332" i="8" s="1"/>
  <c r="T319" i="8" a="1"/>
  <c r="T319" i="8" s="1"/>
  <c r="Z320" i="8" a="1"/>
  <c r="Z320" i="8" s="1"/>
  <c r="O7" i="16" s="1"/>
  <c r="Q319" i="8" a="1"/>
  <c r="Q319" i="8" s="1"/>
  <c r="S318" i="8" a="1"/>
  <c r="S318" i="8" s="1"/>
  <c r="T318" i="8" a="1"/>
  <c r="T318" i="8" s="1"/>
  <c r="R320" i="8" a="1"/>
  <c r="R320" i="8" s="1"/>
  <c r="Q318" i="8" a="1"/>
  <c r="Q318" i="8" s="1"/>
  <c r="O320" i="8" a="1"/>
  <c r="O320" i="8" s="1"/>
  <c r="Q320" i="8" a="1"/>
  <c r="Q320" i="8" s="1"/>
  <c r="U320" i="8" a="1"/>
  <c r="U320" i="8" s="1"/>
  <c r="R319" i="8" a="1"/>
  <c r="R319" i="8" s="1"/>
  <c r="P320" i="8" a="1"/>
  <c r="P320" i="8" s="1"/>
  <c r="Z319" i="8" a="1"/>
  <c r="Z319" i="8" s="1"/>
  <c r="O9" i="16" s="1"/>
  <c r="R318" i="8" a="1"/>
  <c r="R318" i="8" s="1"/>
  <c r="P319" i="8" a="1"/>
  <c r="P319" i="8" s="1"/>
  <c r="Z318" i="8" a="1"/>
  <c r="Z318" i="8" s="1"/>
  <c r="O8" i="16" s="1"/>
  <c r="X320" i="8" a="1"/>
  <c r="X320" i="8" s="1"/>
  <c r="P318" i="8" a="1"/>
  <c r="P318" i="8" s="1"/>
  <c r="Y320" i="8" a="1"/>
  <c r="Y320" i="8" s="1"/>
  <c r="N7" i="16" s="1"/>
  <c r="X319" i="8" a="1"/>
  <c r="X319" i="8" s="1"/>
  <c r="V320" i="8" a="1"/>
  <c r="V320" i="8" s="1"/>
  <c r="Y319" i="8" a="1"/>
  <c r="Y319" i="8" s="1"/>
  <c r="N9" i="16" s="1"/>
  <c r="X318" i="8" a="1"/>
  <c r="X318" i="8" s="1"/>
  <c r="V319" i="8" a="1"/>
  <c r="V319" i="8" s="1"/>
  <c r="S336" i="8" a="1"/>
  <c r="S336" i="8" s="1"/>
  <c r="Y318" i="8" a="1"/>
  <c r="Y318" i="8" s="1"/>
  <c r="N8" i="16" s="1"/>
  <c r="W320" i="8" a="1"/>
  <c r="W320" i="8" s="1"/>
  <c r="V318" i="8" a="1"/>
  <c r="V318" i="8" s="1"/>
  <c r="T320" i="8" a="1"/>
  <c r="T320" i="8" s="1"/>
  <c r="W319" i="8" a="1"/>
  <c r="W319" i="8" s="1"/>
  <c r="O319" i="8" a="1"/>
  <c r="O319" i="8" s="1"/>
  <c r="S320" i="8" a="1"/>
  <c r="S320" i="8" s="1"/>
  <c r="W318" i="8" a="1"/>
  <c r="W318" i="8" s="1"/>
  <c r="U318" i="8" a="1"/>
  <c r="U318" i="8" s="1"/>
  <c r="S319" i="8" a="1"/>
  <c r="S319" i="8" s="1"/>
  <c r="U319" i="8" a="1"/>
  <c r="U319" i="8" s="1"/>
  <c r="O318" i="8" a="1"/>
  <c r="O318" i="8" s="1"/>
  <c r="Y331" i="8" a="1"/>
  <c r="Y331" i="8" s="1"/>
  <c r="Y330" i="8" a="1"/>
  <c r="Y330" i="8" s="1"/>
  <c r="Q330" i="8" a="1"/>
  <c r="Q330" i="8" s="1"/>
  <c r="Z331" i="8" a="1"/>
  <c r="Z331" i="8" s="1"/>
  <c r="T330" i="8" a="1"/>
  <c r="T330" i="8" s="1"/>
  <c r="X332" i="8" a="1"/>
  <c r="X332" i="8" s="1"/>
  <c r="V332" i="8" a="1"/>
  <c r="V332" i="8" s="1"/>
  <c r="W331" i="8" a="1"/>
  <c r="W331" i="8" s="1"/>
  <c r="U332" i="8" a="1"/>
  <c r="U332" i="8" s="1"/>
  <c r="X331" i="8" a="1"/>
  <c r="X331" i="8" s="1"/>
  <c r="V331" i="8" a="1"/>
  <c r="V331" i="8" s="1"/>
  <c r="T332" i="8" a="1"/>
  <c r="T332" i="8" s="1"/>
  <c r="R330" i="8" a="1"/>
  <c r="R330" i="8" s="1"/>
  <c r="P330" i="8" a="1"/>
  <c r="P330" i="8" s="1"/>
  <c r="T331" i="8" a="1"/>
  <c r="T331" i="8" s="1"/>
  <c r="R332" i="8" a="1"/>
  <c r="R332" i="8" s="1"/>
  <c r="P332" i="8" a="1"/>
  <c r="P332" i="8" s="1"/>
  <c r="Z330" i="8" a="1"/>
  <c r="Z330" i="8" s="1"/>
  <c r="R331" i="8" a="1"/>
  <c r="R331" i="8" s="1"/>
  <c r="P331" i="8" a="1"/>
  <c r="P331" i="8" s="1"/>
  <c r="O332" i="8" a="1"/>
  <c r="O332" i="8" s="1"/>
  <c r="X330" i="8" a="1"/>
  <c r="X330" i="8" s="1"/>
  <c r="V330" i="8" a="1"/>
  <c r="V330" i="8" s="1"/>
  <c r="S332" i="8" a="1"/>
  <c r="S332" i="8" s="1"/>
  <c r="Q332" i="8" a="1"/>
  <c r="Q332" i="8" s="1"/>
  <c r="U331" i="8" a="1"/>
  <c r="U331" i="8" s="1"/>
  <c r="S331" i="8" a="1"/>
  <c r="S331" i="8" s="1"/>
  <c r="Q331" i="8" a="1"/>
  <c r="Q331" i="8" s="1"/>
  <c r="O331" i="8" a="1"/>
  <c r="O331" i="8" s="1"/>
  <c r="S330" i="8" a="1"/>
  <c r="S330" i="8" s="1"/>
  <c r="W330" i="8" a="1"/>
  <c r="W330" i="8" s="1"/>
  <c r="U330" i="8" a="1"/>
  <c r="U330" i="8" s="1"/>
  <c r="Y336" i="8" a="1"/>
  <c r="Y336" i="8" s="1"/>
  <c r="Y332" i="8" a="1"/>
  <c r="Y332" i="8" s="1"/>
  <c r="W332" i="8" a="1"/>
  <c r="W332" i="8" s="1"/>
  <c r="O330" i="8" a="1"/>
  <c r="O330" i="8" s="1"/>
  <c r="U337" i="8" a="1"/>
  <c r="U337" i="8" s="1"/>
  <c r="R338" i="8" a="1"/>
  <c r="R338" i="8" s="1"/>
  <c r="W336" i="8" a="1"/>
  <c r="W336" i="8" s="1"/>
  <c r="U336" i="8" a="1"/>
  <c r="U336" i="8" s="1"/>
  <c r="X337" i="8" a="1"/>
  <c r="X337" i="8" s="1"/>
  <c r="Z338" i="8" a="1"/>
  <c r="Z338" i="8" s="1"/>
  <c r="T337" i="8" a="1"/>
  <c r="T337" i="8" s="1"/>
  <c r="R336" i="8" a="1"/>
  <c r="R336" i="8" s="1"/>
  <c r="P338" i="8" a="1"/>
  <c r="P338" i="8" s="1"/>
  <c r="T338" i="8" a="1"/>
  <c r="T338" i="8" s="1"/>
  <c r="P337" i="8" a="1"/>
  <c r="P337" i="8" s="1"/>
  <c r="X338" i="8" a="1"/>
  <c r="X338" i="8" s="1"/>
  <c r="P336" i="8" a="1"/>
  <c r="P336" i="8" s="1"/>
  <c r="R337" i="8" a="1"/>
  <c r="R337" i="8" s="1"/>
  <c r="V338" i="8" a="1"/>
  <c r="V338" i="8" s="1"/>
  <c r="X336" i="8" a="1"/>
  <c r="X336" i="8" s="1"/>
  <c r="V337" i="8" a="1"/>
  <c r="V337" i="8" s="1"/>
  <c r="Q338" i="8" a="1"/>
  <c r="Q338" i="8" s="1"/>
  <c r="V336" i="8" a="1"/>
  <c r="V336" i="8" s="1"/>
  <c r="Q337" i="8" a="1"/>
  <c r="Q337" i="8" s="1"/>
  <c r="U338" i="8" a="1"/>
  <c r="U338" i="8" s="1"/>
  <c r="Q336" i="8" a="1"/>
  <c r="Q336" i="8" s="1"/>
  <c r="O338" i="8" a="1"/>
  <c r="O338" i="8" s="1"/>
  <c r="W338" i="8" a="1"/>
  <c r="W338" i="8" s="1"/>
  <c r="O337" i="8" a="1"/>
  <c r="O337" i="8" s="1"/>
  <c r="Z337" i="8" a="1"/>
  <c r="Z337" i="8" s="1"/>
  <c r="W337" i="8" a="1"/>
  <c r="W337" i="8" s="1"/>
  <c r="B330" i="8" a="1"/>
  <c r="B330" i="8" s="1"/>
  <c r="N336" i="8" a="1"/>
  <c r="N336" i="8" s="1"/>
  <c r="D337" i="8" a="1"/>
  <c r="D337" i="8" s="1"/>
  <c r="L337" i="8" a="1"/>
  <c r="L337" i="8" s="1"/>
  <c r="J336" i="8" a="1"/>
  <c r="J336" i="8" s="1"/>
  <c r="N337" i="8" a="1"/>
  <c r="N337" i="8" s="1"/>
  <c r="K336" i="8" a="1"/>
  <c r="K336" i="8" s="1"/>
  <c r="M338" i="8" a="1"/>
  <c r="M338" i="8" s="1"/>
  <c r="H337" i="8" a="1"/>
  <c r="H337" i="8" s="1"/>
  <c r="L338" i="8" a="1"/>
  <c r="L338" i="8" s="1"/>
  <c r="K337" i="8" a="1"/>
  <c r="K337" i="8" s="1"/>
  <c r="L336" i="8" a="1"/>
  <c r="L336" i="8" s="1"/>
  <c r="H338" i="8" a="1"/>
  <c r="H338" i="8" s="1"/>
  <c r="J338" i="8" a="1"/>
  <c r="J338" i="8" s="1"/>
  <c r="J337" i="8" a="1"/>
  <c r="J337" i="8" s="1"/>
  <c r="G336" i="8" a="1"/>
  <c r="G336" i="8" s="1"/>
  <c r="I338" i="8" a="1"/>
  <c r="I338" i="8" s="1"/>
  <c r="M336" i="8" a="1"/>
  <c r="M336" i="8" s="1"/>
  <c r="F338" i="8" a="1"/>
  <c r="F338" i="8" s="1"/>
  <c r="I337" i="8" a="1"/>
  <c r="I337" i="8" s="1"/>
  <c r="H336" i="8" a="1"/>
  <c r="H336" i="8" s="1"/>
  <c r="C338" i="8" a="1"/>
  <c r="C338" i="8" s="1"/>
  <c r="K338" i="8" a="1"/>
  <c r="K338" i="8" s="1"/>
  <c r="F337" i="8" a="1"/>
  <c r="F337" i="8" s="1"/>
  <c r="N338" i="8" a="1"/>
  <c r="N338" i="8" s="1"/>
  <c r="E338" i="8" a="1"/>
  <c r="E338" i="8" s="1"/>
  <c r="I336" i="8" a="1"/>
  <c r="I336" i="8" s="1"/>
  <c r="D338" i="8" a="1"/>
  <c r="D338" i="8" s="1"/>
  <c r="G337" i="8" a="1"/>
  <c r="G337" i="8" s="1"/>
  <c r="F336" i="8" a="1"/>
  <c r="F336" i="8" s="1"/>
  <c r="G338" i="8" a="1"/>
  <c r="G338" i="8" s="1"/>
  <c r="E336" i="8" a="1"/>
  <c r="E336" i="8" s="1"/>
  <c r="M337" i="8" a="1"/>
  <c r="M337" i="8" s="1"/>
  <c r="E337" i="8" a="1"/>
  <c r="E337" i="8" s="1"/>
  <c r="D336" i="8" a="1"/>
  <c r="D336" i="8" s="1"/>
  <c r="C332" i="8" a="1"/>
  <c r="C332" i="8" s="1"/>
  <c r="C330" i="8" a="1"/>
  <c r="C330" i="8" s="1"/>
  <c r="C336" i="8" a="1"/>
  <c r="C336" i="8" s="1"/>
  <c r="C337" i="8" a="1"/>
  <c r="C337" i="8" s="1"/>
  <c r="J331" i="8" a="1"/>
  <c r="J331" i="8" s="1"/>
  <c r="I332" i="8" a="1"/>
  <c r="I332" i="8" s="1"/>
  <c r="N332" i="8" a="1"/>
  <c r="N332" i="8" s="1"/>
  <c r="L332" i="8" a="1"/>
  <c r="L332" i="8" s="1"/>
  <c r="G332" i="8" a="1"/>
  <c r="G332" i="8" s="1"/>
  <c r="H332" i="8" a="1"/>
  <c r="H332" i="8" s="1"/>
  <c r="J332" i="8" a="1"/>
  <c r="J332" i="8" s="1"/>
  <c r="K332" i="8" a="1"/>
  <c r="K332" i="8" s="1"/>
  <c r="F332" i="8" a="1"/>
  <c r="F332" i="8" s="1"/>
  <c r="M332" i="8" a="1"/>
  <c r="M332" i="8" s="1"/>
  <c r="E332" i="8" a="1"/>
  <c r="E332" i="8" s="1"/>
  <c r="D332" i="8" a="1"/>
  <c r="D332" i="8" s="1"/>
  <c r="N331" i="8" a="1"/>
  <c r="N331" i="8" s="1"/>
  <c r="H331" i="8" a="1"/>
  <c r="H331" i="8" s="1"/>
  <c r="G331" i="8" a="1"/>
  <c r="G331" i="8" s="1"/>
  <c r="K331" i="8" a="1"/>
  <c r="K331" i="8" s="1"/>
  <c r="E331" i="8" a="1"/>
  <c r="E331" i="8" s="1"/>
  <c r="L331" i="8" a="1"/>
  <c r="L331" i="8" s="1"/>
  <c r="F331" i="8" a="1"/>
  <c r="F331" i="8" s="1"/>
  <c r="M331" i="8" a="1"/>
  <c r="M331" i="8" s="1"/>
  <c r="D331" i="8" a="1"/>
  <c r="D331" i="8" s="1"/>
  <c r="C331" i="8" a="1"/>
  <c r="C331" i="8" s="1"/>
  <c r="G330" i="8" a="1"/>
  <c r="G330" i="8" s="1"/>
  <c r="E330" i="8" a="1"/>
  <c r="E330" i="8" s="1"/>
  <c r="J330" i="8" a="1"/>
  <c r="J330" i="8" s="1"/>
  <c r="L330" i="8" a="1"/>
  <c r="L330" i="8" s="1"/>
  <c r="N330" i="8" a="1"/>
  <c r="N330" i="8" s="1"/>
  <c r="F330" i="8" a="1"/>
  <c r="F330" i="8" s="1"/>
  <c r="M330" i="8" a="1"/>
  <c r="M330" i="8" s="1"/>
  <c r="H330" i="8" a="1"/>
  <c r="H330" i="8" s="1"/>
  <c r="K330" i="8" a="1"/>
  <c r="K330" i="8" s="1"/>
  <c r="I330" i="8" a="1"/>
  <c r="I330" i="8" s="1"/>
  <c r="D330" i="8" a="1"/>
  <c r="D330" i="8" s="1"/>
  <c r="N311" i="8" a="1"/>
  <c r="N311" i="8" s="1"/>
  <c r="J311" i="8" a="1"/>
  <c r="J311" i="8" s="1"/>
  <c r="M310" i="8" a="1"/>
  <c r="M310" i="8" s="1"/>
  <c r="N309" i="8" a="1"/>
  <c r="N309" i="8" s="1"/>
  <c r="K311" i="8" a="1"/>
  <c r="K311" i="8" s="1"/>
  <c r="H311" i="8" a="1"/>
  <c r="H311" i="8" s="1"/>
  <c r="D311" i="8" a="1"/>
  <c r="D311" i="8" s="1"/>
  <c r="C310" i="8" a="1"/>
  <c r="C310" i="8" s="1"/>
  <c r="M311" i="8" a="1"/>
  <c r="M311" i="8" s="1"/>
  <c r="E311" i="8" a="1"/>
  <c r="E311" i="8" s="1"/>
  <c r="B310" i="8" a="1"/>
  <c r="B310" i="8" s="1"/>
  <c r="J310" i="8" a="1"/>
  <c r="J310" i="8" s="1"/>
  <c r="I309" i="8" a="1"/>
  <c r="I309" i="8" s="1"/>
  <c r="F311" i="8" a="1"/>
  <c r="F311" i="8" s="1"/>
  <c r="J309" i="8" a="1"/>
  <c r="J309" i="8" s="1"/>
  <c r="N310" i="8" a="1"/>
  <c r="N310" i="8" s="1"/>
  <c r="K309" i="8" a="1"/>
  <c r="K309" i="8" s="1"/>
  <c r="H310" i="8" a="1"/>
  <c r="H310" i="8" s="1"/>
  <c r="E309" i="8" a="1"/>
  <c r="E309" i="8" s="1"/>
  <c r="B311" i="8" a="1"/>
  <c r="B311" i="8" s="1"/>
  <c r="F309" i="8" a="1"/>
  <c r="F309" i="8" s="1"/>
  <c r="I310" i="8" a="1"/>
  <c r="I310" i="8" s="1"/>
  <c r="L309" i="8" a="1"/>
  <c r="L309" i="8" s="1"/>
  <c r="I311" i="8" a="1"/>
  <c r="I311" i="8" s="1"/>
  <c r="L310" i="8" a="1"/>
  <c r="L310" i="8" s="1"/>
  <c r="G309" i="8" a="1"/>
  <c r="G309" i="8" s="1"/>
  <c r="D310" i="8" a="1"/>
  <c r="D310" i="8" s="1"/>
  <c r="C309" i="8" a="1"/>
  <c r="C309" i="8" s="1"/>
  <c r="K310" i="8" a="1"/>
  <c r="K310" i="8" s="1"/>
  <c r="D309" i="8" a="1"/>
  <c r="D309" i="8" s="1"/>
  <c r="E310" i="8" a="1"/>
  <c r="E310" i="8" s="1"/>
  <c r="H309" i="8" a="1"/>
  <c r="H309" i="8" s="1"/>
  <c r="G311" i="8" a="1"/>
  <c r="G311" i="8" s="1"/>
  <c r="F310" i="8" a="1"/>
  <c r="F310" i="8" s="1"/>
  <c r="C311" i="8" a="1"/>
  <c r="C311" i="8" s="1"/>
  <c r="M309" i="8" a="1"/>
  <c r="M309" i="8" s="1"/>
  <c r="L311" i="8" a="1"/>
  <c r="L311" i="8" s="1"/>
  <c r="G310" i="8" a="1"/>
  <c r="G310" i="8" s="1"/>
  <c r="B309" i="8" a="1"/>
  <c r="B309" i="8" s="1"/>
  <c r="B320" i="8" a="1"/>
  <c r="B320" i="8" s="1"/>
  <c r="N318" i="8" a="1"/>
  <c r="N318" i="8" s="1"/>
  <c r="G319" i="8" a="1"/>
  <c r="G319" i="8" s="1"/>
  <c r="D318" i="8" a="1"/>
  <c r="D318" i="8" s="1"/>
  <c r="M320" i="8" a="1"/>
  <c r="M320" i="8" s="1"/>
  <c r="H319" i="8" a="1"/>
  <c r="H319" i="8" s="1"/>
  <c r="E318" i="8" a="1"/>
  <c r="E318" i="8" s="1"/>
  <c r="I320" i="8" a="1"/>
  <c r="I320" i="8" s="1"/>
  <c r="F319" i="8" a="1"/>
  <c r="F319" i="8" s="1"/>
  <c r="C318" i="8" a="1"/>
  <c r="C318" i="8" s="1"/>
  <c r="L318" i="8" a="1"/>
  <c r="L318" i="8" s="1"/>
  <c r="L320" i="8" a="1"/>
  <c r="L320" i="8" s="1"/>
  <c r="C319" i="8" a="1"/>
  <c r="C319" i="8" s="1"/>
  <c r="N320" i="8" a="1"/>
  <c r="N320" i="8" s="1"/>
  <c r="G320" i="8" a="1"/>
  <c r="G320" i="8" s="1"/>
  <c r="D319" i="8" a="1"/>
  <c r="D319" i="8" s="1"/>
  <c r="J320" i="8" a="1"/>
  <c r="J320" i="8" s="1"/>
  <c r="E320" i="8" a="1"/>
  <c r="E320" i="8" s="1"/>
  <c r="B319" i="8" a="1"/>
  <c r="B319" i="8" s="1"/>
  <c r="K319" i="8" a="1"/>
  <c r="K319" i="8" s="1"/>
  <c r="J318" i="8" a="1"/>
  <c r="J318" i="8" s="1"/>
  <c r="H320" i="8" a="1"/>
  <c r="H320" i="8" s="1"/>
  <c r="C320" i="8" a="1"/>
  <c r="C320" i="8" s="1"/>
  <c r="M318" i="8" a="1"/>
  <c r="M318" i="8" s="1"/>
  <c r="F320" i="8" a="1"/>
  <c r="F320" i="8" s="1"/>
  <c r="N319" i="8" a="1"/>
  <c r="N319" i="8" s="1"/>
  <c r="K318" i="8" a="1"/>
  <c r="K318" i="8" s="1"/>
  <c r="I319" i="8" a="1"/>
  <c r="I319" i="8" s="1"/>
  <c r="F318" i="8" a="1"/>
  <c r="F318" i="8" s="1"/>
  <c r="M319" i="8" a="1"/>
  <c r="M319" i="8" s="1"/>
  <c r="H318" i="8" a="1"/>
  <c r="H318" i="8" s="1"/>
  <c r="D320" i="8" a="1"/>
  <c r="D320" i="8" s="1"/>
  <c r="L319" i="8" a="1"/>
  <c r="L319" i="8" s="1"/>
  <c r="I318" i="8" a="1"/>
  <c r="I318" i="8" s="1"/>
  <c r="K320" i="8" a="1"/>
  <c r="K320" i="8" s="1"/>
  <c r="J319" i="8" a="1"/>
  <c r="J319" i="8" s="1"/>
  <c r="G318" i="8" a="1"/>
  <c r="G318" i="8" s="1"/>
  <c r="E319" i="8" a="1"/>
  <c r="E319" i="8" s="1"/>
  <c r="B318" i="8" a="1"/>
  <c r="B318" i="8" s="1"/>
  <c r="W339" i="6"/>
  <c r="AK339" i="8" l="1"/>
  <c r="AO338" i="8"/>
  <c r="AO309" i="8"/>
  <c r="D17" i="16" s="1"/>
  <c r="AO310" i="8"/>
  <c r="AO311" i="8"/>
  <c r="AO337" i="8"/>
  <c r="AO336" i="8"/>
  <c r="AO332" i="8"/>
  <c r="AO331" i="8"/>
  <c r="AO330" i="8"/>
  <c r="AO319" i="8"/>
  <c r="AO320" i="8"/>
  <c r="AO318" i="8"/>
  <c r="AI333" i="8"/>
  <c r="AA333" i="8"/>
  <c r="AK312" i="8"/>
  <c r="AF321" i="8"/>
  <c r="AN339" i="8"/>
  <c r="AJ312" i="8"/>
  <c r="AH333" i="8"/>
  <c r="AI321" i="8"/>
  <c r="AD339" i="8"/>
  <c r="AM312" i="8"/>
  <c r="AL312" i="8"/>
  <c r="AJ339" i="8"/>
  <c r="AM339" i="8"/>
  <c r="AB321" i="8"/>
  <c r="AE333" i="8"/>
  <c r="AA339" i="8"/>
  <c r="AH312" i="8"/>
  <c r="AD333" i="8"/>
  <c r="AC312" i="8"/>
  <c r="AD321" i="8"/>
  <c r="AL339" i="8"/>
  <c r="AK333" i="8"/>
  <c r="AJ333" i="8"/>
  <c r="AN333" i="8"/>
  <c r="AH321" i="8"/>
  <c r="AH339" i="8"/>
  <c r="AA321" i="8"/>
  <c r="AL321" i="8"/>
  <c r="AG312" i="8"/>
  <c r="AE339" i="8"/>
  <c r="AI312" i="8"/>
  <c r="AL333" i="8"/>
  <c r="AM321" i="8"/>
  <c r="AG333" i="8"/>
  <c r="AF339" i="8"/>
  <c r="AE312" i="8"/>
  <c r="AC333" i="8"/>
  <c r="AC339" i="8"/>
  <c r="AK321" i="8"/>
  <c r="AE321" i="8"/>
  <c r="AC321" i="8"/>
  <c r="AF312" i="8"/>
  <c r="AM333" i="8"/>
  <c r="AD312" i="8"/>
  <c r="AJ321" i="8"/>
  <c r="AB333" i="8"/>
  <c r="AN321" i="8"/>
  <c r="AG321" i="8"/>
  <c r="AI339" i="8"/>
  <c r="AG339" i="8"/>
  <c r="AN312" i="8"/>
  <c r="AF333" i="8"/>
  <c r="AB339" i="8"/>
  <c r="AB312" i="8"/>
  <c r="AA312" i="8"/>
  <c r="Z312" i="8"/>
  <c r="AL325" i="8" a="1"/>
  <c r="AL325" i="8" s="1"/>
  <c r="AH326" i="8" a="1"/>
  <c r="AH326" i="8" s="1"/>
  <c r="W29" i="16" s="1"/>
  <c r="AG324" i="8" a="1"/>
  <c r="AG324" i="8" s="1"/>
  <c r="V30" i="16" s="1"/>
  <c r="AL324" i="8" a="1"/>
  <c r="AL324" i="8" s="1"/>
  <c r="AH325" i="8" a="1"/>
  <c r="AH325" i="8" s="1"/>
  <c r="W31" i="16" s="1"/>
  <c r="AJ326" i="8" a="1"/>
  <c r="AJ326" i="8" s="1"/>
  <c r="Y29" i="16" s="1"/>
  <c r="AA326" i="8" a="1"/>
  <c r="AA326" i="8" s="1"/>
  <c r="P29" i="16" s="1"/>
  <c r="AE324" i="8" a="1"/>
  <c r="AE324" i="8" s="1"/>
  <c r="T30" i="16" s="1"/>
  <c r="AE325" i="8" a="1"/>
  <c r="AE325" i="8" s="1"/>
  <c r="T31" i="16" s="1"/>
  <c r="AM326" i="8" a="1"/>
  <c r="AM326" i="8" s="1"/>
  <c r="AN326" i="8" a="1"/>
  <c r="AN326" i="8" s="1"/>
  <c r="AC325" i="8" a="1"/>
  <c r="AC325" i="8" s="1"/>
  <c r="R31" i="16" s="1"/>
  <c r="AN325" i="8" a="1"/>
  <c r="AN325" i="8" s="1"/>
  <c r="AM325" i="8" a="1"/>
  <c r="AM325" i="8" s="1"/>
  <c r="AI326" i="8" a="1"/>
  <c r="AI326" i="8" s="1"/>
  <c r="X29" i="16" s="1"/>
  <c r="AF326" i="8" a="1"/>
  <c r="AF326" i="8" s="1"/>
  <c r="U29" i="16" s="1"/>
  <c r="AB325" i="8" a="1"/>
  <c r="AB325" i="8" s="1"/>
  <c r="Q31" i="16" s="1"/>
  <c r="AD326" i="8" a="1"/>
  <c r="AD326" i="8" s="1"/>
  <c r="S29" i="16" s="1"/>
  <c r="AB326" i="8" a="1"/>
  <c r="AB326" i="8" s="1"/>
  <c r="Q29" i="16" s="1"/>
  <c r="AF324" i="8" a="1"/>
  <c r="AF324" i="8" s="1"/>
  <c r="U30" i="16" s="1"/>
  <c r="AC326" i="8" a="1"/>
  <c r="AC326" i="8" s="1"/>
  <c r="R29" i="16" s="1"/>
  <c r="AI325" i="8" a="1"/>
  <c r="AI325" i="8" s="1"/>
  <c r="X31" i="16" s="1"/>
  <c r="AK325" i="8" a="1"/>
  <c r="AK325" i="8" s="1"/>
  <c r="Z31" i="16" s="1"/>
  <c r="AL326" i="8" a="1"/>
  <c r="AL326" i="8" s="1"/>
  <c r="AD324" i="8" a="1"/>
  <c r="AD324" i="8" s="1"/>
  <c r="S30" i="16" s="1"/>
  <c r="AD325" i="8" a="1"/>
  <c r="AD325" i="8" s="1"/>
  <c r="S31" i="16" s="1"/>
  <c r="AJ324" i="8" a="1"/>
  <c r="AJ324" i="8" s="1"/>
  <c r="Y30" i="16" s="1"/>
  <c r="AG326" i="8" a="1"/>
  <c r="AG326" i="8" s="1"/>
  <c r="V29" i="16" s="1"/>
  <c r="AE326" i="8" a="1"/>
  <c r="AE326" i="8" s="1"/>
  <c r="T29" i="16" s="1"/>
  <c r="AG325" i="8" a="1"/>
  <c r="AG325" i="8" s="1"/>
  <c r="V31" i="16" s="1"/>
  <c r="AF325" i="8" a="1"/>
  <c r="AF325" i="8" s="1"/>
  <c r="U31" i="16" s="1"/>
  <c r="AB324" i="8" a="1"/>
  <c r="AB324" i="8" s="1"/>
  <c r="Q30" i="16" s="1"/>
  <c r="AN324" i="8" a="1"/>
  <c r="AN324" i="8" s="1"/>
  <c r="AJ325" i="8" a="1"/>
  <c r="AJ325" i="8" s="1"/>
  <c r="Y31" i="16" s="1"/>
  <c r="AK324" i="8" a="1"/>
  <c r="AK324" i="8" s="1"/>
  <c r="Z30" i="16" s="1"/>
  <c r="AI324" i="8" a="1"/>
  <c r="AI324" i="8" s="1"/>
  <c r="X30" i="16" s="1"/>
  <c r="AA325" i="8" a="1"/>
  <c r="AA325" i="8" s="1"/>
  <c r="P31" i="16" s="1"/>
  <c r="AC324" i="8" a="1"/>
  <c r="AC324" i="8" s="1"/>
  <c r="R30" i="16" s="1"/>
  <c r="AK326" i="8" a="1"/>
  <c r="AK326" i="8" s="1"/>
  <c r="Z29" i="16" s="1"/>
  <c r="AH324" i="8" a="1"/>
  <c r="AH324" i="8" s="1"/>
  <c r="W30" i="16" s="1"/>
  <c r="AM324" i="8" a="1"/>
  <c r="AM324" i="8" s="1"/>
  <c r="AA324" i="8" a="1"/>
  <c r="AA324" i="8" s="1"/>
  <c r="P30" i="16" s="1"/>
  <c r="S339" i="8"/>
  <c r="Y339" i="8"/>
  <c r="O312" i="8"/>
  <c r="O315" i="8" s="1"/>
  <c r="U312" i="8"/>
  <c r="R312" i="8"/>
  <c r="V312" i="8"/>
  <c r="X312" i="8"/>
  <c r="Q312" i="8"/>
  <c r="W312" i="8"/>
  <c r="Y312" i="8"/>
  <c r="S312" i="8"/>
  <c r="T312" i="8"/>
  <c r="P312" i="8"/>
  <c r="Q325" i="8" a="1"/>
  <c r="Q325" i="8" s="1"/>
  <c r="Z324" i="8" a="1"/>
  <c r="Z324" i="8" s="1"/>
  <c r="O30" i="16" s="1"/>
  <c r="T324" i="8" a="1"/>
  <c r="T324" i="8" s="1"/>
  <c r="X326" i="8" a="1"/>
  <c r="X326" i="8" s="1"/>
  <c r="R326" i="8" a="1"/>
  <c r="R326" i="8" s="1"/>
  <c r="V326" i="8" a="1"/>
  <c r="V326" i="8" s="1"/>
  <c r="W325" i="8" a="1"/>
  <c r="W325" i="8" s="1"/>
  <c r="P326" i="8" a="1"/>
  <c r="P326" i="8" s="1"/>
  <c r="Y324" i="8" a="1"/>
  <c r="Y324" i="8" s="1"/>
  <c r="N30" i="16" s="1"/>
  <c r="O325" i="8" a="1"/>
  <c r="O325" i="8" s="1"/>
  <c r="T325" i="8" a="1"/>
  <c r="T325" i="8" s="1"/>
  <c r="O326" i="8" a="1"/>
  <c r="O326" i="8" s="1"/>
  <c r="U326" i="8" a="1"/>
  <c r="U326" i="8" s="1"/>
  <c r="Z326" i="8" a="1"/>
  <c r="Z326" i="8" s="1"/>
  <c r="O29" i="16" s="1"/>
  <c r="R325" i="8" a="1"/>
  <c r="R325" i="8" s="1"/>
  <c r="W324" i="8" a="1"/>
  <c r="W324" i="8" s="1"/>
  <c r="Q326" i="8" a="1"/>
  <c r="Q326" i="8" s="1"/>
  <c r="X325" i="8" a="1"/>
  <c r="X325" i="8" s="1"/>
  <c r="V325" i="8" a="1"/>
  <c r="V325" i="8" s="1"/>
  <c r="U324" i="8" a="1"/>
  <c r="U324" i="8" s="1"/>
  <c r="S326" i="8" a="1"/>
  <c r="S326" i="8" s="1"/>
  <c r="P325" i="8" a="1"/>
  <c r="P325" i="8" s="1"/>
  <c r="Y326" i="8" a="1"/>
  <c r="Y326" i="8" s="1"/>
  <c r="N29" i="16" s="1"/>
  <c r="Z325" i="8" a="1"/>
  <c r="Z325" i="8" s="1"/>
  <c r="O31" i="16" s="1"/>
  <c r="X324" i="8" a="1"/>
  <c r="X324" i="8" s="1"/>
  <c r="S324" i="8" a="1"/>
  <c r="S324" i="8" s="1"/>
  <c r="R324" i="8" a="1"/>
  <c r="R324" i="8" s="1"/>
  <c r="P324" i="8" a="1"/>
  <c r="P324" i="8" s="1"/>
  <c r="O324" i="8" a="1"/>
  <c r="O324" i="8" s="1"/>
  <c r="U325" i="8" a="1"/>
  <c r="U325" i="8" s="1"/>
  <c r="V324" i="8" a="1"/>
  <c r="V324" i="8" s="1"/>
  <c r="S325" i="8" a="1"/>
  <c r="S325" i="8" s="1"/>
  <c r="T326" i="8" a="1"/>
  <c r="T326" i="8" s="1"/>
  <c r="Y325" i="8" a="1"/>
  <c r="Y325" i="8" s="1"/>
  <c r="N31" i="16" s="1"/>
  <c r="Q324" i="8" a="1"/>
  <c r="Q324" i="8" s="1"/>
  <c r="W326" i="8" a="1"/>
  <c r="W326" i="8" s="1"/>
  <c r="Z333" i="8"/>
  <c r="V333" i="8"/>
  <c r="X333" i="8"/>
  <c r="P321" i="8"/>
  <c r="Z339" i="8"/>
  <c r="V321" i="8"/>
  <c r="R321" i="8"/>
  <c r="O321" i="8"/>
  <c r="Q321" i="8"/>
  <c r="X339" i="8"/>
  <c r="U321" i="8"/>
  <c r="V339" i="8"/>
  <c r="Z321" i="8"/>
  <c r="X321" i="8"/>
  <c r="U333" i="8"/>
  <c r="W321" i="8"/>
  <c r="T339" i="8"/>
  <c r="W333" i="8"/>
  <c r="T321" i="8"/>
  <c r="O339" i="8"/>
  <c r="S321" i="8"/>
  <c r="P339" i="8"/>
  <c r="Y321" i="8"/>
  <c r="O333" i="8"/>
  <c r="R339" i="8"/>
  <c r="U339" i="8"/>
  <c r="S333" i="8"/>
  <c r="W339" i="8"/>
  <c r="T333" i="8"/>
  <c r="Q339" i="8"/>
  <c r="Q333" i="8"/>
  <c r="P333" i="8"/>
  <c r="Y333" i="8"/>
  <c r="R333" i="8"/>
  <c r="H339" i="8"/>
  <c r="F321" i="8"/>
  <c r="K333" i="8"/>
  <c r="C324" i="8" a="1"/>
  <c r="C324" i="8" s="1"/>
  <c r="I333" i="8"/>
  <c r="L333" i="8"/>
  <c r="D333" i="8"/>
  <c r="H333" i="8"/>
  <c r="E333" i="8"/>
  <c r="E339" i="8"/>
  <c r="L339" i="8"/>
  <c r="N339" i="8"/>
  <c r="G339" i="8"/>
  <c r="J339" i="8"/>
  <c r="D339" i="8"/>
  <c r="I339" i="8"/>
  <c r="K339" i="8"/>
  <c r="F339" i="8"/>
  <c r="M339" i="8"/>
  <c r="C339" i="8"/>
  <c r="N333" i="8"/>
  <c r="G333" i="8"/>
  <c r="M333" i="8"/>
  <c r="J333" i="8"/>
  <c r="C333" i="8"/>
  <c r="F333" i="8"/>
  <c r="G321" i="8"/>
  <c r="H312" i="8"/>
  <c r="H315" i="8" s="1"/>
  <c r="B312" i="8"/>
  <c r="B321" i="8"/>
  <c r="M312" i="8"/>
  <c r="H324" i="8" a="1"/>
  <c r="H324" i="8" s="1"/>
  <c r="L325" i="8" a="1"/>
  <c r="L325" i="8" s="1"/>
  <c r="D325" i="8" a="1"/>
  <c r="D325" i="8" s="1"/>
  <c r="K325" i="8" a="1"/>
  <c r="K325" i="8" s="1"/>
  <c r="B326" i="8" a="1"/>
  <c r="B326" i="8" s="1"/>
  <c r="E324" i="8" a="1"/>
  <c r="E324" i="8" s="1"/>
  <c r="K324" i="8" a="1"/>
  <c r="K324" i="8" s="1"/>
  <c r="L324" i="8" a="1"/>
  <c r="L324" i="8" s="1"/>
  <c r="C326" i="8" a="1"/>
  <c r="C326" i="8" s="1"/>
  <c r="K326" i="8" a="1"/>
  <c r="K326" i="8" s="1"/>
  <c r="H326" i="8" a="1"/>
  <c r="H326" i="8" s="1"/>
  <c r="I326" i="8" a="1"/>
  <c r="I326" i="8" s="1"/>
  <c r="J324" i="8" a="1"/>
  <c r="J324" i="8" s="1"/>
  <c r="F324" i="8" a="1"/>
  <c r="F324" i="8" s="1"/>
  <c r="J325" i="8" a="1"/>
  <c r="J325" i="8" s="1"/>
  <c r="E326" i="8" a="1"/>
  <c r="E326" i="8" s="1"/>
  <c r="L326" i="8" a="1"/>
  <c r="L326" i="8" s="1"/>
  <c r="I324" i="8" a="1"/>
  <c r="I324" i="8" s="1"/>
  <c r="J326" i="8" a="1"/>
  <c r="J326" i="8" s="1"/>
  <c r="G325" i="8" a="1"/>
  <c r="G325" i="8" s="1"/>
  <c r="N324" i="8" a="1"/>
  <c r="N324" i="8" s="1"/>
  <c r="I325" i="8" a="1"/>
  <c r="I325" i="8" s="1"/>
  <c r="M326" i="8" a="1"/>
  <c r="M326" i="8" s="1"/>
  <c r="G326" i="8" a="1"/>
  <c r="G326" i="8" s="1"/>
  <c r="B325" i="8" a="1"/>
  <c r="B325" i="8" s="1"/>
  <c r="M324" i="8" a="1"/>
  <c r="M324" i="8" s="1"/>
  <c r="H325" i="8" a="1"/>
  <c r="H325" i="8" s="1"/>
  <c r="N325" i="8" a="1"/>
  <c r="N325" i="8" s="1"/>
  <c r="F325" i="8" a="1"/>
  <c r="F325" i="8" s="1"/>
  <c r="B324" i="8" a="1"/>
  <c r="B324" i="8" s="1"/>
  <c r="D326" i="8" a="1"/>
  <c r="D326" i="8" s="1"/>
  <c r="G324" i="8" a="1"/>
  <c r="G324" i="8" s="1"/>
  <c r="N326" i="8" a="1"/>
  <c r="N326" i="8" s="1"/>
  <c r="E325" i="8" a="1"/>
  <c r="E325" i="8" s="1"/>
  <c r="M325" i="8" a="1"/>
  <c r="M325" i="8" s="1"/>
  <c r="C325" i="8" a="1"/>
  <c r="C325" i="8" s="1"/>
  <c r="F326" i="8" a="1"/>
  <c r="F326" i="8" s="1"/>
  <c r="D324" i="8" a="1"/>
  <c r="D324" i="8" s="1"/>
  <c r="N312" i="8"/>
  <c r="N315" i="8" s="1"/>
  <c r="D312" i="8"/>
  <c r="D315" i="8" s="1"/>
  <c r="I321" i="8"/>
  <c r="C321" i="8"/>
  <c r="I312" i="8"/>
  <c r="I315" i="8" s="1"/>
  <c r="J321" i="8"/>
  <c r="C312" i="8"/>
  <c r="H321" i="8"/>
  <c r="K321" i="8"/>
  <c r="L321" i="8"/>
  <c r="E321" i="8"/>
  <c r="G312" i="8"/>
  <c r="G315" i="8" s="1"/>
  <c r="N321" i="8"/>
  <c r="F312" i="8"/>
  <c r="F315" i="8" s="1"/>
  <c r="K312" i="8"/>
  <c r="K315" i="8" s="1"/>
  <c r="M321" i="8"/>
  <c r="D321" i="8"/>
  <c r="L312" i="8"/>
  <c r="L315" i="8" s="1"/>
  <c r="E312" i="8"/>
  <c r="E315" i="8" s="1"/>
  <c r="J312" i="8"/>
  <c r="J315" i="8" s="1"/>
  <c r="Q10" i="16" l="1"/>
  <c r="AC12" i="16"/>
  <c r="AO312" i="8"/>
  <c r="AO339" i="8"/>
  <c r="D19" i="16" s="1"/>
  <c r="AO333" i="8"/>
  <c r="AO321" i="8"/>
  <c r="AH327" i="8"/>
  <c r="AM327" i="8"/>
  <c r="AI327" i="8"/>
  <c r="AN327" i="8"/>
  <c r="AK327" i="8"/>
  <c r="AA327" i="8"/>
  <c r="AD327" i="8"/>
  <c r="AB327" i="8"/>
  <c r="AF327" i="8"/>
  <c r="AE327" i="8"/>
  <c r="AL327" i="8"/>
  <c r="AJ327" i="8"/>
  <c r="AG327" i="8"/>
  <c r="AC327" i="8"/>
  <c r="P315" i="8"/>
  <c r="T315" i="8"/>
  <c r="S315" i="8"/>
  <c r="Y315" i="8"/>
  <c r="W315" i="8"/>
  <c r="Q315" i="8"/>
  <c r="X315" i="8"/>
  <c r="V315" i="8"/>
  <c r="Z315" i="8"/>
  <c r="AD11" i="16" s="1"/>
  <c r="R315" i="8"/>
  <c r="U315" i="8"/>
  <c r="M315" i="8"/>
  <c r="V327" i="8"/>
  <c r="Q327" i="8"/>
  <c r="R327" i="8"/>
  <c r="X327" i="8"/>
  <c r="P327" i="8"/>
  <c r="Y327" i="8"/>
  <c r="U327" i="8"/>
  <c r="O327" i="8"/>
  <c r="W327" i="8"/>
  <c r="T327" i="8"/>
  <c r="S327" i="8"/>
  <c r="Z327" i="8"/>
  <c r="G327" i="8"/>
  <c r="H327" i="8"/>
  <c r="C315" i="8"/>
  <c r="B315" i="8"/>
  <c r="B327" i="8"/>
  <c r="D327" i="8"/>
  <c r="C327" i="8"/>
  <c r="M327" i="8"/>
  <c r="I327" i="8"/>
  <c r="F327" i="8"/>
  <c r="K327" i="8"/>
  <c r="N327" i="8"/>
  <c r="J327" i="8"/>
  <c r="E327" i="8"/>
  <c r="L327" i="8"/>
  <c r="V10" i="16"/>
  <c r="AN12" i="16"/>
  <c r="AO12" i="16"/>
  <c r="AI12" i="16"/>
  <c r="AF12" i="16"/>
  <c r="AJ12" i="16"/>
  <c r="P10" i="16"/>
  <c r="AD12" i="16"/>
  <c r="O10" i="16"/>
  <c r="AL12" i="16"/>
  <c r="T10" i="16"/>
  <c r="AM12" i="16"/>
  <c r="S10" i="16"/>
  <c r="AE12" i="16"/>
  <c r="AG12" i="16"/>
  <c r="U10" i="16"/>
  <c r="R10" i="16"/>
  <c r="AK12" i="16"/>
  <c r="AH12" i="16"/>
  <c r="N10" i="16"/>
  <c r="AC11" i="16" l="1"/>
  <c r="Z32" i="16"/>
  <c r="W10" i="16"/>
  <c r="Y10" i="16"/>
  <c r="X10" i="16"/>
  <c r="Z10" i="16"/>
  <c r="U32" i="16"/>
  <c r="R32" i="16"/>
  <c r="O32" i="16"/>
  <c r="Q32" i="16"/>
  <c r="X32" i="16"/>
  <c r="W32" i="16"/>
  <c r="Y32" i="16"/>
  <c r="P32" i="16"/>
  <c r="T32" i="16"/>
  <c r="V32" i="16"/>
  <c r="S32" i="16"/>
  <c r="N32" i="16"/>
  <c r="AB23" i="8" l="1"/>
  <c r="B8" i="16"/>
  <c r="AF22" i="8" l="1"/>
  <c r="AG22" i="8"/>
  <c r="AD22" i="8"/>
  <c r="AE22" i="8"/>
  <c r="AB22" i="8"/>
  <c r="AC22" i="8"/>
  <c r="AB11" i="8"/>
  <c r="AK29" i="8" s="1"/>
  <c r="B199" i="16" s="1"/>
  <c r="AO6" i="8"/>
  <c r="D7" i="16" s="1"/>
  <c r="D12" i="16" s="1"/>
  <c r="B7" i="16"/>
  <c r="AI29" i="8" l="1"/>
  <c r="AJ29" i="8"/>
  <c r="AG29" i="8"/>
  <c r="AH29" i="8"/>
  <c r="AE29" i="8"/>
  <c r="AF29" i="8"/>
  <c r="AO22" i="8"/>
  <c r="AC29" i="8"/>
  <c r="AD29" i="8"/>
  <c r="AG34" i="8"/>
  <c r="AO11" i="8"/>
  <c r="AB25" i="8"/>
  <c r="B10" i="16"/>
  <c r="AE34" i="8" l="1"/>
  <c r="AF34" i="8"/>
  <c r="AO29" i="8"/>
  <c r="AC34" i="8"/>
  <c r="AD34" i="8"/>
  <c r="AB18" i="8"/>
  <c r="AK35" i="8" s="1"/>
  <c r="AO17" i="8"/>
  <c r="AB27" i="8"/>
  <c r="AH35" i="8" l="1"/>
  <c r="AJ35" i="8"/>
  <c r="AI35" i="8"/>
  <c r="AF35" i="8"/>
  <c r="AG35" i="8"/>
  <c r="AO34" i="8"/>
  <c r="AD35" i="8"/>
  <c r="AE35" i="8"/>
  <c r="AO18" i="8"/>
  <c r="AC35" i="8"/>
  <c r="B12" i="16"/>
  <c r="AB29" i="8"/>
  <c r="AO35" i="8" l="1"/>
  <c r="B13" i="16"/>
  <c r="AB30" i="8"/>
  <c r="AB31" i="8" l="1"/>
  <c r="AB75" i="8" l="1"/>
  <c r="AB32" i="8"/>
  <c r="B202" i="16" s="1"/>
  <c r="AB261" i="8"/>
  <c r="AK262" i="8" s="1"/>
  <c r="AH262" i="8" l="1"/>
  <c r="AJ262" i="8"/>
  <c r="AI262" i="8"/>
  <c r="AF262" i="8"/>
  <c r="AG262" i="8"/>
  <c r="AD262" i="8"/>
  <c r="AE262" i="8"/>
  <c r="AB262" i="8"/>
  <c r="AC262" i="8"/>
  <c r="AB33" i="8"/>
  <c r="AB34" i="8" l="1"/>
  <c r="AB35" i="8"/>
  <c r="AF273" i="8"/>
  <c r="AF269" i="8"/>
  <c r="I288" i="8"/>
  <c r="I284" i="8"/>
  <c r="I280" i="8"/>
  <c r="I276" i="8"/>
  <c r="B277" i="8"/>
  <c r="B273" i="8"/>
  <c r="H273" i="8"/>
  <c r="H269" i="8"/>
  <c r="V281" i="8"/>
  <c r="V273" i="8"/>
  <c r="V269" i="8"/>
  <c r="AI281" i="8"/>
  <c r="AI277" i="8"/>
  <c r="AI273" i="8"/>
  <c r="E291" i="8"/>
  <c r="E287" i="8"/>
  <c r="E283" i="8"/>
  <c r="M278" i="8"/>
  <c r="B286" i="8"/>
  <c r="B282" i="8"/>
  <c r="B274" i="8"/>
  <c r="B270" i="8"/>
  <c r="AG291" i="8"/>
  <c r="AG287" i="8"/>
  <c r="AG283" i="8"/>
  <c r="AG279" i="8"/>
  <c r="AG275" i="8"/>
  <c r="AG271" i="8"/>
  <c r="X302" i="8"/>
  <c r="X302" i="8" a="1"/>
  <c r="X298" i="8"/>
  <c r="X298" i="8" a="1"/>
  <c r="X294" i="8"/>
  <c r="X294" i="8" a="1"/>
  <c r="X290" i="8"/>
  <c r="X290" i="8" a="1"/>
  <c r="X286" i="8"/>
  <c r="X286" i="8" a="1"/>
  <c r="X282" i="8"/>
  <c r="X282" i="8" a="1"/>
  <c r="X278" i="8"/>
  <c r="X278" i="8" a="1"/>
  <c r="X274" i="8"/>
  <c r="X274" i="8" a="1"/>
  <c r="X270" i="8"/>
  <c r="X270" i="8" a="1"/>
  <c r="X266" i="8"/>
  <c r="X266" i="8" a="1"/>
  <c r="Z295" i="8"/>
  <c r="Z291" i="8"/>
  <c r="Z283" i="8"/>
  <c r="Z279" i="8"/>
  <c r="Z275" i="8"/>
  <c r="Z271" i="8"/>
  <c r="J295" i="8"/>
  <c r="J291" i="8"/>
  <c r="J287" i="8"/>
  <c r="J283" i="8"/>
  <c r="J279" i="8"/>
  <c r="J275" i="8"/>
  <c r="J271" i="8"/>
  <c r="AA285" i="8"/>
  <c r="AA277" i="8"/>
  <c r="AA273" i="8"/>
  <c r="AA269" i="8"/>
  <c r="AJ282" i="8"/>
  <c r="AJ274" i="8"/>
  <c r="AJ270" i="8"/>
  <c r="AJ266" i="8"/>
  <c r="E299" i="8"/>
  <c r="M290" i="8"/>
  <c r="Z287" i="8"/>
  <c r="H281" i="8"/>
  <c r="V285" i="8"/>
  <c r="AK275" i="8"/>
  <c r="AK271" i="8"/>
  <c r="AM302" i="8"/>
  <c r="AM302" i="8" a="1"/>
  <c r="AM298" i="8"/>
  <c r="AM298" i="8" a="1"/>
  <c r="AM294" i="8"/>
  <c r="AM294" i="8" a="1"/>
  <c r="AM290" i="8"/>
  <c r="AM290" i="8" a="1"/>
  <c r="AM286" i="8"/>
  <c r="AM286" i="8" a="1"/>
  <c r="AM282" i="8"/>
  <c r="AM282" i="8" a="1"/>
  <c r="AM278" i="8"/>
  <c r="AM278" i="8" a="1"/>
  <c r="AM274" i="8"/>
  <c r="AM274" i="8" a="1"/>
  <c r="AM270" i="8"/>
  <c r="AM270" i="8" a="1"/>
  <c r="AM266" i="8"/>
  <c r="AM266" i="8" a="1"/>
  <c r="E279" i="8"/>
  <c r="G290" i="8"/>
  <c r="G286" i="8"/>
  <c r="G282" i="8"/>
  <c r="G278" i="8"/>
  <c r="G274" i="8"/>
  <c r="G270" i="8"/>
  <c r="G266" i="8"/>
  <c r="Z299" i="8"/>
  <c r="G294" i="8"/>
  <c r="AK299" i="8"/>
  <c r="AK295" i="8"/>
  <c r="AK291" i="8"/>
  <c r="AK287" i="8"/>
  <c r="AK279" i="8"/>
  <c r="AN301" i="8"/>
  <c r="AN301" i="8" a="1"/>
  <c r="AN297" i="8"/>
  <c r="AN297" i="8" a="1"/>
  <c r="AN293" i="8"/>
  <c r="AN293" i="8" a="1"/>
  <c r="AN289" i="8"/>
  <c r="AN289" i="8" a="1"/>
  <c r="AN285" i="8"/>
  <c r="AN285" i="8" a="1"/>
  <c r="AN281" i="8"/>
  <c r="AN281" i="8" a="1"/>
  <c r="AN277" i="8"/>
  <c r="AN277" i="8" a="1"/>
  <c r="AN273" i="8"/>
  <c r="AN273" i="8" a="1"/>
  <c r="AN269" i="8"/>
  <c r="AN269" i="8" a="1"/>
  <c r="AG277" i="8"/>
  <c r="AG269" i="8"/>
  <c r="AD301" i="8"/>
  <c r="AD301" i="8" a="1"/>
  <c r="AD297" i="8"/>
  <c r="AD297" i="8" a="1"/>
  <c r="AD293" i="8"/>
  <c r="AD293" i="8" a="1"/>
  <c r="AD289" i="8"/>
  <c r="AD289" i="8" a="1"/>
  <c r="AD285" i="8"/>
  <c r="AD285" i="8" a="1"/>
  <c r="AD281" i="8"/>
  <c r="AD281" i="8" a="1"/>
  <c r="AD277" i="8"/>
  <c r="AD277" i="8" a="1"/>
  <c r="AD273" i="8"/>
  <c r="AD273" i="8" a="1"/>
  <c r="AD269" i="8"/>
  <c r="AD269" i="8" a="1"/>
  <c r="AG272" i="8"/>
  <c r="Z303" i="8"/>
  <c r="Z271" i="8" a="1"/>
  <c r="Z275" i="8" a="1"/>
  <c r="Z279" i="8" a="1"/>
  <c r="Z283" i="8" a="1"/>
  <c r="Z287" i="8" a="1"/>
  <c r="Z291" i="8" a="1"/>
  <c r="Z295" i="8" a="1"/>
  <c r="Z299" i="8" a="1"/>
  <c r="Z303" i="8" a="1"/>
  <c r="E271" i="8"/>
  <c r="AJ278" i="8"/>
  <c r="AA281" i="8"/>
  <c r="G302" i="8"/>
  <c r="G302" i="8" a="1"/>
  <c r="G298" i="8"/>
  <c r="G266" i="8" a="1"/>
  <c r="G270" i="8" a="1"/>
  <c r="G274" i="8" a="1"/>
  <c r="G278" i="8" a="1"/>
  <c r="G282" i="8" a="1"/>
  <c r="G286" i="8" a="1"/>
  <c r="G290" i="8" a="1"/>
  <c r="G294" i="8" a="1"/>
  <c r="G298" i="8" a="1"/>
  <c r="W297" i="8"/>
  <c r="W293" i="8"/>
  <c r="W289" i="8"/>
  <c r="W285" i="8"/>
  <c r="W281" i="8"/>
  <c r="W273" i="8"/>
  <c r="AG296" i="8"/>
  <c r="AC279" i="8"/>
  <c r="AC275" i="8"/>
  <c r="AC271" i="8"/>
  <c r="AM279" i="8"/>
  <c r="AM275" i="8"/>
  <c r="AM271" i="8"/>
  <c r="AN270" i="8"/>
  <c r="AN266" i="8"/>
  <c r="C270" i="8"/>
  <c r="F297" i="8"/>
  <c r="F293" i="8"/>
  <c r="F289" i="8"/>
  <c r="F285" i="8"/>
  <c r="F281" i="8"/>
  <c r="F277" i="8"/>
  <c r="F273" i="8"/>
  <c r="F269" i="8"/>
  <c r="B293" i="8"/>
  <c r="B289" i="8"/>
  <c r="B285" i="8"/>
  <c r="B281" i="8"/>
  <c r="B294" i="8"/>
  <c r="AI295" i="8"/>
  <c r="AI287" i="8"/>
  <c r="AI275" i="8"/>
  <c r="B278" i="8"/>
  <c r="V288" i="8"/>
  <c r="V276" i="8"/>
  <c r="V272" i="8"/>
  <c r="AJ286" i="8"/>
  <c r="AJ292" i="8"/>
  <c r="AJ288" i="8"/>
  <c r="AJ284" i="8"/>
  <c r="AJ280" i="8"/>
  <c r="AJ276" i="8"/>
  <c r="AJ272" i="8"/>
  <c r="B266" i="8"/>
  <c r="V300" i="8"/>
  <c r="V296" i="8"/>
  <c r="V292" i="8"/>
  <c r="B297" i="8"/>
  <c r="E295" i="8"/>
  <c r="E275" i="8"/>
  <c r="AH276" i="8"/>
  <c r="AH272" i="8"/>
  <c r="AN296" i="8"/>
  <c r="E293" i="8"/>
  <c r="E289" i="8"/>
  <c r="E285" i="8"/>
  <c r="E281" i="8"/>
  <c r="E277" i="8"/>
  <c r="E273" i="8"/>
  <c r="E269" i="8"/>
  <c r="M266" i="8"/>
  <c r="B301" i="8"/>
  <c r="B273" i="8" a="1"/>
  <c r="B277" i="8" a="1"/>
  <c r="B281" i="8" a="1"/>
  <c r="B285" i="8" a="1"/>
  <c r="B289" i="8" a="1"/>
  <c r="B293" i="8" a="1"/>
  <c r="B297" i="8" a="1"/>
  <c r="B301" i="8" a="1"/>
  <c r="H291" i="8"/>
  <c r="H283" i="8"/>
  <c r="H279" i="8"/>
  <c r="H275" i="8"/>
  <c r="H271" i="8"/>
  <c r="AI291" i="8"/>
  <c r="AC303" i="8"/>
  <c r="AC303" i="8" a="1"/>
  <c r="AC299" i="8"/>
  <c r="AC299" i="8" a="1"/>
  <c r="AC295" i="8"/>
  <c r="AC295" i="8" a="1"/>
  <c r="AC291" i="8"/>
  <c r="AC291" i="8" a="1"/>
  <c r="AC287" i="8"/>
  <c r="AC287" i="8" a="1"/>
  <c r="AC283" i="8"/>
  <c r="AC271" i="8" a="1"/>
  <c r="AC275" i="8" a="1"/>
  <c r="AC279" i="8" a="1"/>
  <c r="AC283" i="8" a="1"/>
  <c r="AN302" i="8"/>
  <c r="AN302" i="8" a="1"/>
  <c r="AN298" i="8"/>
  <c r="AN298" i="8" a="1"/>
  <c r="AN294" i="8"/>
  <c r="AN294" i="8" a="1"/>
  <c r="AN290" i="8"/>
  <c r="AN290" i="8" a="1"/>
  <c r="AN286" i="8"/>
  <c r="AN286" i="8" a="1"/>
  <c r="AN282" i="8"/>
  <c r="AN282" i="8" a="1"/>
  <c r="AN278" i="8"/>
  <c r="AN278" i="8" a="1"/>
  <c r="AN274" i="8"/>
  <c r="AN266" i="8" a="1"/>
  <c r="AN270" i="8" a="1"/>
  <c r="AN274" i="8" a="1"/>
  <c r="C294" i="8"/>
  <c r="C290" i="8"/>
  <c r="C282" i="8"/>
  <c r="C278" i="8"/>
  <c r="C274" i="8"/>
  <c r="W277" i="8"/>
  <c r="S293" i="8"/>
  <c r="S289" i="8"/>
  <c r="S285" i="8"/>
  <c r="S281" i="8"/>
  <c r="S277" i="8"/>
  <c r="S269" i="8"/>
  <c r="H277" i="8"/>
  <c r="AF303" i="8"/>
  <c r="AF303" i="8" a="1"/>
  <c r="AF299" i="8"/>
  <c r="AF299" i="8" a="1"/>
  <c r="AF295" i="8"/>
  <c r="AF295" i="8" a="1"/>
  <c r="AF291" i="8"/>
  <c r="AF291" i="8" a="1"/>
  <c r="AF287" i="8"/>
  <c r="AF287" i="8" a="1"/>
  <c r="AF283" i="8"/>
  <c r="AF283" i="8" a="1"/>
  <c r="AF279" i="8"/>
  <c r="AF279" i="8" a="1"/>
  <c r="AF275" i="8"/>
  <c r="AF275" i="8" a="1"/>
  <c r="AF271" i="8"/>
  <c r="AF271" i="8" a="1"/>
  <c r="AL285" i="8"/>
  <c r="AL281" i="8"/>
  <c r="AL277" i="8"/>
  <c r="AL273" i="8"/>
  <c r="AL269" i="8"/>
  <c r="AN276" i="8"/>
  <c r="AN292" i="8"/>
  <c r="AA301" i="8"/>
  <c r="AA301" i="8" a="1"/>
  <c r="AA297" i="8"/>
  <c r="AA297" i="8" a="1"/>
  <c r="AA293" i="8"/>
  <c r="AA293" i="8" a="1"/>
  <c r="AA289" i="8"/>
  <c r="AA269" i="8" a="1"/>
  <c r="AA273" i="8" a="1"/>
  <c r="AA277" i="8" a="1"/>
  <c r="AA281" i="8" a="1"/>
  <c r="AA285" i="8" a="1"/>
  <c r="AA289" i="8" a="1"/>
  <c r="AJ302" i="8"/>
  <c r="AJ302" i="8" a="1"/>
  <c r="AJ298" i="8"/>
  <c r="AJ298" i="8" a="1"/>
  <c r="AJ294" i="8"/>
  <c r="AJ294" i="8" a="1"/>
  <c r="AJ290" i="8"/>
  <c r="AJ266" i="8" a="1"/>
  <c r="AJ270" i="8" a="1"/>
  <c r="AJ274" i="8" a="1"/>
  <c r="AJ278" i="8" a="1"/>
  <c r="AJ282" i="8" a="1"/>
  <c r="AJ286" i="8" a="1"/>
  <c r="AJ290" i="8" a="1"/>
  <c r="F290" i="8"/>
  <c r="AH292" i="8"/>
  <c r="AH288" i="8"/>
  <c r="AH284" i="8"/>
  <c r="AH280" i="8"/>
  <c r="AH296" i="8"/>
  <c r="AM283" i="8"/>
  <c r="AL289" i="8"/>
  <c r="V277" i="8"/>
  <c r="F301" i="8"/>
  <c r="F269" i="8" a="1"/>
  <c r="F273" i="8" a="1"/>
  <c r="F277" i="8" a="1"/>
  <c r="F281" i="8" a="1"/>
  <c r="F285" i="8" a="1"/>
  <c r="F289" i="8" a="1"/>
  <c r="F293" i="8" a="1"/>
  <c r="F297" i="8" a="1"/>
  <c r="F301" i="8" a="1"/>
  <c r="W279" i="8"/>
  <c r="W275" i="8"/>
  <c r="W271" i="8"/>
  <c r="O286" i="8"/>
  <c r="O274" i="8"/>
  <c r="AH286" i="8"/>
  <c r="AH282" i="8"/>
  <c r="AH278" i="8"/>
  <c r="AH274" i="8"/>
  <c r="AH270" i="8"/>
  <c r="AH266" i="8"/>
  <c r="F266" i="8"/>
  <c r="W269" i="8"/>
  <c r="W291" i="8"/>
  <c r="W283" i="8"/>
  <c r="AH285" i="8"/>
  <c r="AH269" i="8"/>
  <c r="W298" i="8"/>
  <c r="W286" i="8"/>
  <c r="W282" i="8"/>
  <c r="W278" i="8"/>
  <c r="W274" i="8"/>
  <c r="W270" i="8"/>
  <c r="W266" i="8"/>
  <c r="AH300" i="8"/>
  <c r="AL293" i="8"/>
  <c r="F270" i="8"/>
  <c r="AK283" i="8"/>
  <c r="AI293" i="8"/>
  <c r="AJ296" i="8"/>
  <c r="I272" i="8"/>
  <c r="AN284" i="8"/>
  <c r="F286" i="8"/>
  <c r="E297" i="8"/>
  <c r="AC293" i="8"/>
  <c r="AC285" i="8"/>
  <c r="AC281" i="8"/>
  <c r="AC277" i="8"/>
  <c r="AC273" i="8"/>
  <c r="AC269" i="8"/>
  <c r="B290" i="8"/>
  <c r="AB303" i="8"/>
  <c r="AB303" i="8" a="1"/>
  <c r="AB299" i="8"/>
  <c r="AB299" i="8" a="1"/>
  <c r="AB295" i="8"/>
  <c r="AB295" i="8" a="1"/>
  <c r="AB291" i="8"/>
  <c r="AB291" i="8" a="1"/>
  <c r="AB287" i="8"/>
  <c r="AB287" i="8" a="1"/>
  <c r="AB283" i="8"/>
  <c r="AB283" i="8" a="1"/>
  <c r="AB279" i="8"/>
  <c r="AB279" i="8" a="1"/>
  <c r="AB275" i="8"/>
  <c r="AB275" i="8" a="1"/>
  <c r="AB271" i="8"/>
  <c r="AB271" i="8" a="1"/>
  <c r="F282" i="8"/>
  <c r="AG281" i="8"/>
  <c r="AI302" i="8"/>
  <c r="AI302" i="8" a="1"/>
  <c r="AI298" i="8"/>
  <c r="AI298" i="8" a="1"/>
  <c r="AI294" i="8"/>
  <c r="AI294" i="8" a="1"/>
  <c r="AI290" i="8"/>
  <c r="AI290" i="8" a="1"/>
  <c r="AI286" i="8"/>
  <c r="AI286" i="8" a="1"/>
  <c r="AI282" i="8"/>
  <c r="AI282" i="8" a="1"/>
  <c r="AI278" i="8"/>
  <c r="AI278" i="8" a="1"/>
  <c r="AI274" i="8"/>
  <c r="AI274" i="8" a="1"/>
  <c r="AI270" i="8"/>
  <c r="AI270" i="8" a="1"/>
  <c r="AI266" i="8"/>
  <c r="AI266" i="8" a="1"/>
  <c r="AI285" i="8"/>
  <c r="B269" i="8"/>
  <c r="E301" i="8"/>
  <c r="E269" i="8" a="1"/>
  <c r="E273" i="8" a="1"/>
  <c r="E277" i="8" a="1"/>
  <c r="E281" i="8" a="1"/>
  <c r="E285" i="8" a="1"/>
  <c r="E289" i="8" a="1"/>
  <c r="E293" i="8" a="1"/>
  <c r="E297" i="8" a="1"/>
  <c r="E301" i="8" a="1"/>
  <c r="AC289" i="8"/>
  <c r="AM299" i="8"/>
  <c r="AM291" i="8"/>
  <c r="AM287" i="8"/>
  <c r="H287" i="8"/>
  <c r="AN280" i="8"/>
  <c r="AG295" i="8"/>
  <c r="P301" i="8"/>
  <c r="P301" i="8" a="1"/>
  <c r="P297" i="8"/>
  <c r="P297" i="8" a="1"/>
  <c r="P293" i="8"/>
  <c r="P293" i="8" a="1"/>
  <c r="P289" i="8"/>
  <c r="P289" i="8" a="1"/>
  <c r="P285" i="8"/>
  <c r="P285" i="8" a="1"/>
  <c r="P281" i="8"/>
  <c r="P281" i="8" a="1"/>
  <c r="P277" i="8"/>
  <c r="P277" i="8" a="1"/>
  <c r="P273" i="8"/>
  <c r="P273" i="8" a="1"/>
  <c r="P269" i="8"/>
  <c r="P269" i="8" a="1"/>
  <c r="H301" i="8"/>
  <c r="H301" i="8" a="1"/>
  <c r="H297" i="8"/>
  <c r="H297" i="8" a="1"/>
  <c r="H293" i="8"/>
  <c r="H293" i="8" a="1"/>
  <c r="H289" i="8"/>
  <c r="H289" i="8" a="1"/>
  <c r="H285" i="8"/>
  <c r="H269" i="8" a="1"/>
  <c r="H273" i="8" a="1"/>
  <c r="H277" i="8" a="1"/>
  <c r="H281" i="8" a="1"/>
  <c r="H285" i="8" a="1"/>
  <c r="AI292" i="8"/>
  <c r="AI288" i="8"/>
  <c r="AI284" i="8"/>
  <c r="AI280" i="8"/>
  <c r="AI272" i="8"/>
  <c r="AN288" i="8"/>
  <c r="V280" i="8"/>
  <c r="AF301" i="8"/>
  <c r="AF301" i="8" a="1"/>
  <c r="AF297" i="8"/>
  <c r="AF297" i="8" a="1"/>
  <c r="AF293" i="8"/>
  <c r="AF293" i="8" a="1"/>
  <c r="AF289" i="8"/>
  <c r="AF289" i="8" a="1"/>
  <c r="AF285" i="8"/>
  <c r="AF285" i="8" a="1"/>
  <c r="AF281" i="8"/>
  <c r="AF281" i="8" a="1"/>
  <c r="AF277" i="8"/>
  <c r="AF269" i="8" a="1"/>
  <c r="AF273" i="8" a="1"/>
  <c r="AF277" i="8" a="1"/>
  <c r="I304" i="8"/>
  <c r="I304" i="8" a="1"/>
  <c r="I300" i="8"/>
  <c r="I300" i="8" a="1"/>
  <c r="I296" i="8"/>
  <c r="I296" i="8" a="1"/>
  <c r="I292" i="8"/>
  <c r="I272" i="8" a="1"/>
  <c r="I276" i="8" a="1"/>
  <c r="I280" i="8" a="1"/>
  <c r="I284" i="8" a="1"/>
  <c r="I288" i="8" a="1"/>
  <c r="I292" i="8" a="1"/>
  <c r="W290" i="8"/>
  <c r="C266" i="8"/>
  <c r="V284" i="8"/>
  <c r="E303" i="8"/>
  <c r="E271" i="8" a="1"/>
  <c r="E275" i="8" a="1"/>
  <c r="E279" i="8" a="1"/>
  <c r="E283" i="8" a="1"/>
  <c r="E287" i="8" a="1"/>
  <c r="E291" i="8" a="1"/>
  <c r="E295" i="8" a="1"/>
  <c r="E299" i="8" a="1"/>
  <c r="E303" i="8" a="1"/>
  <c r="M294" i="8"/>
  <c r="B298" i="8"/>
  <c r="AG303" i="8"/>
  <c r="AG303" i="8" a="1"/>
  <c r="AG299" i="8"/>
  <c r="AG271" i="8" a="1"/>
  <c r="AG275" i="8" a="1"/>
  <c r="AG279" i="8" a="1"/>
  <c r="AG283" i="8" a="1"/>
  <c r="AG287" i="8" a="1"/>
  <c r="AG291" i="8" a="1"/>
  <c r="AG295" i="8" a="1"/>
  <c r="AG299" i="8" a="1"/>
  <c r="C298" i="8"/>
  <c r="AK302" i="8"/>
  <c r="AK302" i="8" a="1"/>
  <c r="AK298" i="8"/>
  <c r="AK298" i="8" a="1"/>
  <c r="AK294" i="8"/>
  <c r="AK294" i="8" a="1"/>
  <c r="AK290" i="8"/>
  <c r="AK290" i="8" a="1"/>
  <c r="AK286" i="8"/>
  <c r="AK286" i="8" a="1"/>
  <c r="AK282" i="8"/>
  <c r="AK282" i="8" a="1"/>
  <c r="AK278" i="8"/>
  <c r="AK278" i="8" a="1"/>
  <c r="AK274" i="8"/>
  <c r="AK274" i="8" a="1"/>
  <c r="AK270" i="8"/>
  <c r="AK270" i="8" a="1"/>
  <c r="AK266" i="8"/>
  <c r="AK266" i="8" a="1"/>
  <c r="J282" i="8"/>
  <c r="J278" i="8"/>
  <c r="J274" i="8"/>
  <c r="J270" i="8"/>
  <c r="J266" i="8"/>
  <c r="G297" i="8"/>
  <c r="G293" i="8"/>
  <c r="G289" i="8"/>
  <c r="G285" i="8"/>
  <c r="G281" i="8"/>
  <c r="G277" i="8"/>
  <c r="G273" i="8"/>
  <c r="G269" i="8"/>
  <c r="D273" i="8"/>
  <c r="D269" i="8"/>
  <c r="C289" i="8"/>
  <c r="C285" i="8"/>
  <c r="C281" i="8"/>
  <c r="C277" i="8"/>
  <c r="C273" i="8"/>
  <c r="C269" i="8"/>
  <c r="X292" i="8"/>
  <c r="X288" i="8"/>
  <c r="X284" i="8"/>
  <c r="X280" i="8"/>
  <c r="X276" i="8"/>
  <c r="X272" i="8"/>
  <c r="D304" i="8"/>
  <c r="D304" i="8" a="1"/>
  <c r="D300" i="8"/>
  <c r="D300" i="8" a="1"/>
  <c r="D296" i="8"/>
  <c r="D296" i="8" a="1"/>
  <c r="D292" i="8"/>
  <c r="D292" i="8" a="1"/>
  <c r="D288" i="8"/>
  <c r="D288" i="8" a="1"/>
  <c r="D284" i="8"/>
  <c r="D284" i="8" a="1"/>
  <c r="D280" i="8"/>
  <c r="D280" i="8" a="1"/>
  <c r="D276" i="8"/>
  <c r="D276" i="8" a="1"/>
  <c r="D272" i="8"/>
  <c r="D272" i="8" a="1"/>
  <c r="V304" i="8"/>
  <c r="V272" i="8" a="1"/>
  <c r="V276" i="8" a="1"/>
  <c r="V280" i="8" a="1"/>
  <c r="V284" i="8" a="1"/>
  <c r="V288" i="8" a="1"/>
  <c r="V292" i="8" a="1"/>
  <c r="V296" i="8" a="1"/>
  <c r="V300" i="8" a="1"/>
  <c r="V304" i="8" a="1"/>
  <c r="B302" i="8"/>
  <c r="B270" i="8" a="1"/>
  <c r="B274" i="8" a="1"/>
  <c r="B278" i="8" a="1"/>
  <c r="B282" i="8" a="1"/>
  <c r="B286" i="8" a="1"/>
  <c r="B290" i="8" a="1"/>
  <c r="B294" i="8" a="1"/>
  <c r="B298" i="8" a="1"/>
  <c r="B302" i="8" a="1"/>
  <c r="AC301" i="8"/>
  <c r="AC301" i="8" a="1"/>
  <c r="AC297" i="8"/>
  <c r="AC269" i="8" a="1"/>
  <c r="AC273" i="8" a="1"/>
  <c r="AC277" i="8" a="1"/>
  <c r="AC281" i="8" a="1"/>
  <c r="AC285" i="8" a="1"/>
  <c r="AC289" i="8" a="1"/>
  <c r="AC293" i="8" a="1"/>
  <c r="AC297" i="8" a="1"/>
  <c r="AH304" i="8"/>
  <c r="AH272" i="8" a="1"/>
  <c r="AH276" i="8" a="1"/>
  <c r="AH280" i="8" a="1"/>
  <c r="AH284" i="8" a="1"/>
  <c r="AH288" i="8" a="1"/>
  <c r="AH292" i="8" a="1"/>
  <c r="AH296" i="8" a="1"/>
  <c r="AH300" i="8" a="1"/>
  <c r="AH304" i="8" a="1"/>
  <c r="AN272" i="8"/>
  <c r="AL297" i="8"/>
  <c r="AK303" i="8"/>
  <c r="AK271" i="8" a="1"/>
  <c r="AK275" i="8" a="1"/>
  <c r="AK279" i="8" a="1"/>
  <c r="AK283" i="8" a="1"/>
  <c r="AK287" i="8" a="1"/>
  <c r="AK291" i="8" a="1"/>
  <c r="AK295" i="8" a="1"/>
  <c r="AK299" i="8" a="1"/>
  <c r="AK303" i="8" a="1"/>
  <c r="F274" i="8"/>
  <c r="AI283" i="8"/>
  <c r="AJ304" i="8"/>
  <c r="AJ304" i="8" a="1"/>
  <c r="AJ300" i="8"/>
  <c r="AJ272" i="8" a="1"/>
  <c r="AJ276" i="8" a="1"/>
  <c r="AJ280" i="8" a="1"/>
  <c r="AJ284" i="8" a="1"/>
  <c r="AJ288" i="8" a="1"/>
  <c r="AJ292" i="8" a="1"/>
  <c r="AJ296" i="8" a="1"/>
  <c r="AJ300" i="8" a="1"/>
  <c r="J303" i="8"/>
  <c r="J303" i="8" a="1"/>
  <c r="J299" i="8"/>
  <c r="J271" i="8" a="1"/>
  <c r="J275" i="8" a="1"/>
  <c r="J279" i="8" a="1"/>
  <c r="J283" i="8" a="1"/>
  <c r="J287" i="8" a="1"/>
  <c r="J291" i="8" a="1"/>
  <c r="J295" i="8" a="1"/>
  <c r="J299" i="8" a="1"/>
  <c r="Z292" i="8"/>
  <c r="Z288" i="8"/>
  <c r="AH302" i="8"/>
  <c r="AH302" i="8" a="1"/>
  <c r="AH298" i="8"/>
  <c r="AH298" i="8" a="1"/>
  <c r="AH294" i="8"/>
  <c r="AH294" i="8" a="1"/>
  <c r="AH290" i="8"/>
  <c r="AH266" i="8" a="1"/>
  <c r="AH270" i="8" a="1"/>
  <c r="AH274" i="8" a="1"/>
  <c r="AH278" i="8" a="1"/>
  <c r="AH282" i="8" a="1"/>
  <c r="AH286" i="8" a="1"/>
  <c r="AH290" i="8" a="1"/>
  <c r="W294" i="8"/>
  <c r="L270" i="8"/>
  <c r="AC304" i="8"/>
  <c r="AC304" i="8" a="1"/>
  <c r="AC300" i="8"/>
  <c r="AC300" i="8" a="1"/>
  <c r="AC296" i="8"/>
  <c r="AC296" i="8" a="1"/>
  <c r="AC292" i="8"/>
  <c r="AC292" i="8" a="1"/>
  <c r="AC288" i="8"/>
  <c r="AC288" i="8" a="1"/>
  <c r="AC284" i="8"/>
  <c r="AC284" i="8" a="1"/>
  <c r="AC280" i="8"/>
  <c r="AC280" i="8" a="1"/>
  <c r="AC276" i="8"/>
  <c r="AC276" i="8" a="1"/>
  <c r="AC272" i="8"/>
  <c r="AC272" i="8" a="1"/>
  <c r="AA276" i="8"/>
  <c r="AF302" i="8"/>
  <c r="AF302" i="8" a="1"/>
  <c r="AF298" i="8"/>
  <c r="AF298" i="8" a="1"/>
  <c r="AF294" i="8"/>
  <c r="AF294" i="8" a="1"/>
  <c r="AF290" i="8"/>
  <c r="AF290" i="8" a="1"/>
  <c r="AF286" i="8"/>
  <c r="AF286" i="8" a="1"/>
  <c r="AF282" i="8"/>
  <c r="AF282" i="8" a="1"/>
  <c r="AF278" i="8"/>
  <c r="AF278" i="8" a="1"/>
  <c r="AF274" i="8"/>
  <c r="AF274" i="8" a="1"/>
  <c r="AF270" i="8"/>
  <c r="AF270" i="8" a="1"/>
  <c r="AF266" i="8"/>
  <c r="AF266" i="8" a="1"/>
  <c r="Z278" i="8"/>
  <c r="Z274" i="8"/>
  <c r="Z270" i="8"/>
  <c r="Z266" i="8"/>
  <c r="AE279" i="8"/>
  <c r="AE275" i="8"/>
  <c r="AE271" i="8"/>
  <c r="AI279" i="8"/>
  <c r="AM295" i="8"/>
  <c r="AL301" i="8"/>
  <c r="AL269" i="8" a="1"/>
  <c r="AL273" i="8" a="1"/>
  <c r="AL277" i="8" a="1"/>
  <c r="AL281" i="8" a="1"/>
  <c r="AL285" i="8" a="1"/>
  <c r="AL289" i="8" a="1"/>
  <c r="AL293" i="8" a="1"/>
  <c r="AL297" i="8" a="1"/>
  <c r="AL301" i="8" a="1"/>
  <c r="AI276" i="8"/>
  <c r="W301" i="8"/>
  <c r="W269" i="8" a="1"/>
  <c r="W273" i="8" a="1"/>
  <c r="W277" i="8" a="1"/>
  <c r="W281" i="8" a="1"/>
  <c r="W285" i="8" a="1"/>
  <c r="W289" i="8" a="1"/>
  <c r="W293" i="8" a="1"/>
  <c r="W297" i="8" a="1"/>
  <c r="W301" i="8" a="1"/>
  <c r="F278" i="8"/>
  <c r="M286" i="8"/>
  <c r="C286" i="8"/>
  <c r="AG273" i="8"/>
  <c r="AG288" i="8"/>
  <c r="Q271" i="8"/>
  <c r="Q295" i="8"/>
  <c r="O293" i="8"/>
  <c r="O289" i="8"/>
  <c r="O285" i="8"/>
  <c r="O277" i="8"/>
  <c r="O269" i="8"/>
  <c r="AE295" i="8"/>
  <c r="AE291" i="8"/>
  <c r="AE287" i="8"/>
  <c r="P280" i="8"/>
  <c r="Z284" i="8"/>
  <c r="AE299" i="8"/>
  <c r="AG292" i="8"/>
  <c r="AG286" i="8"/>
  <c r="AG282" i="8"/>
  <c r="AG278" i="8"/>
  <c r="AG274" i="8"/>
  <c r="AG270" i="8"/>
  <c r="AG266" i="8"/>
  <c r="AH273" i="8"/>
  <c r="P288" i="8"/>
  <c r="P284" i="8"/>
  <c r="AJ297" i="8"/>
  <c r="AJ289" i="8"/>
  <c r="AJ285" i="8"/>
  <c r="AJ273" i="8"/>
  <c r="AJ269" i="8"/>
  <c r="Z300" i="8"/>
  <c r="F298" i="8"/>
  <c r="W302" i="8"/>
  <c r="W266" i="8" a="1"/>
  <c r="W270" i="8" a="1"/>
  <c r="W274" i="8" a="1"/>
  <c r="W278" i="8" a="1"/>
  <c r="W282" i="8" a="1"/>
  <c r="W286" i="8" a="1"/>
  <c r="W290" i="8" a="1"/>
  <c r="W294" i="8" a="1"/>
  <c r="W298" i="8" a="1"/>
  <c r="W302" i="8" a="1"/>
  <c r="AI304" i="8"/>
  <c r="AI304" i="8" a="1"/>
  <c r="AI300" i="8"/>
  <c r="AI300" i="8" a="1"/>
  <c r="AI296" i="8"/>
  <c r="AI272" i="8" a="1"/>
  <c r="AI276" i="8" a="1"/>
  <c r="AI280" i="8" a="1"/>
  <c r="AI284" i="8" a="1"/>
  <c r="AI288" i="8" a="1"/>
  <c r="AI292" i="8" a="1"/>
  <c r="AI296" i="8" a="1"/>
  <c r="AM303" i="8"/>
  <c r="AM271" i="8" a="1"/>
  <c r="AM275" i="8" a="1"/>
  <c r="AM279" i="8" a="1"/>
  <c r="AM283" i="8" a="1"/>
  <c r="AM287" i="8" a="1"/>
  <c r="AM291" i="8" a="1"/>
  <c r="AM295" i="8" a="1"/>
  <c r="AM299" i="8" a="1"/>
  <c r="AM303" i="8" a="1"/>
  <c r="M282" i="8"/>
  <c r="AI299" i="8"/>
  <c r="W287" i="8"/>
  <c r="AI269" i="8"/>
  <c r="P292" i="8"/>
  <c r="AC286" i="8"/>
  <c r="AC282" i="8"/>
  <c r="AC278" i="8"/>
  <c r="AC274" i="8"/>
  <c r="AC270" i="8"/>
  <c r="AC266" i="8"/>
  <c r="AD286" i="8"/>
  <c r="AD278" i="8"/>
  <c r="AD274" i="8"/>
  <c r="AD270" i="8"/>
  <c r="AD266" i="8"/>
  <c r="AH277" i="8"/>
  <c r="S273" i="8"/>
  <c r="C302" i="8"/>
  <c r="C266" i="8" a="1"/>
  <c r="C270" i="8" a="1"/>
  <c r="C274" i="8" a="1"/>
  <c r="C278" i="8" a="1"/>
  <c r="C282" i="8" a="1"/>
  <c r="C286" i="8" a="1"/>
  <c r="C290" i="8" a="1"/>
  <c r="C294" i="8" a="1"/>
  <c r="C298" i="8" a="1"/>
  <c r="C302" i="8" a="1"/>
  <c r="S301" i="8"/>
  <c r="S301" i="8" a="1"/>
  <c r="S297" i="8"/>
  <c r="S269" i="8" a="1"/>
  <c r="S273" i="8" a="1"/>
  <c r="S277" i="8" a="1"/>
  <c r="S281" i="8" a="1"/>
  <c r="S285" i="8" a="1"/>
  <c r="S289" i="8" a="1"/>
  <c r="S293" i="8" a="1"/>
  <c r="S297" i="8" a="1"/>
  <c r="W295" i="8"/>
  <c r="AI289" i="8"/>
  <c r="AG300" i="8"/>
  <c r="AG302" i="8"/>
  <c r="AG302" i="8" a="1"/>
  <c r="AG298" i="8"/>
  <c r="AG298" i="8" a="1"/>
  <c r="AG294" i="8"/>
  <c r="AG294" i="8" a="1"/>
  <c r="AG290" i="8"/>
  <c r="AG266" i="8" a="1"/>
  <c r="AG270" i="8" a="1"/>
  <c r="AG274" i="8" a="1"/>
  <c r="AG278" i="8" a="1"/>
  <c r="AG282" i="8" a="1"/>
  <c r="AG286" i="8" a="1"/>
  <c r="AG290" i="8" a="1"/>
  <c r="AH281" i="8"/>
  <c r="U275" i="8"/>
  <c r="U271" i="8"/>
  <c r="R290" i="8"/>
  <c r="R286" i="8"/>
  <c r="R282" i="8"/>
  <c r="R278" i="8"/>
  <c r="R274" i="8"/>
  <c r="R270" i="8"/>
  <c r="R266" i="8"/>
  <c r="AK281" i="8"/>
  <c r="AK277" i="8"/>
  <c r="AK273" i="8"/>
  <c r="AK269" i="8"/>
  <c r="R280" i="8"/>
  <c r="R276" i="8"/>
  <c r="R272" i="8"/>
  <c r="R296" i="8"/>
  <c r="R284" i="8"/>
  <c r="AG289" i="8"/>
  <c r="L300" i="8"/>
  <c r="L288" i="8"/>
  <c r="L280" i="8"/>
  <c r="L272" i="8"/>
  <c r="T270" i="8"/>
  <c r="T266" i="8"/>
  <c r="AE288" i="8"/>
  <c r="AE272" i="8"/>
  <c r="W303" i="8"/>
  <c r="W303" i="8" a="1"/>
  <c r="W299" i="8"/>
  <c r="W271" i="8" a="1"/>
  <c r="W275" i="8" a="1"/>
  <c r="W279" i="8" a="1"/>
  <c r="W283" i="8" a="1"/>
  <c r="W287" i="8" a="1"/>
  <c r="W291" i="8" a="1"/>
  <c r="W295" i="8" a="1"/>
  <c r="W299" i="8" a="1"/>
  <c r="AE276" i="8"/>
  <c r="AB296" i="8"/>
  <c r="AB292" i="8"/>
  <c r="AB288" i="8"/>
  <c r="AB284" i="8"/>
  <c r="AB280" i="8"/>
  <c r="AB276" i="8"/>
  <c r="AB272" i="8"/>
  <c r="K295" i="8"/>
  <c r="K291" i="8"/>
  <c r="K287" i="8"/>
  <c r="K283" i="8"/>
  <c r="K279" i="8"/>
  <c r="K275" i="8"/>
  <c r="K271" i="8"/>
  <c r="Y282" i="8"/>
  <c r="Y278" i="8"/>
  <c r="Y274" i="8"/>
  <c r="Y270" i="8"/>
  <c r="Y266" i="8"/>
  <c r="T286" i="8"/>
  <c r="O303" i="8"/>
  <c r="O299" i="8"/>
  <c r="O291" i="8"/>
  <c r="O275" i="8"/>
  <c r="H303" i="8"/>
  <c r="H303" i="8" a="1"/>
  <c r="H299" i="8"/>
  <c r="H299" i="8" a="1"/>
  <c r="H295" i="8"/>
  <c r="H271" i="8" a="1"/>
  <c r="H275" i="8" a="1"/>
  <c r="H279" i="8" a="1"/>
  <c r="H283" i="8" a="1"/>
  <c r="H287" i="8" a="1"/>
  <c r="H291" i="8" a="1"/>
  <c r="H295" i="8" a="1"/>
  <c r="V301" i="8"/>
  <c r="V301" i="8" a="1"/>
  <c r="V297" i="8"/>
  <c r="V297" i="8" a="1"/>
  <c r="V293" i="8"/>
  <c r="V293" i="8" a="1"/>
  <c r="V289" i="8"/>
  <c r="V269" i="8" a="1"/>
  <c r="V273" i="8" a="1"/>
  <c r="V277" i="8" a="1"/>
  <c r="V281" i="8" a="1"/>
  <c r="V285" i="8" a="1"/>
  <c r="V289" i="8" a="1"/>
  <c r="AE280" i="8"/>
  <c r="C296" i="8"/>
  <c r="C292" i="8"/>
  <c r="C280" i="8"/>
  <c r="C276" i="8"/>
  <c r="Q283" i="8"/>
  <c r="C300" i="8"/>
  <c r="AN300" i="8"/>
  <c r="F294" i="8"/>
  <c r="AI271" i="8"/>
  <c r="AG293" i="8"/>
  <c r="Y300" i="8"/>
  <c r="AE284" i="8"/>
  <c r="T278" i="8"/>
  <c r="AA290" i="8"/>
  <c r="AA286" i="8"/>
  <c r="AA282" i="8"/>
  <c r="AA274" i="8"/>
  <c r="AA266" i="8"/>
  <c r="T294" i="8"/>
  <c r="K299" i="8"/>
  <c r="M298" i="8"/>
  <c r="AI303" i="8"/>
  <c r="AI271" i="8" a="1"/>
  <c r="AI275" i="8" a="1"/>
  <c r="AI279" i="8" a="1"/>
  <c r="AI283" i="8" a="1"/>
  <c r="AI287" i="8" a="1"/>
  <c r="AI291" i="8" a="1"/>
  <c r="AI295" i="8" a="1"/>
  <c r="AI299" i="8" a="1"/>
  <c r="AI303" i="8" a="1"/>
  <c r="AG297" i="8"/>
  <c r="M274" i="8"/>
  <c r="AI301" i="8"/>
  <c r="AI301" i="8" a="1"/>
  <c r="AI297" i="8"/>
  <c r="AI269" i="8" a="1"/>
  <c r="AI273" i="8" a="1"/>
  <c r="AI277" i="8" a="1"/>
  <c r="AI281" i="8" a="1"/>
  <c r="AI285" i="8" a="1"/>
  <c r="AI289" i="8" a="1"/>
  <c r="AI293" i="8" a="1"/>
  <c r="AI297" i="8" a="1"/>
  <c r="Y292" i="8"/>
  <c r="Q291" i="8"/>
  <c r="J286" i="8"/>
  <c r="L274" i="8"/>
  <c r="M270" i="8"/>
  <c r="J290" i="8"/>
  <c r="T293" i="8"/>
  <c r="T289" i="8"/>
  <c r="T281" i="8"/>
  <c r="T277" i="8"/>
  <c r="T273" i="8"/>
  <c r="T269" i="8"/>
  <c r="AJ277" i="8"/>
  <c r="T282" i="8"/>
  <c r="AE296" i="8"/>
  <c r="Q287" i="8"/>
  <c r="J294" i="8"/>
  <c r="J298" i="8"/>
  <c r="AA278" i="8"/>
  <c r="D301" i="8"/>
  <c r="D301" i="8" a="1"/>
  <c r="D297" i="8"/>
  <c r="D297" i="8" a="1"/>
  <c r="D293" i="8"/>
  <c r="D293" i="8" a="1"/>
  <c r="D289" i="8"/>
  <c r="D289" i="8" a="1"/>
  <c r="D285" i="8"/>
  <c r="D285" i="8" a="1"/>
  <c r="D281" i="8"/>
  <c r="D281" i="8" a="1"/>
  <c r="D277" i="8"/>
  <c r="D269" i="8" a="1"/>
  <c r="D273" i="8" a="1"/>
  <c r="D277" i="8" a="1"/>
  <c r="D302" i="8"/>
  <c r="D302" i="8" a="1"/>
  <c r="D298" i="8"/>
  <c r="D298" i="8" a="1"/>
  <c r="D294" i="8"/>
  <c r="D294" i="8" a="1"/>
  <c r="D290" i="8"/>
  <c r="D290" i="8" a="1"/>
  <c r="D286" i="8"/>
  <c r="D286" i="8" a="1"/>
  <c r="D282" i="8"/>
  <c r="D282" i="8" a="1"/>
  <c r="D278" i="8"/>
  <c r="D278" i="8" a="1"/>
  <c r="D274" i="8"/>
  <c r="D274" i="8" a="1"/>
  <c r="D270" i="8"/>
  <c r="D270" i="8" a="1"/>
  <c r="D266" i="8"/>
  <c r="D266" i="8" a="1"/>
  <c r="O282" i="8"/>
  <c r="Q286" i="8"/>
  <c r="Q274" i="8"/>
  <c r="Q266" i="8"/>
  <c r="L276" i="8"/>
  <c r="T297" i="8"/>
  <c r="AE300" i="8"/>
  <c r="Y284" i="8"/>
  <c r="AG276" i="8"/>
  <c r="L296" i="8"/>
  <c r="H284" i="8"/>
  <c r="H280" i="8"/>
  <c r="H276" i="8"/>
  <c r="H272" i="8"/>
  <c r="Q270" i="8"/>
  <c r="AG280" i="8"/>
  <c r="L290" i="8"/>
  <c r="Z280" i="8"/>
  <c r="G301" i="8"/>
  <c r="G269" i="8" a="1"/>
  <c r="G273" i="8" a="1"/>
  <c r="G277" i="8" a="1"/>
  <c r="G281" i="8" a="1"/>
  <c r="G285" i="8" a="1"/>
  <c r="G289" i="8" a="1"/>
  <c r="G293" i="8" a="1"/>
  <c r="G297" i="8" a="1"/>
  <c r="G301" i="8" a="1"/>
  <c r="AA280" i="8"/>
  <c r="O281" i="8"/>
  <c r="AA288" i="8"/>
  <c r="B303" i="8"/>
  <c r="B303" i="8" a="1"/>
  <c r="B299" i="8"/>
  <c r="B299" i="8" a="1"/>
  <c r="B295" i="8"/>
  <c r="B295" i="8" a="1"/>
  <c r="B291" i="8"/>
  <c r="B291" i="8" a="1"/>
  <c r="B287" i="8"/>
  <c r="B287" i="8" a="1"/>
  <c r="B283" i="8"/>
  <c r="B283" i="8" a="1"/>
  <c r="B279" i="8"/>
  <c r="B279" i="8" a="1"/>
  <c r="B275" i="8"/>
  <c r="B275" i="8" a="1"/>
  <c r="B271" i="8"/>
  <c r="B271" i="8" a="1"/>
  <c r="AC290" i="8"/>
  <c r="L286" i="8"/>
  <c r="AB304" i="8"/>
  <c r="AB304" i="8" a="1"/>
  <c r="AB300" i="8"/>
  <c r="AB272" i="8" a="1"/>
  <c r="AB276" i="8" a="1"/>
  <c r="AB280" i="8" a="1"/>
  <c r="AB284" i="8" a="1"/>
  <c r="AB288" i="8" a="1"/>
  <c r="AB292" i="8" a="1"/>
  <c r="AB296" i="8" a="1"/>
  <c r="AB300" i="8" a="1"/>
  <c r="AN304" i="8"/>
  <c r="AN272" i="8" a="1"/>
  <c r="AN276" i="8" a="1"/>
  <c r="AN280" i="8" a="1"/>
  <c r="AN284" i="8" a="1"/>
  <c r="AN288" i="8" a="1"/>
  <c r="AN292" i="8" a="1"/>
  <c r="AN296" i="8" a="1"/>
  <c r="AN300" i="8" a="1"/>
  <c r="AN304" i="8" a="1"/>
  <c r="M302" i="8"/>
  <c r="M266" i="8" a="1"/>
  <c r="M270" i="8" a="1"/>
  <c r="M274" i="8" a="1"/>
  <c r="M278" i="8" a="1"/>
  <c r="M282" i="8" a="1"/>
  <c r="M286" i="8" a="1"/>
  <c r="M290" i="8" a="1"/>
  <c r="M294" i="8" a="1"/>
  <c r="M298" i="8" a="1"/>
  <c r="M302" i="8" a="1"/>
  <c r="F302" i="8"/>
  <c r="F266" i="8" a="1"/>
  <c r="F270" i="8" a="1"/>
  <c r="F274" i="8" a="1"/>
  <c r="F278" i="8" a="1"/>
  <c r="F282" i="8" a="1"/>
  <c r="F286" i="8" a="1"/>
  <c r="F290" i="8" a="1"/>
  <c r="F294" i="8" a="1"/>
  <c r="F298" i="8" a="1"/>
  <c r="F302" i="8" a="1"/>
  <c r="T298" i="8"/>
  <c r="Y296" i="8"/>
  <c r="AG284" i="8"/>
  <c r="Y288" i="8"/>
  <c r="AA296" i="8"/>
  <c r="AH301" i="8"/>
  <c r="AH301" i="8" a="1"/>
  <c r="AH297" i="8"/>
  <c r="AH297" i="8" a="1"/>
  <c r="AH293" i="8"/>
  <c r="AH293" i="8" a="1"/>
  <c r="AH289" i="8"/>
  <c r="AH269" i="8" a="1"/>
  <c r="AH273" i="8" a="1"/>
  <c r="AH277" i="8" a="1"/>
  <c r="AH281" i="8" a="1"/>
  <c r="AH285" i="8" a="1"/>
  <c r="AH289" i="8" a="1"/>
  <c r="AG285" i="8"/>
  <c r="AA270" i="8"/>
  <c r="AB301" i="8"/>
  <c r="AB301" i="8" a="1"/>
  <c r="AB297" i="8"/>
  <c r="AB297" i="8" a="1"/>
  <c r="AB293" i="8"/>
  <c r="AB293" i="8" a="1"/>
  <c r="AB289" i="8"/>
  <c r="AB289" i="8" a="1"/>
  <c r="AB285" i="8"/>
  <c r="AB285" i="8" a="1"/>
  <c r="AB281" i="8"/>
  <c r="AB281" i="8" a="1"/>
  <c r="AB277" i="8"/>
  <c r="AB277" i="8" a="1"/>
  <c r="AB273" i="8"/>
  <c r="AB273" i="8" a="1"/>
  <c r="AB269" i="8"/>
  <c r="AB269" i="8" a="1"/>
  <c r="R293" i="8"/>
  <c r="R289" i="8"/>
  <c r="R285" i="8"/>
  <c r="R281" i="8"/>
  <c r="R277" i="8"/>
  <c r="R273" i="8"/>
  <c r="R269" i="8"/>
  <c r="Z302" i="8"/>
  <c r="Z302" i="8" a="1"/>
  <c r="Z298" i="8"/>
  <c r="Z298" i="8" a="1"/>
  <c r="Z294" i="8"/>
  <c r="Z294" i="8" a="1"/>
  <c r="Z290" i="8"/>
  <c r="Z290" i="8" a="1"/>
  <c r="Z286" i="8"/>
  <c r="Z286" i="8" a="1"/>
  <c r="Z282" i="8"/>
  <c r="Z266" i="8" a="1"/>
  <c r="Z270" i="8" a="1"/>
  <c r="Z274" i="8" a="1"/>
  <c r="Z278" i="8" a="1"/>
  <c r="Z282" i="8" a="1"/>
  <c r="AC302" i="8"/>
  <c r="AC302" i="8" a="1"/>
  <c r="AC298" i="8"/>
  <c r="AC298" i="8" a="1"/>
  <c r="AC294" i="8"/>
  <c r="AC266" i="8" a="1"/>
  <c r="AC270" i="8" a="1"/>
  <c r="AC274" i="8" a="1"/>
  <c r="AC278" i="8" a="1"/>
  <c r="AC282" i="8" a="1"/>
  <c r="AC286" i="8" a="1"/>
  <c r="AC290" i="8" a="1"/>
  <c r="AC294" i="8" a="1"/>
  <c r="Y275" i="8"/>
  <c r="Y271" i="8"/>
  <c r="M301" i="8"/>
  <c r="M301" i="8" a="1"/>
  <c r="M297" i="8"/>
  <c r="M297" i="8" a="1"/>
  <c r="M293" i="8"/>
  <c r="M293" i="8" a="1"/>
  <c r="M289" i="8"/>
  <c r="M289" i="8" a="1"/>
  <c r="M285" i="8"/>
  <c r="M285" i="8" a="1"/>
  <c r="M281" i="8"/>
  <c r="M281" i="8" a="1"/>
  <c r="M277" i="8"/>
  <c r="M277" i="8" a="1"/>
  <c r="M273" i="8"/>
  <c r="M273" i="8" a="1"/>
  <c r="M269" i="8"/>
  <c r="M269" i="8" a="1"/>
  <c r="D299" i="8"/>
  <c r="D291" i="8"/>
  <c r="C288" i="8"/>
  <c r="U303" i="8"/>
  <c r="U303" i="8" a="1"/>
  <c r="U299" i="8"/>
  <c r="U299" i="8" a="1"/>
  <c r="U295" i="8"/>
  <c r="U295" i="8" a="1"/>
  <c r="U291" i="8"/>
  <c r="U291" i="8" a="1"/>
  <c r="U287" i="8"/>
  <c r="U287" i="8" a="1"/>
  <c r="U283" i="8"/>
  <c r="U283" i="8" a="1"/>
  <c r="U279" i="8"/>
  <c r="U271" i="8" a="1"/>
  <c r="U275" i="8" a="1"/>
  <c r="U279" i="8" a="1"/>
  <c r="H304" i="8"/>
  <c r="H304" i="8" a="1"/>
  <c r="H300" i="8"/>
  <c r="H300" i="8" a="1"/>
  <c r="H296" i="8"/>
  <c r="H296" i="8" a="1"/>
  <c r="H292" i="8"/>
  <c r="H292" i="8" a="1"/>
  <c r="H288" i="8"/>
  <c r="H272" i="8" a="1"/>
  <c r="H276" i="8" a="1"/>
  <c r="H280" i="8" a="1"/>
  <c r="H284" i="8" a="1"/>
  <c r="H288" i="8" a="1"/>
  <c r="R297" i="8"/>
  <c r="H278" i="8"/>
  <c r="H274" i="8"/>
  <c r="H270" i="8"/>
  <c r="H266" i="8"/>
  <c r="J284" i="8"/>
  <c r="J280" i="8"/>
  <c r="J276" i="8"/>
  <c r="J272" i="8"/>
  <c r="L294" i="8"/>
  <c r="AA302" i="8"/>
  <c r="AA302" i="8" a="1"/>
  <c r="AA298" i="8"/>
  <c r="AA298" i="8" a="1"/>
  <c r="AA294" i="8"/>
  <c r="AA266" i="8" a="1"/>
  <c r="AA270" i="8" a="1"/>
  <c r="AA274" i="8" a="1"/>
  <c r="AA278" i="8" a="1"/>
  <c r="AA282" i="8" a="1"/>
  <c r="AA286" i="8" a="1"/>
  <c r="AA290" i="8" a="1"/>
  <c r="AA294" i="8" a="1"/>
  <c r="P272" i="8"/>
  <c r="C301" i="8"/>
  <c r="C301" i="8" a="1"/>
  <c r="C297" i="8"/>
  <c r="C297" i="8" a="1"/>
  <c r="C293" i="8"/>
  <c r="C269" i="8" a="1"/>
  <c r="C273" i="8" a="1"/>
  <c r="C277" i="8" a="1"/>
  <c r="C281" i="8" a="1"/>
  <c r="C285" i="8" a="1"/>
  <c r="C289" i="8" a="1"/>
  <c r="C293" i="8" a="1"/>
  <c r="R301" i="8"/>
  <c r="R269" i="8" a="1"/>
  <c r="R273" i="8" a="1"/>
  <c r="R277" i="8" a="1"/>
  <c r="R281" i="8" a="1"/>
  <c r="R285" i="8" a="1"/>
  <c r="R289" i="8" a="1"/>
  <c r="R293" i="8" a="1"/>
  <c r="R297" i="8" a="1"/>
  <c r="R301" i="8" a="1"/>
  <c r="Y298" i="8"/>
  <c r="Y294" i="8"/>
  <c r="Y290" i="8"/>
  <c r="Y286" i="8"/>
  <c r="AB274" i="8"/>
  <c r="AB270" i="8"/>
  <c r="AB266" i="8"/>
  <c r="AA300" i="8"/>
  <c r="R302" i="8"/>
  <c r="R302" i="8" a="1"/>
  <c r="R298" i="8"/>
  <c r="R298" i="8" a="1"/>
  <c r="R294" i="8"/>
  <c r="R266" i="8" a="1"/>
  <c r="R270" i="8" a="1"/>
  <c r="R274" i="8" a="1"/>
  <c r="R278" i="8" a="1"/>
  <c r="R282" i="8" a="1"/>
  <c r="R286" i="8" a="1"/>
  <c r="R290" i="8" a="1"/>
  <c r="R294" i="8" a="1"/>
  <c r="Q294" i="8"/>
  <c r="Q290" i="8"/>
  <c r="H286" i="8"/>
  <c r="AB298" i="8"/>
  <c r="AB294" i="8"/>
  <c r="AB290" i="8"/>
  <c r="AB286" i="8"/>
  <c r="AB282" i="8"/>
  <c r="AB278" i="8"/>
  <c r="AL296" i="8"/>
  <c r="AL292" i="8"/>
  <c r="AL288" i="8"/>
  <c r="AL284" i="8"/>
  <c r="AL280" i="8"/>
  <c r="AL276" i="8"/>
  <c r="AL272" i="8"/>
  <c r="P276" i="8"/>
  <c r="H290" i="8"/>
  <c r="C272" i="8"/>
  <c r="S282" i="8"/>
  <c r="S278" i="8"/>
  <c r="S274" i="8"/>
  <c r="S270" i="8"/>
  <c r="S266" i="8"/>
  <c r="W304" i="8"/>
  <c r="W304" i="8" a="1"/>
  <c r="W300" i="8"/>
  <c r="W300" i="8" a="1"/>
  <c r="W296" i="8"/>
  <c r="W296" i="8" a="1"/>
  <c r="W292" i="8"/>
  <c r="W292" i="8" a="1"/>
  <c r="W288" i="8"/>
  <c r="W288" i="8" a="1"/>
  <c r="W284" i="8"/>
  <c r="W284" i="8" a="1"/>
  <c r="W280" i="8"/>
  <c r="W280" i="8" a="1"/>
  <c r="W276" i="8"/>
  <c r="W276" i="8" a="1"/>
  <c r="W272" i="8"/>
  <c r="W272" i="8" a="1"/>
  <c r="O272" i="8"/>
  <c r="O270" i="8"/>
  <c r="Q298" i="8"/>
  <c r="T274" i="8"/>
  <c r="Y276" i="8"/>
  <c r="Y301" i="8"/>
  <c r="Y301" i="8" a="1"/>
  <c r="Y297" i="8"/>
  <c r="Y297" i="8" a="1"/>
  <c r="Y293" i="8"/>
  <c r="Y293" i="8" a="1"/>
  <c r="Y289" i="8"/>
  <c r="Y289" i="8" a="1"/>
  <c r="Y285" i="8"/>
  <c r="Y285" i="8" a="1"/>
  <c r="Y281" i="8"/>
  <c r="Y281" i="8" a="1"/>
  <c r="Y277" i="8"/>
  <c r="Y277" i="8" a="1"/>
  <c r="Y273" i="8"/>
  <c r="Y273" i="8" a="1"/>
  <c r="Y269" i="8"/>
  <c r="Y269" i="8" a="1"/>
  <c r="AL295" i="8"/>
  <c r="AL291" i="8"/>
  <c r="AL287" i="8"/>
  <c r="AL283" i="8"/>
  <c r="AL279" i="8"/>
  <c r="AL275" i="8"/>
  <c r="AL271" i="8"/>
  <c r="AE292" i="8"/>
  <c r="AG304" i="8"/>
  <c r="AG272" i="8" a="1"/>
  <c r="AG276" i="8" a="1"/>
  <c r="AG280" i="8" a="1"/>
  <c r="AG284" i="8" a="1"/>
  <c r="AG288" i="8" a="1"/>
  <c r="AG292" i="8" a="1"/>
  <c r="AG296" i="8" a="1"/>
  <c r="AG300" i="8" a="1"/>
  <c r="AG304" i="8" a="1"/>
  <c r="Q299" i="8"/>
  <c r="Q279" i="8"/>
  <c r="P296" i="8"/>
  <c r="T290" i="8"/>
  <c r="AE283" i="8"/>
  <c r="AG301" i="8"/>
  <c r="AG269" i="8" a="1"/>
  <c r="AG273" i="8" a="1"/>
  <c r="AG277" i="8" a="1"/>
  <c r="AG281" i="8" a="1"/>
  <c r="AG285" i="8" a="1"/>
  <c r="AG289" i="8" a="1"/>
  <c r="AG293" i="8" a="1"/>
  <c r="AG297" i="8" a="1"/>
  <c r="AG301" i="8" a="1"/>
  <c r="L278" i="8"/>
  <c r="Q275" i="8"/>
  <c r="P300" i="8"/>
  <c r="X304" i="8"/>
  <c r="X304" i="8" a="1"/>
  <c r="X300" i="8"/>
  <c r="X300" i="8" a="1"/>
  <c r="X296" i="8"/>
  <c r="X272" i="8" a="1"/>
  <c r="X276" i="8" a="1"/>
  <c r="X280" i="8" a="1"/>
  <c r="X284" i="8" a="1"/>
  <c r="X288" i="8" a="1"/>
  <c r="X292" i="8" a="1"/>
  <c r="X296" i="8" a="1"/>
  <c r="O301" i="8"/>
  <c r="O301" i="8" a="1"/>
  <c r="O297" i="8"/>
  <c r="O289" i="8" a="1"/>
  <c r="O293" i="8" a="1"/>
  <c r="O297" i="8" a="1"/>
  <c r="L284" i="8"/>
  <c r="AE303" i="8"/>
  <c r="AE271" i="8" a="1"/>
  <c r="AE275" i="8" a="1"/>
  <c r="AE279" i="8" a="1"/>
  <c r="AE283" i="8" a="1"/>
  <c r="AE287" i="8" a="1"/>
  <c r="AE291" i="8" a="1"/>
  <c r="AE295" i="8" a="1"/>
  <c r="AE299" i="8" a="1"/>
  <c r="AE303" i="8" a="1"/>
  <c r="R288" i="8"/>
  <c r="L292" i="8"/>
  <c r="AA284" i="8"/>
  <c r="R292" i="8"/>
  <c r="O278" i="8"/>
  <c r="AB302" i="8"/>
  <c r="AB266" i="8" a="1"/>
  <c r="AB270" i="8" a="1"/>
  <c r="AB274" i="8" a="1"/>
  <c r="AB278" i="8" a="1"/>
  <c r="AB282" i="8" a="1"/>
  <c r="AB286" i="8" a="1"/>
  <c r="AB290" i="8" a="1"/>
  <c r="AB294" i="8" a="1"/>
  <c r="AB298" i="8" a="1"/>
  <c r="AB302" i="8" a="1"/>
  <c r="M283" i="8"/>
  <c r="M279" i="8"/>
  <c r="M275" i="8"/>
  <c r="M271" i="8"/>
  <c r="O276" i="8"/>
  <c r="K288" i="8"/>
  <c r="K284" i="8"/>
  <c r="K280" i="8"/>
  <c r="K276" i="8"/>
  <c r="S276" i="8"/>
  <c r="S288" i="8"/>
  <c r="K302" i="8"/>
  <c r="K302" i="8" a="1"/>
  <c r="K298" i="8"/>
  <c r="K298" i="8" a="1"/>
  <c r="K294" i="8"/>
  <c r="K294" i="8" a="1"/>
  <c r="K290" i="8"/>
  <c r="K290" i="8" a="1"/>
  <c r="K286" i="8"/>
  <c r="K286" i="8" a="1"/>
  <c r="K282" i="8"/>
  <c r="K282" i="8" a="1"/>
  <c r="K278" i="8"/>
  <c r="K278" i="8" a="1"/>
  <c r="K274" i="8"/>
  <c r="K274" i="8" a="1"/>
  <c r="K270" i="8"/>
  <c r="K270" i="8" a="1"/>
  <c r="K266" i="8"/>
  <c r="K266" i="8" a="1"/>
  <c r="AK285" i="8"/>
  <c r="K303" i="8"/>
  <c r="K271" i="8" a="1"/>
  <c r="K275" i="8" a="1"/>
  <c r="K279" i="8" a="1"/>
  <c r="K283" i="8" a="1"/>
  <c r="K287" i="8" a="1"/>
  <c r="K291" i="8" a="1"/>
  <c r="K295" i="8" a="1"/>
  <c r="K299" i="8" a="1"/>
  <c r="K303" i="8" a="1"/>
  <c r="Y287" i="8"/>
  <c r="Y279" i="8"/>
  <c r="M299" i="8"/>
  <c r="M295" i="8"/>
  <c r="M291" i="8"/>
  <c r="M287" i="8"/>
  <c r="C284" i="8"/>
  <c r="AF288" i="8"/>
  <c r="AF284" i="8"/>
  <c r="AF280" i="8"/>
  <c r="AF276" i="8"/>
  <c r="AF272" i="8"/>
  <c r="Q303" i="8"/>
  <c r="Q271" i="8" a="1"/>
  <c r="Q275" i="8" a="1"/>
  <c r="Q279" i="8" a="1"/>
  <c r="Q283" i="8" a="1"/>
  <c r="Q287" i="8" a="1"/>
  <c r="Q291" i="8" a="1"/>
  <c r="Q295" i="8" a="1"/>
  <c r="Q299" i="8" a="1"/>
  <c r="Q303" i="8" a="1"/>
  <c r="C304" i="8"/>
  <c r="C272" i="8" a="1"/>
  <c r="C276" i="8" a="1"/>
  <c r="C280" i="8" a="1"/>
  <c r="C284" i="8" a="1"/>
  <c r="C288" i="8" a="1"/>
  <c r="C292" i="8" a="1"/>
  <c r="C296" i="8" a="1"/>
  <c r="C300" i="8" a="1"/>
  <c r="C304" i="8" a="1"/>
  <c r="J302" i="8"/>
  <c r="J266" i="8" a="1"/>
  <c r="J270" i="8" a="1"/>
  <c r="J274" i="8" a="1"/>
  <c r="J278" i="8" a="1"/>
  <c r="J282" i="8" a="1"/>
  <c r="J286" i="8" a="1"/>
  <c r="J290" i="8" a="1"/>
  <c r="J294" i="8" a="1"/>
  <c r="J298" i="8" a="1"/>
  <c r="J302" i="8" a="1"/>
  <c r="L282" i="8"/>
  <c r="U18" i="16"/>
  <c r="W18" i="16"/>
  <c r="Y18" i="16"/>
  <c r="O277" i="8" a="1"/>
  <c r="O281" i="8" a="1"/>
  <c r="O285" i="8" a="1"/>
  <c r="S18" i="16"/>
  <c r="AA272" i="8"/>
  <c r="P304" i="8"/>
  <c r="P272" i="8" a="1"/>
  <c r="P276" i="8" a="1"/>
  <c r="P280" i="8" a="1"/>
  <c r="P284" i="8" a="1"/>
  <c r="P288" i="8" a="1"/>
  <c r="P292" i="8" a="1"/>
  <c r="P296" i="8" a="1"/>
  <c r="P300" i="8" a="1"/>
  <c r="P304" i="8" a="1"/>
  <c r="Z272" i="8"/>
  <c r="M303" i="8"/>
  <c r="M271" i="8" a="1"/>
  <c r="M275" i="8" a="1"/>
  <c r="M279" i="8" a="1"/>
  <c r="M283" i="8" a="1"/>
  <c r="M287" i="8" a="1"/>
  <c r="M291" i="8" a="1"/>
  <c r="M295" i="8" a="1"/>
  <c r="M299" i="8" a="1"/>
  <c r="M303" i="8" a="1"/>
  <c r="I298" i="8"/>
  <c r="I294" i="8"/>
  <c r="I290" i="8"/>
  <c r="I282" i="8"/>
  <c r="I278" i="8"/>
  <c r="I274" i="8"/>
  <c r="I270" i="8"/>
  <c r="I266" i="8"/>
  <c r="Z276" i="8"/>
  <c r="Y272" i="8"/>
  <c r="Y291" i="8"/>
  <c r="AM280" i="8"/>
  <c r="AM276" i="8"/>
  <c r="AM272" i="8"/>
  <c r="G304" i="8"/>
  <c r="G304" i="8" a="1"/>
  <c r="G300" i="8"/>
  <c r="G300" i="8" a="1"/>
  <c r="G296" i="8"/>
  <c r="G296" i="8" a="1"/>
  <c r="G292" i="8"/>
  <c r="G292" i="8" a="1"/>
  <c r="G288" i="8"/>
  <c r="G288" i="8" a="1"/>
  <c r="G284" i="8"/>
  <c r="G284" i="8" a="1"/>
  <c r="G280" i="8"/>
  <c r="G280" i="8" a="1"/>
  <c r="G276" i="8"/>
  <c r="G276" i="8" a="1"/>
  <c r="G272" i="8"/>
  <c r="G272" i="8" a="1"/>
  <c r="AD282" i="8"/>
  <c r="O279" i="8"/>
  <c r="N294" i="8"/>
  <c r="N290" i="8"/>
  <c r="N286" i="8"/>
  <c r="N282" i="8"/>
  <c r="N278" i="8"/>
  <c r="N274" i="8"/>
  <c r="N270" i="8"/>
  <c r="N266" i="8"/>
  <c r="Z296" i="8"/>
  <c r="AK301" i="8"/>
  <c r="AK301" i="8" a="1"/>
  <c r="AK297" i="8"/>
  <c r="AK297" i="8" a="1"/>
  <c r="AK293" i="8"/>
  <c r="AK293" i="8" a="1"/>
  <c r="AK289" i="8"/>
  <c r="AK269" i="8" a="1"/>
  <c r="AK273" i="8" a="1"/>
  <c r="AK277" i="8" a="1"/>
  <c r="AK281" i="8" a="1"/>
  <c r="AK285" i="8" a="1"/>
  <c r="AK289" i="8" a="1"/>
  <c r="Y280" i="8"/>
  <c r="H282" i="8"/>
  <c r="AJ281" i="8"/>
  <c r="I303" i="8"/>
  <c r="I303" i="8" a="1"/>
  <c r="I299" i="8"/>
  <c r="I299" i="8" a="1"/>
  <c r="I295" i="8"/>
  <c r="I295" i="8" a="1"/>
  <c r="I291" i="8"/>
  <c r="I291" i="8" a="1"/>
  <c r="I287" i="8"/>
  <c r="I287" i="8" a="1"/>
  <c r="I283" i="8"/>
  <c r="I283" i="8" a="1"/>
  <c r="I279" i="8"/>
  <c r="I279" i="8" a="1"/>
  <c r="I275" i="8"/>
  <c r="I275" i="8" a="1"/>
  <c r="I271" i="8"/>
  <c r="I271" i="8" a="1"/>
  <c r="U288" i="8"/>
  <c r="U284" i="8"/>
  <c r="U280" i="8"/>
  <c r="U276" i="8"/>
  <c r="U272" i="8"/>
  <c r="F275" i="8"/>
  <c r="F271" i="8"/>
  <c r="U286" i="8"/>
  <c r="U282" i="8"/>
  <c r="U278" i="8"/>
  <c r="U274" i="8"/>
  <c r="U270" i="8"/>
  <c r="U266" i="8"/>
  <c r="I273" i="8"/>
  <c r="O284" i="8"/>
  <c r="F287" i="8"/>
  <c r="F283" i="8"/>
  <c r="F279" i="8"/>
  <c r="I293" i="8"/>
  <c r="I289" i="8"/>
  <c r="I285" i="8"/>
  <c r="I281" i="8"/>
  <c r="I277" i="8"/>
  <c r="V287" i="8"/>
  <c r="V283" i="8"/>
  <c r="V275" i="8"/>
  <c r="V271" i="8"/>
  <c r="F291" i="8"/>
  <c r="L293" i="8"/>
  <c r="L273" i="8"/>
  <c r="L269" i="8"/>
  <c r="L298" i="8"/>
  <c r="R300" i="8"/>
  <c r="S17" i="16"/>
  <c r="U17" i="16"/>
  <c r="W17" i="16"/>
  <c r="Y17" i="16"/>
  <c r="T285" i="8"/>
  <c r="K273" i="8"/>
  <c r="K269" i="8"/>
  <c r="F280" i="8"/>
  <c r="F276" i="8"/>
  <c r="F272" i="8"/>
  <c r="L304" i="8"/>
  <c r="L272" i="8" a="1"/>
  <c r="L276" i="8" a="1"/>
  <c r="L280" i="8" a="1"/>
  <c r="L284" i="8" a="1"/>
  <c r="L288" i="8" a="1"/>
  <c r="L292" i="8" a="1"/>
  <c r="L296" i="8" a="1"/>
  <c r="L300" i="8" a="1"/>
  <c r="L304" i="8" a="1"/>
  <c r="T302" i="8"/>
  <c r="T266" i="8" a="1"/>
  <c r="T270" i="8" a="1"/>
  <c r="T274" i="8" a="1"/>
  <c r="T278" i="8" a="1"/>
  <c r="T282" i="8" a="1"/>
  <c r="T286" i="8" a="1"/>
  <c r="T290" i="8" a="1"/>
  <c r="T294" i="8" a="1"/>
  <c r="T298" i="8" a="1"/>
  <c r="T302" i="8" a="1"/>
  <c r="AE304" i="8"/>
  <c r="AE272" i="8" a="1"/>
  <c r="AE276" i="8" a="1"/>
  <c r="AE280" i="8" a="1"/>
  <c r="AE284" i="8" a="1"/>
  <c r="AE288" i="8" a="1"/>
  <c r="AE292" i="8" a="1"/>
  <c r="AE296" i="8" a="1"/>
  <c r="AE300" i="8" a="1"/>
  <c r="AE304" i="8" a="1"/>
  <c r="Y304" i="8"/>
  <c r="Y272" i="8" a="1"/>
  <c r="Y276" i="8" a="1"/>
  <c r="Y280" i="8" a="1"/>
  <c r="Y284" i="8" a="1"/>
  <c r="Y288" i="8" a="1"/>
  <c r="Y292" i="8" a="1"/>
  <c r="Y296" i="8" a="1"/>
  <c r="Y300" i="8" a="1"/>
  <c r="Y304" i="8" a="1"/>
  <c r="Z304" i="8"/>
  <c r="Z272" i="8" a="1"/>
  <c r="Z276" i="8" a="1"/>
  <c r="Z280" i="8" a="1"/>
  <c r="Z284" i="8" a="1"/>
  <c r="Z288" i="8" a="1"/>
  <c r="Z292" i="8" a="1"/>
  <c r="Z296" i="8" a="1"/>
  <c r="Z300" i="8" a="1"/>
  <c r="Z304" i="8" a="1"/>
  <c r="L266" i="8"/>
  <c r="L302" i="8"/>
  <c r="L266" i="8" a="1"/>
  <c r="L270" i="8" a="1"/>
  <c r="L274" i="8" a="1"/>
  <c r="L278" i="8" a="1"/>
  <c r="L282" i="8" a="1"/>
  <c r="L286" i="8" a="1"/>
  <c r="L290" i="8" a="1"/>
  <c r="L294" i="8" a="1"/>
  <c r="L298" i="8" a="1"/>
  <c r="L302" i="8" a="1"/>
  <c r="AA292" i="8"/>
  <c r="T301" i="8"/>
  <c r="T269" i="8" a="1"/>
  <c r="T273" i="8" a="1"/>
  <c r="T277" i="8" a="1"/>
  <c r="T281" i="8" a="1"/>
  <c r="T285" i="8" a="1"/>
  <c r="T289" i="8" a="1"/>
  <c r="T293" i="8" a="1"/>
  <c r="T297" i="8" a="1"/>
  <c r="T301" i="8" a="1"/>
  <c r="H294" i="8"/>
  <c r="R304" i="8"/>
  <c r="R272" i="8" a="1"/>
  <c r="R276" i="8" a="1"/>
  <c r="R280" i="8" a="1"/>
  <c r="R284" i="8" a="1"/>
  <c r="R288" i="8" a="1"/>
  <c r="R292" i="8" a="1"/>
  <c r="R296" i="8" a="1"/>
  <c r="R300" i="8" a="1"/>
  <c r="R304" i="8" a="1"/>
  <c r="P302" i="8"/>
  <c r="P302" i="8" a="1"/>
  <c r="P298" i="8"/>
  <c r="P298" i="8" a="1"/>
  <c r="P294" i="8"/>
  <c r="P294" i="8" a="1"/>
  <c r="P290" i="8"/>
  <c r="P290" i="8" a="1"/>
  <c r="P286" i="8"/>
  <c r="P286" i="8" a="1"/>
  <c r="P282" i="8"/>
  <c r="P282" i="8" a="1"/>
  <c r="P278" i="8"/>
  <c r="P278" i="8" a="1"/>
  <c r="P274" i="8"/>
  <c r="P274" i="8" a="1"/>
  <c r="P270" i="8"/>
  <c r="P270" i="8" a="1"/>
  <c r="P266" i="8"/>
  <c r="P266" i="8" a="1"/>
  <c r="Q288" i="8"/>
  <c r="Q284" i="8"/>
  <c r="Q280" i="8"/>
  <c r="Q276" i="8"/>
  <c r="Q272" i="8"/>
  <c r="B276" i="8"/>
  <c r="B272" i="8"/>
  <c r="V279" i="8"/>
  <c r="Q292" i="8"/>
  <c r="AL270" i="8"/>
  <c r="AL266" i="8"/>
  <c r="V291" i="8"/>
  <c r="H302" i="8"/>
  <c r="H302" i="8" a="1"/>
  <c r="H298" i="8"/>
  <c r="H266" i="8" a="1"/>
  <c r="H270" i="8" a="1"/>
  <c r="H274" i="8" a="1"/>
  <c r="H278" i="8" a="1"/>
  <c r="H282" i="8" a="1"/>
  <c r="H286" i="8" a="1"/>
  <c r="H290" i="8" a="1"/>
  <c r="H294" i="8" a="1"/>
  <c r="H298" i="8" a="1"/>
  <c r="Y283" i="8"/>
  <c r="AD290" i="8"/>
  <c r="J288" i="8"/>
  <c r="S294" i="8"/>
  <c r="S290" i="8"/>
  <c r="S286" i="8"/>
  <c r="K272" i="8"/>
  <c r="Q296" i="8"/>
  <c r="AL274" i="8"/>
  <c r="J277" i="8"/>
  <c r="J273" i="8"/>
  <c r="J269" i="8"/>
  <c r="Y295" i="8"/>
  <c r="Y299" i="8"/>
  <c r="AD294" i="8"/>
  <c r="AD298" i="8"/>
  <c r="Y302" i="8"/>
  <c r="Y266" i="8" a="1"/>
  <c r="Y270" i="8" a="1"/>
  <c r="Y274" i="8" a="1"/>
  <c r="Y278" i="8" a="1"/>
  <c r="Y282" i="8" a="1"/>
  <c r="Y286" i="8" a="1"/>
  <c r="Y290" i="8" a="1"/>
  <c r="Y294" i="8" a="1"/>
  <c r="Y298" i="8" a="1"/>
  <c r="Y302" i="8" a="1"/>
  <c r="AM304" i="8"/>
  <c r="AM304" i="8" a="1"/>
  <c r="AM300" i="8"/>
  <c r="AM300" i="8" a="1"/>
  <c r="AM296" i="8"/>
  <c r="AM296" i="8" a="1"/>
  <c r="AM292" i="8"/>
  <c r="AM292" i="8" a="1"/>
  <c r="AM288" i="8"/>
  <c r="AM288" i="8" a="1"/>
  <c r="AM284" i="8"/>
  <c r="AM272" i="8" a="1"/>
  <c r="AM276" i="8" a="1"/>
  <c r="AM280" i="8" a="1"/>
  <c r="AM284" i="8" a="1"/>
  <c r="J296" i="8"/>
  <c r="J292" i="8"/>
  <c r="AL300" i="8"/>
  <c r="F295" i="8"/>
  <c r="Q304" i="8"/>
  <c r="Q304" i="8" a="1"/>
  <c r="Q300" i="8"/>
  <c r="Q272" i="8" a="1"/>
  <c r="Q276" i="8" a="1"/>
  <c r="Q280" i="8" a="1"/>
  <c r="Q284" i="8" a="1"/>
  <c r="Q288" i="8" a="1"/>
  <c r="Q292" i="8" a="1"/>
  <c r="Q296" i="8" a="1"/>
  <c r="Q300" i="8" a="1"/>
  <c r="K281" i="8"/>
  <c r="K277" i="8"/>
  <c r="AL286" i="8"/>
  <c r="AL282" i="8"/>
  <c r="AL278" i="8"/>
  <c r="I286" i="8"/>
  <c r="I297" i="8"/>
  <c r="AJ293" i="8"/>
  <c r="Z285" i="8"/>
  <c r="Z281" i="8"/>
  <c r="Z277" i="8"/>
  <c r="Z273" i="8"/>
  <c r="Z269" i="8"/>
  <c r="I269" i="8"/>
  <c r="F284" i="8"/>
  <c r="AA287" i="8"/>
  <c r="AA283" i="8"/>
  <c r="AA279" i="8"/>
  <c r="AA275" i="8"/>
  <c r="AA271" i="8"/>
  <c r="J300" i="8"/>
  <c r="AL304" i="8"/>
  <c r="AL272" i="8" a="1"/>
  <c r="AL276" i="8" a="1"/>
  <c r="AL280" i="8" a="1"/>
  <c r="AL284" i="8" a="1"/>
  <c r="AL288" i="8" a="1"/>
  <c r="AL292" i="8" a="1"/>
  <c r="AL296" i="8" a="1"/>
  <c r="AL300" i="8" a="1"/>
  <c r="AL304" i="8" a="1"/>
  <c r="K292" i="8"/>
  <c r="F299" i="8"/>
  <c r="AL290" i="8"/>
  <c r="X277" i="8"/>
  <c r="X273" i="8"/>
  <c r="X269" i="8"/>
  <c r="I301" i="8"/>
  <c r="I269" i="8" a="1"/>
  <c r="I273" i="8" a="1"/>
  <c r="I277" i="8" a="1"/>
  <c r="I281" i="8" a="1"/>
  <c r="I285" i="8" a="1"/>
  <c r="I289" i="8" a="1"/>
  <c r="I293" i="8" a="1"/>
  <c r="I297" i="8" a="1"/>
  <c r="I301" i="8" a="1"/>
  <c r="X281" i="8"/>
  <c r="O283" i="8"/>
  <c r="AM273" i="8"/>
  <c r="Y303" i="8"/>
  <c r="Y271" i="8" a="1"/>
  <c r="Y275" i="8" a="1"/>
  <c r="Y279" i="8" a="1"/>
  <c r="Y283" i="8" a="1"/>
  <c r="Y287" i="8" a="1"/>
  <c r="Y291" i="8" a="1"/>
  <c r="Y295" i="8" a="1"/>
  <c r="Y299" i="8" a="1"/>
  <c r="Y303" i="8" a="1"/>
  <c r="AD302" i="8"/>
  <c r="AD266" i="8" a="1"/>
  <c r="AD270" i="8" a="1"/>
  <c r="AD274" i="8" a="1"/>
  <c r="AD278" i="8" a="1"/>
  <c r="AD282" i="8" a="1"/>
  <c r="AD286" i="8" a="1"/>
  <c r="AD290" i="8" a="1"/>
  <c r="AD294" i="8" a="1"/>
  <c r="AD298" i="8" a="1"/>
  <c r="AD302" i="8" a="1"/>
  <c r="S291" i="8"/>
  <c r="J304" i="8"/>
  <c r="J272" i="8" a="1"/>
  <c r="J276" i="8" a="1"/>
  <c r="J280" i="8" a="1"/>
  <c r="J284" i="8" a="1"/>
  <c r="J288" i="8" a="1"/>
  <c r="J292" i="8" a="1"/>
  <c r="J296" i="8" a="1"/>
  <c r="J300" i="8" a="1"/>
  <c r="J304" i="8" a="1"/>
  <c r="F303" i="8"/>
  <c r="F271" i="8" a="1"/>
  <c r="F275" i="8" a="1"/>
  <c r="F279" i="8" a="1"/>
  <c r="F283" i="8" a="1"/>
  <c r="F287" i="8" a="1"/>
  <c r="F291" i="8" a="1"/>
  <c r="F295" i="8" a="1"/>
  <c r="F299" i="8" a="1"/>
  <c r="F303" i="8" a="1"/>
  <c r="S272" i="8"/>
  <c r="K289" i="8"/>
  <c r="K285" i="8"/>
  <c r="O304" i="8"/>
  <c r="O304" i="8" a="1"/>
  <c r="O300" i="8"/>
  <c r="O300" i="8" a="1"/>
  <c r="U277" i="8"/>
  <c r="U273" i="8"/>
  <c r="U269" i="8"/>
  <c r="N279" i="8"/>
  <c r="N275" i="8"/>
  <c r="N271" i="8"/>
  <c r="AL303" i="8"/>
  <c r="AL303" i="8" a="1"/>
  <c r="AL299" i="8"/>
  <c r="AL271" i="8" a="1"/>
  <c r="AL275" i="8" a="1"/>
  <c r="AL279" i="8" a="1"/>
  <c r="AL283" i="8" a="1"/>
  <c r="AL287" i="8" a="1"/>
  <c r="AL291" i="8" a="1"/>
  <c r="AL295" i="8" a="1"/>
  <c r="AL299" i="8" a="1"/>
  <c r="S302" i="8"/>
  <c r="S302" i="8" a="1"/>
  <c r="S298" i="8"/>
  <c r="S266" i="8" a="1"/>
  <c r="S270" i="8" a="1"/>
  <c r="S274" i="8" a="1"/>
  <c r="S278" i="8" a="1"/>
  <c r="S282" i="8" a="1"/>
  <c r="S286" i="8" a="1"/>
  <c r="S290" i="8" a="1"/>
  <c r="S294" i="8" a="1"/>
  <c r="S298" i="8" a="1"/>
  <c r="K296" i="8"/>
  <c r="AL294" i="8"/>
  <c r="N300" i="8"/>
  <c r="N292" i="8"/>
  <c r="N288" i="8"/>
  <c r="N276" i="8"/>
  <c r="N272" i="8"/>
  <c r="T287" i="8"/>
  <c r="T283" i="8"/>
  <c r="T279" i="8"/>
  <c r="T275" i="8"/>
  <c r="T271" i="8"/>
  <c r="U281" i="8"/>
  <c r="R271" i="8"/>
  <c r="O302" i="8"/>
  <c r="O302" i="8" a="1"/>
  <c r="O298" i="8"/>
  <c r="O298" i="8" a="1"/>
  <c r="S295" i="8"/>
  <c r="O295" i="8"/>
  <c r="I302" i="8"/>
  <c r="I266" i="8" a="1"/>
  <c r="I270" i="8" a="1"/>
  <c r="I274" i="8" a="1"/>
  <c r="I278" i="8" a="1"/>
  <c r="I282" i="8" a="1"/>
  <c r="I286" i="8" a="1"/>
  <c r="I290" i="8" a="1"/>
  <c r="I294" i="8" a="1"/>
  <c r="I298" i="8" a="1"/>
  <c r="I302" i="8" a="1"/>
  <c r="S280" i="8"/>
  <c r="K293" i="8"/>
  <c r="M276" i="8"/>
  <c r="M272" i="8"/>
  <c r="N296" i="8"/>
  <c r="Z301" i="8"/>
  <c r="Z301" i="8" a="1"/>
  <c r="Z297" i="8"/>
  <c r="Z297" i="8" a="1"/>
  <c r="Z293" i="8"/>
  <c r="Z293" i="8" a="1"/>
  <c r="Z289" i="8"/>
  <c r="Z269" i="8" a="1"/>
  <c r="Z273" i="8" a="1"/>
  <c r="Z277" i="8" a="1"/>
  <c r="Z281" i="8" a="1"/>
  <c r="Z285" i="8" a="1"/>
  <c r="Z289" i="8" a="1"/>
  <c r="P275" i="8"/>
  <c r="P271" i="8"/>
  <c r="U289" i="8"/>
  <c r="U285" i="8"/>
  <c r="X271" i="8"/>
  <c r="O273" i="8"/>
  <c r="R275" i="8"/>
  <c r="K300" i="8"/>
  <c r="K297" i="8"/>
  <c r="AL298" i="8"/>
  <c r="Q269" i="8"/>
  <c r="Q273" i="8"/>
  <c r="C303" i="8"/>
  <c r="C303" i="8" a="1"/>
  <c r="C299" i="8"/>
  <c r="C299" i="8" a="1"/>
  <c r="C295" i="8"/>
  <c r="C295" i="8" a="1"/>
  <c r="C291" i="8"/>
  <c r="C291" i="8" a="1"/>
  <c r="C287" i="8"/>
  <c r="C287" i="8" a="1"/>
  <c r="C283" i="8"/>
  <c r="C283" i="8" a="1"/>
  <c r="C279" i="8"/>
  <c r="C279" i="8" a="1"/>
  <c r="C275" i="8"/>
  <c r="C275" i="8" a="1"/>
  <c r="C271" i="8"/>
  <c r="C271" i="8" a="1"/>
  <c r="AJ295" i="8"/>
  <c r="AJ283" i="8"/>
  <c r="P279" i="8"/>
  <c r="U301" i="8"/>
  <c r="U301" i="8" a="1"/>
  <c r="U297" i="8"/>
  <c r="U297" i="8" a="1"/>
  <c r="U293" i="8"/>
  <c r="U269" i="8" a="1"/>
  <c r="U273" i="8" a="1"/>
  <c r="U277" i="8" a="1"/>
  <c r="U281" i="8" a="1"/>
  <c r="U285" i="8" a="1"/>
  <c r="U289" i="8" a="1"/>
  <c r="U293" i="8" a="1"/>
  <c r="X275" i="8"/>
  <c r="B280" i="8"/>
  <c r="L277" i="8"/>
  <c r="S299" i="8"/>
  <c r="U296" i="8"/>
  <c r="K304" i="8"/>
  <c r="K272" i="8" a="1"/>
  <c r="K276" i="8" a="1"/>
  <c r="K280" i="8" a="1"/>
  <c r="K284" i="8" a="1"/>
  <c r="K288" i="8" a="1"/>
  <c r="K292" i="8" a="1"/>
  <c r="K296" i="8" a="1"/>
  <c r="K300" i="8" a="1"/>
  <c r="K304" i="8" a="1"/>
  <c r="S284" i="8"/>
  <c r="K301" i="8"/>
  <c r="K269" i="8" a="1"/>
  <c r="K273" i="8" a="1"/>
  <c r="K277" i="8" a="1"/>
  <c r="K281" i="8" a="1"/>
  <c r="K285" i="8" a="1"/>
  <c r="K289" i="8" a="1"/>
  <c r="K293" i="8" a="1"/>
  <c r="K297" i="8" a="1"/>
  <c r="K301" i="8" a="1"/>
  <c r="AL302" i="8"/>
  <c r="AL266" i="8" a="1"/>
  <c r="AL270" i="8" a="1"/>
  <c r="AL274" i="8" a="1"/>
  <c r="AL278" i="8" a="1"/>
  <c r="AL282" i="8" a="1"/>
  <c r="AL286" i="8" a="1"/>
  <c r="AL290" i="8" a="1"/>
  <c r="AL294" i="8" a="1"/>
  <c r="AL298" i="8" a="1"/>
  <c r="AL302" i="8" a="1"/>
  <c r="X293" i="8"/>
  <c r="X289" i="8"/>
  <c r="X285" i="8"/>
  <c r="AJ291" i="8"/>
  <c r="P287" i="8"/>
  <c r="P283" i="8"/>
  <c r="T291" i="8"/>
  <c r="Q278" i="8"/>
  <c r="AE278" i="8"/>
  <c r="AE274" i="8"/>
  <c r="AE270" i="8"/>
  <c r="B284" i="8"/>
  <c r="L281" i="8"/>
  <c r="Q285" i="8"/>
  <c r="Q281" i="8"/>
  <c r="Q277" i="8"/>
  <c r="X297" i="8"/>
  <c r="M288" i="8"/>
  <c r="M284" i="8"/>
  <c r="M280" i="8"/>
  <c r="V303" i="8"/>
  <c r="V303" i="8" a="1"/>
  <c r="V299" i="8"/>
  <c r="V299" i="8" a="1"/>
  <c r="V295" i="8"/>
  <c r="V271" i="8" a="1"/>
  <c r="V275" i="8" a="1"/>
  <c r="V279" i="8" a="1"/>
  <c r="V283" i="8" a="1"/>
  <c r="V287" i="8" a="1"/>
  <c r="V291" i="8" a="1"/>
  <c r="V295" i="8" a="1"/>
  <c r="P295" i="8"/>
  <c r="P291" i="8"/>
  <c r="T295" i="8"/>
  <c r="Q282" i="8"/>
  <c r="Q289" i="8"/>
  <c r="X301" i="8"/>
  <c r="X269" i="8" a="1"/>
  <c r="X273" i="8" a="1"/>
  <c r="X277" i="8" a="1"/>
  <c r="X281" i="8" a="1"/>
  <c r="X285" i="8" a="1"/>
  <c r="X289" i="8" a="1"/>
  <c r="X293" i="8" a="1"/>
  <c r="X297" i="8" a="1"/>
  <c r="X301" i="8" a="1"/>
  <c r="M292" i="8"/>
  <c r="N302" i="8"/>
  <c r="N302" i="8" a="1"/>
  <c r="N298" i="8"/>
  <c r="N266" i="8" a="1"/>
  <c r="N270" i="8" a="1"/>
  <c r="N274" i="8" a="1"/>
  <c r="N278" i="8" a="1"/>
  <c r="N282" i="8" a="1"/>
  <c r="N286" i="8" a="1"/>
  <c r="N290" i="8" a="1"/>
  <c r="N294" i="8" a="1"/>
  <c r="N298" i="8" a="1"/>
  <c r="P299" i="8"/>
  <c r="T303" i="8"/>
  <c r="T303" i="8" a="1"/>
  <c r="T299" i="8"/>
  <c r="T271" i="8" a="1"/>
  <c r="T275" i="8" a="1"/>
  <c r="T279" i="8" a="1"/>
  <c r="T283" i="8" a="1"/>
  <c r="T287" i="8" a="1"/>
  <c r="T291" i="8" a="1"/>
  <c r="T295" i="8" a="1"/>
  <c r="T299" i="8" a="1"/>
  <c r="AD280" i="8"/>
  <c r="AD276" i="8"/>
  <c r="AD272" i="8"/>
  <c r="E286" i="8"/>
  <c r="E282" i="8"/>
  <c r="E278" i="8"/>
  <c r="E274" i="8"/>
  <c r="E270" i="8"/>
  <c r="S292" i="8"/>
  <c r="U292" i="8"/>
  <c r="Q293" i="8"/>
  <c r="M296" i="8"/>
  <c r="AF292" i="8"/>
  <c r="U294" i="8"/>
  <c r="U290" i="8"/>
  <c r="AN283" i="8"/>
  <c r="AN279" i="8"/>
  <c r="AN275" i="8"/>
  <c r="AN271" i="8"/>
  <c r="AM277" i="8"/>
  <c r="AM281" i="8"/>
  <c r="AA304" i="8"/>
  <c r="AA272" i="8" a="1"/>
  <c r="AA276" i="8" a="1"/>
  <c r="AA280" i="8" a="1"/>
  <c r="AA284" i="8" a="1"/>
  <c r="AA288" i="8" a="1"/>
  <c r="AA292" i="8" a="1"/>
  <c r="AA296" i="8" a="1"/>
  <c r="AA300" i="8" a="1"/>
  <c r="AA304" i="8" a="1"/>
  <c r="S14" i="16"/>
  <c r="S24" i="16"/>
  <c r="Y24" i="16"/>
  <c r="Q302" i="8"/>
  <c r="Q266" i="8" a="1"/>
  <c r="Q270" i="8" a="1"/>
  <c r="Q274" i="8" a="1"/>
  <c r="Q278" i="8" a="1"/>
  <c r="Q282" i="8" a="1"/>
  <c r="Q286" i="8" a="1"/>
  <c r="Q290" i="8" a="1"/>
  <c r="Q294" i="8" a="1"/>
  <c r="Q298" i="8" a="1"/>
  <c r="Q302" i="8" a="1"/>
  <c r="W23" i="16"/>
  <c r="S23" i="16"/>
  <c r="U23" i="16"/>
  <c r="O295" i="8" a="1"/>
  <c r="O299" i="8" a="1"/>
  <c r="O303" i="8" a="1"/>
  <c r="Y23" i="16"/>
  <c r="O294" i="8"/>
  <c r="O280" i="8"/>
  <c r="O296" i="8"/>
  <c r="S296" i="8"/>
  <c r="O290" i="8"/>
  <c r="Q297" i="8"/>
  <c r="M300" i="8"/>
  <c r="T284" i="8"/>
  <c r="T280" i="8"/>
  <c r="T276" i="8"/>
  <c r="T272" i="8"/>
  <c r="U298" i="8"/>
  <c r="AN303" i="8"/>
  <c r="AN303" i="8" a="1"/>
  <c r="AN299" i="8"/>
  <c r="AN299" i="8" a="1"/>
  <c r="AN295" i="8"/>
  <c r="AN295" i="8" a="1"/>
  <c r="AN291" i="8"/>
  <c r="AN291" i="8" a="1"/>
  <c r="AN287" i="8"/>
  <c r="AN271" i="8" a="1"/>
  <c r="AN275" i="8" a="1"/>
  <c r="AN279" i="8" a="1"/>
  <c r="AN283" i="8" a="1"/>
  <c r="AN287" i="8" a="1"/>
  <c r="E276" i="8"/>
  <c r="E272" i="8"/>
  <c r="U302" i="8"/>
  <c r="U266" i="8" a="1"/>
  <c r="U270" i="8" a="1"/>
  <c r="U274" i="8" a="1"/>
  <c r="U278" i="8" a="1"/>
  <c r="U282" i="8" a="1"/>
  <c r="U286" i="8" a="1"/>
  <c r="U290" i="8" a="1"/>
  <c r="U294" i="8" a="1"/>
  <c r="U298" i="8" a="1"/>
  <c r="U302" i="8" a="1"/>
  <c r="AK292" i="8"/>
  <c r="AK288" i="8"/>
  <c r="AK284" i="8"/>
  <c r="AK280" i="8"/>
  <c r="AK276" i="8"/>
  <c r="AK272" i="8"/>
  <c r="N301" i="8"/>
  <c r="N301" i="8" a="1"/>
  <c r="N297" i="8"/>
  <c r="N297" i="8" a="1"/>
  <c r="N293" i="8"/>
  <c r="N293" i="8" a="1"/>
  <c r="N289" i="8"/>
  <c r="N289" i="8" a="1"/>
  <c r="N285" i="8"/>
  <c r="N285" i="8" a="1"/>
  <c r="N281" i="8"/>
  <c r="N281" i="8" a="1"/>
  <c r="N277" i="8"/>
  <c r="N277" i="8" a="1"/>
  <c r="N273" i="8"/>
  <c r="N273" i="8" a="1"/>
  <c r="N269" i="8"/>
  <c r="N269" i="8" a="1"/>
  <c r="E280" i="8"/>
  <c r="S304" i="8"/>
  <c r="S304" i="8" a="1"/>
  <c r="S300" i="8"/>
  <c r="S272" i="8" a="1"/>
  <c r="S276" i="8" a="1"/>
  <c r="S280" i="8" a="1"/>
  <c r="S284" i="8" a="1"/>
  <c r="S288" i="8" a="1"/>
  <c r="S292" i="8" a="1"/>
  <c r="S296" i="8" a="1"/>
  <c r="S300" i="8" a="1"/>
  <c r="O288" i="8"/>
  <c r="Q301" i="8"/>
  <c r="Q269" i="8" a="1"/>
  <c r="Q273" i="8" a="1"/>
  <c r="Q277" i="8" a="1"/>
  <c r="Q281" i="8" a="1"/>
  <c r="Q285" i="8" a="1"/>
  <c r="Q289" i="8" a="1"/>
  <c r="Q293" i="8" a="1"/>
  <c r="Q297" i="8" a="1"/>
  <c r="Q301" i="8" a="1"/>
  <c r="D295" i="8"/>
  <c r="T292" i="8"/>
  <c r="T288" i="8"/>
  <c r="AF304" i="8"/>
  <c r="AF304" i="8" a="1"/>
  <c r="AF300" i="8"/>
  <c r="AF300" i="8" a="1"/>
  <c r="AF296" i="8"/>
  <c r="AF272" i="8" a="1"/>
  <c r="AF276" i="8" a="1"/>
  <c r="AF280" i="8" a="1"/>
  <c r="AF284" i="8" a="1"/>
  <c r="AF288" i="8" a="1"/>
  <c r="AF292" i="8" a="1"/>
  <c r="AF296" i="8" a="1"/>
  <c r="S275" i="8"/>
  <c r="L271" i="8"/>
  <c r="AK304" i="8"/>
  <c r="AK304" i="8" a="1"/>
  <c r="AK300" i="8"/>
  <c r="AK300" i="8" a="1"/>
  <c r="AK296" i="8"/>
  <c r="AK272" i="8" a="1"/>
  <c r="AK276" i="8" a="1"/>
  <c r="AK280" i="8" a="1"/>
  <c r="AK284" i="8" a="1"/>
  <c r="AK288" i="8" a="1"/>
  <c r="AK292" i="8" a="1"/>
  <c r="AK296" i="8" a="1"/>
  <c r="G283" i="8"/>
  <c r="G287" i="8"/>
  <c r="U21" i="16"/>
  <c r="W21" i="16"/>
  <c r="S21" i="16"/>
  <c r="O274" i="8" a="1"/>
  <c r="O278" i="8" a="1"/>
  <c r="O282" i="8" a="1"/>
  <c r="O286" i="8" a="1"/>
  <c r="O290" i="8" a="1"/>
  <c r="O294" i="8" a="1"/>
  <c r="Y21" i="16"/>
  <c r="AJ301" i="8"/>
  <c r="AJ269" i="8" a="1"/>
  <c r="AJ273" i="8" a="1"/>
  <c r="AJ277" i="8" a="1"/>
  <c r="AJ281" i="8" a="1"/>
  <c r="AJ285" i="8" a="1"/>
  <c r="AJ289" i="8" a="1"/>
  <c r="AJ293" i="8" a="1"/>
  <c r="AJ297" i="8" a="1"/>
  <c r="AJ301" i="8" a="1"/>
  <c r="U16" i="16"/>
  <c r="Y16" i="16"/>
  <c r="S16" i="16"/>
  <c r="W16" i="16"/>
  <c r="S15" i="16"/>
  <c r="Y15" i="16"/>
  <c r="W15" i="16"/>
  <c r="O269" i="8" a="1"/>
  <c r="O273" i="8" a="1"/>
  <c r="U15" i="16"/>
  <c r="U19" i="16"/>
  <c r="S19" i="16"/>
  <c r="W19" i="16"/>
  <c r="Y19" i="16"/>
  <c r="U304" i="8"/>
  <c r="U304" i="8" a="1"/>
  <c r="U300" i="8"/>
  <c r="U272" i="8" a="1"/>
  <c r="U276" i="8" a="1"/>
  <c r="U280" i="8" a="1"/>
  <c r="U284" i="8" a="1"/>
  <c r="U288" i="8" a="1"/>
  <c r="U292" i="8" a="1"/>
  <c r="U296" i="8" a="1"/>
  <c r="U300" i="8" a="1"/>
  <c r="O292" i="8"/>
  <c r="J301" i="8"/>
  <c r="J301" i="8" a="1"/>
  <c r="J297" i="8"/>
  <c r="J297" i="8" a="1"/>
  <c r="J293" i="8"/>
  <c r="J293" i="8" a="1"/>
  <c r="J289" i="8"/>
  <c r="J289" i="8" a="1"/>
  <c r="J285" i="8"/>
  <c r="J285" i="8" a="1"/>
  <c r="J281" i="8"/>
  <c r="J269" i="8" a="1"/>
  <c r="J273" i="8" a="1"/>
  <c r="J277" i="8" a="1"/>
  <c r="J281" i="8" a="1"/>
  <c r="T296" i="8"/>
  <c r="S287" i="8"/>
  <c r="L287" i="8"/>
  <c r="V274" i="8"/>
  <c r="G291" i="8"/>
  <c r="P303" i="8"/>
  <c r="P271" i="8" a="1"/>
  <c r="P275" i="8" a="1"/>
  <c r="P279" i="8" a="1"/>
  <c r="P283" i="8" a="1"/>
  <c r="P287" i="8" a="1"/>
  <c r="P291" i="8" a="1"/>
  <c r="P295" i="8" a="1"/>
  <c r="P299" i="8" a="1"/>
  <c r="P303" i="8" a="1"/>
  <c r="T300" i="8"/>
  <c r="S271" i="8"/>
  <c r="AE282" i="8"/>
  <c r="V278" i="8"/>
  <c r="O287" i="8"/>
  <c r="R279" i="8"/>
  <c r="B288" i="8"/>
  <c r="AD284" i="8"/>
  <c r="AE269" i="8"/>
  <c r="AA291" i="8"/>
  <c r="N280" i="8"/>
  <c r="L285" i="8"/>
  <c r="E290" i="8"/>
  <c r="AM285" i="8"/>
  <c r="X279" i="8"/>
  <c r="F288" i="8"/>
  <c r="R283" i="8"/>
  <c r="B292" i="8"/>
  <c r="AE273" i="8"/>
  <c r="N284" i="8"/>
  <c r="L289" i="8"/>
  <c r="AM289" i="8"/>
  <c r="E284" i="8"/>
  <c r="T304" i="8"/>
  <c r="T272" i="8" a="1"/>
  <c r="T276" i="8" a="1"/>
  <c r="T280" i="8" a="1"/>
  <c r="T284" i="8" a="1"/>
  <c r="T288" i="8" a="1"/>
  <c r="T292" i="8" a="1"/>
  <c r="T296" i="8" a="1"/>
  <c r="T300" i="8" a="1"/>
  <c r="T304" i="8" a="1"/>
  <c r="S279" i="8"/>
  <c r="L275" i="8"/>
  <c r="AD287" i="8"/>
  <c r="AH283" i="8"/>
  <c r="AE286" i="8"/>
  <c r="V282" i="8"/>
  <c r="R287" i="8"/>
  <c r="AJ271" i="8"/>
  <c r="AD288" i="8"/>
  <c r="AE277" i="8"/>
  <c r="AA295" i="8"/>
  <c r="D271" i="8"/>
  <c r="E294" i="8"/>
  <c r="AM293" i="8"/>
  <c r="M304" i="8"/>
  <c r="M272" i="8" a="1"/>
  <c r="M276" i="8" a="1"/>
  <c r="M280" i="8" a="1"/>
  <c r="M284" i="8" a="1"/>
  <c r="M288" i="8" a="1"/>
  <c r="M292" i="8" a="1"/>
  <c r="M296" i="8" a="1"/>
  <c r="M300" i="8" a="1"/>
  <c r="M304" i="8" a="1"/>
  <c r="N304" i="8"/>
  <c r="N272" i="8" a="1"/>
  <c r="N276" i="8" a="1"/>
  <c r="N280" i="8" a="1"/>
  <c r="N284" i="8" a="1"/>
  <c r="N288" i="8" a="1"/>
  <c r="N292" i="8" a="1"/>
  <c r="N296" i="8" a="1"/>
  <c r="N300" i="8" a="1"/>
  <c r="N304" i="8" a="1"/>
  <c r="U24" i="16"/>
  <c r="U14" i="16"/>
  <c r="S283" i="8"/>
  <c r="L279" i="8"/>
  <c r="X283" i="8"/>
  <c r="F292" i="8"/>
  <c r="R291" i="8"/>
  <c r="AJ275" i="8"/>
  <c r="AE281" i="8"/>
  <c r="D275" i="8"/>
  <c r="V266" i="8"/>
  <c r="E288" i="8"/>
  <c r="L283" i="8"/>
  <c r="AD291" i="8"/>
  <c r="X287" i="8"/>
  <c r="AH287" i="8"/>
  <c r="AE290" i="8"/>
  <c r="V286" i="8"/>
  <c r="R295" i="8"/>
  <c r="AJ279" i="8"/>
  <c r="AD292" i="8"/>
  <c r="AE285" i="8"/>
  <c r="AA299" i="8"/>
  <c r="D279" i="8"/>
  <c r="E266" i="8"/>
  <c r="E298" i="8"/>
  <c r="V270" i="8"/>
  <c r="F296" i="8"/>
  <c r="AM269" i="8"/>
  <c r="AJ287" i="8"/>
  <c r="AA303" i="8"/>
  <c r="AA271" i="8" a="1"/>
  <c r="AA275" i="8" a="1"/>
  <c r="AA279" i="8" a="1"/>
  <c r="AA283" i="8" a="1"/>
  <c r="AA287" i="8" a="1"/>
  <c r="AA291" i="8" a="1"/>
  <c r="AA295" i="8" a="1"/>
  <c r="AA299" i="8" a="1"/>
  <c r="AA303" i="8" a="1"/>
  <c r="D283" i="8"/>
  <c r="E302" i="8"/>
  <c r="E266" i="8" a="1"/>
  <c r="E270" i="8" a="1"/>
  <c r="E274" i="8" a="1"/>
  <c r="E278" i="8" a="1"/>
  <c r="E282" i="8" a="1"/>
  <c r="E286" i="8" a="1"/>
  <c r="E290" i="8" a="1"/>
  <c r="E294" i="8" a="1"/>
  <c r="E298" i="8" a="1"/>
  <c r="E302" i="8" a="1"/>
  <c r="AD271" i="8"/>
  <c r="E292" i="8"/>
  <c r="L297" i="8"/>
  <c r="AJ303" i="8"/>
  <c r="AJ303" i="8" a="1"/>
  <c r="AJ299" i="8"/>
  <c r="AJ271" i="8" a="1"/>
  <c r="AJ275" i="8" a="1"/>
  <c r="AJ279" i="8" a="1"/>
  <c r="AJ283" i="8" a="1"/>
  <c r="AJ287" i="8" a="1"/>
  <c r="AJ291" i="8" a="1"/>
  <c r="AJ295" i="8" a="1"/>
  <c r="AJ299" i="8" a="1"/>
  <c r="AM301" i="8"/>
  <c r="AM301" i="8" a="1"/>
  <c r="AM297" i="8"/>
  <c r="AM269" i="8" a="1"/>
  <c r="AM273" i="8" a="1"/>
  <c r="AM277" i="8" a="1"/>
  <c r="AM281" i="8" a="1"/>
  <c r="AM285" i="8" a="1"/>
  <c r="AM289" i="8" a="1"/>
  <c r="AM293" i="8" a="1"/>
  <c r="AM297" i="8" a="1"/>
  <c r="L291" i="8"/>
  <c r="AD295" i="8"/>
  <c r="AH291" i="8"/>
  <c r="R303" i="8"/>
  <c r="R303" i="8" a="1"/>
  <c r="R299" i="8"/>
  <c r="R271" i="8" a="1"/>
  <c r="R275" i="8" a="1"/>
  <c r="R279" i="8" a="1"/>
  <c r="R283" i="8" a="1"/>
  <c r="R287" i="8" a="1"/>
  <c r="R291" i="8" a="1"/>
  <c r="R295" i="8" a="1"/>
  <c r="R299" i="8" a="1"/>
  <c r="AE294" i="8"/>
  <c r="V290" i="8"/>
  <c r="AD296" i="8"/>
  <c r="D287" i="8"/>
  <c r="AD275" i="8"/>
  <c r="S303" i="8"/>
  <c r="S271" i="8" a="1"/>
  <c r="S275" i="8" a="1"/>
  <c r="S279" i="8" a="1"/>
  <c r="S283" i="8" a="1"/>
  <c r="S287" i="8" a="1"/>
  <c r="S291" i="8" a="1"/>
  <c r="S295" i="8" a="1"/>
  <c r="S299" i="8" a="1"/>
  <c r="S303" i="8" a="1"/>
  <c r="D303" i="8"/>
  <c r="D271" i="8" a="1"/>
  <c r="D275" i="8" a="1"/>
  <c r="D279" i="8" a="1"/>
  <c r="D283" i="8" a="1"/>
  <c r="D287" i="8" a="1"/>
  <c r="D291" i="8" a="1"/>
  <c r="D295" i="8" a="1"/>
  <c r="D299" i="8" a="1"/>
  <c r="D303" i="8" a="1"/>
  <c r="L301" i="8"/>
  <c r="L269" i="8" a="1"/>
  <c r="L273" i="8" a="1"/>
  <c r="L277" i="8" a="1"/>
  <c r="L281" i="8" a="1"/>
  <c r="L285" i="8" a="1"/>
  <c r="L289" i="8" a="1"/>
  <c r="L293" i="8" a="1"/>
  <c r="L297" i="8" a="1"/>
  <c r="L301" i="8" a="1"/>
  <c r="L295" i="8"/>
  <c r="AD299" i="8"/>
  <c r="X291" i="8"/>
  <c r="AH295" i="8"/>
  <c r="AE293" i="8"/>
  <c r="AE289" i="8"/>
  <c r="F300" i="8"/>
  <c r="AH271" i="8"/>
  <c r="AD279" i="8"/>
  <c r="E296" i="8"/>
  <c r="N303" i="8"/>
  <c r="N303" i="8" a="1"/>
  <c r="N299" i="8"/>
  <c r="N299" i="8" a="1"/>
  <c r="N295" i="8"/>
  <c r="N295" i="8" a="1"/>
  <c r="N291" i="8"/>
  <c r="N291" i="8" a="1"/>
  <c r="N287" i="8"/>
  <c r="N287" i="8" a="1"/>
  <c r="N283" i="8"/>
  <c r="N271" i="8" a="1"/>
  <c r="N275" i="8" a="1"/>
  <c r="N279" i="8" a="1"/>
  <c r="N283" i="8" a="1"/>
  <c r="AE266" i="8"/>
  <c r="AE298" i="8"/>
  <c r="V294" i="8"/>
  <c r="O271" i="8"/>
  <c r="F304" i="8"/>
  <c r="F272" i="8" a="1"/>
  <c r="F276" i="8" a="1"/>
  <c r="F280" i="8" a="1"/>
  <c r="F284" i="8" a="1"/>
  <c r="F288" i="8" a="1"/>
  <c r="F292" i="8" a="1"/>
  <c r="F296" i="8" a="1"/>
  <c r="F300" i="8" a="1"/>
  <c r="F304" i="8" a="1"/>
  <c r="B296" i="8"/>
  <c r="AH275" i="8"/>
  <c r="AD300" i="8"/>
  <c r="AD283" i="8"/>
  <c r="AD303" i="8"/>
  <c r="AD271" i="8" a="1"/>
  <c r="AD275" i="8" a="1"/>
  <c r="AD279" i="8" a="1"/>
  <c r="AD283" i="8" a="1"/>
  <c r="AD287" i="8" a="1"/>
  <c r="AD291" i="8" a="1"/>
  <c r="AD295" i="8" a="1"/>
  <c r="AD299" i="8" a="1"/>
  <c r="AD303" i="8" a="1"/>
  <c r="X295" i="8"/>
  <c r="AE297" i="8"/>
  <c r="AE302" i="8"/>
  <c r="AE266" i="8" a="1"/>
  <c r="AE270" i="8" a="1"/>
  <c r="AE274" i="8" a="1"/>
  <c r="AE278" i="8" a="1"/>
  <c r="AE282" i="8" a="1"/>
  <c r="AE286" i="8" a="1"/>
  <c r="AE290" i="8" a="1"/>
  <c r="AE294" i="8" a="1"/>
  <c r="AE298" i="8" a="1"/>
  <c r="AE302" i="8" a="1"/>
  <c r="G295" i="8"/>
  <c r="AD304" i="8"/>
  <c r="AD272" i="8" a="1"/>
  <c r="AD276" i="8" a="1"/>
  <c r="AD280" i="8" a="1"/>
  <c r="AD284" i="8" a="1"/>
  <c r="AD288" i="8" a="1"/>
  <c r="AD292" i="8" a="1"/>
  <c r="AD296" i="8" a="1"/>
  <c r="AD300" i="8" a="1"/>
  <c r="AD304" i="8" a="1"/>
  <c r="O266" i="8"/>
  <c r="AH279" i="8"/>
  <c r="E300" i="8"/>
  <c r="Y22" i="16"/>
  <c r="W22" i="16"/>
  <c r="U22" i="16"/>
  <c r="O272" i="8" a="1"/>
  <c r="O276" i="8" a="1"/>
  <c r="O280" i="8" a="1"/>
  <c r="O284" i="8" a="1"/>
  <c r="O288" i="8" a="1"/>
  <c r="O292" i="8" a="1"/>
  <c r="O296" i="8" a="1"/>
  <c r="S22" i="16"/>
  <c r="B304" i="8"/>
  <c r="B304" i="8" a="1"/>
  <c r="B300" i="8"/>
  <c r="B272" i="8" a="1"/>
  <c r="B276" i="8" a="1"/>
  <c r="B280" i="8" a="1"/>
  <c r="B284" i="8" a="1"/>
  <c r="B288" i="8" a="1"/>
  <c r="B292" i="8" a="1"/>
  <c r="B296" i="8" a="1"/>
  <c r="B300" i="8" a="1"/>
  <c r="AH299" i="8"/>
  <c r="AE301" i="8"/>
  <c r="AE269" i="8" a="1"/>
  <c r="AE273" i="8" a="1"/>
  <c r="AE277" i="8" a="1"/>
  <c r="AE281" i="8" a="1"/>
  <c r="AE285" i="8" a="1"/>
  <c r="AE289" i="8" a="1"/>
  <c r="AE293" i="8" a="1"/>
  <c r="AE297" i="8" a="1"/>
  <c r="AE301" i="8" a="1"/>
  <c r="V298" i="8"/>
  <c r="G299" i="8"/>
  <c r="G271" i="8"/>
  <c r="Y14" i="16"/>
  <c r="E304" i="8"/>
  <c r="E272" i="8" a="1"/>
  <c r="E276" i="8" a="1"/>
  <c r="E280" i="8" a="1"/>
  <c r="E284" i="8" a="1"/>
  <c r="E288" i="8" a="1"/>
  <c r="E292" i="8" a="1"/>
  <c r="E296" i="8" a="1"/>
  <c r="E300" i="8" a="1"/>
  <c r="E304" i="8" a="1"/>
  <c r="S20" i="16"/>
  <c r="W20" i="16"/>
  <c r="U20" i="16"/>
  <c r="O271" i="8" a="1"/>
  <c r="O275" i="8" a="1"/>
  <c r="O279" i="8" a="1"/>
  <c r="O283" i="8" a="1"/>
  <c r="O287" i="8" a="1"/>
  <c r="O291" i="8" a="1"/>
  <c r="Y20" i="16"/>
  <c r="X299" i="8"/>
  <c r="AH303" i="8"/>
  <c r="AH271" i="8" a="1"/>
  <c r="AH275" i="8" a="1"/>
  <c r="AH279" i="8" a="1"/>
  <c r="AH283" i="8" a="1"/>
  <c r="AH287" i="8" a="1"/>
  <c r="AH291" i="8" a="1"/>
  <c r="AH295" i="8" a="1"/>
  <c r="AH299" i="8" a="1"/>
  <c r="AH303" i="8" a="1"/>
  <c r="V302" i="8"/>
  <c r="V266" i="8" a="1"/>
  <c r="V270" i="8" a="1"/>
  <c r="V274" i="8" a="1"/>
  <c r="V278" i="8" a="1"/>
  <c r="V282" i="8" a="1"/>
  <c r="V286" i="8" a="1"/>
  <c r="V290" i="8" a="1"/>
  <c r="V294" i="8" a="1"/>
  <c r="V298" i="8" a="1"/>
  <c r="V302" i="8" a="1"/>
  <c r="G275" i="8"/>
  <c r="B266" i="8" a="1"/>
  <c r="O266" i="8" a="1"/>
  <c r="O270" i="8" a="1"/>
  <c r="W14" i="16"/>
  <c r="W24" i="16"/>
  <c r="L303" i="8"/>
  <c r="L303" i="8" a="1"/>
  <c r="L299" i="8"/>
  <c r="L271" i="8" a="1"/>
  <c r="L275" i="8" a="1"/>
  <c r="L279" i="8" a="1"/>
  <c r="L283" i="8" a="1"/>
  <c r="L287" i="8" a="1"/>
  <c r="L291" i="8" a="1"/>
  <c r="L295" i="8" a="1"/>
  <c r="L299" i="8" a="1"/>
  <c r="X303" i="8"/>
  <c r="X271" i="8" a="1"/>
  <c r="X275" i="8" a="1"/>
  <c r="X279" i="8" a="1"/>
  <c r="X283" i="8" a="1"/>
  <c r="X287" i="8" a="1"/>
  <c r="X291" i="8" a="1"/>
  <c r="X295" i="8" a="1"/>
  <c r="X299" i="8" a="1"/>
  <c r="X303" i="8" a="1"/>
  <c r="G279" i="8"/>
  <c r="G303" i="8"/>
  <c r="B269" i="8" a="1"/>
  <c r="G271" i="8" a="1"/>
  <c r="G275" i="8" a="1"/>
  <c r="G279" i="8" a="1"/>
  <c r="G283" i="8" a="1"/>
  <c r="G287" i="8" a="1"/>
  <c r="G291" i="8" a="1"/>
  <c r="G295" i="8" a="1"/>
  <c r="G299" i="8" a="1"/>
  <c r="G303" i="8"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Katie Arthur</author>
  </authors>
  <commentList>
    <comment ref="C1" authorId="0" shapeId="0" xr:uid="{00000000-0006-0000-0300-000001000000}">
      <text>
        <r>
          <rPr>
            <b/>
            <sz val="9"/>
            <color indexed="81"/>
            <rFont val="Tahoma"/>
            <family val="2"/>
          </rPr>
          <t>Katie Arthur:</t>
        </r>
        <r>
          <rPr>
            <sz val="9"/>
            <color indexed="81"/>
            <rFont val="Tahoma"/>
            <family val="2"/>
          </rPr>
          <t xml:space="preserve">
this needs to be amended to include all n ew periods for new year, this will mean the drop down list in the input tab is updated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<sst xmlns="http://schemas.openxmlformats.org/spreadsheetml/2006/main" count="23234" uniqueCount="6173">
  <si>
    <t>Actuals</t>
  </si>
  <si>
    <t>WK 1</t>
  </si>
  <si>
    <t>Staff Accident</t>
  </si>
  <si>
    <t>Staff LTA</t>
  </si>
  <si>
    <t>Assaults</t>
  </si>
  <si>
    <t>Movement</t>
  </si>
  <si>
    <t>Non-Movement</t>
  </si>
  <si>
    <t>Accidents Total</t>
  </si>
  <si>
    <t>Vandalism</t>
  </si>
  <si>
    <t>Low Risk Operational</t>
  </si>
  <si>
    <t>High Risk Operation</t>
  </si>
  <si>
    <t>Siemens SRD</t>
  </si>
  <si>
    <t>Citylink SRD</t>
  </si>
  <si>
    <t>Incidents Total</t>
  </si>
  <si>
    <t>Total</t>
  </si>
  <si>
    <t>MAA</t>
  </si>
  <si>
    <t xml:space="preserve">Movement </t>
  </si>
  <si>
    <t>Movement (Old)</t>
  </si>
  <si>
    <t>Non-Movement MAA</t>
  </si>
  <si>
    <t>Non-Movement (Old)</t>
  </si>
  <si>
    <t>High Risk Operational</t>
  </si>
  <si>
    <t>SRD</t>
  </si>
  <si>
    <t>All Staff Accident</t>
  </si>
  <si>
    <t>Burn/Scald</t>
  </si>
  <si>
    <t>Contact</t>
  </si>
  <si>
    <t>Door trap</t>
  </si>
  <si>
    <t>Other Accident</t>
  </si>
  <si>
    <t>STF on Tram</t>
  </si>
  <si>
    <t>STF Other</t>
  </si>
  <si>
    <t>Customer Service Staff Accident</t>
  </si>
  <si>
    <t>STF Tramstop</t>
  </si>
  <si>
    <t>Near Miss</t>
  </si>
  <si>
    <t>Engineering Staff Accident</t>
  </si>
  <si>
    <t xml:space="preserve">STF Tramstop </t>
  </si>
  <si>
    <t>Movement Accidents</t>
  </si>
  <si>
    <t>Mobility</t>
  </si>
  <si>
    <t>Tip Up seats</t>
  </si>
  <si>
    <t>Door Trap</t>
  </si>
  <si>
    <t>STF other</t>
  </si>
  <si>
    <t>Staff Assaults</t>
  </si>
  <si>
    <t>Physical Assault</t>
  </si>
  <si>
    <t>Threatening Behaviour</t>
  </si>
  <si>
    <t>Verbal Abuse</t>
  </si>
  <si>
    <t>Passenger Assaults</t>
  </si>
  <si>
    <t>Safety Related Defects</t>
  </si>
  <si>
    <t>Air Conditioning</t>
  </si>
  <si>
    <t>AVL</t>
  </si>
  <si>
    <t>Brake</t>
  </si>
  <si>
    <t>Cab Indicators</t>
  </si>
  <si>
    <t>Doors</t>
  </si>
  <si>
    <t>Driver Seats</t>
  </si>
  <si>
    <t>Electricity Fire/Smoke</t>
  </si>
  <si>
    <t>Fire</t>
  </si>
  <si>
    <t>Heating</t>
  </si>
  <si>
    <t>Horn/Bell</t>
  </si>
  <si>
    <t>Mirrors</t>
  </si>
  <si>
    <t>OHLE</t>
  </si>
  <si>
    <t>Pantagraph</t>
  </si>
  <si>
    <t>Points</t>
  </si>
  <si>
    <t>Radio &amp; Communications Systems</t>
  </si>
  <si>
    <t>Sanders</t>
  </si>
  <si>
    <t>Seperation</t>
  </si>
  <si>
    <t>Signals</t>
  </si>
  <si>
    <t>Speedometer</t>
  </si>
  <si>
    <t>Tracks</t>
  </si>
  <si>
    <t>Vehicle Structure (including under tram)</t>
  </si>
  <si>
    <t>VIS</t>
  </si>
  <si>
    <t>Windscreen Wipers</t>
  </si>
  <si>
    <t>SCADA</t>
  </si>
  <si>
    <t>Headlights/Tail Lights</t>
  </si>
  <si>
    <t>Operational Incidents</t>
  </si>
  <si>
    <t xml:space="preserve">Low Risk </t>
  </si>
  <si>
    <t>Incorrect VIS</t>
  </si>
  <si>
    <t>Wrong Routing</t>
  </si>
  <si>
    <t>Person in Cab</t>
  </si>
  <si>
    <t>Tramstop Overrun</t>
  </si>
  <si>
    <t>Cyclist Fall</t>
  </si>
  <si>
    <t>Minor - PTC</t>
  </si>
  <si>
    <t>Minor - RTC</t>
  </si>
  <si>
    <t xml:space="preserve">High Risk </t>
  </si>
  <si>
    <t>Derailment</t>
  </si>
  <si>
    <t>Signal Passed Against Bar</t>
  </si>
  <si>
    <t>Major - PTC</t>
  </si>
  <si>
    <t>Major - RTC</t>
  </si>
  <si>
    <t>Door Open in Traffic</t>
  </si>
  <si>
    <t>Surfing</t>
  </si>
  <si>
    <t>RIDDOR</t>
  </si>
  <si>
    <t>RIDDOR MAA</t>
  </si>
  <si>
    <t>Operational Total</t>
  </si>
  <si>
    <t>Operational Total MAA</t>
  </si>
  <si>
    <t>DWPI Action</t>
  </si>
  <si>
    <t>BOSRIA Action</t>
  </si>
  <si>
    <t>External Audit Corrective Action</t>
  </si>
  <si>
    <t>Safety Inspection Action</t>
  </si>
  <si>
    <t>Internal Audit Corrective Action</t>
  </si>
  <si>
    <t>Level 1 Investigation Recommendation</t>
  </si>
  <si>
    <t>Level 2 Investigation Recommendation</t>
  </si>
  <si>
    <t>Quarterly Exec Safety Meeting Action</t>
  </si>
  <si>
    <t>Quarterly Safety Representatives Meeting Action</t>
  </si>
  <si>
    <t>Safety Concern Action</t>
  </si>
  <si>
    <t>Safety Plan Action</t>
  </si>
  <si>
    <t>SRD investigation Recommendation</t>
  </si>
  <si>
    <t>RAIB</t>
  </si>
  <si>
    <t>Open</t>
  </si>
  <si>
    <t>Closed</t>
  </si>
  <si>
    <t>Overdue</t>
  </si>
  <si>
    <t>Total Anom</t>
  </si>
  <si>
    <t>Total Name</t>
  </si>
  <si>
    <t>All Actions</t>
  </si>
  <si>
    <t>All Investigations</t>
  </si>
  <si>
    <t>Monthly Walkarounds</t>
  </si>
  <si>
    <t xml:space="preserve">Management Walkarounds </t>
  </si>
  <si>
    <t>Status</t>
  </si>
  <si>
    <t xml:space="preserve">Date </t>
  </si>
  <si>
    <t>Reporting Period</t>
  </si>
  <si>
    <t xml:space="preserve">Accident/ Incident  Reference </t>
  </si>
  <si>
    <t>Accident/Incident Type</t>
  </si>
  <si>
    <t>Location</t>
  </si>
  <si>
    <t xml:space="preserve">Tram </t>
  </si>
  <si>
    <t>Catergory</t>
  </si>
  <si>
    <t xml:space="preserve">Person Type </t>
  </si>
  <si>
    <t>Description of incident</t>
  </si>
  <si>
    <t xml:space="preserve">Total Number of days Lost </t>
  </si>
  <si>
    <t>Initial Report Recived?</t>
  </si>
  <si>
    <t xml:space="preserve">Type of investigation carried out </t>
  </si>
  <si>
    <t>Investigating Manager</t>
  </si>
  <si>
    <t xml:space="preserve">Investigation Due </t>
  </si>
  <si>
    <t>Investigation Completion date</t>
  </si>
  <si>
    <t>Immediate Cause</t>
  </si>
  <si>
    <t>Underlying Cause</t>
  </si>
  <si>
    <t>Recommendations Made?</t>
  </si>
  <si>
    <t>Comments</t>
  </si>
  <si>
    <t>Claim received?</t>
  </si>
  <si>
    <t>Investigation type</t>
  </si>
  <si>
    <t>n/a</t>
  </si>
  <si>
    <t>Alan Barclay</t>
  </si>
  <si>
    <t>Accident</t>
  </si>
  <si>
    <t>Staff</t>
  </si>
  <si>
    <t>Andy Roberts</t>
  </si>
  <si>
    <t>Assault</t>
  </si>
  <si>
    <t>INFO ONLY</t>
  </si>
  <si>
    <t>Public</t>
  </si>
  <si>
    <t>Dave Bridges</t>
  </si>
  <si>
    <t>Info only/SAFE</t>
  </si>
  <si>
    <t>Infrastructure</t>
  </si>
  <si>
    <t>Cyclist</t>
  </si>
  <si>
    <t>Dave Hallam</t>
  </si>
  <si>
    <t>Level 1</t>
  </si>
  <si>
    <t>Anti - social behaviour</t>
  </si>
  <si>
    <t>Passenger</t>
  </si>
  <si>
    <t xml:space="preserve">Dave Marrison </t>
  </si>
  <si>
    <t>Level 2</t>
  </si>
  <si>
    <t>Taxis</t>
  </si>
  <si>
    <t xml:space="preserve">David Tingle </t>
  </si>
  <si>
    <t>None</t>
  </si>
  <si>
    <t>Operational</t>
  </si>
  <si>
    <t xml:space="preserve">Eldery </t>
  </si>
  <si>
    <t xml:space="preserve">Emma Cooper </t>
  </si>
  <si>
    <t>Control</t>
  </si>
  <si>
    <t xml:space="preserve">Vunrable </t>
  </si>
  <si>
    <t>Gary Seaborn</t>
  </si>
  <si>
    <t>Safety Digest</t>
  </si>
  <si>
    <t>Third Party</t>
  </si>
  <si>
    <t>Glin Stanford</t>
  </si>
  <si>
    <t>Infra Dept</t>
  </si>
  <si>
    <t>Derailment -Multi-Car</t>
  </si>
  <si>
    <t>IT Dept</t>
  </si>
  <si>
    <t>James Stewart</t>
  </si>
  <si>
    <t>John Cawthorn</t>
  </si>
  <si>
    <t>John Kolchuk</t>
  </si>
  <si>
    <t xml:space="preserve">Josh Keeling </t>
  </si>
  <si>
    <t>Mark Blackwell</t>
  </si>
  <si>
    <t>Neill Barraclough</t>
  </si>
  <si>
    <t>Nikolas Dobbs</t>
  </si>
  <si>
    <t xml:space="preserve">Nina Wybrant </t>
  </si>
  <si>
    <t>Rachel Bridges</t>
  </si>
  <si>
    <t>RSM Dept</t>
  </si>
  <si>
    <t>Russ Wild</t>
  </si>
  <si>
    <t>Communication</t>
  </si>
  <si>
    <t>Safety Reps</t>
  </si>
  <si>
    <t>Non-Tram RTC</t>
  </si>
  <si>
    <t>Sean Cuckson</t>
  </si>
  <si>
    <t>Low Adhesion</t>
  </si>
  <si>
    <t>Sharon Galloway</t>
  </si>
  <si>
    <t>Andy Buckley</t>
  </si>
  <si>
    <t>Danielle Willey</t>
  </si>
  <si>
    <t>Wayne Clay</t>
  </si>
  <si>
    <t xml:space="preserve">Near Miss - Red Light </t>
  </si>
  <si>
    <t>James Gilbert</t>
  </si>
  <si>
    <t>Paul Holdsworth</t>
  </si>
  <si>
    <t>Keith Sockett</t>
  </si>
  <si>
    <t>Alex Wray</t>
  </si>
  <si>
    <t>Other</t>
  </si>
  <si>
    <t>Tom Harrison</t>
  </si>
  <si>
    <t xml:space="preserve"> Minor - PTC</t>
  </si>
  <si>
    <t xml:space="preserve"> Major - PTC</t>
  </si>
  <si>
    <t>Signal Passed against Bar (SPAS)</t>
  </si>
  <si>
    <t>Slip/Slide</t>
  </si>
  <si>
    <t>Info Only</t>
  </si>
  <si>
    <t>Sun Blind</t>
  </si>
  <si>
    <t>Tip up Seats</t>
  </si>
  <si>
    <t>Tram Fire</t>
  </si>
  <si>
    <t xml:space="preserve">Tramstop Overrun </t>
  </si>
  <si>
    <t>Windows</t>
  </si>
  <si>
    <t>Wrong routing</t>
  </si>
  <si>
    <t>Tram on Tram Collision</t>
  </si>
  <si>
    <t>Car on Ballast/Tracks</t>
  </si>
  <si>
    <t>Action/Recommendation Type</t>
  </si>
  <si>
    <t>Action Owner</t>
  </si>
  <si>
    <t xml:space="preserve">Speeding </t>
  </si>
  <si>
    <t>Andy Roberts, Duty Manager</t>
  </si>
  <si>
    <t xml:space="preserve">Passenger </t>
  </si>
  <si>
    <t>Dave Bridges, Network Co-ordinator</t>
  </si>
  <si>
    <t xml:space="preserve">Pasenger assault </t>
  </si>
  <si>
    <t xml:space="preserve">Dave Hallam, Signalling &amp; Control Manager </t>
  </si>
  <si>
    <t>Passenger on Passenger Assault</t>
  </si>
  <si>
    <t>Dave Marrison, OCC Manager</t>
  </si>
  <si>
    <t xml:space="preserve">Dog </t>
  </si>
  <si>
    <t>Jay Brooks, Stores Person</t>
  </si>
  <si>
    <t>Tresspass</t>
  </si>
  <si>
    <t>Emma Cooper, Duty Manager</t>
  </si>
  <si>
    <t>Infrastructure/ Equipment failure</t>
  </si>
  <si>
    <t xml:space="preserve">Gary Seaborn RSM Production Manager </t>
  </si>
  <si>
    <t>Glin Stanford, Project Co-ordinator</t>
  </si>
  <si>
    <t>HR</t>
  </si>
  <si>
    <t xml:space="preserve">IT Dept </t>
  </si>
  <si>
    <t>James Stewart, Head of Customer Services</t>
  </si>
  <si>
    <t>John Cawthorn Duty Manager</t>
  </si>
  <si>
    <t>Safety Plan Sub-Action</t>
  </si>
  <si>
    <t>Gareth Fairweather, OHL Supervsior</t>
  </si>
  <si>
    <t>Tram Train</t>
  </si>
  <si>
    <t xml:space="preserve">John Kolchuk Permanent Way Supervisor </t>
  </si>
  <si>
    <t>TWYM</t>
  </si>
  <si>
    <t>Alex Wray Surveying Technician</t>
  </si>
  <si>
    <t>CS</t>
  </si>
  <si>
    <t>Keith Swallow, Head of Finance &amp; Commercial</t>
  </si>
  <si>
    <t>ENG</t>
  </si>
  <si>
    <t>Kelly Henley-Smith, Safety Co-ordinator</t>
  </si>
  <si>
    <t>FIN/COMM</t>
  </si>
  <si>
    <t xml:space="preserve">Josh Keeling, Safety Manager </t>
  </si>
  <si>
    <t>Andy Buckley, Safety Officer</t>
  </si>
  <si>
    <t>SAFE</t>
  </si>
  <si>
    <t>Wayne Clay - Head of SHEQ</t>
  </si>
  <si>
    <t xml:space="preserve">Winterisation Meeting </t>
  </si>
  <si>
    <t xml:space="preserve">Nikolas Dobbs Head of Engineering </t>
  </si>
  <si>
    <t xml:space="preserve">Risk Review </t>
  </si>
  <si>
    <t>Michelle Walch, Procurement Manager</t>
  </si>
  <si>
    <t>Engineering Safety Meeting</t>
  </si>
  <si>
    <t>Mark Blackwell Cleaning Manager</t>
  </si>
  <si>
    <t xml:space="preserve">Training Team meeting </t>
  </si>
  <si>
    <t>Neill Barraclough Deputy Head of Engineering</t>
  </si>
  <si>
    <t xml:space="preserve">Speed Checks </t>
  </si>
  <si>
    <t xml:space="preserve">Nigel Wragg Commercial Manager </t>
  </si>
  <si>
    <t>NMU Risk Assesment</t>
  </si>
  <si>
    <t xml:space="preserve">Nina Wybrant  Duty Manager </t>
  </si>
  <si>
    <t xml:space="preserve">Rachel Bridges, Duty Manager </t>
  </si>
  <si>
    <t>Resource Coordinator</t>
  </si>
  <si>
    <t>George Lilley, Safety Representative</t>
  </si>
  <si>
    <t>Russ Wild, Duty Manager</t>
  </si>
  <si>
    <t xml:space="preserve">Sharon Galloway, Senior Customer Service Manager </t>
  </si>
  <si>
    <t>Andy Rathbone ,Training Standards &amp; Competency Manager</t>
  </si>
  <si>
    <t xml:space="preserve">Third Party </t>
  </si>
  <si>
    <t>Sean English, Managing Director</t>
  </si>
  <si>
    <t>Training Department</t>
  </si>
  <si>
    <t xml:space="preserve">David Tingle - Duty Manager </t>
  </si>
  <si>
    <t>Alan Barclay - Duty Manager</t>
  </si>
  <si>
    <t xml:space="preserve">Heads of </t>
  </si>
  <si>
    <t>Ian Levin 3rd Party Planner &amp; Contractor Coordinator</t>
  </si>
  <si>
    <t>Dannielle Willey, Duty Manager</t>
  </si>
  <si>
    <t xml:space="preserve">James Gilbert, Duty Manager </t>
  </si>
  <si>
    <t xml:space="preserve">Infrastructure Dept </t>
  </si>
  <si>
    <t>Paul Holdsworth - Asst RSM Manager</t>
  </si>
  <si>
    <t>Trevor Stocker Head of Service Delivery</t>
  </si>
  <si>
    <t>Keith Sockett -Stanadrds &amp; Competency Coordinator</t>
  </si>
  <si>
    <t xml:space="preserve">Period </t>
  </si>
  <si>
    <t>Last Period</t>
  </si>
  <si>
    <t>Safety Performance Summary - Actual Vs Target</t>
  </si>
  <si>
    <t>Safety Actions</t>
  </si>
  <si>
    <t>BOSRIA</t>
  </si>
  <si>
    <t xml:space="preserve">2024/25 Period Target </t>
  </si>
  <si>
    <t>YTD Actual</t>
  </si>
  <si>
    <t>2025/26 
YTD Target</t>
  </si>
  <si>
    <t>2024/2025</t>
  </si>
  <si>
    <t>Period Actual</t>
  </si>
  <si>
    <t>Target</t>
  </si>
  <si>
    <t>Safety Actions All</t>
  </si>
  <si>
    <t>Staff Accidents (Excluding  LTA)</t>
  </si>
  <si>
    <t xml:space="preserve">Overdue </t>
  </si>
  <si>
    <t>Staff Lost Time Accidents</t>
  </si>
  <si>
    <t xml:space="preserve">Open </t>
  </si>
  <si>
    <t xml:space="preserve">Safety Action  - Breakdown </t>
  </si>
  <si>
    <t>Grand Total</t>
  </si>
  <si>
    <t xml:space="preserve">Action </t>
  </si>
  <si>
    <t>Low Risk Total</t>
  </si>
  <si>
    <t>High Risk Total</t>
  </si>
  <si>
    <t>Near Miss Total</t>
  </si>
  <si>
    <t>`</t>
  </si>
  <si>
    <t>Safety Investigations</t>
  </si>
  <si>
    <t>Safety Investigations all</t>
  </si>
  <si>
    <t>Actual</t>
  </si>
  <si>
    <t>YTD</t>
  </si>
  <si>
    <t xml:space="preserve">Closed </t>
  </si>
  <si>
    <t>Staff Accidents</t>
  </si>
  <si>
    <t xml:space="preserve"> </t>
  </si>
  <si>
    <t>Low Risk Operational Incidents</t>
  </si>
  <si>
    <t>High Risk Operational Incidents</t>
  </si>
  <si>
    <t>Safety Performance Summary - Trends</t>
  </si>
  <si>
    <t>MAA - Current Period</t>
  </si>
  <si>
    <t>MAA - Last Period</t>
  </si>
  <si>
    <t>Non Movement Accidents</t>
  </si>
  <si>
    <t>Signal Passed at Bar</t>
  </si>
  <si>
    <t>Action/Rec Raised by (If BOSRIA Anom if unknown)</t>
  </si>
  <si>
    <t>Date Action Raised</t>
  </si>
  <si>
    <t>Period Action Raised</t>
  </si>
  <si>
    <t>Investigation Ref (if applicable)</t>
  </si>
  <si>
    <t>Incident Title</t>
  </si>
  <si>
    <t>Recommendation Number</t>
  </si>
  <si>
    <t>Action/Recommendation</t>
  </si>
  <si>
    <t>Dept</t>
  </si>
  <si>
    <t>Function</t>
  </si>
  <si>
    <t>Action Completion Target Date</t>
  </si>
  <si>
    <t>Action Completed</t>
  </si>
  <si>
    <t>Letter sent</t>
  </si>
  <si>
    <t>Number of days taken to close</t>
  </si>
  <si>
    <t>DWPI Days</t>
  </si>
  <si>
    <t>Anom</t>
  </si>
  <si>
    <t>2023/2024-141</t>
  </si>
  <si>
    <t>None of the loop signals work</t>
  </si>
  <si>
    <t>INFRA</t>
  </si>
  <si>
    <t>Matter has been resolved and fire call point has been cleared</t>
  </si>
  <si>
    <t>2309-51</t>
  </si>
  <si>
    <t>2023/2024-82</t>
  </si>
  <si>
    <t xml:space="preserve">Although not at fault the driver is to be spoken to about observations being better </t>
  </si>
  <si>
    <t>2023/2024-08</t>
  </si>
  <si>
    <t>Taxis are stopping in the inbound track to pick up passengers from the 2 clubs here. I feel we shouldn't have to deal with this extra hazard in what is an already challenging part of the system - More signage explaining the non-stop rules for car drivers, liaison with the major taxi companies, a system in which taxis and cars can be reported for offences such as stopping on the tracks, entering bus lanes, etc</t>
  </si>
  <si>
    <t>Comms now shared with staff asking to report through OCC</t>
  </si>
  <si>
    <t xml:space="preserve">Rachel Bridges </t>
  </si>
  <si>
    <t>2309-35</t>
  </si>
  <si>
    <t>2023/2024-21</t>
  </si>
  <si>
    <t>HR Investigation</t>
  </si>
  <si>
    <t>2023/2024-22</t>
  </si>
  <si>
    <t>Hollinsend tram stop inbound, accessibility for maintenance cleaning</t>
  </si>
  <si>
    <t xml:space="preserve">Closed due to time elapsed </t>
  </si>
  <si>
    <t>2023/2024-23</t>
  </si>
  <si>
    <t>Posters cases – not fastened properly top bolt missing all locations</t>
  </si>
  <si>
    <t xml:space="preserve">FACILITIES </t>
  </si>
  <si>
    <t>Tacted</t>
  </si>
  <si>
    <t>2023/2024-24</t>
  </si>
  <si>
    <t>Consider additional signage on ped crossing MTE</t>
  </si>
  <si>
    <t>02/809/2025</t>
  </si>
  <si>
    <t xml:space="preserve">Not assigned to right action owner slosed due to time elapsed </t>
  </si>
  <si>
    <t>2023/2024-25</t>
  </si>
  <si>
    <t>Anti trespass Moss Way outbound does not go all the way up to the border fence creating desire line</t>
  </si>
  <si>
    <r>
      <t>JK has sumbmitted paperwork to KS for approval - date extended procurement lead time -</t>
    </r>
    <r>
      <rPr>
        <b/>
        <sz val="11"/>
        <color rgb="FFFF0000"/>
        <rFont val="Calibri"/>
        <family val="2"/>
        <scheme val="minor"/>
      </rPr>
      <t>10/06/2025  PO approved and sent after no quotes received from othwer parties AB to liase with Forward Fencing at arrange a date for works to start</t>
    </r>
    <r>
      <rPr>
        <sz val="11"/>
        <color theme="1"/>
        <rFont val="Calibri"/>
        <family val="2"/>
        <scheme val="minor"/>
      </rPr>
      <t xml:space="preserve"> - Contractor has not been able to complete this work a neww PO has been raised and new contractor will be sought</t>
    </r>
  </si>
  <si>
    <t>2023/2024-26</t>
  </si>
  <si>
    <t>Moss Way - Install fence to stop cyclists cutting through ped crossing inbound side</t>
  </si>
  <si>
    <r>
      <t>JK has sumbmitted paperwork to KS for approval - date extended procurement lead time -</t>
    </r>
    <r>
      <rPr>
        <sz val="11"/>
        <color rgb="FFFF0000"/>
        <rFont val="Calibri"/>
        <family val="2"/>
        <scheme val="minor"/>
      </rPr>
      <t xml:space="preserve"> </t>
    </r>
    <r>
      <rPr>
        <b/>
        <sz val="11"/>
        <color rgb="FFFF0000"/>
        <rFont val="Calibri"/>
        <family val="2"/>
        <scheme val="minor"/>
      </rPr>
      <t>10/06/2025  PO approved and sent after no quotes received from othwer parties AB to liase with Forward Fencing at arrange a date for works to start</t>
    </r>
    <r>
      <rPr>
        <sz val="11"/>
        <color theme="1"/>
        <rFont val="Calibri"/>
        <family val="2"/>
        <scheme val="minor"/>
      </rPr>
      <t>- see previous action regarding contractor.</t>
    </r>
  </si>
  <si>
    <t>2023/2024-27</t>
  </si>
  <si>
    <t>Moss Way outbound ped crossing -cut back vegetation  (both sides) to comply with sighting distance for peds using crossing. </t>
  </si>
  <si>
    <t>2023/2024-44</t>
  </si>
  <si>
    <t xml:space="preserve">Completed track walk from Moss Way- Hollinsend- Manor Top as part of QSRM </t>
  </si>
  <si>
    <t>George Lilley</t>
  </si>
  <si>
    <t>2023/2024-11</t>
  </si>
  <si>
    <t xml:space="preserve">Moss way outbound near pole - Cyclists going around staggered fence - A little fence </t>
  </si>
  <si>
    <t xml:space="preserve">17/01/2024 After visiting site safety it was agreed that the Vegetation will be cut back and fence installed Moss Way ped crossing inboud, vegetation will be cut back to ensure adquate site lines at Moss Way ped crossing out bound </t>
  </si>
  <si>
    <t>Matt Wright</t>
  </si>
  <si>
    <t>2023/2024-12</t>
  </si>
  <si>
    <t>Nunnery depot 9W Stood against racking wooden ladders no inspection date not stored anywhere in particular - Who deals with ladder inspections and why have these had none.</t>
  </si>
  <si>
    <t>The ladders have been taken out of action and awaiting login details for XV plus to ensure maintenance schedule is taking place</t>
  </si>
  <si>
    <t>Tony Waddingham</t>
  </si>
  <si>
    <t>2023/2024-02</t>
  </si>
  <si>
    <t>Safety clasp is missing off bogie crane</t>
  </si>
  <si>
    <t>RSM</t>
  </si>
  <si>
    <t>2023/2024-03</t>
  </si>
  <si>
    <t>Bolier broken staff canteen</t>
  </si>
  <si>
    <t xml:space="preserve">Has been replaced </t>
  </si>
  <si>
    <t>2023/2024-04</t>
  </si>
  <si>
    <t>Eyewash missing from station located near toliets in engineering depot</t>
  </si>
  <si>
    <t>2023/2024-06</t>
  </si>
  <si>
    <t>TAXI heading illegally using Tram Only lane heading Inbound towards Cathedral causing near-miss potential for accident and causing potential signalling issue. VEHICLE REG WJ69FH - Report to SCC via taxilicensing@sheffield.gov.uk and feedback.</t>
  </si>
  <si>
    <t>Gage West</t>
  </si>
  <si>
    <t>2023/2024-07</t>
  </si>
  <si>
    <t>I'm sure most drivers will agree with me on this one.A lately signals have been playing up all over the system. Until they are fixed properly is there a chance we could have permission to go through Green and bar signal that have NO conflicting traffic moves when in this phase, for example; Infirmary road/Flora street, infirmary Road/Albert Terrace Road, West street/Carver street, West street/Holly Street, Etc. Not only would it help drivers run on time, it would benefit OCC as they would not get as many calls regarding signals. - Allow drivers to go through Green and bar at NON-CONFLICTING Junctions. (No conflicting traffic moves)</t>
  </si>
  <si>
    <t>This concern has been considered by JK SG &amp;SG  and  it has been identfied that the safest option is to continue reporting green &amp; bar and working under OCC instruction, to note the timetable is not considered priority when tramway signalling causes an issue.</t>
  </si>
  <si>
    <t>2023/2024-10</t>
  </si>
  <si>
    <t xml:space="preserve">The tramway look both way signs are not designed for anyone that doesn't speak English - Pictures in corners of eyes with arrows </t>
  </si>
  <si>
    <t xml:space="preserve">Cannot change standard signage look to introduce "look both ways" paint at ground level </t>
  </si>
  <si>
    <t>2023/2024-19</t>
  </si>
  <si>
    <t>Crystal Peaks rear NMUS crossings  -Possibly local educating by training at schools/colleges etc. Crossing is due to be risk assessed shortly. Near Miss: Whilst undertaking checks of anti-vandal posts at crossing with JK at approx time witnessed a group of youths meandering across tracks not using crossing.  Positive Intervention: Asked them not to walk on the tracks, although ignored they completed  their crossing safely and exited on the crossing- Possibly local educating by training at schools/colleges etc. Crossing is due to be risk assessed shortly.</t>
  </si>
  <si>
    <t xml:space="preserve">Closed to be picked up by the rail safe friendly team </t>
  </si>
  <si>
    <t>Andrew Buckley</t>
  </si>
  <si>
    <t>2023/2024-09</t>
  </si>
  <si>
    <t>Anti-vandal posts at crossing with JK at approx time witnessed a group of youths meandering across tracks not using crossing.  Positive Intervention: Asked them not to walk on the tracks, although ignored they completed  their crossing safely and exited on the crossing-Possibly local educating by training at schools/colleges etc. Crossing is due to be risk assessed shortly.</t>
  </si>
  <si>
    <t xml:space="preserve">AB- to review all risk assessments of all NMU crossings action ongoing - Email from JK  02/04/2024 - AB carried out RA for this crossing. Schools programme considered through Rail Safety group for Year 1 plan - check with WD at Safety Board meeting </t>
  </si>
  <si>
    <t>2310-22</t>
  </si>
  <si>
    <t>2023/2024-43</t>
  </si>
  <si>
    <t>Reinforce coflict aviodance techniques and remind not to hold trams creating further hazardous situation</t>
  </si>
  <si>
    <t>Completed at the time of the interview</t>
  </si>
  <si>
    <t>2308-40</t>
  </si>
  <si>
    <t>2023/2024-45</t>
  </si>
  <si>
    <t>Driver Carol Harrison to have refresher course on procedure of how to enter the depot shed and what safety checks to follow.</t>
  </si>
  <si>
    <t xml:space="preserve">TRAINING </t>
  </si>
  <si>
    <t>2023/2024-46</t>
  </si>
  <si>
    <t xml:space="preserve">All RSM personnel to take part in a toolbox talk regrading procedure to follow when guiding a tram in to the depot shed </t>
  </si>
  <si>
    <t xml:space="preserve">27/02/2025 Email received from A Rathbone - 18/02/2025 - Action owner has been reassigned to training dept - technically not overdue. Not aware of this till today 27/02/2025, we will develop a toolbox talk and deliver by end of March 2025
</t>
  </si>
  <si>
    <t>Nigel Wragg</t>
  </si>
  <si>
    <t>2023/2024-13</t>
  </si>
  <si>
    <t>At busy events could staff wear hivis caps so that staff can be easily identified amongst the crowd. This will enable managers to better understand the location of staff and ensure that they are located in a safe position</t>
  </si>
  <si>
    <t xml:space="preserve">Email from JK 02/04/2024 - Staff already wear hivis jackets for events  - feel that this is enough to spot in crowds caps could be taken off by members of the public </t>
  </si>
  <si>
    <t>Dave Johnson</t>
  </si>
  <si>
    <t>2023/2024-42</t>
  </si>
  <si>
    <t>For the second time recently I have had to give out my personal mobile number because the tram mobile number was not known - Please ensure that all tram phone numbers are clearly written on the phone cases</t>
  </si>
  <si>
    <t>OPS</t>
  </si>
  <si>
    <t xml:space="preserve">All mobile phones have number dynamo stickered to back of phone case </t>
  </si>
  <si>
    <t>2023/2024-14</t>
  </si>
  <si>
    <t>Nunnery Depot Main vehicle gate - Gates open due to severe winds and held with tie wraps- Suggest welding and using sufficient drop bolts as tie wraps/rope or other could snap/break and potentially cause an incident.</t>
  </si>
  <si>
    <t xml:space="preserve">New actuators should be sufficient to maintain position - this is being investigated by the supplier  </t>
  </si>
  <si>
    <t xml:space="preserve">Andy Roberts </t>
  </si>
  <si>
    <t>2309-43</t>
  </si>
  <si>
    <t>2023/2024-89</t>
  </si>
  <si>
    <t>Discuss non escalation during next scheduled TWYM meeting</t>
  </si>
  <si>
    <t>2023/2024-17</t>
  </si>
  <si>
    <t>Approx between 1505-1515 CK04YEL Yaris causing near miss overtaking Tram and using tram only lane towards Cathedral.  CCTV- Report to relevant authority.</t>
  </si>
  <si>
    <t>Is being picked up as part of workstream around this junction - a notice has been posted to staff via Blink asking them to repoat all near misses at this location through to OCC</t>
  </si>
  <si>
    <t>Jason Lawrie</t>
  </si>
  <si>
    <t>2023/2024-16</t>
  </si>
  <si>
    <t>Platform lighting comes on 30 mins after going dark. Massive safety concerns, pulling into a busy unlit platform, anyone sat on edge platform, too close edge, can't see back of platform when shut the doors etc etc.  Been reported to OCC who say it's a known issue, been reported to Duty Managers.... Nothing gets done. Even know when gets lighter in evening still comes on 30 mins after dark. Stops like Gleadless and Hollisend lighting turns off before midnight when there are still 3 service trams due through - Either regulate all platform lighting to come on when goes dusk or fit sensors to trigger them to come on automatically at dusk.</t>
  </si>
  <si>
    <t xml:space="preserve">01/02/2024 response sent back to Jlawrie, OCC updated  - Joe/Jack asked in OCC for a list of potential problem areas but none of the controllers on shift were aware of any list.
We will attend to any lights reported to us which have a timer issue and if required will disconnect the time clock unit.
 Once disconnected the lights will be illuminated via the Photo-electric cell 24/7 and will switch on/off depending on the ambient light levels at each location.
Originally the timers were fitted to the tower lights on each platform to help with energy saving.
Since replacing all the lamps with more efficient LED types there is no longer a need for the timers in circuit.
Going forward if there are any locations where the timers fail we will just revert back to relying on the PE cells to control the lighting.
Also require drivers to now inform in lights are on during daylight hours as will indicate photo senso failure and need to be addressed
</t>
  </si>
  <si>
    <t>2023/2024-18</t>
  </si>
  <si>
    <t>The number of bulbs not working/missing in the older style LRT’s now is getting a little ridiculous.   Over a few duty’s covering MAB, HAL, MID, MEH, I roughly counted over 250 bulbs not lit. This does not consider the bulbs on the bar aspects not visible to me. 
Yes, I report any that have all but one/two lit, or in some cases where bar’s are not lit at all, but we cannot report every LRT on a route - s it feasible that a team can go out with a packet of bulbs and a step ladder and fix them route by route, then have a scheduled x-monthly schedule to check/replace? The new LED’s (?) ones being installed are much clearer and reliable</t>
  </si>
  <si>
    <t xml:space="preserve">Neill Barraclough Infrastructure Manager </t>
  </si>
  <si>
    <t>Email from N Barraclough - We already have these actions in place for regular sweeps to check the LRT Lamps
It's a regular inspection on xvp ; the issue we are now facing is the lamps we need to replace them with are no longer made.
It may be worth sending the person who sent this a copy of the report I sent you, Josh, explaining why the lamps aren't always the issue. as they seem to believe we don't go and check them!!
The comment about the new LED being better is nice to hear, and I will pass it on to AMEY, who are doing that work, as it will no doubt be pleasing to them.</t>
  </si>
  <si>
    <t>2023/2024-41</t>
  </si>
  <si>
    <t>Would it be an idea to have signs on major junction traffic lights (i.e. Manor Top, Gleadless Townend) saying that if the traffic lights are off, give way to/beware of trams
The same sort of thing they have at Parkway/Derek Dooley Way Junction</t>
  </si>
  <si>
    <t xml:space="preserve">MoU Felt that it would not help the situation as those signs were specifically for that junction where there have been previous incidents </t>
  </si>
  <si>
    <t>2023/2024-35</t>
  </si>
  <si>
    <t>City Hall stop inbound to Cathedral Near miss as multiple vehicles followed 108 disobeying signals and 'Tram only' signage One was a council bus and another was a Taxi- Use CCTV checking.</t>
  </si>
  <si>
    <t xml:space="preserve">Already being actioned </t>
  </si>
  <si>
    <t>2023/2024-36</t>
  </si>
  <si>
    <t xml:space="preserve">Safety course passes need updating. Nothing to stop for example a Depot, Track or Lookout pass being passed on to a person who has not completed the training. Passes should have a photo ID, we have the facilities to complete this, but not being used. Maybe now is a good time to create these with the new logo etc.   </t>
  </si>
  <si>
    <t>A new pass has been developed by all parties involved - finalising printer installation on training cabin</t>
  </si>
  <si>
    <t>2023/2024-28</t>
  </si>
  <si>
    <t>Hello, not a safety report, but an environmental and money saving suggestion? The upstairs  corridor in the depot is illuminated 24 hours a day/ 7 days a week. When the office staff have left, there are minimal people walking up and down and especially after service ends there is little to no traffic for 4 hours. My suggestion is that we install sensors so the lighting is  only on when someone is actually walking (like is in the upstairs toilets) Clearly don't know if there is legislation around this, but I have witnessed it in many hotels . Thanks for considering this.</t>
  </si>
  <si>
    <t xml:space="preserve">Email from MB 13/02/2024 This is a very valid point and I’m sure this could be done. It might be better passing this BOSRIA to Mark Tompkins and his electrical team to see if this could be achievable. Has been sent to MTomkins &amp; Ilevin - Comments from Mark Tomkins - 04/03/2024 - Mark Tomkins it would not be reasonbabaly practical to fit sensots outside of every office - States that as the light fittings alrready in place are LED they do not use a vast amount of energy and it works out less expensive to leave them them on rather than purchasing sensors to swtich them on/off with occupancy </t>
  </si>
  <si>
    <t>2023/2024-34</t>
  </si>
  <si>
    <t>Following up my previous advise about dogs &amp; bikes boarding TramTrain: nice to see the new signs on the TramTrain doors, but someone that has been waiting for 25mins in freezing rain would most probably appreciate being told earlier - Could we erect similar signs on the approach to Parkgate &amp; Rotherham Central stops.</t>
  </si>
  <si>
    <t xml:space="preserve">We cannot put up notices for every scenario or situation - speka to Nigel and ask about adding it to the notice case as a more general notice </t>
  </si>
  <si>
    <t>2309-33</t>
  </si>
  <si>
    <t>2023/2024-57</t>
  </si>
  <si>
    <t xml:space="preserve">Note to file </t>
  </si>
  <si>
    <t>2023/2024-58</t>
  </si>
  <si>
    <t xml:space="preserve">Covert ride check </t>
  </si>
  <si>
    <t>2023/2024-32</t>
  </si>
  <si>
    <t>Infirmary Road Flora Street -When travelling inbound at this location, trams will have a proceed but it is still possible for other road traffic coming the other way to turn right across the path of the tram (see attached screenshot), sometimes causing harsh braking/near miss by the tram. I believe this happens because the other vehicle also has a green light and the driver may assume the tram is going to stop - Could an orange "Right Turners Beware Oncoming Vehicles" sign be fitted in the location marked in the screenshot to make the junction clearer?</t>
  </si>
  <si>
    <t xml:space="preserve">JK to rasie at MOU meeting </t>
  </si>
  <si>
    <t>2023/2024-33</t>
  </si>
  <si>
    <t xml:space="preserve">The sites here on events are dirty and sometimes unsafe if the weather has been bad. at arena the gates are very difficult to slide due to leaves and mud going into the runners and the walkway gets filled with fallen branches and rubbish. at Leppings Lane the barriers and chain collect mud, rubbish and leaves. our hands get filthy - that cleaners go to these areas on the days of events (use the event list that Andy Cullen sends out) and ensure they are clean and tidy. </t>
  </si>
  <si>
    <t>The gate runners at the Arena get cleaned out weekly and before any major events. They gates are tried and any defect found are passed on to the FEM coordinator. The barriers at Leppings Lane get removed and taken back to depot every 2 months and are cleaned and jet washed before taking them back. Would suggest a box of disposable gloves are used when handling these barriers.</t>
  </si>
  <si>
    <t>2309-30</t>
  </si>
  <si>
    <t>2023/2024-59</t>
  </si>
  <si>
    <t>HR Investgation</t>
  </si>
  <si>
    <t>2310-23</t>
  </si>
  <si>
    <t>2023/2024-87</t>
  </si>
  <si>
    <t>2023/2024-30</t>
  </si>
  <si>
    <t>Canteen walls look filthy, also a section of skirting has come adrift - Repaint</t>
  </si>
  <si>
    <t>The canteen walls have been damaged by people sitting back on chairs. We can plan in a deep clean and re attached the skirting. A price from a contractor was submitted for the painting but due to costs, at the minute we have no plans to repaint.</t>
  </si>
  <si>
    <t>2023/2024-31</t>
  </si>
  <si>
    <t xml:space="preserve">Still a lot of visitors to site who aren't expected. Creates a risk around LRSP as unapproved visitors could end up on site where they shouldn't be - Process whereby anyone expecting visitors tells Reception (and OCC particularly out of office hours) so that someone knows who is coming. Accepted deliveries are not easily addressed under this suggestion but at least contractors and visitors are known about before they arrive and are met by their appointed contact, who is known because Alison or OCC are aware to expect them </t>
  </si>
  <si>
    <t xml:space="preserve">JS has put comms out to remind people to inform reception/OCC when expecting visitors </t>
  </si>
  <si>
    <t>2310-51</t>
  </si>
  <si>
    <t>2023/2024-84</t>
  </si>
  <si>
    <t xml:space="preserve">A ride check was carried out with Jonathan Meikle to make sure he was ok after the incident and a meeting was held after the CCTV was viewed the driver was advised of audible warning and better anticipation </t>
  </si>
  <si>
    <t>2308-28</t>
  </si>
  <si>
    <t>2023/2024-85</t>
  </si>
  <si>
    <t xml:space="preserve">Sarah Gregory to be spoken with regards future conflict avoidance and to check on her welfare </t>
  </si>
  <si>
    <t>2023/2024-86</t>
  </si>
  <si>
    <t>Marie Rowbottom to be spoken to about the use of conflict training in future</t>
  </si>
  <si>
    <t>2023/2024-29</t>
  </si>
  <si>
    <t>Crystal Peaks - As a driver finding this area very dark in this miserable weather, I wandered if the new light posts on the crossings are going to be working soon? Are they solar? - Switch lights on when dark.</t>
  </si>
  <si>
    <t xml:space="preserve">Crystal Peaks issue Mark Tomkins in chasing </t>
  </si>
  <si>
    <t xml:space="preserve">Stephen White </t>
  </si>
  <si>
    <t>Tram 17 in cab 1 has a thick layer of black muck over the dash and emergency switch panel. Cab 2 is slightly better but still has a layer of black dust all throughout the cab.</t>
  </si>
  <si>
    <t>Tram was cleaned when it came back inot the depot 09/02/2024</t>
  </si>
  <si>
    <t>2023/2024-38</t>
  </si>
  <si>
    <t>Duff Norton Jacks used by infrastructure for jacking track are not ideal. They are banned on NR and volker rail also do not use these due to the risk involved.</t>
  </si>
  <si>
    <t xml:space="preserve">Nbarraclough has sourced new jacks to be hired in when needed - also has attached standards breifing notice from Volker Rail that’s need to be factored into Supertram brief when jacks are used </t>
  </si>
  <si>
    <t>2023/2024-40</t>
  </si>
  <si>
    <t>I reported to occ in September/October that at various locations we need the stop markers on the platforms repainting Hillsborough outbound Beighton outbound virtually nearly gone could we have this done before winter it got tacted down but now February and still not done - Paint please</t>
  </si>
  <si>
    <t>Email from Neill Barraclough this work is an ongoing project.</t>
  </si>
  <si>
    <t>Alex Howard</t>
  </si>
  <si>
    <t>2023/2024-47</t>
  </si>
  <si>
    <t xml:space="preserve">There is a open section of track that I feel requires a boundary fence fitting. On two recent occasions there have been people on or close to the line.
The location is between Attercliffe and Arena, approx between poles ATT1136-ATT1137 on the outbound side. This section is 40mph running. There is a open grass slope/banking approx 10-15meters to the pavement and possibly 30-40meters long.
The area at the bottom of the banking is used by school children, dog walkers and is now the car park for people visiting the new Canon Medical </t>
  </si>
  <si>
    <t>Will be risk assessed and fedback  - JK has sumbmitted paperwork to KS for approval - date extended procurement lead time -25/02/2025JK has confirmed that the fencing has been installed authorised to close by WC</t>
  </si>
  <si>
    <t>2310-46</t>
  </si>
  <si>
    <t>2023/2024-88</t>
  </si>
  <si>
    <t xml:space="preserve">Praise the conductor for remaining calm not escalating and rpeorting correctly and quickly </t>
  </si>
  <si>
    <t>2310-60</t>
  </si>
  <si>
    <t>2023/2024-53</t>
  </si>
  <si>
    <t xml:space="preserve">Discuss non-escalalting during nest time with your manager meeting </t>
  </si>
  <si>
    <t>2310-15</t>
  </si>
  <si>
    <t>2023/2024-54</t>
  </si>
  <si>
    <t>Driver retrained on swept path awareness and obsevrvational skilld (report supplied as an apendix</t>
  </si>
  <si>
    <t>Anon</t>
  </si>
  <si>
    <t>2023/2024-48</t>
  </si>
  <si>
    <t xml:space="preserve">Just a suggestion for OCC. When doing a radio message/all stations with a road/junction/light location, some OCC controllers will only use the road/junction name. Newer drivers don’t always know exactly where that road junction is by name. </t>
  </si>
  <si>
    <t>Email sent to OCC from Dave M I think some of you may already do this, I know some of us do this with points, which is good practise and is really helpful to drivers, particularly those that are newly qualified i.e. "Gleadless tango zero one points are in a failed state...". "Hillsborough Hotel Bravo zero one points have failed and will require hand operating...". "Signals at Calver St/West St Jn, just after City Hall O/B, are all out...". "Signals at Fitzwilliam St/West St Jn, after West St O/B, are all out...". etc.
So please be mindful of this going forward and, if you're not alraedy doing so, let's start to include a little more location detail in our radio message.Kelly,   can you feed back to the person (if possible) that going forward OCC will try to remember to include a little more info. ref. the location etc. but if they, or any driver, are ever unsure of where OCC are referring to or they don't fully understand a message, then they must  not acknowledge via a status message and must ask for the message to be repeated, OCC will be more than happy to do so. 
Op's Standard C5.3 
All Stations Acknowledge
Addressees will be asked to acknowledge receipt of an all stations call by use of a status. OCC will check acknowledgement from trams and contact any relevant individuals that have not responded.
Drivers must only send acknowledgement statuses if the message has been clear and fully understood.</t>
  </si>
  <si>
    <t>2023/2024-51</t>
  </si>
  <si>
    <t>Sheffield Station  - No platform lights on at gone 18:00 - Fix</t>
  </si>
  <si>
    <t xml:space="preserve">Already raised with Mark Tomkins </t>
  </si>
  <si>
    <t>2023/2024-49</t>
  </si>
  <si>
    <t>Nuunery Depot - ST vehicle using the wrong side of entrance gates after a vehicle just departed for convenience - cnetre line posts to prevent wrong path taken</t>
  </si>
  <si>
    <t>M Blackwell to inform staff that they are not to drive on the wrong side of the gate - Posts can not be put into the center line as this area needs to be clear for large deliveries and when contractors are on site.</t>
  </si>
  <si>
    <t>2023/2024-50</t>
  </si>
  <si>
    <t>Nunnery Depot - Volker Rail staff operating telehandler not in work clothing or wearing hivis - ensure contractor operating safely</t>
  </si>
  <si>
    <t xml:space="preserve">G Stanford has been in touch with Volker Rail management regarding staff not wearing correct PPE </t>
  </si>
  <si>
    <t>2023/2024-217</t>
  </si>
  <si>
    <t xml:space="preserve">Depot refresher trianing </t>
  </si>
  <si>
    <t>2023/2024-218</t>
  </si>
  <si>
    <t>PDDP</t>
  </si>
  <si>
    <t>2023/2024-56</t>
  </si>
  <si>
    <t xml:space="preserve">Blue trolley located at bottom of stairs near lift potential hazard for serious injury from falls and preventing accessible users access with reduced gap - previous user return to safe storage area </t>
  </si>
  <si>
    <t>30/02/2024</t>
  </si>
  <si>
    <t>Trolley has been relocated to the side of the lift on the first floor of the dpet with a noitce reminding staff to put back there when they have finished using it.</t>
  </si>
  <si>
    <t xml:space="preserve">Russ Wild </t>
  </si>
  <si>
    <t>2308-01</t>
  </si>
  <si>
    <t>2023/2024-64</t>
  </si>
  <si>
    <t xml:space="preserve">The driver should receive an additional covert ride check,, during low rail adhesion conditions to ensure his driving style is adjusted accordingly to mitigate any safety issues which may arise </t>
  </si>
  <si>
    <t xml:space="preserve">Email from DM stating when ride check was completed </t>
  </si>
  <si>
    <t>2023/2024-66</t>
  </si>
  <si>
    <t xml:space="preserve">Consider additional measures on approach to Meadow Street such as lowering the speed limit during times of low rail adhesion conditions </t>
  </si>
  <si>
    <t xml:space="preserve">Consideration of low rail adhesion hot spots to be identified with signage </t>
  </si>
  <si>
    <t xml:space="preserve">Andy Buckley </t>
  </si>
  <si>
    <t>2023/2024-60</t>
  </si>
  <si>
    <t>Gary Seaborn has been actioned with looking into  decanted toxic substances into unlabelled vessels of various sorts after been pulled about it this morning by another colleague. Suggest we give it 2wks to be fully rectified.</t>
  </si>
  <si>
    <t>2023/2024-61</t>
  </si>
  <si>
    <t>Any ladders used in the workshop by RSM to have rubber feet fitted or replaced with insulated of the same type action within one month</t>
  </si>
  <si>
    <t>11/12/2024 Item ongoing</t>
  </si>
  <si>
    <t>2023/2024-62</t>
  </si>
  <si>
    <t>Clear Moss along side of old paint shed and around to the back upto fire escape and if possible treat on more regular basis.(reported anonymously by colleague), action within one month,</t>
  </si>
  <si>
    <t>2023/2024-63</t>
  </si>
  <si>
    <t>Fit vent covers either side of hole for old flue at rear of old paint shed, action within fortnight,</t>
  </si>
  <si>
    <t>Darren Justice</t>
  </si>
  <si>
    <t>2023/2024-71</t>
  </si>
  <si>
    <t xml:space="preserve">Spllliages on corridor and stairwells not getting wiped up someone will get hurt </t>
  </si>
  <si>
    <t>Comms displayed on BLINK</t>
  </si>
  <si>
    <t xml:space="preserve">Darren Justice </t>
  </si>
  <si>
    <t>2023/2024-72</t>
  </si>
  <si>
    <t xml:space="preserve">Fire door blocked (Castle House) bloked in quiet room </t>
  </si>
  <si>
    <t>Door checked by Abuckfield on 11/03/2024</t>
  </si>
  <si>
    <t>2023/2024-67</t>
  </si>
  <si>
    <t xml:space="preserve">Two near misses of people walking through long corridor doors this week, could the doors without quarter glass be changed to ones with so can see through like the singular door openings?-  Change doors </t>
  </si>
  <si>
    <t>DorGards have been fitted to the doors to hold the doors open - the Dor Gards are activated by the fire alarm and proceed to close</t>
  </si>
  <si>
    <t>2023/2024-73</t>
  </si>
  <si>
    <t xml:space="preserve">One of the double doors into the pneumatic room has been strained and requires attention - Pneumatic room 10 road east </t>
  </si>
  <si>
    <t>This door had been continuously wedged open by a tyre block causing the hinge to strain - this hinge has now been replaced and toghtened with no further issues</t>
  </si>
  <si>
    <t>2023/2024-74</t>
  </si>
  <si>
    <t xml:space="preserve">Access/egress door opposite the bogie section does not close properly it has to be pulled firmly - RSM dept road 10 west </t>
  </si>
  <si>
    <t>The door has been checked and no issues were found - will continue to monitor</t>
  </si>
  <si>
    <t>2023/2024-69</t>
  </si>
  <si>
    <t>New Risk Assessment required on ORR style template regarding Bogies.</t>
  </si>
  <si>
    <t>2023/2024-68</t>
  </si>
  <si>
    <t>SAFETY/ JK- to review COSHH risk assessment for SYPOL implementation etc</t>
  </si>
  <si>
    <t>2311-67</t>
  </si>
  <si>
    <t>2023/2024-173</t>
  </si>
  <si>
    <t xml:space="preserve">PDDP </t>
  </si>
  <si>
    <t>2023/2024-174</t>
  </si>
  <si>
    <t>2023/2024-175</t>
  </si>
  <si>
    <t xml:space="preserve">Mentoring </t>
  </si>
  <si>
    <t>2312-41</t>
  </si>
  <si>
    <t>2023/2024-153</t>
  </si>
  <si>
    <t>Update of VMI to include check for elbow lift</t>
  </si>
  <si>
    <t>Matt Wright - RSM Competency Co-ordinator</t>
  </si>
  <si>
    <t>2023/2024-154</t>
  </si>
  <si>
    <t>Toolbox talk on how to check elbow tension</t>
  </si>
  <si>
    <t>2023/2024-155</t>
  </si>
  <si>
    <t>Discussion with person who originally set elbow height</t>
  </si>
  <si>
    <t>2023/2024-75</t>
  </si>
  <si>
    <t>Carry out regular monitoring of HAVS for relevant employees and equipment use and record/ act on results as required internally and consider implementation by an external medical surveillance provider for coverage.</t>
  </si>
  <si>
    <t xml:space="preserve">Confirmation from Jk that Iptima health will be staring staff HS in January 2025 -covers monitoring </t>
  </si>
  <si>
    <t>2023/2024-76</t>
  </si>
  <si>
    <t>Erect temporary screens around the working zone to control arisings that may affect others.</t>
  </si>
  <si>
    <t>2023/2024-77</t>
  </si>
  <si>
    <t>Pits to be barriered off when no tram on using twin belt yellow/black retractable barriers on mobile weighted stands.</t>
  </si>
  <si>
    <t xml:space="preserve">20/06/2024 - Update from Abuckely - I have chased these items up with RSM as requested, I have assisted with measuring and compiling requirements for the pit barriers and left with Gary today.(Approx cost £15k for portable HSE approved Pit Tensator barriers covering approx 400m) GSeaborn is gathering quotes. Date on this action has been extened to accomadate this workstream </t>
  </si>
  <si>
    <t>2023/2024-78</t>
  </si>
  <si>
    <t>Ensure SSOW/ Method Statement(MA) for relevant activity states no traversing by any operatives under suspended loads and correct PPE worn at all times in the blue zone regardless of activity by all including but not limited to safety boots, orange hi vis vests and safety helmets etc</t>
  </si>
  <si>
    <t xml:space="preserve">08/12/2025 all Gary Seaborns actions were reassigned to Paul Holdsworth under instruction from Josh Keeling - 16/12/2025 email from Josh to Paul - Happy to authorise an extension for Paul to review and come back to us on achievable timescales given the circumstances.
20/01/2026  - Action closed  </t>
  </si>
  <si>
    <t>2023/2024-79</t>
  </si>
  <si>
    <t>Ensure RA/SSOW/MS in place on new required template for the sole activity of jacking vehicles and then send for review. (Existing in place)</t>
  </si>
  <si>
    <t xml:space="preserve">08/12/2025 all Gary Seaborns actions were reassigned to Paul Holdsworth under instruction from Josh Keeling - 16/12/2025 email from Josh to Paul - Happy to authorise an extension for Paul to review and come back to us on achievable timescales given the circumstances.
20/01/2026 - Action closed  </t>
  </si>
  <si>
    <t>2023/2024-80</t>
  </si>
  <si>
    <t>Ensure regular and recorded cleaning regime in place following required RA/SSOW/MS's etc. and records shared with relevant departments of this been carried out.</t>
  </si>
  <si>
    <t xml:space="preserve">08/12/2025 all Gary Seaborns actions were reassigned to Paul Holdsworth under instruction from Josh Keeling - 16/12/2025 email from Josh to Paul - Happy to authorise an extension for Paul to review and come back to us on achievable timescales given the circumstances. 
20/01/2026 Action closed </t>
  </si>
  <si>
    <t>2023/2024-81</t>
  </si>
  <si>
    <t xml:space="preserve">Ensure creation of RA/SSOW/MS's and then followed for lone working and regular supervision at appropriate intervals is carried out. Each shift should be covered by a named First Aid person working within that area. Ensure all staff are aware of any emergency procedures etc.  </t>
  </si>
  <si>
    <t>08/12/2025 all Gary Seaborns actions were reassigned to Paul Holdsworth under instruction from Josh Keeling - 16/12/2025 email from Josh to Paul - Happy to authorise an extension for Paul to review and come back to us on achievable timescales given the circumstances. 
20/01/2026 - 30 Days extension granted to allow time for tool box to be deliev</t>
  </si>
  <si>
    <t xml:space="preserve">Nikolas Dobbs </t>
  </si>
  <si>
    <t>2023/2024-83</t>
  </si>
  <si>
    <t xml:space="preserve">Display link signage coordinator not clipped on in MEWP basket - positive safety conversatin held - later day checked and compliant </t>
  </si>
  <si>
    <t xml:space="preserve">Roger Coates </t>
  </si>
  <si>
    <t>2023/2024-90</t>
  </si>
  <si>
    <t>The white lines in depot east are in need of repainting . They’re extremely difficult to see while reverse parking - Can we get the white lines repainted in depot east car park, early morning and late
nights it’s extremely difficult to see them while reverse parking even more so in wet
conditions</t>
  </si>
  <si>
    <t xml:space="preserve">Paul, if you could let us know that you have reviewed these by Jan 16th, we can then agree some new deadlines for these outstanding actions, many thanks. Also, any actions that you need wider context for, just let us know and Kelly can go over where they originated from with you. </t>
  </si>
  <si>
    <t>2023/2024-91</t>
  </si>
  <si>
    <t>Segregated sections - If a tram stops suddenly, breaks down on the segregated sections of our system, there’s no way for the Network Coordinators to know how far behind a tram could be following behind and may not answer the radio call from the stationary tram in
time to inform the tram behind. This could cause a potential tram on tram impact, for example if a tram stops prior to ValleyCentertaiment o/b, the tram behind is potentially doing 40mph, the line of sight is blocked by the trees. suggest Trams that stop on segregated sections should send an emergency call to inform the Network Coordinators sooner and avoid a potential Collision</t>
  </si>
  <si>
    <t xml:space="preserve">18/04/2024 - have asked driver to be more specific with regard to location </t>
  </si>
  <si>
    <t>2023/2024-92</t>
  </si>
  <si>
    <t>White Lane - Birley Lane  - A few times last week I saw/reported to OCC birley school pupils walking on the segregated track between the Birley Lane stop and white lane/fox lane junction - I know it’s probably been done before but maybe the school can be contacted to
reiterate safety around the tramway</t>
  </si>
  <si>
    <t>The school have been contacted and asked to remind pupils of the dangers and therefore ask them not to walk on track. Obviously we can't physically stop them but hopefully a reminder will help.</t>
  </si>
  <si>
    <t>2023/2024-93</t>
  </si>
  <si>
    <t>Workshop Plant Room should be secure(ie door locked) at all times when not occupied for legal compliance including insurance.</t>
  </si>
  <si>
    <t>2023/2024-94</t>
  </si>
  <si>
    <t>Ensure assets/ equipment where required is ATEX rated to comply with DSEAR when undertaking any depot refurbishment project/ projects. To be reviewed or actioned by given date.
Due date 04.04.26</t>
  </si>
  <si>
    <t>2023/2024-98</t>
  </si>
  <si>
    <t>Just a general comment as a conductor I find it difficult to manoeuvre sometimes due to how busy it gets, the narrower aisles on TT makes more side way movements and without the grab loops like you get on the older trams better for people my height I find it alot more difficult to get around whilst being stable and maintianing three points of contact - consider fitting grab loops to newer trams.</t>
  </si>
  <si>
    <t>Covered in safety reps meeting JK has TT comlplies construction and use regs</t>
  </si>
  <si>
    <t>2312-40</t>
  </si>
  <si>
    <t>2023/2024-99</t>
  </si>
  <si>
    <t xml:space="preserve">Driver to be issued Note to File for non  reporting of incident </t>
  </si>
  <si>
    <t>2023/2024-100</t>
  </si>
  <si>
    <t xml:space="preserve">Each team on infrastructure to have their own van deicated to the team &amp; a van capable of the needs of the team - this negating the need tom catch a tram to a worksite - from our teams experience when on days dependant on what other teams are on days, on numerous occassions our team have to catch a tram to our worksite in addition if each team have a dedicated van they could carry spares on their van associated to their discipline </t>
  </si>
  <si>
    <t>24/02/205</t>
  </si>
  <si>
    <t>The new van fleet factored this into the design-making process, and we have expanded the number of vehicles. 24/02/2025 authorised to close WC</t>
  </si>
  <si>
    <t>2023/2024-101</t>
  </si>
  <si>
    <t xml:space="preserve">Trap and drag brief to be reissued as a timely reminder of the importance of final mirror checks </t>
  </si>
  <si>
    <t>2023/2024-102</t>
  </si>
  <si>
    <t xml:space="preserve">Wall mounted water boiler when operating lever to decant the lever roates anti clockwise - potential scolding </t>
  </si>
  <si>
    <t>Bolier was fixed in the interim - a company technician has been scheduled in to assess/repair the boiler</t>
  </si>
  <si>
    <t>2023/2024-95</t>
  </si>
  <si>
    <t>See a new bin going in at PR when I clocked in this morning. Is it nessarcary we still have public bins on the network, would save a lot of time, effort and waste disposal if we got rid, not to mention the fire risk - Sugggest  -Stop providing public bins, put onus on council</t>
  </si>
  <si>
    <t>As part of our public service agreeent with SYMCA we need to provide bins for the public on all tramstops. If bins werenot provided the litter/rubbish could be taken on to the trams and left, making it very unsightly on not very hygienic for the paying customers.</t>
  </si>
  <si>
    <t>2023/2024-96</t>
  </si>
  <si>
    <t>With regards to bodycams could the CCTV on trams not be changed to audio also as this would be ok and legal with the correct signage</t>
  </si>
  <si>
    <t>CCTV system is outdated and due for replacement - consideration for the new fleet</t>
  </si>
  <si>
    <t>2023/2024-97</t>
  </si>
  <si>
    <t>A lot of staff are passing comments on how hot the water is coming out of hand taps at East Parade - they have been asked to complete a BOSRIA-Also can facilities request the landlord if the tempreture can be adjusted or warning stickers be placed at eac tap with a warning (also ensure all hot taps are identifiable domestically in the usual way)</t>
  </si>
  <si>
    <t>Signage in place</t>
  </si>
  <si>
    <t xml:space="preserve">Stuart Walford </t>
  </si>
  <si>
    <t>2023/2024-103</t>
  </si>
  <si>
    <t xml:space="preserve">Each team on infrastructure to have their own van dedicated to the team &amp; a van capable of the needs of the team - this negating the need tom catch a tram to a worksite - from our teams experience when on days dependant on what other teams are on days, on numerous occassions our team have to catch a tram to our worksite in addition if each team have a dedicated van they could carry spares on their van associated to their discipline </t>
  </si>
  <si>
    <t xml:space="preserve">Its a great idea, it would in principle increase productivity. but has zero safety implications this is more internal politics and a wish list issue.  I would welcome a replacement fleet with additional numbers </t>
  </si>
  <si>
    <t>2023/2024-104</t>
  </si>
  <si>
    <t>Beighton Drakehouse - Nearly a week after reported there is no power to the tram stop so no lighting, PIDs. Pitch black approaching the stop, not safe for people waiting, especially lone females. Passengers shining torch off phones to grab attention that they are there!!! When Crystal Peaks turns it's lighting off at 11.30pm even worse. If it is a long term problem why no generator emergency lighting as danger for passengers and drivers??</t>
  </si>
  <si>
    <t>this is more internal politics and a wish list issue. </t>
  </si>
  <si>
    <t>Patricia Rowbottom</t>
  </si>
  <si>
    <t>2023/2024-108</t>
  </si>
  <si>
    <t>Cathedral inbound with York Street junction - had a near miss at this junction due to a car speeding out of this very small junction and completley ignoring my bell or bothering to check if he needs to give way - suggest could this junction have a stop line instead of a give way , i think because we have to drive so slowly in that area due to points and it being a highly used pedestrian area vehicles using this junction feel that it is an invitation to go</t>
  </si>
  <si>
    <t>Status email sent 30/01/2025 - KHS -JK Has  Raised with SCC throug Ash Carnal on 03/02/2025 and chased 07/02/2025 awating response -25/02/2025 WC has authorised this action to be closed as it is now being picked up by SCC</t>
  </si>
  <si>
    <t>Andy Buckely</t>
  </si>
  <si>
    <t>2023/2024-111</t>
  </si>
  <si>
    <t>Ochre Dyke Lane  NMU crossing on the outbound side at point X is below recommendations for lighting and would also help mitigate other risk based factors at this crossing. Can lighting be considered for outbound side?</t>
  </si>
  <si>
    <t>Closed off safety action tracker due to NMU specific meeting/tracker  that was established on 08/11/2024 attended by JK/MM/AB</t>
  </si>
  <si>
    <t>Chris Brown</t>
  </si>
  <si>
    <t>2023/2024-140</t>
  </si>
  <si>
    <t>Citylink 202 privacy film on front door is the wrong way around - you cant see the passengers but they can see you - suggest that the sticky adhesive needs to be on the front to turn the film around</t>
  </si>
  <si>
    <t xml:space="preserve">Awaiting info back from A Buckley -11/12/2024 ongoing - This was put in place as requested by a previous BOSRIA - it has now been rmeoved because of the adverse effect that it had, we will request that the company that attended return and fit another film correctly </t>
  </si>
  <si>
    <t>2023/2024-107</t>
  </si>
  <si>
    <t xml:space="preserve">T111 Both windscreens are extremley filthy on the outside and can tell just how bad it is as the wipers swept path is very visable from a good distance - Suggest a windscreen cleaning campaign if not been done due to current circumstances </t>
  </si>
  <si>
    <t xml:space="preserve">Action was carried out on 03/05/2024 by night cleaners </t>
  </si>
  <si>
    <t xml:space="preserve">Assiting on vegetation management sometimes difficult to communicate over noise - Suggest supply full aborists helmets with in built Bluetooth comms within ear defenders for easy comms when acting as lookout </t>
  </si>
  <si>
    <t>I would welcome a replacement fleet with additional numbers </t>
  </si>
  <si>
    <t>2023/2024-106</t>
  </si>
  <si>
    <t>As per previous OCC Log (derailment), should RSM have an emergency stand by crew vehicle to attend and capable of towing with re-railing trailer</t>
  </si>
  <si>
    <t xml:space="preserve">Status email sent 30/01/2025 - KHS - Is already in place and has been for some time </t>
  </si>
  <si>
    <t>2023/2024-113</t>
  </si>
  <si>
    <t>PDDP &amp; HR investigation</t>
  </si>
  <si>
    <t>2313-02</t>
  </si>
  <si>
    <t>2023/2024-115</t>
  </si>
  <si>
    <t>Priase conductor for not escalting situation</t>
  </si>
  <si>
    <t>2023/2024-116</t>
  </si>
  <si>
    <t xml:space="preserve">Reinforce welfare of comductor and signpost for support if required </t>
  </si>
  <si>
    <t>2023/2024-117</t>
  </si>
  <si>
    <t xml:space="preserve">Driver tested on Vis codes </t>
  </si>
  <si>
    <t>2023/2024-118</t>
  </si>
  <si>
    <t xml:space="preserve">Driver to be spoken to about the incident </t>
  </si>
  <si>
    <t>2023/2024-119</t>
  </si>
  <si>
    <t>Note to file to be made</t>
  </si>
  <si>
    <t>2023/2024-120</t>
  </si>
  <si>
    <t xml:space="preserve">Conductor to be advised on correct supporting techniques </t>
  </si>
  <si>
    <t>2023/2024-121</t>
  </si>
  <si>
    <t xml:space="preserve">Check conductor has a strap for the ticket machine for ease of letting the machine go without causing injury </t>
  </si>
  <si>
    <t>2308-11</t>
  </si>
  <si>
    <t>2023/2024-122</t>
  </si>
  <si>
    <t>Driver to be spoken about swept path issues.</t>
  </si>
  <si>
    <t>2312-09</t>
  </si>
  <si>
    <t>2023/2024-123</t>
  </si>
  <si>
    <t xml:space="preserve">The driver completed a fact finding meeting and was minded initally by DM Rbridges on 14/03/2024 - he was mentored by Cgrant on 15/03/2024 - he has been placed on PDDP and a NTF has been issued </t>
  </si>
  <si>
    <t>2313-28</t>
  </si>
  <si>
    <t>2023/2024-188</t>
  </si>
  <si>
    <t>Door edges to be checked as a priority - job card 150836</t>
  </si>
  <si>
    <t>2401-74</t>
  </si>
  <si>
    <t>2023/2024-191</t>
  </si>
  <si>
    <t xml:space="preserve">Re-enforce non escalation and conflict avoidance </t>
  </si>
  <si>
    <t>2401-61</t>
  </si>
  <si>
    <t>2023/2024-192</t>
  </si>
  <si>
    <t>Review conflict avoidance and accurate reporting with conductor</t>
  </si>
  <si>
    <t>2023/2024-109</t>
  </si>
  <si>
    <t>Given the recent bin fire and trespasser making use of the bin to stand on to penertrate Nunnery perimeter fence. As there is no requirment to have these public bins should it no be considered to no longer have them as a feature also saving on disposal costs</t>
  </si>
  <si>
    <t>As part of the service level agreement with STMCA stops need to have bins  provided. They is no plans to remove bins from the tram stops at the 
moment.</t>
  </si>
  <si>
    <t>2023/2024-110</t>
  </si>
  <si>
    <t xml:space="preserve">Some staff in RSM not confident with jacking equipment within trailers and do not consider them safe or fit for purpose and instead use locking off jacks in RSM van - Suggest can engineering confirm all jacks are fit for purpose and have no defects </t>
  </si>
  <si>
    <t>all jacking equipment is inspected by British Engineering Services six monthly, any items found to be faulty are red tagged and reported by B.E.S. in their inspection report  and quarantined, then sent away for repair or condemned, scrapped and replaced.
In addition to the above the R.S.M. teams carry out weekly and six weekly inspections of the equipment contained in the RSM van and associated trailers, these inspections are documented and recorded on jobcards.
It is disappointing that someone has gone to the trouble of re</t>
  </si>
  <si>
    <t>2401-30</t>
  </si>
  <si>
    <t>2023/2024-189</t>
  </si>
  <si>
    <t xml:space="preserve">Parise conductor for conflict avoidance </t>
  </si>
  <si>
    <t>2313-22</t>
  </si>
  <si>
    <t>2023/2024-190</t>
  </si>
  <si>
    <t>Praise conductor for de escalation and check welfare - next scheduled TWYM</t>
  </si>
  <si>
    <t>2401-70</t>
  </si>
  <si>
    <t>2023/2024-193</t>
  </si>
  <si>
    <t xml:space="preserve">Driver training mentored driver on 26/04/2024 he left depot and watched driver set up the cab for departure and tavlled to Malin Bridge </t>
  </si>
  <si>
    <t>2023/2024-194</t>
  </si>
  <si>
    <t>Note to file issued</t>
  </si>
  <si>
    <t>2023/2024-126</t>
  </si>
  <si>
    <t>It has been brought to the attention of safety that on call operatives are using their own personal vehicles to travel to various faults which could be leaving ourselves vulnerable as a business.
I cannot find an agreed procedure anywhere allowing for this and doubt the operatives would have the correct insurance.
Can the current trend be confirmed to safety by email. Thanks.</t>
  </si>
  <si>
    <t>Response from NB 14/05/2024 - It was raised at the time regarding the use of vehicles for on-call, and the Business refused to assign company vehicles to the on-call team as our insurance did not allow it.
It's my recollection that it was brought up at the time, the process was to drive to the depot  pick up a company vehicle, and go to the issue/fault, but this wasn't written into anything.
there is no current "trend" 
we don't log peoples activates in that way it hasn't been asked for.</t>
  </si>
  <si>
    <t xml:space="preserve">Racheld Bridges </t>
  </si>
  <si>
    <t>2312-02</t>
  </si>
  <si>
    <t>2023/2024-170</t>
  </si>
  <si>
    <t>The driver was removed from driving - a FF meeting was carried out - the driver was mentored and was placed on a PDDP</t>
  </si>
  <si>
    <t>2312-29</t>
  </si>
  <si>
    <t>2023/2024-171</t>
  </si>
  <si>
    <t>Tram to be inspected by engineering</t>
  </si>
  <si>
    <t>2311-71</t>
  </si>
  <si>
    <t>2023/2024-172</t>
  </si>
  <si>
    <t xml:space="preserve">Tinsley - Signals changing and how the junction works to be redesigned/programmed to eliminate the risk of causing no fault SPABs </t>
  </si>
  <si>
    <t>20/01/20226</t>
  </si>
  <si>
    <r>
      <t>Raised with D Hallam - options have been considered, including rewiring of the junction or addition of a LED to display when a TT is on the chord - desired option to be selected and implemented - 24/02/2025 JK to chase with DH/ND -ongoing -</t>
    </r>
    <r>
      <rPr>
        <b/>
        <sz val="11"/>
        <color rgb="FFFF0000"/>
        <rFont val="Calibri"/>
        <family val="2"/>
        <scheme val="minor"/>
      </rPr>
      <t>10/06/2025 No update from DH/ND JK to chase</t>
    </r>
    <r>
      <rPr>
        <sz val="11"/>
        <color theme="1"/>
        <rFont val="Calibri"/>
        <family val="2"/>
        <scheme val="minor"/>
      </rPr>
      <t>.
20/01/2026 - Closed due to time elapsed</t>
    </r>
  </si>
  <si>
    <t>2023/2024-124</t>
  </si>
  <si>
    <t>Back in October Josh Keeling sent out a notice to say drivers footwear has to be updated and all drivers must be wearing the correct issued boots. Months on at least a half of drivers still wearing old style shoes.
Has this policy come into force? Summer here and having to wear sweaty boots when others are in older style....</t>
  </si>
  <si>
    <t>14/05/2024 - JK  has responded that he will raise this matter in the safety board meeting that is due to take place on 15/05/2024 - Jlawrie has been Blinked to inform of this.This action should be reassigned to DM's as the risk assessment gave 3 months at the time to require all drivers to wear safety boots - this should now be enforced by their line managers- 24/02/2025 Resend out action for DMs to enforce closed under instuction from WC</t>
  </si>
  <si>
    <t>2023/2024-125</t>
  </si>
  <si>
    <t>Safety sign about visitors signing in attached to guard rail near reception, please can it be removed and placed in a more suitable location where it does not catch people passing or using rail due to sharp edges. Has been reported to safety by various staff."
(ie on wall under flower pots etc)."</t>
  </si>
  <si>
    <t>2023/2024-127</t>
  </si>
  <si>
    <t>OchreDike Lane NMU Crossing (W3W ref: clown.puzzle.purely)
1.Crossing following assessment for ORR requires standard highway "cyclists dismount" sign placing for the attention of users approaching from the inbound side for best practice.
2.Lighting levels need to be checked and achieve 15 lux as per LRSSB-LRG-2.0/11.13.BS5489(7). Might need to consider additional lighting standard on outbound side of crossing to acheive this.
(This requirement is not clear as part 7 is underpasses and road bridge crossings but used for reference).
3. Please fit an additional "Tramway, look both ways" sign for users approaching from inbound side as for ORR best practice.
These have not been put on XV+ as not considered as crossing defects.</t>
  </si>
  <si>
    <t>2023/2024-128</t>
  </si>
  <si>
    <t>Crystal Peaks SUB NMU Crossing (W3W ref: fills.shirts.safe)
Suitable fencing required to prevent bad desire lines as per ORR best practice on outbound side of crossing from current white fence and post&amp; rail upto the tracks anti- tresspass measures.
Fit an additional "Tramway, look both ways" sign for inbound approach as per ORR best practice.</t>
  </si>
  <si>
    <t xml:space="preserve">JK has sumbmitted paperwork to KS for approval </t>
  </si>
  <si>
    <t>2023/2024-129</t>
  </si>
  <si>
    <t>MOSS WAY Outbound NMU Crossing (w3w: radar.cattle.react)
1.    Install knee height post and rail fencing to prevent bad desire lines as per ORR best practice on both sides from the tram stop crossing upto the NMU crossing.</t>
  </si>
  <si>
    <t>2023/2024-130</t>
  </si>
  <si>
    <t>MOSS WAY Outbound NMU Crossing (w3w: radar.cattle.react)
Additional "Tramway, look both ways" signs required for both inbound/ outbound approaches as per ORR best practice.</t>
  </si>
  <si>
    <t>2023/2024-132</t>
  </si>
  <si>
    <t>Shirland Lane OUTBOUND NMU crossing (w3w:locals.forms.overnight)
Install a chicane fencing on inbound side of crossing as per ORR best practice.
Fit mandatory whistle board for inbound traffic on pole 1123 to mitigate sight line risk assessment.
Shirland Lane INBOUND NMU crossing (w3w:)
(No issues)</t>
  </si>
  <si>
    <t>2023/2024-133</t>
  </si>
  <si>
    <t>DEPOT ENTRANCE NMU crossing (w3w:reap.windy.venues)
Due to lack of furniture paint to base in WHITE as per highways standard look both ways either side of crossing on approach,
Add an opposing "Tramway, look both ways" sign to the other side of pole 1073 for users approaching,</t>
  </si>
  <si>
    <t>Painting is complete stil awaiting signage</t>
  </si>
  <si>
    <t>2023/2024-134</t>
  </si>
  <si>
    <t>Please can the following be added:
DEPOT EAST NMU crossing (w3w:hush.answer.casual )
Fit extra "Tramway, look both ways" signs (4no) total facing users as per ORR best practice due to high frequency use by commuters and poor sight lines due to depot fence,
Fit mandatory whistle board to pole 1068 for outbound side to mitigate poor sight lines for users and reduce the risk assessment score of the crossing,
Consider extending the path on the inbound side upto  Woodbourn RD so public do not need to use crossing at all and the crossing is then for staff only, this is due to poor sight lines due to depot fence and would negate the need for a chicane barrier on the outbound side also.</t>
  </si>
  <si>
    <t>2023/2024-135</t>
  </si>
  <si>
    <t>Please can the following be added:
Herdings Park EAST NMU crossing (w3w: scenes.shot.liked)
Fit mandatory whistle board for inbound traffic on pole 5036 to mitigate poor sight lines as previous.</t>
  </si>
  <si>
    <t>2023/2024-136</t>
  </si>
  <si>
    <t>Birley Lane Golf Course NMU crossing (w3w: congratulations.choice.sector)
1.    Extend waist height post&amp; rail fencing from golf course boundary to edge of crossing on inbound side,
2.    Add to "Tramway, look both ways" signs ensuring 4 in total, two for inbound/ two for outbound may require additional posts in installing for ORR best practice.
3.    Check mandatory whistle boards in both directions are at suitable point for sounding in time.</t>
  </si>
  <si>
    <t>Whistle boards have been checked other actions remain open</t>
  </si>
  <si>
    <t>2023/2024-137</t>
  </si>
  <si>
    <t>Donestk Way ROUNADBOUT NMU crossing (w3w: miles.dined.senior)
1.    Fencing to outbound side to prevent bad desire lines as per ORR best practice from pole 3480 back towards crossing,
2.    To control poor sight lines that cannot be mitigated with other actions requires Mandatory whistle warning board at suitable position for both directions.</t>
  </si>
  <si>
    <t>2401-53</t>
  </si>
  <si>
    <t>2023/2024-332</t>
  </si>
  <si>
    <t>This investigation recommends that drivers are informed of the likelihood of a stop/start motion over gapped points could lead to a derailment. A joint infrastructure/customer services brief should be created to advise drivers of how to reduce the likelihood of a derailment  - Create a brief for drivers as detailed above</t>
  </si>
  <si>
    <r>
      <t xml:space="preserve">I don't feel I'm the right lead on this? - 24/02/2025 Refer to JK action as part of meeting TBC </t>
    </r>
    <r>
      <rPr>
        <b/>
        <sz val="11"/>
        <color rgb="FFFF0000"/>
        <rFont val="Calibri"/>
        <family val="2"/>
        <scheme val="minor"/>
      </rPr>
      <t>10/06/2025 reassign to CS/Infra</t>
    </r>
    <r>
      <rPr>
        <sz val="11"/>
        <color theme="1"/>
        <rFont val="Calibri"/>
        <family val="2"/>
        <scheme val="minor"/>
      </rPr>
      <t xml:space="preserve">.
20/01/2026 Closed due to time elapsed </t>
    </r>
  </si>
  <si>
    <t>2023/2024-333</t>
  </si>
  <si>
    <t>This investigation recommends that a full engineering review of the Gleadless Crossover is conducted. It should include consideration of whether the points can be converted to ballasted points and whether this would improve the reliability of the location or whether the points should be renewed. - Engineering review of Gleadless Crossover</t>
  </si>
  <si>
    <t>17/03/2025 - Gleadless cross over – initial discussion held and not practicable unless forms part of system renewal as requires redesign.</t>
  </si>
  <si>
    <t>2023/2024-334</t>
  </si>
  <si>
    <t>This investigation recommends that, due to a previous derailment incident at this location, and evidence that the issue with build-up of debris remains, that an Aco Drain is considered for fitment to reduce the amount of debris ending up in the points boxes. -Consider Armco Drainage for the Gleadless Crossover</t>
  </si>
  <si>
    <t>We don't currently have the ability to achieve this as it’s a capex expenditure, but it also requires SYMCA to acknowledge the need to instruct a civil engineer to assess the structural integrity of the concrete track slab to ascertain what is permissible regarding structural alterations. 24/02/2025 NB to confirm that this is taken forward to SYMCA</t>
  </si>
  <si>
    <t>2023/2024-335</t>
  </si>
  <si>
    <t>This investigation recommends that all infrastructure track staff are briefed on the incident - Brief to all track teams regarding the circumstances of the incident</t>
  </si>
  <si>
    <t>infrastructure was briefed at the time. It was an informal toolbox talk, which could be repeated if we now have a new documented process if that is preferred. 24/02/2024 authorised to closed under instruction from WC</t>
  </si>
  <si>
    <t>2023/2024-180</t>
  </si>
  <si>
    <t>Meadow Street NMU Crossing (paid.takes.privately)-
      1.Check grates in the area as one was defective during inspection but might have been picked up already in the meantime through maintenance,
      2. Fit extra "look, both ways signs" to opposing signal pole from outbound side.</t>
  </si>
  <si>
    <t>11/12/2024 Grate has been replced other action remain open</t>
  </si>
  <si>
    <t>2023/2024-181</t>
  </si>
  <si>
    <t>Beckton Avenue- (NMU crossing) (plants.turned.potato)-
      1. Extend desire line fencing as required.</t>
  </si>
  <si>
    <t>2023/2024-182</t>
  </si>
  <si>
    <t>Batesquire (NMU crossing) (keeps.lonely.woes)-
      1. Fit knee high fencing due to bad desire lines of dog walkers going to open area on outbound side.</t>
  </si>
  <si>
    <t>2023/2024-183</t>
  </si>
  <si>
    <t>Westfield School (NMU crossing) (towers.shadow.book)-
      1.Knee height fencing required as at (Crystal Peaks) to prevent bad desire lines particularly when school times and following recent census conducted.
      2. No cycling signs (officially designated Public Footpath on crossing) or cyclists please dismount signs either side of crossing.</t>
  </si>
  <si>
    <t>2023/2024-184</t>
  </si>
  <si>
    <t>Elcroft Gardens Outbound&amp; Inbound (NMU crossing) (fats.skip.guess)-
      1. Fit Mandatory whistle board to pole 3551 for inbound side to mitigate poor sight lines for users.
      2. Fit fencing for bad desire lines to inbound side as required.</t>
  </si>
  <si>
    <t>2023/2024-185</t>
  </si>
  <si>
    <t>Holbrook Avenue OUTBOUND (NMU crossing) (shunted.dreams.duos)-
      1.Apply extra "No unauthorised persons" sign to sign post on OUTBOUND direction.</t>
  </si>
  <si>
    <t>2023/2024-186</t>
  </si>
  <si>
    <t>Sheffield Train Station PED Crossing (NMU) (lines.aspect.flats)-
      1.Fit mandatory whistle board on pole 3034 for inbound traffic to mitigate poor sight line distances for crossing users.</t>
  </si>
  <si>
    <t>2023/2024-187</t>
  </si>
  <si>
    <t>Sheaf Street NMU Crossing (home.rust.sleepy)-
      1.Fit mandatory whistle board on pole 3016 for inbound traffic to mitigate poor sight line distances for crossing users.</t>
  </si>
  <si>
    <t>Chris Bottoms</t>
  </si>
  <si>
    <t>2023/2024-138</t>
  </si>
  <si>
    <t>Role call is carried out during a fire /or drill based off the fob machine/ clock in machine this dosent tell you who has left the tram shed to work in the systems - doors to enter /exit the building should have their own scanner to register you leaving the building they would also be better going to finger print increase of PPI misplacing or forgetting fob.</t>
  </si>
  <si>
    <t>Not currently part of the depot refurbishment </t>
  </si>
  <si>
    <t>Charlie Gillott</t>
  </si>
  <si>
    <t>240/02</t>
  </si>
  <si>
    <t>BOSRIA box is broken (upstairs canteen)</t>
  </si>
  <si>
    <t>2311-37</t>
  </si>
  <si>
    <t>2023/2024-159</t>
  </si>
  <si>
    <t xml:space="preserve">Driver to be spoken to for clarification </t>
  </si>
  <si>
    <t>2311-65</t>
  </si>
  <si>
    <t>2023/2024-160</t>
  </si>
  <si>
    <t xml:space="preserve">Driver to be mentored </t>
  </si>
  <si>
    <t>2023/2024-161</t>
  </si>
  <si>
    <t xml:space="preserve">Driver PDDP to be produced </t>
  </si>
  <si>
    <t>21/05/024</t>
  </si>
  <si>
    <t>06/02/2025 Update this driver has been removed from drving duties due to risk ranking process - is currently on sick</t>
  </si>
  <si>
    <t>2023/2024-142</t>
  </si>
  <si>
    <t xml:space="preserve"> The fire call point in the stores is blocked and covered up by items etc. This area needs to be clear and the call point not obstructed.</t>
  </si>
  <si>
    <t>Graham Dobbin</t>
  </si>
  <si>
    <t>2023/2024-143</t>
  </si>
  <si>
    <t xml:space="preserve">Delta - Trees and foliage on delta block line of sight coming from Meadowhall going into
town. We are required to give way to trams coming from town but during
spring/summer foliage is so dense the line of sight is totally blocked until too far on
to delta to give way - potential for collision - Prune foliage regularly during spring and summer </t>
  </si>
  <si>
    <t>Vegetation maintenance plan is place driver s are required to driver to line of sight</t>
  </si>
  <si>
    <t>2023/2024-144</t>
  </si>
  <si>
    <t>Tram Cabs - Again - asked over several years - heating vents in sieman cabs need
cleaning/filters replaced/repair of the ability to “close” the vent - amount of heat
reduced but so too is dust etc
If you put hand ver vents when running you can feel dust and whatever else is in
the duct being blown out - presumably a potential health hazard ! Certainly when I
run them I end up coughing, sore throat, itchy eyes  - Clean/replace filters/repair ability to close them but keep running</t>
  </si>
  <si>
    <t>We have given feedback previously at the Health and Safety quarterly meetings regarding this issue, the associated ducting will be renewed/modernised as part of the planned vehicle refresh, I do not have a timeline for this. We have limited resources to deploy on this kind of problem, I know that it is not every Siemens vehicle that has this problem, if we could have a tram number then I will dedicate someone to look into it, but we need tram numbers, we will not be attempting to do the whole fleet at this stage.</t>
  </si>
  <si>
    <t>2023/2024-145</t>
  </si>
  <si>
    <t>System Wide - I have been raising this for last 5 years - swept path markers across the system
desperately need repainting as the majority cannot now be seen and therefore
create a potential hazard as there are no markers to help judge whether or not it is
clear for the tram to pass other vehicles - Repaint across entire system asap</t>
  </si>
  <si>
    <t xml:space="preserve"> 11/12/2024 -NB has raised throigh MOU working with third parties to reslove issue-24/02/2025 authorised to be closed is picked up as part of Safety Rep Meeting
We don't have any further action on this I don't have any current designs of where the marker should be! If someone can give me the placement, design and locations, I will seek quotes from external contractors capable of marking the highway.</t>
  </si>
  <si>
    <t>2402-49</t>
  </si>
  <si>
    <t>2023/2024-146</t>
  </si>
  <si>
    <t>Praise the conductor for the de-escalation of the incident</t>
  </si>
  <si>
    <t>2023/2024-147</t>
  </si>
  <si>
    <t>Discuss benefits of bodycam use</t>
  </si>
  <si>
    <t>2311-66</t>
  </si>
  <si>
    <t>2023/2024-150</t>
  </si>
  <si>
    <t xml:space="preserve">Driver spoken to by duty manager 
</t>
  </si>
  <si>
    <t>2023/2024-151</t>
  </si>
  <si>
    <t>2023/2024-152</t>
  </si>
  <si>
    <t>Safety walk completed by James Stewart</t>
  </si>
  <si>
    <t xml:space="preserve">Dave Tingle </t>
  </si>
  <si>
    <t>2104-24</t>
  </si>
  <si>
    <t>2023/2024-148</t>
  </si>
  <si>
    <t xml:space="preserve">CDP produced and a ride check has already been complted focusing on observations and driving style </t>
  </si>
  <si>
    <t>2023/2024-149</t>
  </si>
  <si>
    <t xml:space="preserve">Further ride Check </t>
  </si>
  <si>
    <t>2402-22</t>
  </si>
  <si>
    <t>2023/2024-156</t>
  </si>
  <si>
    <t xml:space="preserve">No recommendation for the driver - conductor to report all injuries </t>
  </si>
  <si>
    <t>Action complete</t>
  </si>
  <si>
    <t>2402-17</t>
  </si>
  <si>
    <t>2023/2024-157</t>
  </si>
  <si>
    <t xml:space="preserve">Driver to be spoken to about observations </t>
  </si>
  <si>
    <t>2023/2024-158</t>
  </si>
  <si>
    <t xml:space="preserve">Engineering to be reminded to keep swept path clear as an additional precaution </t>
  </si>
  <si>
    <t>2403-18</t>
  </si>
  <si>
    <t>2023/2024-162</t>
  </si>
  <si>
    <t xml:space="preserve">Reinforce conflict management techniques and discuss probable futrue secnarios and triggers and how to deal with them </t>
  </si>
  <si>
    <t>Babara Howard</t>
  </si>
  <si>
    <t>2023/2024-176</t>
  </si>
  <si>
    <t xml:space="preserve">A woman got on the tram with her husband who was in a wheelchair she asked for my help lifting the wheelchairs front wheel on to the tram because she had a problem getting the wheel over the gap bewteen the platform &amp; the tram. She explained that she wasn’t totally used to handling the wheelchair yet so was nervous about using the tram. Helped lift the wheel clear and they were on, we got talking and she expalined that the last time they had tried to catch the tram things hadnt gone very well  either becaue of the gap between the platform or because she nervous about getting her husband on the tram and was new at handling the wheelchair the wheels locked her husband ended up fallling on top of her and there was no one to help , the conductor felt unable to because of the no touch policy the passngers because well who knows, apparantley one young lass came and helped and cried while she was doing it because she felt so sorry for them i think that it is safe to assume  - gave her the details from lost luggage form and told her to contact Supertram about her experience and ask for reconsideration of wheelchair access or chnages to notices about ease of access of more information to help possible wheelchair users -  dont like the sound of that no touch policy i understand the need but not sure i can honestly stand by and not help in that situation </t>
  </si>
  <si>
    <t xml:space="preserve"> trams are level access (notwithstanding any issues, as we know there are trams and or locations where they aren't always level) so there is no provision for assistance, nor will there be. Conductors are not trained (or expected) to assist wheelchairs, given the level accessibility.
Whilst we don't expect staff to assist, to be clear the no touch policy is not about assisting customers! I'd expect any colleague to use common sense around how that policy should be applied, specifically that it is in relation to altercations and ejection of passengers. It should never prevent a colleague from assisting a customer if the situation requires help (again, not that we'd expect them to lift a wheelchair or anything else they weren't trained to lift/move).
It's also important in such scenarios to explain how to board with a wheelchair, in that the customer should reverse on - never try to board forwards as the wheels are too small and risk getting stuck in the gap. The larger rear wheels will enable much easier and safer boarding. Similarly, when exiting wheelchairs should be reversed off for the same reasons. I will pass the comment regarding signs/guidance for wheelchair users to Rhi/Caroline.</t>
  </si>
  <si>
    <t>2023/2024-177</t>
  </si>
  <si>
    <t xml:space="preserve">Blue skip with wheel turnings in west carpark spilled out blow across carpark leading to tyres getting flat - Suggest move the skip </t>
  </si>
  <si>
    <t>PROCUREMENT</t>
  </si>
  <si>
    <t>M Walch has spoken with the supplier</t>
  </si>
  <si>
    <t>2403-20</t>
  </si>
  <si>
    <t>2023/2024-197</t>
  </si>
  <si>
    <t>Consideration to be given to adding a compulsory warning sign prior to the location of this incident heading outbound (pole GRR3037)</t>
  </si>
  <si>
    <t xml:space="preserve">Action completed </t>
  </si>
  <si>
    <t>Caroline Warren</t>
  </si>
  <si>
    <t>2023/2024-178</t>
  </si>
  <si>
    <t xml:space="preserve">There is a florist on the tram stop at Leppings Lane outbound and for years they have been chucking their dirty flower water out on to the rail outside their shop on the actual tram stop - today they havent even bothered to empty the plant/flower waste out of it so the track was covered in large leaves - as i have pulled in the tram has hit the rubbish and slid forward and i had to track brake to stop the tram from over running the tram stop - happens loads at locations like this - Suggest have a word or send a letter asking them not to do this </t>
  </si>
  <si>
    <t>Safety Manager visisted business owner and spoke with them directly she has agreed to stop throwing waste water directly onto the tracks</t>
  </si>
  <si>
    <t>2023/2024-179</t>
  </si>
  <si>
    <t xml:space="preserve">Meadowhall - Gate left open seen for the last two weeks  - suggest lock or get a better closing mechanism </t>
  </si>
  <si>
    <t>Status email sent 30/01/2025 - KHS -  24/02.2025 SHEQ team checked MEI  area could not idnetify the location of the gate - gate identified INFRA person to confrim if locked - can closed AB has tacted defect DV158537</t>
  </si>
  <si>
    <t>2402-25</t>
  </si>
  <si>
    <t>2023/2024-330</t>
  </si>
  <si>
    <t xml:space="preserve">Driver spoken to regarding pre empting signals NTF sent </t>
  </si>
  <si>
    <t>2310-1</t>
  </si>
  <si>
    <t>2023/2024-331</t>
  </si>
  <si>
    <t>Driver to be mentored by a senior trainer to be assessed on observations and not anticipating signals</t>
  </si>
  <si>
    <t>2403-25</t>
  </si>
  <si>
    <t>2023/2024-198</t>
  </si>
  <si>
    <t xml:space="preserve">Praise conductor for superb use of conflict management </t>
  </si>
  <si>
    <t>2023/2024-195</t>
  </si>
  <si>
    <t>Ensure XV+is running as it should be for ladder inspections</t>
  </si>
  <si>
    <t>IT</t>
  </si>
  <si>
    <t>Westley Burke, IT Duty Manager</t>
  </si>
  <si>
    <t>2023/2024-196</t>
  </si>
  <si>
    <t>No reception cover today, Internal fob door has been wedged open at approx 12:25??? - Review procedures during absences and the manning of reception as per light rail
security protocol. Mail left in obtainable view</t>
  </si>
  <si>
    <t>There should be no circumstances where that door is wedged open, regardless of staff presence in Reception. As we progress plans to refresh the depot, Reception has now closed and will not reopen in its previous location or form. Whilst there was an absence on the Friday concerned that could not be covered, going forward there will be no physical presence in Reception. 
We are currently drafting a briefing/policy around visitors and deliveries to site and that policy will reference how visitors must be pre-advised to Reception and OCC, with unexpected visitors being turned away. (The current solution for visitors is just short term). As part of this change, we will be asking OCC to monitor Reception for activity such as the door being left open. ​</t>
  </si>
  <si>
    <t>2023/2024-206</t>
  </si>
  <si>
    <t>Tail lift on supertram pick up truck been used without edge protection to the sides
as required on such vehicles operating this way.
Upgrade tail lifts to be compliant.</t>
  </si>
  <si>
    <t>New fleet has required specification - temporary control measrues to be put in place for exisitng fleet</t>
  </si>
  <si>
    <t>2023/2024-199</t>
  </si>
  <si>
    <t>XV+ ref : DV152559
Under run protection out of alignment and lifting inbound side - Clas 1 Immediate action.</t>
  </si>
  <si>
    <t>2023/2024-200</t>
  </si>
  <si>
    <t>Pole GRR3035 fit mandatory whistle board for outbound traffic ORR pre audit inspection (and recent near miss).</t>
  </si>
  <si>
    <t xml:space="preserve">24/02/2025 Confirm traffic notice - can be closed off under instruction from WC </t>
  </si>
  <si>
    <t>2023/2024-201</t>
  </si>
  <si>
    <t>Vegetation to be cut back on depot path from tramstop - has been cascaded to facilities with a completion date on 15th July 2024</t>
  </si>
  <si>
    <t>2023/2024-202</t>
  </si>
  <si>
    <t>Queens tower crossing (Park Grange Croft RD) Arco drain presenting trip hazard to users on the NMU crossing at Queens Tower</t>
  </si>
  <si>
    <t>2023/2024-203</t>
  </si>
  <si>
    <t>Although off duty on my drive into Hillsborough observed VR staff not wearing their helmet attached ear protection whilst operating certain portable equipment also welfare van was blocking the footway forcing pedestrian users out onto Holme
Lane. On my return from Hillsborough (0915ish) ear protection still observed not been used however the welfare van was no longer causing an obstruction. Ensure correct PPE been worn and any traffic management is utilised by its
extension to incorporate parking of work vehicles or seek other safe parking areas.
Thanks</t>
  </si>
  <si>
    <t xml:space="preserve">05/10/2024 Has been passed to SYMCA to raise </t>
  </si>
  <si>
    <t>Meghan Burns</t>
  </si>
  <si>
    <t>2023/2024-205</t>
  </si>
  <si>
    <t xml:space="preserve">Raised wood on underrun BDH3523 and pedestrian signage missing from same underrun 
Bollards vandalised, causing trip hazard
Vandalised overhead mounting pole on pedestrian walkway to BDH stop
Vandalised tram stop display board (BDH) outbound 
 </t>
  </si>
  <si>
    <t>2023/2024-204</t>
  </si>
  <si>
    <t>EcoLine approached about SYPOL, the EcoLine team have given it a customer priority reference number of 62071 - SYPOL,</t>
  </si>
  <si>
    <t>2402-02</t>
  </si>
  <si>
    <t>2023/2024-329</t>
  </si>
  <si>
    <t xml:space="preserve">PDDP including retraining and level 4 assesment - extra ride checks -increased 1-2-1 meetings 
</t>
  </si>
  <si>
    <t>Kev Brown</t>
  </si>
  <si>
    <t>2023/2024-207</t>
  </si>
  <si>
    <t>Nunnery Square inbound - Cannot see LRT due to vegetation</t>
  </si>
  <si>
    <t>2023/2024-208</t>
  </si>
  <si>
    <t>Nunnery Square inbound  - there is a bush that is growing on the walkway near to the tram stop (inbound) it is forcing pedestrian to step under/around it.</t>
  </si>
  <si>
    <t>2023/2024-05</t>
  </si>
  <si>
    <t xml:space="preserve">No handles on hand grinders </t>
  </si>
  <si>
    <t>24/02/2025 - NB needs to confirm the process going forward that handles are fitted to items of machinery prioir to use ie- pre check sheet Chased for response 02.02.26</t>
  </si>
  <si>
    <t>2023/2024-209</t>
  </si>
  <si>
    <t>Signage markers MS04S - on to the chord to (Network Rail) There is a yellow marker painted on the pallisider fencing - this marker has not been painted in the correct place - where the marker was initially there has been a cone placed under it with refelctive makers on it  - the markers are no longer reflective so it it harder to see where the markers are - needs painting in the corect location.</t>
  </si>
  <si>
    <t>Status email sent 30/01/2025 - ongoing Chased for response 02.02.26</t>
  </si>
  <si>
    <t>2023/2024-210</t>
  </si>
  <si>
    <t>Signage markers MS05S re entry on to Supertram network - yellow marker is not in the correct place the original marker is greying out needs paitning in correct location</t>
  </si>
  <si>
    <t>2023/2024-211</t>
  </si>
  <si>
    <t>Parkgate inbound you cannot tell if you are on the marker due to the paint greying out - can this be repainted.</t>
  </si>
  <si>
    <t xml:space="preserve">Status email sent 30/01/2025 - Tramstop markers have been given to the new FAC tramstop team as a rolling renewal - 24/02/2025 closed under authority from WC </t>
  </si>
  <si>
    <t>Kevin Roulson</t>
  </si>
  <si>
    <t>2023/2024-212</t>
  </si>
  <si>
    <t xml:space="preserve">Work boots uncomfortable with hard insoles causes fatigue and painful heels - Suggest cushioned insoles </t>
  </si>
  <si>
    <t>Status email sent 30/01/2025 - KHS - Status email sent 30/01/2025 - KHS - cushioned insoles might be obtained and reimbursed upon receiving a receipt - needs authorisation from SLT - 24/02/2025 WC</t>
  </si>
  <si>
    <t>Michelle Walch</t>
  </si>
  <si>
    <t>2023/2024-213</t>
  </si>
  <si>
    <t xml:space="preserve"> I spotted this wheeled ladder and one of the wheels is sheered and therefore not at all safe.  I feel that this needs to be rectified as the temptation will be for this to be used to access the higher shelving and could cause an accident/injury.
I believe the defective ladder should be removed from service and either repaired if possible or replaced, to ensure that our engineers are kept safe and are not left to use sub-standard equipment and the possibility of an accident/injury occurring being a high risk.</t>
  </si>
  <si>
    <t xml:space="preserve">Ladder has been taken out of use </t>
  </si>
  <si>
    <t>2023/2024-214</t>
  </si>
  <si>
    <t>Completed by Nikolas Dobbs defects have been tacted as per process</t>
  </si>
  <si>
    <t>2023/2024-215</t>
  </si>
  <si>
    <t>DM reported that on leaving EP car park on Saturday evening at 21.15 and I was waiting for the shutter to lift. As the shutter was moving upwards I spotted a vagrant who had been sleeping in the doorway . I was waiting for the shutters to fully open and just about to set off and another vagrant appeared out of nowhere, I could have run them both over due to the gradient of the ramp and not being able to see clearly. Suggest Would it possible to have a mirror fitted opposite the exit and maybe some extra
lighting</t>
  </si>
  <si>
    <r>
      <t>Reply from  James Stewart  -One of you raised a query last week regards someone "sleeping" outside the shutter from the car park, on York Street. We picked this up today at Leadership and Nikolas and team will look at measures to mitigate any risk in that scenario. This includes the suggested mirror, if that can be achieved (there may be restrictions or reasons that can't be done) or potential for rumble strips or something else that might make it less attractive as a spot to sit/lay. 
In the meantime, the purpose of the email is to make sure you're all aware of the potential for someone to be outside the shutters so please be aware of the possibility. For now, I wo</t>
    </r>
    <r>
      <rPr>
        <sz val="11"/>
        <color rgb="FFFF0000"/>
        <rFont val="Calibri"/>
        <family val="2"/>
        <scheme val="minor"/>
      </rPr>
      <t>uld s</t>
    </r>
    <r>
      <rPr>
        <sz val="11"/>
        <color theme="1"/>
        <rFont val="Calibri"/>
        <family val="2"/>
        <scheme val="minor"/>
      </rPr>
      <t>uggest that when leaving the car park you give a quick blow of the horn to raise awareness of your presence.</t>
    </r>
  </si>
  <si>
    <t>2404-30</t>
  </si>
  <si>
    <t>2023/2024-269</t>
  </si>
  <si>
    <t>Instructed conductor to ensure safey shoes are worn on board</t>
  </si>
  <si>
    <t>2023/2024-270</t>
  </si>
  <si>
    <t>Advise that future incident reports should include more specific detail and accurate timings</t>
  </si>
  <si>
    <t>2023/2024-216</t>
  </si>
  <si>
    <t>Received Asbestos report today for EP conducted by landlord.
Cannot see anything about car park been mentioned but looks to me like sprayed
asbestos binder, the worst kind if disturbed. Need to clarify this and if managed as a duty of care to employees using this area - Ask landlord to clarify if sampled and if not ST SME suspects missed on report and not managed</t>
  </si>
  <si>
    <t>This has been completed by the night team and during the winter months is done 2 weekly.</t>
  </si>
  <si>
    <t>Lorraine Hills</t>
  </si>
  <si>
    <t>2023/2024-222</t>
  </si>
  <si>
    <t>Regarding the notices put up in the cash rooms at NUS and EP. Make sure you take enough tickets rolls to cover the duty you are on - Could a small plastic container be added to each tram (only needs to be at one end) this would be a Despenser type system. This could be filled up at the same
time the metros are put on the tram. Alternatively if conductors are on a spare shift they could fill up the ones in depot in the same way drivers do team preps while on spare. I believe there is a staff member that could facilitate a container at a small cost and
then they would just need to be secured to the cab.</t>
  </si>
  <si>
    <t xml:space="preserve">Status email sent 30/01/2025 - KHS - RSM will facilitate all suggestions that help our colleagues to carry out their daily/nightly tasks as efficiantly as possible please could you request that the author this BOSRIA contacts me me directly to discuss theis proposal </t>
  </si>
  <si>
    <t>2023/2024-223</t>
  </si>
  <si>
    <t xml:space="preserve">I would like to report the tram mirrors need cleaning and the side glass too - Suggest I would like to report the tram mirrors need cleaning and the side glass too 
Many Thanks  </t>
  </si>
  <si>
    <t>2023/2024-219</t>
  </si>
  <si>
    <t>Training academy</t>
  </si>
  <si>
    <t>Cahrlie Gillott</t>
  </si>
  <si>
    <t>2023/2024-220</t>
  </si>
  <si>
    <t>East Parade</t>
  </si>
  <si>
    <t>2404-35</t>
  </si>
  <si>
    <t>2023/2024-336</t>
  </si>
  <si>
    <t>The driver is completing swept path training on 17/07/24 and then 2 days mentoring on 19th &amp; 20th of July she will complete a PDP</t>
  </si>
  <si>
    <t>David Johnson</t>
  </si>
  <si>
    <t>2023/2024-224</t>
  </si>
  <si>
    <t>Depot sign on room - The swap sheet system at depot is a bit messy - Suggest install pigeon holes under the counter in the depot sign on room - Suggest pigeon hole for TT drivers TT conductos night men, training &amp; mentors sheet to go to East Parade</t>
  </si>
  <si>
    <t>Status email sent 30/01/2025 - KHS - 30/01/2025 Email received from JS  " I think that this os best considered as part of the depot refurb programme so will pick this up with Lee B to consider the pigeonhole matter within in that</t>
  </si>
  <si>
    <t>2023/2024-221</t>
  </si>
  <si>
    <t xml:space="preserve">Concern raised - East Parade Mark Blackwell to contact landlord following safety concerns raised with Royal Mail post being left on the stairs - causing trip hazard - post not secure </t>
  </si>
  <si>
    <t>Landlord was notified and replied that it was not the postman who was putting post on the stairs it was the tenants. She emailed photos for evidence to show post was being put through the letter box.</t>
  </si>
  <si>
    <t>2023/2024-225</t>
  </si>
  <si>
    <t>Donetsk Way (miles.dined.senior)
Both directions at a point where can be heard six seconds prior to tram reaching crossing.(WHISTLE BOARD)
Birley Lane Golf course (congratulations.choice.sector)
Both directions at a point where can be heard six seconds prior to tram reaching crossing.(WHISTLE BOARD) -might need to move any existing for timings.
Herdings Park EAST (goats.tried.rise)
Inbound only on pole 5036.(WHISTLE BOARD)
Shirland Lane (locals.forms.overnight)
Inbound only on pole 1123.(WHISTLE BOARD)
Sheaf Street (home.rust.sleepy)
Inbound only on pole 3016 (mandatory horn)</t>
  </si>
  <si>
    <t>2405-04</t>
  </si>
  <si>
    <t>2023/2024-337</t>
  </si>
  <si>
    <t>2023/2024-227</t>
  </si>
  <si>
    <t>Reported on be half of anomynous canteen user regarding query over chairs. It appears that we have ordered the Titan 'one piece' chair for children. These are suitable for 8 to 14year olds according to the manufacturer - Probably an oversight but can facilities replace these as soon as practically possible. Thank you</t>
  </si>
  <si>
    <t>Lewis Coates</t>
  </si>
  <si>
    <t>2023/2024-228</t>
  </si>
  <si>
    <t>Depot engineering canteen - Very uncomfortable seating - ergonomically  desinged for children causing back pain/sciatica - list goes on - recently been replaced and is now worse than before - replace for comfortable seating</t>
  </si>
  <si>
    <t>2023/2024-229</t>
  </si>
  <si>
    <t>10E depot shed - Severly bent floor grid causing major tripping hazard - repair or replace ASAP</t>
  </si>
  <si>
    <t>2023/2024-226</t>
  </si>
  <si>
    <t>As briefly discussed with the Stores Co-ordinator earlier, we do need to label and code the waste oil accordingly, it is a legal requirement.
I understand we currently do not do this. If we can start moving forward with the large labelling machine in stores if possible please.
I am happy to assist as always this is not a safety shirk but does need to be actioned. It is also going into the procedure review.
Kelly could you add this to the tracker with a target date for the 15th August. Thank you.</t>
  </si>
  <si>
    <t>2023/2024-230</t>
  </si>
  <si>
    <t>Safety inspection completed by HOE</t>
  </si>
  <si>
    <t>Kelly Henley- Smith</t>
  </si>
  <si>
    <t>2023/2024-233</t>
  </si>
  <si>
    <t xml:space="preserve">In the event of rail replacement could we consider changing the destination blind on the replacment bus to say "I am not a bus I am identify as a tram" make the bus more obvious to passengers </t>
  </si>
  <si>
    <t>COMM</t>
  </si>
  <si>
    <t>Status email sent 30/01/2025 - KHS -  This amendemnt would not come under SYFTL remit - SYMCA deal with repalcement buses</t>
  </si>
  <si>
    <t>Anthony Waddingham</t>
  </si>
  <si>
    <t>2023/2024-231</t>
  </si>
  <si>
    <t>Safety Rep inspcetion completed by Awaddingham</t>
  </si>
  <si>
    <t>2023/2024-287</t>
  </si>
  <si>
    <t>Concrete outside training rooms is in a bad state of repair</t>
  </si>
  <si>
    <t xml:space="preserve">23/10/2024 NDobbs has stated that this wil be picked up as part of the depot improvement plan - 23/10/2024 N Barraclough the defect will patched in the interim period -20/01/2025 NB there is no benefit to using this as a concrete traing exercise - it has been raised as a defect item closed off minutes </t>
  </si>
  <si>
    <t>2023/2024-288</t>
  </si>
  <si>
    <t>Pallet stored outside of the pig pen - some of the items need to be stored inside</t>
  </si>
  <si>
    <t>23/10/2024 – NB, Space was been created in stores this space then became filled with desk-chairs  - will need a few more weeks to move items and create space for the items on the pig pens. 20/01/2025 No update -28/02/2025  Tents to be procurred Chased for response 02.02.26</t>
  </si>
  <si>
    <t>2023/2024-289</t>
  </si>
  <si>
    <t>Barriers around the pits  -AW- The new barriers round the pits (roads 9&amp;10) – proving difficult to move the Hvac hoovers and other equipment around – JK We may need to have a rethink about how relocate hoovers etc or relocate the barriers? Group discuss on whether painting the grids around the pits black and yellow would be an option item ongoing.</t>
  </si>
  <si>
    <t>16/08/2024  JK We may need to have a rethink about how relocate hoovers etc or relocate the barriers? Group discuss on whether painting the grids around the pits black and yellow would be an option item ongoing. 23/10/2024 - 23/10/2024 – NB- one of RSM Techs has brought a roller shutter company to our attention – this would attach to the bottom of the rail foot and would pull across the entire pit. The company will come and look at the depot and supply a quote for the works. This would do away with the need for any barriers. NB to update the next meeting. 20/01/2025  •	20/01/2025 – NB has received an initial quote that per pit for the roller shutter it would cost approx. £62k, NB has raised at SYMCA procurement meeting as a depot improvement – SYMCA have declined this improvement due to costs.
•	20/01/2025 -JK, the other options is to review the Tensiter barriers that are in place already and whether they are effective in their current deployment or whether we ned to look at using them to seal off the green walkway – JK &amp; ND to review.</t>
  </si>
  <si>
    <t>2023/2024-290</t>
  </si>
  <si>
    <t>Entrance/Exit door – depot west
	AW- When a tram is lifted on 10 road-  staff need to stop using the bottom door to access and exit depot – people are just walking through the barrier that has been put in place. JK suggests possible sign to be displayed on door “route closed” when trams is on jacks. 
	AB has added additional signage – Group discuss whether the door should be locked to staff when a tram is on jack’s item agreed – GS to action.</t>
  </si>
  <si>
    <t>23/10/2024 – KHS confirms that AB has not added any extra signage to the door.
-GS there used be a sign in place warning staff to be aware of their surroundings when entering the depot. - this sign was removed Some time ago. Can new signage be made for when tram is on jacks that forbids access through this door.
NB suggest that removing the green paint from this area of the walkway would stop staff using the door as a thorough fare.
JK Suggest that the route is ok to be used as a thorough fare – and that the door only needs to be locked when the tram is on jacks.
 Notes from AB confirm that he door is part of a fire escape route and is still to be looked at.	 DM- Suggest that the door has a bar on it so that staff can exit the depot through it but not enter the depot. JK-To provide update at next meeting. AB confirms signage has been put in place to show door is part of fire escape route</t>
  </si>
  <si>
    <t>2023/2024-291</t>
  </si>
  <si>
    <t xml:space="preserve">JK-A near miss took place on 14/08/2024 when a tram was being lifted off the bogies using Somers jacks an airbag exploded (correction GS burst)– JK ask ND to ensure RSM tech report near misses of this kind in the future via OCC – ND-AB to arrange a meeting to discuss this incident further and proactive measures going forward. </t>
  </si>
  <si>
    <t>23/10/ 2024 no update - All RSM staff have been briefed on reporting near misse as per ST0004</t>
  </si>
  <si>
    <t>2023/2024-292</t>
  </si>
  <si>
    <t>Fire Door
GS-Where the bogie section is at the end there is a fire door currently it is a “break glass” fire door – GS has been informed that this is going to be changed to a barrier door – GS does not agree with this – the reason why the break glass was put on is because people keep coming through an unsafe area/using as a shortcut – JK to look in to.</t>
  </si>
  <si>
    <t xml:space="preserve">23/10/2024 – JK -The door has been changed to push bar if there is any undesirable behaviour we will address – closed from this meeting situation to be monitored. Item closed </t>
  </si>
  <si>
    <t>2023/2024-293</t>
  </si>
  <si>
    <t>Stop signs 10 East
AR – Should the stop sign be in place when the tram is lifted on 10 west – need to be sure on what the correct procedure is. JK to check is stop boards are specifically related to OHLE on/off, to discuss further after JK findings.</t>
  </si>
  <si>
    <t xml:space="preserve">	23/10/2024 – JK to ensure the OHLE isolation procedure is updated to show the stops signs have been changed to stop boards. 20/11/2024 OHLE procedure has been updated to show that stop signs are now used instead of traffic cones item closed </t>
  </si>
  <si>
    <t>2023/2024-294</t>
  </si>
  <si>
    <t>Vegetation System Wide
GL Vegetation system wide concerned that there is a lack of planning and the work is not getting done as it should.</t>
  </si>
  <si>
    <t>23/10/2024 – Consider seasonal workers?
23/10/2024 – Ground Control  AB is awaiting approval to raise PO - •	20/01/2025 – MB confirms that the MM did not review or share the document that was sent to him JK to complete review of this document with MB, action to be removed from this meeting.</t>
  </si>
  <si>
    <t>2023/2024-295</t>
  </si>
  <si>
    <t>SIMOVE - Various concerns</t>
  </si>
  <si>
    <t xml:space="preserve">	23/10/2024 update from SG  - See minutes 20/01/2025 -•	20/01/2025 – SG there are a couple of issues that are being looked in to – reiterates that drivers need to report any concerns with SIMOVE live so that it can be logged through OCC in real time.
•	JK—is there confirmed date for when SIMOVE will go live, SG currently awaiting the arrival of a server , DM confirms that the server has arrived and is now waiting to be installed. 10/06/2025 Authority to close granted from SGalloway .
</t>
  </si>
  <si>
    <t>2023/2024-296</t>
  </si>
  <si>
    <r>
      <rPr>
        <sz val="7"/>
        <color theme="1"/>
        <rFont val="Calibri"/>
        <family val="2"/>
        <scheme val="minor"/>
      </rPr>
      <t xml:space="preserve">    </t>
    </r>
    <r>
      <rPr>
        <sz val="11"/>
        <color theme="1"/>
        <rFont val="Calibri"/>
        <family val="2"/>
        <scheme val="minor"/>
      </rPr>
      <t>CG-has already raised defib concern with AB but wants it to be noted.</t>
    </r>
  </si>
  <si>
    <t xml:space="preserve">	23/10/2024 – No update on the defib - Item closed due to no requirment for another defib in depot-  EP does no reqwuire deifb due to loaction of generic defibs around the city center</t>
  </si>
  <si>
    <t>2023/2024-298</t>
  </si>
  <si>
    <t xml:space="preserve">Staff safety training  AR -Has set a contract up with a safety training company – look at what reps are trained to suggest IOSH course. </t>
  </si>
  <si>
    <t>23/10/2024 Item ongoing</t>
  </si>
  <si>
    <t>2023/2024-299</t>
  </si>
  <si>
    <t xml:space="preserve">Fire warden training for staff </t>
  </si>
  <si>
    <t>•	23/10/204- Ongoing.</t>
  </si>
  <si>
    <t>2023/2024-300</t>
  </si>
  <si>
    <t>First Aid, Fire Warden training for staff, Safety Reps Training -</t>
  </si>
  <si>
    <t xml:space="preserve">23/10/2024 Ongoing  -20/01/2025 •	20/01/2025 – AR has asked for an update from Astutis as to who has completed training – can then begin to book other interested staff on courses – AR to send update to KHS. - 21/01/2025 – AR Arbour training has been set up for Vegetation staff this is due to take place on 17th, 18th, 19th, as part of first aid training. There are two available slots for this training if anyone would like to nominate staff. Email from A Rathbone 12/11/2025 - First aid Arbour training has been set up for Vegetation staff this is due to take place on 17th, 18th, 19th, as part of first aid training, has been delivered and can be closed.
Fire Warden training completed except one OCC staff member seems to be not receiving emails from Astutis, I have been checking on which email address it has been sent too, will follow up today on issue.
 </t>
  </si>
  <si>
    <t>2023/2024-301</t>
  </si>
  <si>
    <t>Computers in quite room at EP - are a disturbance when staff are having a quite moment  - can they be moved</t>
  </si>
  <si>
    <r>
      <t xml:space="preserve">23/10/2024 Ongoing -20/01/2025 - •	20/01/2025 – JK to raise with IT feasibility of moving computer to another location TBC. </t>
    </r>
    <r>
      <rPr>
        <b/>
        <sz val="11"/>
        <color rgb="FFFF0000"/>
        <rFont val="Calibri"/>
        <family val="2"/>
        <scheme val="minor"/>
      </rPr>
      <t xml:space="preserve">10/06/2025 Update from IT - not currently any ports available so machines will need to stay where they are </t>
    </r>
  </si>
  <si>
    <t>2023/2024-309</t>
  </si>
  <si>
    <t xml:space="preserve">Moss way chicane - fencing to be added </t>
  </si>
  <si>
    <t>20/11/2024 ongoing -20/01/2025 - •	20/01/2025 – NB confirms that under run at Moss Way has been replaced.</t>
  </si>
  <si>
    <t>2023/2024-310</t>
  </si>
  <si>
    <t xml:space="preserve">Guard for hydraulic press is missing - new one needs to be sourced and replaced </t>
  </si>
  <si>
    <t>20/11/2024 ongoing - 20/01/2025 •	20/01/2025 – The guard has been fitted to the hydraulic press – it now requires painting yellow – the guard will not be put back into use until all work is complete. Closed action due to dupiication</t>
  </si>
  <si>
    <t>2023/2024-311</t>
  </si>
  <si>
    <t>Tram sanders - ongoing item</t>
  </si>
  <si>
    <t xml:space="preserve">20/11/2024 ongoing -20/012025 -•	ACTION to GS - Arrange for tram sanders to be knocked every other day, and to look into how staff can be utilised to ensure the trams get knocked when they come into the shed of an evening.  And populate excel spreadsheet so that data can be gathered.
</t>
  </si>
  <si>
    <t>2023/2024-312</t>
  </si>
  <si>
    <t>Walkway at Crystal Peaks defect reported by GL</t>
  </si>
  <si>
    <t>20/11/2024 ongoing -20/01/202520/01/2025 – nB Confirms that this work has been completed.</t>
  </si>
  <si>
    <t>2023/2024-313</t>
  </si>
  <si>
    <t xml:space="preserve">Moss Way underrun - items have been stolen need to be replaced </t>
  </si>
  <si>
    <t>20/11/2024 ongoing - 20/01/2025 • 25 Has already been addressed.</t>
  </si>
  <si>
    <t>2023/2024-314</t>
  </si>
  <si>
    <t xml:space="preserve">Signal MTE outbound - Led has stopped working since council has switched the lights over </t>
  </si>
  <si>
    <t>20/11/2024 ongoing - 20/01/2025 – JK to pick up with D Hallam</t>
  </si>
  <si>
    <t>2023/2024-315</t>
  </si>
  <si>
    <t xml:space="preserve">Swept path markers Holme lane need repainting </t>
  </si>
  <si>
    <t>20/11/2024 ongoing - 20/01/2025 - •	20/01/2025- JK this issue Has been raised at the MOU meeting, NB has asked for guidance from AMEY in terms of what SYFT are legally allowed to do, NB has also approached 2 line painting companies, there has been no response so far. We cannot just go and paint dots on the road as there are other factors to consider. NB is currently chasing up with Amey.
•	SG- Can we consider where the dots are placed on Holme Lane prior to them being repainted. Group discuss the placement of the yellow dots located on Holme Lane specifically on the curve  and the clearance on either side of tram– NB can take into consideration when they are repainted Chaed for response 02.02.26</t>
  </si>
  <si>
    <t>2023/2024-316</t>
  </si>
  <si>
    <t>Video footage of sanders ejecting sand filmed GL needs to be shared with GS</t>
  </si>
  <si>
    <t>20/11/2024 ongoing - 20/01/2025 - •	20/01/2025 – KJK- Confirms that this footage has been shared with GS – ACTION CLOSED OF THESE MINUTES.</t>
  </si>
  <si>
    <t>2023/2024-317</t>
  </si>
  <si>
    <t xml:space="preserve">Citylink flooring when wet has become very slipping GS to asses the floors to see if the surface has worn </t>
  </si>
  <si>
    <t>20/11/2024 ongoing - 20/12/2024 - 20/01/2025 JK has commissioned company (Sure foot) to check the slip value of the Citylink floor – the standard value should be 40, if this criteria is not met then we would have to look at ways to rectify JK to feed back at next meeting.
20/01/2025 - 20/01/2026 closed BAU</t>
  </si>
  <si>
    <t>2023/2024-240</t>
  </si>
  <si>
    <t>Facitlites Safety audit o be actioned by Mark Blackwell</t>
  </si>
  <si>
    <t>2023/2024-232</t>
  </si>
  <si>
    <t xml:space="preserve">Spring Lane - Nitrous oxide gas canister either unlucky discarded onto outbound rail or placed onto outbound rail danger of derail or cannister shooting out anywhere - suggest a warning on Blink </t>
  </si>
  <si>
    <t>Richard Madin</t>
  </si>
  <si>
    <t>2023/2024-234</t>
  </si>
  <si>
    <t>Similar to buses, can we have window notices stating things like "Keep feet off
seats", "No pass means full fare", "Keep personal music personal" &amp; so on? People
tend to accept such regs when written &amp; would help reduce confrontation when
asked by we conductors!</t>
  </si>
  <si>
    <t>This isn't something we are considering at this stage. Unfortunately, we can't create signs for all scenarios and such signage alone will not stop issues arising. It may be something we consider when there is a more general refresh of signage and branding.</t>
  </si>
  <si>
    <t>2023/2024-235</t>
  </si>
  <si>
    <t>West Street inbound - I have some safety concerns regarding the heavy duty barriers that have been
placed outside West Street Live. I have been up to have a look and they are close
the tracks, and could pose a hazard especially on a Friday or Saturday if members
of the public walk or stand alongside the edge facing the tracks. Because they
appear to be higher than most people would step or climb over, it's possible
somebody would walk or run into the traffic coming the other way if they see a tram
approaching from West Street inbound, or fall into the side of a passing tram. It
could also cause delays to service / missed signals if trams are having to wait for
pedestrians to walk the length of these barriers to clear the swept path.</t>
  </si>
  <si>
    <t>Barriers have now been changed to lego bricks - the area is currently being monitored</t>
  </si>
  <si>
    <t>2023/2024-236</t>
  </si>
  <si>
    <t>Monthly safety rep walkaround completed by Charlie Gillott East Parade</t>
  </si>
  <si>
    <t>2023/2024-237</t>
  </si>
  <si>
    <t>Monthly safety rep walkaround completed by Charlie Gillott training academy/depot/reception/communal areas/offices and canteens</t>
  </si>
  <si>
    <t>2023/2024-238</t>
  </si>
  <si>
    <t>Monthly safety inspection completed by Mark Blackwell</t>
  </si>
  <si>
    <t>2023/2024-239</t>
  </si>
  <si>
    <t xml:space="preserve">Engineering Safety audit to be actioned by Gary Seaborn </t>
  </si>
  <si>
    <t>OCC</t>
  </si>
  <si>
    <t>2023/2024-241</t>
  </si>
  <si>
    <t>Nunnery Depot - On behalf of OCC staff : Various technical Radio issues now become an accepted
norm a normalization of deviance leading to a lowering of standards with calls despite best efforts from it's human interaction - Gather comments from OCC to help rectify any difficulties with radio comms etc</t>
  </si>
  <si>
    <t xml:space="preserve">30/01/2025 - confirm that this has now been escalted in SLT and is currently being looked at - 18/02/2025 This action has been raised via safety rep meeting and through SLT it has been reassigned to Keith Swalllow - this is a duplictae </t>
  </si>
  <si>
    <t>2023/2024-242</t>
  </si>
  <si>
    <t xml:space="preserve">Depot canteen - The Morphy Richards microwave is rusty on the inside. I believe it has happened from being cleaned with the inappropriate materials such as the green scrubbing pads in the canteen - Replacement microwave, designated cleaning materials for the new one so it does
get in the same state. </t>
  </si>
  <si>
    <t>2023/2024-244</t>
  </si>
  <si>
    <t xml:space="preserve">Depot Shed - Bifold doors all routinely faulting. 8E been broken for over 6 months. Getting
towards colder months (especially annoying for us that work 24/7 whilst
management fast asleep at the weekend). No maintenance whatsoever. Doors
need to close. Common sense would say fix them in the summer. What do
management do exactly? This is a repeat issue where responsibility gets passed
from pillar to post. Doors need regular servicing to be preventative not reactive.
There is also absolutely zero heating in the depot shed whatsoever. Another thing
extremely frustrating when we work 24/7. Would be a different story if a managers
office radiator wasn't working in the middle of January. But you can work from
home to avoid that - Suggest FIX DOORS READY FOR WINTER. REGULAR SERVICING CONTRACT FOR
DOORS. PUT UP SIGNS FOR DRIVERS TO CLOSE DOORS AFTER BRINGING TRAMS IN. SORT SOME SHED HEATING BEFORE WINTER ARRIVES. </t>
  </si>
  <si>
    <t>2405-22</t>
  </si>
  <si>
    <t>2023/2024-243</t>
  </si>
  <si>
    <t xml:space="preserve">Praise the conductor for correct use of conflict managment </t>
  </si>
  <si>
    <t>2023/2024-245</t>
  </si>
  <si>
    <t>Numerous members of RSM and FEM been sent home due to so called medicals expired or not being valid due to previous medical provider. Why have some staff members been told to take 10 days or so off? Some have been given a few days off and been told to come back to work without a single medical being completed? And some haven't been sent home at all? How on earth is this legal and how on earth is everyone insured? Or is it just picking and choosing from management to make staff numbers up? How is this safe? Possible gross misconduct? - Suggest Explanation from RSM manager.</t>
  </si>
  <si>
    <t>This matter has been resolved medicals are now up to date Optime provider to manage going forward</t>
  </si>
  <si>
    <t>2406-39</t>
  </si>
  <si>
    <t>2023/2024-266</t>
  </si>
  <si>
    <t xml:space="preserve">Refresher training on procedure for entering depot </t>
  </si>
  <si>
    <t>2406-34</t>
  </si>
  <si>
    <t>2023/2024-267</t>
  </si>
  <si>
    <t>Praise conductor for correct use of conflict avoidance and attept to diffuse</t>
  </si>
  <si>
    <t>2023/2024-268</t>
  </si>
  <si>
    <t>Advise use of bodycam in the future and explain the reasons why</t>
  </si>
  <si>
    <t>2023/2024-246</t>
  </si>
  <si>
    <t xml:space="preserve">Shalesmoor - All lights (side / head) out on electricians silver van offside - Suggest pre use checkc, repair as soon as possible </t>
  </si>
  <si>
    <t>2023/2024-247</t>
  </si>
  <si>
    <t>I reported the underun near pole Mow 3492 has had about 17 bits of wood stolen about 3 or 4 weeks ago inbound and outbound  - Suggest rpelace please.</t>
  </si>
  <si>
    <t>11/12/2024 wood has been sourced awaiting delivery date - date has been extended to accomadate this piece of work KHS - JK confirmed this piece of work is now complete</t>
  </si>
  <si>
    <t>2023/2024-248</t>
  </si>
  <si>
    <t>Engineering Canteen -Canteen seating still horredously uncomfortable - Suggest Nothing has been resolved still Comfortable seating please</t>
  </si>
  <si>
    <t>2023/2024-250</t>
  </si>
  <si>
    <t xml:space="preserve">New barriers are causing H&amp;S issues - New barriers on Carver street was a one way street from West Street with the barrier Taxis are using this section as a pick up and turning point causing massive traffic delays  - now vehicles enterign and leaving Carver Street this is alos causing public to walk on tram tracks, main roads, Barrier on West Street nearly unpassable when busy, public standing , walking roadside not enough room to pass with out possible crusihing incident therefore public either have to cross busy road or climb over barrier - it is only a matter of time before someone hurt or killed in these locations - Suggest remove the barriers on West Street  and Carver Street - stop trams going Friday Saturday night divert taxis and delivery drivers (just eat) to Division Street or Trippett Lane </t>
  </si>
  <si>
    <t>2407-11</t>
  </si>
  <si>
    <t>2023/2024-252</t>
  </si>
  <si>
    <t xml:space="preserve">Praise conductor for correct use of conflict management to attempt to diffuse </t>
  </si>
  <si>
    <t>2023/2024-253</t>
  </si>
  <si>
    <t>2407-13</t>
  </si>
  <si>
    <t>2023/2024-254</t>
  </si>
  <si>
    <t>Advise the conductor that the wearing of bodycams will become mandatory and that he should wear one for his own proctection</t>
  </si>
  <si>
    <t>2023/2024-255</t>
  </si>
  <si>
    <t>Advise the conductor that as this is the second similar incident in a month if a furtehr incident happnes he will be attending a conflict management refresher - and to never assume that passengers are attempting to fare evade</t>
  </si>
  <si>
    <t>2023/2024-251</t>
  </si>
  <si>
    <t>2023/2024-249</t>
  </si>
  <si>
    <t>Nunnery Depot - Infra team working all day in rain on 01/09/2024 - boots absolutley soaked all gear went in the drying room but boots etc wet still for next shift - can the drying room  be looked at before the winter apporaches - it used to be a lot beter and dried everything out before next shift , lately its not working - Suggest improve drying room</t>
  </si>
  <si>
    <t>Drying room tempreture is sufficent</t>
  </si>
  <si>
    <t>2305-30</t>
  </si>
  <si>
    <t>2023/2024-164</t>
  </si>
  <si>
    <t xml:space="preserve">A day with a mentor - to monitor drivers observations </t>
  </si>
  <si>
    <t>2023/2024-165</t>
  </si>
  <si>
    <t xml:space="preserve">Mirror pack trainig module </t>
  </si>
  <si>
    <t>2023/2024-256</t>
  </si>
  <si>
    <t>Nunnery Depot - Mobile scaffold in shed been used on grates and dosent look in good nick - Suggest talk to adverstiser</t>
  </si>
  <si>
    <t xml:space="preserve">New scaffolding has been hired in by contractors </t>
  </si>
  <si>
    <t>2023/2024-257</t>
  </si>
  <si>
    <t>Depot Canteen  - Nowhere to hang coats - Could we have coat hooks like the ones in East Parade - 1 in corner by window &amp; sofa in opposite corner by the sofas, 1 by counter by the door.</t>
  </si>
  <si>
    <t>Staff are supplied with lockers to keep personal items includging coats</t>
  </si>
  <si>
    <t>2023/2024-258</t>
  </si>
  <si>
    <t>Depot sign on room - The pigeon hole system and signing og TT WONS &amp; PONS at depot is very messy - Install proper pigeons holes under the counter only need a few pigeon holes (6) Swaps awaiting staff signatures swaps to go to EP for authorisation, authorised swaps for TT drivers authorised swaps for TT conductors, authorised swaps for night staff, paraphernalia for training department. Then pigeon holes for TT WONS (3?) &amp; TT PON (1)</t>
  </si>
  <si>
    <t>2023/2024-259</t>
  </si>
  <si>
    <t xml:space="preserve">Holme Lane junction with Walkley Lane - Vehicles constantly making iiegal turns out of Walkely Lane into Holme Lane often blocking the tram lane - Similiar issues also on Holme Lane at Hillsborough Place and Towsure exit - Suggest Install bollards along the Bus Lane to prevent ilegal manoeuvres also install extra signage </t>
  </si>
  <si>
    <t>2023/2024-260</t>
  </si>
  <si>
    <t>City Hall stop inbound - Vehilces constantly sitting in tram lane at lights preventing trams platforming of overtaking trams and cutting in front sometimes even turning left this is a right turn only junction for cars - Install bollards along tram lane to prevent cutting in and rumble strips in tram lane to dissuade vehicled from driving in tram lane install additonal signage</t>
  </si>
  <si>
    <t>2023/2024-265</t>
  </si>
  <si>
    <t>Informal conflict avoidance chat</t>
  </si>
  <si>
    <t>2023/2024-261</t>
  </si>
  <si>
    <t>Castle Square  - There’s an advertisement hoarding next to Castle Square tram stop outside the Bankers
Draft, when approaching the tram stop (especially I/b) makes our line of sight very difficult as pedestrians emerge from behind it - Could it be either removed or moved to a more suitable place</t>
  </si>
  <si>
    <t>11/12/2024 AB has reported issue via SCC portal ref no is 201002492560</t>
  </si>
  <si>
    <t>2023/2024-262</t>
  </si>
  <si>
    <t xml:space="preserve">Depot West - wheel turing skip - please can the arisings that have not gone in the skip be swept and removed </t>
  </si>
  <si>
    <t>2023/2024-263</t>
  </si>
  <si>
    <t xml:space="preserve">Tram 202 - The new smoked glass in cab 202 in cab 2 is a hindrance - cannot see through it to check blind spots or into the saloon- ironically people in the saloon can see in the cab - Suggest turn it around so drivers can see through it and passengers cant </t>
  </si>
  <si>
    <t>Has been removed</t>
  </si>
  <si>
    <t>2023/2024-264</t>
  </si>
  <si>
    <t xml:space="preserve">Depot 10E Keep seeing people trip over the metal grate next to 10E (green side) Many people are aware of this for some time now and it is still unresloved -replace the grate so people don’t trip over the one that had bent and is raised up </t>
  </si>
  <si>
    <t>30/102024</t>
  </si>
  <si>
    <t>Grates have been replaced</t>
  </si>
  <si>
    <t>2023/2024-271</t>
  </si>
  <si>
    <t>Create a new relevant Company Vehicle PROCEDURE which is suggested to sit as a child document to the Estates Policy as per the audit feedback comments to include but not exhaustive to Vehicle Sizes, Towing, Pre-Use/ Daily vehicle Checks (with appendix template), Defect Reporting instructions, Chapter Eight compliance including procured, short term hire, long term hire and courtesy vehicles any other details regards vehicles only in ST0189-11.</t>
  </si>
  <si>
    <t>09/01/2026 - Email repsonse from Mark Blackwell - The company vehicle policy was updated by me and Kate and was sent to the DRG but was never sent out for review and I cannot find the updated vesion as this will now need to be looked at again.Neill is in the process of creating a new version to suit the new vehicles that have just arrived. He has sent this to me and Josh recently to look at and also the declaration sheet for staff to sign. Chased for response 02.02.26</t>
  </si>
  <si>
    <t>2023/2024-272</t>
  </si>
  <si>
    <t>The issuing of keys via the fob lockers needs a detailed section within the new Company Vehicle PROCEDURE about how administered and monitored etc.</t>
  </si>
  <si>
    <t>Chased fo response 02.02.26</t>
  </si>
  <si>
    <t>2023/2024-273</t>
  </si>
  <si>
    <t>Review and Amend (via DRG) the existing Company Vehicle POLICY ST0189-11 that sits as a parent document under the Roles and Responsibilities Policy to address the following:
A) Name should be changed from "Company Vehicle Policy" to  "Company Vehicle Drivers Policy (ROAD)" for clarity and understanding under the main policy as this is it's current primary focus.
B) This policy should cover driving licence checks in more detail(why, when, how, GDPR etc). It should also cover off physically seeing the original photo licence by the relevant authority with the employee and a confirmation of this as per the audit feedback comments.(As per the audit we would suggest using an external licence checking partner to cover off all licence checking for the business). 
C) The Maintenance and General Upkeep/ Safety Pack sections seen in this document should be moved to the new Company Vehicle PROCEDURE for detail.</t>
  </si>
  <si>
    <t>Chased for response 02.02.26</t>
  </si>
  <si>
    <t>2023/2024-274</t>
  </si>
  <si>
    <t>Complete a new declaration scheme for all current or newly employed drivers within the business as no valid documentation exists due to the transition according to evidence supplied and also as per the audit feedback comments.</t>
  </si>
  <si>
    <t>2408-07</t>
  </si>
  <si>
    <t>2023/2024-286</t>
  </si>
  <si>
    <t>Tact 154982 level check required on tram 116</t>
  </si>
  <si>
    <t>2023/2024-297</t>
  </si>
  <si>
    <t xml:space="preserve">	CG-Light in OCC</t>
  </si>
  <si>
    <t>•	23/10/2024 – Action closed</t>
  </si>
  <si>
    <t>2407-56</t>
  </si>
  <si>
    <t>2023/2024-285</t>
  </si>
  <si>
    <t xml:space="preserve">Praise conductor for the correct use of conflict manangent </t>
  </si>
  <si>
    <t>2023/2024-275</t>
  </si>
  <si>
    <t>Nunnery Depot - Could not see gentleman in dark clothing signing in at reception tablet when entering from outside due to reflection on glass door - opened door on to person signing in - tablet should not be behind the door - the recption area was also quite full with visitors - not enough seating made it diffiult for passage of staff  - Suggest open up reception area more - move tablet to a more suitable location and have more seating and better passage between doors.</t>
  </si>
  <si>
    <t>Status email sent 30/01/2025 - KHS - New signs have been put on to the door showing the direction of opening - the position of the tablets cannot be moved due to cabling and network issues, due to the limited space no more seating can be added - the desicion was made by the senior leadership team that 3 seats would be sufficient for visitors to site</t>
  </si>
  <si>
    <t>2023/2024-276</t>
  </si>
  <si>
    <t>Welding RA212 - Identify welders within the business and ensure trained to the relevant required competencies.</t>
  </si>
  <si>
    <t>Third party contractor RAYNOTT is now dedicated welder for engineering</t>
  </si>
  <si>
    <t>2023/2024-277</t>
  </si>
  <si>
    <t>Welding RA212 - Ensure all welding equipment is compliant and maintenance is upto date and relevant.</t>
  </si>
  <si>
    <t>2023/2024-278</t>
  </si>
  <si>
    <t>Welding RA212 - Write new welding procedures and any work instructions where required for the relevant departments. (Infrastructure ensure currently in place)?</t>
  </si>
  <si>
    <t xml:space="preserve">08/12/2025 all Gary Seaborns actions were reassigned to Paul Holdsworth under instruction from Josh Keeling - 16/12/2025 email from Josh to Paul - Happy to authorise an extension for Paul to review and come back to us on achievable timescales given the circumstances. 
20/01/2026 - Procedure is being reviewed </t>
  </si>
  <si>
    <t>2408-21</t>
  </si>
  <si>
    <t>2023/2024-284</t>
  </si>
  <si>
    <t xml:space="preserve">Drive to spoken to after incident and also veiwed CCTV woth DM - no further action </t>
  </si>
  <si>
    <t>Gary Seabourn</t>
  </si>
  <si>
    <t>2404-28</t>
  </si>
  <si>
    <t>2023/2024-280</t>
  </si>
  <si>
    <t>Provide refresher training for Mr L Coates in manual handling</t>
  </si>
  <si>
    <t>2023/2024-281</t>
  </si>
  <si>
    <t xml:space="preserve">Ask Mr L Coates if they feel they require any mentoring by senior staff or any related work tasks </t>
  </si>
  <si>
    <t>11/12/2024 - Staff member is still off sick at this stage</t>
  </si>
  <si>
    <t>2023/2024-282</t>
  </si>
  <si>
    <t xml:space="preserve">Review any task related procedures and ensure up to date review RA147 immediatley all to be done via DRG </t>
  </si>
  <si>
    <t>11/12/2024 - Staff member is still off sick at this stage - 09/01/2025 Email from GS states that RA120 risk number 9 covers the task that Mr Coates was completing at the time of the accident</t>
  </si>
  <si>
    <t>2023/2024-283</t>
  </si>
  <si>
    <t xml:space="preserve">Consider a further investigation hearing with operative due to poor cultural and behaviour approach to the work task in hand </t>
  </si>
  <si>
    <t>2023/2024-279</t>
  </si>
  <si>
    <t>ACTION: The ORR regulators report on NMU crossings requires us to submit a Vegetation Management maintenance plan by the end of November for 2025 due to them observing areas of the network having various levels of obscured sight lines and associated furniture issues etc. (ND made aware in Safety Board 13.11.24)
ACTION DUE BY DATE: 29.11.24</t>
  </si>
  <si>
    <t>Paperwork has been submitted</t>
  </si>
  <si>
    <t>2023/2024-304</t>
  </si>
  <si>
    <t>System stop markers faded - Please repaint should have been done for winterisation illuminous paint would be good</t>
  </si>
  <si>
    <t>2023/2024-305</t>
  </si>
  <si>
    <t>Park Grange Road /Arbourthorne - a car driver is using shortcut to get onto the main road - please report to sheffield City Council</t>
  </si>
  <si>
    <t xml:space="preserve">AB has discussed with GL and has advised GL to report this directly SCC - SYFTL stance is tha this matter does not require reporting from a business point of view </t>
  </si>
  <si>
    <t>2023/2024-306</t>
  </si>
  <si>
    <t>Nunnery -Pothole on walkway to the park and ride - Fill plese</t>
  </si>
  <si>
    <t>30/01/2025 - to reported as a defect through XV Plus</t>
  </si>
  <si>
    <t>2023/2024-307</t>
  </si>
  <si>
    <t>Langsett Road/Wood Street - Pedestrian crossing just beyond the junction of langsett Road /Wood Street when heading inbound near pole LPV 2181 This crossing does not have a "give way" sign to allow drivers to go through green and bar if needed a driver has reported to me that OCC say it sholdnt have one as its part of the junction but on reviewing the location i disagree - the crossing in this location (specifically on the inbound carriage way) is not linked to the nearby side streets/traffic lights - Suggest a "Give Way" sign should be fitted to make the crossing consistent with othe rpedestrian crossing on the network</t>
  </si>
  <si>
    <t>Was actioned by Andy Buckley on the day of the BOSRIA submission</t>
  </si>
  <si>
    <t>2408-25</t>
  </si>
  <si>
    <t>2023/2024-328</t>
  </si>
  <si>
    <t xml:space="preserve">Driver spoken to by duty manager and HR investigation  - driver was taken off driving and OCH are involved the drivr is now clear to driver from 25/11/2024 no further training required 
</t>
  </si>
  <si>
    <t>David Tingle</t>
  </si>
  <si>
    <t>2409-17</t>
  </si>
  <si>
    <t>2023/2024-327</t>
  </si>
  <si>
    <t>Duty manager Dave Tingle has had a meeting with driver and reiterated the importance of checking code is set correctly when taking over the tram</t>
  </si>
  <si>
    <t>2023/2024-308</t>
  </si>
  <si>
    <t>Identify all newly wrapped trams- Jacking point stickers and unladen weight stickering need replacing as now covered with advertising.
(In the UK, there are specific regulations and guidelines for tram signage and markings, whilst these are not clearly mandated specifically. The regulations focus on signage for the safe operation of trams which would cover these elements)</t>
  </si>
  <si>
    <t>08/12/2025 all Gary Seaborns actions were reassigned to Paul Holdsworth under instruction from Josh Keeling - 16/12/2025 email from Josh to Paul - Happy to authorise an extension for Paul to review and come back to us on achievable timescales given the circumstances. 
20/01/2026 - Stickers have been procurred BAU</t>
  </si>
  <si>
    <t>2023/2024-319</t>
  </si>
  <si>
    <t xml:space="preserve">I have spoken to Safety previoulsy regarding the vaping of certain staff outside the designated smoking area- ive seen this again a couple of times this week and still no action seems to have been taken, I feel this is unfair on those who do smoke correctly in the designated area - along with not looking particularly good from a customer view point as our staff can be seen from the tram stop and whilst walking to and from there - suggest not sure how we combat this - but there could do with being and update on BLINK about only vaping within the designated smoking area or speaking to individuals certain ones ae regular repeat offenders </t>
  </si>
  <si>
    <t>2408-61</t>
  </si>
  <si>
    <t>2023/2024-318</t>
  </si>
  <si>
    <t>refresh the conductor on the correct procedure for closing doors that are stuck on the platform</t>
  </si>
  <si>
    <t>2025-2026-18</t>
  </si>
  <si>
    <t>Driver awareness package and mentoring</t>
  </si>
  <si>
    <t>2025-2026-19</t>
  </si>
  <si>
    <t xml:space="preserve">Meeting with Andy Rathbone </t>
  </si>
  <si>
    <t>2023/2024-320</t>
  </si>
  <si>
    <t>System wide - When running part routes could all the destinations still display the relevant colour to prevent any confusion and perhaps if space state rail replacement buses or something like that.</t>
  </si>
  <si>
    <t>30/01/2025- Email has been sent to IT - previous employee who dealt with tram displays left the business in October. Date has been extended to accomadate delay in assigned action owner KHS</t>
  </si>
  <si>
    <t>2023/2024-321</t>
  </si>
  <si>
    <t>A new child document procedure needs creating to sit under the Estate Policy for Traffic Management around the depot. (To consider but not exhaustive to all movements, lighting, CCTV integration, speed limits (10mph), traffic calming and behavioural audits, wide angle mirrors, barriers etc.-   Issue to NB with no end date due to depot transformation.</t>
  </si>
  <si>
    <t>2023/2024-322</t>
  </si>
  <si>
    <t>A new child document procedure needs creating to sit under the Estate Policy for signing in at reception by various parties.-   Issue to MB with a completion date for 15.01.25.</t>
  </si>
  <si>
    <t>2023/2024-323</t>
  </si>
  <si>
    <t>The relevant staff need identifying for banks person training regards traffic management around the depot such as Stores Controllers, RSM Manager plus any other relevant staff etc?-   Issue to AR with a completion date for 15.02.25.</t>
  </si>
  <si>
    <t xml:space="preserve">Andy Rathbone - Training Manager </t>
  </si>
  <si>
    <t xml:space="preserve">Email from A Rathbone 21/03/2025 Job roles that require banks person training are - 
Stores controller
Stores manager
RSM Lead Tecnicians
RSM Supervisors
All Infrastructure personal
All of which have been identified and trained on the local requirements
</t>
  </si>
  <si>
    <t>2023/2024-324</t>
  </si>
  <si>
    <r>
      <t>4. Extra resource required in stores. It's known that in 2012 Stores had four dedicated persons. The RA illudes to this need and to consider more resource for example an Asset Manager?/ Stores Co-Ordinator- J Brooks? and Store Assistants (DAYS/ NIGHTS)? for </t>
    </r>
    <r>
      <rPr>
        <b/>
        <u/>
        <sz val="12"/>
        <color rgb="FF000000"/>
        <rFont val="Calibri"/>
        <family val="2"/>
        <scheme val="minor"/>
      </rPr>
      <t>consideration</t>
    </r>
    <r>
      <rPr>
        <sz val="12"/>
        <color rgb="FF000000"/>
        <rFont val="Calibri"/>
        <family val="2"/>
        <scheme val="minor"/>
      </rPr>
      <t>.-   Issue to GS with a completion date for 15.02.25.</t>
    </r>
  </si>
  <si>
    <t>2023/2024-326</t>
  </si>
  <si>
    <t xml:space="preserve">Depot Nunnery - This has also become a recent action item as per the TMRA for the depot  - the stores controller is on leave and their seems to be no process for covering absence leading to a single point failure a courier has left significant valuable items outside reception blocking the designated walkway as per the attached - the traffic movemnet of the large vehicle in the depot will also be questionable  - Suggest processes in place to prevent stores /deliveries SPF resource </t>
  </si>
  <si>
    <t>Status email sent 30/01/2025 - KHS- 08/12/2025 all Gary Seaborns actions were reassigned to Paul Holdsworth under instruction from Josh Keeling - 16/12/2025 email from Josh to Paul - Happy to authorise an extension for Paul to review and come back to us on achievable timescales given the circumstances. 
Paul, if you could let us know that you have reviewed these by Jan 16th, we can then agree some new deadlines for these outstanding actions, many thanks. Also, any actions that you need wider context for, just let us know and Kelly can go over where they originated from with you. 
20/01/2026 - Action has been reassigned to NDobbs to assess resource requirement</t>
  </si>
  <si>
    <t>2309-25</t>
  </si>
  <si>
    <t>2023/2024-163</t>
  </si>
  <si>
    <t>Refresh conflict avoidance and advise about future conduct</t>
  </si>
  <si>
    <t>Steve Hague</t>
  </si>
  <si>
    <t>2411-30</t>
  </si>
  <si>
    <t>2024-2025-001</t>
  </si>
  <si>
    <t>A dedicated strip down and assembly jig designed and configurated to carry out the caliper overhauls</t>
  </si>
  <si>
    <t xml:space="preserve">28/01/2025 - Further discussion req re strip down jig involving C Moore, G Seaborn, Team Supervisors, and 3rd party supplier - 08/12/2025 all Gary Seaborns actions were reassigned to Paul Holdsworth under instruction from Josh Keeling - 16/12/2025 email from Josh to Paul - Happy to authorise an extension for Paul to review and come back to us on achievable timescales given the circumstances. 
Paul, if you could let us know that you have reviewed these by Jan 16th, we can then agree some new deadlines for these outstanding actions, many thanks. Also, any actions that you need wider context for, just let us know and Kelly can go over where they originated from with you. 
20/01/2026 - 30 day extension has been granted by WC to incorparate time for PH to review investigation where rec was originated from.
</t>
  </si>
  <si>
    <t>2024-2025-002</t>
  </si>
  <si>
    <t>Better awareness and caution from RSM Tech</t>
  </si>
  <si>
    <t xml:space="preserve">08/12/2025 all Gary Seaborns actions were reassigned to Paul Holdsworth under instruction from Josh Keeling - 16/12/2025 email from Josh to Paul - Happy to authorise an extension for Paul to review and come back to us on achievable timescales given the circumstances.
20/01/2026 - Action closed </t>
  </si>
  <si>
    <t>2023/2024-338</t>
  </si>
  <si>
    <t>Public do not appreciate where trams come to a stop of CAS and CAT and often cross in front of us as we’re pulling into the stops, before our stop markers (as it’s generally past the end of these short platforms). This can be a pain to manage when trying to to align and look at people crossing - Suggest Can we at the very least paint some yellow lines across, either side, for public to walk between. A bit like a walkway. This may at least subconsciously guide them clear. This will also give drivers more reassurance people are clear of the stopping position.</t>
  </si>
  <si>
    <t>Defect</t>
  </si>
  <si>
    <t>2411-02</t>
  </si>
  <si>
    <t>2023/2024-341</t>
  </si>
  <si>
    <t xml:space="preserve">The conductor has been told that her footwear does not meet the required standard a shoe form has been requested and the foortwear purchase - will be checked to ensure suitabilty </t>
  </si>
  <si>
    <t>Wayne  Clay</t>
  </si>
  <si>
    <t>2023/2024-342</t>
  </si>
  <si>
    <t>There are issues with the time taken for the phone to answer and also dropping calls in the OCC, when communicating with trams and other depts- The issues are around the interaction between the VOIP system and the call recording system. The issues are on Microsoft’s side, and as such they are not responding to the issue- KS is requested to investigate an alternative option for calls and the recording of them, that doesn’t have the time lag during answering and the call dropping out.</t>
  </si>
  <si>
    <t>FINANCE</t>
  </si>
  <si>
    <t>06/06/2025 - Email from KS - Using the data collected from OCC, Insights our supplier, have worked with Microsoft to identify a fix for our phone system issues.  This is under development with Microsoft and the fix should be ready for deployment on 7 July 2025.  We will then have to see if this does fix the issues.</t>
  </si>
  <si>
    <t>2023/2024-339</t>
  </si>
  <si>
    <t>Glossop Road / Upper Hannover Street jc - When leaving University IB, people waiting at the crossing just around the corner do not realise the traffic has stopped to release a tram. All they see is the traffic stopping and it’s a few seconds before we come around the corner of then when they’ve started to cross in front of us- Suggest There are no tram warning signs at all in this location. Suggest signage adding, and painting on the floor to advise
people to look for trams from their right/left (towards the tram stop)</t>
  </si>
  <si>
    <t>This is a crossing at a junction with multiple control measures - drive to conditions</t>
  </si>
  <si>
    <t>2023/2024-340</t>
  </si>
  <si>
    <t xml:space="preserve">SHS - The platform edge yellow lines need repainting along with the stop markers. These have all been worn away nearly now - suggest repaint </t>
  </si>
  <si>
    <t>Item has been TACTED  ef no is DV158013</t>
  </si>
  <si>
    <t>2024-2025-009</t>
  </si>
  <si>
    <t>This morning approx 8am whilst entering depot, I observed infrastructure tram using the tracksaw without the correct- PPE primarily safety eyewear. Sugeest refresher training</t>
  </si>
  <si>
    <t>Was addressed BY NB &amp; JK * the equipment is actually a pertol impact gun and not a track saw - it was noted that staff using this piece of equipment do not have the correct PPE in terms of safety googles etc - JKeeling has riased this matter with JKolchuk - KHS has sent an email to JKolchuk asking for an update on PPE</t>
  </si>
  <si>
    <t>2024-2025-004</t>
  </si>
  <si>
    <t>Depot Tour SHEQ Team - the barriers for around the pits are not been utilised leaving edges unprotected.</t>
  </si>
  <si>
    <t xml:space="preserve">08/12/2025 all Gary Seaborns actions were reassigned to Paul Holdsworth under instruction from Josh Keeling - 16/12/2025 email from Josh to Paul - Happy to authorise an extension for Paul to review and come back to us on achievable timescales given the circumstances. 
20/01/2026- 30 day extension granted by WC </t>
  </si>
  <si>
    <t>2024-2025-005</t>
  </si>
  <si>
    <t>Depot Tour SHEQ - Waste compound - the skip in the waste area is severely degraded with waste leaking through.Mark Blackwell to raise this as a service issue with multi waste?</t>
  </si>
  <si>
    <t>2024-2025-006</t>
  </si>
  <si>
    <t>Depot Tour SHEQ - Infra canteen - portable heater left switched on unsupervised without sufficient clearence from consumables - heating unit to be removed from canteen.</t>
  </si>
  <si>
    <t>2024-2025-007</t>
  </si>
  <si>
    <t>Depot Tour SHEQ - Sand skip conatmination Depot East - has been tacted under DV158308 - RECORDED FOR INFO PURPOSES</t>
  </si>
  <si>
    <t>2024-2025-008</t>
  </si>
  <si>
    <t>Depot Tour SHEQ -  The locked gas cylinder storage cages located on Depot East, one cylinder still has equipment attached this is non compliant with legislation, also the hose on the equipment is degraded particularly near the jubilee clip and needs removing from service. this needs to be rectified as soon as possible.</t>
  </si>
  <si>
    <t>2024-2025-010</t>
  </si>
  <si>
    <t>Witness of electricians climbing high up on racking/shelving to access and maintain lights including new starter - Following procedure and also use appropriate MEWP.</t>
  </si>
  <si>
    <t>Email from N Barraclough -10/11/2025 - A verbal toolbox talk and strong repirmand was given</t>
  </si>
  <si>
    <t>2024-2025-011</t>
  </si>
  <si>
    <t>The temporary Heating replacing workshop heating has been dismantled at the workshop for ongoing works but no temporary alternative put in place. Temperatures were down to -2 last night - Arrange for an alternative temporary solution until the other temporary heater can be re-used.</t>
  </si>
  <si>
    <t>10/06/205 - email from N Dobbs permanent solution heating system being progressed by SYMCA for winter 2025/26- New heating installation work began in October- action authorised to be closed by Jkeeling</t>
  </si>
  <si>
    <t>2411-04</t>
  </si>
  <si>
    <t>2024-2025-012</t>
  </si>
  <si>
    <t>All authorised person to be briefed on the incident as a cautionary reminder</t>
  </si>
  <si>
    <t>Gareth Fairweather - OHLE Coordinator</t>
  </si>
  <si>
    <t xml:space="preserve">Date extended  email request from G Fairweather dated 24/03/2025 - G Fairweather has provided copy of brief that waas issued to staff </t>
  </si>
  <si>
    <t>2024-2025-013</t>
  </si>
  <si>
    <t>It is recommended that the switching programs are modified to add a line instructing the operator to move the switch firtsly to the "open" position remove their hands from the switch and then move the switch to the "earth" position.</t>
  </si>
  <si>
    <t>29/12/2025- Email received from G Fairweather - There is still x1 outstanding isolation that requires the changes making to the paperwork as expressed before. I have tried to make the changes, but there is an IT issue and unfortunately it won't save the changes. I have spoken with IT dept, who said it should have been sorted, but it is still the same. I will try and sort this again and let you know. 02/01/2025 awaiting authorisation from Josh Keeling -09/01/2025 awaiting authorisation from Josh Keeling. 09/0/2026 Email from Josh Keeling authorised this reccomendation to be closed.</t>
  </si>
  <si>
    <t>2024-2025-014</t>
  </si>
  <si>
    <t>Netherthorpe Road inbound - Been out driving today and noticed the speed signs after Shalesmoor inbound are a bit confusing. We have the normal 20 MPH sign after leaving Shalesmoor, then a 30 MPH, then the temporary 20 MPH in quick succession. The 30 MPH is redundant while the TSR is in place and could cause confusion with the temporary restriction being so soon after. Suggest - Could the 30 MPH be bagged up while the restriction is in place?</t>
  </si>
  <si>
    <t xml:space="preserve">TSR is no longer in place </t>
  </si>
  <si>
    <t>2413-23</t>
  </si>
  <si>
    <t>2024-2025-015</t>
  </si>
  <si>
    <t>Reminder to all system cleaners not to walk on sleepers and not to step down off platform edge but to walk to the nearest crossing then get on to ballast.</t>
  </si>
  <si>
    <t>2024-2025-016</t>
  </si>
  <si>
    <t xml:space="preserve">Kerry to re sit Depot and Track training before due date in June 2025 </t>
  </si>
  <si>
    <t>2413-51</t>
  </si>
  <si>
    <t>2025-2026-20</t>
  </si>
  <si>
    <t>HR investigation ST0044 section 10 reporting incidents B3.1 and B4.1 operational standards</t>
  </si>
  <si>
    <t xml:space="preserve">Nunnry Depot - Vaping by various people around the depot - staff need to be reminded of the policy - Suggest put the current policy on a post on Blink </t>
  </si>
  <si>
    <t>Action complete - new policy has been updated and shared with staff via BLINK communcation channel</t>
  </si>
  <si>
    <t>2024-2025-017</t>
  </si>
  <si>
    <t>Risk Assesment audit action - Procedure review  - Opportunities exist for rewording the current procedure for accuracy and precision were required - expansion to cover environmental factors and competent person training is also recommended - Action Request that current Risk Assessment procedure ST0026/4revD is reviewed as soon as possible at DRG.</t>
  </si>
  <si>
    <t xml:space="preserve">10/06/2025- DRG meeting to resume.
20/01/2026 - Action completed </t>
  </si>
  <si>
    <t>2024-2025-018</t>
  </si>
  <si>
    <t xml:space="preserve">Risk Assessement audit action - Departmental Risk Idenification - Department managers identified high -level risks associated with their departments - no manager however was able to identify current or recent risk assessments for their department  - action Training department requires a Risk Assessment folder within the new issued library, issue </t>
  </si>
  <si>
    <t>2024-2025-020</t>
  </si>
  <si>
    <t>Risk Assesment audit action - During this audit some evidence gathering led to finding the HS policy statement requires updating with the current MD details and should be displayed as soon as possible - Action Request that the HSPolicy Statement is updated via SLT with current MD details</t>
  </si>
  <si>
    <t xml:space="preserve">The policy statement was updated and signed by MD on the 3rd of April </t>
  </si>
  <si>
    <t>2024-2025-021</t>
  </si>
  <si>
    <t xml:space="preserve">Risk Assesment audit action - Online library access - Not all staff have access to the new library issued section to peruse risk assessments - the current ten channel member owners are correct but members and guest with read access show only 93 leaving approximatley 240 without read access to required documents, Action  - this should be raised with IT as soon as possible </t>
  </si>
  <si>
    <t>This matter was disucussed with IT Manager verbally in April 2025 - there are limitations as to staff access in terms of how the licensing is set up at this stage - there needs to be further discussion regarding this matter on a senior management. Level - 13/01/2026 KHS noted that DMS may cover this action - need to clarify with JK.
20/01/2026 - Closed will be picked up as part of DMS upgrade</t>
  </si>
  <si>
    <t>2024-2025-022</t>
  </si>
  <si>
    <t>Risk Assessment audit action - Digital Platform Efficiency - Moving away from various digital platforms (Teams, XV+, etc) to a singular digital model for efficicency, clarity and ease of use is reccommended for proper control of risk assessing within the business and this should be raised with SLT - Action For clearer and efficient management of digital online risk assessments the business should consider a relevant single model digital platform (already been discussed within SHEW)</t>
  </si>
  <si>
    <t>10/06/2025 In progress- awaiting ProContract info.
20/01/2026 - Action complete ECO online</t>
  </si>
  <si>
    <t>2024-2025-023</t>
  </si>
  <si>
    <t xml:space="preserve">Risk Assessment  audit action - Risk assessment register -There appears to no official risk assesement register of documents , with only various out of date ones from different realms on the systemm, the last known official register used on an access database pre- transition does not work on current IT systems employed by the business  - Action a refreshed list should be made available in the library for users to update </t>
  </si>
  <si>
    <t xml:space="preserve">SAFE </t>
  </si>
  <si>
    <t>AB has created a tracker which is located in the RA folder within SYFTL library</t>
  </si>
  <si>
    <t>2024-2025-024</t>
  </si>
  <si>
    <t>There ia an issue with staff vaping outside of the designated smoking areas  - I have noticed this serveral times this wek and had already reported this directly to the safety team quite a  while ago but no communcation or action seems to have occurred - I have spoken directly to Andy Buckley and am aware that our policy is being worked on, however i feel tyhat swift action needs to be implemented as the problem is getting worse , i initially saw vaping outside the designated areas but todat it was a group vaping altogether - Suggest i feel that this needs to be addressed as aother are adhering to the designated smokng areas so this needs to be considered - in addition i feel that this could reflect poorly on us as a business as the public can see the vaping on the trams going  regulary past the depot and this could lead to negative publicity - there needs to be a consistent message of where vaping can occur - designated smoking areas only and then this monitered and any issues outside of this acted upon - challenged/fed back</t>
  </si>
  <si>
    <t>2024-2025-025</t>
  </si>
  <si>
    <t xml:space="preserve">Complete a risk assesment for vegetation management - chemical appliactions </t>
  </si>
  <si>
    <t>Email from Mark Blackwell 16/12/2025 states that this has been completed as part of the risk assesment update with Kate Mc Kenny Chased for response 02.02.26</t>
  </si>
  <si>
    <t>2024-2025-026</t>
  </si>
  <si>
    <t xml:space="preserve">Stores person to top up and clean ear plug dispenser </t>
  </si>
  <si>
    <t>2024-2025-027</t>
  </si>
  <si>
    <t>Important matters regarding our site facilities:
Flooding in the Tyre Shed: Reported by RSM, need to isolate the trapped outside tap to eliminate any leaks from the
feed. Additionally, the dead leg needs isolating to prevent the backfeed of bacteria.
MDPE Supply Issue: The MDPE supply, which also feeds the Infrastructure canteen, is egressing through a partially
opened manhole. This situation appears to have become permanent, which is in breach of the Workplace (HSW)
regulations. These regulations mandate that all floor openings, including manholes, must be securely covered to
prevent risks such as slips, trips, and falls, especially with said pipe sticking out.
Environmental Concerns: From an environmental perspective, the open manhole/cable pit can also allow pollutants to
contaminate site services. To address this, I recommend removing the temporary cabin (Infrastructure canteen) also,
which would eliminate these hazards.
Further regarding canteen facilities, the depot has two canteens (upstairs and downstairs) that can sufficiently cater
staff. Additionally, the East Parade canteen is available for mobile staff, with the option of staggered breaks too. The
total seating capacity for information at the depot is thirty-two.
Lastly, the tyre shed defect has been tacted down as a defect under reference DV160020.
Please can this be added to the HSTracker also please. Thanks</t>
  </si>
  <si>
    <t>Email from Mark Blackwell 16/12/2025 - Tap was removed and all redundant waste water pipes and deadlegs removed - pipework removed and manhole cover securly covered with no pipes sitcking out Chased for response 02.02.26</t>
  </si>
  <si>
    <t>Mike Ryan</t>
  </si>
  <si>
    <t>2025-2026-02</t>
  </si>
  <si>
    <t>Walk around completed by M Ryan</t>
  </si>
  <si>
    <t xml:space="preserve">IT </t>
  </si>
  <si>
    <t>2501-20</t>
  </si>
  <si>
    <t>2025-2026-03</t>
  </si>
  <si>
    <t>Driver to attend the hazard awareness course with a member of the training department</t>
  </si>
  <si>
    <t>Email from A Rathbone confirms that this training has been completed</t>
  </si>
  <si>
    <t>2501-11</t>
  </si>
  <si>
    <t>2025-2026-04</t>
  </si>
  <si>
    <t>HR Investigation to be carried out with Greg Knight (550) and Benjamin Hammonds (1352)</t>
  </si>
  <si>
    <t>2502-37</t>
  </si>
  <si>
    <t>2025-2026-05</t>
  </si>
  <si>
    <t xml:space="preserve">The driver requires hazard perception training </t>
  </si>
  <si>
    <t xml:space="preserve">Email from A Rathbone confirms that this traing has been completed </t>
  </si>
  <si>
    <t>2502-07</t>
  </si>
  <si>
    <t>2025-2026-06</t>
  </si>
  <si>
    <t xml:space="preserve">The driver to be spoken to by Training reference his driving actions and behaviours </t>
  </si>
  <si>
    <t>2025-2026-07</t>
  </si>
  <si>
    <t xml:space="preserve">Duty Manager to speak to the driver </t>
  </si>
  <si>
    <t>2501-32</t>
  </si>
  <si>
    <t>2025-2026-08</t>
  </si>
  <si>
    <t>The driver is seeing A Rathbone and K Brown to go through the driver refresher package</t>
  </si>
  <si>
    <t>2025-2026-09</t>
  </si>
  <si>
    <t xml:space="preserve">System wide - 2 weeks ago I reported 27 platform light poles 27 ….... Not working via OCC -As of today they are still out, the platforms at night arent the greatest and having an overhead light makes matter worse checking doors etc, hardly anyone reports them as like here 2 weeks later nothing has been done - Suggest FEM or electrical team need to take on this role every 2 weeks at night they could conduct and audit of every stop checking the shelter lights and platform lights and fixing them there and then </t>
  </si>
  <si>
    <t>Dave Hallam, IT Manager</t>
  </si>
  <si>
    <t xml:space="preserve">04/06/2025 - Email From Mark Tomkins - No feedback from me, we will continue to repair the defects with the limited available, suitably qualified staff, when we are not required elsewhere with other defects around the system on a priority basis. -04/06/2025 Email from Josh Keeling - Thanks both, I think the reported specifically was talking about the light poles rather than the shelters. Are we aware of the 27 locations they are referring to?04/06/2025  Email from D Hallam - Yeah I realised that after my rant 😉 I’m sure you can sense the frustration that fizzes between Ops and Eng, especially when you get suggestions like the one in this report!
It’s similar though, we can get them all working this week and I guarantee they wont all be working next week. Email From Mark Tomkins- 11/05/2025 - s far as the defects via tact for tramstop lighting we are all caught up, apart from a few locations with tower lights that require re-siting slightly to allow access with the dropper.
 </t>
  </si>
  <si>
    <t>2025-2026-12</t>
  </si>
  <si>
    <t>Following the recent FRA yesterday the storage of combustibles were noted under the work shed gantries especially and in particular Depot WEST. 
This has been flagged before as a non conformance but further cemented now by the external fire risk assessor yesterday.
The current situation cannot be sustained and the following remedials on offer would rectify this:
The Gantries which are classed as a Mezzanine floor for the purpose of fire regs can either;
Fit a 1hour fire rated and slip rated SOLID flooring surface on the gantries with wired heat detectors on the underside either end connected to the main fire circuit.
(Storage underneath and current use can remain),
Remove all stored items and leave space under the gantries sterile.</t>
  </si>
  <si>
    <t>09/01/2026 - Email from N Barraclough - Not sure how this is supposed to be achieved as its not something that would be INF or FAC to it s a CAPEX which is no longer avaiable Chased for response 02.02.26</t>
  </si>
  <si>
    <t>2025-2026-13</t>
  </si>
  <si>
    <t>Advise conductor that if he feels an incidnet is worth reporting then it would be preferable to activate bodtcam if appropriate and complete a written report in atimley manner</t>
  </si>
  <si>
    <t>2501-39</t>
  </si>
  <si>
    <t>2025-2026-14</t>
  </si>
  <si>
    <t>Email from A Rathbone - 28/05/2025 Kev Brown took Sean thought a refresher programme and I also spoke to him regarding his actions. No further action required.His Driver Risk Ranking has been updated.</t>
  </si>
  <si>
    <t>2025-2026-15</t>
  </si>
  <si>
    <t>When safety barriers are set up to protect pits, jacking areas and work sites within the shed. The barriers are often moved or just walked around by various members of staff from all departments and all job levels. Invariably barriers are set out while jacking so only staff involved in the lift are within the site, this is to limit trips over cables and equipment and any potential injuries from none RSM staff. It has also been noted that the access door to upstairs on 10 West which is locked while trams are in Jack's is often opened and barriers removed as a short cut to the smoking area</t>
  </si>
  <si>
    <t>2025-2026-17</t>
  </si>
  <si>
    <t>Depot - Subject concerns regarding the intergrity of Supervisor logs and recommendations for improvement. Overview The current practice of maintaining supervisor logs for RSM in Microsoft Word format presents a significant
risk to data integrity and evidentiary reliability. As these documents are editable and lack version control or audit trails,
they are inherently vulnerable to post-event modification. This undermines their credibility, particularly in the event of
an investigation by third parties such as the (RAIB) or other regulatory bodies in the event of an incident.
Recommended Alternatives:
1. Digital Logbook Systems with Audit Trails:
• Implement secure, cloud-based logging platforms (e.g. RailSmart, eLogbook, or custom SharePoint solutions) that
automatically record all edits and user actions like the OCC log.
• These systems provide time-stamped entries and immutable logs, ensuring transparency and accountability.
2. PDF Archiving with or without Digital Signatures:
• Convert completed logs to PDF format with digital signatures to lock content and verify authorship.
• This ensures that once a log is finalized, it cannot be altered without invalidating the signature.
3. Policy and Training:
• Establish clear policies on logbook handling, including when and how entries should be finalized.
• Train supervisors on the importance of data integrity and the risks associated with editable formats etc.</t>
  </si>
  <si>
    <t>09/01/2025 - Email from N Dobbs - Neill liaising with IT on this and potential solution identified Chased for update 02.02.26</t>
  </si>
  <si>
    <t xml:space="preserve">Danielle Willey </t>
  </si>
  <si>
    <t>2413-04</t>
  </si>
  <si>
    <t>2025-2026-21</t>
  </si>
  <si>
    <t>Talk to driver regarding defensive driving and review CCTV</t>
  </si>
  <si>
    <t>18/04/2025</t>
  </si>
  <si>
    <t>2412-59</t>
  </si>
  <si>
    <t>2025-2026-22</t>
  </si>
  <si>
    <t>Advise the conductor to move away problem passenger to de escalate the situation</t>
  </si>
  <si>
    <t>19/04/2025</t>
  </si>
  <si>
    <t>2025-2026-23</t>
  </si>
  <si>
    <t>Due to repeated incidents advices advised that the conductor complete conflict awareneess</t>
  </si>
  <si>
    <t>2413-52</t>
  </si>
  <si>
    <t>2025-2026-24</t>
  </si>
  <si>
    <t xml:space="preserve">Further investigation required when driver is able to return to driving to ascertain if training/mentoring is required </t>
  </si>
  <si>
    <t>2503-55</t>
  </si>
  <si>
    <t>2025-2026-26</t>
  </si>
  <si>
    <t xml:space="preserve">Once the driver meets criteria to be back driving again check welfare and assess competency for return to duty (already achieved) </t>
  </si>
  <si>
    <t>2025-2026-27</t>
  </si>
  <si>
    <t xml:space="preserve">Ad-hoc reinforcement (briefing) for relevant staff with regard signalled power points on the Sheffield Supertram network and requirements for PNB requests </t>
  </si>
  <si>
    <t>Email from A Rathbone 05/11/2025 -  I issued a brief/late notice in April on this SG was to reissue but I cannot confirm this happened.
20/01/2026 Closed - Notice was placed in LN case  - as per ops standards drivers muct read LN at the start of their duty</t>
  </si>
  <si>
    <t>2025-2026-28</t>
  </si>
  <si>
    <t>Assess the feasibilty of signal controlled operations at Delta due to amenity vegetation growth</t>
  </si>
  <si>
    <t xml:space="preserve">  Email from Neill Baraclough 13/10/2025 - Absolutely not, this would be a capital spend project and as such would sit firmly in SYMCA's remit. I understand that they have contracted HITACHI Rail to look at signalling options/changes post 2027. </t>
  </si>
  <si>
    <t>2025-2026-29</t>
  </si>
  <si>
    <t>Re-instate "check VIS" markings on platform mirrors and within 4ft as before for when leaving Cathedral and Castle Square inbound tram stops</t>
  </si>
  <si>
    <t>2025-2026-30</t>
  </si>
  <si>
    <t xml:space="preserve">Issue guidance and briefing to all fleet drivers about suitable eyewear and legal standards include in training matertial and approve policy </t>
  </si>
  <si>
    <t>Email from A Rathbone 05/11/2025 - Guidance and briefing issues to Operations about suitable eyewear and legal standards, and during training driver informed</t>
  </si>
  <si>
    <t>2025-2026-31</t>
  </si>
  <si>
    <t>RE-Briefing/Record to remind staff on cab security as this is a constant trend appearing over time throughout various CCTV footage that is available</t>
  </si>
  <si>
    <t>To be completed as a woder piece of work for the on call process - compliance to the current on call procedure</t>
  </si>
  <si>
    <t>2025-2026-32</t>
  </si>
  <si>
    <t xml:space="preserve">Evaluate on call for SYFTL  and connections with SYMCA </t>
  </si>
  <si>
    <t>Email from Wayne Clay received  06/01/2026 - Dec 25 - The on call and connection with SYMCA is currently under a wider review through an alternative work stream. It will continue under the current system and if a change is recommended then this will be communicated.  
To Close</t>
  </si>
  <si>
    <t>2025-2026-33</t>
  </si>
  <si>
    <t xml:space="preserve">Assess the reassignments of PIDS updates so on call incident manager does not have the added responsibilty whilst dealing with incidents </t>
  </si>
  <si>
    <t>Closed due to time elapsed action has been picked up in the wider business</t>
  </si>
  <si>
    <t>2025-2026-34</t>
  </si>
  <si>
    <t xml:space="preserve">Review the"detraining a tram" procedure to take into consideration people with accessibility issues where possible </t>
  </si>
  <si>
    <t>Email from Dave Marrison 13/10/2025 - Not done this yet - Email from Dave Marrison - I not sure this is for me as OCC authorises the detrainment of passengers and the driver then goes about it, is this one for training? Chased for response 02.02.26
, have emailed WC for clarification.</t>
  </si>
  <si>
    <t>2025-2026-35</t>
  </si>
  <si>
    <t xml:space="preserve"> was doing some stock checking today and have noticed there are oil barrels and other greases/oil which are not on bunds but only raised on pallets. This is a risk of spillage which would then create more work as the items are not on a bund. I've attached some pictures - these are all outside the grease/oil storage containers.</t>
  </si>
  <si>
    <t>08/12/2025 all Gary Seaborns actions were reassigned to Paul Holdsworth under instruction from Josh Keeling - 16/12/2025 email from Josh to Paul - Happy to authorise an extension for Paul to review and come back to us on achievable timescales given the circumstances. 
30 X day extension granted by WC- evidence required of staff brief</t>
  </si>
  <si>
    <t>2025-2026-36</t>
  </si>
  <si>
    <t>Nunnery depot tram stop - I noticed at the end of July 2025 - took a photo and ran out of time to report before o went off on holiday - however this is a suggestion for repair but do not consider urgent - on the Nunnery Depot Tram Stop - at the side of the lighting pole the cement/concrete is loose at the bottom and could do with securing/re-doing this will ensure the safety of our customers and staff and also the loose items cannot be used to levae on track or as missles to cause damage to depot or trams (pictures attached)</t>
  </si>
  <si>
    <t>2410-44</t>
  </si>
  <si>
    <t>2025-2026-37</t>
  </si>
  <si>
    <t xml:space="preserve">Conductor to receive conflict management and bodycam refresher training </t>
  </si>
  <si>
    <t>2410-45</t>
  </si>
  <si>
    <t>2025-2026-38</t>
  </si>
  <si>
    <t xml:space="preserve">During the upcoming level 4 / retraining driver to receive intervention around door management </t>
  </si>
  <si>
    <t>2411-07</t>
  </si>
  <si>
    <t>2025-2026-39</t>
  </si>
  <si>
    <t xml:space="preserve">A formal conversation with driver to remind him that an emergency call should be made when reporting any RTC and to discuss the importance of defensive driving </t>
  </si>
  <si>
    <t xml:space="preserve">Glin Stanford </t>
  </si>
  <si>
    <t>2411-15</t>
  </si>
  <si>
    <t>2025-2026-40</t>
  </si>
  <si>
    <t>1. Increased track patrols to a twice weekly between the University Underpass and Shalesmoor tramstop 2. Speed restriction implemented through this section in both directions reducing the speed to 20mph. O/B Track NER2124 existing 30mph to be bagged and replaced with both the restriction “R” and a 20mph sign as this is at the bottom of the platform as they leave the tramstop. Speed coming into the tramstop is a known slip slide issue so drivers are already very slow coming in to the platform. NER2128 the restriction “R” is lifted due to already having new rail installed beyond this point last year. I/B Track SHA2132 restriction “R” installed. NER2130 40mph to be bagged and replaced with a 20mph restriction. NER2123 the restriction “R” is lifted.</t>
  </si>
  <si>
    <t>Email - from Neill Barraclough 10/11/2025 - The rails were renewed  from tram stop  onwards by SMYCA 
infra removed the inspections and speed restriction there after.</t>
  </si>
  <si>
    <t>2025-2026-41</t>
  </si>
  <si>
    <t>Rail requires replacement between locations NER2122-32 I/OB where not already undertaken. SYMCA aware.</t>
  </si>
  <si>
    <t>2025-2026-42</t>
  </si>
  <si>
    <t>Sleepers require changing and a deep dig of the ballast formation to remove contaminated ballast (sand/debris/salt/wet beds) as soon as can be arranged.</t>
  </si>
  <si>
    <t>10/11/2025- Email from Gstanford ll of the rail has been changed through the affected area, but the contaminated ballast remains.
This is with SYMCA and currently looking like 2027 before it gets actioned.</t>
  </si>
  <si>
    <t>2025-2026-43</t>
  </si>
  <si>
    <t>The driver has been spoken to by DM Rbridges and has been told not to anticipate signals on the system</t>
  </si>
  <si>
    <t>2412-55</t>
  </si>
  <si>
    <t>2025-2026-44</t>
  </si>
  <si>
    <t>Ride checks by training from nunnery to Parkgate</t>
  </si>
  <si>
    <t>2025-2026-45</t>
  </si>
  <si>
    <t xml:space="preserve">DSEAR - Regulation 9 information instruction  and training - Awareness and training  - staff are working within or near hazardous zones should be suitably trained of the hazards and substances  - provide training to staff in the form of a toolbox talk on DSEAR awareness including the hazards of introducing electriacl appliances /devices or any other ignition source including the management of smoking vape radio and phone chargers use within the zoned areas </t>
  </si>
  <si>
    <t>Has been added to COSHH presentation</t>
  </si>
  <si>
    <t>2025-2026-47</t>
  </si>
  <si>
    <t>DESEAR Co-ordination The guidance states "A designated DSEAR Co-ordinator to be identified within the business to serve as the responsible person for the facility and to facilitate communication with the wider workforce, including the facilities emergency response procedures in reference to DSEAR." - I would interpret this to lean towards Facility Management. MB did come on the recent DSEAR assessment tour but the nomination should be fair and would also need to include relevant information , instruction and training for the nominated person.</t>
  </si>
  <si>
    <t xml:space="preserve">Email from Wayne Clay received  06/01/2026 - Jan  26 - A delegate from the Engineering department has been requested for the role of DSEAR Co-ordinatior.  Awaiting response -19/01/2026 WC has authorised for this action to clsed based on email from ND that states M Blackwell - SHEQ team to liaise direct on training </t>
  </si>
  <si>
    <t xml:space="preserve">M Bamford </t>
  </si>
  <si>
    <t>2025-2026-48</t>
  </si>
  <si>
    <t>NEW Rsm Workwear material unsuitable for the work we do as the material change from 100% cotton which was originally used to 55% cotton 45% polyester puts a great safety risk of doing any hot works we use angle grinders . oxy /acetylene... and the wheel lathe can eject turnings at a very hot temperature. usually when doing hot works you will remove the hi viz vest u would wear. however the tee shirts and vests are literally a direct to skin workwear with no protection from hot works. even using a leather apron will not protect your body from hot works and potential burns - Suggest  - Workwear suitable for our daily role. the workwear previous was chosen to factor the use of hot works</t>
  </si>
  <si>
    <t>P Holdsworth - Asst RSM Manager</t>
  </si>
  <si>
    <t>Response has been sent to M Bamford</t>
  </si>
  <si>
    <t>2507-11</t>
  </si>
  <si>
    <t>2025-2026-49</t>
  </si>
  <si>
    <t>Turntable 8W Actions as per non-conformance issued to RSM.</t>
  </si>
  <si>
    <t>08/12/2025 all Gary Seaborns actions were reassigned to Paul Holdsworth under instruction from Josh Keeling - 16/12/2025 email from Josh to Paul - Happy to authorise an extension for Paul to review and come back to us on achievable timescales given the circumstances. 
20/01/2026 -30 days extension granted by WC.</t>
  </si>
  <si>
    <t>2504-01</t>
  </si>
  <si>
    <t>2025-2026-50</t>
  </si>
  <si>
    <t>F1.1 It is key that drivers can identify hazards. Drivers initially have hazard 
perception/observation training, but there is no record of periodic refresher 
training. It is recommended that refresher training is developed, delivered 
and recorded</t>
  </si>
  <si>
    <t>Email from A Rathbone 13/10/2025 - A hazard perception course has been developed and any driver involved in an incident will be taken through the package.
All drivers will be going through this training every two years, once we have been able to implement refresher training, this training will be recorded in the SkillsHub.
 Email from A Rathbone  05/11/2025 - When any driver is sent for refresher training, we cover both areas during the session</t>
  </si>
  <si>
    <t>2025-2026-51</t>
  </si>
  <si>
    <t>F1.2 On discussing the speed of the tram the driver explained the use of 
SIMOVE, in that he wasn’t speeding as there were no warnings activated. 
However, it will need to be clarified with the driver function that SIMOVE 
must not be relied upon as a speed control.</t>
  </si>
  <si>
    <t>The newly appointed Head of Service Delivery and disagreed with the recommendation.   On his review of the RTC Investigation and his team he stated that the fundamental reason for SIMOVE to be installed is to provide the Tram Driver and OCC with additional alerts to warn of tram speed infringements and for adjustments to be made. It is perfectly reasonable for the Tram Driver to have made this statement. SIMOVE launch continues as a project managed by SYMCA.  In this context the Head of SHEQ agreed that this was an alternative context that wasn't raised at the time of the investigation recommendation, by the outgoing Head of Customer Services</t>
  </si>
  <si>
    <t>2025-2026-52</t>
  </si>
  <si>
    <t>F1.3 During the investigation it was identified that the driver had not secured 
their tram to prevent unauthorised access. It is recommended that the 
drivers are briefed on the securing of their trams in line with their training. 
This must be briefed and recorded as evidence of understanding</t>
  </si>
  <si>
    <r>
      <rPr>
        <sz val="11"/>
        <color rgb="FF000000"/>
        <rFont val="Calibri"/>
        <scheme val="minor"/>
      </rPr>
      <t xml:space="preserve">Awaiting authorisation to update from WC.  
</t>
    </r>
    <r>
      <rPr>
        <sz val="11"/>
        <color rgb="FF0070C0"/>
        <rFont val="Calibri"/>
        <scheme val="minor"/>
      </rPr>
      <t>23/01/26</t>
    </r>
    <r>
      <rPr>
        <sz val="11"/>
        <color rgb="FF000000"/>
        <rFont val="Calibri"/>
        <scheme val="minor"/>
      </rPr>
      <t xml:space="preserve">.  </t>
    </r>
    <r>
      <rPr>
        <sz val="11"/>
        <color rgb="FF0070C0"/>
        <rFont val="Calibri"/>
        <scheme val="minor"/>
      </rPr>
      <t xml:space="preserve">The newly appointed Head of Service Delivery provided the following update: 
In 2026 all frontline staff are being planned in to receive training on the Light Rail Security Plan and what this means for their working environment. During this training all staff will be reminded on the dangers of leaving this door open and what should be done. This is currently planned to be completed by September 2026 as I understand. This will then form part on onboarding training for all new staff.  </t>
    </r>
    <r>
      <rPr>
        <sz val="11"/>
        <color rgb="FFFF0000"/>
        <rFont val="Calibri"/>
        <scheme val="minor"/>
      </rPr>
      <t>It has been advised by the Head of SHEQ that an interim brief be developed for the drivers and that a plan will need to be provided for the planned courses. When this evidence has been reveived this can then be closed out.</t>
    </r>
  </si>
  <si>
    <t>2025-2026-53</t>
  </si>
  <si>
    <t>F1.4 The driver had released the doors of the tram incorrectly in an emergency
situation, in that passengers were allowed to de-tram in an uncontrolled 
manner. It is recommended that drivers are re-briefed on the correct 
process. This must be recorded for audit evidence and confirmation of 
understanding</t>
  </si>
  <si>
    <r>
      <rPr>
        <sz val="11"/>
        <color rgb="FF000000"/>
        <rFont val="Calibri"/>
        <scheme val="minor"/>
      </rPr>
      <t xml:space="preserve">Awaiting authorisation to update from WC
</t>
    </r>
    <r>
      <rPr>
        <sz val="11"/>
        <color rgb="FF0070C0"/>
        <rFont val="Calibri"/>
        <scheme val="minor"/>
      </rPr>
      <t>23/01/26.  The newly appointed Head of Service Delivery provided the following update: The training team are going to prepare briefing for drivers to be delivered and recorded by the crew managers at sign on. Please note a 3-month deadline for that - April 30th</t>
    </r>
    <r>
      <rPr>
        <sz val="11"/>
        <color rgb="FF000000"/>
        <rFont val="Calibri"/>
        <scheme val="minor"/>
      </rPr>
      <t xml:space="preserve">. </t>
    </r>
    <r>
      <rPr>
        <sz val="11"/>
        <color rgb="FFFF0000"/>
        <rFont val="Calibri"/>
        <scheme val="minor"/>
      </rPr>
      <t>It has been advised by the Head of SHEQ that due to the time that the Head of Service Delivery has been on board that a timescale extension has been granted until the stated 30 April 2026. When this evidence has been received this can then be closed out.</t>
    </r>
  </si>
  <si>
    <t>2025-2026-54</t>
  </si>
  <si>
    <t>F1.5 During the accident a tram was allowed to pass on the inbound track 
towards the Woodburn Road Tram stop. It is recommended to re-brief 
drivers on emergency procedures regarding tram movement near accident 
scenes. i.e. that trams are held until it is confirmed that the area is safe 
and no passengers are on or near the track
Action Owner: Date</t>
  </si>
  <si>
    <t>09/0/2026</t>
  </si>
  <si>
    <t>Email from Dave Marrison - 05/11/2025- I've just listened to a radio call from Ben Riley (NTC) to the driver of the inbound tram (122) informing him of the incident and to pass with caution and only if safe to do so (or words to that effect), this is normal practise for OCC, to warn approaching drivers ASAP or stop the tram if deemed necessary. 
However, all drivers are trained to drive Line-of-Sight; driver sight lines are good on approach to this junction and there have been several bad accidents at this junction in the passed, so generally, I would say most drivers do take extra care on approach to this junction (as trained). I would also say that the driver would have had good view of what had happened and was happening, so would have passed with caution or stopped if not safe to pass, even if not pre warned by OCC.  
Tram CCTV shows inbound tram 122 approaching  and passing at a reasonable pace in my opinion and with caution.Email from Wayne Clay authorised to close this action</t>
  </si>
  <si>
    <t>2025-2026-55</t>
  </si>
  <si>
    <t>F1.6 In reference to recommendation F1.5, it is recommended that a gap 
analysis is undertaken to carry out a gap analysis/org check to assess OCC 
resource sufficiency during emergencies</t>
  </si>
  <si>
    <t xml:space="preserve">Email from Dave Marrison  -05/11/2025 - F1.6: I believe with regards to OCC staffing during incidents, 2 competent NCs is enough to deal with incidents. However, what would really help them NCs during incidents, is if the Communications out from OCC - Service Disruption email, Tweeting, phoning bus companies for ticket acceptance etc. was done by a dedicated OCC comm's person. This would allow both duty NCs to really focus on controlling trams and crews outside of the incident site - 09/01/2026 - Email from Wayne Clay - This action can be closed but an additional action is to be raised.  "From the gap analysis that has been conducted by the OCC Manager, they are to discuss their findings with the Head of Service Delivery for the feasibility of the additional communications resource requirement"  </t>
  </si>
  <si>
    <t>2025-2026-56</t>
  </si>
  <si>
    <t>F1.7 It was identified that the On Call Procedure has an incorrect regulator 
(ORR) out of hours contact number. It is recommended that the procedure 
is reviewed, and the correct contact numbers are updated</t>
  </si>
  <si>
    <t>Email from Wayne Clay received  06/01/2026 - Dec 25 - The On Call Procedure has been updated with the correct out of hours number.  The procedure is awaiting the Authorisation signature.
To close</t>
  </si>
  <si>
    <t>2025-2026-57</t>
  </si>
  <si>
    <t>F1.8 The Risk Assessment Procedure ST0026 states that findings from risk 
assessments must be communicated to staff, it also alludes to some 
methods of carrying and recording this, however the procedure does not 
make it clear that the evidence is also required for audit and regulatory 
requirements. It is recommended that the Risk Assessment Procedure is 
reviewed to make it clear that evidence is also required for audit and 
regulatory requirements</t>
  </si>
  <si>
    <t>Email from Wayne Clay received  06/01/2026 - Dec 25 - The Risk Assessment Procedure has been updated referring to the need for evidence for audit and regulatory compliance .  The procedure is awaiting the Authorisation signature.  
To close</t>
  </si>
  <si>
    <t>2025-2026-58</t>
  </si>
  <si>
    <t>F1.9 There is no plan or evidence in place to support that drivers are briefed by 
the Operations Department on the route risk assessment, this is in breach 
of the Risk Assessment Procedure ST0026 and regulatory compliance. It 
is recommended that a plan is developed to brief drivers of the risks 
identified on the route risk assessment; this must also be supported by 
recorded evidence that the driver has been briefed.</t>
  </si>
  <si>
    <r>
      <rPr>
        <sz val="11"/>
        <color rgb="FF000000"/>
        <rFont val="Calibri"/>
        <scheme val="minor"/>
      </rPr>
      <t xml:space="preserve">Awaiting authorisation to update from WC  
</t>
    </r>
    <r>
      <rPr>
        <sz val="11"/>
        <color rgb="FF0070C0"/>
        <rFont val="Calibri"/>
        <scheme val="minor"/>
      </rPr>
      <t xml:space="preserve">23/01/26.  The newly appointed Head of Service Delivery provided the following update:
All front-line staff receive onboarding training, and our training reflects the route risks assessment risks. Therefore, they are trained and assessed. The Route Risk Assessment is undertaking a review and following that I think we need to cross check the outcomes against the training documentation. Once the route risk assessment review has been completed, the training packages will be reviewed and amended to include the updates and so all drivers understand the changes we could cover these in the refresher training session going forward once we reach the required number of drivers per team.
</t>
    </r>
    <r>
      <rPr>
        <sz val="11"/>
        <color rgb="FFFF0000"/>
        <rFont val="Calibri"/>
        <scheme val="minor"/>
      </rPr>
      <t>It has been advised by the Head of SHEQ that a sample of evidence of 10 drivers that have been informed of the Route Risk Assessment during their training.  When this evidence has been received this can then be closed out.</t>
    </r>
  </si>
  <si>
    <t>2025-2026-59</t>
  </si>
  <si>
    <t>F1.10 Although the Route Risk Assessment is in process of review, the Head of 
Customer Service and Operations must ensure that a Risk Assessment 
Lead is designated and that a structured plan is in place for the review. 
This should include drivers or a driver rep as part of the risk assessment 
team</t>
  </si>
  <si>
    <r>
      <rPr>
        <sz val="11"/>
        <color rgb="FF000000"/>
        <rFont val="Calibri"/>
        <scheme val="minor"/>
      </rPr>
      <t xml:space="preserve">Awaiting authorisation to update from WC.  
</t>
    </r>
    <r>
      <rPr>
        <sz val="11"/>
        <color rgb="FF0070C0"/>
        <rFont val="Calibri"/>
        <scheme val="minor"/>
      </rPr>
      <t xml:space="preserve">23/01/26.  The newly appointed Head of Service Delivery provided the following update: 
</t>
    </r>
    <r>
      <rPr>
        <sz val="11"/>
        <color rgb="FF000000"/>
        <rFont val="Calibri"/>
        <scheme val="minor"/>
      </rPr>
      <t>Evidence has been provided that there is now a Route Risk Assessment Plan and this has the involvement of the Head of SHEQ, Service Delivery and other Driver competent  team members.  Evidence has been providd that this plan has been presented to the SLT weekely meeting This is able to be closed</t>
    </r>
  </si>
  <si>
    <t>2025-2026-60</t>
  </si>
  <si>
    <t>F1.11 It is recommended that due to the current Route Risk Assessment review 
that the Head of Customer Services and Operations to consider recording 
the tram routes, this would also support training and route hazard 
identification</t>
  </si>
  <si>
    <t>05/11/2025 - Update from Abuckely - action is ongoing Ongoing 20% complete, is dependent on the  availability of spares - 19/01/2026 AB this is an ogngoing action subject t the availabilt yof other depts - with the onging support of SHEQ -20/01/2026 The action has now been put on RRA (BAU action).</t>
  </si>
  <si>
    <t>2025-2026-61</t>
  </si>
  <si>
    <t>F1.12 It was identified that the speed limit on approach to the Staniforth Road 
Junction drops to 15 MPH, however this speed drop is beyond the 
pedestrian crossing, therefore technically the tram is able to continue 
proceed at line speed to this point. It is considered that a drop in line speed 
prior to the pedestrian crossing would be of a safety benefit, due to the 
provision of more reaction time for the tram driver and for the pedestrian 
alike. It is recommended that an assessment be carried out to assess if it 
is feasible to move the 15-mph speed limit forward of the pedestrian 
crossing or a drop in line speed on approach to the pedestrian crossin</t>
  </si>
  <si>
    <t>Response from Joe Wells was forwarded to Josh Keeling on 13/12/2025.
20/01/2026 - Closed Jk has specified that change management process is followed and all staf are notified when the change has been implemented - evidence to be added to investigation folder</t>
  </si>
  <si>
    <t>2025-2026-62</t>
  </si>
  <si>
    <t>F1.13 SYMCA and the Sheffield City Council have the ownership of the 
infrastructure is and the highways, and SYFTL are the operator and 
maintainer of the tram network. It is not clear as a multi-agency 
requirement and this makes lines of accountability and responsibility 
unclear. This also alludes to potential risk and hazard identification being 
carried out in silos. That said there is an MOU between the affected 
parties, but it is not robustly managed. It is recommended that the MOU 
and affected parties review the MOU to reinvigorate the said document to 
develop a more robust partnership to improve the safety of the tram and 
highways interoperability</t>
  </si>
  <si>
    <t>SHEQ</t>
  </si>
  <si>
    <t xml:space="preserve">Initially the MOU was not assumed as sufficient or efficient for airing issues of a joint nature i.e. as a multi-stakeholder environment for operational topics, although there was some limited interaction.  Since the incident on Staniforth Road, the MOU has now evolved into 2 meetings (engineering and Operations).  The operational MOU had now been scheduled by SYMCA to be conducted on a 2 monthly basis with a remit "To review the operational and safety performance of the tram network in relation to the highway environment, and to work collaboratively to improve the safety of the highway network in which the tram operates and improve the punctuality and reliability
 of the tram network within the wider highway network".  There are numerous muliti department stakeholder invitees to the said meeting to assure that joint highway and tramway issues can be discussed.  The Head of SHEQ and the SHEQ Manager are invitees.  As this is a newly developed group, the sessions will be closely monitored to assure that the relevant joint topics for highway, council and tramways are raised in this forum, this will include crossings as well as other operational topics that interoperate with highways
Evidence refers meeting dates sceduled for 03/02/2026 </t>
  </si>
  <si>
    <t>2025-2026-63</t>
  </si>
  <si>
    <t>F1.14 Although the owner of the land is the Sheffield City Council, it was not 
made clear for the ownership of the fence that runs parallel to the tram 
track. The assumption for the investigation is that it is SYMCAs, 
infrastructure, therefore this will need to be clarified during the MOU and 
multiagency meeting</t>
  </si>
  <si>
    <t>Email from N Barraclough - 10/11/2025 Owenership established as SYFTL fence (unsure where does that get recorded)</t>
  </si>
  <si>
    <t>2025-2026-64</t>
  </si>
  <si>
    <t>F1.15 It was identified during the investigation that the road traffic can be noisy at 
peak times at this crossing, which has the potential to inhibit the warning 
bell sound. It is recommended that additional noise monitoring is 
conducted to ascertain if the warning horn should be utilised at this 
crossing and at what times would be most suitable</t>
  </si>
  <si>
    <t>Email from Wayne Clay received  06/01/2026 - Dec 25 - A noise assessment plan has been developed for all crossings on the Supertram network, The Noise meter currently requires calibration.  This will be conducted in the New Year. The plan is expected to commence in Feb 26.  
To Close</t>
  </si>
  <si>
    <t>2025-2026-65</t>
  </si>
  <si>
    <t>F1.16 A study was conducted about the sound levels of bells and horns on trams, 
as to the sufficiency of the sound levels. The reports that were developed
were utilised by the Safey Manager to liaise with service providers that 
were able record digital bell/horn sounds. This information was passed 
onto the engineering team. It is recommended that the feedback is 
provided to the Safety Board on the outcomes and the potential way 
forward for the use of the digital recordings</t>
  </si>
  <si>
    <t xml:space="preserve">Bell trials have taken place December 2025 matter taken up with SHEQ team </t>
  </si>
  <si>
    <t>2025-2026-66</t>
  </si>
  <si>
    <t>F1.17 Post incident the tram undertook a brake test to ascertain the state of the 
braking system; the findings were requested by the RAIB. On receipt of the 
brake test results the RAIB raised a query reference the brake readings 
and what standard is utilised, which was confirmed as the Manufacture 
Specifications. A SFTYL technician raised that the said manual identified 
a discrepancy with the reading values and a data table. It is recommended 
that a review of the maintenance is carried out manual to clarify the table 
discrepancy (refers sect 1.9 of the maintenance manual)</t>
  </si>
  <si>
    <t xml:space="preserve">Email from N Dobbs 09/01/2026 - Chris Moore just confirming but not an issue as fleet conforms with Manufacturers spec. Will confirm next week when on depot - 19/01/2026 Email from ND we conform to OEM requirments </t>
  </si>
  <si>
    <t>2025-2026-67</t>
  </si>
  <si>
    <t>F1.18 Although hazard perception training is conducted during driver training, 
there is no defined refresher training carried out or identified in the route 
risk assessment. It is recommended that Hazard Perception training is 
reviewed and a training plan developed to refresh tram drivers on hazard 
perception. The route risk assessment shall be updated when complete</t>
  </si>
  <si>
    <t>Awaiting authorisation to update from WC</t>
  </si>
  <si>
    <t>2025-2026-68</t>
  </si>
  <si>
    <t>F1.19 It is recommended to review the OCC process for accidents and the control 
of other tram passage during an emergency event. i.e. The tram travelling 
on the inbound track could have been held at either Attercliffe tram stop or 
prior to the stop line loop on the opposite side of the junction at Staniforth 
road.</t>
  </si>
  <si>
    <t>Email from Dave Marrison - 05/11/2025- I've just listened to a radio call from Ben Riley (NTC) to the driver of the inbound tram (122) informing him of the incident and to pass with caution and only if safe to do so (or words to that effect), this is normal practise for OCC, to warn approaching drivers ASAP or stop the tram if deemed necessary. 08/12/2025 response email from Dave Marrison was sent to Wayne to authorise. Email from Wayne Clay authorised to close 09/01/2026</t>
  </si>
  <si>
    <t>2025-2026-69</t>
  </si>
  <si>
    <t>F1.20 The fence that runs adjacent to the outbound track has vertical and mesh 
type barriers. It is recommended that the ownership and the maintenance 
responsibility for the fence be confirmed for future requirements</t>
  </si>
  <si>
    <t>Email from N Barraclough - 10/11/2025 Ownership established as SYFTL fence (unsure where does that get recorded)</t>
  </si>
  <si>
    <t>2025-2026-70</t>
  </si>
  <si>
    <t>F1.21 Pedestrian that travel along the fence that runs adjacent to the outbound 
track, do so with their backs to tram traffic, which in the case of this 
accident the joggers didn’t check and moved into the path of a moving 
tram. It is recommended that consideration should be given to the 
placement of a barrier that would require users of the path in towards 
Staniforth Road to negotiate their way around it and bring them to a point 
that the driver would have a peripheral view of the track, to check if there
was an oncoming tram (Refers example in section D1.18)</t>
  </si>
  <si>
    <t>Josh Keeling</t>
  </si>
  <si>
    <t>2413-63</t>
  </si>
  <si>
    <t>2025-2026-71</t>
  </si>
  <si>
    <t xml:space="preserve">F1.1 Housekeeping standards should be set and clearly communicated to staff. These need to be regularly visibly audited by managers and supervisors to ensure that they are adhered to. This should have an emphasis on containers left out without lids or without the contents correctly identified and labelled. Where COSHH substances have been decanted from their original container, another label should be printed so that the same warning information is available on the smaller container.
</t>
  </si>
  <si>
    <t>Chased for update 02.02.26</t>
  </si>
  <si>
    <t>2025-2026-72</t>
  </si>
  <si>
    <t>F1.2 A Hot Works Permit process should be created and briefed to all staff who may carry out Hot Works. This should include the use of appropriate PPE.</t>
  </si>
  <si>
    <t xml:space="preserve">Confirmation email has received from Keith Sockett - </t>
  </si>
  <si>
    <t>2025-2026-73</t>
  </si>
  <si>
    <t>F1.3 A designated workspace and bench for Hot Works must be made available and kept clear for only Hot Works.</t>
  </si>
  <si>
    <t>Email from N Dobbs 09/01/2026 - Done, Booth on north wall</t>
  </si>
  <si>
    <t>2025-2026-74</t>
  </si>
  <si>
    <t>F1.4  A review of the depot Fire Procedure will be undertaken to clarify actions to be taken on discovery of a fire and around the process for returning to the building after an ‘all clear’. Any changes should be trained to Fire Wardens and briefed to all staff. This should also include reference to fire extinguishers requiring a service and inspection before being placed back into service.</t>
  </si>
  <si>
    <t>2025-2026-75</t>
  </si>
  <si>
    <t xml:space="preserve">F1.5 A review of the task risk assessment is required. This should then be re-briefed out to all staff who will carry out grinding activities.
</t>
  </si>
  <si>
    <t>08/12/2025 all Gary Seaborns actions were reassigned to Paul Holdsworth under instruction from Josh Keeling - 16/12/2025 email from Josh to Paul - Happy to authorise an extension for Paul to review and come back to us on achievable timescales given the circumstances. 
20/01/2026 -Action closed</t>
  </si>
  <si>
    <t>2401-18</t>
  </si>
  <si>
    <t>2025-2026-76</t>
  </si>
  <si>
    <t>Conductor to be spoken to regarding lack of customer care following the passenger fall in the saloon</t>
  </si>
  <si>
    <t>2403-19</t>
  </si>
  <si>
    <t>2025-2026-77</t>
  </si>
  <si>
    <t xml:space="preserve">Driver to be spoken to and shown CCTV of his actions </t>
  </si>
  <si>
    <t>2403-32</t>
  </si>
  <si>
    <t>2025-2026-78</t>
  </si>
  <si>
    <t xml:space="preserve">Note to file was issued to conductor </t>
  </si>
  <si>
    <t>2404-54</t>
  </si>
  <si>
    <t>2025-2026-79</t>
  </si>
  <si>
    <t xml:space="preserve">Praise the conductor for non escalation and correct use of conflict avoidance technique </t>
  </si>
  <si>
    <t>2405-11</t>
  </si>
  <si>
    <t>2025-2026-80</t>
  </si>
  <si>
    <t xml:space="preserve">Praise conductor for correct use of conflict avoidance </t>
  </si>
  <si>
    <t>Dave Marrison</t>
  </si>
  <si>
    <t>2405-08</t>
  </si>
  <si>
    <t>2025-2026-81</t>
  </si>
  <si>
    <t xml:space="preserve">Network coordinator to take a little more care inform their manager of such occurances and complete a report going forward </t>
  </si>
  <si>
    <t>2406-09</t>
  </si>
  <si>
    <t>2025-2026-82</t>
  </si>
  <si>
    <t xml:space="preserve">Driver has been spoken to about this inident and accepts that his standards should have been better </t>
  </si>
  <si>
    <t>2407-21</t>
  </si>
  <si>
    <t>2025-2026-83</t>
  </si>
  <si>
    <t xml:space="preserve">TT Refresher training </t>
  </si>
  <si>
    <t>2407-55</t>
  </si>
  <si>
    <t>2025-2026-84</t>
  </si>
  <si>
    <t xml:space="preserve">Praise the conductor for correct use of conflict management and attempt to diffuse </t>
  </si>
  <si>
    <t>2025-2026-85</t>
  </si>
  <si>
    <t>2407-58</t>
  </si>
  <si>
    <t>2025-2026-86</t>
  </si>
  <si>
    <t xml:space="preserve">The driver has completed a re-training package on 29/10/2024 with the training department </t>
  </si>
  <si>
    <t>2408-31</t>
  </si>
  <si>
    <t>2025-2026-87</t>
  </si>
  <si>
    <t xml:space="preserve">Conductor advised to use body cam and not put himself at rtisk </t>
  </si>
  <si>
    <t xml:space="preserve">John Cawthorn </t>
  </si>
  <si>
    <t>2408-58</t>
  </si>
  <si>
    <t>2025-2026-88</t>
  </si>
  <si>
    <t xml:space="preserve">Conductor was spoken to by duty manager although the conductor as been employed for more than 10 years he has not expirirenced a seperation before duty manager informed the conductor of the correct procedure and refresher training on seperations was arranged and delivered </t>
  </si>
  <si>
    <t>2409-13</t>
  </si>
  <si>
    <t>2025-2026-89</t>
  </si>
  <si>
    <t xml:space="preserve">The driver should be re-briefed on the correct procedure when stopping at tram stops on an incline </t>
  </si>
  <si>
    <t>2025-2026-90</t>
  </si>
  <si>
    <t xml:space="preserve">Clarification should be provided on the 10% brake light indicator light and exactly what it is indicating - if necessary communications should be issued to drivers not to rely on it to tell them that the brakes are applied </t>
  </si>
  <si>
    <t>2409-33</t>
  </si>
  <si>
    <t>2025-2026-91</t>
  </si>
  <si>
    <t>Driver interviewed</t>
  </si>
  <si>
    <t>2025-2026-92</t>
  </si>
  <si>
    <t>Driver awareness re-training package refresher training notes added to personnel file</t>
  </si>
  <si>
    <t>2410-06</t>
  </si>
  <si>
    <t>2025-2026-93</t>
  </si>
  <si>
    <t xml:space="preserve">Process to be developed around a signal sighting committee review of each signal following a SPAS event </t>
  </si>
  <si>
    <t xml:space="preserve">Sent to JK 10/10/2025 - forms part of data cleanse on tracker due to backlog of investigations.
20/01/2026 - Action closed </t>
  </si>
  <si>
    <t>2410-23</t>
  </si>
  <si>
    <t>2025-2026-94</t>
  </si>
  <si>
    <t xml:space="preserve">Speak to conductor about reporting incidents quickly </t>
  </si>
  <si>
    <t>2410-29</t>
  </si>
  <si>
    <t>2025-2026-95</t>
  </si>
  <si>
    <t xml:space="preserve">Advise crew of clear communication to OCC as bomb threat was not recorded in the OCC log entry for this incident </t>
  </si>
  <si>
    <t>2410-31</t>
  </si>
  <si>
    <t>2025-2026-96</t>
  </si>
  <si>
    <t xml:space="preserve">Review lone working policy to make sure there are guidelines for this typr of incident - AB has since advised that this action in not relevant to this type of working </t>
  </si>
  <si>
    <t>2411-01</t>
  </si>
  <si>
    <t>2025-2026-97</t>
  </si>
  <si>
    <t>Consideration to be given to: Including in the winterisation procedure assistance for drivers when taking trams off depot following snowfall, where there is build-up between points blades.</t>
  </si>
  <si>
    <t>2501-17</t>
  </si>
  <si>
    <t>2025-2026-98</t>
  </si>
  <si>
    <t xml:space="preserve">
1)	Praise the conductor for his calm manner, using correct conflict avoidance techniques, and for employing his bodycam correctly</t>
  </si>
  <si>
    <t>2502-04</t>
  </si>
  <si>
    <t>2025-2026-99</t>
  </si>
  <si>
    <t>Driver to be spoekn to about mirror checks</t>
  </si>
  <si>
    <t>2502-50</t>
  </si>
  <si>
    <t>2025-2026-100</t>
  </si>
  <si>
    <t>The said vehicle should have all rail running gear removed and only be used as a public highway street running vehicle and or on embedded sections where compatible and safe to use. It is the decision of the Infrastructure Manager if the vehicle should be replaced with a suitable and sufficient vehicle for the Supertram light rail network. (There is currently another multi-car maintenance vehicle been used on rail currently without issue).</t>
  </si>
  <si>
    <t>2025-2026-101</t>
  </si>
  <si>
    <t>Before procuring long term replacement plant a risk assessment should be done for RRV plant to ensure suitable and sufficient for the Sheffield Supertram network and meets an internally developed specification in line with guidance.</t>
  </si>
  <si>
    <t>2025-2026-102</t>
  </si>
  <si>
    <t xml:space="preserve">Sufficient information, instruction and training should be provided as part of the relevant CMS for the required operatives in terms of plant, more specifically rail road vehicles and or other related plant. </t>
  </si>
  <si>
    <t>Further email sent to Dave Hallam 02/01/2026 - Further email sent 19/01/226. Chased for update 02.02.26
20/01/2026 - No update</t>
  </si>
  <si>
    <t>2025-2026-103</t>
  </si>
  <si>
    <t>Evaluate the remaining rail Multi-car known as reg YM02 DJY to ensure it is suitable and sufficient for use on the Sheffield Supertram network. This should be done independently of the department and by an appropriate SME(s) and take appropriate action as to wether recommend removal from rail duties also etc.</t>
  </si>
  <si>
    <t xml:space="preserve">Documentation has been suppplied </t>
  </si>
  <si>
    <t>2504-20</t>
  </si>
  <si>
    <t>2025-2026-104</t>
  </si>
  <si>
    <t>Report to SYP</t>
  </si>
  <si>
    <t>2025-2026-105</t>
  </si>
  <si>
    <t>Refresher conflict avoidance training</t>
  </si>
  <si>
    <t>2504-32</t>
  </si>
  <si>
    <t>2025-2026-106</t>
  </si>
  <si>
    <t>Note to file and mentoring</t>
  </si>
  <si>
    <t>2505-14</t>
  </si>
  <si>
    <t>2025-2026-107</t>
  </si>
  <si>
    <t xml:space="preserve">Driver to be refreshed on the swept path package from training </t>
  </si>
  <si>
    <t>The driver has attended a training session which included hazard perception and swept path</t>
  </si>
  <si>
    <t>2504-36</t>
  </si>
  <si>
    <t>2025-2026-108</t>
  </si>
  <si>
    <t>Driver has been spoken to by duty manager had no greater concerns beyond this incident (driver ranking score may be affected)</t>
  </si>
  <si>
    <t>Jay Brooks</t>
  </si>
  <si>
    <t>2025-2026-109</t>
  </si>
  <si>
    <t>No access for forklift to line 8. When Dorlec came to collect Siemens traction motor, it had to be maneuvered with a pallet truck, all the way up line 8, then across line 9, then all the way down line 10, exiting via line 10 shutter. One person doing this with a pallet truck, as not enough staff to help. There is zero fork lift access in depot, due to bogies on line 8. I cannot do this on my own.  Suggest  - Fork lift access needs properly sorting. This includes moving items on line 8 racking.</t>
  </si>
  <si>
    <t xml:space="preserve">Email from N Dobbs 09/01/2026 - Paul discussing with Jay Chased for update 02.02.26
 </t>
  </si>
  <si>
    <t>18/11/2025</t>
  </si>
  <si>
    <t>2025-2026-110</t>
  </si>
  <si>
    <t>High level of SIMOVE activations at MEI as per BOSRIA 2025-11-17T16:30, consider closing speed limit to be higher, example 5mph???</t>
  </si>
  <si>
    <t>23/12/2025</t>
  </si>
  <si>
    <t>2508-19</t>
  </si>
  <si>
    <t>2025-2026-111</t>
  </si>
  <si>
    <t xml:space="preserve">Driver has been spoken to duty manager has no great concerns the conductor has been reminded that all incidents should be reported staright away </t>
  </si>
  <si>
    <t>2507-60</t>
  </si>
  <si>
    <t>2025-2026-117</t>
  </si>
  <si>
    <t xml:space="preserve">Toolbox talk to remind staff around the risks invovled with this and similar slinging and lifting </t>
  </si>
  <si>
    <t>2025-2026-118</t>
  </si>
  <si>
    <t xml:space="preserve">A passenger attempted to walk up the inbound side of the tramway this is not an authorised walkway route - the passenger was stopped and requested to use the authorised walkway route  - suggest a sign or fence/barriers put in place </t>
  </si>
  <si>
    <t>2025-2026-119</t>
  </si>
  <si>
    <t xml:space="preserve">Nunnery  Depot -No hot water for hand washing etc for over a week now - its november the water is 8 degrees is this how we look after our employees
</t>
  </si>
  <si>
    <t>Hot water was reinstated</t>
  </si>
  <si>
    <t>2025-2026-120</t>
  </si>
  <si>
    <t>Just wanted to express my concerns at the amount potholes in the 4foot between Spring Lane all the way to the end of White Lane - there are literally hundreds in this area some 4/5 inched deep, could this be looked into and look at permenant concrete repars as recent tarmac attempts have all failed within a few weeks back to the same condition -Suggest fill them in ideally with concrete as done previously as the tarmac is only lasting a fe weeks</t>
  </si>
  <si>
    <t>I Levin has confirmed that this matter is being addressed by third party contractor  in terms of permenant repairs - work was due to start 06/12/2025 - this has now been put on hold due to contractual arrangements that need to be agreed by SYMCA</t>
  </si>
  <si>
    <t>2025-2026-121</t>
  </si>
  <si>
    <t xml:space="preserve">It has been reported to me and I have seen a lot of cars doing illegal right turns at the top of Fitzwilliam Street around the bollards and proceed down West Street inbound - Report to Sheffield City Council that the bollards In the middle of West Street at the top of Fitzwilliam Street arent complete thus makingit easier for cars vans to do illegal right turns </t>
  </si>
  <si>
    <t>A Buckley has reported this via SCC onlie reproting faciltity</t>
  </si>
  <si>
    <t>2025-2026-122</t>
  </si>
  <si>
    <t xml:space="preserve">West Street inbound platform - Contractor has placed a traffic sign on the platform near where the doors will be when the tram stops causing a hazard for alighting passengers I have also reported this to I Leven - Check that sign moved and liase with contractor not to place signs on platforms </t>
  </si>
  <si>
    <t>Signage was removed by contractor on the day of the issue beuing raised</t>
  </si>
  <si>
    <t xml:space="preserve">Nigel Wragg </t>
  </si>
  <si>
    <t>2025-2026-124</t>
  </si>
  <si>
    <t>Hillsborough &amp; Rudyard Road - Man hole cover that the edges have badly deteriorated -Get Sheffield City Council fix please</t>
  </si>
  <si>
    <t xml:space="preserve">Item has been reported to Highways/SCC </t>
  </si>
  <si>
    <t>2025-2026-125</t>
  </si>
  <si>
    <t>City Hall inbound platform  - paving flags are uneven around the seating area and could cause a trip or slip - monitoring and future work to even out flags</t>
  </si>
  <si>
    <t>2025-2026-126</t>
  </si>
  <si>
    <t xml:space="preserve">Castle Square outbound - Blue tiles on shelter footings are cracked broken or missing possible hazard from sharp edges - remove replace cover </t>
  </si>
  <si>
    <t>2025-2026-127</t>
  </si>
  <si>
    <t>Hyde Park outbound platform - There is a gap and lip between the brown tactile paving that runs parrallel with the platform edge and the paving stabs on the outbound end of the platform causing a trip hazard</t>
  </si>
  <si>
    <t>2025-2026-128</t>
  </si>
  <si>
    <t xml:space="preserve">East Parade Quiet Room - Cables becoming frayed - relocating or new cables </t>
  </si>
  <si>
    <t>2025-2026-129</t>
  </si>
  <si>
    <t>Tram 108 - This tram needs a deepclean of the cabs  - 3 times this week I have driven this tram and been bitten on my arms by fleas/something absolutley sick of it.</t>
  </si>
  <si>
    <t>2025-2026-130</t>
  </si>
  <si>
    <t>Alsing Road junction with tram tracks give way stop lines - get Sheffield City Council to paint one please</t>
  </si>
  <si>
    <t>A Buckley has reporte to SCC online reporting forum AMEY101000898965</t>
  </si>
  <si>
    <t xml:space="preserve">Andrew Buckley </t>
  </si>
  <si>
    <t>2025-2026-131</t>
  </si>
  <si>
    <t>FLT driver observed whilst working safely travelling down the depot service road was noted they had forotten to put their seatbelt on as a positive intervention I reminded them about wearing a seatbelt - Most plant like this now have a green flashing light alongside the amber warning beacon to confirm that the driver is wearing seatbelt ad will also not allow movement of said plant until clink clicked howver this is open to abuse PI</t>
  </si>
  <si>
    <t>2025-2026-132</t>
  </si>
  <si>
    <t xml:space="preserve">Rockingham Street - Cars vans taxis parking up at the side of the road when a vehilce is coming down the road stopping at the lights  buses are struggling to make the turn up the street causing back end of bus been left out on West Street - make sure no parking and move stop line further back please </t>
  </si>
  <si>
    <t>To be picked up as part of MOU meeting, update requested 02.02.26</t>
  </si>
  <si>
    <t xml:space="preserve">Jake Ramsden </t>
  </si>
  <si>
    <t>2025-2026-133</t>
  </si>
  <si>
    <t xml:space="preserve">Nunnery Depot - We have drivers going through green and bars at road junctions (not ped crossings) with no conflicting movements and then reporting to OCC. This goes against procedure but is probably the most sensible course of action. However as they have gone against a bar without permission these instances are logged with CCTV, reports and SIBAS requested. This is creating work for OCC, DMs and SHEQ for investigations. It's also leaving a mark against the driver in their file and creating extra work for training. When drivers report this most of them say they've done this to not stop on a busy road and/or have cars under or overtake the tram, or so that pedestrians don't walk out thinking the tram has stopped for a red light with cars still passing. As a professional driver they have made a decision that is procedurally wrong but is the most common sense approach to a problem. The driver has worked through with caution on a green light as OCC would have instructed and then informed OCC. The driver hasn't tried to hide the fact they've gone through a green and bar but the driver faces investigation for reporting it to us. This could cause drivers to stop reporting these instances which is a far worse situation.
</t>
  </si>
  <si>
    <t>19/01/2026 It has been agreed that this action would need to include further depts - KHS was instructed by JK to ask DM to set up a meeting between the relevant parties to discuss further. Chased for response 02.02.26</t>
  </si>
  <si>
    <t>2025-2026-134</t>
  </si>
  <si>
    <t>RSM Worksjop - Depot Engineering - Near miss and positive intervention regarding heating contractor working on behalf of SYMCA - As per email 19th December 2025</t>
  </si>
  <si>
    <t>2025-2026-135</t>
  </si>
  <si>
    <t>From the gap analysis that has been conducted by the OCC Manager, they are to discuss their findings with the Head of Service Delivery for the feasibility of the additional communications resource requirement -this action has been raised following the closure of 2025-2026-55</t>
  </si>
  <si>
    <t>T Rotchell</t>
  </si>
  <si>
    <t>2025-2026-136</t>
  </si>
  <si>
    <t xml:space="preserve">On the left hand side of the outbound stop a wooden fence has been erected obstructing the view of both tram drivers and pedestrians on the pavement creating a dangerous situation situation when pedestrians attempt to run across the walkway to get to the inbound platform for a tram - Suggest
1 Remove the wooden fence
2 make it considerably smaller in height as to alllow drivers to see children/pedestrians that could potentially run across without looking due to rushing for the tram </t>
  </si>
  <si>
    <t xml:space="preserve">Matter is being adressed with the relevant external parties - a temporary chichnae has been put in place to guide pedestrians away from the fencing </t>
  </si>
  <si>
    <t xml:space="preserve">A Buckely </t>
  </si>
  <si>
    <t>2025-2026-137</t>
  </si>
  <si>
    <t>No heating at depot - comms?</t>
  </si>
  <si>
    <t>Matter was rectified within minutes of recieving the BOSRIA</t>
  </si>
  <si>
    <t>2506-03</t>
  </si>
  <si>
    <t>2025-2026-138</t>
  </si>
  <si>
    <t>Toolbox Talk to be carried out highlighting the need to use the correct available tooling for carrying out the task.</t>
  </si>
  <si>
    <t>2509-13</t>
  </si>
  <si>
    <t>2025-2026-139</t>
  </si>
  <si>
    <t xml:space="preserve">Contractors to be made aware that all walkways must always be kept clear </t>
  </si>
  <si>
    <t>FACILITIES</t>
  </si>
  <si>
    <t>THe contractors at the time of the incident had re briefed their teams and sub-contractors, and there were no other reported instances after the STF.  This was reported at the time if the incident to the SYMCA Safety Manager, who took this directly to the Principla Contarctor Zitron. The incdeint was investigated by the  SYFTL Faciliities Manager.  There are no other required actions and this can beed deemed as closed, by the Head of SHEQ</t>
  </si>
  <si>
    <t>2025-2026-140</t>
  </si>
  <si>
    <t>Fitzalan outbound - Carried out safety inspection this morning on behalf of safety reps - noticed excessive cigarette butts on the floor around bind that need grabbing but will likely get picked up on the regular cleaning visit metinoed informally to FAC everything else ok</t>
  </si>
  <si>
    <t>A Buckley</t>
  </si>
  <si>
    <t>2025-2026-141</t>
  </si>
  <si>
    <t>RSM workshop - depot engineering - near miss and positive intervention regarding heating contractor working on behalf of SYMCA-</t>
  </si>
  <si>
    <t>2025-2026-142</t>
  </si>
  <si>
    <t>Some staff have concerns over the posibilities of certain visitor behaviour at the new reception desk  - Suggest make the main door a staff fob door also if desk to be manned during usual office hours with button for receptionist to also admit visitors at request etc</t>
  </si>
  <si>
    <t>2025-2026-143</t>
  </si>
  <si>
    <t>Network wide - potholes are a major issue as the moment across the network it is understood by SHEQ team that temporary repairs are completed on the report of such a defect - however only tarmac fill can be used which is in most circumstances is ineffective and futile for the main reasons it is not a material that adheres east concrete - a hole can be filled an literally washed out two hours later - full  permemnant repairs can only be done by a partnering contractor during out  of service with the appropriate weather and traffic management becaue of this there could be a long lead time waiting for high risk potholes to be filled - the business is currently recieveing a high level of of successful public vehicle damage claims not to mention the high risk to pedestrian falls etc in addition sterling lloyd used as a substitute is also not suitable as not designed for filling potholes - Suggest having done some qualitive research onlie i wander if the business has ever or would consider trailling DEGAFILL for temporary repairs Details: https://degafill.com/
Success stories: https://www.bedfordtoday.co.uk/business/fix-and-forget-could-permanent-pothole-repair-be-the-soluti
on-to-councils-pothole-problem-5059501
If such a trial should arise, all work should be undertaken with the correct information, instruction and training.</t>
  </si>
  <si>
    <t>2025-2026-144</t>
  </si>
  <si>
    <t xml:space="preserve">Nunnery Depot - Noticed door mats being beaten for cleaning outside on a walkway creating a lot of hazardous airbourne dust  - Suggest consider the risk assesment and ensure that cleaners are provided with the appropriate and maintained equipment for the work required such as inductial vacum wet cleaning equipment and or consider sending mats for launder </t>
  </si>
  <si>
    <t>2025-2026-145</t>
  </si>
  <si>
    <t>Nunnery Depot - Noticed some infra staff struggilng with half tonne roll of cable due to no suitable equipment available to assisit with moving  - they were struggling to handle the item - Suggest - consider the risk assesment and suitable equipment available on the UK market</t>
  </si>
  <si>
    <t>P Hunt</t>
  </si>
  <si>
    <t>2510-36</t>
  </si>
  <si>
    <t>2025-2026-146</t>
  </si>
  <si>
    <t xml:space="preserve">RSM Tech to ensure correct fitment of socket onto bolted head going forward </t>
  </si>
  <si>
    <t>D Hallam</t>
  </si>
  <si>
    <t>2508-47</t>
  </si>
  <si>
    <t>2025-2026-147</t>
  </si>
  <si>
    <t xml:space="preserve">Brief out the incident to al Aps as a learning point regarding the tick sheet and what to do in a similar situation </t>
  </si>
  <si>
    <t>2025-2026-148</t>
  </si>
  <si>
    <t>2025-2026-149</t>
  </si>
  <si>
    <t>2025-2026-150</t>
  </si>
  <si>
    <t>2025-2026-151</t>
  </si>
  <si>
    <t>2025-2026-152</t>
  </si>
  <si>
    <t>2025-2026-153</t>
  </si>
  <si>
    <t>2025-2026-154</t>
  </si>
  <si>
    <t>2025-2026-155</t>
  </si>
  <si>
    <t>2025-2026-156</t>
  </si>
  <si>
    <t>2025-2026-157</t>
  </si>
  <si>
    <t>2025-2026-158</t>
  </si>
  <si>
    <t>2025-2026-159</t>
  </si>
  <si>
    <t>2025-2026-160</t>
  </si>
  <si>
    <t>2025-2026-161</t>
  </si>
  <si>
    <t>2025-2026-162</t>
  </si>
  <si>
    <t>2025-2026-163</t>
  </si>
  <si>
    <t>2025-2026-164</t>
  </si>
  <si>
    <t>2025-2026-165</t>
  </si>
  <si>
    <t>2025-2026-166</t>
  </si>
  <si>
    <t>2025-2026-167</t>
  </si>
  <si>
    <t>2025-2026-168</t>
  </si>
  <si>
    <t>2025-2026-169</t>
  </si>
  <si>
    <t>2025-2026-170</t>
  </si>
  <si>
    <t>2025-2026-171</t>
  </si>
  <si>
    <t>2025-2026-172</t>
  </si>
  <si>
    <t>2025-2026-173</t>
  </si>
  <si>
    <t>2025-2026-174</t>
  </si>
  <si>
    <t>2025-2026-175</t>
  </si>
  <si>
    <t>2025-2026-176</t>
  </si>
  <si>
    <t>2025-2026-177</t>
  </si>
  <si>
    <t>2025-2026-178</t>
  </si>
  <si>
    <t>2025-2026-179</t>
  </si>
  <si>
    <t>2025-2026-180</t>
  </si>
  <si>
    <t>2025-2026-181</t>
  </si>
  <si>
    <t>2025-2026-182</t>
  </si>
  <si>
    <t>2025-2026-183</t>
  </si>
  <si>
    <t>2025-2026-184</t>
  </si>
  <si>
    <t>2025-2026-185</t>
  </si>
  <si>
    <t>2025-2026-186</t>
  </si>
  <si>
    <t>2025-2026-187</t>
  </si>
  <si>
    <t>2025-2026-188</t>
  </si>
  <si>
    <t>2025-2026-189</t>
  </si>
  <si>
    <t>2025-2026-190</t>
  </si>
  <si>
    <t>2025-2026-191</t>
  </si>
  <si>
    <t>2025-2026-192</t>
  </si>
  <si>
    <t>2025-2026-193</t>
  </si>
  <si>
    <t>2025-2026-194</t>
  </si>
  <si>
    <t>2025-2026-195</t>
  </si>
  <si>
    <t>2025-2026-196</t>
  </si>
  <si>
    <t>2025-2026-197</t>
  </si>
  <si>
    <t>2025-2026-198</t>
  </si>
  <si>
    <t>2025-2026-199</t>
  </si>
  <si>
    <t>2025-2026-200</t>
  </si>
  <si>
    <t>2025-2026-201</t>
  </si>
  <si>
    <t>2025-2026-202</t>
  </si>
  <si>
    <t>2025-2026-203</t>
  </si>
  <si>
    <t>2025-2026-204</t>
  </si>
  <si>
    <t>2025-2026-205</t>
  </si>
  <si>
    <t>2025-2026-206</t>
  </si>
  <si>
    <t>2025-2026-207</t>
  </si>
  <si>
    <t>2025-2026-208</t>
  </si>
  <si>
    <t>2025-2026-209</t>
  </si>
  <si>
    <t>2025-2026-210</t>
  </si>
  <si>
    <t>2025-2026-211</t>
  </si>
  <si>
    <t>2025-2026-212</t>
  </si>
  <si>
    <t>2025-2026-213</t>
  </si>
  <si>
    <t>2025-2026-214</t>
  </si>
  <si>
    <t>2025-2026-215</t>
  </si>
  <si>
    <t>2025-2026-216</t>
  </si>
  <si>
    <t>2025-2026-217</t>
  </si>
  <si>
    <t>2025-2026-218</t>
  </si>
  <si>
    <t>2025-2026-219</t>
  </si>
  <si>
    <t>2025-2026-220</t>
  </si>
  <si>
    <t>2025-2026-221</t>
  </si>
  <si>
    <t>2025-2026-222</t>
  </si>
  <si>
    <t>2025-2026-223</t>
  </si>
  <si>
    <t>2025-2026-224</t>
  </si>
  <si>
    <t>2025-2026-225</t>
  </si>
  <si>
    <t>2025-2026-226</t>
  </si>
  <si>
    <t>2025-2026-227</t>
  </si>
  <si>
    <t>2025-2026-228</t>
  </si>
  <si>
    <t>2025-2026-229</t>
  </si>
  <si>
    <t>2025-2026-230</t>
  </si>
  <si>
    <t>2025-2026-231</t>
  </si>
  <si>
    <t>2025-2026-232</t>
  </si>
  <si>
    <t>2025-2026-233</t>
  </si>
  <si>
    <t>2025-2026-234</t>
  </si>
  <si>
    <t>2025-2026-235</t>
  </si>
  <si>
    <t>2025-2026-236</t>
  </si>
  <si>
    <t>2025-2026-237</t>
  </si>
  <si>
    <t>2025-2026-238</t>
  </si>
  <si>
    <t>2025-2026-239</t>
  </si>
  <si>
    <t>2025-2026-240</t>
  </si>
  <si>
    <t>2025-2026-241</t>
  </si>
  <si>
    <t>2025-2026-242</t>
  </si>
  <si>
    <t>2025-2026-243</t>
  </si>
  <si>
    <t>2025-2026-244</t>
  </si>
  <si>
    <t>2025-2026-245</t>
  </si>
  <si>
    <t>2025-2026-246</t>
  </si>
  <si>
    <t>2025-2026-247</t>
  </si>
  <si>
    <t>2025-2026-248</t>
  </si>
  <si>
    <t>2025-2026-249</t>
  </si>
  <si>
    <t>2025-2026-250</t>
  </si>
  <si>
    <t>2025-2026-251</t>
  </si>
  <si>
    <t>2025-2026-252</t>
  </si>
  <si>
    <t>2025-2026-253</t>
  </si>
  <si>
    <t>2025-2026-254</t>
  </si>
  <si>
    <t>2025-2026-255</t>
  </si>
  <si>
    <t>2025-2026-256</t>
  </si>
  <si>
    <t>2025-2026-257</t>
  </si>
  <si>
    <t>2025-2026-258</t>
  </si>
  <si>
    <t>2025-2026-259</t>
  </si>
  <si>
    <t>2025-2026-260</t>
  </si>
  <si>
    <t>2025-2026-261</t>
  </si>
  <si>
    <t>2025-2026-262</t>
  </si>
  <si>
    <t>2025-2026-263</t>
  </si>
  <si>
    <t>2025-2026-264</t>
  </si>
  <si>
    <t>2025-2026-265</t>
  </si>
  <si>
    <t>2025-2026-266</t>
  </si>
  <si>
    <t>2025-2026-267</t>
  </si>
  <si>
    <t>2025-2026-268</t>
  </si>
  <si>
    <t>2025-2026-269</t>
  </si>
  <si>
    <t>2025-2026-270</t>
  </si>
  <si>
    <t>2025-2026-271</t>
  </si>
  <si>
    <t>2025-2026-272</t>
  </si>
  <si>
    <t>2025-2026-273</t>
  </si>
  <si>
    <t>2025-2026-274</t>
  </si>
  <si>
    <t>2025-2026-275</t>
  </si>
  <si>
    <t>2025-2026-276</t>
  </si>
  <si>
    <t>Incident</t>
  </si>
  <si>
    <t>Direction of Travel</t>
  </si>
  <si>
    <t>Staff No</t>
  </si>
  <si>
    <t>RIDDOR/SMIS</t>
  </si>
  <si>
    <t>Initial Report Received?</t>
  </si>
  <si>
    <t>Function if Staff Accident or Assault (CS or Eng)</t>
  </si>
  <si>
    <t xml:space="preserve">Underlying Cause </t>
  </si>
  <si>
    <t>Driver Contributory Factor</t>
  </si>
  <si>
    <t>Lan &amp; Lon</t>
  </si>
  <si>
    <t>Column1</t>
  </si>
  <si>
    <t>Citylink or Siemens</t>
  </si>
  <si>
    <t>2309-46</t>
  </si>
  <si>
    <t>Parkgate</t>
  </si>
  <si>
    <t>11:30 S GALLOWAY 2 02/01/2024 INCIDENT CONDUCTOR D.THOMPSON (8501823) DUTY R2 REPORTED ON HIS BREAK TO OCC, A VERBAL ALTERCATION / ABUSE FROM A PASSENGER BETWEEN PARKGATE AND ROTHERHAM CENTRAL FROM APPROX 09:30 ONBOARD TRAM 205. REPORT AND CCTV REQUESTED. DM R.BRIDGES INFORMED.</t>
  </si>
  <si>
    <t>No</t>
  </si>
  <si>
    <t>Yes</t>
  </si>
  <si>
    <t xml:space="preserve">Passenger swearing at conductor </t>
  </si>
  <si>
    <t xml:space="preserve">Malicious behaviour /attempt to fare evade </t>
  </si>
  <si>
    <t xml:space="preserve">None </t>
  </si>
  <si>
    <t>Incident was reported to OCC</t>
  </si>
  <si>
    <t>2309-47</t>
  </si>
  <si>
    <t xml:space="preserve">University </t>
  </si>
  <si>
    <t>16:05 J WILKS 479 02/01/2024 INCIDENT DRV C MORRISON (41395) REPORTS FROM T118 AT UOS THE CONDUCTOR HAS BEEN THREATENED BY A PASSENGER. DM R WILD AWARE CCTV AND REPORTS REQUESTED. EV/2024/00086</t>
  </si>
  <si>
    <t>Passenger refusing to pay</t>
  </si>
  <si>
    <t>No means to pay</t>
  </si>
  <si>
    <t>POINT (-1.4840641 53.3807511)</t>
  </si>
  <si>
    <t xml:space="preserve">Conductor walked away driver reported the incident once aware </t>
  </si>
  <si>
    <t>2309-48</t>
  </si>
  <si>
    <t>Depot</t>
  </si>
  <si>
    <t>18:53 J WILKS 479 02/01/2024 INCIDENT DRV D SIMPSON (377) WRONG CODE TO ENTER DEPOT. POINTS DW1 HAND OPERATED TO GET DETECTION. DW1 POINTS ALARM/FAIL INFRA TO ATTEND. EV/2024/00087</t>
  </si>
  <si>
    <t xml:space="preserve">Incorrect VIS code </t>
  </si>
  <si>
    <t xml:space="preserve">Driver error </t>
  </si>
  <si>
    <t xml:space="preserve">The driver stopped and informed OCC </t>
  </si>
  <si>
    <t>2309-49</t>
  </si>
  <si>
    <t>Moss Way</t>
  </si>
  <si>
    <t>I/B</t>
  </si>
  <si>
    <t>11:22 J LAVER 792 03/01/2024 INCIDENT DRV OF T108 J LEGGETT (8504143) REPORTED NEAR MISS MOW I/B CAR CAME THROUGH RED LIGHT (REG YR14 DCE) TRACK BRAKE APPLIED. NO INJURIES REPORTED AT THE TIME. CCTV, REPORT AND SIBAS REQUESTED TACT 147964. EV/2024/00088</t>
  </si>
  <si>
    <t xml:space="preserve">Car going through a redlight </t>
  </si>
  <si>
    <t xml:space="preserve">Car driver not paying attention </t>
  </si>
  <si>
    <t>POINT (-1.3626489 53.3421838)</t>
  </si>
  <si>
    <t xml:space="preserve">Driver infomrc OOC of thr incident </t>
  </si>
  <si>
    <t>2309-50</t>
  </si>
  <si>
    <t>Anti -social behaviour</t>
  </si>
  <si>
    <t xml:space="preserve">Park Square </t>
  </si>
  <si>
    <t>16:55 S COLLINS 406 03/01/2024 INCIDENT DRIVER D.WILLEY (426) ON T103 REPORTS HAVING A LASER PEN SHONE AT HER FROM THE FLATS AS SHE PASSED PARK SQUARE VIADUCT. NEXT TRAMS ADVISED BUT NO FURTHER INCIDENTS. EV/2024/00089</t>
  </si>
  <si>
    <t>Cathedral</t>
  </si>
  <si>
    <t>O/B</t>
  </si>
  <si>
    <t>07:45 S GALLOWAY 2 04/01/2024 INCIDENT DRIVER J.LEGGETT (8504143) TRAM 115 REPORTS A NEAR MISS WITH A CAR AS THE TRAM LEFT CATHEDRAL O/B. TRACK BRAKE APPLIED, NO INJURIES REPORTED. CCTV REQUESTED. EV/2024/00090</t>
  </si>
  <si>
    <t xml:space="preserve">Car driver rushing </t>
  </si>
  <si>
    <t xml:space="preserve">Car driver not stopping and giving way </t>
  </si>
  <si>
    <t>POINT (-1.4690354 53.3825278)</t>
  </si>
  <si>
    <t xml:space="preserve">Driver informs OCC as soon as possible </t>
  </si>
  <si>
    <t>2309-53</t>
  </si>
  <si>
    <t>Middlewood</t>
  </si>
  <si>
    <t>13:45 S SLOUGH 7 05/01/2024 RSM TRAM 115 REPORTED CAR HITTING REAR OF TRAM OFFSIDE, CAR DID NOT STOP. NO INJURIES ON TRAM, SCUFF MARK AROUND CAB 1 STEP AREA, BETWEEN MID AND LEL INBOUND. XVPLUS 148025, SIBAS 148026. CCTV REQUESTED. EV/2024/00091</t>
  </si>
  <si>
    <t>2309-54</t>
  </si>
  <si>
    <t>Attercliffe</t>
  </si>
  <si>
    <t>18:15 P BELL 59 05/01/2024 ROUTINE DVR G LILLEY 625 REPORTS FROM TRAM 102 AT ATT I/B A CAR RAN A RED LIGHT NO EVASIVE ACTION REQUIRED .</t>
  </si>
  <si>
    <t>POINT (-1.4297603 53.3923393)</t>
  </si>
  <si>
    <t>2309-55</t>
  </si>
  <si>
    <t>Arena</t>
  </si>
  <si>
    <t>TIM ENTBY DAT CAT ID 16:50 S GALLOWAY 2 06/01/2024 OTHER DRIVER A.WATSON (037) TRAM 206 REPORTED TO OCC THAT WHILST HAND OPERATING ARENA POINTS A2 FOR THE CROSSOVER AT APPROX 16:35. HE FELL. NO INJURIES REPORTED. DM R.BRIDGES WAS NOTIFIED. CCTV AND REPORT REQUESTED. EV/2024/00092</t>
  </si>
  <si>
    <t xml:space="preserve">Points A2 at Arena difficult to operate </t>
  </si>
  <si>
    <t>Points bar come out of socket</t>
  </si>
  <si>
    <t>POINT (-1.4203931 53.3982423)</t>
  </si>
  <si>
    <t xml:space="preserve">The driver contacted OCC and reported the incident no injuries reported of medical assitance required </t>
  </si>
  <si>
    <t>2309-56</t>
  </si>
  <si>
    <t>17:50 S GALLOWAY 2 06/01/2024 INCIDENT DRIVER S.PHILLIPS (169) TRAM 123 REPORTED A FEMALE PASSENGER APPROACHED THE CREW AT HALFWAY AND SAID SHE HAD FALLEN AS THE TRAM DEPARTED CATHEDRAL I/B AT 17:09 AND HAD HURT HER BACK. DETAILS OBTAINED. CCTV REQUESTED. DM R.BRIDGES INFORMED FOR A REPORT. EV/2024/00093</t>
  </si>
  <si>
    <t>Passenger standing on steps to centre section</t>
  </si>
  <si>
    <t xml:space="preserve">Tram setting off from stop </t>
  </si>
  <si>
    <t>Once being made aware of the incident the driver reported to OCC - no medical assistance was called for but details were obtained</t>
  </si>
  <si>
    <t>2309-57</t>
  </si>
  <si>
    <t>Spring Lane</t>
  </si>
  <si>
    <t>17:55 S GALLOWAY 2 06/01/2024 INCIDENT DRIVER G.LILLEY (625) TRAM 124 AT SPRING LANE INBOUND REPORTED THAT AN OBJECT WAS THROWN AT THE TRAM. NO DAMAGE REPORTED. CCTV REQUESTED. SYP NOTIFIED VIA ONLINE PORTAL.EV/2024/00094</t>
  </si>
  <si>
    <t>POINT (-1.4386838 53.3663194)</t>
  </si>
  <si>
    <t>2309-58</t>
  </si>
  <si>
    <t>Shirland Lane</t>
  </si>
  <si>
    <t>23:02 S EYRE 103 06/01/2024 INCIDENT DRIVER M.KELLY (8503165) T106, REPORTED BEING INVOLVED IN A RTC WITH CAR AT SHIRLAND LANE I/B, AMBULANCE REQUEST FOR A PASSENGER IN THE CAR , NO INJURIES REPORTED TO PASSENGERS OR STAFF ON THE TRAM. POLICE AND FIRE SERVICE ALSO CONTACTED TO ATTEND. EV/2024/00095</t>
  </si>
  <si>
    <t>3rd Party vehicle going through a red light</t>
  </si>
  <si>
    <t xml:space="preserve">3rd Party driver not using observations </t>
  </si>
  <si>
    <t xml:space="preserve">A call was made to OCC and emergency services were called to the scene </t>
  </si>
  <si>
    <t>2310-01</t>
  </si>
  <si>
    <t>Infirmary Road</t>
  </si>
  <si>
    <t>10:48 S SLOUGH 7 07/01/2024 INCIDENT TRAM 102, C HEATH(77329) REPORTED TRACK BRAKE APPLICATION WATERY STREET INBOUND. CONDUCTOR D CLARK(74332) FELL, POSSIBLY INJURED ARM, BOTH RELIEVED AT CAS. REPORT, CCTV AND SIBAS REEQUESTED. XVPLUS148069. EV/2024/00096</t>
  </si>
  <si>
    <t xml:space="preserve">Tram driver used hazard brake </t>
  </si>
  <si>
    <t>Van pulling into trams swept path</t>
  </si>
  <si>
    <t>POINT (-1.4828582 53.3910359)</t>
  </si>
  <si>
    <t xml:space="preserve">The driver reported the incident to OCC no medical assistance was called for at the time but the conductor subsequently went to the walk in centre </t>
  </si>
  <si>
    <t>2310-02</t>
  </si>
  <si>
    <t>Woodbourn Road</t>
  </si>
  <si>
    <t>02:11 J RAMSDEN 463 08/01/2024 INCIDENT SYP REPORTED TO OCC CAR ON TRACKS WOR AREA. OCC S. EYRE TO ATTEND. 02:13 INFRA C. BOTTOMS AT SCENE REPORTED CAR ON TRACKS AT WOR HILL AND RECOVERY REQUIRED. QUICK MISSION CONTACTED AND TO ATTEND.</t>
  </si>
  <si>
    <t>POINT (-1.4345522 53.3888617)</t>
  </si>
  <si>
    <t>2310-03</t>
  </si>
  <si>
    <t>Herdings Leighton Road</t>
  </si>
  <si>
    <t>13:35 S EYRE 103 09/01/2024 INCIDENT DRIVER S GREEN (58403) T123, REPORTED A PASSENGER HAD FALLEN ON THE WALKWAY AT THE O/B END OF THE HLR TRAMSTOP.THE PASSENGER HAD A CUT TO HER LEG BUT NEEDED NO MEDICAL ATTENTION AT THE TIME.CCTV REQUESTED. CONT: 13:35 S EYRE 103 09/01/2024 INCIDENT CONT: INF ALSO INFORMED TO CHECK FOR A POSSIBLE TRIPPING HAZARD ON THE WALKWAY. TACT 148110. EV/2024/00131</t>
  </si>
  <si>
    <t>POINT (-1.4324712 53.3424608)</t>
  </si>
  <si>
    <t>2310-04</t>
  </si>
  <si>
    <t>St Phillips Road</t>
  </si>
  <si>
    <t>17:50 M TOWNSLEY 3 09/01/2024 INCIDENT DRV C LOWREY (8509438) REPORTED NEAR MISS AT ST PHILLIPS RD I/B NEAR SHA. TRACK BRAKE USED. NO INJURIES REPORTED. CCTV AND SIBAS REQUESTED.TACT 148117. EV/2024/00132</t>
  </si>
  <si>
    <t>Email fro Rwild - CCTV has been veiwed deemed as info only 05/02/02024</t>
  </si>
  <si>
    <t>2310-05</t>
  </si>
  <si>
    <t>16:00 S COLLINS 406 10/01/2024 INCIDENT CONDUCTOR K.SKRODZKI ON T104 REPORTING HE HAS BEEN ASSAULTED BY A PASSENGER AT WOR O/B. PASSENGER NOW OFF TRAM. CCTV AND REPORT REQUESTED. WILL BE GIVEN OPPORTUNITY TO REPORT TO SYP VIA ONLINE PORTAL THROUGH DM @ CAS. 17:32 S COLLINS 406 10/01/2024 ABSENCE FOLLOWING EARLIER INCIDENT, K.SKRODZKI UNABLE TO CONTINUE DUTY. WILL RESUME FOR SHIFT TOMORROW. DM N.WYBRANT AWARE. EV/2024/00133</t>
  </si>
  <si>
    <t>2310-06</t>
  </si>
  <si>
    <t>Hyde Park</t>
  </si>
  <si>
    <t>22:56 D READ 325 10/01/2024 INCIDENT DRV C LOWREY (8509438) ON T113 REPORTED A PERSON HAD SHONE A LASER PEN TOWARDS THE CAB IN THE AREA OF HYP TRAMSTOP. OTHER DRIVERS IN THE AREA ADVISED. EV/2024/00134</t>
  </si>
  <si>
    <t>POINT (-1.4524813 53.3846553)</t>
  </si>
  <si>
    <t>2310-07</t>
  </si>
  <si>
    <t>Nunnery Depot</t>
  </si>
  <si>
    <t>07:46 J LAVER 792 11/01/2024 INCIDENT G SEABORN REPORTED TO OCC THAT THE WINDOW AT THE SIDE OF THE STORES EXTERNAL/DELIVERY DOOR HAS BEEN SMASHED. TACT 148171. EV/2024/00135</t>
  </si>
  <si>
    <t>2310-08</t>
  </si>
  <si>
    <t xml:space="preserve">Depot West </t>
  </si>
  <si>
    <t>10:48 J LAVER 792 11/01/2024 INCIDENT SECURITY BREACH DEPOT WEST GATES. THESE GATES WERE OPEN FOR DRIVER TRG. THE MICROWAVE WAS TRIGGERED AND A MALE WAS SEEN COMING THROUGH THE GATES. I INTERCEPTED THE MALE AND ESCORTED HIM OFF THE PREMISES. EV/2024/00136</t>
  </si>
  <si>
    <t>2310-09</t>
  </si>
  <si>
    <t>17:22 S COLLINS 406 12/01/2024 INCIDENT 1 LARGE GLASS PANEL SMASHED HYP O/B TRAMSTOP. REPORTED TO SHEFFIELD INTERCHANGE. TOWNHALL CCTV CAMERA FACING OTHER WAY AND NO TRAM SAW HOW IT OCCURRED.</t>
  </si>
  <si>
    <t>2310-10</t>
  </si>
  <si>
    <t>Sheffield Station</t>
  </si>
  <si>
    <t>09:05 S GALLOWAY 2 13/01/2024 RSM DRIVER D.LONG (063) TRAM 206 AT SHEFFIELD STATION I/B REPORTS BRAKING ISSUES, DETRAINED AT SHEFFIELD STATION, RETURN TO DEPOT. RSM INFORMED WITH DETAILS.. TACT 148260.</t>
  </si>
  <si>
    <t>POINT (-1.4612656 53.3779325)</t>
  </si>
  <si>
    <t xml:space="preserve">Driver reports braking issue Norton avenue and park grange road inbound, driver reports tram not braking as should. Inspected all brake pads, brake discs, hydraulic pipes, hydraulic oil levels and all okay. Checked BCU’s and no codes logged. Checked sanders and all sanders blocked with wet sand. Cleared sanders but sander on axle 7 near side and axle 5 near side unable to clear blocked sand pipes. Replaced both sanders and now all sanders working. Whilst cleaning sanders and checking brakes found axle 8 off side earth return cable broken. Stripped cable back carried out a temporary repair and now okay. Took tram on mainline brake trials downloaded data extracted brake trials data put onto program and tram passed brake trials. Requested tram to be ran down neatherthorpe. OCC said they would take tram once early run in trams have come back onto depot. </t>
  </si>
  <si>
    <t>2310-11</t>
  </si>
  <si>
    <t>Hillsborough Park</t>
  </si>
  <si>
    <t>09:36 S GALLOWAY 2 13/01/2024 INCIDENT EMERGENCY CALL FROM DRIVER C.LOWERY (8509438) TRAM 125 REPORTS MINOR RTC WITH A PARKED CAR BETWEEN HIP-HIL. MINOR SCUFF DAMAGE TO TRAM (NEARSIDE) AND CAR, NO INJURIES REPORTED. TACT 148263. DM J.CAWTHORN INFORMED. REPORT AND CCTV REQUESTED. SIBAS 148264. EV/2024/00161</t>
  </si>
  <si>
    <t xml:space="preserve">Other vehicle fouling trams swept path </t>
  </si>
  <si>
    <t xml:space="preserve">Misjudment on part of tram driver </t>
  </si>
  <si>
    <t>POINT (-1.5036255 53.4043912)</t>
  </si>
  <si>
    <t xml:space="preserve">The driver reported the collision to OCC no injuries were reported in either vehicle details were exchanged </t>
  </si>
  <si>
    <t>2310-12</t>
  </si>
  <si>
    <t>12:36 J RAMSDEN 463 14/01/2024 OTHER T106 J. LEGGETT (8504143) REPORTED TRAM SLID THROUGH INR I/B TRAM STOP DUE TO LRA. DRIVER REPORTED TRAM SLIPPING AT VARIOUS LOCATIONS. RSM ADVISED AND TRAM TO BE REPLACED. CCTV, SIBAS AND REPORTS REQUESTED. SIBAS: 148303. CLEANERS INFORMED AND TO ATTEND. EV/2024/00162</t>
  </si>
  <si>
    <t>Tram driver passed signal at bar at the Infirmary Road/Bedford Street Junction</t>
  </si>
  <si>
    <t>The tram was found to have sandbox no 8 blocked due to wet sand, also datums 2,6 and 8 were out of tolerance datums 6 and 8 were also  seized - driver failed to recognise the LRT aspect was at bar</t>
  </si>
  <si>
    <t>Driver reported sliding through tram sto at INR I/b, driver reported unable to stop. Sand boxes reported to be full apart from one sand box. Checked mems and nothing logged at time of fault. Inspected all brake pads and discs and all ok. Inspected datums and found datums on axles 2, 6 and 8 out of tolerance. Hunted high and low for the datum adjusting spanner but unable to locate. Managed to free off datums on axle 6 and 8 due to being seized. Reset datums carried out several brake test and all ok. Checked sanders and found sander 8 blocked due to wet sand. Cleared sander and all sanders now working. Took tram out for main line brake trials and all ok. As a proactive measure requested tram to be taken down neatherthorpe and driver reported all ok.</t>
  </si>
  <si>
    <t>2310-13</t>
  </si>
  <si>
    <t>Passenger  on Passenger Assault</t>
  </si>
  <si>
    <t>07:15 S SLOUGH 7 15/01/2024 INCIDENT TRAM 117 REPORTED A PASSENGER ON PASSENGER ALTERCATION AT ATT INBOUND, AN OFF-DUTY POLICE OFFICER DEALT WITH SITUATION.</t>
  </si>
  <si>
    <t>2310-14</t>
  </si>
  <si>
    <t>14:57 S GALLOWAY 2 15/01/2024 INCIDENT DRIVER C.BRADBURY (568) TRAM 112 AT MIDDLEWOOD, CAT A DOOR FAULT DUE TO A WALKING STICK CURRENTLY JAMMED IN DOOR 5. IT TRANSPIRED THIS HAPPENED AT SHALESMOOR O/B AT APPROX 14:35. DOOR ISOLATED, STICK REMOVED AND TRAM MOVED IN TO END SECTION. TACT 148343. 15:00 S GALLOWAY 2 15/01/2024 INCIDENT DM R.WILD INFORMED OF THIS INCIDENT. RSM ADVISED. TRAM RETURNED TO DEPOT. CCTV AND REPORTS REQUESTED.</t>
  </si>
  <si>
    <t>POINT (-1.5101582 53.4158745)</t>
  </si>
  <si>
    <t>Email from Sgalloway 18/01/2024 - the stick owner had stood stick up. When tram has got to NER (wrong side open), the stick has got caught in door from inside and caused a CAT A door, driver has gone down with conductor at SHA and checked every door, but could not see any issues. They checked every door by pushing and pulling.
Its only when the y get to MID (wrong side door open) that they have then had an issue with door not opening.
Just one of those freakish incidents, caused by passenger. She didn't report it at time, and this has now been picked up with her already.</t>
  </si>
  <si>
    <t>Leppings Lane</t>
  </si>
  <si>
    <t>15:09 S GALLOWAY 2 15/01/2024 INCIDENT DRIVER A.JEFF (548) TRAM 110 REPORTS MINOR RTC WITH A CAR JUST PRIOR TO LEPPINGS LANE I/B. NO INJURIES REPORTED, CAR HIT TRAM OFFSIDE. RSM ADVISED. TACT 148339 / 148340 (SIBAS). CCTV AND REPORT REQUESTED. DM R.WILD INFORMED. 15:15 S GALLOWAY 2 15/01/2024 INCIDENT DRIVER A.JEFF (548) REPORTS THE CAR CANNOT MOVE. YELLOW ROUTE TO DIVERT TO MALIN BRIDGE. INFRASTRUCTURE TO SITE. ONCALL ADVISED OF SITUATION. TIM ENTBY DAT CAT ID 15:28 S GALLOWAY 2 15/01/2024 INCIDENT DRIVER A.JEFF (548) REPORTS THE CAR HAS DRIVEN OFF. POLICE ALSO HAD ARRIVED ON SITE. TRAM MOVING AFTER OCC LIAISED WITH RSM REGARDING PANEL DAMAGE. EV/2024/00163</t>
  </si>
  <si>
    <t xml:space="preserve">Car driver over the central line </t>
  </si>
  <si>
    <t xml:space="preserve">Driver awareness </t>
  </si>
  <si>
    <t>POINT (-1.50407 53.4098457)</t>
  </si>
  <si>
    <t xml:space="preserve">Driver stops and reports to OCC immediately and exchnages details with the car driver </t>
  </si>
  <si>
    <t>2310-16</t>
  </si>
  <si>
    <t>Birley Lane</t>
  </si>
  <si>
    <t>15:11 S GALLOWAY 2 15/01/2024 INCIDENT DRIVER D.SIMPSON (377) TRAM 114 AT HOLLINSEND I/B REPORTS A FIGHT ONBOARD BETWEEN SCHOOL YOUTHS FROM BIRLEY LANE TO WHITE LANE. CCTV AND REPORT REQUESTED. DM R.WILD INFORMED.</t>
  </si>
  <si>
    <t>POINT (-1.3995771 53.3403771)</t>
  </si>
  <si>
    <t>2310-17</t>
  </si>
  <si>
    <t>Middlewood Road</t>
  </si>
  <si>
    <t>06:45 P HUCKNALL 25 16/01/2024 INCIDENT DRIVER J WILKS (479) ON TRAM 106 REPORTED HAVING A PEDESTRIAN LAID IN THETRACKS ON MID RD O/B AND AN AMBULANCE IS IN ATTENDANACE.</t>
  </si>
  <si>
    <t>2310-19</t>
  </si>
  <si>
    <t>TIM ENTBY DAT CAT ID 15:38 S GALLOWAY 2 17/01/2024 OTHER DRIVER J.BONNINGTON (55272) TRAM 501 REPORTS A YOUTH PLACING BALLAST IN A BUCKET AT SHIRLAND LANE. CCTV CAMERAS CHECKED - NOTHING SEEN. INFRASTRUCTURE TO CHECK. TACT 148402</t>
  </si>
  <si>
    <t>2310-20</t>
  </si>
  <si>
    <t xml:space="preserve">White Lane </t>
  </si>
  <si>
    <t>TIM ENTBY DAT CAT ID 17:47 S GALLOWAY 2 17/01/2024 INCIDENT DRIVER C. ALEXANDER- MORRISON (41395) TRAM 103 REPORTED A NEAR MISS WITH A FIRST BUS WHILST TRAVELLING ALONG WHITE LANE I/B. TRACK BRAKE APPLIED, NO INJURIES REPORTED. CCTV / SIBAS REQUESTED. TACT 148407. EV/2024/00249</t>
  </si>
  <si>
    <t>Bus not waiting</t>
  </si>
  <si>
    <t xml:space="preserve">Bus driver misjudging safe distance </t>
  </si>
  <si>
    <t>POINT (-1.4199708 53.3430296)</t>
  </si>
  <si>
    <t xml:space="preserve">Driver reported the incident to OCC </t>
  </si>
  <si>
    <t>2310-21</t>
  </si>
  <si>
    <t>12:07 P HUCKNALL 25 18/01/2024 INCIDENT DRIVER P GILLOT ON TRAM 114 REPORTED A FEMALE PEDESTRIAN LAID IN THE I/B TRACK ON MID RD JUST PRIOR TO HIP T/STOP. NEXT I/B TRAM ADVISED AND TO UPDATE. TIM ENTBY DAT CAT ID 12:12 P HUCKNALL 25 18/01/2024 INCIDENT DRIVER A HALL (549) ON TRAM 101 REPORTED THAT THE WOMAN PEDESTRIAN HAS BEEN HIT BY A ROAD VEHICLE AND AWAITING EMERGENCY SERVICES. YELLOW SERVICE
DIVERTING TO MAB.</t>
  </si>
  <si>
    <t>Nunnery Square</t>
  </si>
  <si>
    <t>TIM ENTBY DAT CAT ID 16:40 J LAVER 792 18/01/2024 INCIDENT FROM S GALLOWAY AS SHE WAS ON NUS TRAM STOP THE CONDUCTOR D KIRK (82250) T109 APPROACHED HER AND TOLD HER SHE HAD BEEN VERBALLY ABUSED BY SOME PASSENGERS AND ASKED SHARON WHAT SHE SHOULD DO. ON SPEAKING TO THE DRIVER NOTHING HAD BEEN REPORTED AS YET. 16:40 J LAVER 792 18/01/2024 INCIDENT CONT…. ONLY ASKED BY THE CONDUCTOR TO HOLD THE TRAM WHILE SHE DEALT WITH AN ISSUE. CONDUCTOR TO BE RELIEVED AT CAS AND A ROBERTS ASKED TO SPEAK WITH HER TO ASSERTAIN WHAT HAD HAPPENED. EV/2024/00250</t>
  </si>
  <si>
    <t xml:space="preserve">Being sworn at by mlae passengers </t>
  </si>
  <si>
    <t xml:space="preserve">Malicious behaviour </t>
  </si>
  <si>
    <t xml:space="preserve">Incident was reported to OCC </t>
  </si>
  <si>
    <t>PS01 Points</t>
  </si>
  <si>
    <t>07:51 D READ 325 19/01/2024 INCIDENT DRV L GULAK (8503464) ON T112 REPORTED WRONG DIRECTION ACROSS PS01 DUE TO INCORRECT CODE. ADVISED TO DETRAIN AT HYP THEN TURN TRAM ON DEPOT TO CONTINUE TOWARDS HAL. DM D TINGLE/A ROBERTS ADVISED. CCTV AND SIBAS (TACT 148478). EV/2024/00251</t>
  </si>
  <si>
    <t xml:space="preserve">No </t>
  </si>
  <si>
    <t xml:space="preserve">The driver stopped and informed OCC via a normal radio call not an emergency call </t>
  </si>
  <si>
    <t>2310-24</t>
  </si>
  <si>
    <t>Hillsborough</t>
  </si>
  <si>
    <t>TIM ENTBY DAT CAT ID  14:40 M TOWNSLEY 3 19/01/2024 INCIDENT DRV J LEGGETT (8504143) REPORTED SLIDING THROUGH HIL I/B UPHILL DUE TO LRA
CCTV AND SIBAS REQUESTED 148492</t>
  </si>
  <si>
    <t>POINT (-1.4999686 53.4020292)</t>
  </si>
  <si>
    <t>2310-25</t>
  </si>
  <si>
    <t>Bamforth Street</t>
  </si>
  <si>
    <t>11:00 G CHISNALL 72 20/01/2024 INCIDENT TRAM 110 S PHILLPS REPORTED A SEPARATION HILS IN/B , THE PARENTS GOT OFF THE TRAM BEFORE BAS AND WENT BACK TO HILS CCTV &amp; REPORTS REQUESTED. EV/2024/00252</t>
  </si>
  <si>
    <t>Passengers allowed child to leave tram whilst the doors were closing</t>
  </si>
  <si>
    <t xml:space="preserve">Pasengers allowed child to leave tram whilst doors were closing </t>
  </si>
  <si>
    <t>POINT (-1.4925196 53.3988824)</t>
  </si>
  <si>
    <t>The passengers were allowed to leave the tram between stops - the driver reported the incident to OCC</t>
  </si>
  <si>
    <t>2310-26</t>
  </si>
  <si>
    <t>West Street</t>
  </si>
  <si>
    <t>17:28 J LAVER 792 21/01/2024 INCIDENT DRV OF T101 J MEIKLE (8510009) REPORTED THAT HE HAD CLIPPED A PLASTIC BARRIER THAT HAD BLOWN INT THE SWEPT PATH BETWEEN WES AND CIH I/B. NO DAMAGE TO THE TRAM. CCTV AND REPORT REQUESTED</t>
  </si>
  <si>
    <t>POINT (-1.4777191 53.3804622)</t>
  </si>
  <si>
    <t>2310-27</t>
  </si>
  <si>
    <t>Gleadless Townend</t>
  </si>
  <si>
    <t>TIM ENTBY DAT CAT ID 17:56 J LAVER 792 21/01/2024 INCIDENT DRV OF T206 J BIRKITT (254) REPORTED AN ALTERCATION BETWEEN A FEMALE PASSENGER AND A NUMBER OF OTHER PASSENGERS. WHILST TRAVELLING O/B ON CITY RD.FEMALE GOT OFF AT MTE CCTV AND REPORTS REQUESTED. 18:02 J LAVER 792 21/01/2024 INCIDENT THE DRV THEN CALLED OCC TO REPORT SHE HAD GONE TOWARDS HEP BY MISTAKE. DM A BARCLAY MADE AWARE OF SITUATION.18:02 J LAVER 792 21/01/2024 INCIDENT DUE TO THIS INCIDENT THE DRIVER WAS INFORMED TO DIVERT TO HEP. ON BEING TOLD THAT THE FEMALE HAD DISEMBARKED THE DRIVER WAS TOLD TO RUN THROUGH TO HALFWAY. T01 WERE SET FOR HEP THE DRIVER CHANGED VIS BACK TO 205 BUT DID NOT CHANGE THE POINTS CONTINUED. 18:26 J LAVER 792 21/01/2024 INCIDENT J BIRKITT HAS NOW MADE OCC AWARE THAT THIS PASSENGER HAS ALLEDGEDLY SMASHED THE CAB TO SALOON DOOR WINDOW. REPORTED TO SYP VIA ONLINE PORTAL TACT 148546. EV/2024/00253</t>
  </si>
  <si>
    <t>POINT (-1.4259926 53.3459858)</t>
  </si>
  <si>
    <t>2310-28</t>
  </si>
  <si>
    <t>Shalesmoor</t>
  </si>
  <si>
    <t>TIM ENTBY DAT CAT ID 19:29 J LAVER 792 21/01/2024 OTHER DRV OF T106 L BENNETT (8502599) REPORTED A PERSON HAD THROWN A STONE AT THE WINDSCREEN BETWEEN SHS AND FIS CAUSING DAMAGE. TRAM TO BE REPLACED TACT 148547 REPORTED TO SYP VIA ON LINE PORTAL. EV/2024/00254</t>
  </si>
  <si>
    <t>POINT (-1.4779447 53.3887255)</t>
  </si>
  <si>
    <t>2310-29</t>
  </si>
  <si>
    <t>City Road</t>
  </si>
  <si>
    <t>23:46 S COLLINS 406 21/01/2024 INCIDENT DRIVER J.BIRKITT (254) ON T122 REPORTS RUNNING OVER A CAR BUMPER ON CITY ROAD. OBJECT FREED AND TRAM MOVING. CCTV AND SIBAS REQUESTED</t>
  </si>
  <si>
    <t>POINT (-1.4376309 53.3664370)</t>
  </si>
  <si>
    <t>2310-30</t>
  </si>
  <si>
    <t>Fitzalan Square</t>
  </si>
  <si>
    <t>10:42 J WILKS 479 22/01/2024 INCIDENT DRV S WHITE (707) REPORTS FROM T102 AT FIS I/B A PASSANGER HAS FALLEN GETTING OFF THE TRAM WHILE THE TRAM WAS STATIONARY. CCTV AND REPORTS REQUESTED DM R WILD AWARE.EV/2024/00255</t>
  </si>
  <si>
    <t xml:space="preserve">The passenger loses his balance </t>
  </si>
  <si>
    <t xml:space="preserve">The passenger trips due to being very unsteady on his feet </t>
  </si>
  <si>
    <t>POINT (-1.4639548 53.3831375)</t>
  </si>
  <si>
    <t xml:space="preserve">Trhe driver reported the incident  to OCC </t>
  </si>
  <si>
    <t>2310-31</t>
  </si>
  <si>
    <t>12:51 J WILKS 479 22/01/2024 INCIDENT DRV S GREEN (58403) REPORTS FROM T109 TWO PASSANGERS FIGHTING ON TRAM AT FIS O/B. NO MEDICAL ATTETION REQUIRED. CCTV REQUESTED</t>
  </si>
  <si>
    <t>2310-32</t>
  </si>
  <si>
    <t>Valley Centertainment</t>
  </si>
  <si>
    <t>19:34 G CHISNALL 72 22/01/2024 INCIDENT TRAM 120 REPORTED 1 LARGE PANEL SMASHED VAC O/B , REPORTED ONLINE AND INTERCHANGE</t>
  </si>
  <si>
    <t>POINT (-1.4126483 53.4022619)</t>
  </si>
  <si>
    <t>2310-33</t>
  </si>
  <si>
    <t>23:35 J RAMSDEN 463 17/01/2024 INCIDENT DM J. CAWTHORN FELL OFF CHAIR IN OCC AFTER CHAIR TIPPED OVER AFTER BEING CAUGHT IN A WIRE IN OCC NEXT TO THE CCTV DESK. DM REPORTED MINOR INJURIES BUT NO MEDICAL ATTENTION REQUIRED. REPORT REQUESTED. EV/2024/00256</t>
  </si>
  <si>
    <t>Reclassified as info only due to time elapsed</t>
  </si>
  <si>
    <t>2310-34</t>
  </si>
  <si>
    <t>Arbourthorne Road</t>
  </si>
  <si>
    <t>12:50 B RILEY 608 23/01/2024 INCIDENT DRV SEAN WHITE ON TRAM 117 REPORTS A PASSENGER WAS SEEN ON THE FLOOR BETWEEN CAS AND ARR O/B 12:10 TO 12:30, SIBAS 148602, REPORTS, CCTV, DM E COOPER AWARE. 13:45 J RAMSDEN 463 23/01/2024 INCIDENT AFTER SPEAKING TO CONDUCTOR CONDUCTOR L. MEE (88295) REPORTED FALLER BETWEEN ARR-WHL O/B. DM AND CCTV UPDATED. EV/2024/00257</t>
  </si>
  <si>
    <t xml:space="preserve">The passenger fell due to the normal movement of the tram </t>
  </si>
  <si>
    <t xml:space="preserve">Passenger standing and being unsteady </t>
  </si>
  <si>
    <t>POINT (-1.4481524 53.3634022)</t>
  </si>
  <si>
    <t xml:space="preserve">Driver reported the fall to OCC </t>
  </si>
  <si>
    <t>2310-35</t>
  </si>
  <si>
    <t>00:29 S GALLOWAY 2 24/01/2024 INCIDENT DRIVER A.WATSON (037) REPORTS HITTING A WHEELIE BIN WHICH HAD BLOWN TOWARDS THE TRAM ON APPROACH TO BIRLEY LANE INBOUND. NO DAMAGE REPORTED. CCTV REQUESTED. TACT 148614.</t>
  </si>
  <si>
    <t>2310-36</t>
  </si>
  <si>
    <t>11:42 J RAMSDEN 463 24/01/2024 INCIDENT T122 R. SINGER (097) PLASTIC SHEETING ON OHLE ON HIL X-OVER OHLE. SHEETING NOT CAUSING AN ISSUE FOR NORMAL THROUGH RUNNING TRAFFIC NOR POSING AN ISSUE FOR PERSONS OR OTHER ROAD USERS. J. WELLS VIEWED SHEETING ON CCTV INFRA INFORMED AND TO ATTEND. 12:09 J RAMSDEN 463 24/01/2024 INCIDENT SHEETING REMOVED FROM OHLE BY INFRA. NO DISRUPTION TO SERVICES. INFRA CONFIRMED ALL CLEAR. TACT: 148631</t>
  </si>
  <si>
    <t>2310-37</t>
  </si>
  <si>
    <t>Crystal Peaks</t>
  </si>
  <si>
    <t>19:27 G CHISNALL 72 24/01/2024 INCIDENT TRAM 10 A PASSENGER TOLD THE DRIVER SOMEONE WAS DAMAGING A TRACK SIDE BOX , CRP FEM ASKED TO CHECK AND FOUND TRACK SIDE GREASER HAD PADLOCK DAMAGED THIS WAS REPLACED REPORTED ON LINE. EV/2024/00258</t>
  </si>
  <si>
    <t>POINT (-1.4463077 53.3840113)</t>
  </si>
  <si>
    <t>2310-38</t>
  </si>
  <si>
    <t xml:space="preserve">Cathedral </t>
  </si>
  <si>
    <t>12:20 B RILEY 608 25/01/2024 INCIDENT DRV N BURTON ON TRAM 206 REPORTS NEAR MISS DEPARTING CAT I/B, TRACK BRAKE APPLIED, NO INJURIES REPORTED, SIBAS 148662, REPORTS, CCTV, DM E COOPER AWARE.  EV/2024/00259</t>
  </si>
  <si>
    <t>Email from Nwybrant states that - The CCTV shows as tram 206 leaves CAT inbound a car travels along York Street and continues into swept path of oncoming tram. The driver applies hazard brake to avoid a collision. The car then reverses out of  swept path. There are no fallers on board the tram closed under instruction from JKeeling</t>
  </si>
  <si>
    <t>2310-39</t>
  </si>
  <si>
    <t>Hackenthorpe</t>
  </si>
  <si>
    <t>15/01/2024 - Rbridges reported SPAB at HACK I/B. EV/2024/00260</t>
  </si>
  <si>
    <t>Signal not displaying a proceed aspect</t>
  </si>
  <si>
    <t>Driver error</t>
  </si>
  <si>
    <t>POINT (-1.3810707 53.3435955)</t>
  </si>
  <si>
    <t>The driver has had a note to file and is currently on  PDDP</t>
  </si>
  <si>
    <t>2310-40</t>
  </si>
  <si>
    <t>TIM ENTBY DAT CAT ID 19:42 J RAMSDEN 463 26/01/2024 INFRASTRUCTUR T114 R. PEARSON (89116) REPORTED AN OBJECT POTENTIALLY IN THE TRACKS AROUND RIPLEY STREET HIL I/B. INFRA INFORMED AND REMOVED A BOLT STUCK IN THE TRACK 20:05. NO FURTHER ISSUES REPORTED. TACT: 148684.</t>
  </si>
  <si>
    <t>2310-41</t>
  </si>
  <si>
    <t>08:41 S EYRE 103 27/01/2024 INCIDENT DRIVER L BENNETT (8502599) T117, REPORTED A CAR THAT APPEARS TO HAVE BEEN ABANDONED AND BLOCKING THE O/B TRACKS AT JUST PRIOR TO HIP TRAMSTOP O/B. 08:54 S EYRE 103 27/01/2024 INCIDENT DRIVE L BENNETT (8502599) T117, THE CAR DRIVER HAS NOW ARRIVED, AND THE CAR HAS BEEN MOVED. QUICK MISSION CONTACTED AND INFORMED THEY HAVE NO NEED TO ATTEND.</t>
  </si>
  <si>
    <t>2310-42</t>
  </si>
  <si>
    <t>12:20 S EYRE 103 27/01/2024 OTHER CON D PERING REPORTED ESCORTING TWO MEMBERS OF THE PUBLIC OFF THE DEPOT THAT HAD ENTERED THROUGH WEST TRAM GATE.</t>
  </si>
  <si>
    <t>2310-43</t>
  </si>
  <si>
    <t>12:48 S EYRE 103 27/01/2024 OTHER DRIVER S GREEN (58403)T120, HAD TO HANDWORK POINTS PS01 DUE TO HAVING THE WRONG VIS CODE ENTERED WHEN RETURNING THE TRAM TO DEPOT. NO POINTS ALARM OR FAIL ON SCADA.</t>
  </si>
  <si>
    <t>Inccorect VIS</t>
  </si>
  <si>
    <t>2310-44</t>
  </si>
  <si>
    <t>18:51 B RILEY 608 27/01/2024 INCIDENT DRV C MORAN ON TRAM 122 REPORTS GLASS SMASHED ON DOOR 3, UNKNOWN WHEN, CCTV, REPORTS, SYP PORTALLED. EV/2024/00264</t>
  </si>
  <si>
    <t>2310-45</t>
  </si>
  <si>
    <t>C01 Points</t>
  </si>
  <si>
    <t>TIM ENTBY DAT CAT ID 19:16 B RILEY 608 27/01/2024 INCIDENT DRV C MORAN ON TRAM 110 REPORTS BAR ASPECT AT CAT, C01 ALARM RESULTED, TACT 148712, THIS WAS DUE TO INCORRECT VIS, WORKED THROUGH AND CLEARED FOR NEXT TRAM, DM R BRIDGES AWARE. EV/2024/00265</t>
  </si>
  <si>
    <t>Cricket Inn Road</t>
  </si>
  <si>
    <t>20:30 B RILEY 608 27/01/2024 INCIDENT DRV C DONNELLY ON TRAM 203 REPORTS CONDUCTOR I GRAYSON HAD 2 PASSENGERS THREATENING TO STAB HIM, THEY GOT OFF TRAM AT CIR I/B BUT WERE REPORTED TO BE ON TRAM 102 AT SOME POINT, CCTV, DM E COOPER LIAISING WITH I GRAYSON FOR REPORT. EV/2024/00266</t>
  </si>
  <si>
    <t xml:space="preserve">Male threatening to stab conductor </t>
  </si>
  <si>
    <t xml:space="preserve">Challenge by conductor after atttempt to fare evade </t>
  </si>
  <si>
    <t>2310-47</t>
  </si>
  <si>
    <t>21:45 B RILEY 608 27/01/2024 INCIDENT DRV M ORANGE ON TRAM 110 REPORTS SYP HELD HIM AT ATT I/B DUE TO REPORTS OF FOUR YOUTHS WITH A KNIFE ON THE TRAM, AFTER 10 MINUTES CONTINUED UNDER SYP INSTRUCTION. CCTV, REPORTS, DM E COOPER AWARE 22:21 S GALLOWAY 2 27/01/2024 INCIDENT SYP ARRIVED AT DEPOT TO SEARCH TRAM 110 FOR ITEMS RELATING TO THE PREVIOUS INCIDENT. J.RAMSDEN TO LIAISE.</t>
  </si>
  <si>
    <t>2310-48</t>
  </si>
  <si>
    <t>07:30 G CHISNALL 72 28/01/2024 INCIDENT TRAM 110 K WILLIAMS REPORTED A NON TRAM RTC BLOCKNG THE TRACK CITY ROAD O/B POLICE &amp; AMBULANCE ATTENDING QUICK MISSION CALLED FOR RECOVERY STAGECOACH ACCEPTING TICKETS DM AB ON SCENE S GALLOWAY UPDATING PIDS</t>
  </si>
  <si>
    <t>2310-49</t>
  </si>
  <si>
    <t>TIM ENTBY DAT CAT ID 01:09 J LAVER 792 29/01/2024 RSM NIGHT PREP DRIVER A ASHTON FOUND BULLSEYE DAMAGE TO A LARGE SALOON WINDOW ON T207 RSM MADE AWARE TACT 148747. NO CCTV AS NO ONE AWARE WHEN DAMAGE DONE. REPORTED TO SYP VIA ON LINE PORTAL. EV/2024/00374</t>
  </si>
  <si>
    <t>2310-50</t>
  </si>
  <si>
    <t>Manor Top</t>
  </si>
  <si>
    <t>13:17 P HUCKNALL 25 29/01/2024 INCIDENT DRIVER LUKASZ GULAK (8506434) ON TRAM 103 REPORTED A PASSENGER FALL WHILE STATIONARY AT MTE I/B AT APPROX 12:35. NO INJURIES REPORTED. REPORT, CCTV AND SIBAS REQUESTED. EV/2024/00376</t>
  </si>
  <si>
    <t xml:space="preserve">Passenger losing their  balance </t>
  </si>
  <si>
    <t xml:space="preserve">Passenger losing their balance </t>
  </si>
  <si>
    <t>POINT (-1.4286599 53.3597388)</t>
  </si>
  <si>
    <t xml:space="preserve">The driver did not inform OCC until he had arrived at Malin Bridge </t>
  </si>
  <si>
    <t>Park Grange Croft</t>
  </si>
  <si>
    <t>08:00 D BRIDGES 850 30/01/2024 INCIDENT R 113 DVR J MEIKLE 810009 REPORTS FOM PGC I/B THAT HE HAS BEEN INVOLVED IN RTC WITH A CYCLIST, NO DETAILS EXCHANGED AS THE CYCLIST LEFT THE SCENE CCTV AND SIBAS AND REPORT REQUESTED DRI TAKEN OFF AT CAS TO SPEAK WITH DM 08:55 D BRIDGES 850 30/01/2024 INCIDENT DM N WYBRANT REPORTED DRI J MEIKLE (851000009) GOING TO POLICE STATION TO REPORT INCIDENT WITH CYCLISTTIM ENTBY DAT CAT ID 08:55 D BRIDGES 850 30/01/2024 INCIDENT DM N WYBRANT J MEIKLE HAS REPORTED RTC WITH CYCLIST TO POLICE INCIDENT NO 0172/300124. EV/2024/00378</t>
  </si>
  <si>
    <t>Cyclist rising into the side of the tram</t>
  </si>
  <si>
    <t xml:space="preserve">Cyclist not using observations at a road junction </t>
  </si>
  <si>
    <t>POINT (-1.4585543 53.3701498)</t>
  </si>
  <si>
    <t xml:space="preserve">The incident was reported to OCC an incident report was later filled out - the incident was reported to South Yorkshire Police </t>
  </si>
  <si>
    <t>2310-52</t>
  </si>
  <si>
    <t xml:space="preserve">Rockingham Street </t>
  </si>
  <si>
    <t>TIM ENTBY DAT CAT ID 12:05 G CHISNALL 72 01/02/2024 INCIDENT TRAM 123 R SINGER REPORTED A NEAR MISS WITH A PEDESTRIAN ROCKINGHAM STREET O/B CCTV REQUESTED. EV/2024/00383</t>
  </si>
  <si>
    <t>Email from DM - CCTV shows that the pedestrain can be seen crossing from inbound to outbound side - the driver sees the pedestrian and reduces speed - the pedestrian is miving slowly across the road. No track brake applied.</t>
  </si>
  <si>
    <t>2310-53</t>
  </si>
  <si>
    <t>Park Grange Road</t>
  </si>
  <si>
    <t>TIM ENTBY DAT CAT ID 09:15 J LAVER 792 02/02/2024 INCIDENT FROM DM D TINGLE. T113 (08:10 - 08:20) CON J WOOFINDIN (8506250) REPORTED THAT HE WAS VERBALLY ASSAULTED BY A MALE PASSENGER BETWEEN PGC AND CAS. WHEN ALIGHTING THE MALE THEATENED TO EITHER STAB OR SLASH THE CONDUCTOR. CRIMED VIA PORTAL CCTV REQ. EV/2024/00385</t>
  </si>
  <si>
    <t>Unknown</t>
  </si>
  <si>
    <t>POINT (-1.4550678 53.3671277)</t>
  </si>
  <si>
    <t xml:space="preserve">Conductor collecting reveune when male passemger becomes verbally abusive - conductor uses conflict avoidance training and removes himself from the situation male passnger threatens to slash conductor as he is alighting the tram conductor reports incident to the duty manager and police </t>
  </si>
  <si>
    <t>2310-54</t>
  </si>
  <si>
    <t>TIM ENTBY DAT CAT ID 14:52 D READ 325 02/02/2024 INCIDENT DRV A SMITH (81716) ON T110 REPORTED A MEMBER OF THE PUBLIC HAD SPRAYED NON OFFENSIVE GRAFFITI ON THE TRAM AT HIL O/B. REPORTED TO SYP ONLINE. CCTVREQUESTED. TACT FOR CLEANING 148904. EV/2024/00386</t>
  </si>
  <si>
    <t>2310-55</t>
  </si>
  <si>
    <t>Park Grange Viaduct</t>
  </si>
  <si>
    <t>11:49 J LAVER 792 02/02/2024 INCIDENT EMERGENCY CALL FROM DRV OF T115 TO REPORT A DISTRESSED PERSON ATTEMPTING TO THOW THEMSELVES OF THE PARK GRANGE VIADUCT. BOTH MEMBERS OF STAFF ARE HOLDING ONTO HER AND HAVE CALLED EMERGENCY SERVICES. DRV R PEARSON (89116) 12:13 J LAVER 792 02/02/2024 INCIDENT TRAMS CLEAR TO RUN POLICE OFFICERS HAVE REMOVED THE PERSON TO A PLACE OF SAFETY T115 NOW RUNNING WITHOUT A CONDUCTOR TO HAL AND BACK TO CAS. COND J BARK (379) WAS TOO UPSET TO CONTINUE AND WAS TAKEN BACK TO CAS HOUSE BY DM D TINGLE</t>
  </si>
  <si>
    <t>2310-56</t>
  </si>
  <si>
    <t>16:58 D READ 325 02/02/2024 INCIDENT DRV P ROWBOTTOM (788) ON T115 REPORTED A MEMBER OF THE PUBLIC STOOD ON HAC TRAMSTOP I/B HAD HEADBUTTED A WINDOW ON THE TRAM THEN WALKED OF WHILST SHE WAS STATIONARY. CCTV REQUESTED</t>
  </si>
  <si>
    <t>2310-57</t>
  </si>
  <si>
    <t>TIM ENTBY DAT CAT ID 18:13 D READ 325 02/02/2024 INCIDENTDRV D GOLDSBOROUGH (8505276) ON T118 REPORTED A SALOON WINDOW BEING SMASHED BETWEEN BIL AND BMR O/B. NO KNOWN INJURIES. REPORTED TO SYP ONLINE AND CCTV REQUESTED. TACT 148913. EV/2024/00386</t>
  </si>
  <si>
    <t>2310-58</t>
  </si>
  <si>
    <t>Castle Square</t>
  </si>
  <si>
    <t>TIM ENTBY DAT CAT ID 06:20 S GALLOWAY 2 03/02/2024 INCIDENT DRIVER L.GULAK (8506434) TRAM 109 REPORTS A PEDESTRIAN WHO APPEARS TO BE
DRUNK OR OTHER, WAS IN THE TRACK AREA AT CASTLE SQUARE O/B. THIS PERSON WAS MOVED TO A PLACE OF SAFETY BY OTHERS. TOWN HALL CCTV CONTACTED WHO IN TURN HAVE ALERTED THE POLICE. 06:30 S GALLOWAY 2 03/02/2024 INCIDENT OCC ALSO CONTACTED SYP VIA 101. INC NO 229. THEY HAVE ALSO CONTACTED FOR AN AMBULANCE TO ATTEND. 07:00 S GALLOWAY 2 03/02/2024 INCIDENT THE SEEMINGLY DISTRESSED PERSON HAS GOT UP AND WALKED AWAY TOWARDS BANKERS DRAFT.</t>
  </si>
  <si>
    <t>POINT (-1.4660542 53.3831014)</t>
  </si>
  <si>
    <t>2310-59</t>
  </si>
  <si>
    <t>12:34 S GALLOWAY 2 03/02/2024 RTC DRIVER D.WILLEY (426) T108 REPORTS MINOR RTC WITH A STATIONARY VEHICLE ON PARK GRANGE ROAD O/B. NO INJURIES REPORTED, MINOR SCRAPE MARKS TO TRAM BODYWORK NEARSIDE. REPORT / CCTV REQUESTED. RSM ADVISED, TACT 149934 AND 148935 (SIBAS). DM R.BRIDGES INFORMED. EV/2024/00388</t>
  </si>
  <si>
    <t>Car fouling trams swept path</t>
  </si>
  <si>
    <t xml:space="preserve">Tram driver failed to recognise hazard posed by car </t>
  </si>
  <si>
    <t>The driver reported the collision to OCC details were exchanged no injuries weree reported in either vehicle</t>
  </si>
  <si>
    <t>TIM ENTBY DAT CAT ID 13:02 S GALLOWAY 2 03/02/2024 INCIDENT DRIVER C.ALEXANDER-MORTON TRAM 109 AT CATHEDRAL O/B REPORTS CONDUCTOR Z.BRODIE (8511090) HAS HAD AN ALTERCATION WITH A PASSENGRER BETWEEN HYP AND FIS. TO BE TAKEN OFF FOR A REPORT. DM R.BRIDGES INFORMED. CCTV REQUESTED. 14:29 G CHISNALL 72 03/02/2024 INCIDENT Z BRODIE UNABLE TO FINISH DUTY FROM DM EC. EV/2024/00390</t>
  </si>
  <si>
    <t xml:space="preserve">Man angrily protesting to the conductor </t>
  </si>
  <si>
    <t xml:space="preserve">Man alleging racila abuse on board previous tram </t>
  </si>
  <si>
    <t>2311-01</t>
  </si>
  <si>
    <t>TIM ENTBY DAT CAT ID 01:17 S SLOUGH 7 04/02/2024 INCIDENT POLICE REPORTED CAR ON TRACKS BIRLEY LANE/BIRLEY WOOD DRIVE,WHICH APPEARED TO BE STREET RUNNING, AND DRIVER HAD BEEN ARRESTED. THIS WAS QUERIED WITH THE POLICE, NO MENTION OF SEGREGATED. QUICKMISSION AND INFRASTRUCTURE CALLED TO ATTEND AT 01:40.02:03 S SLOUGH 7 04/02/2024 INCIDENT TONY, INFRASTUCTURE ON SITE WITH QUICKMISSION, THE CAR WAS ON THE SEGREGATED BEYOND BIL TRAMSTOP, ALMOST AT POINTS, THIS WAS NOT CLOSE TO ORIGINAL LOCATION GIVEN BY POLICE.INC NO 45 OF 4/2/24.02:41 S SLOUGH 7 04/02/2024 INCIDENT TONY, INFRASTUCTURE, REPORTED CAR NOW CLEAR AT BIL, NO DAMAGE BUT BALLAST NEEDS REDRESSING, WAITING FOR MORE STAFF TO ARRIVE.03:18 S SLOUGH 7 04/02/2024 INCIDENT TONY, INFRASTRUCTURE, BALLAST REDRESSED AT BIL.</t>
  </si>
  <si>
    <t>2311-02</t>
  </si>
  <si>
    <t>11:41 J LAVER 792 04/02/2024 INCIDENT RED LIGHT VIOLATION WOR I/B. DRV OF T 203 R SINGER (097) REPORTED A CAR RUNNING A RED LIGHT AT AROUND 10:18 WOODBOURN ROAD TOWARDS CRICKET INN ROAD. FULL SERVICE OR TRACK BRAKE NOT REQUIRED. TELOC AND CCTV REQESTED. DRV HAS COMPLETED REPORT.</t>
  </si>
  <si>
    <t>2311-03</t>
  </si>
  <si>
    <t>TIM ENTBY DAT CAT ID 12:50 B RILEY 608 04/02/2024 INCIDENT DRV S WHITE (707) ON TRAM 113 AT MTE O/B REPORTS PASSENGER CAUGHT BY CLOSING DOOR AND FALLING ON PLATFORM, HE THEN WALKED OFF, SENSITIVE EDGE WORKED, CCTV, REPORTS, DM R BRIDGES AWARE. EV/2024/00392</t>
  </si>
  <si>
    <t xml:space="preserve">The passenger rushed to get off the tram as the doors were closing </t>
  </si>
  <si>
    <t>The passenger rushed to get off the tram as the doors were closing</t>
  </si>
  <si>
    <t>The driver reported the incident to OCC</t>
  </si>
  <si>
    <t>2311-04</t>
  </si>
  <si>
    <t xml:space="preserve">Alsing Road </t>
  </si>
  <si>
    <t>13:26 B RILEY 608 04/02/2024 INCIDENT DRV C LOWREY ON TRAM 111 REPORTS OVERSHOOTING STOP MARKER AT ALSING RD, WDM THEN TRY AGAIN WHICH WORKED.</t>
  </si>
  <si>
    <t>POINT (-1.4050125 53.414335)</t>
  </si>
  <si>
    <t>2311-05</t>
  </si>
  <si>
    <t>White Lane</t>
  </si>
  <si>
    <t>07:35 B RILEY 608 05/02/2024 INCIDENT DRV MICHELLE KELLY ON TRAM 117 AT WHL I/B REPORTS NON TRAM RTC BLOCKING O/B TRACK, 1 TRAM TURNED EACH SIDE THEN FEM REPORTED TRACK CLEAR, STAGECOACH BUSSES ACCEPTING TICKETS FOR TURNED SERVICES.</t>
  </si>
  <si>
    <t>2311-06</t>
  </si>
  <si>
    <t>Tinsley Chord</t>
  </si>
  <si>
    <t>TIM ENTBY DAT CAT ID 12:22 B RILEY 608 05/02/2024 INCIDENT DRV J MITCHELL ON TRAM 205 FORGOT TO CHANGE VIS AT TIN CHORD, R02 REQUIRED HANDWORK. EV/2024/00394</t>
  </si>
  <si>
    <t xml:space="preserve">The driver forgot to change the vis at Tinsley tram stop </t>
  </si>
  <si>
    <t xml:space="preserve">The driver for forgot to change the vis code at Tinsley tram stop </t>
  </si>
  <si>
    <t xml:space="preserve">The driver stopped and reported the incident to OCC </t>
  </si>
  <si>
    <t>2311-07</t>
  </si>
  <si>
    <t>City Hall</t>
  </si>
  <si>
    <t>15:30 S GALLOWAY 2 05/02/2024 OTHER DRIVER C.DONNELLY (78670) TRAM 103 REPORTS A TAXI TURNED LEFT IN FRONT OF THE TRAM AS THE TRAM STARTED TO MOVE FROM CIH I/B. NO EVASIVE ACTION TAKEN.</t>
  </si>
  <si>
    <t>POINT (-1.4723365 53.3821135)</t>
  </si>
  <si>
    <t>2311-08</t>
  </si>
  <si>
    <t>06:50 B RILEY 608 06/02/2024 INCIDENT DRV C.A.MORRISON ON TRAM 117 REPORTS MINOR RTC WITH TRAFFIC BARRIERS NEAR WALKABOUT, NO DAMAGE REPORTED, CCTV, REPORTS, SIBAS 149008, DM JCAWTHORNE AWARE. EV/2024/00395</t>
  </si>
  <si>
    <t>Driver misjuding swept path</t>
  </si>
  <si>
    <t>Barrier moving off the kerb</t>
  </si>
  <si>
    <t xml:space="preserve">Driver informed OCC </t>
  </si>
  <si>
    <t>2311-09</t>
  </si>
  <si>
    <t>Granville Road</t>
  </si>
  <si>
    <t>08:43 B RILEY 608 06/02/2024 INCIDENT DRV J BELGRAVE ON TRAM 106 REPORTS PASSENGER FALL AT GRR O/B, REPORTS, SIBAS 149012, CCTV, DM J CAWTHORNE AWARE. EV/2024/00398</t>
  </si>
  <si>
    <t>Not known</t>
  </si>
  <si>
    <t xml:space="preserve">Not known </t>
  </si>
  <si>
    <t>POINT (-1.4611175 53.3740379)</t>
  </si>
  <si>
    <t xml:space="preserve">The driver reported the incident to OCC no details were given or nmedical help asked for </t>
  </si>
  <si>
    <t>2311-10</t>
  </si>
  <si>
    <t>Carbrook</t>
  </si>
  <si>
    <t>TIM ENTBY DAT CAT ID 13:48 D BRIDGES 8503 06/02/2024 INCIDENT DVR A JEFF (548) REPORTS FROM T108 AFTER LEAVING CAR O/B THAT A SEPERTION HAD OCCURRED AT CAR TRAMSTOP O/B PARENTS TO WAIT AT MEI, FOLLOWING TRAINING T117 COLLECTED THE CHILD AT CAR O/B AND REUNITED THEM AT MEI. CCTV REQUESTED 13:58 D BRIDGES 8503 06/02/2024 INCIDENT TRAINING T117 COMFIRMS PARENTS AND CHILD REUNITED. EV/2024/00399</t>
  </si>
  <si>
    <t xml:space="preserve">Parents unaware their child had stayed behind </t>
  </si>
  <si>
    <t xml:space="preserve">Child not following parents </t>
  </si>
  <si>
    <t>POINT (-1.410886 53.4055248)</t>
  </si>
  <si>
    <t xml:space="preserve">Driver informed OCC as soon as aware </t>
  </si>
  <si>
    <t>2311-11</t>
  </si>
  <si>
    <t>04:05 P HUCKNALL 25 07/02/2024 INCIDENT POLICE INFORMING A CAR STUCK ON THE TRACK AT THE DELTA. ON VIEWING VIA CCTV, A CAR WAS STATIONARY OVER PS01 POINTS. J BARNES CONTACTED AND ASKED TO ATTEND.04:15 P HUCKNALL 25 07/02/2024 INCIDENT J BARNES REPORTED THE CAR IS STUCK AND QUICKMISSION WILL BE REQUIRED. QUICKMISSION CONTACTED AND ATTENDING. ETA ABOUT ONE HOUR.</t>
  </si>
  <si>
    <t>2311-12</t>
  </si>
  <si>
    <t>08:44 S EYRE 103 07/02/2024 INCIDENT DRV R SINGER (097) T207, REPORTED HAVING TO TRACK BRAKE AT CIH I/B, THIS WAS DUE TO A CAR TURNING LEFT IN FRONT OF THE TRAM. CCTV HAS BEEN REQUESTED. EV/2024/00401</t>
  </si>
  <si>
    <t>2311-13</t>
  </si>
  <si>
    <t>13:42 B RILEY 608 07/02/2024 INCIDENT DRV S GREEN ON TRAM 103 AT CIH O/B REPORTS PERSON LYING IN SWEPT PATH BLOCKING TRACK, AMBULANCE ON SITE RESOLVED WITHIN 3 MINUTES</t>
  </si>
  <si>
    <t>POINT (-1.473384 53.3815157)</t>
  </si>
  <si>
    <t>2311-14</t>
  </si>
  <si>
    <t>16:40 S GALLOWAY 2 07/02/2024 OTHER DRIVER L.BENNETT (8502599) TRAM 207 AT CIH I/B REPORTS 4X TAXIS TURNED LEFT IN FRONT OF THE TRAM. CCTV REQUESTED.</t>
  </si>
  <si>
    <t>2311-15</t>
  </si>
  <si>
    <t>10:15 J WILKS 479 08/02/2024 INCIDENT DVR J MAJOR (8506252) REPORTS FROM T110 A TAXI USING THE TRAM ONLY LANE AT CITY HALL I/B CCTV REQUESTED</t>
  </si>
  <si>
    <t>2311-16</t>
  </si>
  <si>
    <t>19:38 J LAVER 792 08/02/2024 INCIDENT DRV OF T113 P HAWKINS (64986) REPORTED HITTING A SHOPPING TROLLEY THAT HAD BEEN LEFT IN THE TRACKS BETWEEN CRP AND BDH. DAMAGE TO DRAM IS FOG LIGHT BROKEN N02 END TACT 149085 SIBAS REQUESTED TACT 149149084. REPORTS AND CCTV REQ</t>
  </si>
  <si>
    <t>2311-17</t>
  </si>
  <si>
    <t>14:23 S COLLINS 406 09/02/2024 OTHER DRIVER D.WILLEY (426) ON T122 REPORTS 2X TAXIS IN TRAM LANE AT CIH I/B. CCTV REQUESTED.</t>
  </si>
  <si>
    <t>2311-18</t>
  </si>
  <si>
    <t>17:50 S COLLINS 406 09/02/2024 OTHER DRIVER L.BENNETT (8502599) ON T124 REPORTS A TAXI IN TRAM LANE CIH I/B. CCTV REQUESTED.</t>
  </si>
  <si>
    <t>2311-19</t>
  </si>
  <si>
    <t>18:46 S COLLINS 406 09/02/2024 INCIDENT DRIVER N.BURTON (391) WRONG ROUTE ON DEPOT. CAUGHT ON CCTV BY OCC AND CORRECTED. CCTV REQUESTED. EV/2024/00688</t>
  </si>
  <si>
    <t>Driver did not understand the instruction given</t>
  </si>
  <si>
    <t xml:space="preserve">OCC called the tram to stop any further movement - the driver stopped and acted on OCC instructions </t>
  </si>
  <si>
    <t>2311-20</t>
  </si>
  <si>
    <t>21:52 S COLLINS 406 09/02/2024 OTHER DRIVER J.LEGGETT (8504143) ON T118 REPORTS TAXI IN TRAM LANE CIH I/B. CCTV REQUESTED.</t>
  </si>
  <si>
    <t>2311-21</t>
  </si>
  <si>
    <t>TIM ENTBY DAT CAT ID 22:48 D READ 325 09/02/2024 INCIDENT DR V L BENNETT (8502599) ON T 207 INFORMED OCC OF A PASSENGER FALL BETWEEN ATT-ARS O/B. NO INJURIES REPORTED. CCTV AND SIBAS (TACT 149133) REQUESTED. EV/2024/00689</t>
  </si>
  <si>
    <t>Re-classified as inof only as per Duty Managers comments - I have viewed the CCTV for this incident, and it does not show the fall, assuming the man chatting to the conductor is the person who had the fall, he appears fine and walks himself off the tram at arena.
If its not him then I can not see anything else on the CCTV</t>
  </si>
  <si>
    <t>2311-22</t>
  </si>
  <si>
    <t>Delta</t>
  </si>
  <si>
    <t>09:04 M TOWNSLEY 3 10/02/2024 INCIDENT J BELGRAVE 443 ON T118 EMERGENCY CALL DUE TO WRONG DIRECTION AT DELTA TRAM WENT TOWARD SHS INSTEAD OF MAB. CCTV AND REPORT REQUESTED.EV/2024/00690</t>
  </si>
  <si>
    <t xml:space="preserve">The driver forgot to change the VIS code at Tinsley tram stop </t>
  </si>
  <si>
    <t>The driver stopped and reported to OCC</t>
  </si>
  <si>
    <t>2311-23</t>
  </si>
  <si>
    <t>11:42 M TOWNSLEY 3 10/02/2024 INCIDENT L GULAK 8506434 ON T122 REPORTED FALLER AT CAR I/B AS TRAM SET OFF. NO INJURIES REPORTED AT THE TIME. CCTV REQUESTED. EV/2024/00691</t>
  </si>
  <si>
    <t>Tram leaving the platform</t>
  </si>
  <si>
    <t>Tram  setting off/passenger not holding on</t>
  </si>
  <si>
    <t>The driver stopped and informed OCC</t>
  </si>
  <si>
    <t>2311-24</t>
  </si>
  <si>
    <t>Hollinsend Road</t>
  </si>
  <si>
    <t>11:54 M TOWNSLEY 3 10/02/2024 INCIDENT W HINCHCLIFFE (8506846) ON T112 REPORTED PASSENGER FALL WHEN STATIONARY AT HOL O/B PASSENGER HIT HEAD AND ARM AND REPORTED ON BLOOD THINNING TABLETS. TRAM MOVED TO HEP AND AMBULANCE CALLED. CCTV REQUESTED. TIM ENTBY DAT CAT ID 13:23 M TOWNSLEY 3 10/02/2024 INCIDENT AMBULANCE NOW ON SITE AT HEP. 13:38 M TOWNSLEY 3 10/02/2024 INCIDENT PASSENGER NOW LEFT NOW WITH AMBULANCE CREW. EV/2024/00692</t>
  </si>
  <si>
    <t>Not steady on stairs</t>
  </si>
  <si>
    <t>Misjudging the top step</t>
  </si>
  <si>
    <t>POINT (-1.4245348 53.3520612)</t>
  </si>
  <si>
    <t xml:space="preserve">Driver alerted OCC as soon as aware </t>
  </si>
  <si>
    <t>2311-25</t>
  </si>
  <si>
    <t>Tinsley</t>
  </si>
  <si>
    <t>18:21 P BELL 59 10/02/2024 INCIDENT LOOKING FOR A CHILD, DM J CAWTORN TO WAIT AT CAS SQ FOR UPDATE. AT 1844 NUS I/B C DONNELLY REPORTS A WOMAN HAS NOW COME FORWARD SAYING SHE HAS LOST HER CHILD. THE PARENT AND CHILD WERE REUNITED AT CAS SQ, THE WOMAN WAS THEN ENQUIRING ABOUT A SUITCASE THAT 18:21 P BELL 59 10/02/2024 INCIDENT SHE HAD LOST ON A BLUE TRAM 18:21 P BELL 59 10/02/2024 INCIDENT DVR J LEGGETT 8504143 REPORTS FROM CAR I/B THAT A PARENT/CHILD SEPERATION OCCURRED AT TIN I/B THE CHILD WAS KEPT ON BOARD AND DM J CAWTHORN ALONG WITH CON W CAIN WAS TO MEET THE TRAM AT NUS I/B. THE FOLLOWING TRAM FROM MEI 207 REPORTS NO ONE AT TIN I/B. EV/2024/00693</t>
  </si>
  <si>
    <t xml:space="preserve">Child boarded by themselves </t>
  </si>
  <si>
    <t xml:space="preserve">Child unaware of doors closing </t>
  </si>
  <si>
    <t xml:space="preserve">Driver called OOC via an emergency call as soon as aware </t>
  </si>
  <si>
    <t>2311-26</t>
  </si>
  <si>
    <t>09:58 S EYRE 103 11/02/2024 INCIDENT DRV J BELGRAVE (443) T124, REPORTED HAVING A MINOR RTC WITH A CAR ON CITY RD I/B, NO INJURIES REPORTED AT THE TIME AND ONLY MINOR DAMAGE TO THE VEHICLES. DETAILS EXCHANGED. REPORT, CCTV AND SIBAS DOWNLOAD REQUESTED TACT NO 149163 .EV/2024/00694</t>
  </si>
  <si>
    <t>Other vehicle crossed central markings into trams swept path</t>
  </si>
  <si>
    <t>Other vehicles crossed  central markings into trams swept path</t>
  </si>
  <si>
    <t xml:space="preserve">The driver reported the inicdent to OCC no injuries were reported in either vehicle details were exchanged </t>
  </si>
  <si>
    <t>2311-27</t>
  </si>
  <si>
    <t>22:42 D READ 325 11/02/2024 INCIDENT DRV D PILGRIM ON T102 REPORTED 3 X LARGE PANELS SMASHED AT VAC O/B. CLEANERS CONTACTED AND WILL ATTEND. REPORTED TO INTERCHANGE FOR REPAIR.23:05 D READ 325 11/02/2024 INCIDENT TOWNHALL CCTV CONFIRM THEIR CAMERA HAS CAPTURED THE INCIDENT AT VAC O/B AND THEY WILL HOLD FOOTAGE FOR SYP. PERSON INVOLVED BELIEVED TO HAVE BOARDED T119 I/B. CCTV REQUESTED AND REPORTED TO SYP ONLINE</t>
  </si>
  <si>
    <t>2311-28</t>
  </si>
  <si>
    <t>TIM ENTBY DAT CAT ID 14:45 J WILKS 479 12/02/2024 INCIDENT DRV L BENNETT (8502599) REPORTS FROM T119 THAT THEY HAD A SEPARATION AT BAS O/B. A CHILD HAS LEFT THE TRAM WITHOUT THEIR PARENT. THE CHILD HAS CHASED THE TRAM DOWN TO HIL O/B WHERE THEY WAS REUNITED WITH THEIR PARENT. CONTINUED. 14:45 J WILKS 479 12/02/2024 INCIDENT THE CONDUCTOR MADE THE DRIVER AWARE ON APPROACH TO HIL O/B TO WHICH THE DRIVER WAITED UNTIL HIP O/B TO INFORM OCC VIA A NORMAL RADIO CALL. DM N WYBRANT MADE AWARE AND CCTV AND REPORTS REQUESTED. EV/2024/00764</t>
  </si>
  <si>
    <t xml:space="preserve">Parent changed mind after getting off the tram </t>
  </si>
  <si>
    <t xml:space="preserve">Parent unaware of childs location </t>
  </si>
  <si>
    <t xml:space="preserve">Driver called OCC as soon as aware </t>
  </si>
  <si>
    <t>2311-29</t>
  </si>
  <si>
    <t>Ridgeway Road</t>
  </si>
  <si>
    <t>18:33 J WILKS 479 12/02/2024 INCIDENT DRV S GREEN (58403) REPORTS THAT SHE HAS PASSED A BAR ON ROAD TRAFFIC GREEN JUNCTION OF RIDGEWAY ROAD/HOLLINSEND ROAD. SHE TRIED TO CONTACT OCC BUT DUE TO POOR RADIO SIGNAL WAS UNABLE TO. REPORTS,SIBAS AND CCTV REQUESTED XVPLUS DV149198. EV/2024/00764</t>
  </si>
  <si>
    <t>2311-30</t>
  </si>
  <si>
    <t>TIM ENTBY DAT CAT ID 12:30 S GALLOWAY 2 13/02/2024 INFRASTRUCTUR DRIVER A.ASHTON (62828) TRAM115 REPORTS A POSSIBLE RAIL BREAK AFTER MTE O/B , SECOND PED CROSSING. J.KOLCHUK INFORMED WHO SAID IT WAS AN INSULATED BLOCK JOINT (IBJ). SHOULD NOT BE AN ISSUE BUT IS SENDING SOMEONE TO SITE. 12:55 S GALLOWAY 2 13/02/2024 INFRASTRUCTUR A.WRAY REPORTS ON INVESTIGATION A DOUBLE RAIL BREAK AT POLE NO MTE 3239 O/B. EMERGENCY SPEED RESTRICTION OF 5MPH CURRENTLY IN PLACE UNTIL FURTHER ADVISED BY INFRASTRUCTURE. TACT 149228. ASC TO TRAMS.13:20 S EYRE 103 13/02/2024 INFRASTRUCTUR A WRAY , DUE TO THE DOUBLE RAIL BREAK AT POLE NO MTE 3239 O/B THE BLUE AND PURPLE ROUTE SERVICES ARE TO BE SUSPENDED BETWEEN SHEFFIELD STATION AND GLEADLESS TOWNEND UNTIL FURTHER NOTICE. ON CALL INFORMED. EV/2024/00766</t>
  </si>
  <si>
    <t>2311-31</t>
  </si>
  <si>
    <t>TIM ENTBY DAT CAT ID 00:07 D READ 325 13/02/2024 INCIDENT DRV B HILL (65149) ON T112 ADVISED OCC THAT THERE IS A PASSENGER REFUSING TO DISEMBARK AT CIR AS THE TRAM IS DUE TO COME INTO DEPOT. TOLD THAT THE TRAM CANNOT ENTER DEPOT WITH THE PASSENGER ONBOARD AND TO EXPLAIN THIS AND ATTEMPT TO GET THE PERSON OFF.</t>
  </si>
  <si>
    <t>2311-32</t>
  </si>
  <si>
    <t>TIM ENTBY DAT CAT ID 12:26 D BRIDGES 850 14/02/2024 OTHER T115 DVR N KHAN 914 REPORTS THAT THE TRAM WAS TAGGED WHILE STOOD AT SHS AWAITING POINT TIME CCTV REQUESTED XV PLUS 149248. EV/2024/00767</t>
  </si>
  <si>
    <t>2311-33</t>
  </si>
  <si>
    <t>St James Row</t>
  </si>
  <si>
    <t>08:56 S GALLOWAY 2 15/02/2024 INCIDENT DRIVER J.BELGRAVE (443) TRAM 123 REPORTS A NEAR MISS WITH A CAR AS THE TRAM WAS MOVING THROUGH ST JAMES ROW I/B. TRACK BRAKE APPLIED NO INJURIES REPORTED. CCTV AND SIBAS REQUESTED. DM R.BRIDGES INFORMED. EV/2024/00768</t>
  </si>
  <si>
    <t>Other vehicle drove into trams swept path</t>
  </si>
  <si>
    <t xml:space="preserve">Other driver did not observe compulsory stop markers </t>
  </si>
  <si>
    <t>The driver reported the incident to OCC no injuries were reported on the tram</t>
  </si>
  <si>
    <t>2311-34</t>
  </si>
  <si>
    <t>12:54 S GALLOWAY 2 15/02/2024 INCIDENT DRIVER S.MORGAN-WALTERS (8505792) STATIONARY AT CIH I/B REPORTS A CAR HAS TURNED LEFT IN FRONT OF THE TRAM. CCTV REQUESTED AS PER CURRENT PROCEDURE.</t>
  </si>
  <si>
    <t>2311-35</t>
  </si>
  <si>
    <t>14:26 S COLLINS 406 15/02/2024 INCIDENT STATIC CONDUCTOR AT FIS REPORTS TRAM SURFER ON BACK OF T103. DRIVER OFTRAM INFORMED. REPORTED TO SYP VIA ONLINE PORTAL. CCTV REQUESTED. EV/2024/00769</t>
  </si>
  <si>
    <t>2311-36</t>
  </si>
  <si>
    <t>Meadowhall</t>
  </si>
  <si>
    <t>07:06 P BELL 59 16/02/2024 INCIDENT DVR J BELGRAVE 443 NO PROCEED TO LEAVE MEI WRONG VIS CODE ENTERED (103SHOULD BE 301) AFTER USING CORRECT CODE COULD DEPART MEI. EV/2024/00770</t>
  </si>
  <si>
    <t>Incorrect VIS code set in tram</t>
  </si>
  <si>
    <t>POINT (-1.4129374 53.4172779)</t>
  </si>
  <si>
    <t xml:space="preserve">The driver reported the problem to OCC and was advised to change the trams VIS code </t>
  </si>
  <si>
    <t>13:13 P BELL 59 16/02/2024 ROUTINE DVR D C WHITE 893 COULD NOT CHANGE ARENA POINTS AND A MEMBER OF THE PUBLIC CHANGED THE POINTS FOR DERA INFRA TO CHECK POINTS XVPLUS 149314 16:00 J LAVER 792 16/02/2024 INFRASTRUCTUR G VENNER HAS CHECKED ARS POINTS AND FOUND NO ISSUES BUT HE HAS RELUBRICATED THEM ANYWAY</t>
  </si>
  <si>
    <t>Points stiff</t>
  </si>
  <si>
    <t>Good samaritain helping</t>
  </si>
  <si>
    <t>Driver reported to CC exactley what had happened as soon as they were in the cab</t>
  </si>
  <si>
    <t>2311-38</t>
  </si>
  <si>
    <t>TIM ENTBY DAT CAT ID 14:01 J LAVER 792 16/02/2024 INCIDENT DRV OF T202 A FELL (306) REPORTED PASSENGER FALL AS HE WAS PULLING INTO CAS I/B. PASSENGER DID NOT REALISE THERE WAS A STEP DOWN. GOT OF AT CAS NO MEDICAL ATTENTION REQUIRED. CCTV. TELOC AND REPORT REQUESTED TACT 149315</t>
  </si>
  <si>
    <t xml:space="preserve">The passenger fell down the step </t>
  </si>
  <si>
    <t>The driver rpeorted the incident to OCC</t>
  </si>
  <si>
    <t>2311-39</t>
  </si>
  <si>
    <t>00:28 J RAMSDEN 463 17/02/2024 INCIDENT TRAM 101 L. GULAK (8506434) REPORTED TAXI GOING THROUGH JUNCTION AT CIH I/B. CCTV REQUESTED.</t>
  </si>
  <si>
    <t>2311-40</t>
  </si>
  <si>
    <t>TIM ENTBY DAT CAT ID 07:06 M TOWNSLEY 3 17/02/2024 INCIDENT C LOWREY (8509438) REPORTED C RAMSDEN (871) HAD TRIPPED ON WAY TO TRAM IN DEPOT THIS MORNING AND GRAZED HER KNEE. HAD TO OPEN FIRST AID KIT ON T123. REPORT REQUESTED. EV/2024/00772</t>
  </si>
  <si>
    <t>Staff member rushing whilst carrying multiple items</t>
  </si>
  <si>
    <t xml:space="preserve">Staff member not concentrating </t>
  </si>
  <si>
    <t xml:space="preserve">The incident was reported to OCC and a report was completed </t>
  </si>
  <si>
    <t>2311-41</t>
  </si>
  <si>
    <t>15:50 S GALLOWAY 2 17/02/2024 INCIDENT CONDUCTOR N.THOMSON (8502937) REPORTED TO OCC THAT HE HAD FELL BACK ON A CANTEEN CHAIR JARRING HIS NECK, THE CHAIR BACK HAD GIVEN WAY. DM R.BRIDGES INFORMED AND TAPED OFF THE DEFECTIVE CANTEEN CHAIRS X2. REPORT REQUESTED. 17:25 S GALLOWAY 2 17/02/2024 INFRASTRUCTUR J.WELLS AND DM R.BRIDGES HAVE REMOVED THE TABLE AND DEFECTIVE CHAIRS FROM THE CANTEEN. TACT 149330. EV/2024/00773</t>
  </si>
  <si>
    <t xml:space="preserve">Defective chair in nunnery depot </t>
  </si>
  <si>
    <t>No warning tape was on the chair informing staff of the issue</t>
  </si>
  <si>
    <t>The chair and table were removed from the canteen and the conductor completed a report</t>
  </si>
  <si>
    <t>2311-42</t>
  </si>
  <si>
    <t>17:55 S GALLOWAY 2 17/02/2024 INCIDENT DRIVER D.GARRIGAN (8501812) TRAM 112 AT SHEFFIELD STATION, HIS CONDUCTOR J.CHOWDHURY (8511272) HAS BEEN PUSHED IN THE BACK SOMEWHERE BETWEEN FIS AND SHS.. DM R.BRIDGES INFORMED. CONDUCTOR TO BE TAKEN OFF AT CAS FOR A REPORT TO LIAISE WITH DM E.COOPER. 20:45 S GALLOWAY 2 17/02/2024 INCIDENT DM E.COOPER, UPDATE ON INCIDENT REGARDING CONDUCTOR J.CHOWDURY (8511272), REPORT COMPLETED BUT HE DOES NOT WANT TO REPORT THIS TO THE POLICE.EV/2024/00774</t>
  </si>
  <si>
    <t>Member of staff no longer with the business</t>
  </si>
  <si>
    <t>2311-43</t>
  </si>
  <si>
    <t>TIM ENTBY DAT CAT ID 22:05 B RILEY 608 17/02/2024 INCIDENT DRV J LAWRIE ON TRAM 102 REPORTS HAVING TO SERVICE BRAKE NEAR BAS O/B RESULTING IN CON N THOMSON FALLING. REPORTS, CCTV, SIBAS, DM E COOPER INFORMED. 22:45 B RILEY 608 17/02/2024 SICKNESS DM E COOPER INFORMS CON N THOMSON UNABLE TO CONTINUE. EV/2024/00775</t>
  </si>
  <si>
    <t>Driver applied the hazard brake to avoid collision</t>
  </si>
  <si>
    <t xml:space="preserve">Taxi continued into swept path of the tram </t>
  </si>
  <si>
    <t>2311-44</t>
  </si>
  <si>
    <t>12:44 P BELL 59 18/02/2024 INCIDENT DVR D WILLEY 426 REPORTS A FIGHT ON BOARD TRAM 110 AT FIS O/B PASSENGER V PASSENGER ONE PASSENGER LEFT AT FIS O/B AND ONE LEFT AT CAS O/B WITH NO FURTHER ISSUES</t>
  </si>
  <si>
    <t>2311-45</t>
  </si>
  <si>
    <t>10:42 J WILKS 479 19/02/2024 OTHER DRV P HAWKINS (64986) REPORTS FROM T114 A TAXI CUTTING INFRONT OF HIM TO USE TRAM LANE CIH I/B NO EVASIVE ACTION NEEDED CCTV REQUESTED</t>
  </si>
  <si>
    <t>2311-46</t>
  </si>
  <si>
    <t>11:38 S EYRE 103 19/02/2024 INCIDENT DRV J LEGGETT (8504143) T104 REPORTED A TAXI CUTTING INFRONT OF HIM TO USE TRAM GATE CIH I/B NO EVASIVE ACTION NEEDED CCTV REQUESTED</t>
  </si>
  <si>
    <t>2311-47</t>
  </si>
  <si>
    <t>Bowstring Bridge</t>
  </si>
  <si>
    <t>22:25 D READ 325 19/02/2024 INCIDENT DRV C DONNELLY (78670) ON T201 REPORTED A MEMBER OF THE PUBLIC HAD CLIMBED OVER THE RAILINGS ON THE BOW STRING BRIDGE. REPORTED TO CCTV AND SYP ARE ON THEIR WAY. SERVICES ARE CURRENTLY HELD. 22:31 D READ 325 19/02/2024 INCIDENT SYP ARE NOW ON THE SCENE AND THE PERSON IS BEING DETAINED ON PEDESTRIANISED AREA OF THE DELTA. SYP HAVE BLOCKED THE TRACKS SO NO TRAMS CAN PASS</t>
  </si>
  <si>
    <t>POINT (-1.4614726 53.3829009)</t>
  </si>
  <si>
    <t>2311-48</t>
  </si>
  <si>
    <t>07:54 D P MARRISON 20/02/2024 INCIDENT DVR 8506434 L GULAK, MEI BOUND TRAM 123, CIH I/B, REPORTS THAT A TAXI PULLED INFRONT OF THE TRAM BUT HE DIDN'T HAVE TO TAKE ANY EVASIVE ACTION CCTV REQUESTED.</t>
  </si>
  <si>
    <t>2311-49</t>
  </si>
  <si>
    <t>09:43 D P MARRISON 20/02/2024 REVENUE PROT DVR 788 P ROWBOTTOM ON MEI BOUND TRAM 104 (JUST LEFT MID) HAS LEFT THE CON' 80823 M LEDGER AT MID; OCC MADE AWARE BY THE NEXT DVR TO ARRIVE AT MID (C TIRZU, TRAM 117), DM A ROBERTS INFORMED. NO CON' MID-CAS, 10:04.</t>
  </si>
  <si>
    <t>2311-50</t>
  </si>
  <si>
    <t>TIM ENTBY DAT CAT ID 13:24 D P MARRISON 20/02/2024 INCIDENT N BARRACLOOGH INFORMED OCC OF AN INFRA' NEARMISS WITH REGARDS TO GLT POINTS T01 ISOLATION POLICY, THIS OCCURRED ON THE 16/02/2024.</t>
  </si>
  <si>
    <t>Email sent to NB 21/02/2024</t>
  </si>
  <si>
    <t>2311-51</t>
  </si>
  <si>
    <t>Beighton Drakehouse</t>
  </si>
  <si>
    <t>Cleaner Dsuter - Pulled his back when emptying bin on Beighton Drakehouse platform outbound</t>
  </si>
  <si>
    <t>POINT (-1.3473117 53.3418213)</t>
  </si>
  <si>
    <t>2311-52</t>
  </si>
  <si>
    <t>TIM ENTBY DAT CAT ID 08:06 P BELL 59 21/02/2024 INCIDENT DVR S WHITE 64124 REPORTS FROM TRAM 109 WEST ST/ROCKINGHAM ST I/B A NON  TRAM RTC BLOCKING THE INBOUND TRACK BETWEEN A BUS AND A VAN08:20 P BELL 59 21/02/2024 INCIDENT SYP HAVE ARRIVED ON SITE AND THE VAN DRIVER HAS NOW MOVED HIS VAN AND  WEST ST IS NOW CLEAR FOR TRAMS TO RUN</t>
  </si>
  <si>
    <t>2311-53</t>
  </si>
  <si>
    <t>10:10 P BELL 59 21/02/2024 INCIDENT DVR K TINGLE 600 REPORTS FROM T123 AT HIL O/B THAT A WHEELCHAIR USER GOT TRAPPED IN THE DOORS NO INJURIES REPORTED AND CCTV REQUESTED. EV/2024/00776</t>
  </si>
  <si>
    <t xml:space="preserve">The driver didn’t allow enough time for the passengers to exit </t>
  </si>
  <si>
    <t>The driver didn’t allow enough time for the passengers to exit</t>
  </si>
  <si>
    <t xml:space="preserve">The driver rpeorted the incident to OCC </t>
  </si>
  <si>
    <t>2311-54</t>
  </si>
  <si>
    <t>11:48 P BELL 59 21/02/2024 INCIDENT DVR L GULAK 8506434 REPORTS FROM T111 AT MEI THAT CONDUCTOR W BAINBRIDGE 62018 HAS HURT HER FOOT AND CAN NOT CONDUCT SP CON ON AT NUS I/B REASON  FOR FOOT INJURY NOT KNOWN YET 11:56 P BELL 59 21/02/2024 INCIDENT CON W BAINBRIDGE 62018 DOES NOT KNOW HOW SHE HURT HER FOOT WENDY TO  REPORT TO DM AT CAS HO</t>
  </si>
  <si>
    <t>POINT (-1.4417439 53.385508)</t>
  </si>
  <si>
    <t>2311-55</t>
  </si>
  <si>
    <t>TIM ENTBY DAT CAT ID 14:22 P HUCKNALL 25 21/02/2024 INCIDENT DRIVER N KHAN (914) ON TRAM 114 REPORTED HAVING TO USE THE TRACK BRAKE IN INFIRMARY RD O/B AND A PRAM TIPPED OVER. NO INJURIES REPORTED, DETAILS TAKEN, REPORT, CCTV AND SIBAS REQUESTED. EV/2024/00777</t>
  </si>
  <si>
    <t>Tram braking</t>
  </si>
  <si>
    <t xml:space="preserve">Pram being unsupported and loaded with shopping </t>
  </si>
  <si>
    <t xml:space="preserve">The incident was reported OCC and a report was completed </t>
  </si>
  <si>
    <t>2311-56</t>
  </si>
  <si>
    <t>15:41 P HUCKNALL 25 21/02/2024 INCIDENT WHEN SIGNING OFF CONDUCTOR D THOMPSON (8501823) REPORTED BEING ASSAULTED ON THE SAME TRIP AND JUST PRIOR LOG ENTRY 144538. REPORT AND  CCTV REQUESTED.</t>
  </si>
  <si>
    <t>2311-57</t>
  </si>
  <si>
    <t>TIM ENTBY DAT CAT ID 09:09 S SLOUGH 7 22/02/2024 INCIDENT DM N WYBRANT AT CAS REPORTED S PHILLIPS(169) REPORTED BEING THREATENED BY REGULAR "VAGRANT" AT CAT, APPARENTLY HAD A KNIFE ALTHOUGH NOT USED IN THE THREAT. S PHILLIPS ADVISED TO REPORT TO POLICE, 09:09 S SLOUGH 7 22/02/2024 INCIDENT SAME PERSON ALSO REPORTED TO HAVE PUSHED AT PASSENGER ONTO TRAM AT CAT. TRAM 112 CCTV DOWNLOAD REQUESTED. INCIDENT NO. 240 OF TODAY. 144567 ID. EV/2024/00778</t>
  </si>
  <si>
    <t xml:space="preserve">Tram driver threatened while carrying out static customer care </t>
  </si>
  <si>
    <t>The driver reported the incident to DM and  South Yorkshire Police</t>
  </si>
  <si>
    <t>2311-58</t>
  </si>
  <si>
    <t>10:00 S SLOUGH 7 22/02/2024 INCIDENT TRAM 123 REPORTED TAXI OCCURANCE AT CIH INBOUND. CCTV REQUESTED.</t>
  </si>
  <si>
    <t>2311-59</t>
  </si>
  <si>
    <t>11:02 S SLOUGH 7 22/02/2024 INCIDENT TRAM 109 REPORTED TAXI INFRINGEMENT CIH INBOUND. CCTV REQUESTED.</t>
  </si>
  <si>
    <t>2311-60</t>
  </si>
  <si>
    <t>09:57 J LAVER 792 23/02/2024 INCIDENT EMERGENCEY CALL FROM DRIVER OF T110 D ALLOTT (323) TO REPORT RTC WITH CAR. CAR CAME FROM DRIVERS RIGHT FROM THE FIRST JUNCTION AFTER SHA O/B. 09:02 J LAVER 792 23/02/2024 INCIDENT DRIVER REPORTS MINOR DAMAGE TO FRONT BUMPER OF TRAM. DMS AND RSM INFORMED. DRIVER TO EXCHANGE DETAILS RSM HAPPY FOR TRAM TO CONTINUE BUT CONTROLLED SWAP ON WAY BACK TOWARDS MEI. CCTV SIBAS AND REPORTS REQUESTED. TIM ENTBY DAT CAT ID 09:10 J LAVER 792 23/02/2024 INCIDENT INSURANCE DETAILS EXCHANGED AND TRAM NOW MOVING TACT FOR SIBAS 149434 TACT FOR RTC DAMAGE 149428. EV/2024/00779</t>
  </si>
  <si>
    <t>Car pulling out in front of the tram</t>
  </si>
  <si>
    <t xml:space="preserve">Car driver not using observations </t>
  </si>
  <si>
    <t xml:space="preserve">The incident was reported to OCC and an accident form was completed </t>
  </si>
  <si>
    <t>2311-61</t>
  </si>
  <si>
    <t>TIM ENTBY DAT CAT ID 13:18 J LAVER 792 23/02/2024 INCIDENT DRV OF T117 N BURTON (391) REPORTED TRAFFIC VIOLATION CIH IB CCTV REQUESTED</t>
  </si>
  <si>
    <t>2311-64</t>
  </si>
  <si>
    <t>08:02 J RAMSDEN 463 26/02/2024 INCIDENT TRAM 104 N. KHAN (914) REPORTED VIA EMERGENCY CALL RTC WITH PEDESTRIAN AT SHS O/B. NO INJURIES REPORTED AND NO MEDICAL ATTENTION REQUIRED. DRIVER TOOK DETAILS FROM PEDESTRIAN BEFORE PEDESTRIAN LEFT SCENE.TIM ENTBY DAT CAT ID 08:02 J RAMSDEN 463 26/02/2024 INCIDENT DRIVER CONFIRMED OKAY TO CONTINUE, DRIVER TO BE RELIEVED ONCE BACK IN TOWN TO SPEAK TO DM. DM E. COOPER INFORMED AND ON CALL MANAGER G. SEABORN INFORMED OF INCIDENT. CCTV AND SIBAS REQUESTED. TACT: 149527. 11:20 J RAMSDEN 463 26/02/2024 INCIDENT DM E. COOPER REPORTED DRIVER N. KHAN (914) BACK FROM REPORTING INCIDENT TO SYP. INCIDENT NUMBER 26-02-2024/0245.</t>
  </si>
  <si>
    <t xml:space="preserve">Pedestrian walking into the side of a moving tram </t>
  </si>
  <si>
    <t xml:space="preserve"> pedestrian not looking and waring headphones so unable to hear audible warning </t>
  </si>
  <si>
    <t xml:space="preserve">The incident was reported to OCC via an emergency call then a report was completed - SYP were informed </t>
  </si>
  <si>
    <t>15:26 B RILEY 608 26/02/2024 INCIDENT DRV C A MORRISON ON TRAM 114 REPORTS SPAB SJR, TACTS 149535,149536,149538, CCTV, SIBAS, REPORTS, DM R WILD AWARE</t>
  </si>
  <si>
    <t>Low rail adhesion</t>
  </si>
  <si>
    <t>Tram slipped past the LRT at BAR due to drizzle</t>
  </si>
  <si>
    <t xml:space="preserve">Driver called OCC but continued into the tramstop </t>
  </si>
  <si>
    <t>TIM ENTBY DAT CAT ID 00:16 D BRIDGES 850 26/02/2024 INCIDENT T112 DVR R HOLLINGWORTH (98507246) WAS TOLD WHEN BRINGING THE TRAM ONTO DEPOT TO USE TRACK 7 AND STABLE ON 9 EAST HE WAS OBSERVED MOVING ONTO TRACK 9 AND CHANGING ENDS AND MOVING THE TRAM A SHORT DISTANCE TOWARDS THE HEAD SHUNT, HE WAS OBSERVED CONTTIM ENTBY DAT CAT ID 00:16 D BRIDGES 850 27/02/2024 INCIDENT DOING THIS TWICE BEFORE OCC WERE ABLE TO MAKE RADIO CONTACT DM R WILD TO SPEAK TO THE DVR BEFORE HE WENT HOME</t>
  </si>
  <si>
    <t>Driver trying to rectify an error</t>
  </si>
  <si>
    <t xml:space="preserve">Driver was stopped by OCC and referred to theduty manager on at the time </t>
  </si>
  <si>
    <t>Passenger reported that tram had overshot platform - passenger exited from rear door which was not lined up with platform causing her to stumble/fall -passengers trying to board tram were caught in doors</t>
  </si>
  <si>
    <t>The driver did not stop in the correct position</t>
  </si>
  <si>
    <t xml:space="preserve">Driver errror </t>
  </si>
  <si>
    <t xml:space="preserve">The incident was not reportted at the time as the driver was unaware - after viewing the CCTV footage the river was removed from driving duties </t>
  </si>
  <si>
    <t>2311-68</t>
  </si>
  <si>
    <t>14:14 G CHISNALL 72 27/02/2024 INCIDENT G LILLEY(625) TRAM 124 REPORTED A PASSENGER FALL HILS IN/B NO MEDICAL ASSISTANE REQ CCTV , SIBAS &amp; REPORTS REQUESTED</t>
  </si>
  <si>
    <t>Passenger not holding on /driver leaving platform</t>
  </si>
  <si>
    <t>Passenger not holding /tram leaving platform</t>
  </si>
  <si>
    <t>2311-69</t>
  </si>
  <si>
    <t>14:56 G CHISNALL 72 27/02/2024 INCIDENT TRAM 111 C SMITH(77152) REPORTED HAVING HAVING A PLASTIC BOTTLE THROWN AT HIM BY BIRLEY KIDS CCTV REQUESTED CRAIG NOT WANTING TO REPORT IT</t>
  </si>
  <si>
    <t>2311-70</t>
  </si>
  <si>
    <t>07:46 J RAMSDEN 463 28/02/2024 INCIDENT T123 C. MORAN (8506977) REPORTED BLACK BMW X5 WITH ALL WINDOWS SMASHED DROVE ACROSS LEL I/B AT EXCESSIVE SPEEDS. REPORTED TO SYP VIA 999. MULTIPLE REPORTS ALREADY GIVEN TO SYP. INCIDENT NUMBER 28022024/135. CCTV REQUESTED.</t>
  </si>
  <si>
    <t>11:09 J RAMSDEN 463 28/02/2024 INCIDENT TRAM 124 A. JEFF (548) REPORTED PASSING TIN O/B SIGNAL MS02S AT BAR. DRIVER STOPPED AND INFORMED OCC. TT WAS REJOINING NETWORK AT TIME. DRIVER TO BE COVERED TO SPEAK TO DM J. CAWTHORN IN TOWN. CCTV, REPORT AND SIBAS REQUESTED. SIBAS: 149614</t>
  </si>
  <si>
    <t>Signal changes without warning to a bar</t>
  </si>
  <si>
    <t xml:space="preserve">Tram unable to stop safefly enough before passing signal </t>
  </si>
  <si>
    <t>Driver safely brough the tram to a stop and reported the incident to OCC</t>
  </si>
  <si>
    <t>2311-72</t>
  </si>
  <si>
    <t>16:30 B RILEY 608 28/02/2024 INCIDENT DRV N BURTON ON TRAM 113 REPORTS DOOR TRAP AT BAS O/B, NO INJURIES REPORTED, CCTV, REPORTS, DM E COOPER AWARE</t>
  </si>
  <si>
    <t xml:space="preserve">The passenger was slower exiting the tram </t>
  </si>
  <si>
    <t xml:space="preserve">The driver reported the incident to OCC </t>
  </si>
  <si>
    <t>2311-73</t>
  </si>
  <si>
    <t>23:28 D BRIDGES 850 28/02/2024 RTC T106 DVR S SPILLMAN (8504629) REPORTS A NON TRAM RTC ON WHITE LANE JUST AFTER GLT O/B BLOCKING THE TRACK 23:35 D BRIDGES 850 28/02/2024 RTC T106 DVR S SPILLMAN (8504629) REPORTS CAR IS NOW CLEAR OF TRACKS AND TRAM NOW RUNNING THROUGH TO HAL</t>
  </si>
  <si>
    <t>2311-74</t>
  </si>
  <si>
    <t>01:54 P BELL 59 29/02/2024 INFRASTRUCTUR G GREGORY REPORTS A CAR AT CITY RD/EASTERN AVE HAS KNOCKED DOWN A TRAFFIC LIGHT POLE WHICH IS BLOCKING THE O/B TRACK, G GREGORY TO CALL SYP 02:12 P BELL 59 29/02/2024 INFRASTRUCTUR G GREGORY REPORTS SYP NOW ON SITE AND AMEY WILL NEED TO ATTEND TO REMOVE THE TRAFFIC LIGHT OCC TO CALL AMEY 03:20 P BELL 59 29/02/2024 INFRASTRUCTUR G GREGORY AT EASTERN AVE REPORTS ALL CLEAR AND ONE TRAFFIC SIGNAL REMOVED. EV/2024/01040</t>
  </si>
  <si>
    <t>2311-75</t>
  </si>
  <si>
    <t>TIM ENTBY DAT CAT ID 15:40 G CHISNALL 72 29/02/2024 INCIDENT TRAM 113 CONDUCTOR C CRAWFORD(8506251) REPORTED A ASSAULT BIL IN/B NO MEDICAL ASSISTANCE REQUIRED CCTV REQUESTED , REPORT ON NEXT SHIFT. EV/2024/01041</t>
  </si>
  <si>
    <t xml:space="preserve">Unknown </t>
  </si>
  <si>
    <t xml:space="preserve">Not using conflict avoidance training </t>
  </si>
  <si>
    <t xml:space="preserve">Intoxicated passenger boards the tram at Park Grange Croft travelling towards Halfway - the passenger is very loud using explicit language while being eccentric and unaware of personal space - the codcutor remains near the passenger to de-escalate the situation - The passenger aligts the tram at Birley Lane and the conductor reports the incident to the driver - driver reports incident to OCC and the conductor speaks to the DM - CCTV is requested and report it completed - Duty of care meeting and a discussion regarding conflict avaidance takes place with suty manager </t>
  </si>
  <si>
    <t>2311-76</t>
  </si>
  <si>
    <t>Malin Bridge</t>
  </si>
  <si>
    <t>23:46 S GALLOWAY 2 29/02/2024 INCIDENT DRIVER G.LILLEY (625) TRAM 115 AT MALIN BRIDGE REPORTS THAT 3X YOUTHS WHO ALIGHTED THE TRAM AT SHALESMOOR O/B HAD SPRAY PAINTED A SALOON WINDOW AND AN EXTERNAL PANEL AS THE TRAM HAD DEPARTED. CCTV REQUESTED. TACT 149654. SYP CONTACTED VIA ONLINE PORTAL. EV/2024/01042</t>
  </si>
  <si>
    <t>POINT (-1.5081665 53.4006871)</t>
  </si>
  <si>
    <t>2311-77</t>
  </si>
  <si>
    <t>13:00 J WILKS 479 01/03/2024 INCIDENT DRV J BIRKITT (254) REPORTS FROM T115 THAT SHE HAD SOMETHING THROWN AT THE TRAM AT VAC I/B NO OBVIOUS DAMAGE CCTV REQ</t>
  </si>
  <si>
    <t>2311-78</t>
  </si>
  <si>
    <t>Birley Moor Road</t>
  </si>
  <si>
    <t>08:07 J LAVER 792 02/03/2024 INCIDENT DRV OF T114 J BELGRAVE (443) REPORTED THAT A FEMALE HAD FALLEN ONTO THE PLATFORM (BMR I/B) AFTER RUNNING FOR TRAM SHE FELL STEPPING UP ONTO THE PLATFORM. THE FEMALE THEN GOT UP AND WALKED AWAY. NO INJURIES REPORTED AT THE TIME CCTV AND REPORTS REQUESTED. EV/2024/01043</t>
  </si>
  <si>
    <t xml:space="preserve">Pedestrian attempting to board tram as it moved off </t>
  </si>
  <si>
    <t xml:space="preserve">Tram driver did not recognise or respond to hazard posed by by pedestrian </t>
  </si>
  <si>
    <t>POINT (-1.3887274 53.3415952)</t>
  </si>
  <si>
    <t xml:space="preserve">The driver contacted OCC and reproted the incident due to no duty of care being carried out no details were obtained form the person involved or injuries reported </t>
  </si>
  <si>
    <t>2311-79</t>
  </si>
  <si>
    <t>TIM ENTBY DAT CAT ID 19:02 P HUCKNALL 25 02/03/2024 INCIDENT DRIVER D GOULDSBROUGH (8505276) ON TRAM 112 REPORTED A DOUBLE DECKER BUS HAD DRIVEN ACROSS THE BOW STRING UP TO DELTA. MEMBERS OF THE PUBLIC HELPING THE BUS TURN AROUND. 19:08 P HUCKNALL 25 02/03/2024 INCIDENT THE BUS WAS UNABLE TO TURN ROUND AND IS NOW REVERSING BACK DOWN TO FIS. EV/2024/01044</t>
  </si>
  <si>
    <t>2312-01</t>
  </si>
  <si>
    <t>TIM ENTBY DAT CAT ID 00:57 S GALLOWAY 2 03/03/2024 OTHER PEDESTRIAN WALKED THROUGH DEPOT TRAM GATES WEST JUST PRIOR TO TRAM GATES BEING CLOSED. RSM CONTACTED TO LIAISE WITH HIM. THIS PERSON THENCLIMBED OVER DEPOT EAST VEHICLE GATES AND WALKED AWAY. EV/2024/01045</t>
  </si>
  <si>
    <t>11:32 D BRIDGES 850 04/03/2024 INCIDENT T108 DVR P HAWKINS (649860 REPORTS THAT HE MAY HAVE PASSED THROUGH A BAR AT ST JAMES ROW AND ENABLED THE TRAM DOORS WHEN NOT AT A TRAM STOP BUT NO ONE LEFT THE TRAM DVR TAKEN OFF AT NCS FOR REPORT DM N WYBRANT ADVISED AND CCTV REQUESTED 12:09 D BRIDGES 850 04/03/2024 INCIDENT DM N WYBRANT INFORMED OCC THAT AFTER SPEAKING TO DVR P HAWKINS (64986) THAT HE DID NOT PASS THROUGH A BAR AT ST JAMES ROW BUT DID ENABLE THE DOORS AT THAT LOCATION. EV/2024/01062</t>
  </si>
  <si>
    <t>2312-03</t>
  </si>
  <si>
    <t>TIM ENTBY DAT CAT ID 14:51 J WILKS 479 04/03/2024 INCIDENT DRV C TIRZIU (61202) REPORTS FROM T109 THAT HES HAD A NEAR MISS WITH A PEDESTRIAN LEAVING CAT O/B. THIS CAUSED HIM TO APPLY THE TRACK BRAKE WHICH CAUSED A PASSANGER TO FALL. REPORT, CCTV AND SIBAS REQUESTED XVPLUS DV149727. EV/2024/01063</t>
  </si>
  <si>
    <t xml:space="preserve">Tram using hazard brake </t>
  </si>
  <si>
    <t>Mobility scooter stopping in the trams path</t>
  </si>
  <si>
    <t>A call was made to OCC</t>
  </si>
  <si>
    <t>2312-04</t>
  </si>
  <si>
    <t>18:24 D READ 325 05/03/2024 INCIDENT DRV C MORAN REPORTED FROM T119 THAT HIS CON (J WOOFFINDIN 8506250) HAD BEEN VERBALLY ABUSED BY PASSENGERS. DM A ABRCLAY TO MEET AT CAS FOR  WELFARE CHECK. EV/2024/01067</t>
  </si>
  <si>
    <t>Removal of invalid pass</t>
  </si>
  <si>
    <t>Fare evasion</t>
  </si>
  <si>
    <t xml:space="preserve">Driver reported to OCC that his conductor had been verbally abused - DM met the tram and spoke to the conductor - who down played the incident - DM decides that a report of CCTV is not required </t>
  </si>
  <si>
    <t>2312-05</t>
  </si>
  <si>
    <t>TIM ENTBY DAT CAT ID 18:20 B RILEY 608 09/03/2024 INCIDENT DRV R PEARSON ON TRAM 125 AT MEI REPORTS CON A SREEREKA WAS ASSAULTED BY YOUTHS THROWING ITEMS ON THE TRAM, SHE WAS NOT HURT PHYSICALLY BUT FOUND IT DISTRESSING, CCTV, REPORTS, DM R WILD AWARE . EV/2024/01070</t>
  </si>
  <si>
    <t>Unruly teenagers</t>
  </si>
  <si>
    <t xml:space="preserve">Anti-social behaviour </t>
  </si>
  <si>
    <t>Driver reported to OCC and the conductor stayed away from the group</t>
  </si>
  <si>
    <t>2312-06</t>
  </si>
  <si>
    <t>18:40 B RILEY 608 09/03/2024 INCIDENT DRV J BIRKITT ON TRAM 120 CITY RD I/B REPORTS NEAR MISS, HAVING TO TRACK BRAKE DUE TO NON TRAM RTC WITH TWO CARS OCCURING IN FRONT OF HER, CCTV, SIBAS 149866, DM R WILD AWARE. EV/2024/01073</t>
  </si>
  <si>
    <t>Email from Duty Manager 19/04/2024 - The incident occurs because a 4x4 which is initially blocking the tracks at Cradock Road reverses back and hits the car behind it, when trying to clear the tracks. Bu there are no actions as such from the tram driver which led to this - she was just approaching as normal and preparing to stop.</t>
  </si>
  <si>
    <t>2312-07</t>
  </si>
  <si>
    <t>07:18 S EYRE 103 13/03/2024 INCIDENT DRIVER S GREEN (58403) T108 WEST ST O/B , REPORTED A BUS HAD CLIPPED THE WING MIRROR OF THE TRAM, THE BUS DIDN’T STOP SO NO DETAILS WERE EXCHANGED AT  THE TIME. NO DAMAGE REPORTED TO THE TRAM. CCTV AND REPORT REQUESTED.</t>
  </si>
  <si>
    <t>2312-08</t>
  </si>
  <si>
    <t>TIM ENTBY DAT CAT ID 12:08 S EYRE 103 13/03/2024 INCIDENT DRIVE S SPILLMAN (8504629) T108 O/B AT HIL , REPORTED A BROKEN-DOWN VEHICLE BLOCKING THE I/B TRACKS AT HILS , ON CALL INFORMED 12:49 S EYRE 103 13/03/2024 INCIDENT BROKEN-DOWN VEHICLE NOW MOVING BLUE / YELLOW ROUTE SERVICES CAN NOW OPERATE AS NORMAL TO MALIN BRIDGE / MIDDLEWOOD. BOTH ROUTES WILL STILL RUN WITH SOME DELAYS UNTIL THE SERVICE IS REFORMED.ON CALL INFORMED.</t>
  </si>
  <si>
    <t>12:52 S EYRE 103 13/03/2024 INCIDENT C MORAN (8506977) T104 FIRST YELLOW TRAM TO RUN O/B FROM HIL TO MID WRONG ROUTED TO MAB. HB01 ALARM THEN CLEARED. EV/2024/01074</t>
  </si>
  <si>
    <t xml:space="preserve">The driver stopped and informed OCC via an emergency call </t>
  </si>
  <si>
    <t>2312-10</t>
  </si>
  <si>
    <t>12:40 S EYRE 103 13/03/2024 INFRASTRUCTUR INF – BROKEN RAIL FOUND O/B AT PAG 3111, NO ACTION NEEDED AT THE MOMENT.TACT 149934. EV/2024/01075</t>
  </si>
  <si>
    <t>2312-11</t>
  </si>
  <si>
    <t xml:space="preserve">Carbrook </t>
  </si>
  <si>
    <t>TIM ENTBY DAT CAT ID 18:42 J WILKS 479 13/03/2024 INCIDENT DRV J TRAVIS (547) REPORTS FROM T203 THAT A PASSENGER HAS FALLEN PRIOR TO CAR O/B CCTV,SIBAS AND REPORTS REQUESTED XVPLUS DV149949. EV/2024/01076</t>
  </si>
  <si>
    <t xml:space="preserve">Passenger missed footing </t>
  </si>
  <si>
    <t>Looking at phone</t>
  </si>
  <si>
    <t>Driver immediatley contacted OCC</t>
  </si>
  <si>
    <t>2312-12</t>
  </si>
  <si>
    <t>02:55 J RAMSDEN 463 15/03/2024 INCIDENT SYP CONTACTED OCC TO REPORT NON TRAM RTC WOR. INFRA INFORMED AND TO ATTEND. NC M. TOWNSLEY TO INSPECT. TOWNHALL CCTV CAMERA NOT WORKING. NC M. TOWNSLEY AND W. BURKE REPORTED CAR CRASHED OVER PLATFORM AND ONTO TRACKS. INCIDENT NUMBER 63/15-03-2024. 03:09 J RAMSDEN 463 15/03/2024 INCIDENT OCC CONTACTED SYP FOR MORE DETAILS REGARDS RECOVERY AND SYP ATTENDANCE. SYP OFFICERS TO ATTEND. OCC CONTACTED QUICK MISSION TO ATTEND. 03:15 INFRA ON SITE. SYP ON SITE 03:39. TIM ENTBY DAT CAT ID 04:25 J RAMSDEN 463 15/03/2024 INCIDENT INFRA REPORTED QUICK MISSION ON SITE. REG BE04DAR. 05:06 INFRA REPORTED CAR CLEAR AND QUICK MISSION LEAVING SITE. NO DAMAGE TO THE RAIL HOWEVER BALLAST REQUIRES REDRESSING, EDGEING SLAB DAMAGED AND CONED OFF. 04:25 J RAMSDEN 463 15/03/2024 INCIDENT LARGE AMOUNT OF OIL SPILT ON PLATFORM AROUND THE FRONT SET OF DOORS. INFRA HAVE PUT GRANULES DOWN BUT WILL REQUIRE POWER WASHING. INFRA TO PASS ON TO DAY SHIFT. TACT: 149977. D. HALLAM INFORMED VIA EMAIL. EV/2024/01192</t>
  </si>
  <si>
    <t>2312-13</t>
  </si>
  <si>
    <t>05:50 J RAMSDEN 463 15/03/2024 INFRASTRUCTUR TRAM 124 T. BALDWIN (8501802) REPORTED LOUD BANG GOING OVER RAIL BREAK AT PAG O/B. INFRA INFORMED AND TO INSPECT. NO SPEED RESTRICTION REQUIRED CURRENTLY. NEXT TRAM INFORMED.TACT: 14997906:20 J LAVER 792 15/03/2024 INFRASTRUCTUR B CLAYTON HAS BEEN AND INSPECTED THE RAIL BREAK AND HAS FOUND NO ISSUES. TRAMS TO CONTINUE AT NORMAL LINE SPEED</t>
  </si>
  <si>
    <t>2312-14</t>
  </si>
  <si>
    <t>09:57 J LAVER 792 15/03/2024 INFRASTRUCTUR DUE TO AN ISSUE WITH T123 LOOSING POWER TWICE IN EXACTLY THE SAME LOCATION INFRA WERE ASKED TO CHECK THE OHLE EQUIPMENT. THEY HAVE BEEN TO SITE AND CAN FIND NOTHING UNUSUAL. RSM ARE AWARE THAT BOTH TIMES THIS TRAM SAT
DOWN IT WAS IN THE SAME LOCATION</t>
  </si>
  <si>
    <t>2312-15</t>
  </si>
  <si>
    <t>15:43 G CHISNALL 72 15/03/2024 INCIDENT TRAM 101 J BIRKIT(254) REPORTED FALLER PAG O/B AS THE TRAM STOPPED , NO INJURIES REPORT , CCTV &amp; SIBAS REQUESTED EV/2024/01193</t>
  </si>
  <si>
    <t>Passengers making their way down aisle/steps towards doorway</t>
  </si>
  <si>
    <t>Tram setting off from stop</t>
  </si>
  <si>
    <t xml:space="preserve">The conductor checked on the passengers  - no medicla attention was called for - the driver reported the incident to OCC </t>
  </si>
  <si>
    <t>2312-16</t>
  </si>
  <si>
    <t>TIM ENTBY DAT CAT ID 18:05 G CHISNALL 72 15/03/2024 INCIDENT TRAM 107 J AHMED (8500445) REPORTED A AGGRESSIVE PASSENGER TOWARD STAFF &amp; PASSENGERS ON THE TRAM AT MEI SHE DAMAGED THE THE CONDUCTORS( A ELLIS8513296) TICKET MACHINE POLICE &amp; MEI SECURITY ASKED TO ATTENDED CCTV REQUESTED18:20 G CHISNALL 72 15/03/2024 INCIDENT DUE TO THE AGGRESSIVE PASSENGER YELLOW ROUTE TURNED AT TIN ON CALL D HALLAM INFORMED 18:30 G CHISNALL 72 15/03/2024 INCIDENT. 10:16 S EYRE 103 16/03/2024 SICKNESS CON A ELLIS (8513296) WILL NOT IN FOR D29 AT 12:21 DUE TO STILL BEING SHOOK UP AFTER AN INCIDENT ON THE TRAM LAST NIGHT. DM D TINGLE INFORMED. POLICE &amp; SECURITY NOW ON SITE TRAMS BEING ALLOWED TO SERVE MEADOWHALL 18:46 G CHISNALL 72 15/03/2024 INCIDENT POLICE HAVE ARRESTED PASSENGER CREW OKAY TO BRING TRAM TO DEPOT DM JC TO DO WELFARE CHECKS. EV/2024/01194</t>
  </si>
  <si>
    <t>Passenger aggression</t>
  </si>
  <si>
    <t>Passenger with mental health issues/drunk</t>
  </si>
  <si>
    <t>The incident was reported to OCC and the police attended the scene, duty manager John Cawthorn checked the welfare of the staff invovled - incident reports were completed by both the driver and the conductor</t>
  </si>
  <si>
    <t>2312-17</t>
  </si>
  <si>
    <t>13:27 S EYRE 103 16/03/2024 INCIDENT DVR C COWLEY (757)T116, REPORTED A PASSENGER FELL ON THE TRAM AS IT WAS PULLING AWAY CAR I/B. THE PASSENGER NEEDED NO MEDICAL ATTENTION AT THE TIME AND CONTINUED HIS JOURNEY. CCTV AND REPORT REQUESTED. EV/2024/01195</t>
  </si>
  <si>
    <t>The passenger fell due to the normal movement of the tram</t>
  </si>
  <si>
    <t>2312-18</t>
  </si>
  <si>
    <t>18:33 D BRIDGES 8503 16/03/2024 INCIDENT SHEFFIELD CCTV CALLED OCC TO INFORM US A MENBER OF THE PUBLIC HAS CLIMBED ONTO THE SCAFFOLDING AT ROCKINGHAM ST AND WEST ST IS NOW CLOSED IN BOTH DIRECTIONS 20:45 D BRIDGES 8503 16/03/2024 INCIDENT NOW RUNNING THROUGH ON WEST ST IS NOW OVER AND TRAMS ARE RUNNING THROUGH</t>
  </si>
  <si>
    <t>2312-19</t>
  </si>
  <si>
    <t>22:11 P HUCKNALL 25 16/03/2024 INCIDENT DRIVER J TRAVIS (547) ON TRAM 201 REPORTED WHEN COMING BACK ON NETWORK OF THE AWS ACTIVATION. HE REPORTED THAT THE HSBC FAILED TO RESET WHEN GOING THROUGH THE NEUTRAL SECTION AND WHILE DEALING WITH THAT HE FAILED TO 22:11 P HUCKNALL 25 16/03/2024 INCIDENT IN TIME AND CAME TO A STOP. REPORT REQUESTED. ACKNOWLEDGE THE TEMPORARY AWS MAGNET</t>
  </si>
  <si>
    <t>The tram train was on the outbound chord in the area of the neutral section.  Just after the neutral section there is a permanent AWS connected to signal MS04S, then there is a temporary AWS magnet for the speed restriction further up the line on down/up Tinsley.</t>
  </si>
  <si>
    <t>2312-20</t>
  </si>
  <si>
    <t>TIM ENTBY DAT CAT ID 13:15 B RILEY 608 18/03/2024 INCIDENT DRV C A MORRISON ON TRAM 114 REPORTS PASSING SIGNAL AT CIH I/B AS IT CLUSTERED ON APPROACH, CCTV, REPORTS, DM R WILD AWARE</t>
  </si>
  <si>
    <t xml:space="preserve">Signal in fall back confirmed not SPAB by DM &amp; s Galloway after viewing incident </t>
  </si>
  <si>
    <t>2312-21</t>
  </si>
  <si>
    <t>22:29 J RAMSDEN 463 18/03/2024 OTHER TRAM 123 M. STOREY (745) REPORTED LEL O/B A CAR HAD RUN OUT OF FUEL BLOCKING TRACKS. PASSENGERS DETRAINED VIA ONE SET OF EMERGENCY DOORS. SYP IN ATTENDANCE AND PUSHED CAR OUT OF WAY. 22:44 CAR NOW CLEAR OF THE TRACKS.</t>
  </si>
  <si>
    <t>POINT (-1.5043348 53.4106223)</t>
  </si>
  <si>
    <t>The HBSC should reset automatically as the tram is coasting through the neutral section. On this occasion it did not, so the driver had to manually reset the HBSC on the second screen whilst coasting at 10 MPH.  At the same time, the permanent AWS 'pinged' indicating a green signal at MS04S.  The driver does not need to acknowledge this.  Immediately after that a lower pitch 'ping' is heard indicating that an acknowledgement of the temporary speed restriction is required.  As the driver was trying to reset the HBSC, he was a split second too late in acknowledging the AWS.  This then resulted in the AWS activating and the tram coming to a stop. </t>
  </si>
  <si>
    <t>2312-22</t>
  </si>
  <si>
    <t>15:17 J LAVER 792 19/03/2024 INCIDENT DRCV OF 114 REPORTED DOOR INCIDENT AT SHS O/B. PASSENGER CAUGHT BY DOORS WHILST GETTING OFF NO INJURIES REPORTED AT THE TIME. CCTV AND REPORT REQUESTED. EV/2024/01196</t>
  </si>
  <si>
    <t>The passenger was delayed getting off due to the volume of passengers that had just boarded</t>
  </si>
  <si>
    <t xml:space="preserve">The passenger was delayed getting off due to the volume of passengers that had just boarded </t>
  </si>
  <si>
    <t xml:space="preserve">The driver reported the inicdent to OCC </t>
  </si>
  <si>
    <t>2312-23</t>
  </si>
  <si>
    <t>18:21 J LAVER 792 19/03/2024 INCIDENT DRV OF T113 D PILGRIM (095) REPORTED THAT THE CONDUCTOR I MC CALLUM (61472) HAD INFORMED HIM THAT A PASSENGER HAD STOLEN THE EMERGENCY DESTINATION BOARDS AND HAD EXITED THE TRAM AT WES WITH THEM. CCTV REQUESTED AND REPORTED TO SYP VIA ON LINE PORTAL</t>
  </si>
  <si>
    <t>2312-24</t>
  </si>
  <si>
    <t>10:01 P BELL 59 20/03/2024 INCIDENT DVR R SINGER 097 REPORTS FROM TRAM 202 AT CAT THAT CON I DOWNES 553 HAS BEEN VERBALLY ABUSED AND REQUIRES TO BE RELIEVED TO SEE DM J CAWTHORNE CCTV REQUESTED AND REPORT REQUESTED. EV/2024/01197</t>
  </si>
  <si>
    <t xml:space="preserve">Conductor approached person for fare </t>
  </si>
  <si>
    <t>The conductor reported the incident via OCC completed a report and recorded the incident via SYP portal</t>
  </si>
  <si>
    <t>2312-25</t>
  </si>
  <si>
    <t>17:31 S COLLINS 406 20/03/2024 INCIDENT NEXT VEHICLE TO APPROACH PS01 IS T203, DUE TO HEAVY LOADING AND NO EXTERNAL CAB DOOR, DRIVER IS UNABLE TO HAND-OPERATE. EVENT PLAN STATES DM A.BARCLAY SHOULD BE AT FIS WHO COULD ASSIST BUT NOT THERE. TRAM HELD UNTIL
FOLLOWING SERVICE CAN HELP</t>
  </si>
  <si>
    <t>2312-26</t>
  </si>
  <si>
    <t>22:14 J RAMSDEN 463 20/03/2024 INCIDENT TRAM 104 J. MITCHELL (75341) REPORTED MARKS TO THE WINDSCREEN POTENTIALLY CAUSED BY BALLAST BEEN THROWN AT TRAM. REPORTED TO HAVE POTENTIALLY OCURRED AT CIR I/B. CCTV REQUESTED. TO BE REPORTED TO SYP IF AN INCIDENT IS SEEN TO OCCUR. TACT: 150129. EV/2024/01198</t>
  </si>
  <si>
    <t>2312-27</t>
  </si>
  <si>
    <t>23:24 J RAMSDEN 463 20/03/2024 INCIDENT DRIVER D. WORTH (569) TRAM 111 REPORTED PANEL ABOVE DOOR OPEN AND DAMAGED. NOTICED ONCE TRAM OOS AT CAT AFTER EVENT. CCTV REQUESTED TO SEE IF DAMAGE WAS INTENTIONAL. SYP TO BE INFORMED IF FOUND. TACT: 150130</t>
  </si>
  <si>
    <t>2312-28</t>
  </si>
  <si>
    <t xml:space="preserve">DE03 Points </t>
  </si>
  <si>
    <t>23:59 J RAMSDEN 463 20/03/2024 INCIDENT TRAM 122 N. BURTON (391) WRONG CODE ENTERED 300 INSTEAD OF 306. DRIVER STOPPED PRIOR TO DE03 POINTS AND INFORMED OCC. PERMISSION TO HANDWORK POINTS. NO ALARMS ON SCADA, INFRA AND NEXT TRAM INFORMED. DM R. WILD INFORMED. EV/2024/01199</t>
  </si>
  <si>
    <t>15:15 DRV OF T103 REPORTED UNEXPECTED TRACK BRAKE APPLICATION (INR-SHA I/B) THEN TRAM  SHOWED A CAT B BRAKE FAULT WHICH CLEARED. ALSO REPORTED THAT PRIOR TO THE TRACK BRAKE APP A PASSENGER HAD FALLEN ON THE TRAM. NO INJURIES REPORTED AT THE TIME.  TACT FOR TRAM 150157 CCTV, REPORTS AND SIBAS REQUESTED TACT 150159. EV/2024/01200</t>
  </si>
  <si>
    <t xml:space="preserve">Passenger not holding on </t>
  </si>
  <si>
    <t>Unknown track brake application</t>
  </si>
  <si>
    <t xml:space="preserve">Driver called OCC and the conductor checked on the passenger </t>
  </si>
  <si>
    <t>2312-30</t>
  </si>
  <si>
    <t>21:58 DRV OF T120 REPORTED NEAR MISS LEL O/B CAR PULLED OUT OF JUNCTION. TRACK BRAKE  APPLIED. ALL ON BOARD OKAY. CCTV AND REPORTS REQUESTED. EV/2024/01201</t>
  </si>
  <si>
    <t>2312-31</t>
  </si>
  <si>
    <t>Depot West</t>
  </si>
  <si>
    <r>
      <rPr>
        <sz val="11"/>
        <color rgb="FFFF0000"/>
        <rFont val="Calibri"/>
        <family val="2"/>
        <scheme val="minor"/>
      </rPr>
      <t>Was 2312-31</t>
    </r>
    <r>
      <rPr>
        <sz val="11"/>
        <color theme="1"/>
        <rFont val="Calibri"/>
        <family val="2"/>
        <scheme val="minor"/>
      </rPr>
      <t xml:space="preserve"> 00:37 T120 DRV N. BURTON (391) ENTERED DEPOT WEST WITH WRONG CODE (300) DW01 POINTS  ALARM POINTS HAND WORKED. ALARM CLEARED AFTER FOLLOWING TRAM. EV/2024/01202</t>
    </r>
  </si>
  <si>
    <t>Was sent out for investigation 25/03/2024</t>
  </si>
  <si>
    <t>2312-32</t>
  </si>
  <si>
    <r>
      <rPr>
        <sz val="11"/>
        <color rgb="FFFF0000"/>
        <rFont val="Calibri"/>
        <family val="2"/>
        <scheme val="minor"/>
      </rPr>
      <t>Was 2312-32</t>
    </r>
    <r>
      <rPr>
        <sz val="11"/>
        <color theme="1"/>
        <rFont val="Calibri"/>
        <family val="2"/>
        <scheme val="minor"/>
      </rPr>
      <t xml:space="preserve"> 15:27 SYP INFORM OCC OF A NON TRAM RTC BLOCKING PAG O/B</t>
    </r>
  </si>
  <si>
    <t>2312-33</t>
  </si>
  <si>
    <r>
      <rPr>
        <sz val="11"/>
        <color rgb="FFFF0000"/>
        <rFont val="Calibri"/>
        <family val="2"/>
        <scheme val="minor"/>
      </rPr>
      <t>Was 2312-33</t>
    </r>
    <r>
      <rPr>
        <sz val="11"/>
        <color theme="1"/>
        <rFont val="Calibri"/>
        <family val="2"/>
        <scheme val="minor"/>
      </rPr>
      <t xml:space="preserve"> 17:00 L. RADFORD, 423 REPORTS TO DM R. WILD + DM E. COOPER THAT SHE FELL OVER AT  APPROX. 14:45 ON THE DELTA REPORT + CCTV REQUESTED.</t>
    </r>
  </si>
  <si>
    <t xml:space="preserve">As discussed in the daily call - there weere no hazards - the conductor tripped over her own foot </t>
  </si>
  <si>
    <t>2312-34</t>
  </si>
  <si>
    <r>
      <rPr>
        <sz val="11"/>
        <color rgb="FFFF0000"/>
        <rFont val="Calibri"/>
        <family val="2"/>
        <scheme val="minor"/>
      </rPr>
      <t xml:space="preserve">Was 2312-34 </t>
    </r>
    <r>
      <rPr>
        <sz val="11"/>
        <color theme="1"/>
        <rFont val="Calibri"/>
        <family val="2"/>
        <scheme val="minor"/>
      </rPr>
      <t>17:50 DRV J. MAJOR 8506252 REPORTS FROM TRAM 113 ON CITY RD I/B THAT WHILST AT MTE I/B A LARGE SALOON WINDOW WAS SMASHED, NO INJURIES AND CCTV REQUESTED. SYP ONLINE COMPLETED. EV/2024/01203</t>
    </r>
  </si>
  <si>
    <t>2312-35</t>
  </si>
  <si>
    <r>
      <rPr>
        <sz val="11"/>
        <color rgb="FFFF0000"/>
        <rFont val="Calibri"/>
        <family val="2"/>
        <scheme val="minor"/>
      </rPr>
      <t>Was 2312-35</t>
    </r>
    <r>
      <rPr>
        <sz val="11"/>
        <color theme="1"/>
        <rFont val="Calibri"/>
        <family val="2"/>
        <scheme val="minor"/>
      </rPr>
      <t xml:space="preserve"> 19:06 DRV B. HILL REPORTS YOUTHS KICKING DOOR THEN IT NEEDED ISOLATING CCTV  REQUESTED. EV/2024/01204</t>
    </r>
  </si>
  <si>
    <t>2312-36</t>
  </si>
  <si>
    <r>
      <rPr>
        <sz val="11"/>
        <color rgb="FFFF0000"/>
        <rFont val="Calibri"/>
        <family val="2"/>
        <scheme val="minor"/>
      </rPr>
      <t>Was 2312-36</t>
    </r>
    <r>
      <rPr>
        <sz val="11"/>
        <color theme="1"/>
        <rFont val="Calibri"/>
        <family val="2"/>
        <scheme val="minor"/>
      </rPr>
      <t xml:space="preserve"> 13:15 C COWLEY (757) T109 REPORTED PASSENGER FALL BETWEEN GLT TO HOL I/B NO INJURIES REPORTED. CCTV AND SIBAS REQUESTED TACT 15019113:15. EV/2024/01207 </t>
    </r>
  </si>
  <si>
    <t>Driver has left the business</t>
  </si>
  <si>
    <t>2312-37</t>
  </si>
  <si>
    <t xml:space="preserve"> 20:15 DRV S. GREEN 58403 REPORTS FROM TRAM 120 THAT CON W. CAIN 8503271 WAS  VERBALLY ABUSED BY A GROUP OF FOUR YOUNG PEOPLE. EV/2024/01211</t>
  </si>
  <si>
    <t xml:space="preserve">Driver of tram 120 reports conductor has been verbally abused by 4 passengers  - No report or CCTV was requested - report now completed </t>
  </si>
  <si>
    <t>2312-38</t>
  </si>
  <si>
    <r>
      <rPr>
        <sz val="11"/>
        <color rgb="FFFF0000"/>
        <rFont val="Calibri"/>
        <family val="2"/>
        <scheme val="minor"/>
      </rPr>
      <t>Was 2312-38</t>
    </r>
    <r>
      <rPr>
        <sz val="11"/>
        <color theme="1"/>
        <rFont val="Calibri"/>
        <family val="2"/>
        <scheme val="minor"/>
      </rPr>
      <t xml:space="preserve"> 20:55 - DRV T Baldwin (8501802) reports, from T119 @ CIH I/B, that a pedestrian fell off the platform in front of the tram and had a head injury. DM E Cooper to site. CCTV requested. DM R Bridges reports, from CIH I/B, that the person who fell off the platform needs an ambulance. DMs and casualty to get off at CAT to wait for ambulance. EV/2024/01214</t>
    </r>
  </si>
  <si>
    <t xml:space="preserve">Pedestrian fallling onto the path of the oncoming tram </t>
  </si>
  <si>
    <t xml:space="preserve">Intoxicated pederstrian </t>
  </si>
  <si>
    <t xml:space="preserve">The incident was reported to OCC and an incidnet report was completed </t>
  </si>
  <si>
    <t>2312-39</t>
  </si>
  <si>
    <t>DW01 Points</t>
  </si>
  <si>
    <r>
      <rPr>
        <sz val="11"/>
        <color rgb="FFFF0000"/>
        <rFont val="Calibri"/>
        <family val="2"/>
        <scheme val="minor"/>
      </rPr>
      <t>Was 2312-39</t>
    </r>
    <r>
      <rPr>
        <sz val="11"/>
        <color theme="1"/>
        <rFont val="Calibri"/>
        <family val="2"/>
        <scheme val="minor"/>
      </rPr>
      <t xml:space="preserve"> DRV K Broughton (8502032) reports from T112 at DW01points that they have not changed. This is due to an incorrect code entered (000 depot Should be 200 or 500 ) t112 sent to MEI with a spare driver. EV/2024/01216</t>
    </r>
  </si>
  <si>
    <t xml:space="preserve">Driver inptued the wrong vis codes </t>
  </si>
  <si>
    <t>Driver changed code before headshunt</t>
  </si>
  <si>
    <t>Driver stopped before points and called OCC</t>
  </si>
  <si>
    <r>
      <rPr>
        <sz val="11"/>
        <color rgb="FFFF0000"/>
        <rFont val="Calibri"/>
        <family val="2"/>
        <scheme val="minor"/>
      </rPr>
      <t>Was 2312-40</t>
    </r>
    <r>
      <rPr>
        <sz val="11"/>
        <color theme="1"/>
        <rFont val="Calibri"/>
        <family val="2"/>
        <scheme val="minor"/>
      </rPr>
      <t xml:space="preserve"> Trap and Drag incident’ which occurred at CAT. This involved the 1455 Departure from Cricket Inn Road towards Meadowhall. (Either Tram 116, or 106), and therefore the incident occurred in the region of 1335 – 1345. A visually impaired gentleman’s cane became trapped in the rearmost doors of the tram-set, and this individual was dragged for a distance of approximately 5 – 10 metres, before the emergency plunger was depressed to stop the tram. EV/2024/01217
 </t>
    </r>
  </si>
  <si>
    <t xml:space="preserve">Passenger placed white stick in closing doors causing it to become trapped </t>
  </si>
  <si>
    <t xml:space="preserve">Poor mirror use/observation by tram driver </t>
  </si>
  <si>
    <t xml:space="preserve">The driver checked on the passenger and reset the doors involved before continuing </t>
  </si>
  <si>
    <t>Sheffield Road Bridge</t>
  </si>
  <si>
    <r>
      <rPr>
        <sz val="11"/>
        <color rgb="FFFF0000"/>
        <rFont val="Calibri"/>
        <family val="2"/>
        <scheme val="minor"/>
      </rPr>
      <t>Was 2312-47</t>
    </r>
    <r>
      <rPr>
        <sz val="11"/>
        <color theme="1"/>
        <rFont val="Calibri"/>
        <family val="2"/>
        <scheme val="minor"/>
      </rPr>
      <t xml:space="preserve"> 24/03/24 Sunday Days -CAT B drive – Continued from nightshift and tested to Meadowhall. Driving ok with no faults logged but noted a ‘clunk’ when passing under Sheffield Road bridge. Investigated and checked height of pan elbow, found to be slightly high at 605mm so adjusted as required to tolerance and retested OK. Requested OCC provide a mainline driver for further 2 x test runs. No faults reported.  25/03/24 Monday Nights
Pan check after damage to OHL found. - Checked pan and evidence of arcing/damage on elbow. Removed pan and put on jig. Noticed chains very slack at point of rest. Held down pan head whilst raising pan and at least 6 " of elbow movement upwards before lifting pan head. Tightened chains and adjusted cylinder lug until 3670mm achieved. Held pan head down and lifted and now only about 1 " of upward elbow movement prior
to lifting head. Painted damaged area and refitted pan. Checked elbow height on tram and 600mm
(used as training for M.P.)</t>
    </r>
  </si>
  <si>
    <t xml:space="preserve">Matthew Wright </t>
  </si>
  <si>
    <t xml:space="preserve">The elbow of the pantograph contaced the OHLE </t>
  </si>
  <si>
    <t>Incorretly set elbow height on exam - chain tension was not correct on the elbow of the pantograph - VMI does not state to check for elbw lift during setting</t>
  </si>
  <si>
    <t>See level 2 report located in the issued section of the library</t>
  </si>
  <si>
    <t>2312-42</t>
  </si>
  <si>
    <t xml:space="preserve">Delta </t>
  </si>
  <si>
    <r>
      <rPr>
        <sz val="11"/>
        <color rgb="FFFF0000"/>
        <rFont val="Calibri"/>
        <family val="2"/>
        <scheme val="minor"/>
      </rPr>
      <t>Was 2312-41</t>
    </r>
    <r>
      <rPr>
        <sz val="11"/>
        <color theme="1"/>
        <rFont val="Calibri"/>
        <family val="2"/>
        <scheme val="minor"/>
      </rPr>
      <t xml:space="preserve"> 16:02- 26/03/2024 - T202 driver D.Wilks (651) reports cracked hopper window after kids on the Delta throw ballast at tram. CCTV requested, reported to SYP via townhall CCTV &amp; online portal.EV/2024/01219</t>
    </r>
  </si>
  <si>
    <t>2312-43</t>
  </si>
  <si>
    <t>PS09 Points</t>
  </si>
  <si>
    <r>
      <rPr>
        <sz val="11"/>
        <color rgb="FFFF0000"/>
        <rFont val="Calibri"/>
        <family val="2"/>
        <scheme val="minor"/>
      </rPr>
      <t>Was 2312-42</t>
    </r>
    <r>
      <rPr>
        <sz val="11"/>
        <color theme="1"/>
        <rFont val="Calibri"/>
        <family val="2"/>
        <scheme val="minor"/>
      </rPr>
      <t xml:space="preserve"> 05:45 W Hinchcliffe tram 206 wrong code entered PS09 hand worked. EV/2024/01220</t>
    </r>
  </si>
  <si>
    <t xml:space="preserve">Driver inputted the wrong code </t>
  </si>
  <si>
    <t>Driver not paying attention to duty board</t>
  </si>
  <si>
    <t>Driver stopped before points and contacted OCC</t>
  </si>
  <si>
    <t>2312-44</t>
  </si>
  <si>
    <r>
      <rPr>
        <sz val="11"/>
        <color rgb="FFFF0000"/>
        <rFont val="Calibri"/>
        <family val="2"/>
        <scheme val="minor"/>
      </rPr>
      <t>Was 2312-43</t>
    </r>
    <r>
      <rPr>
        <sz val="11"/>
        <color theme="1"/>
        <rFont val="Calibri"/>
        <family val="2"/>
        <scheme val="minor"/>
      </rPr>
      <t xml:space="preserve"> 15:34 G Dobbin on T106 reported Passenger Fell out of a mobility scooter and unable to get up. Ambulance requested. Tram unable to move currently. Unable to use CAT crossover due to T117 being behind this tram.16:46  Passenger now in ambulance service able to run through. Ticket acceptance cancelled with First Bus. EV/2024/01221</t>
    </r>
  </si>
  <si>
    <t xml:space="preserve">Passenger slides off a mobility scooter </t>
  </si>
  <si>
    <t xml:space="preserve">Medical issue </t>
  </si>
  <si>
    <t xml:space="preserve">Driver was immediatley informed OCC as soon her was aware </t>
  </si>
  <si>
    <t>2312-45</t>
  </si>
  <si>
    <r>
      <rPr>
        <sz val="11"/>
        <color rgb="FFFF0000"/>
        <rFont val="Calibri"/>
        <family val="2"/>
        <scheme val="minor"/>
      </rPr>
      <t>Was  2312-44</t>
    </r>
    <r>
      <rPr>
        <sz val="11"/>
        <color theme="1"/>
        <rFont val="Calibri"/>
        <family val="2"/>
        <scheme val="minor"/>
      </rPr>
      <t xml:space="preserve"> 28:05 Driver T.Baldwin (8501802) on T120 reports drunk passenger repeatedly falling on tram  (stationary) at CAS I/B. Passenger now off tram. CCTV and reports requested.</t>
    </r>
  </si>
  <si>
    <t>2312-46</t>
  </si>
  <si>
    <r>
      <rPr>
        <sz val="11"/>
        <color rgb="FFFF0000"/>
        <rFont val="Calibri"/>
        <family val="2"/>
        <scheme val="minor"/>
      </rPr>
      <t>Was 2312-45</t>
    </r>
    <r>
      <rPr>
        <sz val="11"/>
        <color theme="1"/>
        <rFont val="Calibri"/>
        <family val="2"/>
        <scheme val="minor"/>
      </rPr>
      <t xml:space="preserve"> 07:20 Tram 124 J. Leggett (8504143) reported graffiti on side of tram, unknown as to when graffiti had  been tagged on tram. Graffiti non-offensive. Cleaners informed and to meet tram. TACT: 150323. EV/2024/01222</t>
    </r>
  </si>
  <si>
    <t>2312-47</t>
  </si>
  <si>
    <r>
      <rPr>
        <sz val="11"/>
        <color rgb="FFFF0000"/>
        <rFont val="Calibri"/>
        <family val="2"/>
        <scheme val="minor"/>
      </rPr>
      <t>Was 2312-46</t>
    </r>
    <r>
      <rPr>
        <sz val="11"/>
        <color theme="1"/>
        <rFont val="Calibri"/>
        <family val="2"/>
        <scheme val="minor"/>
      </rPr>
      <t xml:space="preserve"> 09:27 Tram 119 J. Belgrave (443) reported at MAB unable to leave due to tram 108 J. Langley (8509439)  coming in towards the platform and blocking tram 119. Tram 119 detrained and sent into end  section to allow tram 108 into platform. DM R. Wild informed, J. Langley to be relieved at CAT to  speak to DM. CCTV, Report and SIBAS requested. TACT: 150325 EV/2024/01222</t>
    </r>
  </si>
  <si>
    <t>30/07/2025</t>
  </si>
  <si>
    <t>Closed due to itme elapsed KHS</t>
  </si>
  <si>
    <t>2401-01</t>
  </si>
  <si>
    <r>
      <rPr>
        <sz val="11"/>
        <color rgb="FFFF0000"/>
        <rFont val="Calibri"/>
        <family val="2"/>
        <scheme val="minor"/>
      </rPr>
      <t>Was 2401-18</t>
    </r>
    <r>
      <rPr>
        <sz val="11"/>
        <color theme="1"/>
        <rFont val="Calibri"/>
        <family val="2"/>
        <scheme val="minor"/>
      </rPr>
      <t xml:space="preserve"> 17:10 SYP report unusual traffic and pedestrian movements around bow string bridge due to distressed person falling from bridge. Inc no:578 of todays date.</t>
    </r>
  </si>
  <si>
    <t>2401-02</t>
  </si>
  <si>
    <r>
      <rPr>
        <sz val="11"/>
        <color rgb="FFFF0000"/>
        <rFont val="Calibri"/>
        <family val="2"/>
        <scheme val="minor"/>
      </rPr>
      <t>Was 2313-02</t>
    </r>
    <r>
      <rPr>
        <sz val="11"/>
        <color theme="1"/>
        <rFont val="Calibri"/>
        <family val="2"/>
        <scheme val="minor"/>
      </rPr>
      <t xml:space="preserve"> 18:40 Drv A Watson on Tram 115 reports passenger refused to pay then used emergency door to exit tram between Car and Tin O/b, CCTV, reports, DM D Tingle aware. EV/2024/01223</t>
    </r>
  </si>
  <si>
    <t xml:space="preserve">Verbal abuse from passenger </t>
  </si>
  <si>
    <t>Attempted fare evasion</t>
  </si>
  <si>
    <t>Incident was reported to OCC via the driver and the inicdent was repeorted via SYP portal</t>
  </si>
  <si>
    <t>2401-03</t>
  </si>
  <si>
    <r>
      <rPr>
        <sz val="11"/>
        <color rgb="FFFF0000"/>
        <rFont val="Calibri"/>
        <family val="2"/>
        <scheme val="minor"/>
      </rPr>
      <t>Was 2313-03</t>
    </r>
    <r>
      <rPr>
        <sz val="11"/>
        <color theme="1"/>
        <rFont val="Calibri"/>
        <family val="2"/>
        <scheme val="minor"/>
      </rPr>
      <t xml:space="preserve"> 17:55 Drv M Storey on Tram 111 reports con A Zelch fall around Wes-Cih I/b, CCTV, Sibas 150365, reports, DM R Wild aware. Ran no conductor Cat-Hal-Cat.</t>
    </r>
  </si>
  <si>
    <t>2401-04</t>
  </si>
  <si>
    <r>
      <rPr>
        <sz val="11"/>
        <color rgb="FFFF0000"/>
        <rFont val="Calibri"/>
        <family val="2"/>
        <scheme val="minor"/>
      </rPr>
      <t>Was 2313-04</t>
    </r>
    <r>
      <rPr>
        <sz val="11"/>
        <color theme="1"/>
        <rFont val="Calibri"/>
        <family val="2"/>
        <scheme val="minor"/>
      </rPr>
      <t xml:space="preserve"> 16:16 Tram 202 driver L. Mawkes (78671) reported abusive passenger towards conductor D. Thompson (8501823) between ARS-ATT I/B. During altercation passenger broke emergency door pull glass on door 2 and reported to have broken the handle. Driver reported passenger did pull the handle, but the tram failed to stop, and no fault showed. Tram withdrawn from service at ATT I/B. Cancellation ATT-CIR. Conductor to report to SYP. DM R. Wild informed and to come to depot to speak to conductor. RSM informed. CCTV and TELOC requested. TACT: 150395 and 150399.EV/2024/01224</t>
    </r>
  </si>
  <si>
    <t xml:space="preserve">Verbally abusive behaviour of male </t>
  </si>
  <si>
    <t xml:space="preserve">Incident was eported to OCC and other trams were warned of the subsequent pedestrian danger </t>
  </si>
  <si>
    <t>2401-05</t>
  </si>
  <si>
    <r>
      <rPr>
        <sz val="11"/>
        <color rgb="FFFF0000"/>
        <rFont val="Calibri"/>
        <family val="2"/>
        <scheme val="minor"/>
      </rPr>
      <t>Was 2313-05</t>
    </r>
    <r>
      <rPr>
        <sz val="11"/>
        <color theme="1"/>
        <rFont val="Calibri"/>
        <family val="2"/>
        <scheme val="minor"/>
      </rPr>
      <t xml:space="preserve"> 17:06 CCTV - Tracey informs distressed person on Bow string bridge. Police guidance to stop running. Ran shuttle services, Shalesmoor to Middlewood and Malin Bridge. Sheffield Station to Halfway. Meadowhall to Sheffield Station, Parkgate to Woodbourn Rd. Oncall N Wragg informed, Dm R Bridges informed, Service disruption sent. Alison assisted with tweets. Stagecoach accepting tickets.-17:57 --Distressed person removed from Bow string bridge by Fire service, services resumed with delays. Oncall N Wragg informed, Tweeted, Some cancellations to reform service, See F+D. Service disruption cancelled.</t>
    </r>
  </si>
  <si>
    <t>2401-06</t>
  </si>
  <si>
    <t xml:space="preserve">South Street Bridge </t>
  </si>
  <si>
    <r>
      <rPr>
        <sz val="11"/>
        <color rgb="FFFF0000"/>
        <rFont val="Calibri"/>
        <family val="2"/>
        <scheme val="minor"/>
      </rPr>
      <t>Was 2313-06</t>
    </r>
    <r>
      <rPr>
        <sz val="11"/>
        <color theme="1"/>
        <rFont val="Calibri"/>
        <family val="2"/>
        <scheme val="minor"/>
      </rPr>
      <t xml:space="preserve"> 16:00 Drv P Marsden on Tram 118 reports distressed person on South St bridge, liaised with CCTV for City centre ambassador to attend, FEM G Venner attended in case access required, Tact 150441.</t>
    </r>
  </si>
  <si>
    <t>2401-07</t>
  </si>
  <si>
    <r>
      <rPr>
        <sz val="11"/>
        <color rgb="FFFF0000"/>
        <rFont val="Calibri"/>
        <family val="2"/>
      </rPr>
      <t>Was 2313-07</t>
    </r>
    <r>
      <rPr>
        <sz val="11"/>
        <color rgb="FF000000"/>
        <rFont val="Calibri"/>
        <family val="2"/>
      </rPr>
      <t xml:space="preserve"> 22:22 T109 Dvr C Morrison City Rd O/B reports that the I/B track outside KFC is block with a car on its side DM and infrastructure asked to attend</t>
    </r>
  </si>
  <si>
    <t>2401-08</t>
  </si>
  <si>
    <r>
      <rPr>
        <sz val="11"/>
        <color rgb="FFFF0000"/>
        <rFont val="Calibri"/>
        <family val="2"/>
        <scheme val="minor"/>
      </rPr>
      <t>Was 2313-08</t>
    </r>
    <r>
      <rPr>
        <sz val="11"/>
        <color theme="1"/>
        <rFont val="Calibri"/>
        <family val="2"/>
        <scheme val="minor"/>
      </rPr>
      <t xml:space="preserve"> TT 202 Pantograph struck gantry whilst being driven into shed</t>
    </r>
  </si>
  <si>
    <t>2401-10</t>
  </si>
  <si>
    <r>
      <rPr>
        <sz val="11"/>
        <color rgb="FFFF0000"/>
        <rFont val="Calibri"/>
        <family val="2"/>
        <scheme val="minor"/>
      </rPr>
      <t>Was 2313-09</t>
    </r>
    <r>
      <rPr>
        <sz val="11"/>
        <color theme="1"/>
        <rFont val="Calibri"/>
        <family val="2"/>
        <scheme val="minor"/>
      </rPr>
      <t xml:space="preserve"> Due to a rail break opposite pole SHA 2138 on the I/B cess rail, G. Stanford has advised all  Citylink vehicles to not run past SHA. When asked confirmed Citylink vehicles can use the X_x0002_Over. Tram 206 to be replaced in service and put onto the purple route. RSM informed. 16:05 J.  Stewart updated OCC to report infra will check at regular intervals to monitor rail break. Rail  break reported at 50-55 mil. </t>
    </r>
  </si>
  <si>
    <t>2401-11</t>
  </si>
  <si>
    <r>
      <rPr>
        <sz val="11"/>
        <color rgb="FFFF0000"/>
        <rFont val="Calibri"/>
        <family val="2"/>
        <scheme val="minor"/>
      </rPr>
      <t>Was 2313-10</t>
    </r>
    <r>
      <rPr>
        <sz val="11"/>
        <color theme="1"/>
        <rFont val="Calibri"/>
        <family val="2"/>
        <scheme val="minor"/>
      </rPr>
      <t xml:space="preserve">  06:15 t Harrison (RSM 70155) advised OCC that he fell over in the yard last night at approx 23:00 and  has an injury. He will liaise with RSM supervisors today</t>
    </r>
  </si>
  <si>
    <t>2401-12</t>
  </si>
  <si>
    <t>Was 2313-11 13:57 Driver R.Hague (86735) reports passenger fall as setting off from BDH I/B. No injuries. CCTV and  reports requested</t>
  </si>
  <si>
    <t xml:space="preserve">Passenger not holding on/driver setting off from the tram stop </t>
  </si>
  <si>
    <t xml:space="preserve">Passenger not holding on/driver setting off from stop </t>
  </si>
  <si>
    <t xml:space="preserve">The driver stopped an inofemed OCC </t>
  </si>
  <si>
    <t>2401-13</t>
  </si>
  <si>
    <r>
      <rPr>
        <sz val="11"/>
        <color rgb="FFFF0000"/>
        <rFont val="Calibri"/>
        <family val="2"/>
        <scheme val="minor"/>
      </rPr>
      <t>2313-12</t>
    </r>
    <r>
      <rPr>
        <sz val="11"/>
        <color theme="1"/>
        <rFont val="Calibri"/>
        <family val="2"/>
        <scheme val="minor"/>
      </rPr>
      <t xml:space="preserve"> 18:25 Driver on T113 reports large glass panel smashed CAR O/B shelter. Didn’t see how this  happened. Reported to Sheffield Interchange.</t>
    </r>
  </si>
  <si>
    <t>2401-14</t>
  </si>
  <si>
    <r>
      <rPr>
        <sz val="11"/>
        <color rgb="FFFF0000"/>
        <rFont val="Calibri"/>
        <family val="2"/>
        <scheme val="minor"/>
      </rPr>
      <t>Was 2313-13</t>
    </r>
    <r>
      <rPr>
        <sz val="11"/>
        <color theme="1"/>
        <rFont val="Calibri"/>
        <family val="2"/>
        <scheme val="minor"/>
      </rPr>
      <t xml:space="preserve"> 18:43 Reports of vulnerable person on wrong side of railings on BSBridge. Trams still able to run. 18:53 Police car now parked on bridge in I/B tracks. Trams blocked. Trams beginning to turn at SHS and  SHA. On-call informed. Infrastructure arrived for PS09 reset but keeping points in manual (set for  SHS) while incident ongoing. 19:08 Ticket acceptance agreed with FirstBus between City and Hillsborough. No change on BSBridge.  19:27 Person now on correct side of railings but tramway remains shut by SYP. A.Barclay on site 
chasing officers for progress.</t>
    </r>
  </si>
  <si>
    <t>2401-15</t>
  </si>
  <si>
    <r>
      <rPr>
        <sz val="11"/>
        <color rgb="FFFF0000"/>
        <rFont val="Calibri"/>
        <family val="2"/>
        <scheme val="minor"/>
      </rPr>
      <t>Was 2313-14</t>
    </r>
    <r>
      <rPr>
        <sz val="11"/>
        <color theme="1"/>
        <rFont val="Calibri"/>
        <family val="2"/>
        <scheme val="minor"/>
      </rPr>
      <t xml:space="preserve"> 04:00 RSM – S.Hague, reported that the night cleaners had found damage to a saloon window on T206,  The damage may be the result of an object being thrown at the tram whilst in service. Time and  place damage occurred is unknown .</t>
    </r>
  </si>
  <si>
    <t>2401-16</t>
  </si>
  <si>
    <r>
      <rPr>
        <sz val="11"/>
        <color rgb="FFFF0000"/>
        <rFont val="Calibri"/>
        <family val="2"/>
        <scheme val="minor"/>
      </rPr>
      <t>Was 2313-15</t>
    </r>
    <r>
      <rPr>
        <sz val="11"/>
        <color theme="1"/>
        <rFont val="Calibri"/>
        <family val="2"/>
        <scheme val="minor"/>
      </rPr>
      <t xml:space="preserve"> 05:40 One large panel smashed at ATT O/B tram stop</t>
    </r>
  </si>
  <si>
    <t>2401-17</t>
  </si>
  <si>
    <r>
      <rPr>
        <sz val="11"/>
        <color rgb="FFFF0000"/>
        <rFont val="Calibri"/>
        <family val="2"/>
        <scheme val="minor"/>
      </rPr>
      <t>Was 2313-25</t>
    </r>
    <r>
      <rPr>
        <sz val="11"/>
        <color theme="1"/>
        <rFont val="Calibri"/>
        <family val="2"/>
        <scheme val="minor"/>
      </rPr>
      <t xml:space="preserve"> Drivers report states that - At delta track brake to stop before PS1 points which had failed - I then got out ensuring I was clear of points, changed points manually then checkd for correct detection on points indicator and with correct detection I proceeded to HYP failed points had been communicated an hour earlier </t>
    </r>
  </si>
  <si>
    <t>Points PS01 in failed state</t>
  </si>
  <si>
    <t>Driver Error</t>
  </si>
  <si>
    <t>The driver did not report this incident to OCC.</t>
  </si>
  <si>
    <r>
      <rPr>
        <sz val="11"/>
        <color rgb="FFFF0000"/>
        <rFont val="Calibri"/>
        <family val="2"/>
        <scheme val="minor"/>
      </rPr>
      <t>Was 2313-17</t>
    </r>
    <r>
      <rPr>
        <sz val="11"/>
        <color theme="1"/>
        <rFont val="Calibri"/>
        <family val="2"/>
        <scheme val="minor"/>
      </rPr>
      <t xml:space="preserve"> 13:08 Tram 108 S. Scanes (8508846) CAT O/B via speech request reported tram RTC with pedestrian coming into the tram stop. DMs contacted and going to site. 13:15 DM R. Wild reported  pedestrian has not gone under tram nor fallen. Reported no injuries to pedestrian. Female  pedestrian on CAT I/B platform with DM E. Cooper taking details of pedestrian. DM R. Wild to  isolate black box. 13:19 Black box isolated by DM R. Wild with DM E. Cooper witness. Tram now  moving O.O.S with DM R. Wild driving and driver S. Green in cab as witness, S. Scanes on tram as  a passenger. DM E. Cooper reported female pedestrian reported no injuries at time but reported  to be shaken and shocked. Pedestrian has now left the scene. On-call J. Keeling aware and in  OCC contacting for cause testing. RSM. From DM D Tingle: DRV S Scanes has reported the pedestrian RTC at CAT to SYP and has an  incident ref no. 9/4/24525 informed. TACT: 150578. CCTV and reports requested and SYP to be informed.</t>
    </r>
  </si>
  <si>
    <t xml:space="preserve">Pedestrian walked into trams swept path to cross tracks </t>
  </si>
  <si>
    <t xml:space="preserve">Tram driver unable to stop in time to avoid collision </t>
  </si>
  <si>
    <t>2401-19</t>
  </si>
  <si>
    <r>
      <rPr>
        <sz val="11"/>
        <color rgb="FFFF0000"/>
        <rFont val="Calibri"/>
        <family val="2"/>
        <scheme val="minor"/>
      </rPr>
      <t>2313-18</t>
    </r>
    <r>
      <rPr>
        <sz val="11"/>
        <color theme="1"/>
        <rFont val="Calibri"/>
        <family val="2"/>
        <scheme val="minor"/>
      </rPr>
      <t xml:space="preserve"> Tram 203 reported damaged saloon window tram swapped out , not known where it happened syp on line reported EV/2024/01372</t>
    </r>
  </si>
  <si>
    <t>2401-20</t>
  </si>
  <si>
    <r>
      <rPr>
        <sz val="11"/>
        <color rgb="FFFF0000"/>
        <rFont val="Calibri"/>
        <family val="2"/>
        <scheme val="minor"/>
      </rPr>
      <t>2313-19</t>
    </r>
    <r>
      <rPr>
        <sz val="11"/>
        <color theme="1"/>
        <rFont val="Calibri"/>
        <family val="2"/>
        <scheme val="minor"/>
      </rPr>
      <t xml:space="preserve"> 15:10 - Drv A Fell on T205 at WOR O/B reported his conductor (R Dawson) having issues with a passenger. Advised to stay away from the person concerned.20:10 - Drv A Fell on T201 reported that Con R Dawson has had further issues with the same passenger as earlier. OCC request that he gets off at CAT and sees DM to make a report. EV/2024/01377</t>
    </r>
  </si>
  <si>
    <t xml:space="preserve">Abusive passenger </t>
  </si>
  <si>
    <t xml:space="preserve">Abusive passengers </t>
  </si>
  <si>
    <t>The conductor reported the incident to OCC the incident was reported via the police portal - incident no 14/70081/24</t>
  </si>
  <si>
    <t>2401-21</t>
  </si>
  <si>
    <r>
      <rPr>
        <sz val="11"/>
        <color rgb="FFFF0000"/>
        <rFont val="Calibri"/>
        <family val="2"/>
        <scheme val="minor"/>
      </rPr>
      <t>2313-22</t>
    </r>
    <r>
      <rPr>
        <sz val="11"/>
        <color theme="1"/>
        <rFont val="Calibri"/>
        <family val="2"/>
        <scheme val="minor"/>
      </rPr>
      <t xml:space="preserve"> Not reported on log - conductor states that a male passenger who is known to staff verbally abused himafter being aske for his fare. EV/2024/01379</t>
    </r>
  </si>
  <si>
    <t>2401-22</t>
  </si>
  <si>
    <t xml:space="preserve">Sheffield Road Bridge </t>
  </si>
  <si>
    <r>
      <rPr>
        <sz val="11"/>
        <color rgb="FFFF0000"/>
        <rFont val="Calibri"/>
        <family val="2"/>
        <scheme val="minor"/>
      </rPr>
      <t>2313-20</t>
    </r>
    <r>
      <rPr>
        <sz val="11"/>
        <color theme="1"/>
        <rFont val="Calibri"/>
        <family val="2"/>
        <scheme val="minor"/>
      </rPr>
      <t xml:space="preserve"> 16:40 Drv A Smith reported items in 4ft at Sheffield Rd bridge, checked by FEM G Venner who says the items fell from the underside of bridge but it is clear to keep running. Tact 150715.</t>
    </r>
  </si>
  <si>
    <t>2401-23</t>
  </si>
  <si>
    <r>
      <rPr>
        <sz val="11"/>
        <color rgb="FFFF0000"/>
        <rFont val="Calibri"/>
        <family val="2"/>
        <scheme val="minor"/>
      </rPr>
      <t>2313-23</t>
    </r>
    <r>
      <rPr>
        <sz val="11"/>
        <color theme="1"/>
        <rFont val="Calibri"/>
        <family val="2"/>
        <scheme val="minor"/>
      </rPr>
      <t xml:space="preserve"> It was observed that the charger for the forklift truck had been placed next to flamable items and timber</t>
    </r>
  </si>
  <si>
    <t>2401-24</t>
  </si>
  <si>
    <r>
      <rPr>
        <sz val="11"/>
        <color rgb="FFFF0000"/>
        <rFont val="Calibri"/>
        <family val="2"/>
        <scheme val="minor"/>
      </rPr>
      <t>2313-21</t>
    </r>
    <r>
      <rPr>
        <sz val="11"/>
        <color theme="1"/>
        <rFont val="Calibri"/>
        <family val="2"/>
        <scheme val="minor"/>
      </rPr>
      <t xml:space="preserve"> 09:50 DVR G Lowrie 602 reports from T116 on West St O/B that he has had a minor RTC with a motor car. G Lowrie reports minor damage to rubber bumper on the tram . Details now being exchanged with the third party CCTV , SIBAS and REPORT requested (10:08 tram moved. EV/2024/01378</t>
    </r>
  </si>
  <si>
    <t xml:space="preserve">Tram hitting the back of stationary vehicle </t>
  </si>
  <si>
    <t xml:space="preserve">A lapse in concentration of the tram driver </t>
  </si>
  <si>
    <t xml:space="preserve">An emergency call was made to CC details were exchnaged and a report was completed </t>
  </si>
  <si>
    <t>2401-25</t>
  </si>
  <si>
    <r>
      <rPr>
        <sz val="11"/>
        <color rgb="FFFF0000"/>
        <rFont val="Calibri"/>
        <family val="2"/>
        <scheme val="minor"/>
      </rPr>
      <t>2313-24</t>
    </r>
    <r>
      <rPr>
        <sz val="11"/>
        <color theme="1"/>
        <rFont val="Calibri"/>
        <family val="2"/>
        <scheme val="minor"/>
      </rPr>
      <t xml:space="preserve"> DVR A Fell (306) reports from tram train 203 that an emergency door pull glass on door 2 is smashed, noticed on changing ends, no reason or time of the occurrence known to staff , to be withdrawn from service using a spare vehicle at ARS O/B RSM advised XVPLUS 150784. EV/2024/01380</t>
    </r>
  </si>
  <si>
    <t>2401-26</t>
  </si>
  <si>
    <r>
      <rPr>
        <sz val="11"/>
        <color rgb="FFFF0000"/>
        <rFont val="Calibri"/>
        <family val="2"/>
        <scheme val="minor"/>
      </rPr>
      <t>2313-26</t>
    </r>
    <r>
      <rPr>
        <sz val="11"/>
        <color theme="1"/>
        <rFont val="Calibri"/>
        <family val="2"/>
        <scheme val="minor"/>
      </rPr>
      <t xml:space="preserve"> 11: 00 A Ashton reported possible rail break j kolchuk informed and attending J Kolchuk confirmed rail break no restriction required </t>
    </r>
  </si>
  <si>
    <t>2401-27</t>
  </si>
  <si>
    <r>
      <rPr>
        <sz val="11"/>
        <color rgb="FFFF0000"/>
        <rFont val="Calibri"/>
        <family val="2"/>
        <scheme val="minor"/>
      </rPr>
      <t>2313-27</t>
    </r>
    <r>
      <rPr>
        <sz val="11"/>
        <color theme="1"/>
        <rFont val="Calibri"/>
        <family val="2"/>
        <scheme val="minor"/>
      </rPr>
      <t xml:space="preserve"> 18:40 Driver C Donnelly (78670) T205, reported objects were thrown at the tram at TIN I/B, no damage  reported. CCTV requested and reported online to SYP. EV/2024/01381</t>
    </r>
  </si>
  <si>
    <t>2401-28</t>
  </si>
  <si>
    <r>
      <rPr>
        <sz val="11"/>
        <color rgb="FFFF0000"/>
        <rFont val="Calibri"/>
        <family val="2"/>
        <scheme val="minor"/>
      </rPr>
      <t>2313-28</t>
    </r>
    <r>
      <rPr>
        <sz val="11"/>
        <color theme="1"/>
        <rFont val="Calibri"/>
        <family val="2"/>
        <scheme val="minor"/>
      </rPr>
      <t xml:space="preserve"> 16:55 DVR P Rowbottom (788) reports from T107 that when the doors where closing a passenger has put their foot in the door to prevent them closing. The driver had to pull the emergency door pull to get the passengers foot out CCTV, reports requested and Tacted for possible issue with sensitive edge XVPLUS:150836. EV/2024/01667</t>
    </r>
  </si>
  <si>
    <t>Passenger trying to board tram as the doors close</t>
  </si>
  <si>
    <t xml:space="preserve">Faulty sensitive edges </t>
  </si>
  <si>
    <t xml:space="preserve">Driver attended when the doors would not  open and used the emergency door realease to free the passenger </t>
  </si>
  <si>
    <t>2401-29</t>
  </si>
  <si>
    <r>
      <rPr>
        <sz val="11"/>
        <color rgb="FFFF0000"/>
        <rFont val="Calibri"/>
        <family val="2"/>
        <scheme val="minor"/>
      </rPr>
      <t>2313-29</t>
    </r>
    <r>
      <rPr>
        <sz val="11"/>
        <color theme="1"/>
        <rFont val="Calibri"/>
        <family val="2"/>
        <scheme val="minor"/>
      </rPr>
      <t xml:space="preserve"> 06:25 T Rotchell 206 reported a bogie cover was hanging off whilst crossing delta, with fem assistance  this was removed, tram with drawn from service. EV/2024/01668</t>
    </r>
  </si>
  <si>
    <t>Bogie side skirt fallen off – Found Bogie 1 side skirt to fallen off and attachment bracket bent. Straightened out bracket, old skirt broken in 2 so removed skirt from T204 and fitted. Re-secured any loose bolts on all side skirts.</t>
  </si>
  <si>
    <r>
      <rPr>
        <sz val="11"/>
        <color rgb="FFFF0000"/>
        <rFont val="Calibri"/>
        <family val="2"/>
        <scheme val="minor"/>
      </rPr>
      <t>Was 2313-30</t>
    </r>
    <r>
      <rPr>
        <sz val="11"/>
        <color theme="1"/>
        <rFont val="Calibri"/>
        <family val="2"/>
        <scheme val="minor"/>
      </rPr>
      <t xml:space="preserve"> 21:45 Driver T Baldwin reported his conductor K Stevenson (8512678) had been accused of racism by  a passenger, report requested from the conductor.</t>
    </r>
  </si>
  <si>
    <t xml:space="preserve">Accusation of racism against conductor </t>
  </si>
  <si>
    <t xml:space="preserve">Fare dispute </t>
  </si>
  <si>
    <t>2401-31</t>
  </si>
  <si>
    <r>
      <rPr>
        <sz val="11"/>
        <color rgb="FFFF0000"/>
        <rFont val="Calibri"/>
        <family val="2"/>
        <scheme val="minor"/>
      </rPr>
      <t>Was 2313-31</t>
    </r>
    <r>
      <rPr>
        <sz val="11"/>
        <color theme="1"/>
        <rFont val="Calibri"/>
        <family val="2"/>
        <scheme val="minor"/>
      </rPr>
      <t xml:space="preserve"> 00:58 Conductor R.Madin (79797) informs OCC he has had to activate his bodycam following  passenger behaviour earlier in duty.</t>
    </r>
  </si>
  <si>
    <t>2401-32</t>
  </si>
  <si>
    <r>
      <rPr>
        <sz val="11"/>
        <color rgb="FFFF0000"/>
        <rFont val="Calibri"/>
        <family val="2"/>
        <scheme val="minor"/>
      </rPr>
      <t>Was 2313-32</t>
    </r>
    <r>
      <rPr>
        <sz val="11"/>
        <color theme="1"/>
        <rFont val="Calibri"/>
        <family val="2"/>
        <scheme val="minor"/>
      </rPr>
      <t xml:space="preserve"> 8:08 DRV of T206 D Wilks (651) reported a passenger fell of her seat when he had to use the track  brake. This was due to the lights West St/Rockingham St timing out as he approached. CCTV,  report and SIBAS requested. Tact 150874 No medical attention required.EV/2024/01669</t>
    </r>
  </si>
  <si>
    <t>The passenger fell due to track brake application</t>
  </si>
  <si>
    <t xml:space="preserve">The driver reprorted to OCC </t>
  </si>
  <si>
    <t>2401-33</t>
  </si>
  <si>
    <r>
      <rPr>
        <sz val="11"/>
        <color rgb="FFFF0000"/>
        <rFont val="Calibri"/>
        <family val="2"/>
        <scheme val="minor"/>
      </rPr>
      <t>Was 2313-34</t>
    </r>
    <r>
      <rPr>
        <sz val="11"/>
        <color theme="1"/>
        <rFont val="Calibri"/>
        <family val="2"/>
        <scheme val="minor"/>
      </rPr>
      <t xml:space="preserve"> 11:07 DRV of T116 A Glaves (60660) reported that as he left HAC O/B a passenger, that had just  boarded the tram, slipped and fell. No medical attention required, and the passenger left the  tram at CRP. CCTV, report and SIBAS requested tact 150878. EV/2024/01670</t>
    </r>
  </si>
  <si>
    <t xml:space="preserve">The passenger wasa changing seats and lost her balance </t>
  </si>
  <si>
    <t>2401-34</t>
  </si>
  <si>
    <t>York Street</t>
  </si>
  <si>
    <r>
      <rPr>
        <sz val="11"/>
        <color rgb="FFFF0000"/>
        <rFont val="Calibri"/>
        <family val="2"/>
        <scheme val="minor"/>
      </rPr>
      <t>Was 2313-35</t>
    </r>
    <r>
      <rPr>
        <sz val="11"/>
        <color theme="1"/>
        <rFont val="Calibri"/>
        <family val="2"/>
        <scheme val="minor"/>
      </rPr>
      <t xml:space="preserve"> 12:16 Drv P Rowbottom on Tram 206 reports track braking @ York St i/b due to near miss with car. CCTV report and SIBAS requested tact 150882. EV/2024/01671</t>
    </r>
  </si>
  <si>
    <t>2401-35</t>
  </si>
  <si>
    <r>
      <rPr>
        <sz val="11"/>
        <color rgb="FFFF0000"/>
        <rFont val="Calibri"/>
        <family val="2"/>
        <scheme val="minor"/>
      </rPr>
      <t>Was 2313-36</t>
    </r>
    <r>
      <rPr>
        <sz val="11"/>
        <color theme="1"/>
        <rFont val="Calibri"/>
        <family val="2"/>
        <scheme val="minor"/>
      </rPr>
      <t xml:space="preserve"> 13:50 DRv of T113 A Glaves (60660) reported on approaching PAG I/B there was a woman laid on the  platform with people with her and an ambulance had been called. Infra asked to attend to check  platform for tripping hazards in case this has caused the incident 14:DRv of T113  14:18 Infrastructure at PAG I/B have checked the platform and found no tripping hazard on the  platform, the lady has now been treated in the ambulance. A friend of the lady did say that she  has a hearing problem and may have lost her balance
</t>
    </r>
  </si>
  <si>
    <t>2401-36</t>
  </si>
  <si>
    <r>
      <rPr>
        <sz val="11"/>
        <color rgb="FFFF0000"/>
        <rFont val="Calibri"/>
        <family val="2"/>
        <scheme val="minor"/>
      </rPr>
      <t>Was 2313-37</t>
    </r>
    <r>
      <rPr>
        <sz val="11"/>
        <color theme="1"/>
        <rFont val="Calibri"/>
        <family val="2"/>
        <scheme val="minor"/>
      </rPr>
      <t xml:space="preserve"> 18:35 T112 Dvr S Jessop (80750) reports that a female passenger fell when exiting the tram and then  continued her journey away from the tram report and CCTV requested. EV/2024/01672</t>
    </r>
  </si>
  <si>
    <t>Tram door knocked passenger to the floor</t>
  </si>
  <si>
    <t xml:space="preserve">OCC contacted </t>
  </si>
  <si>
    <t>2401-39</t>
  </si>
  <si>
    <r>
      <rPr>
        <sz val="11"/>
        <color rgb="FFFF0000"/>
        <rFont val="Calibri"/>
        <family val="2"/>
        <scheme val="minor"/>
      </rPr>
      <t>Was 2313-40</t>
    </r>
    <r>
      <rPr>
        <sz val="11"/>
        <color theme="1"/>
        <rFont val="Calibri"/>
        <family val="2"/>
        <scheme val="minor"/>
      </rPr>
      <t xml:space="preserve"> 17:40 Drv T Rotchell on T201 reported from TIN chord that his conductor (D Kirk) had witnessed a  minor alterccation between 2 passengers. No medical attention required. Report requested from  conductor </t>
    </r>
  </si>
  <si>
    <t>2401-40</t>
  </si>
  <si>
    <t xml:space="preserve">Leppings Lane </t>
  </si>
  <si>
    <r>
      <rPr>
        <sz val="11"/>
        <color rgb="FFFF0000"/>
        <rFont val="Calibri"/>
        <family val="2"/>
        <scheme val="minor"/>
      </rPr>
      <t>Was 2313-4</t>
    </r>
    <r>
      <rPr>
        <sz val="11"/>
        <color theme="1"/>
        <rFont val="Calibri"/>
        <family val="2"/>
        <scheme val="minor"/>
      </rPr>
      <t>1  10:52 DRV of T115 G Lilley (625) reported going over something in the track just prior to LEL I/B.  Cleaners contacted and already at LEL so will check the track for objects 11:02  Cleaner reported finding bolt in off side rail and have removed it. Not embedded. RSM advised  and to check T115 tonight tact 150921</t>
    </r>
  </si>
  <si>
    <t>2401-41</t>
  </si>
  <si>
    <r>
      <rPr>
        <sz val="11"/>
        <color rgb="FFFF0000"/>
        <rFont val="Calibri"/>
        <family val="2"/>
        <scheme val="minor"/>
      </rPr>
      <t>Was 2313- 42</t>
    </r>
    <r>
      <rPr>
        <sz val="11"/>
        <color theme="1"/>
        <rFont val="Calibri"/>
        <family val="2"/>
        <scheme val="minor"/>
      </rPr>
      <t xml:space="preserve"> 21:45 Drv C Bradbury on Tram 108 reports passenger fall between Fis-Cas o/b, passenger exited the tram and refused to give details, CCTV, Sibas 150930, DM D Tingle aware. EV/2024/01673</t>
    </r>
  </si>
  <si>
    <t xml:space="preserve">The passenger appeared unsteady on his feet and chose to stand when he boarded the tram - he lost his balance as the tram set off </t>
  </si>
  <si>
    <t>2401-42</t>
  </si>
  <si>
    <t>14:48 Driver D Gouldsbrough tram 122 at City Hall I/B reports a taxi went through the tram gate  towards Church Street. CCTV requested for J. Keeling._x000D_</t>
  </si>
  <si>
    <t>2401-43</t>
  </si>
  <si>
    <t xml:space="preserve">17:24 Driver T. Baldwin (8501802) tram 104 at Castle Square O/B reported to OCC that his conductor S  Wild (355) had his ticket machine snatched from him but managed to get it back. Conductor  instructed to go to East Parade and liaise with a DM, DM D Tingle informed. OCC awaiting further  details from DM for CCTV. 17:40 DM D Tingle: details obtained for CCTV request. Conductor doing a report. EV/2024/01674
</t>
  </si>
  <si>
    <t>2401-44</t>
  </si>
  <si>
    <t>21:10 Driver J. Mitchell tram 202 at nunnery O/B reports a male climbing the depot fence on Nunnery platform O/B then jumped off back on to the platform. Members of RSM went to check. 21:17 G. Wilcock (RSM) reports the male has climbed over the fence on to depot. The police arrived  from park and ride and are on Depot with RSM and this male. INC Number 857/22/4/2024 22:07  Driver J Mitchell (75341) tram 202 approaching nunnery outbound noticed the male from earlier running towards the tram with the police chasing. track brake applied; police apprehended the  male again. CCTV requested. EV/2024/01675</t>
  </si>
  <si>
    <t>23/04/2024</t>
  </si>
  <si>
    <t>2401-45</t>
  </si>
  <si>
    <t>12:22 Driver J Leggett(8504143) T101 CRP O/B, reported an elderly lady has fallen on the path across  the trams at the bus link Rd at Crystal peaks and is in the four foot blocking the O/B tracks.  Members of the public are assisting her, and an ambulance has been called. 12:25 BTP also contacted OCC about the above and confirmed an ambulance has been arranged. Infra  staff also on site. 12:29 Infra – The lady has been moved and the track is now clear. Track checked for tripping hazard, and none found_x000D_</t>
  </si>
  <si>
    <t>2401-46</t>
  </si>
  <si>
    <t>14:24 DRV of T104 J Meikle (8510009) reported passengers throwing objects on the tram and  something hit the conductor H Campbell (8511271) cctv and reports requested. EV/2024/01676</t>
  </si>
  <si>
    <t>Threatening and abusive behaviour of male passengers</t>
  </si>
  <si>
    <t>Inicdent was reported to driver and OCC</t>
  </si>
  <si>
    <t>2401-47</t>
  </si>
  <si>
    <t>15:53 DRV of T111 M Kelly (8503165) reported a child fell down the steps of the tram as she departed  WES O/B. No injuries reported at the time. CCTV and report from cond J Lloyd (8502418)  requested. EV/2024/01677</t>
  </si>
  <si>
    <t>Tram departing the tram stop</t>
  </si>
  <si>
    <t>Passenger not holiding on and wearing a backpak</t>
  </si>
  <si>
    <t>A call was made to OCC and the driver did a report</t>
  </si>
  <si>
    <t>2401-48</t>
  </si>
  <si>
    <t xml:space="preserve">17:54 DRV of T118 P Hawkins (64986) reported a group of youths stood on SPL tram stop O/B throwing objects at trams as they pass. No damage reported. Reported to SYP via 101 incident NO 671/23/04/2024. CCTV requested. EV/2024/01678
</t>
  </si>
  <si>
    <t>2401-49</t>
  </si>
  <si>
    <t>13:28 B RILEY 608 24/02/2024 INCIDENT DM R WILD REPORTS TICKET INSPECTOR M ROWBOTTOM HAS BEEN THREATENED WHILST WORKING ON TRAM 117 BETWEEN GRR I/B AND FIS, CCTV, REPORTS. EV/2024/01679</t>
  </si>
  <si>
    <t>Abusive passenger</t>
  </si>
  <si>
    <t>POINT (-1.4614802 53.3749865)</t>
  </si>
  <si>
    <t xml:space="preserve">Inpsector challenges male passenger who does not have a valid ticket - Passenger becomes abusive and threatens violence towards the inspector - The inspector reports the inicdent to a duty manager - followed by reporting to the police and completing a safe report </t>
  </si>
  <si>
    <t>2401-50</t>
  </si>
  <si>
    <t>20:01 S COLLINS 406 24/02/2024 OTHER T122 REPORTS TAXI IN TRAM LANE CIH I/B. CCTV REQUESTED</t>
  </si>
  <si>
    <t>2401-51</t>
  </si>
  <si>
    <t>11:35 DVR D Simpson (377) reports from T106 having a passenger fall at Manor top O/B, no medical  assistance required. Reports, CCTV and SIBAS requested TACT: DV150976. EV/2024/01680</t>
  </si>
  <si>
    <t xml:space="preserve">Passenger misjudged the steps </t>
  </si>
  <si>
    <t>The driver and conductor assisted the passenger and reported to OCC</t>
  </si>
  <si>
    <t>2401-52</t>
  </si>
  <si>
    <t>13:47 DVR T Baldwin (8501802) reports from T115 at HIL I/B he has had a passenger fall on the tram leaving HIP. No medical attention required Reports, CCTV and Sibas Requested, TACT DV150981. EV/2024/01681</t>
  </si>
  <si>
    <t>Tram setting off from the platform</t>
  </si>
  <si>
    <t xml:space="preserve">Passenger not holding on and being off balance </t>
  </si>
  <si>
    <t xml:space="preserve">The incident was reported to OCC and an initial accident form was completed </t>
  </si>
  <si>
    <t>18:50 Emergency call from tram 117, driver C Moran (8506977). Tram derailed at points T03 using  crossover, indication is second bogie derailed, no passengers onboard. RSM informed (M.Mead).  Cannot go to site until RSM vehicle back from Arbourthorne. XV Plus 150993 (tram) 150994  (points) 20:29 DM E Cooper. Drug and alcohol testing contacted. Advised OCC that we have no Taxi account for usage for crew reliefs. 20:29 N Wragg (on call): RAIB (Steve brake) has released tram 117 for re-railing. EV/2024/01682</t>
  </si>
  <si>
    <t>The immediate cause was low speed climb out as a result of the right side wheel flange making contacct with the non criticalswitch  blade</t>
  </si>
  <si>
    <t xml:space="preserve">Another underlying cause was the start stop by which the tram was driven over the crossover it is thought that this motion has contributed to the climb out by not allowing the flange to continuously centrifugal force to the critical switch blade to aid the redirecting of the tram over the crossover </t>
  </si>
  <si>
    <t>2401-54</t>
  </si>
  <si>
    <t>05:06 Driver D Luker (8506979) on Tram 124 had the wrong VIS code entered to exit Depot West.  Instructed to go up the headshunt, come back on the Depot and call again to exit. EV/2024/01683</t>
  </si>
  <si>
    <t>2401-55</t>
  </si>
  <si>
    <t xml:space="preserve">05:59 Driver J Williams (59665) on Tram 114 has wrong routed at the Delta going the SHS instead of FIS  due to a wrong VIS code entered. Using the x-over at SHS and then running to MAB.EV/2024/01684
</t>
  </si>
  <si>
    <t>Incorrect VIS code</t>
  </si>
  <si>
    <t xml:space="preserve">The driver stopped and called OCC but not an emeregency call as procedure </t>
  </si>
  <si>
    <t>2401-56</t>
  </si>
  <si>
    <t xml:space="preserve">07:45 DVR S. Scanes (8508846) T117 ARR O/B, reported a near miss with a car that pulled out Infront of  the tram, hazard brake used to avoid a collision. No other issues on the tram reported at the  time. CCTV requested. EV/2024/01685
</t>
  </si>
  <si>
    <t>Car pulled forward at give way markings towards swept path</t>
  </si>
  <si>
    <t xml:space="preserve">The driver reported the near miss to OCC no injuries weree reported on the tram </t>
  </si>
  <si>
    <t>2401-57</t>
  </si>
  <si>
    <t>Westfield Terrace</t>
  </si>
  <si>
    <t>10:05 Driver K Tingle (T206) reported see traffic coming the wrong way out of Westfield terrace onto  West St on several occasions over the last few days.</t>
  </si>
  <si>
    <t>2401-58</t>
  </si>
  <si>
    <t xml:space="preserve">11:24 DRV C Cowley (757)T117, reported a cyclist has fall of her bike on the I/B tracks near to the INR  tramstop, the cyclist was now on the pavement and being look after by a member of the public.  J Kolchuk informed .tact 151044
</t>
  </si>
  <si>
    <t>2401-59</t>
  </si>
  <si>
    <t>14:10 Drv M Robinson on Tram 104 reports Con L Carney assaulted on tram but uninjured. DM R  Bridges aware, cctv, reports. EV/2024/01686</t>
  </si>
  <si>
    <t>Youth pulling conductor hivis</t>
  </si>
  <si>
    <t>Inicdent was reported to driver then OCC</t>
  </si>
  <si>
    <t>2401-60</t>
  </si>
  <si>
    <t>17:25 Drv A Fell on Tram 123 reports Con C Gillot informed him of possible surfers around Cas-Fis,  CCTV, drivers in area informed.</t>
  </si>
  <si>
    <t>21:19 DVR T Fell 306 reports from tram 201 at TIN O/B that a male passenger is being abusive to two female passengers also on board and making them feel uneasy, after a brief discussion the abusive passenger left the tram at TIN and was monitored on town hall CCTV</t>
  </si>
  <si>
    <t>2401-62</t>
  </si>
  <si>
    <t>Parkway Viaduct</t>
  </si>
  <si>
    <t>21:24 DVR N Dewire reports from tram 205 on the Parkway Viaduct of two persons crouched down at the side of the O/B track , the next O/B tram 125 advised to be cautious on the viaduct</t>
  </si>
  <si>
    <t>2401-63</t>
  </si>
  <si>
    <t>Incorrect Vis</t>
  </si>
  <si>
    <t>09:09 Driver P Marsden (41867) Tram 104 had the wrong VIS code entered to exit Depot West.  Instructed to go up the headshunt, come back on the Depot and call again to exit.EV/2024/01687</t>
  </si>
  <si>
    <t>The driver entered the code</t>
  </si>
  <si>
    <t>2401-64</t>
  </si>
  <si>
    <t>17:54 DVR S Adlington reports from tram 117 at VAC I/B that a group of youths are refusing to pay, upon viewing town hall CCTV the tram was seen to depart with no further issues reported</t>
  </si>
  <si>
    <t>2401-65</t>
  </si>
  <si>
    <t xml:space="preserve">Holme Lane </t>
  </si>
  <si>
    <t>15:44 Driver C.Bradbury (568) reports clipping wing-mirror of van in swept-path on Holme Lane O/B.  She drove away from incident without swapping details with driver. CCTV, SIBAS &amp; reports requested. Obtained van drivers details on I/B journey.</t>
  </si>
  <si>
    <t xml:space="preserve">HGV encroaching into swept path </t>
  </si>
  <si>
    <t xml:space="preserve">Driver error - misjudged swept path </t>
  </si>
  <si>
    <t>2401-66</t>
  </si>
  <si>
    <t>06:00 Tram 206 W Hinchcliffe 8506846 reported entered wrong code and went to SHS rather than MAB SHS xover used to return to correct route. EV/2024/01688</t>
  </si>
  <si>
    <t xml:space="preserve">Passenger mis judged the steps </t>
  </si>
  <si>
    <t xml:space="preserve">The driver and conductor assisted the passenger and reported to OCC </t>
  </si>
  <si>
    <t>2402-01</t>
  </si>
  <si>
    <t>Norfolk Park Viaduct</t>
  </si>
  <si>
    <t>Was 2401-67 06:45 Drv D Long  reports graffiti on Norfolk Park Viaduct (centre section) TACT 151132</t>
  </si>
  <si>
    <t>Was 2402-68 16:51 Large panel shelter glass smashed HYP I/B platform. Spoke to Townhall CCTV who say they have ‘good footage’ of incident.  Reported to SYP via online portal. System cleaners requested to tidy glass and Sheffield Interchange advised</t>
  </si>
  <si>
    <t>2402-03</t>
  </si>
  <si>
    <t>Was  2402- 69 15: 12 Drv S Green on T115 reported a Male pedestrian had run across the front her tram as she was leaving CAS O/B tramstop. Driver was unsure whether contact was made with pedestrian, but they ran off before driver could ask. CCTV Requested. EV/2024/01689</t>
  </si>
  <si>
    <t>Pedestrian running in front of moving tram</t>
  </si>
  <si>
    <t xml:space="preserve">Pedestrian running in front of moving tram </t>
  </si>
  <si>
    <t>The driver stopped and called OCC</t>
  </si>
  <si>
    <t>2402-04</t>
  </si>
  <si>
    <t>Was 2402-70 15:12 Tram 109 N. Burton (391) reported via emergency call an RTC with a car WHL I/B. Driver reported minor damage to front of the car and to the side of the tram. No injuries reported at time. Details exchanged. Tram moving 15:23. Driver reported after RTC school pupils pulled emergency door pulls and left vehicle, driver closed doors. Driver reported okay to carry on. Tram withdrawn at SHS I/B. DM N. Wybrant and RSM informed. CCTV, report and SIBAS requested. TACTS: 151218 and 151219. EV/2024/01690</t>
  </si>
  <si>
    <t>The driver did not approach the junction with caution</t>
  </si>
  <si>
    <t>2402-05</t>
  </si>
  <si>
    <t xml:space="preserve">Was 2402- 71 18:16 Tram 107 D. White (893) CIR I/B reported medical emergency onboard. Conductor J. Lloyd (8502418) and DM N. Wybrant (125) onboard contacted Ambulance service, conductor and DM starting CPR on male. 18:34 Emergency services including SYP on site. On call informed, service disruption and X updated. First and Stagecoach accepting tickets between City and Attercliffe. 19:05 DM N. Wybrant reported male still receiving intensive medical support now off tram and tram able to move, SYP confirmed no suspicions with tram and no requirement for quarantining. Tram 107 OOS to depot. On-call, service disruption, X and buses updated. During the incident trams returning to depot from City were detrained at HYP instead of CIR to allow for the privacy of the individual.  </t>
  </si>
  <si>
    <t>2402-06</t>
  </si>
  <si>
    <t xml:space="preserve">18:18 Tram 117 G. Dobbin (58277) reported taxi CIH I/B. CCTV requested. </t>
  </si>
  <si>
    <t>2402-07</t>
  </si>
  <si>
    <t>23:00 driver 254 reported car blocking outbound tracks at the junction of West Street Mappin Street.</t>
  </si>
  <si>
    <t>2402-08</t>
  </si>
  <si>
    <t>Park Gate</t>
  </si>
  <si>
    <t>09:00 DVR J Mitchell 75341 reports from tram 201 at PAQ whilst travelling on the upline prior to signal S748 he struck a wild deer, killing it. Jordan informed the NR signaller and reported no damage to the tram CCTV requested</t>
  </si>
  <si>
    <t>2402-09</t>
  </si>
  <si>
    <t xml:space="preserve">Blackburn Meadows </t>
  </si>
  <si>
    <t>22:15 EM call tram 112 (c heath rsm) fire outside Blackburn meadows substation trams moved clear breakers 15dcr ,15dcfbm&amp;cb opened fem &amp; fire brigade called on call n dobbs informed 22:30 Fire brigade &amp; fem on site the fire is in large rubbish bins at the side of the sub , this has been put out substation checked for damage m Timperley happy for breakers to be reclosed and service resume n dobbs informed 22:40. EV/2024/01691</t>
  </si>
  <si>
    <t>2402-10</t>
  </si>
  <si>
    <t>08:46 T205 Dvr S Scanes (8508846) reports when entering Depot West that points D04 are split and that the stretcher bar may be broken infrastructure informed</t>
  </si>
  <si>
    <t>2402-11</t>
  </si>
  <si>
    <t>DM E Cooper reported to OCC erratic driving from a company vehicle DM to complete report tomorrow- Nbarraclough informed via email</t>
  </si>
  <si>
    <t>2402-12</t>
  </si>
  <si>
    <t xml:space="preserve">D11 Points </t>
  </si>
  <si>
    <t>13:35 T121 J Richardson reported he thinks the tram has derailed over D11 points on the depot. RSM and infra called onto site, confirmed 2nd bogie has come off the track. On Call S Galloway inofrmed. EV/2024/01692</t>
  </si>
  <si>
    <t>Tram working through points in stabling yard</t>
  </si>
  <si>
    <t>Second bogie derailed due to slow speed climb out</t>
  </si>
  <si>
    <t xml:space="preserve">Driver trainer Jake Richardson (70452) confirmed a derailment had occurred then contaced OCC </t>
  </si>
  <si>
    <t>2402-13</t>
  </si>
  <si>
    <t>22:48 Dvr J peckett (8500446) T119 reported his conductor J Gladman (8513587)  had been verbally abused  by a passenger that had boarded at LEP I/B and alighted at NER the conductor was upset and had to travel in the cab until the passenger got off. The conductor was relieved at NUS DM RBridges to speak to her a the depot report and CCTV requested. EV/2024/01693</t>
  </si>
  <si>
    <t xml:space="preserve">Challenged by conductor </t>
  </si>
  <si>
    <t>unknown</t>
  </si>
  <si>
    <t>Passenger verbally abuses the conductor after being challenged - conductor removes herself from the situation and reports to the driver who reports the incident to OCC-Conductor removed from tram for welfare check and the incident is reported to the police</t>
  </si>
  <si>
    <t>2402-14</t>
  </si>
  <si>
    <t xml:space="preserve">08:08 - E Wilkinson (driver training) fallen exiting T207 on depot – no CCTV available. EV/2024/01694
 </t>
  </si>
  <si>
    <t>Possible lack of concentration</t>
  </si>
  <si>
    <t xml:space="preserve">Driver trainee falls from stabled tram in depot no medical assistance required reported to OCC and accidnet form completed </t>
  </si>
  <si>
    <t>2402-15</t>
  </si>
  <si>
    <t>12:15 - Con K Skrodzki (8508698) has been threatened by a passenger around MOW tram stop I/B, passenger boarded in City Centre on O/B journey, conductor told to move away and remove himself from passenger salon if feeling threatened DM A Roberts informed and will meet the tram at CAT. EV/2024/01722</t>
  </si>
  <si>
    <t>Changed to info only due to time elapsed</t>
  </si>
  <si>
    <t>2402-16</t>
  </si>
  <si>
    <t xml:space="preserve">17:52 - T109 reports a passenger fall while stationary at BAS O/B. CCTV &amp; report requested. EV/2024/01723
 </t>
  </si>
  <si>
    <t>Passenger dropping bag</t>
  </si>
  <si>
    <t>Passenger rushing</t>
  </si>
  <si>
    <t xml:space="preserve">Driver reported to OCC both driver and conductor aided the passenger </t>
  </si>
  <si>
    <t>17:41 - T124 driver R.Bayliss (087) reports tram knocking into the portable steps that were in swept path. 1 indicator cover damaged. CCTV and report requested TRACK 9. EV/2024/01724</t>
  </si>
  <si>
    <t>Ladders left close to the tram</t>
  </si>
  <si>
    <t>Driver not realising that there was not enough room</t>
  </si>
  <si>
    <t>Driver informed OCC</t>
  </si>
  <si>
    <t>2402-18</t>
  </si>
  <si>
    <t>11: 33 C Moran (8506977) on T114 reported as he was setting off from INR I/B that a skip lorry came across the white line and clipped the wing mirror of the tram. Skip lorry did not stop and no damage to the tram wing mirror. CCTV and report requested. Tact 151351. EV/2024/01725</t>
  </si>
  <si>
    <t>Lorry driver encroached the central white line</t>
  </si>
  <si>
    <t xml:space="preserve">Lorry driver error </t>
  </si>
  <si>
    <t>2402-19</t>
  </si>
  <si>
    <t>06:43 Drv C Grant onboard T112 reported sand ejector pipe hanging down and dragging on track. Tram withdrawn at SHS T110 send off depot to replace it. TACT151341</t>
  </si>
  <si>
    <t>2402-20</t>
  </si>
  <si>
    <t>13:25 Drv P Ward on T106 reported pipe/Cable hanging down from bogie number 1 end. Tram withdrawn at SHS. T112 sent off depot to replace. Tact151357</t>
  </si>
  <si>
    <t>2402-21</t>
  </si>
  <si>
    <t>14:58 Driver C Matthews (85223) n Tram 111 reported a female passenger fell on board as she was trying to disembark at HIP outbound. The Conductor helped her up and she got off without leaving any details. A report and CCTV requested.EV/2024/01726</t>
  </si>
  <si>
    <t>Tram door knocked the passenger to the floor</t>
  </si>
  <si>
    <t>16:28 Driver S.Spillman (8504629) reports near miss with van on City Rd. track brake applied. Collision avoided and no injuries on-board. CCTV, SIBAS and report requested. EV/2024/01727</t>
  </si>
  <si>
    <t xml:space="preserve">Car overtaking 2 cars on the opposite side of the road </t>
  </si>
  <si>
    <t xml:space="preserve">Car driver error </t>
  </si>
  <si>
    <t>2402-23</t>
  </si>
  <si>
    <t>18:22 Further to previous incident on T115, conductor on-board L.Allen (8506728) now telling DM A.Barclay that she fell and banged her head. Report requested. EV/2024/01728</t>
  </si>
  <si>
    <t>Had been addressed through investigation 2402-22 Conductor was spoken to regarding not reporting accident</t>
  </si>
  <si>
    <t>2402-24</t>
  </si>
  <si>
    <t>21:42 Driver B.Hill (65149) makes us aware of a passenger-on-passenger incident on-board T101. No injuries and passengers now seperated. 'Victim' will be reporting to SYP. CCTV and report requested.</t>
  </si>
  <si>
    <t>L Mawkes (78671) reported that conductor Nbingley (80749) hurt his leg when the tram track braked for a signal in the Beighton area - this was reported at 14:15 when the tram was at HOL I/B CCV and Sibas requested. TACT :151407- 15:11 n Bingley (80749) unable to continue -DM NWybrant aware. EV/2024/01732</t>
  </si>
  <si>
    <t xml:space="preserve">Track brake applied </t>
  </si>
  <si>
    <t xml:space="preserve">The driver carried on the journey as he was not aware that the conducotr had stumbled he informed OCC once he was aware </t>
  </si>
  <si>
    <t>2402-26</t>
  </si>
  <si>
    <t>14:44 D Simpson (377) on T104 reported minor rtc outside Sainsburys at GLT O/B no injuries reported on the tram CCTV and SIBAS requested. Tact 151408 - D Simpson exchanged details with the car driver - reported scratches on the side of the tram - tram now moving . EV/2024/01733</t>
  </si>
  <si>
    <t>Car encroaching swept path</t>
  </si>
  <si>
    <t>The driver stopped and called OCC via an emergency call</t>
  </si>
  <si>
    <t>2402-27</t>
  </si>
  <si>
    <t>Halfway</t>
  </si>
  <si>
    <t>19:58 Drv S Scanes (8508846) reported that con A Kanipoth had been racially abused onboard tram - con speaking to DM to discuss the issue - DM A Roberst aware,</t>
  </si>
  <si>
    <t>Group of youths</t>
  </si>
  <si>
    <t>Racism</t>
  </si>
  <si>
    <t>POINT (-1.3443286 53.3284649)</t>
  </si>
  <si>
    <t>OCC contacted and conductor was met y duty manager at the earliest opportunity</t>
  </si>
  <si>
    <t>2402-28</t>
  </si>
  <si>
    <t>14:21 Non tram RTC ON Middlewood Road near to MEI T115 currently blocked.</t>
  </si>
  <si>
    <t>2402-29</t>
  </si>
  <si>
    <t>11:49 Driver J Ahmed (8500445) on Tram 118 forgot to change his VIS code to use Cathedral crossover during the disruption. Had to hand operate C01 Points causing a failure. FEM informed/tacted. EV/2024/01734</t>
  </si>
  <si>
    <t>Wrong VIS</t>
  </si>
  <si>
    <t xml:space="preserve">OCC contacted and they instructed to hyand operate the points </t>
  </si>
  <si>
    <t>2402-30</t>
  </si>
  <si>
    <t>13:44 Driver L Mawkes (78671) on Tram 203 reported a passenger fall as the tram left CAR i/b. No medical attention was required. CCTV and report requested. EV/2024/01735</t>
  </si>
  <si>
    <t xml:space="preserve">Unsafe act - moving seats </t>
  </si>
  <si>
    <t xml:space="preserve">Passenger error </t>
  </si>
  <si>
    <t>The driver informed OCC once he was told</t>
  </si>
  <si>
    <t>2402-31</t>
  </si>
  <si>
    <t>14:01 Driver C Warren on Tram 104 reported her Conductor has had an altercation with some kids and is requesting to come off. Report and CCTV requested.</t>
  </si>
  <si>
    <t>2402-33</t>
  </si>
  <si>
    <t xml:space="preserve">10:42:00 AM Tram 110 D. Gouldsbrough (8505276) reported two taxi's followed tram through CIH I/B tram gate. CCTV requested. </t>
  </si>
  <si>
    <t>2402-34</t>
  </si>
  <si>
    <t>13:30 Tram 112 S. Phillips (169) reported ATT O/B a female passenger was caught/trapped in doors. Reported that as a result females glasses were broken. CCTV and report requested. DM R. Wild informed. EV/2024/01736</t>
  </si>
  <si>
    <t xml:space="preserve">Passenger knocked by openig closing doors </t>
  </si>
  <si>
    <t>Tram driver did not see passenger before pressing door close button</t>
  </si>
  <si>
    <t>The driver contacted OCC and reported the incident and damage to the persons glasses</t>
  </si>
  <si>
    <t>2402-35</t>
  </si>
  <si>
    <t>10:39 T119 Dvr E Wilkinson (852862) reports that a security plus van made a u turn in front of the tram on West St causing the Dvr to apply full service brake to avoid the van, no injuries reported. report and CCTV requested. EV/2024/01737</t>
  </si>
  <si>
    <t>Van encraoched into ttrams swet path</t>
  </si>
  <si>
    <t>Van making a you turn</t>
  </si>
  <si>
    <t>2402-36</t>
  </si>
  <si>
    <t>11:09 T102 Dvr S Parker (134) Reports as tram was approaching BDH I/B an elderly passenger who was rushing for the tram fell on the platform, he boarded the tram, first aid kit was used to treat the man. No further medical attention needed; he continued his journey with his wife. Report and CCTV requested. EV/2024/01738</t>
  </si>
  <si>
    <t>2402-37</t>
  </si>
  <si>
    <t>12:30 Driver A Glaves (60660) on Tram 124 reported having RTC with a car that pulled out of a side road when travelling from MTE - HOL on Ridgeway road. No injuries reported, will check for damage to the tram and exchange details. Driver A Glaves (60660) has swapped details with the car driver and the damage to the tram is minor superficial bodywork scrapes nearside front end. Report, CCTV, SIBAS requested. The tram will be swapped in the city due to the damage (as a precaution) and delay incurred.</t>
  </si>
  <si>
    <t xml:space="preserve">The car pulled out into the swept path of the tram </t>
  </si>
  <si>
    <t>The car pulled out into the swept path of the tram</t>
  </si>
  <si>
    <t>2402-38</t>
  </si>
  <si>
    <t>Drv J Birkitt on Tram 111 reports Con H Campbell has been abused by passengers, CCTV, reports, DM D Tingle aware. EV/2024/01739</t>
  </si>
  <si>
    <t>2402-39</t>
  </si>
  <si>
    <t>Earthing cable/clamp to portable welding equipment took out of service by AB due to degradation. Cable is in RSM office with out of service tag.</t>
  </si>
  <si>
    <t>2402-40</t>
  </si>
  <si>
    <t>06:55 Tram 111 W. Hinchcliffe (8506846) emergency call at Delta to report male pedestrian laid in tracks  at points PS05. Infrastructure C. Bottoms on site placed points into manual due to pedestrian laid across  blades and to prevent any further injury to male. Pedestrian moved to a place of safety, ambulance  contacted, with trams now moving through, witness reported pedestrian fell/tripped. C. Bottoms reported  male in and out of consciousness and has suffered a facial injury. Both infrastructure and tram reported  not witnessing the fall, tram CCTV won't have captured footage whilst Townhall camera 33 currently  blank. 07:21 G. Seaborn reported J. Kolchuk taking depot Defib to site due to ambulance response times, On Call M. Blackwell informed on situation. 07:36 C. Bottoms reported male has now been placed into  ambulance. C. Bottoms reported no defects noticed in area apart from a loose tactile on crossing but that  it was unlikely to have been related due to location. M. Blackwell updated on all information and to inform  SYMCA on call. TACTs 151545 and 151547</t>
  </si>
  <si>
    <t>2402-41</t>
  </si>
  <si>
    <t>Driver L Gulak (850634) on Tram 102 reported a school girl on board has been assaulted by another pupil  and the girls parents have boarded the tram at SPL i/b demanding the Police. The Conductor advised the  parents to report the incident to the police and CCTV from the tram would be made available. Report and CCTV requested</t>
  </si>
  <si>
    <t>2402-42</t>
  </si>
  <si>
    <t>Driver D White (893) on Tram 101 at MAB has reported via mobile phone that her and the Conductor (A Zelch) have locked themselves out of the tram and are unable to depart at 19:57. Advised to wait for the  next service tram to arrive at 20:12 and borrow their keys to access the cab to then pulled into the dead  section.</t>
  </si>
  <si>
    <t>2402-43</t>
  </si>
  <si>
    <t>Town hall CCTV room informed OCC that a vulnerable person was on the pedestrian area of the delta,  Police / ambulance and have been called to attend. DM A Barcley informed and will attend. police arived 
on site at 13:50</t>
  </si>
  <si>
    <t>2402-44</t>
  </si>
  <si>
    <t>Large shelter pannels smashed ARS O/B &amp; VAC O/B. reported directly to SYP via TownHall CCTV who  have clear footage. Sheffield Interchange advised.</t>
  </si>
  <si>
    <t>2402-45</t>
  </si>
  <si>
    <t>T122 suffered damage to two sets of doors by aggressive passengers. Tram to be withdrawn. Reported to  SYP via online portal. tact 15157. EV/2024/01759</t>
  </si>
  <si>
    <t>2402-46</t>
  </si>
  <si>
    <t>09:06 Tram 201 C. Brown (64610) at HYP O/B reports passenger fall as tram left FIS I/B. Passenger unable to get up. Tram OOS to depot to await ambulance called by Conductor R. Dawson (670). Tram 203 off depot  East to replace, with tram 123 carrying passengers to ARS to connect with 203. First aider J. Ramsden  attended tram on depot. Passenger now stood up and becoming highly adgitated due to urgent need for  a toilet, as a result passenger escorted by 2 members of staff to the toilets before being escorted back to the tram to await ambulance. 09:32 Ambulance now on depot. 10:00 Passenger now in ambulance, ready to leave depot. CCTV, TELOC and reports requested. TACT: 151581. EV/2024/01760</t>
  </si>
  <si>
    <t>Missed step</t>
  </si>
  <si>
    <t xml:space="preserve">Driver contacted OCC and the tram was taken into the the depot to await the ambulance </t>
  </si>
  <si>
    <t>2402-47</t>
  </si>
  <si>
    <t>10:13 Tram 203 C.Brown (64610) reported male pedestrian slumped over at ARS O/B platform. Pedestrian  then seen on CCTV to fall to floor. Members of the public with male. DM A. Barclay to site.</t>
  </si>
  <si>
    <t>2402-48</t>
  </si>
  <si>
    <t>21:12 Arena O/B tramstop vandalised and several panels smashed. Captured incident on council CCTV  cameras. Believed to be same 3 youths who smashed several panels yesterday. Council CCTV controller liaised with SYP. Reported online to SYP and to Sheffield Interchange for repair. Facilities to  attend and tidy up broken glass. EV/2024/01761</t>
  </si>
  <si>
    <t>07:24 Driver S Phillips (169) on Tram 120 reported a passenger v passenger altercation (slanging match) CAT o/b. Conductor not getting involved. Advised to update if it escalates. DM A Roberts reported from the Conductor on Tram 120, the altercation that started at CAT o/b continued to MID and the Conductor was threatened and another passenger got involved. Reports and CCTV requested. EV/2024/01764</t>
  </si>
  <si>
    <t>Conductor intervening to assist passenger</t>
  </si>
  <si>
    <t>Anti-social behaviour from male playing music</t>
  </si>
  <si>
    <t>Incident reported to driver and OCC</t>
  </si>
  <si>
    <t>2402-50</t>
  </si>
  <si>
    <t>12:40 Driver S Green (58403) on Tram 107 reported having to use the track brake on the approach to BIL i/b due to a taxi in the swept path. In doing so, a woman passenger in a wheelchair has banged ger toes due to the wheelchair rolling forward. No medical help required. Report, CCTV and IBAS requested. EV/2024/01765</t>
  </si>
  <si>
    <t xml:space="preserve">Driver used the hazard brake </t>
  </si>
  <si>
    <t>Car in swept path</t>
  </si>
  <si>
    <t>2402-51</t>
  </si>
  <si>
    <t>15:18 DVR D Willey (426) T107 INR O/B, reported a drunk male had fall over on the tram and was refusing to get up off the floor. No injuries were reported at the time. The tram continued to MAB and was put in the end section, DM J Cawthorn informed and will attend. CCTV/SIBAS(tact 151621) and report requested.</t>
  </si>
  <si>
    <t>2402-52</t>
  </si>
  <si>
    <t>15:50:00 Driver P Marsden (41867) reported from T120 at MID, that a parent of a young male had approached him and reported that a male passenger had had try to grab his son whilst travelling on the tram, this happened at around 16:32 between SHA and MID, CCTV and report requested.</t>
  </si>
  <si>
    <t>2402-53</t>
  </si>
  <si>
    <t>15:40:00 DVR S Scanes (8508846)T122, reported that a passenger in a mobility scooter had run over the foot of his conductor R Broomhead (8511393). No injuries were reported at the time. The conductor had advised the passenger not to board the tram due to the mobility scooter being to large. CCTV and report requested. EV/2024/01766</t>
  </si>
  <si>
    <t xml:space="preserve">Wheelchair running over conductors foot </t>
  </si>
  <si>
    <t>Dispute over mobility scooter access</t>
  </si>
  <si>
    <t>Reported via driver to OCC</t>
  </si>
  <si>
    <t>2402-54</t>
  </si>
  <si>
    <t>13:24 Drv P Hawkins (64986) on T112 reported a passenger fall as he left HIL I/B. Informed OCC that no medical attention is required alhough the passenger said they had hit their head. Conductor obtaining details. CCTV, conductor report and SIBAS download (TACT 151660) requested. EV/2024/01768</t>
  </si>
  <si>
    <t>Passenger not holding on</t>
  </si>
  <si>
    <t>2402-55</t>
  </si>
  <si>
    <t xml:space="preserve">FEM J Wells reports car broken down at GRR i/b, he assisted said car onto pavement resulting in only a 4 minute delay to a single tram.
</t>
  </si>
  <si>
    <t>2402-56</t>
  </si>
  <si>
    <r>
      <t xml:space="preserve">20:00 "Drv S Jessop on Tram 116 reports item in points D11, Tact 151794, checked by FEM G Gregory and RSM who reported they believe Tram 207 had derailed and Rerailed there.  Tram 207 stopped, Tact 11791. CCTV. N Barraclough aware.". </t>
    </r>
    <r>
      <rPr>
        <b/>
        <sz val="11"/>
        <color theme="1"/>
        <rFont val="Calibri"/>
        <family val="2"/>
        <scheme val="minor"/>
      </rPr>
      <t>EV/2024/01860</t>
    </r>
  </si>
  <si>
    <t xml:space="preserve">10:05 J Stewart at Shalesmoor reported that an elderly female fell on the walkway between the bus and tram stop at appox 09:45. A relative has collected the person involved and taken her to minor injuries. Forms Part of summary of sfatey tour completed by James Stewart on the same date EV/2024/01784
</t>
  </si>
  <si>
    <t>2403-01</t>
  </si>
  <si>
    <t xml:space="preserve">12: 21 DVR C Cowley 757 reports from tram 115 (purple) on depot that two passengers are still on board the vehicle, Colin has
stayed with the tram until the relief driver boarded, Colin had confirmed that the secrity checks were complete before entering depot. EV/2024/01786
</t>
  </si>
  <si>
    <t xml:space="preserve">Poor communication between driver and conductor </t>
  </si>
  <si>
    <t xml:space="preserve">The driver reported the incident to OCC - the driver stayed with the passengers onboard tram until the relief crew arrived to ensure they were not left unaccompained on depot </t>
  </si>
  <si>
    <t>Norton Avenue</t>
  </si>
  <si>
    <t>"SYP advise OCC that a motorcyclist has parted company from his motorcycle outbound on Norton Ave, at the same time  DVR R Bayliss on tram 115 reported the same incident , All was clear for trams to run through as normal"</t>
  </si>
  <si>
    <t>2403-02</t>
  </si>
  <si>
    <t>00:38 Infrastructure's J.Barnes reports 2x circular saws stolen from van whilst parked outside EasyHotel (between FIS-CAS). Checked Townhall CCTV and camera not facing right way. J.Barnes to report to SYP.</t>
  </si>
  <si>
    <t>2403-03</t>
  </si>
  <si>
    <t>01:20 Night Driver A.Ashton reports no security guard at Shalesmoor.01:35 Other guard at UOS tried to contact their management to find out why SHA guard is missing - no answer. 03:37 Night Driver, who went to sit with SHA trams after completing duties on Depot, now finds a guard at SHA. Claims he went for something to eat.</t>
  </si>
  <si>
    <t>2403-04</t>
  </si>
  <si>
    <t>11:00 OCC contacted by control room at Crystal Peaks to advise that the bollards on the walkway at the back of the shopping centre have been ripped out. FEM advised and will attend. TACT 151816</t>
  </si>
  <si>
    <t>2403-05</t>
  </si>
  <si>
    <t>Langsett Primrose View</t>
  </si>
  <si>
    <r>
      <t xml:space="preserve">18:26 Tram 113 driver C .Bradbury (568) - Emergency call Tram V Pedestrian RTC (possible one under), Langett Road O/B ouitside Envers bar and grill. Police/fire brigade and ambulance called to attend. RSM and DM R.Wild/ D.Tingle notiofied to attend. Police incident number 680/27/5/2024 18:39 DM's R.Wild and D.Tingle on site. Police and ambulance on site. The pedestrian has move himself clear from under the tram, not life threatening injuries. He will be taken to Northern general hospital. 18:50 DM R Wild: The person is now in the ambulance, fire brigade had arrived on site and are now leaving - not required. The pedestrian involved is a member of our conducting team, not on duty. 18:52 DM R Wild: Data recorder frozen on site (CAT C showing), witnessed by PC 2185 Slaney. EV/2024/01861- </t>
    </r>
    <r>
      <rPr>
        <sz val="11"/>
        <color rgb="FFFF0000"/>
        <rFont val="Calibri"/>
        <family val="2"/>
        <scheme val="minor"/>
      </rPr>
      <t xml:space="preserve">Closed off insurers </t>
    </r>
  </si>
  <si>
    <t>POINT (-1.4893913 53.3957616)</t>
  </si>
  <si>
    <t>Suicide attempt</t>
  </si>
  <si>
    <t>2403-06</t>
  </si>
  <si>
    <t>16:20 "DVR R Pearson 89116 reports from tram 104 at BIL O/B that an elderly passenger has fallen over as the tram was stopping. Medical assistance was declined, the passenger had a cut to his head. report and CCTV requested" EV/2024/01862</t>
  </si>
  <si>
    <t>2403-07</t>
  </si>
  <si>
    <t>Rotherham Central</t>
  </si>
  <si>
    <t>14:11 DVR J Gilbert reports from T203 that a passanger has fallen on his tram leaving Rotherham Central reports, cctv and sibas requested</t>
  </si>
  <si>
    <t xml:space="preserve">The passenger lost her balance as she was sitting down in the fold down seat </t>
  </si>
  <si>
    <t>The driver reported the incident to OCC once back on supertram network</t>
  </si>
  <si>
    <t>2403-08</t>
  </si>
  <si>
    <t xml:space="preserve">Castle Square </t>
  </si>
  <si>
    <t>16:27 DVR S Adlington (615) reports from T110 that she has two passengers fighting onboard the tram. one of the passengers has reported to staff that she has had her mobile phone stolen cctv and reports requested</t>
  </si>
  <si>
    <t>2403-09</t>
  </si>
  <si>
    <t>16:30 DVR S Jessop (80750) reports via emergency call from T120 that he has wrong routed at HIL O/B towards MAB instead of MID. CCTV and reports requested. EV/2024/01975</t>
  </si>
  <si>
    <t>Wrong VIS entered</t>
  </si>
  <si>
    <t xml:space="preserve">OCC contacted via emergency call </t>
  </si>
  <si>
    <t>2403-10</t>
  </si>
  <si>
    <t>16:58 Drv S. Morgan-Walters (8505792) on T102 at HIL I/B reported a passenger fall. No injuries and details to be obtained by conductor. CCTV, report and SIBAS (TACT 151392) requested. DM A Barclay informed. EV/2024/01976</t>
  </si>
  <si>
    <t>Cant find investigation ride check sheet has been sent through though?</t>
  </si>
  <si>
    <t>2403-11</t>
  </si>
  <si>
    <t>19:08 Driver B.Hill (65149) @ HIL O/B reports forgetting to change VIS code for MID. Has not wrong-routed, but has had to hand-op HB01.  EV/2024/01977</t>
  </si>
  <si>
    <t>2403-12</t>
  </si>
  <si>
    <t>13:55 Drv of t118 approached DW1 with incorrect code to enter depot. Hand op required causing points fail. infra informed tact 151967 J Ahmed. EV/2024/01978</t>
  </si>
  <si>
    <t xml:space="preserve">OCC contacted and they instructed to hand operate the points </t>
  </si>
  <si>
    <t>2403-13</t>
  </si>
  <si>
    <t>15:15 Drv A Watson (037) whilst on his break at NUS reported to OCC that he may have had a separation earlier on his shift that he was not immediately aware of (approx 14:10 at GRR I/B). CCTV from T123 and report requested T Watson. EV/2024/01979</t>
  </si>
  <si>
    <t>Child got off tram while parent was still on board</t>
  </si>
  <si>
    <t>Mother did not allow sufficient time to leae the tram</t>
  </si>
  <si>
    <t xml:space="preserve">The driver reported the incident to OCC as  soon as he became aware of it </t>
  </si>
  <si>
    <t>2403-14</t>
  </si>
  <si>
    <t>09: 27 T101 Dvr W Hinchcliffe (8506846) as tram departed Halfway a male passenger fell on the steps, the tram was brought to a halt within a few feet and the gentleman left the tram not needing any medical attention and the Con P Barber (252) collected the gents details Report and CCTV requested. EV/2024/02018</t>
  </si>
  <si>
    <t>DM has viewed footage it does not show a faller</t>
  </si>
  <si>
    <t>2403-15</t>
  </si>
  <si>
    <t>10:18 T106 Dvr S Gregory (70450) reports a near miss with an Ocado van that may have gone through a red light at BMR I/B, tram brought to a halt using service brake report and CCTV requested Sarah was asked if she was ok to continue to which she replied yes</t>
  </si>
  <si>
    <t>Red light infringment by a 3rd party</t>
  </si>
  <si>
    <t>3rd party vehicle drivers lack of observations/concentration</t>
  </si>
  <si>
    <t>The incident was reported to OCC via a radio call</t>
  </si>
  <si>
    <t>2403-16</t>
  </si>
  <si>
    <t>13:46 Man reported on NR alongside supertram tracks at VAC, man has blood on his face and waving a plank of wood NR incident control informed and all trams advised via ASC. DM A barklay going to site. Individual now in VCentertainment carpark, NR MOM and DM A.Barclay on site.</t>
  </si>
  <si>
    <t>23:16 Tram 202 reported conductor D. Thompson (8501823) spat on at ARS I/B. Spit kit not used on tram. Spit kit taken from stores and issued to conductor to use. Conductor to report to SYP. CCTV and reports requested. DM A. Roberts aware.  EV/2024/02019</t>
  </si>
  <si>
    <t xml:space="preserve">Man spitting at conductor </t>
  </si>
  <si>
    <t>Driver K Williams (57100) tram 101 at Halfway reported that a female passenger was nudged by a closing set of doors at Gleadless O/B at 11:52, no injuries reported. CCTV and report requested. XV plus 152031. EV/2024/02052</t>
  </si>
  <si>
    <t xml:space="preserve">Driver closing doors too early </t>
  </si>
  <si>
    <t xml:space="preserve">Passenger holding doors and forcing way on </t>
  </si>
  <si>
    <t>09:55 DVR S Adlington (615) reports from T122 that she has had to brake harsh due to a pedestrian walking in front of her tram resulting in a passenger onboard falling. no injuries. EV/2024/02053</t>
  </si>
  <si>
    <t xml:space="preserve">Tram braking sharply </t>
  </si>
  <si>
    <t>Near miss with pedestrian</t>
  </si>
  <si>
    <t xml:space="preserve">The driver contacted OCC and reported the incident - the person in the saloon left no details and did not report any injuries </t>
  </si>
  <si>
    <t>2403-21</t>
  </si>
  <si>
    <t>12:07 DRV S Jessop (80750) reports from T121 that a passenger has fallen when he set off from BAS I/B no injuries reported. CCTV,SIBAS and reports requested. Tact: DV152088. EV/2024/02054</t>
  </si>
  <si>
    <t xml:space="preserve">Driver did not wait to move the tram before elderly passengers were seated </t>
  </si>
  <si>
    <t xml:space="preserve"> POINT (-1.4925196 53.3988824)</t>
  </si>
  <si>
    <t>2403-22</t>
  </si>
  <si>
    <t>18:12 Reports of tram sufers on T123. CCTV requested, reported to SYP via online portal. EV/2024/02055</t>
  </si>
  <si>
    <t>2403-23</t>
  </si>
  <si>
    <t>K Skrodski(8508698) tram 120 reported being spat at ,spit kit used and reported to police (inc626/06/06/24) reports and cctv requested. EV/2024/02056</t>
  </si>
  <si>
    <t>2403-24</t>
  </si>
  <si>
    <t xml:space="preserve">City Road </t>
  </si>
  <si>
    <t xml:space="preserve">Tram 112 J Birkett reported going through a red and bar city road inbound signal changed on approach  cctv , reports and sibas requested </t>
  </si>
  <si>
    <t>Signals for the crossing changed suddenly after pedestrian pressed button</t>
  </si>
  <si>
    <t xml:space="preserve">Tram driver unable to bring the tram to controlled stop </t>
  </si>
  <si>
    <t xml:space="preserve">The tram driver reported the incident to OCC </t>
  </si>
  <si>
    <t>Driver S morgan-walters (8505792) tram 120 at Abourthorne I/B reports that passengers and conductor L Smith (713) were verbally abused by a passenger betweem Manor Top and Spring Lane. This passenger left the tram at SPL. DM R Wild informed, CCTV and report. EV/2024/02057 requested.</t>
  </si>
  <si>
    <t xml:space="preserve">Malicious behaviour by male passenger </t>
  </si>
  <si>
    <t>Incident reported to the driver</t>
  </si>
  <si>
    <t>2403-26</t>
  </si>
  <si>
    <t>tram 110 (R Hollingworth) reported surfer between FIS &amp; Delta  other trams warned cctv requested and reported online.EV/2024/02058</t>
  </si>
  <si>
    <t>2403-27</t>
  </si>
  <si>
    <t>17:00 "Alison Ashton reports via email of a group of young people spraying passengers with water using a water pistol, no tram number available and no further incident.this was at 12:50
CAT to MEI"</t>
  </si>
  <si>
    <t>2403-28</t>
  </si>
  <si>
    <t>21:10 "DVR S Phillips 169 reports from tram 125 at TIN O/B that one large glass panel has been smashed. SYP online informed"</t>
  </si>
  <si>
    <t>2403-29</t>
  </si>
  <si>
    <t xml:space="preserve">23:59 Tram 120 A. Smith (81716) reported male sat on the wrong side of the Bowstring Bridge on the O/B side. Trams informed. CCTV informed, CCTV have contacted SYP to attend. Male unable to be seen on CCTV. 00:17 SYP now on site blocking both tracks, Townhall CCTV reported person is female. PS09 points alarm on SCADA after Tram 203 required to hand op points for SHS. CCTV contacted SYP who refused to move vehicle to allow trams to pass I/B. 00:25 Person now clear of bridge. PS09 points alarm cleared for next tram. TACT: 152180. Cancellation of last Tram Train service HYP-CAT-HYP as a result. </t>
  </si>
  <si>
    <t>2403-30</t>
  </si>
  <si>
    <t xml:space="preserve">01:31 Townhall CCTV reported to OCC one male on a push bike had been on the viaduct between HYP-Delta throwing believed to be ballast onto the road below at SYP assisting a broken down car. As a result the police car sustained a smashed windsceen. Male and SYP now left the viaduct. </t>
  </si>
  <si>
    <t>2403-31</t>
  </si>
  <si>
    <t>Donetsk Way</t>
  </si>
  <si>
    <t>14:00 Driver J Birkitt (254) T117, reported having to drop the track brake to avoid a bus that pulled out of a side road between DOW &amp; HAC I/B , no injuries reported at the time. CCTV / SIBAS (tact 152197) and report requested. EV/2024/02070</t>
  </si>
  <si>
    <t>Tram driver had to use hazard brake to avoid collision</t>
  </si>
  <si>
    <t xml:space="preserve">Bus pulled out of side road as the tram approached </t>
  </si>
  <si>
    <t>POINT (-1.3703644 53.3417414)</t>
  </si>
  <si>
    <t xml:space="preserve">The driver reported the incident to OCC no injuries were reported on the tram at the time </t>
  </si>
  <si>
    <t>18:00 Driver A Fell (306) T203, reported a child and parent had been separated as the tram departed CAT I/B. the child had run onto the tram without the parent. Driver stopped just after departing and the two were reunited. CCTV requested. EV/2024/02071</t>
  </si>
  <si>
    <t>Re-catergorised to info only -</t>
  </si>
  <si>
    <t>2403-33</t>
  </si>
  <si>
    <t>19:19 Driver S Khan (77027) T122 NUS I/B, reported having two groups of unruly teenagers on the tram and requested that a DM meet the tram at FIS.CCTV requested.</t>
  </si>
  <si>
    <t>2403-34</t>
  </si>
  <si>
    <t>19:20 Driver S Green (70450) T111, reported that as the tram arrived at GLT O/B a passenger fell, the passenger was unhurt and left the tram without giving any details. CCTV /SEBAS (tact 152200) and report requested. EV/2024/02094</t>
  </si>
  <si>
    <t>2403-35</t>
  </si>
  <si>
    <t>00:00 Driver G West (70150) T109, reported a male passenger was still on board the tram when it entered the depot. The passenger was escorted from track 7 to the NUS tramstop. EV/2024/02095</t>
  </si>
  <si>
    <t>Conductor error</t>
  </si>
  <si>
    <t>The conductor did not complete the check correctly</t>
  </si>
  <si>
    <t>The driver reported the inicden to OCC</t>
  </si>
  <si>
    <t>2403-36</t>
  </si>
  <si>
    <t>14:27 DE03 points alarmed and cleared due to T118 (RSM test run) having the wrong VIS code to enter depot. The tram was sent to SHS to return to depot with a SP driver .</t>
  </si>
  <si>
    <t>2403-37</t>
  </si>
  <si>
    <t>20:15 T122 withdrawn from service due to smoke from the articulation. cancellation WES to CIR</t>
  </si>
  <si>
    <t>2403-38</t>
  </si>
  <si>
    <t xml:space="preserve">00:20 Member of public reported to driver of Tram 119  alarm sounding at HWS, tact 152204, oncall J Wells attended and said intruder alarm active, this had not showed on Scada. The intruder alarm was then tested several times and worked each time.  </t>
  </si>
  <si>
    <t>2403-39</t>
  </si>
  <si>
    <t>00:52 Drv C Morrison on Tram 206 entered Depot West headshunt from mainline without permission, nothing else was moving at this time. Reports, DM E Cooper aware. EV/2024/02096</t>
  </si>
  <si>
    <t>Closed due to time elapsed</t>
  </si>
  <si>
    <t>2403-40</t>
  </si>
  <si>
    <t>10:49 DRV of T109 A Jeff (548) reporeted damage to the bottom of a shelter panel at HLR I/B. reported to Sheffield interchange</t>
  </si>
  <si>
    <t>2403-41</t>
  </si>
  <si>
    <t>15:06 "SYP control advise OCC of a vulnerable person on the Bow String Bridge, officers on site and trams can continue with caution, the pperson is now clear of the bridge"</t>
  </si>
  <si>
    <t>2403-42</t>
  </si>
  <si>
    <t>17:04 "DVR J Birkitt 254 reports from tram 108 at Birley Moor Road that an abandoned car  is blocking the tramway with no driver, two passengers have evacuated the tram by pulling the emergency door plungers" 17:14 "DVR J Birkitt 254 now reports from tram 108 that the driver of the car has turned up carrying a can of petrol and the car can now move having been refuelled. Quickmission cancelled at 17:22 CCTV requested for passengers pulling door plungers" EV/2024/02097</t>
  </si>
  <si>
    <t>2403-43</t>
  </si>
  <si>
    <t>17:18 "DVR J Birkitt 254 now reports objects thrown at the tram at HAC O/B with no damage caused to the tram CCTV requested and SYP online informed" EV/2024/02098</t>
  </si>
  <si>
    <t>2403-44</t>
  </si>
  <si>
    <t>05:40 Tram 118 S. Reith (439) reported conductor S. Bhadana (8513586) was pushed/assaulted by members of the public. Members of the public reported to have boarded at CAT O/B and been under the influence. Passengers pushed conductor whilst leaving the tram at WES O/B. CCTV and reports requested. DM A. Roberts aware. EV/2024/02099</t>
  </si>
  <si>
    <t>Intoxication</t>
  </si>
  <si>
    <t xml:space="preserve">2 passengers refuse to pay for their travel, when asked to leave the tram a male pushes the conductor - reported to OCC conductor removed from the tram and welfare check is carried out - reported to police and a report is completed </t>
  </si>
  <si>
    <t>2403-45</t>
  </si>
  <si>
    <t>17: 33 Driver D Johnson (567) on Tram 111 reported while queuing in traffic on Langsett Road outbound prior to Ripley Street. A passenger has pulled an emergency door pull and got off the tram. The door reset without issue. Report and CCTV requested.EV/2024/02181</t>
  </si>
  <si>
    <t>2403-46</t>
  </si>
  <si>
    <t xml:space="preserve">Tinsley </t>
  </si>
  <si>
    <t>Driver C Matthews (85223) on Tram 201 reported a passenger on passenger altercation at TIN o/b. One passenger got off and started urinating. As the tram was waiting for a signal to go onto the Chord, TIN CCTV camera operated from OCC captured this man then throw a piece of ballast at the tram. Driver C Matthews when on the Chord confirmed that a large saloon window had been smashed. The man was seen walking away towards Tinsley.EV/2024/02183</t>
  </si>
  <si>
    <t>2403-47</t>
  </si>
  <si>
    <t>12:13 Drv C Tirziu reports three surfers on Tram 107 driven by D Allott between Fis and Shs, tram stopped and surfers ran away. CCTV and SYP crimed. EV/2024/02185</t>
  </si>
  <si>
    <t>2403-48</t>
  </si>
  <si>
    <t>Netherthorpe Road</t>
  </si>
  <si>
    <t>14:45 NER I/B the new tram stop shelter has been graffitied. Reported by dr A Batty (147) who says there is a lot of it Cleaners informed tact 152342</t>
  </si>
  <si>
    <t>POINT (-1.482618 53.3846969)</t>
  </si>
  <si>
    <t>2403-49</t>
  </si>
  <si>
    <t>16:17 Drv of T119 J Belgrave (443) reported that at INR O/B as she was closing the doors a gentleman stuck his crutch in them. She noticed it as she set of and stopped immediately. CCTV and reports requested. EV/2024/02186</t>
  </si>
  <si>
    <t>Passengers walking stick was trapped in the door gap</t>
  </si>
  <si>
    <t xml:space="preserve">Walking stick placed between closing doors by passengers </t>
  </si>
  <si>
    <t>The driver stopped the tram allowed the passenger to board and then reported the inicdent OCC</t>
  </si>
  <si>
    <t>2403-50</t>
  </si>
  <si>
    <t>21:23 Driver D White (893) phoned up from HAL to report she was locked out of the tram cab through both the outer cab and inner cab to saloon doors. Both the Coductor and herself are struggling  and then a member of the public managed to open to cab to saloon door. Tram left seven minutes late. Tram tacted for checking and cctv requested.</t>
  </si>
  <si>
    <t>2403-51</t>
  </si>
  <si>
    <t>10:51 Tram 109 K. Tingle (600) reported door trap with a male boarding. No injuries reported at time. CCTV and reports requested. DM R. Wild informed. EV/2024/02189</t>
  </si>
  <si>
    <t xml:space="preserve">The passeger rushed to board the tram as the doors were closing </t>
  </si>
  <si>
    <t xml:space="preserve">The passenger rushed to board the tram as the door were closing </t>
  </si>
  <si>
    <t>2403-52</t>
  </si>
  <si>
    <t>09:40 Drv R Singer reports large bolt in 4ft at Cir o/b, recovered and shown to RSM who believe is from track. Oncall J Kolchuk informed, he recognised type of bolt and will check tomorrow.</t>
  </si>
  <si>
    <t>2403-53</t>
  </si>
  <si>
    <t>"At 14:25 DVR C Moran 8506977 reported from tram 108 that two passengers on mobility scooters had been ejected from the tram at SHS I/B for fare evasion and became abusive towards con J Wooffindin CCTV /Report/ requested and body cam. EV/2024/02190</t>
  </si>
  <si>
    <t xml:space="preserve">Asked to alight the tram </t>
  </si>
  <si>
    <t>Travelling on an electric scooter</t>
  </si>
  <si>
    <t>2 passenger board the tram with electric scooters - conducotr asks the passengers to alight the tram due to safety reasons - male passneger becomes abusive but does leave the tram - conductor reports the incident to driver who reports to OCC - CCTV and reports are completetd</t>
  </si>
  <si>
    <t>2403-54</t>
  </si>
  <si>
    <t>09:46 Driver S Adlington (615) on Tram 106 reported a passenger fell on board as they arrived at BIL i/b. The passenger got off at BIL without needing any medical help or giving details. Report, CCTV and SIBAS requested. EV/2024/02191</t>
  </si>
  <si>
    <t>2403-55</t>
  </si>
  <si>
    <t xml:space="preserve">18:00 T205 L Mawkes (78671) reported that a passenger has reported banging their head. Got off at Cathedral no medical assistance required. CCTV requested  </t>
  </si>
  <si>
    <t xml:space="preserve">Tall passenger </t>
  </si>
  <si>
    <t xml:space="preserve">Grab rail in way </t>
  </si>
  <si>
    <t xml:space="preserve">OCC informed </t>
  </si>
  <si>
    <t>2403-56</t>
  </si>
  <si>
    <t>19:30 "DVR L Gulak 8506434 reports from tram 102 at GRR O/B that a passenger is refusing to pay and drinking , OCC advise to stay away from the passenger and to not get involved , no further incident."</t>
  </si>
  <si>
    <t>2403-57</t>
  </si>
  <si>
    <t>13:45 Driver J Belgrave (443) on Tram 112 reported a member of the public laid down on the GLT o/b t/stop. Next tram through asked to give an update. Driver C Alexander-Morrison (41395) on Tram 124 reported this member of the public is still laid on the platform. Driver J Ahmed (8500445) on Tram 107 reported this member of the public is under the influence of alcohol and hes passed out. DM J Cawthorn contacted and asked to attend. 14:30 DM J Cawthorn at Gleadless, the man in question has moved away from the tram stop and is now clear.</t>
  </si>
  <si>
    <t>2403-58</t>
  </si>
  <si>
    <t>Depot East</t>
  </si>
  <si>
    <t>05:16 DRV A Watson (037) T120 , wrong VIS code to exit depot, sent onto headshunt and back to try again. EV/2024/02245</t>
  </si>
  <si>
    <t xml:space="preserve">Investigation was sent to DM on 24/06/2024 - closed to time elapsed </t>
  </si>
  <si>
    <t>2403-59</t>
  </si>
  <si>
    <t>06:04 A male member of the public walk through the west tram gate and onto depot, He was meet and escorted from the depot by a controller and duty manager. EV/2024/02246</t>
  </si>
  <si>
    <t>2403-60</t>
  </si>
  <si>
    <t>15:34 Drv S Scanes (8508846) reported Surfers on rear of tram in HIL O/B tramstop. Unsure where surfers got on the tram. CCTV requested and reported to police. EV/2024/02247</t>
  </si>
  <si>
    <t>2403-61</t>
  </si>
  <si>
    <t>Park Grange</t>
  </si>
  <si>
    <t xml:space="preserve">17:53 T Fell (306) on T124 reported cyclist come off his bike around pole PAG 3117 cyclist not in swept path and has member of public with them. </t>
  </si>
  <si>
    <t>2403-62</t>
  </si>
  <si>
    <t>21:48 J Birkett (254) on T123 reported altercation between two passengers onboard tram. CCTV requested.</t>
  </si>
  <si>
    <t>2403-63</t>
  </si>
  <si>
    <t xml:space="preserve">11:17 Tram 111 (J Leggett8504143) SHS in/b reported a passenger fall GRR , the passenger required a ambulance ( passenger sat and conscious ) tram withdrawn to depot  to await ambulance 11:55 Ambulance arrived 11:30 , passenger taken away in ambulance  11:55 Passenger walked to ambulance with assistance </t>
  </si>
  <si>
    <t>2403-64</t>
  </si>
  <si>
    <t xml:space="preserve">13:05 tram 118 reported having stones thrown at tram city road o/b no damage </t>
  </si>
  <si>
    <t>2403-66</t>
  </si>
  <si>
    <t>21:00 Erika from CCTV rang to say a distressed person is on the Bow string bridge, relevant drivers informed, this person was removed by SYP.</t>
  </si>
  <si>
    <t>2404-01</t>
  </si>
  <si>
    <t>08:17 DRV G Lowrie reported that the emergency services are dealing with a distressed member of the public close to South Street Bridge. Passed with caution.</t>
  </si>
  <si>
    <t>2404-02</t>
  </si>
  <si>
    <t>19:50 A Howard onboard T205 reported destressed member of the public on the track between CAR-VAC. Person then moved onto NR side of fence. Reported to town hall CCTV, police and NR signaller. Trams passing with extreme caution.</t>
  </si>
  <si>
    <t>2404-03</t>
  </si>
  <si>
    <t>Staniforth Road</t>
  </si>
  <si>
    <t>13:15 Drv L Coates on Tram 109 reports near miss at Staniforth Rd i/b due to red light violation, no evasive action.</t>
  </si>
  <si>
    <t>2404-04</t>
  </si>
  <si>
    <t>13:30 Drv C Donnelly on Tram 205 at Cat reports passenger fall alighting tram, CCTV, reports, DM D Tingle aware. EV/2024/02248</t>
  </si>
  <si>
    <t>Trip</t>
  </si>
  <si>
    <t xml:space="preserve">Driver contacted OCC </t>
  </si>
  <si>
    <t>2404-05</t>
  </si>
  <si>
    <t>11:58 SH Galloway at east parade: conductor J Rosevear (8512745) reported an intending passenger had fallen whilst walking through the tramstop area. She did not witness anything but saw someone being helped up. No CCTV required.</t>
  </si>
  <si>
    <t>2404-06</t>
  </si>
  <si>
    <t>12:00 B Clayton at Woodbourn Road I/B reports a small piece of broken rail on the transition rail just prior to the segregated section after Woodbourn Road I/B. To remove between trams.</t>
  </si>
  <si>
    <t>2404-07</t>
  </si>
  <si>
    <t>12:27 Driver D Gouldsborough (8505276) tram 206 on Holme Lane I/B reports a near miss with a van, track brake applied to avoid coming in to contact. No injuries reported onboard. CCTV requested</t>
  </si>
  <si>
    <t>2404-08</t>
  </si>
  <si>
    <t>12:08 Drv A Howard on Tram 203 reports at Cir o/b his Con W Bainbridge was verbally abused, DM R Wild to assess situation. EV/2024/02249</t>
  </si>
  <si>
    <t>2404-09</t>
  </si>
  <si>
    <t xml:space="preserve">14:14 l hills reported whilst on tram 206 a passenger had hit her arm after he complained his partner had been left on platform reports &amp; cctv requested </t>
  </si>
  <si>
    <t>Passnger hitting conductors arms</t>
  </si>
  <si>
    <t xml:space="preserve">Passenger losing his temper </t>
  </si>
  <si>
    <t xml:space="preserve"> A safe report was completed and the incident was logged with OCC</t>
  </si>
  <si>
    <t>2404-10</t>
  </si>
  <si>
    <t>Occupation Lane</t>
  </si>
  <si>
    <t xml:space="preserve">21:35 tram106 reported having to apply track brake for near miss occupation lane o/ b , no injuries reported cctv requested </t>
  </si>
  <si>
    <t>2404-11</t>
  </si>
  <si>
    <t>21:00 DRV E Wilkinson on T103 informed OCC that a glass shelter panel at CIR O/B has been smashed. OCC liaised with townhall CCTV and they have obtained footage. The culprits are still on the I/B platform and CCTV have contacted SYP. Occ hav reported crime online, Sheffield interchange informed and cleaners to attend</t>
  </si>
  <si>
    <t>07:47 Driver G Knight (550) on Tram 119 reported a two car RTC on Norton Ave i/b (Pole HLR 5019) blocking the track. Will try and get some more information.Driver G Knight (550) has spoken to those involved who have spoken to the Police who have advised them not to move the cars until they arrive. The tram is not in a good position to detrain passengers.</t>
  </si>
  <si>
    <t>2404-12</t>
  </si>
  <si>
    <t>14:29 Tram 117 N. Burton (391) reported conductor E. Jackson (1349) verbally abused by passengers. Passengers boarded at FIS I/B and left tram at SPL O/B. Conductor to be taken off on return trip to speak to DM. DM R. Wild informed. Report requested.16:29 DM R. Wild reported conductor E. Jackson (1349) has reported incident to SYP via online portal. Conductor was wearing a body cam at time of incident but reported they didn't activate it due to sudden nature of verbal (transphobic) abuse. CCTV requested. EV/2024/02280</t>
  </si>
  <si>
    <t xml:space="preserve">The conductor received transphobic abuse from 3 youths fare evading - conductor reports incident to driver who reports to OCC - conductor is relieved from tram for welfare check and to complete forms - incident is reported to police </t>
  </si>
  <si>
    <t>2404-13</t>
  </si>
  <si>
    <t xml:space="preserve">20:05 Conductor R. Kirk (78156) reported cutting her finger whilst on duty. Conductor unsure as to when she cut it and unable to confirm if it happened on tram or off. Plaster given from OCC first aid box. </t>
  </si>
  <si>
    <t>2404-14</t>
  </si>
  <si>
    <t>13:45 Tram 101 R. Bayliss (087) reported a girl got her foot trapped in the door (door 3) as the door opened LEL O/B. Reported girl had her leg behind bars as door opened. Girl left tram with parents without leaving details. No injuries reported at time. DM R. Bridges and RSM informed. CCTV and report requested. TACT: 152681. EV/2024/02281</t>
  </si>
  <si>
    <t>Child climbs into the door bars</t>
  </si>
  <si>
    <t>Parent unaware and opens the doors</t>
  </si>
  <si>
    <t>Conductor and driver assisted the trapped child the driver reported the incident to OCC</t>
  </si>
  <si>
    <t>2404-15</t>
  </si>
  <si>
    <t>13:53 Tram 110 S. Scanes (8508846) reported via emergency call to have passed the bar aspect to depart MEI after failing to have pressed his RTS to leave platforms. Driver to be relieved at NUS I/B to speak to DMs. Dm R. Bridges informed. CCTV, reports and SIBAS requested. TACT: 152682. Next tram reported no issues with signalling or points at MEI. EV/2024/02282</t>
  </si>
  <si>
    <t>Tram passed LRT showing bar aspect when leaving MEI terminus</t>
  </si>
  <si>
    <t xml:space="preserve">Driver did not press RTS button in tram cab prior to departure </t>
  </si>
  <si>
    <t xml:space="preserve">The driver made an emergency call to OCC then worked to their instructions </t>
  </si>
  <si>
    <t>2404-16</t>
  </si>
  <si>
    <t>18:06 OCC contracted by a member of the public to report that their car had been hit by a tram outside Sainsburys on White Lane and the tram had failed to stop. Car reg given as YO19KDN. Damage reported to rear wing of passenger side. Contact details taken by OCC. No tram had reported any incident. Persons reporting stated that they had been informed by a witness. Car was unattended at time and no injuries reported. Car driver reporting to SYP. Car driver reported incident occured around 17:54, Tram 116 around location at time. DM D. Tingle informed. 18:34 Car driver contacted OCC to report SYP not interested and no incident number given unless insurances details are not exchanged. Car drivers details taken down by OCC and put on to Motor vehicle collision particulars card. Person reporting given SYFTL contact details from card. CCTV requested. SIBAS 152684. TACT: 152685. EV/2024/02283</t>
  </si>
  <si>
    <t>Car was in the swept path</t>
  </si>
  <si>
    <t xml:space="preserve">Tram driver error </t>
  </si>
  <si>
    <t xml:space="preserve">Driver has since left the business </t>
  </si>
  <si>
    <t>2404-17</t>
  </si>
  <si>
    <t>Driver D Long (063) T116, reported having a minor RTC with a car on City Rd I/B, details exchanged, only minor scuff marks to the tram. No injuries were reported at the time. Report, CCTV and SIBAS requested. EV/2024/02284</t>
  </si>
  <si>
    <t xml:space="preserve">Closed due to time elapsed -part of data cleanse </t>
  </si>
  <si>
    <t>2404-18</t>
  </si>
  <si>
    <t>Tram 117 reported door trap SHA o/b. No injuries. CCTV and reports requested. End 2 rear doors.</t>
  </si>
  <si>
    <t>2404-19</t>
  </si>
  <si>
    <t>DRV J Leggett on T115 reported a passenger fall WOR - ATT. No medical attention required and details obtained. CCTV and report requested. EV/2024/02285</t>
  </si>
  <si>
    <t>Passenger not holding on and unsteady</t>
  </si>
  <si>
    <t xml:space="preserve">Passenger not waiting until tram had stopped </t>
  </si>
  <si>
    <t xml:space="preserve">Driver checked on passenger and reported to OCC </t>
  </si>
  <si>
    <t>2404-20</t>
  </si>
  <si>
    <t>From DM N Wybrant: DRV S Scanes (8508846) has reported a near miss on T116 at BDH I/B at 11:42. Hazard brake used but no fallers/injuries. CCTV requested</t>
  </si>
  <si>
    <t>2404-21</t>
  </si>
  <si>
    <t>Herdings Park</t>
  </si>
  <si>
    <t>T112 was withdrawn from service due to smoke coming from under the center section (tact 152761) tram sent back into the end section at HEP to wait for RSM to attend. This resulted in TX1 cancellation from HEP to CAT.</t>
  </si>
  <si>
    <t>2404-22</t>
  </si>
  <si>
    <t>Tram 122 A Smith ARR in/b reported a person had fallen over on the platform , the person required a ambulance conductor M Broughton arranged and remained with the person till ambulace arrived , Tram 122 ran ARR - CAT with no conductor ,FEM asked to check platform for trip hazard . Ambulance arrived and took passenger away 09:54</t>
  </si>
  <si>
    <t>2404-23</t>
  </si>
  <si>
    <t xml:space="preserve">Malin Bridge </t>
  </si>
  <si>
    <t>Tram 103 C Warren reported points MB1(MAB) something wedged in points unable to set fully across , service  suspended HIL - MAB till FEM have attended.  EV/2024/02285</t>
  </si>
  <si>
    <t>2404-24</t>
  </si>
  <si>
    <t xml:space="preserve">Tram 117 G Knight CAT in/b reported a passenger requiring a ambulance tram detrained and returned to depot to await assistance </t>
  </si>
  <si>
    <t>2404-25</t>
  </si>
  <si>
    <t>Drv of T107 R Pearson (89116) reported a 2 car RTC on White lane blocking both tracks and police had been requested to attend.</t>
  </si>
  <si>
    <t>2404-26</t>
  </si>
  <si>
    <t>drv of T107 reported Taxi issue at CIH I/B. CCTV requested for J Keeling</t>
  </si>
  <si>
    <t>04:18 RSM's L.Coates (58380) reports an accident in workshop. Slipped on spilled liquid. Pulled muscle in neck but ok to continue. Report submitted. EV/2024/02540</t>
  </si>
  <si>
    <t>7+</t>
  </si>
  <si>
    <t>Incorrect manual handling</t>
  </si>
  <si>
    <t>Possibly rushing and not dynamically risk assessesing the task prior</t>
  </si>
  <si>
    <t xml:space="preserve">Incident reported via shift supervisor at the time and documented injured operative neither requested or received any first aid and carried on with duties </t>
  </si>
  <si>
    <t>2404-29</t>
  </si>
  <si>
    <t>12:40 Tram 104 s parker (134) reported  rtc langsett rd in/b car no injuries reported fem&amp; RSM to site. EV/2024/02541</t>
  </si>
  <si>
    <t>Car driver driving into the path of the tram</t>
  </si>
  <si>
    <t>Car driver error</t>
  </si>
  <si>
    <t>The driver stoped and informed OCC</t>
  </si>
  <si>
    <t>10:36 CON, B Rowbottom (8507629) Reported he had slipped and hurt his back whilst working on tram T206 between WHL &amp; SPL at around 09:45 . This was reported to DM E.Cooper on his break . report and CCTV requested.EV/2024/02542</t>
  </si>
  <si>
    <t xml:space="preserve">Conductor losing footing on tram </t>
  </si>
  <si>
    <t xml:space="preserve">Wet conditions - possible inadequate footwear </t>
  </si>
  <si>
    <t>2404-31</t>
  </si>
  <si>
    <t>13:25 T107 O/B Park grange Rd reported a none tram RTC blocking the tracks O/B, Blue route unable to operate between Blue route trams are unable to operate between Sheffield station and Gleadless town end. The Purple route tram is suspended. On call informed / X updated / disruption email sent and ticket acceptance arranged with First and Stagecoach bus.INF informed and asked to attend.</t>
  </si>
  <si>
    <t>2404-32</t>
  </si>
  <si>
    <t>09:40 Reported to OCC that there is smoke in the Wayfarer room. All chargers powered down - M Tomkins and N Barraclough in attendance and source of issue found. Problem with a bodycam charger.</t>
  </si>
  <si>
    <t>Cannot find this signed off investigation - safety precatuions were made in the aftermath - smoke alarm was added to room - Reported to OCC that there was smoke in the Wayfarer room. All chargers powered down - M Tomkins and N Barraclough in attendance and source of issue found. Problem with a bodycam charger.</t>
  </si>
  <si>
    <t>2404-33</t>
  </si>
  <si>
    <t>16:28 T101 Dvr G Dobbin (58277) reports that when travelling along Holme Lane O/B the mirror made slight contact with the mirror of a lorry that was parked up, no damage to the mirror at all, report and CCTV requested. EV/2024/02543</t>
  </si>
  <si>
    <t>2404-34</t>
  </si>
  <si>
    <t>10:06 T121 (TRG) HYP I/B .Report smoke in the rear cab, no sign of flames, air pressure down to 3.5 and tram won’t move. RSM to attend. Yellow route unable operate WOR – FIS, TT WOR CAT</t>
  </si>
  <si>
    <r>
      <t>10:06 am TACT 152924 T121</t>
    </r>
    <r>
      <rPr>
        <sz val="10"/>
        <color rgb="FF111111"/>
        <rFont val="Arial"/>
        <family val="2"/>
      </rPr>
      <t xml:space="preserve">air pressure down to 3.5 bar. </t>
    </r>
    <r>
      <rPr>
        <sz val="11"/>
        <color rgb="FF000000"/>
        <rFont val="Arial"/>
        <family val="2"/>
      </rPr>
      <t>Tram at 3bar unable to move Hyde pk I/B, met with tram, identified reason due to burnt up 380v plug, replaced and renewed same. </t>
    </r>
  </si>
  <si>
    <t>13:54 Driver J Williams (59665) T118, reported a minor RTC with Lorry on  City Rd I/B ,no injuries reported at the time .drivers exchanging details . report /SEBAS and CCTV Requested 14:18 Drv of T118 J Williams (59665) did not call from CIR to enter depot west and came onto the west headshunt without permission where she then called for a stabling possition. DM D Tingle spoke to her as soon as she had stabled the tram. EV/2024/02544</t>
  </si>
  <si>
    <t xml:space="preserve">Van in swept path </t>
  </si>
  <si>
    <t>2404-36</t>
  </si>
  <si>
    <t>05:55 Driver D Long (063) on Tram 112 reported a car has had a RTC just prior to ARR o/b near the Kenninghall Rd junction. Outbound track currently blocked.</t>
  </si>
  <si>
    <t>2404-37</t>
  </si>
  <si>
    <t>08:25 Large shelter panel smashed at ARS O/B reported to interchange and police.</t>
  </si>
  <si>
    <t>2404-38</t>
  </si>
  <si>
    <t>09:26 trams blocked for appox 5 mins on bow string bridge due to a high risk missing person and police attending.</t>
  </si>
  <si>
    <t>2404-39</t>
  </si>
  <si>
    <t>Meadow Street</t>
  </si>
  <si>
    <t>13:13 D S Spillman on T113 reported RTC with car at Meadow St I/B Car did an illegal right turn in front of tram. No injuries reported CCTV and Sibas requested. 13:30 S Spillman reported a nurse had stopped onsite at RTC and was dealing with the car driver. Maybe flagging an ambulance down to check up on driver. S Spillman believed driver of car had no injuries at this time. EV/2024/02545</t>
  </si>
  <si>
    <t xml:space="preserve">Car driver carrying out an illegal right turn into trams path </t>
  </si>
  <si>
    <t>2404-40</t>
  </si>
  <si>
    <t>16:00 A member of public reported to Drv P Gillot that the guard rail was damaged at CRP, tact 153000, oncall informed.</t>
  </si>
  <si>
    <t>2404-41</t>
  </si>
  <si>
    <t>22:24 Driver J Lawrie (541) on Tam 101 reported having passenger who fell on board when disembarking at SPL outbound, got up and got off the tram and then fell on the platform severely cutting his head and requiring an Ambulance. Driver J Lawrie (541) reported that the passenger had a mobility pass, was partially sighted and had been drinking. Another passenger was on the phone to the Ambulance service. EV/2024/02546</t>
  </si>
  <si>
    <t xml:space="preserve">The passenger collapsed when the tram was stationary </t>
  </si>
  <si>
    <t>The passenger may have been under the influence of alcohol</t>
  </si>
  <si>
    <t>2404-42</t>
  </si>
  <si>
    <t>23:13 CCTV Control reporting of a car/pedestrian RTC on West Street blocking the outbound track. Emergency services are on scene. Driver C Warren on Tram 112 (West Street o/b), the Police have taped the road off and they are not allowing anything through. DM R Bridges contacted and asked to attend. Service disruption, X done and ops on call informed.</t>
  </si>
  <si>
    <t>2404-43</t>
  </si>
  <si>
    <t>23:48 Driver J Birkitt (254) on Tram 117 forgot to change her VIS code to use CAT x-over. Having to hand operate C01 causing a failure. FEM on call informed and tacted.EV/2024/02547</t>
  </si>
  <si>
    <t xml:space="preserve">Wrong  VIS code set in tram </t>
  </si>
  <si>
    <t>Driver lapse</t>
  </si>
  <si>
    <t>The driver contacted OCC and worked on their instruction</t>
  </si>
  <si>
    <t>2404-44</t>
  </si>
  <si>
    <t>16:19 Drv C A Morrison on Tram 113 emergency call for SPAB @ Blackburn Meadows Way, after discussion and viewing on CCTV was instructed to continue to NUS where a spare driver took over, reports, sibas, CCTV. EV/2024/02548</t>
  </si>
  <si>
    <t>Investigation was sent to DM 22/07/2024 Closed due to time elapsed</t>
  </si>
  <si>
    <t>2404-45</t>
  </si>
  <si>
    <t>16:30 Con S Scott informs DM R Bridges of an incident on Tram 113 @ 15:53 involving passenger. Reports and CCTV requested.</t>
  </si>
  <si>
    <t>2404-46</t>
  </si>
  <si>
    <t>12:30 Drv of T101 R Singer reported that he had possibly driven over a foriegn object in the tracks Norton Ave O/B between poles HLR 5010 &amp; 5013, infra informed and will attend tact 153061/ RSM also advised and tact for tram is 15306 13;17 S Walford has found some metal embedded in the rail by pole HLR 5011 and has removed it. RSM informed that the tram had definitely run over it</t>
  </si>
  <si>
    <t>2404-48</t>
  </si>
  <si>
    <t>23:45 Drv G Lowrie on Tram 101 reports Door 4 has smashed glass, possibly due to items thrown, tact 153081, CCTV and to be crimed. EV/2024/02549</t>
  </si>
  <si>
    <t>2404-49</t>
  </si>
  <si>
    <t>11:30 Driver S Scanes (8508846) tram 109 at BMR I/B reports a near miss with a car at Occupation Lane (leaving HAC) I/B. Hazard brake applied, no injuries, car came through a red light nearside of the tram. CCTV requested.</t>
  </si>
  <si>
    <t>2404-50</t>
  </si>
  <si>
    <t xml:space="preserve">19:28 town hall CCTV reported a vulnerable / distressed person on the wrong side of the fence on the bow string bridge and police will be attending 19:50 Police dealing with a vulnerable / distressed person on the wrong side of the fence on the bow string bridge, police have closed the tracks  between FIS and the delta. DM A Barclay informed on site. </t>
  </si>
  <si>
    <t>2404-51</t>
  </si>
  <si>
    <t>10: 57 DVR N Burton (391) reports from tram 101 that he has had a passenger get trapped in the doors reports and CCTV requested. EV/2024/02550</t>
  </si>
  <si>
    <t>The doors closed as the passenger was exiting the tram</t>
  </si>
  <si>
    <t xml:space="preserve">The driver did not allow enough time for the passenger to exit the tram </t>
  </si>
  <si>
    <t xml:space="preserve">Th driver reported the inicdent to OCC </t>
  </si>
  <si>
    <t>2404-52</t>
  </si>
  <si>
    <t xml:space="preserve">13:00 Conductor G Lilley (1353) reports via driver that she has had a passenger fight on her tram between INR and WES I/B on T120 </t>
  </si>
  <si>
    <t>2404-53</t>
  </si>
  <si>
    <t>22:33 Tram 205 A. Smith (81716) HYP I/B reported passengers refusing to pay and being aggressive towards conductor C. Wheeler (650) and other passengers. Passengers left tram at HYP. C. Wheeler relieved at NUS to speak to DM N. Wybrant. Reports requested. EV/2024/02551</t>
  </si>
  <si>
    <t>Refusal to pay fare</t>
  </si>
  <si>
    <t xml:space="preserve">Refusal to pay fare </t>
  </si>
  <si>
    <t>OCC contacted conducotr filled out report for SYP</t>
  </si>
  <si>
    <t>12:28 drv of T121 S phillips (169) reported that cond W Walsh (8512390) had been verbally abused by a fare evading passenger and requested to be taken off to fill out a report. Incident happened between BAS and HIL (no bodycam worn) CCTV requested.EV/2024/02552</t>
  </si>
  <si>
    <t xml:space="preserve">Passenger verbally threatening conductor </t>
  </si>
  <si>
    <t xml:space="preserve">Fare evasion - not fully determined </t>
  </si>
  <si>
    <t xml:space="preserve">Incident was reported to OCC via driver </t>
  </si>
  <si>
    <t>2404-55</t>
  </si>
  <si>
    <t>14:34:00 Emergency call from driver C.A Morrison (41395). RTC with a car prior to Leppings Lane Inbound, offside collision. Side panel damage to tram, front body damage to car. No Injuries currently reported.J Broughton (off duty RSM) on site with tram 106 liaising with OCC. Police and ambulance have been contacted to attend. RSM to site, Dm E Cooper to site picking up a spare driver on route. Oncall A Rathbone notified,Twitter updated, Buses contacted. Yellow services diverting to Malin Bridge, Yellow service suspended HIL - MID. EV/2024/02553</t>
  </si>
  <si>
    <t>2404-56</t>
  </si>
  <si>
    <t>19:30 RSM R Gold on tram 102 at TIN O/B reports one large glass panel smashed in TIN O/B shelter. Cleaners informed to sweep area, SYP on line form completed, PTE informed.</t>
  </si>
  <si>
    <t>2404-57</t>
  </si>
  <si>
    <t>20:18 DM R Wild contacted OCC to inform us that conductor J Rosevear (8512745) tram 104, reported an alighting passenger fell on to ARR O/B tramstop, she appeared intoxicated. She was helped up by other persons and walked away. No details obtained. CCTV requested.</t>
  </si>
  <si>
    <t xml:space="preserve">Passenger alighting from the tram </t>
  </si>
  <si>
    <t xml:space="preserve">The passenger was checked on but no injuries were reported or details given </t>
  </si>
  <si>
    <t>2404-58</t>
  </si>
  <si>
    <t>20:15 Ambulance service contacted OCC to inform us that a cyclist had come off their bike on Granville Road O/B (Wet conditions) and an ambulance was on route. Driver M Storey (745) tram 124 at Granville Road I/B reports police are on site and the O/B track is currently cordoned off. DM R Wild to site. Dm R Wild, Ambulance on site and the female cyclist is in the ambulance.</t>
  </si>
  <si>
    <t>2405-01</t>
  </si>
  <si>
    <t>21:16 Driver B Hill (65149) tram 116 at Meadowhall informed OCC that someone called Duncan from Meadowhall interchange may contact OCC to request CCTV from tram 116 regarding youths throwing ballast at a bus in the interchange.</t>
  </si>
  <si>
    <t>2405-02</t>
  </si>
  <si>
    <t xml:space="preserve">22:18 Townhall CCTV contacted OCC to report potential RTC between a car coming out of York Street (CAT) and tram 116, CCTV reported to have car registration if required. Driver D. Gouldsbrough (8505276) reported car had not hit tram but had been close. Driver reported no need for evasive action. DM R. Wild informed and inspected tram at ARS. Reported some minor damage but looked like old damage. CCTV, Reports and SIBAS requested. TACTs: 153187, 153188. RSM informed. </t>
  </si>
  <si>
    <t>2405-03</t>
  </si>
  <si>
    <t>17:25 Driver C Bradbury (568) on Tram 103 (Yellow Route) reported the Conductor S Wilson (8509368) has had an altercation with a group of youths and requesting to come off. Spare Conductor to meet the tram at CAT. DM's made aware at East Parade and to update on the incident. EV/2024/02554</t>
  </si>
  <si>
    <t xml:space="preserve">Info only closed due to time elapsed </t>
  </si>
  <si>
    <t>DVR J Willams (59665) T122, reported via an emergency call, that she was approaching HEP from HLR and T110 was still in the tramstop. T110 moved in to the end section and the crews swapped trams.  DVR J Willams confirmed the signal to enter HEP was showing a procced. INF informed and will attend (tact 153212) . All trams now requested to call OCC for permission to depart HLR O/B. EV/2024/02555</t>
  </si>
  <si>
    <t>Driver travelled through a bar apsect</t>
  </si>
  <si>
    <t xml:space="preserve">The driver stopped and inofrmed OCC via an emeregency call </t>
  </si>
  <si>
    <t>2405-05</t>
  </si>
  <si>
    <t>DRV D Johnson T207 , reported a RTC blocking the I/B tracks on Middlewood RD , on call informed / X updated.</t>
  </si>
  <si>
    <t>2405-06</t>
  </si>
  <si>
    <t>23:35 Driver S Green (58403) on Tram 107 reported Tram 118 at UOS inbound has just been spray painted by a group o kids who ran away. Will check with the Driver of Tram 118 is see what the extent of it is.</t>
  </si>
  <si>
    <t>2405-07</t>
  </si>
  <si>
    <t>02:00 RSM confirmed there was a straight paint line on Tram 118 that has been easily cleaned off. CCTV taken off to view.</t>
  </si>
  <si>
    <t xml:space="preserve">21:00 Tweet from member of the public reporting a driver for using a phone while driving. Details investigated and CCTV requested. </t>
  </si>
  <si>
    <t>Member of staff has been removed from business following HR investigation</t>
  </si>
  <si>
    <t>2405-09</t>
  </si>
  <si>
    <t xml:space="preserve">03:07 SYP reported to OCC pedestrian wrong side of railings on the Bow String Bridge. SYP in attendance. </t>
  </si>
  <si>
    <t>2405-10</t>
  </si>
  <si>
    <t xml:space="preserve">17:13 tram 116 K Tingle reported passenger trapped in door SHA in/b  no injuries reported, cctv and reports requested </t>
  </si>
  <si>
    <t xml:space="preserve">The passengers rushed on to the tram as the doors were closing </t>
  </si>
  <si>
    <t xml:space="preserve">The passengers rushed onto the tram as the doors were closing </t>
  </si>
  <si>
    <t>22:22 Driver P Marsden (41867) tram 116 at Cathedral I/B reports that his conductor L Carney (81820) had an altercation with three young female passengers between City Hall and Cathedral I/B. The three passengers alighted at Cathedral with one of them spitting towards the conductor, not hitting him. CCTV and report requested. DM N Wybrant informed, to liaise with the conductor at Depot.</t>
  </si>
  <si>
    <t xml:space="preserve">Girls verbally abusing conductor and spitting </t>
  </si>
  <si>
    <t xml:space="preserve">Incident reported to OCC via driver </t>
  </si>
  <si>
    <t>2405-12</t>
  </si>
  <si>
    <t>09;43 DRV S Reith on T117 approaching CAT reported that his CON S Bhadana had exited the tram at CAS O/B due to an altercation with a passenger. DM R Wild informed but the tram has had to travel to MAB without a conductor. From DM R Wild: CON S Bhadana reported that the issue requires reporting to SYP and that DM R Wild and her are attending the Police Station now. CCTV Requested.</t>
  </si>
  <si>
    <t>2 passengers fare evade and abuse the conductor - the conductor left the tram without reporting to the conductor - driver reports incident via rasio - conductor completes reportt and reports the incident to the police - conducto has since left the business</t>
  </si>
  <si>
    <t>2405-13</t>
  </si>
  <si>
    <t>22:15 SYP contacted OCC to inform us of a distressed female on the Bow String Bridge. Trams not to run across the Bow String Bridge at this time.</t>
  </si>
  <si>
    <t>2405-14</t>
  </si>
  <si>
    <t xml:space="preserve">12:05 DVR J Peckett (8500446) reported having to track brake at HOL I/B, this was due to an elderly man tripping up the curb, no reported injuries, CCTV &amp; SIBAS (tact 153393) download requested </t>
  </si>
  <si>
    <t xml:space="preserve">Pedestrian fell in front of the tram </t>
  </si>
  <si>
    <t>The passenger tripped on the curb</t>
  </si>
  <si>
    <t>2405-15</t>
  </si>
  <si>
    <t>16:13 Drv D Simpson (377) reported near miss at Alsing Rd O/B car came threw red light. track brake applied no injures reported CCTV and SIBAS requested. Tact153397</t>
  </si>
  <si>
    <t xml:space="preserve">Car driver travelling through a red light </t>
  </si>
  <si>
    <t xml:space="preserve">Car driver travelling throug a red light </t>
  </si>
  <si>
    <t>2405-16</t>
  </si>
  <si>
    <t>19:50 Con J Ward (8513960) on T121 activated bodycam due to passenger using foul language towards him.</t>
  </si>
  <si>
    <t>Closed under instruction from DM - staff member has left the business</t>
  </si>
  <si>
    <t>2405-17</t>
  </si>
  <si>
    <t>21:30 Police car blocking I/b track on bow string bridge talking to distressed person. Person is on correct side of fencing.</t>
  </si>
  <si>
    <t>2405-18</t>
  </si>
  <si>
    <t>10:01 Drv S Cowlishaw on Tram 109 ran wrong direction Hal-Bdh as he believed it was single line running, the next tram called at CRP so no conflict ensued, drivers reminded of LN37, DM  A Barclay aware.</t>
  </si>
  <si>
    <t>Driver error  - Late notice case not checked correctly</t>
  </si>
  <si>
    <t xml:space="preserve">Driver error - Late notice case not checked correctly </t>
  </si>
  <si>
    <t>The driver acted on OCC instruction - Driver relived at Hlafway Terminus and initial meeting completed by A Roberts</t>
  </si>
  <si>
    <t>2405-19</t>
  </si>
  <si>
    <t>12:45 Drv J Leggett on Tram 123 reports using first aid box after cutting finger on platform at Middlewood, reports.</t>
  </si>
  <si>
    <t>2405-20</t>
  </si>
  <si>
    <t>20:32 DRV S Khan on T108 reported that his CON J Ward has had an issue with a passenger and the bodycam has been activated. Report requested and DM R Bridges informed</t>
  </si>
  <si>
    <t xml:space="preserve">Closed under isntruction from DM- staff memebr has left the business </t>
  </si>
  <si>
    <t>2405-21</t>
  </si>
  <si>
    <t>19:15 DRV A Watson reported to OCC that at approx 19:15 there was a possible passenger fall at CAS on his last trip. DM A Barclay informed and CCTV/report requested</t>
  </si>
  <si>
    <t>16:20 Con H Campbell (8511271) reported passenger became abusive when she withdrew a pass from them following her down the tram. Conductor is ok. No bodycam was worn. report requested</t>
  </si>
  <si>
    <t xml:space="preserve">Male verbally threatening the conductor </t>
  </si>
  <si>
    <t>Expired pass withdrawl</t>
  </si>
  <si>
    <t xml:space="preserve">Incident reported to OCC </t>
  </si>
  <si>
    <t>2405-23</t>
  </si>
  <si>
    <t>20:15 Drv J Lawrie (541) reported finding inebriated female pedestrian on the service road down the side of depot. Escorted off the premises and onto tram stop. Unsure of how they got onto depot. All gates closed except depot west tram gate due to trams running onto depot. On review of depot CCTV woman in question followed a vehicle through the entrance gate. CCTV Requested.</t>
  </si>
  <si>
    <t>2405-24</t>
  </si>
  <si>
    <t>19:29 EM call from Tram 121 S Khan(77027) reports a RTC with a car Holme lane in/b , RSM &amp; DM to site ,CCTV , Reports  &amp; Sibas requested Police on site 19:35. EV/2024/02855</t>
  </si>
  <si>
    <t>Car driver not stopping at the junction</t>
  </si>
  <si>
    <t xml:space="preserve">The drive rstopped and informed OCC via an emergecny call </t>
  </si>
  <si>
    <t>2405-25</t>
  </si>
  <si>
    <t>16:40 Drv J Ahmed on tram 110 ran single line from Hal as he believed he should, other trams held to prevent conflict, DM A Roberts aware. EV/2024/02856</t>
  </si>
  <si>
    <t>Driver forgot latest instruction</t>
  </si>
  <si>
    <t xml:space="preserve">OCC called driver then he worked to their instruction </t>
  </si>
  <si>
    <t>2405-26</t>
  </si>
  <si>
    <t>16:40 Drv D Willey on tram 121 reports passengers fighting each other, after a while they got off tram, CCTV, reports, DM A Roberts aware.</t>
  </si>
  <si>
    <t>2405-27</t>
  </si>
  <si>
    <t>18: 50 Driver D Luker (8506979) tram 102, incorrect code for Cathedral crossover, instructed to handwork C01 points. C01 fail on SCADA. G Venner to site. XV plus 153562.EV/2024/02857</t>
  </si>
  <si>
    <t>2405-28</t>
  </si>
  <si>
    <t>15:44 750v protection trip CBS-BMS. Circuit breakers 13 dcf cb and 15 dcf cb showing green open on SCADA. York ECR contacted and confirmed TS 982 was showing open. ECR contacting rotherham signaller then ECR to contact OCC. Three trams in section 1X TT and 2x siemans.</t>
  </si>
  <si>
    <t xml:space="preserve">Not holding the mouse correctly </t>
  </si>
  <si>
    <t>Nil</t>
  </si>
  <si>
    <t>2405-29</t>
  </si>
  <si>
    <t>09:45 G Seaborn reported a delivery driver from Alpenbury had reversed into a wall on depot, damage to the van but no damage to the wall.</t>
  </si>
  <si>
    <t>2405-30</t>
  </si>
  <si>
    <t>20:42 "DVR J Leggett 8504143 reports from T120 that between CAS and CAT somethng was thrown at the tram with no damage caused CCTV and SYP online completed"</t>
  </si>
  <si>
    <t>2405-31</t>
  </si>
  <si>
    <t>23:20 Drv J Birkett on T206 reported suspected destressed person on Bow String bridge infromed town hall CCTV</t>
  </si>
  <si>
    <t>2405-32</t>
  </si>
  <si>
    <t>12:20 Driver P Hawkins (64986) tram 120 reports a passenger fall at UOS O/B, passenger received a cut to arm, onboard first aid kit used. CCTV and report requested. XV plus 153595 for SIBAS. EV/2024/02858</t>
  </si>
  <si>
    <t>Passenger stumbled backwards</t>
  </si>
  <si>
    <t xml:space="preserve">Passgenger stumbled backwards as the tram leaves the tram stop </t>
  </si>
  <si>
    <t>The driver informed and reported to OCC</t>
  </si>
  <si>
    <t>2405-33</t>
  </si>
  <si>
    <t>17:35 Driver S Scanes (8508846) tram 206 at GLT I/B reports a near miss with a car just prior to WHL tramstop I/B, track brake applied, no injuries reported. CCTV requested. XV plus 153598.</t>
  </si>
  <si>
    <t>2405-34</t>
  </si>
  <si>
    <t>13:50 INF – C.Bottoms (51187) reported injuring his had whilst working at Middlewood earlier this morning.</t>
  </si>
  <si>
    <t>2405-35</t>
  </si>
  <si>
    <t>22:30 Liaised with CCTV regarding distressed person on Bow string bridge, person removed by police after a while, at no point was blocking track or delaying service.</t>
  </si>
  <si>
    <t>2405-36</t>
  </si>
  <si>
    <t xml:space="preserve">12:45 Tram 124 T Baldwin(8501802) CRP in/B reported a passenger fall as tram set off , no injuries reported details exchanged CCTV &amp; reports requested. EV/2024/02859. </t>
  </si>
  <si>
    <t xml:space="preserve">Tram setting off </t>
  </si>
  <si>
    <t xml:space="preserve">Passenger off balance and not holding on </t>
  </si>
  <si>
    <t xml:space="preserve">A call was made to OCC  and an initial accident report form was completed no injuries were recorded </t>
  </si>
  <si>
    <t>2405-37</t>
  </si>
  <si>
    <t>15:20 DRV D Willey reports a vulnerable person on the wrong side of the railings on the Bow String Bridge. OCC have reported the incident to CCTV and they will contact SYP.</t>
  </si>
  <si>
    <t>2405-38</t>
  </si>
  <si>
    <t>17:50 DRV  J Leggett on T206 informed OCC that he has had to use track brake on Norton Ave I/B in a near miss situation. CCTV requested and tram replaced at SHS at RSM request. RSM will take TELOC download. TACT 153667. T206 reported near miss Norton Avenue. CCTV viewed. Not clear from footage as tram appears to be crawling in traffic. Tram withdrawn for brake checks.</t>
  </si>
  <si>
    <t>2405-39</t>
  </si>
  <si>
    <t>20:40 DRV D Luker on T110 reported that as he left TIN O/B the signal changed quickly because a TT was re-entering the network, this resulted in him passing the signal at bar. DM J Cawthorn informed and CCTV/report requested. T110 SPAB – CCTV viewed. Driver completed report. Currently under investigation but footage shows signal did change as driver was on top of it. Took immediate safe action to bring tram to halt prior to R02 points and called OCC correctly. No conflict with approaching TT.</t>
  </si>
  <si>
    <t>Sfaety Digest prodiced as known fault at this set of signals</t>
  </si>
  <si>
    <t>2405-40</t>
  </si>
  <si>
    <t>22:43 Drv G Lilley on T207 reported hitting laughing gas canister near SPL O/B which then got stuck underneath the front bogie. Tram Proceeded with caution up to HEP. The item became free of the tram when it got to the segregated section at HLR.</t>
  </si>
  <si>
    <t>2406-01</t>
  </si>
  <si>
    <t>10:25 Tram 113 P Gillott reported a Bus v Car RTC blocking Infirmary Road in &amp; o/b,First &amp; Stagecoach accepting tickets N Dobbs informed disruption E Mail sent</t>
  </si>
  <si>
    <t>2406-02</t>
  </si>
  <si>
    <t>11: 20 Tram 206 C Cowley reported a passsenger fall between UOS - NER O/B, no injuries reported .CCTV, Sibas &amp; reports requested. EV/2024/02860</t>
  </si>
  <si>
    <t>The passeger fell due to the normal movement of the tram</t>
  </si>
  <si>
    <t>2406-03</t>
  </si>
  <si>
    <t>20:41 Glass pannel found smashed VAC O/B. No tram seen incident and townhall CCTV camera not facing correct way. Reported to SYP via online portal</t>
  </si>
  <si>
    <t>2406-04</t>
  </si>
  <si>
    <t>22:33 Tram 122 K. Tingle (600) reported conductor R. Madin (79797) activated bodycam ARR O/B due to an abusive passenger. Passenger left tram at HEP. 22:52 Driver K. Tingle reported 2 seats taped off due to the passenger potentially relieving themselves on seats. Report requested. Dm A. Barclay informed.EV/2024/02861</t>
  </si>
  <si>
    <t>Re-classified as info only due to time elapsed</t>
  </si>
  <si>
    <t>2406-05</t>
  </si>
  <si>
    <t>09:20 "DVR M Kelly reports from tram 110 at Alsing Rd o/b that she has over shot the loop for the single line, OCC instruct a WDM to re align then all okay"</t>
  </si>
  <si>
    <t>2406-06</t>
  </si>
  <si>
    <t xml:space="preserve"> 14:10 750 protection trip alarmed on SCADA. Breaker 11DCF-DE tripped. Spoke to RSM supervisor S Hague before attemptong to reclose this breaker. He informed OCC that they had attempted to move T115 in the workshop. Reclosed breaker with no issues. Tact 153750</t>
  </si>
  <si>
    <t>2406-07</t>
  </si>
  <si>
    <t xml:space="preserve"> 15:35 Drv of T111 G knight (550) reported a passenger had fallen as he departed UOS O/B. Injury, open wound to leg, reported. passenger on tram calling ambulance service. Tram to continue to MAB detrain and wait in end section for medical assistance to arrive. CCTV reports and SIBAS download requested Tact 153752. EV/2024/02862</t>
  </si>
  <si>
    <t xml:space="preserve">Passenger standing at the top of the steps to the leading cab /not holding anything </t>
  </si>
  <si>
    <t xml:space="preserve">The driver contacted OCC and reported he incident an ambulance was called and attended the casualty at Malin Bridge </t>
  </si>
  <si>
    <t>2406-08</t>
  </si>
  <si>
    <t>10:40 Drv S Green (58403) on T106 reported near miss on WHL O/B track brake applied and no injuries reported. CCTV and SIBAS requested. TACT153771</t>
  </si>
  <si>
    <t>Car driver leaving the road junction</t>
  </si>
  <si>
    <t>Car driver not stopping at the road junction</t>
  </si>
  <si>
    <t>16:20 "DVR J Lawrie 541 reports from tram 118 that a passenger boarded and advised Jason that he had been trapped and dragged by a closing door on the previous tram, and his crutch was still stuck in the door on that tram." "The tram in front of tram 118 was tram 110 driven by N Khan 914 with two conductors onboard ( K Skrodski) (Arie Cummings) , after OCC spoke to N Khan he stated that there had been  a crutch in one of the doors and it had fell out somewhere before TIN tramstop." "Ater speaking to DM RWild it became apparent that conductor A Cummings saw the incident at MEI on tram 110 and the crutch fell out of the door near to Blackburn Meadows Way, reports requested from all involved and CCTV requested" "DVR J Lawrie reports from tram 118 that the passenger on board who was trapped in the door of tram 110 at MEI . Has left tram 118 at CAS O/B and declined any medical assistance. The passenger had a cut to his hand." EV/2024/02863</t>
  </si>
  <si>
    <t xml:space="preserve">Passenger puts walking stick between doors </t>
  </si>
  <si>
    <t xml:space="preserve">Poor judgement by the passenger/poor obeservations from the driver </t>
  </si>
  <si>
    <t>The incident was reported to OCC via a radio call at Tinsley and report was completed</t>
  </si>
  <si>
    <t>2406-10</t>
  </si>
  <si>
    <t>17;52 "DVR C Donnelly on tram 203 reports a pedestrian walking on the Parkway Viaduct from the Delta to HYP on the o/b track."</t>
  </si>
  <si>
    <t>2406-11</t>
  </si>
  <si>
    <t>19:03 "DVR C Donnelly 78670 reports from tram 203 at FIS I/B a near miss with a pedestrian and the track brake was applied, no injuries or fallers reported
CCTV requested"</t>
  </si>
  <si>
    <t xml:space="preserve">CCTV showed nothing regarding the reported near miss </t>
  </si>
  <si>
    <t>2406-12</t>
  </si>
  <si>
    <t>19:10 "DVR D Gouldsborough 8505276 reports from tram 104 at MTE I/B that he passed a signal at bar ( ridgeway crescent cross on) due to uncontrolled accelaration, tram 104 taken out of service at MTE I/B precautionary measure The SPAB incident with DVR D Gouldsborough occured at Hurlfield Rd and not Ridgeway Crescent and CCTV requested poss low adhesion." EV/2024/02864</t>
  </si>
  <si>
    <t xml:space="preserve">Tram losing traction </t>
  </si>
  <si>
    <t xml:space="preserve">The accident was reported to OCC and a report was completed </t>
  </si>
  <si>
    <t>2406-13</t>
  </si>
  <si>
    <t xml:space="preserve">22:09  Tram 203 C. Donnelly (78670) reported pedestrian laid under steps of footbridge between CAR-TIN. SYP contacted via 101 and to attend, incident number  49/23-08-2024. Trams informed via A.S.C. 22:51 SYP attended and moved pedestrian on, SYP contacted OCC to confirm. </t>
  </si>
  <si>
    <t>2406-14</t>
  </si>
  <si>
    <t>14:25 Driver J Birkitt (254) tram 108 reported a near miss with a car at the junction of City Road and Wulfric Road O/B. Track brake applied, no injuries reported. CCTV requested, XV plus 153808.</t>
  </si>
  <si>
    <t>2406-15</t>
  </si>
  <si>
    <t>16:10 Driver C Morrison (41395) tram 116, on approach to ARR tramstop O/B reports objects were thrown at the tram, unsure from what direction. No damage reported. CCTV requested, SYP informed via on-line portal.</t>
  </si>
  <si>
    <t>2406-16</t>
  </si>
  <si>
    <t>18:05 Driver M McCabe (74928) tram 119 at Meadowhall reports his conductor A Kanipoth (8512174) suffered abuse from a number of passengers from NUS (17:46)  to TIN O/B. CCTV requested, DM R Wild informed, conductor to be taken off at CAT to see DM. EV/2024/02865</t>
  </si>
  <si>
    <t>Racisim</t>
  </si>
  <si>
    <t>OCC Contacted and conducotr was met by duty manager at the earliest oppourtunity</t>
  </si>
  <si>
    <t>2406-17</t>
  </si>
  <si>
    <t>07:45 D Long on T207 reported member of public walking on Parkway viaduct, Person clear of tracks before next tram.</t>
  </si>
  <si>
    <t>2406-18</t>
  </si>
  <si>
    <t xml:space="preserve">13:40 J Belgrave on T116 reported M Ledger had an incident with a member of public on tram. J Stewart was ojn board at the time. Reported requested for further details. DM J Cawthorn made aware. </t>
  </si>
  <si>
    <t>2406-19</t>
  </si>
  <si>
    <t>11:00 Driver M Kelly of MAB bound tram 102 reports 1 person walking trackside on the inbound track between HYP &amp; DELTA clear for next tram</t>
  </si>
  <si>
    <t>2406-20</t>
  </si>
  <si>
    <t>S744</t>
  </si>
  <si>
    <t>20:33 Driver A.Smith (81716) on T205 calls from PAQ to tell OCC he has gone through a red signal at S744, NR signaller says this didn't happen but he HAS committed an overspeed at S746. To be taken off tram at next opportunity. Reports, CCTV and TELOC download requested. Reported through SMIS</t>
  </si>
  <si>
    <t>2nd overspeed loop triggered activation</t>
  </si>
  <si>
    <t xml:space="preserve">Possible fault with overspeed loop </t>
  </si>
  <si>
    <t>The driver reprorted the incident to OCC</t>
  </si>
  <si>
    <t>2406-21</t>
  </si>
  <si>
    <t xml:space="preserve">S744 </t>
  </si>
  <si>
    <t>10: 25 Drv C Donnelly (68670) Reported overspeed activation approaching S744. Report,CCTV and TELOC requested reported vis SMIS</t>
  </si>
  <si>
    <t xml:space="preserve">AWS activated </t>
  </si>
  <si>
    <t>Known fault at S744</t>
  </si>
  <si>
    <t>Driver contacted signaller and followed intsruction</t>
  </si>
  <si>
    <t>2406-22</t>
  </si>
  <si>
    <t>11:00 K Tingle (600) on T104 reported door trap at WHL O/B. No injuries reported and no details given. CCTV requested</t>
  </si>
  <si>
    <t>CCTV shows that the person tried to leave the tram at the last miute and was not due to driver operation</t>
  </si>
  <si>
    <t>2406-23</t>
  </si>
  <si>
    <t>11:11 "DVR G West 70150 reports from tram 101 at HIL O/B that a passenger has shouted at him for trapping the passenger in the doors at CIH O/B. This was the first the driver knew of the incident. CCTV requested" EV/2024/02896</t>
  </si>
  <si>
    <t xml:space="preserve">The passenger was delayed getting off the tram - the passengers fell due to the normal movement of the tram - </t>
  </si>
  <si>
    <t>The driver reported the trap incident OCC</t>
  </si>
  <si>
    <t>2406-24</t>
  </si>
  <si>
    <t>12:16 J Wilks on T201 reported pedestrian walking on parkway viaduct toward HYP, Person was clear before next tram (viewed on CCTV)</t>
  </si>
  <si>
    <t>2406-25</t>
  </si>
  <si>
    <t>19:17 Emergency call received from Driver C Harrison (826) on Tram 111, a pedestrian has stepped in front of the tram at the junction of White Lane/Fox Lane. Driver C Harrison (826), the pedestrian has a head injury but is concious and a member of the public is phoning for an Ambulance. EV/2024/02897</t>
  </si>
  <si>
    <t xml:space="preserve">Re-classified to info only - the male was trying to cause harm to himself intentionally </t>
  </si>
  <si>
    <t>2406-26</t>
  </si>
  <si>
    <t>10:13 Drv L Gulak on Tram 116 reports verbal abuse from passenger towards him and his Con W Bainbridge. CCTV, reports, DM N Wybrant aware.EV/2024/02898</t>
  </si>
  <si>
    <t xml:space="preserve">The passenger refused to pay his fare </t>
  </si>
  <si>
    <t>The driver reported the incident to OCC  - The conductor reported the inciden ton the portal</t>
  </si>
  <si>
    <t>2406-27</t>
  </si>
  <si>
    <t>20:19 Two-car RTC on City Rd. T119 held O/B. SYP at scene.</t>
  </si>
  <si>
    <t>2406-28</t>
  </si>
  <si>
    <t>21:38 Pedestrian walking trackside HYP-Delta</t>
  </si>
  <si>
    <t>2406-29</t>
  </si>
  <si>
    <t>13:15 Driver 1365 S cameron, MAB bound tram 102, reports a passenger fell when the tram was between FIS &amp; CAS, they informed the Con' before leaving the tram, the passener said that they weren't injured. Report requested from the Con', CCTV and SIBAS requested. EV/2024/02899</t>
  </si>
  <si>
    <t>Tram driver powering up</t>
  </si>
  <si>
    <t>The driver informed OCC</t>
  </si>
  <si>
    <t>2406-30</t>
  </si>
  <si>
    <t>10:05  Tram 203 reports a pedestrian walking on the viaduct between Delta and Hyde Park O/B on the O/B side</t>
  </si>
  <si>
    <t>2406-31</t>
  </si>
  <si>
    <t xml:space="preserve">23:27 T104 Drv J Lawrie (541) reports 2 glass panels smashed at Attercliffe tramstop I/B FEM asked to attend to make safe and reported to interchange and online to SYP </t>
  </si>
  <si>
    <t>2406-32</t>
  </si>
  <si>
    <t>14:40 Drv S Gregory on Tram 111 reports incident at Wor i/b where a person with learning difficulties ran towards the tram as it set off, she stopped until person was recovered by group he was with. CCTV, reports.</t>
  </si>
  <si>
    <t>Pedestrian running towards the tram</t>
  </si>
  <si>
    <t>Pedestrian with disabilities breaking away from his chaperone/carer</t>
  </si>
  <si>
    <t xml:space="preserve">The incident was reported to OCC via a radio call and a report was completed </t>
  </si>
  <si>
    <t>2406-33</t>
  </si>
  <si>
    <t>14:40 Drv P Hawkins on tram 108 reports near miss on City Rd i/b, CCTV.</t>
  </si>
  <si>
    <t xml:space="preserve">CCTV shows that there are no driver issues regarding this incident JK has authorised this item to be closed as info only </t>
  </si>
  <si>
    <t>13:48 Drv . J. Richardson reported Con R.Broomhead had an altercation with a non paying passenger at HYP  O/B  reported and CCTV requested.EV/2024/02900</t>
  </si>
  <si>
    <t>Man launching attack on conductor</t>
  </si>
  <si>
    <t>Conductor challenging fare evasion</t>
  </si>
  <si>
    <t>2406-35</t>
  </si>
  <si>
    <t>16:58 Driver D .Carrighan (8501812) tram 119 at Hyde Park O/B reports whislt stationary at FIS I/B abn elderly male passenger fell backwards as he was alighting. No medical help required, no injuries reported, Conductor W. Furniss (565) obtained details. CCTV and report requested. DM N. Wybrant informed. EV/2024/02901</t>
  </si>
  <si>
    <t>Closed due to time elapsed KHS</t>
  </si>
  <si>
    <t>2406-36</t>
  </si>
  <si>
    <t>20:35 Pedestrian walking trackside O/B side between ATT- ARS report from tram 15 O/B</t>
  </si>
  <si>
    <t>2406-37</t>
  </si>
  <si>
    <t xml:space="preserve">Moss Way </t>
  </si>
  <si>
    <t>11:11 Emergency call received from Driver D Barnes (716) ON Tram 106 had a RTC with a car at the junction of Moss - checking for injuries onboard and in the car - Driver reported that two people have minor injuries and the car drive rhas a cut to the head - polic in site and has been told an Ambulance could be up to one hour in arriving. Driver D Barnes (716) reporting fire brigade have arrived on site - Disruption email &amp; X updated DM RBridges attending -  DM Rbridges tram black box frozen at 1:45 witnessed by OC 2863 - Witness details taken and indicating that the car came trhough a red light . EV/2024/02902</t>
  </si>
  <si>
    <t>The car continued past the red traffic signal into the swept path of the tram</t>
  </si>
  <si>
    <t>The car continued past the red traffic light signal into the swept path of the tram</t>
  </si>
  <si>
    <t xml:space="preserve">The driver reported the incident to OCC via emergency call </t>
  </si>
  <si>
    <t>2406-38</t>
  </si>
  <si>
    <t>21:15Drv I Cooper reports possibly distressed person on the Bow String Bridge - CCTV advised - ambulance and police arrived and removed said person - no disruption to service.</t>
  </si>
  <si>
    <t>West headshunt</t>
  </si>
  <si>
    <t>18:45 Driver L Carse on T207 wrong direction on west headshunt, CCT DM Rwild informe. EV/2024/02925</t>
  </si>
  <si>
    <t xml:space="preserve">Driver did not follow procedure </t>
  </si>
  <si>
    <t xml:space="preserve">OCC contacted - DM spoke to the driver </t>
  </si>
  <si>
    <t>2406-40</t>
  </si>
  <si>
    <t>Require level 1 investigation into accident involving third party at or near West St time unknown Tuesday 3rd Sept. Some damage sustained to SYFTL vehicle. Not reported to OCC and no accident documentation completed.</t>
  </si>
  <si>
    <t>Re-classified to info only do to time elasped and lack of information</t>
  </si>
  <si>
    <t>2406-41</t>
  </si>
  <si>
    <t xml:space="preserve">16:35 Drv R  Hague reports a person walking trackside from ARS-Vac O/B relevant drivers informed </t>
  </si>
  <si>
    <t>2406-42</t>
  </si>
  <si>
    <t>Drv D Goldsborough on tram 102 reports Con C Woolley has been  verbally abused by a passenger between Cas &amp; Fis CCTV reports DM R Bridges aware. EV/2024/02926</t>
  </si>
  <si>
    <t>Email from DM - After viewing the CCTV that shows a brief conversation taking place between the conductor and a male passenger, I have spoken to the conductor today (27/09/24). The conductor informed me that he had not completed a report due to staffing issues and the incident being minor. The conductor believes that this is a "non event" and there is no learning from the incident. Could this please be closed as information only.</t>
  </si>
  <si>
    <t>2406-43</t>
  </si>
  <si>
    <t>07:30 Tram 131 I.Cooper (1367) reported tram passed through a red and bar signal at the pedestrian crossing between GLT-HOL I/B Driver reported signal changed at short notice due to pedestrian pressing the button and was unable to stop in time Pedestrian did not step out. DM N.Wybrant informed, driver to be taken off in City centre to speak to DM A, Roberts CCTV SIBAS and report requested, Infrasttucture informed and to attend. EV/2024/03520</t>
  </si>
  <si>
    <t xml:space="preserve">Signal changing to red when tram was approaching </t>
  </si>
  <si>
    <t xml:space="preserve">Faulty signals </t>
  </si>
  <si>
    <t xml:space="preserve">The incident was reported to OCC via radio call and a report was completed - Kirky Road pedestrian crossing to be reported to fix fault  - AMEY </t>
  </si>
  <si>
    <t>2406-44</t>
  </si>
  <si>
    <t>10:12 Conductor D.Gray (601) unfit for duty Conductor reported to have suffered injury on tram (07/09/2024) whilst shutting doors . CCTV requested from tram 118 DM A, Roberts  informed.- not reported to OCC. EV/2024/03525</t>
  </si>
  <si>
    <t>2406-45</t>
  </si>
  <si>
    <t>Bedford Street</t>
  </si>
  <si>
    <t>14:26 T112 Drv D Goldsborough (8505276) reports a near miss at Bedford Street O/B track brake applied no injuries reported CCTV and SIBAS (154151) requested</t>
  </si>
  <si>
    <t>POINT (-1.4818333 53.3906595)</t>
  </si>
  <si>
    <t xml:space="preserve">Authorised to be closed by Safety Manager  - The tram driver acted accordingly  - no injuries recorded </t>
  </si>
  <si>
    <t>2406-46</t>
  </si>
  <si>
    <t>20:32 T205 Dvr C Matthews (85223) reports a pedestrian walking O/B on the Parkway Viaduct , next tram trhough informed and reported that there was no one in the area.</t>
  </si>
  <si>
    <t>2406-47</t>
  </si>
  <si>
    <t xml:space="preserve">08:10 Driver G Lilley on Tram 120 reports door 7 requires isolating after door glass kicked out by pedestrian at Cathedral </t>
  </si>
  <si>
    <t>2406-48</t>
  </si>
  <si>
    <t>23:36 Tram 121 delayed at PAG O/B due to member of public throwing cones at the tram and on to the road 2 door glass panels smashed reported to SYP via 999</t>
  </si>
  <si>
    <t>2406-49</t>
  </si>
  <si>
    <t xml:space="preserve">23:49 Driver Whincliffe (8506846) on T121 tells OCC that he has isolated all four doors to the rear of the tram (despite only having 2 sets of door boards) meaning tram cannot safely continue in service - last HEP departure of the night cancelled </t>
  </si>
  <si>
    <t>2406-50</t>
  </si>
  <si>
    <t>N/A</t>
  </si>
  <si>
    <t>10:21 Person reported on the wrong side of the Bow String bridge - SYP reported to OCC to be attending 10:30 pedestrian removed by SYP -and being spoke to tracks clear Trams informed via ASC</t>
  </si>
  <si>
    <t>2406-51</t>
  </si>
  <si>
    <t xml:space="preserve">12:30 Tram 104 Mkelly (8503165) reported car broken down City Road O/B next tram informed - T206 Glilley reported broekn down car blocking tracks - driver and infra pushed the car clear - SYP at the saem time reported an RTC between an ambulance and a car on City Road blocking the inbound tracks - next tram informed - tram 123 SGregory (70450) reported tracks clear and ambulance clear of swept path - SYP contacted CC to confirm tracsk clear </t>
  </si>
  <si>
    <t>2406-52</t>
  </si>
  <si>
    <t>12:41 - Tram 107 I cooper (1367) reported pedestrians walking trackside WHL -Fox Lane next tram 116  S White (707) reported tracks clear</t>
  </si>
  <si>
    <t>2406-53</t>
  </si>
  <si>
    <t>11:12 Drv D Luker on Tram 117 reports RTC between INR and SHA minor damage and paint scrape on tram - CCTV Sibas - DM A Barclay awraee gap filled by spare minor delays on system. EV/2024/03526</t>
  </si>
  <si>
    <t xml:space="preserve">The drive rinformed OCC immediatley intially via speech then sent an emergency call </t>
  </si>
  <si>
    <t>2406-54</t>
  </si>
  <si>
    <t>11:15Drv J Peckett on tram 102 reports passenger fall as departing ARR I/B no injuries reported CCTV DM Abarcaly aware. EV/2024/03527</t>
  </si>
  <si>
    <t xml:space="preserve">The pasenger fell due to the normal movement of thetram </t>
  </si>
  <si>
    <t>2406-55</t>
  </si>
  <si>
    <t>11:37 Drv Jmitchell on Tram 113 reports two pedestrians near Attercliffe trackside - next few trams saw nothing .</t>
  </si>
  <si>
    <t>2406-56</t>
  </si>
  <si>
    <t xml:space="preserve">14:55 Drv Skhan on T116 reported pedestrians on HYP viaduct following trams advised and to update OCC 14:04 DRV Cmatthews on T205 reported HYP viaduct now clear of pedestrians </t>
  </si>
  <si>
    <t>2406-57</t>
  </si>
  <si>
    <t>16:26 Drv S Green on T111 reported that a member of the public had fallen on MOW tram stop  - she checked the person and they informed that they had fallen due to an illness and there are no injuries. EV/2024/03529</t>
  </si>
  <si>
    <t>2406-58</t>
  </si>
  <si>
    <t>05:44 Spare driver N Khan attempted to move Tram 115 from 3D to 10 E for RSM and 11DCF tripped RSM informed/TACTED Nkhan told to leave the tram where it is</t>
  </si>
  <si>
    <t>2406-59</t>
  </si>
  <si>
    <t>13:10 DVR Swhite 707 reports from tram 121 as they left Infirmary road outbound a passenger fell over and left the tram without giving details and no injuries reported CCTV requested and sibas. EV/2024/03531</t>
  </si>
  <si>
    <t>2406-60</t>
  </si>
  <si>
    <t xml:space="preserve">Tram 206 Cmatthews (85223) reported an erratic female near tracks at NER blocking road traffic trams in area informed 21:00 Tram 104 Skhan (77027) reported tracks blocked by SYP dealing with the female  - trams moving after a few minutes </t>
  </si>
  <si>
    <t>2406-61</t>
  </si>
  <si>
    <t>12:05 DVR P marsden (41867) reported having a minor RTC on Infirmary Road I/B with a car that had pulled out of Albert Terrace Road - no injured at the time. Details exchanged with the car driver CCTV report and SIBAS download (tact 154277) requested RSM to meet the tram at NUS to asses the damage. EV/2024/03533</t>
  </si>
  <si>
    <t xml:space="preserve">The car pulled into the swept path as the tram was passing </t>
  </si>
  <si>
    <t>The car pulled into the swept path as the tram was passing</t>
  </si>
  <si>
    <t>The driver repprted the incident to OCC</t>
  </si>
  <si>
    <t>2407-01</t>
  </si>
  <si>
    <t xml:space="preserve">14:35 Drv C Moran on Tram 112  reports person on track between CIR and NUS next driver D Johnson reports nothing seen </t>
  </si>
  <si>
    <t>2407-02</t>
  </si>
  <si>
    <t>09:03 Drve S Scanes reportd from tram 206 that a person is jogging along the Parkwa viaduct from HYP towards the delta driver N Dewire reports from 201 that the person is now clear of the viaduct</t>
  </si>
  <si>
    <t>2407-03</t>
  </si>
  <si>
    <t>Hyde Park Viaduct</t>
  </si>
  <si>
    <t xml:space="preserve">15:21 Tram 112 E Wilkinson (8502862 reported two pedestrians on HYP viaduct trams in area informed 15:36 Tram 205 c Matthews  985223) reported viaduct clear </t>
  </si>
  <si>
    <t>2407-04</t>
  </si>
  <si>
    <t>Depot east</t>
  </si>
  <si>
    <t>18:30 OCC observed three people on electric bikes acting suspiciously/loitering around depot east entrance gates appearing to take pictures of /film cars and bike shed  - depot cctv camera 2 shows clear images of the three people in question OCC went to speak to the indivduals but they had departed by the time OCC had arrived at depot east gates - camarea 2 timings shown on CCTV as 06:49 15/09/2024 IT eamiled regards wrong times showing.</t>
  </si>
  <si>
    <t>2407-05</t>
  </si>
  <si>
    <t>17:11 Non Tram RTC reported to OCC by D Luker (8506979) driver was asked to speak to driver of car and reported back that nobody was around - quick mission contacted services beginning to trun at GLT &amp;SHS back towards outer terminus infrastructure &amp; duty manager on way to site.</t>
  </si>
  <si>
    <t>2407-06</t>
  </si>
  <si>
    <t xml:space="preserve">11:31 S Green on tram 207 reports a pasenger on the parkway viaduct </t>
  </si>
  <si>
    <t>2407-07</t>
  </si>
  <si>
    <t xml:space="preserve">13:15 Drv Sgreen reports from tram 206 about a near miss at White Lane /Fox Lane junction and the track brake was used no injuries reported CCTV requested </t>
  </si>
  <si>
    <t>Re-classified as info only due to time elapsed - DM has now left the business</t>
  </si>
  <si>
    <t>2407-08</t>
  </si>
  <si>
    <t xml:space="preserve">22:14 Tram 125 S Gregory (70450) and SYP reported pedestrian wrong side of Bow String Bridge SYP attended a removed from pedestrain bridge </t>
  </si>
  <si>
    <t>2407-09</t>
  </si>
  <si>
    <t>19/09/204 – 15:32 Driver N Dewire (54567) on Tram 202 reported a woman walking outbound on Parkway viaduct – all tram in vicinity advised .</t>
  </si>
  <si>
    <t>2407-10</t>
  </si>
  <si>
    <t>14:54 Driver from tram 117 reoprts that the conductor W Bainbridge has had a confrontation with a passenger regarding an out of date pass - the conductor was advised to keep away from the passenger to avoid any further issues - DM A Roberts aware CCTV requested. EV/2024/03534</t>
  </si>
  <si>
    <t>19:54 T117 reports conductor Lsmith has been verbally abused - DM aware and CCTV requested. EV/2024/03548</t>
  </si>
  <si>
    <t xml:space="preserve">Man verbally abusing conductor </t>
  </si>
  <si>
    <t xml:space="preserve">Irrational behaviour  - no specific cuase determined </t>
  </si>
  <si>
    <t>2407-12</t>
  </si>
  <si>
    <t>23:20 Driver S Gregory on T106 reported people walking on the wrong side of the terrrorism barriers on West Street causng an increase of pedestrians to be close to the swept path</t>
  </si>
  <si>
    <t>22:48 Tram 113 driver Lguak (8506434) reported an altercation between conductor R Broomhead  (8511393)  and youths at NER O/B reported yoths verbally abusive towards conductor and refused to leave the tram. Driver advised to put conductor in cab fgor safety, driver reported conductor continued with argument , youths left the tram at HIL O/B CCTV and reports requested DM ABarclay informed conductor to be taken off next time at NUS to speak to DM. EV/2024/03550</t>
  </si>
  <si>
    <t>Verbal abuse</t>
  </si>
  <si>
    <t>Conductor challenging assumed fare evasion attempt</t>
  </si>
  <si>
    <t>2407-14</t>
  </si>
  <si>
    <t xml:space="preserve">15:26 OCC recived a call from a member of the public reporting that Ridgeway Road  O/B was blocked with a car which has been involved in an RTC and two police vehicles Infrastructure to site DM ABarclay and infrastructure updated still to attend </t>
  </si>
  <si>
    <t>2407-15</t>
  </si>
  <si>
    <t xml:space="preserve">23:32 Tram 201 J Mtichell (75341) reported pedestrian trackside between delta -HYP walking O/B next tram informed 23:40 Tram 110 reported pedestrian clear of tracks </t>
  </si>
  <si>
    <t>2407-16</t>
  </si>
  <si>
    <t>16:52 Driver D Garrighan (8501812) on tram 102 reported that the conductor E Jackson (1349) has been verbally abused and spat at at by two passengers travelling between SHS-SPL body cam activated condcutor will submit a rpeort when back at CAT (17:53) DM N Wybrant made aware and  CCTV requested. EV/2024/03553</t>
  </si>
  <si>
    <t xml:space="preserve">On tram incident between conductor and two passengers resulting in the conductor being spat at - the conductor communictaes with the driver via the alarm point to report the incident the driver then contacts control and the conductor is taken of forreport and welfare check - The conductor filled out an incident report and reported the incident to the police portal - CCTV of the footage has been downloaded </t>
  </si>
  <si>
    <t>2407-17</t>
  </si>
  <si>
    <t xml:space="preserve">20:21 Driver J Birkitt (245) on tram 10 reported that while stationary a MEI a male passenger tripped up the tram steps no medical help was required - report and CCTV requested </t>
  </si>
  <si>
    <t>Tram stationary at Meadowhall Interchange - male passenger falls on the stairs in the end section of the tram  - driver offers care and medical assistance which the passenger refused - Driver reported the incident to OCC and completed a report</t>
  </si>
  <si>
    <t>2407-18</t>
  </si>
  <si>
    <t xml:space="preserve">20:54 Driver J Mtichell (75341) on tram 203 reported a male on the wrong side f the railings on the Bow String Bridge - there are other members of the public with them  - Park Square CCTV camera not working having to use FIS taxi rank camera to get a visual </t>
  </si>
  <si>
    <t>2407-19</t>
  </si>
  <si>
    <t>Driver of T102 reports a pedestrian walking on the Parkway Viaduct inbound tyowards the Delta</t>
  </si>
  <si>
    <t>2407-20</t>
  </si>
  <si>
    <t xml:space="preserve">West Street </t>
  </si>
  <si>
    <t>13:10 DRV D.Ibbertson (118) reported via emergency call that he has been involved in a minor RTC on West Street with a car, the car drove off after the collision so details were not exchanged. No injuries reported at the time, CCTV, SEBAS (tact no 154499)  and report requested. DM to meet the tram at CAT only minor damage recorded. EV/2024/03556</t>
  </si>
  <si>
    <t>Car overtaking the tram</t>
  </si>
  <si>
    <t xml:space="preserve">The driver informed OCC via an emergency call </t>
  </si>
  <si>
    <t>W201</t>
  </si>
  <si>
    <t>07:07 York TRC informed us that 2A06 had took wrong route approaching Parkgate Drv was R Singer. Tram stopped and wrong directioned toward RMC and then proceeded into Parkgate as normal - CCTV and report requested.</t>
  </si>
  <si>
    <t>Driver error - driver did not act as per procedure when signal S746 displayed green aspect</t>
  </si>
  <si>
    <t xml:space="preserve">Yes </t>
  </si>
  <si>
    <t>The driver stopped when contacted by the signaller  - the driver completed a wrong direction move as instructed - the driver was relieved at Nunnery Square</t>
  </si>
  <si>
    <t>2407-22</t>
  </si>
  <si>
    <t xml:space="preserve">09:15 York TRC reported another incident regarding 2A17 being offered the worng route at W201. The driver C Donnelly however stopped and reported the issue to the signaller and proceeded after being given the correct route </t>
  </si>
  <si>
    <t xml:space="preserve">Email from DM  30/09/22024 - Wrong route von NR - Having viewed the CCTV and the drivers report this is not something that needs investigation - The driver stopped and conctaced signaller as per procedure - this was a signalling issue </t>
  </si>
  <si>
    <t>2407-23</t>
  </si>
  <si>
    <t xml:space="preserve">12:20 A conducttor vs conductor altercation occurred a CAT tramstop and onboard T202 between D Ajileye (8503584) and S Mcallum (86310) reports requested and CCTV requested </t>
  </si>
  <si>
    <t>2407-24</t>
  </si>
  <si>
    <t xml:space="preserve">17:40 Drv A Smith reports from tram 202 of a pedestrian trackside  between ATT and ARS  folllowing tram advised </t>
  </si>
  <si>
    <t>2407-25</t>
  </si>
  <si>
    <t xml:space="preserve">19:33 Drv L Bennett reports a pedestrian walking on the Parkway Viaduct following tram will be advised </t>
  </si>
  <si>
    <t>2407-26</t>
  </si>
  <si>
    <t>00:36 Tram 105 M kelly (850165) reported pedestrian on HYP viaduct 00:49 TRAM 103 g Lowrie (602) reported no pedestrians seen viaduct now clear.</t>
  </si>
  <si>
    <t>2407-27</t>
  </si>
  <si>
    <t>12:05 DRV A Watson (037)  T113 City Rd I/B reported by emergency call that he had been involved in a minor RTC with a parked car no injuries reported at the time, details exchanged with the car driver  - CCTV /report and SIBAS (tact 15453) requested DM J Cawthorn to meet tram at Cat. EV/2024/03569</t>
  </si>
  <si>
    <t xml:space="preserve">Investigation was sent to DM 01/10/2024 - Closed due to time elapsed </t>
  </si>
  <si>
    <t>2407-28</t>
  </si>
  <si>
    <t>DM R Wild arrived on site, mixed reports from witnesses possible suicide attempt - R Wild called for 2nd DM so black box can be frozen&amp; witnessed, once done tram able to be moved conductor in jockey seat -2nd DM to wait with victim from ambulance C Cowley brought back to depot for testing for perspective - conductor and vitim have gone into Tesco to get a drink . EV/2024/03762</t>
  </si>
  <si>
    <t>Possibel suicide attempt - the female was also intixicated</t>
  </si>
  <si>
    <t xml:space="preserve">Possible suicide attempt </t>
  </si>
  <si>
    <t>The driver applied hazard brake the driver reported the incident via emergency call to OCC</t>
  </si>
  <si>
    <t>2407-29</t>
  </si>
  <si>
    <t xml:space="preserve">22:30 Driver G Lowrie (602) on tram 115 reported some traffic cones had been placed in the swept path between BMR-BIL nest two tram in area advised </t>
  </si>
  <si>
    <t>2407-30</t>
  </si>
  <si>
    <t xml:space="preserve">17:20 DrV C Grant on tram 201 reports a pedestrian walking O/B on Woodbourn Hill tram 123 following reports no pedestrian seen </t>
  </si>
  <si>
    <t>2407-31</t>
  </si>
  <si>
    <r>
      <t xml:space="preserve">23:50 Tram 105 A Jeff (548) reported that whilst pulling into GRR I/B a cyclist had cycled into the side of the cab door - driver reported that the cyclist is fine and no assistance required - no damage  reported cyclist had left 23:52 at SHS I/B driver reported damage to the quarter light window in the cab RSM informed - on depot at OCC driver reported to DM ECooper cyclist had used his head to hit the tram and there were some small cuts to his head although the driver was unsure as to if this had ocurred at the time - on call N Barraclough informed for cause testing notified ref 168371 - driver and DM ot notify SYP CCTV and SIBAS requested TACTS 15452 and 15453. EV/2024/03764 </t>
    </r>
    <r>
      <rPr>
        <sz val="11"/>
        <color rgb="FFFF0000"/>
        <rFont val="Calibri"/>
        <family val="2"/>
        <scheme val="minor"/>
      </rPr>
      <t>Closed off insurers</t>
    </r>
  </si>
  <si>
    <t xml:space="preserve">Pedestrian jumping at the tram </t>
  </si>
  <si>
    <t>Mental health</t>
  </si>
  <si>
    <t>Driver stopped an called OCC</t>
  </si>
  <si>
    <t>2407-32</t>
  </si>
  <si>
    <t xml:space="preserve">00:04 Tram observed via CCTV and drivers reporting having to drive very slowly on West Street inbound past Tiger Works and West Street Live due to pedestrians walking on the worng side of the security barriers </t>
  </si>
  <si>
    <t>2407-33</t>
  </si>
  <si>
    <t xml:space="preserve">17:52 Conductor was physically assaulted after being verbally abused by  2 passengers who followed the conductor down the tram whislt the conductor was coming to the end of her shift - the conductor states that she felt a kick to the back of her leg as she was exiting the tram - this incident was not reported through OCC - Helen Brookes. EV/2024/03766 </t>
  </si>
  <si>
    <t xml:space="preserve">Passenger verbally and physically abusing a conductor </t>
  </si>
  <si>
    <t>Passengers under the influence of alcohol/drugs</t>
  </si>
  <si>
    <t xml:space="preserve">The incident was reported to CC via duty manager and a safe report and SYP ref no was done via the portal </t>
  </si>
  <si>
    <t>2407-34</t>
  </si>
  <si>
    <t>19:44  C Tirziu (61202) reported minor RTC with car near Leppings Lane outbound , minor scrapes to both the car and tramfront bumpers tram driver reported after speaking to car driver and going to get accident card to fill in the driver has left the scene  - CCTV and SIBAS requested - Car driver met tram at Middlewood to exchange details. EV/2024/03768</t>
  </si>
  <si>
    <t>Car hitting tram</t>
  </si>
  <si>
    <t xml:space="preserve">Car driving failing to use sufficent observations </t>
  </si>
  <si>
    <t xml:space="preserve">The incident was reported to OCC via an emergency call </t>
  </si>
  <si>
    <t>2407-35</t>
  </si>
  <si>
    <t>00:09 Drv M Kelly on Tram 1116 reports 2 persons on track near Cir nothing seen on camera and following trams saw nothing</t>
  </si>
  <si>
    <t>2407-36</t>
  </si>
  <si>
    <t>09:34 Driver C Grant (123) as Nunnery tram stop reports pedestrian walking trackside between Nunnery and Cricket Inn Road</t>
  </si>
  <si>
    <t>2407-37</t>
  </si>
  <si>
    <t xml:space="preserve">12:38 Tram 124 reports a pedestrian walking trackside NUS/CIR I/B side Tram 106 at 12:40 no pedestrian </t>
  </si>
  <si>
    <t>2407-38</t>
  </si>
  <si>
    <t>17:05 Drv of T203 Jgilbert (80018) reported large pane of shelter glass smashed HYP O/B sheffield interchange informed and crimed online via portal</t>
  </si>
  <si>
    <t>2407-39</t>
  </si>
  <si>
    <t>18:58 Drv of T125 M Kelly (8503165) reported that as some passengers got off the tram as ARR O/B one of them had thrown something at the conductors head CCTV and reporst requested. EV/2024/03777</t>
  </si>
  <si>
    <t xml:space="preserve">Re-classified as information only  - investigation was sent to DM 04/10/2024 - Closed due to time elapsed </t>
  </si>
  <si>
    <t>2407-40</t>
  </si>
  <si>
    <t>Drv of T107 S Adlington (615) reported a passenger falll as she drove up Park Square Viaduct to HYP no injuried reported at the time CCTV SIBAS and reports requested. EV/2024/03779</t>
  </si>
  <si>
    <t xml:space="preserve">Passenger making way to seat </t>
  </si>
  <si>
    <t xml:space="preserve">Movement of the tram </t>
  </si>
  <si>
    <t>The driver reported the incident to OCC no injuries were recorded for the person involved or medical assistance called for</t>
  </si>
  <si>
    <t>2407-41</t>
  </si>
  <si>
    <t xml:space="preserve">T121 Drv K Tingle reports a man around Tesco close to CAT tram stopm behaving erracticaly in front of buses and trams in this area - The drive said that the man jumped into the tram at Cat o/b CCTV requested </t>
  </si>
  <si>
    <t>2407-42</t>
  </si>
  <si>
    <t xml:space="preserve">15:42 Drv of T106 Mkelly (8503165) reports a passenger boarded the tram at Cathedral complaining that he has hit his head on some railings at Cat and now requires an ambulance - tram detrained at CAS I/B then OOS service to depot to await an ambulance - 16:49 From DM N Wybarnt informing OCC that the plice may turn up at depot as casualty on T106 informed the conductor that he had been assaulted prior to boarding the tram which the conductor passed on to the ambulance service during the call to ask them to attend </t>
  </si>
  <si>
    <t>2407-43</t>
  </si>
  <si>
    <t xml:space="preserve">Drv of T123 T Baldwin (8501802) reported a large group of youths at HEP throwing ballast at the tram amd banging on the doors trying to get into the tram through the external cab door. Driver advisedto depart early and wait point time at HLR reported to SYP via 101 and CTV requsted no damage to tram reported. </t>
  </si>
  <si>
    <t>2407-44</t>
  </si>
  <si>
    <t>Fox Lane</t>
  </si>
  <si>
    <t xml:space="preserve">05:53 Tram 103 reported a person on the track between Fox Lane and Birley Lane - next tram warned about the person  wlaking on the track </t>
  </si>
  <si>
    <t>2407-45</t>
  </si>
  <si>
    <t>14:03 Tram 103 D Gouldsbrough (8505276) reported a near miss with a car coming through MOW O/B evasive action required no injuries reported at the time report CCTV SIBAS requested TACT 154660</t>
  </si>
  <si>
    <t>CCTV shows red light infringement tram slowed but no harsh braking</t>
  </si>
  <si>
    <t>2407-46</t>
  </si>
  <si>
    <t>15:47 The driver on tram 102 reported surfers to the rear of tram  115 between CAT/CAS I/B Tram 115 contatced and checked the rear of the tram - nothing seen CCTV requested SYP contacted INC no 605/05/10/2024</t>
  </si>
  <si>
    <t>2407-47</t>
  </si>
  <si>
    <t>13:30 Drv R Hollingworth reportts from tram 107 at SHS I/B that a passenger has fallen over whilst running for the tram - no medical assistance was required howeverr first aid kit was used and CCTV requested Infra to attend to check the platform for potential tripping hazard</t>
  </si>
  <si>
    <t>CCTV has been viewed - no fault found</t>
  </si>
  <si>
    <t>2407-48</t>
  </si>
  <si>
    <t>13:44 DRV J Mitchell reports from tram 201 at Cathedral that a passenger has fallen over whilst the tram was stationary in the tram stop - DM J Cawthorne to site from EP CCTV requested  - From DM J Cawthorn the lady who fell over is fine and no medical assistance required DM travelled from Cat to NUS with her then she continued on her way as normal.EV/2024/03783</t>
  </si>
  <si>
    <t>The passenger tripped on the step</t>
  </si>
  <si>
    <t xml:space="preserve">The passenger wasn’t looking where she was walking </t>
  </si>
  <si>
    <t>2407-49</t>
  </si>
  <si>
    <t>17:00 From N Wybrant reported on returning to East Parade she found conductor L Mataa (8507768)  on the floor at Cat I/B platform the conductor said that she had walked across from O/B to I/B platform but had cut across the walkway to where the platform slopes upwards and had misjudged the step and fallen. EV/2024/03784</t>
  </si>
  <si>
    <t xml:space="preserve">Email from A Barclay  24/01/2025 -The employee has since left the company - there is no CCTV intial reports state that the conductor climbed the tram stop and slipped by misfooting </t>
  </si>
  <si>
    <t>2407-50</t>
  </si>
  <si>
    <t xml:space="preserve">11:08 Not reported to OCC - Driver states that the tram has pulled up to LPV tram stop - and that as she checked her rear view mirror a lady was o the floor near the steps - the driver got out of the cab to attend to the female who stated that she had turned around and twisted her ankle - the tram was stationary at the time of the incident - the female did not ask for any medical assistance and continued her journey on the tram. EV/2024/03785 </t>
  </si>
  <si>
    <t xml:space="preserve">Passenger boarding the tram </t>
  </si>
  <si>
    <t xml:space="preserve">Passenger tripped on doorway edge </t>
  </si>
  <si>
    <t>The driver reported the incident but not until her break she was reminded to repprt all incidents to OCC straight away - Duty of care was provided to the passenger by the conductor no medical assistance was called for</t>
  </si>
  <si>
    <t>2407-51</t>
  </si>
  <si>
    <t>Reported through customer services - I was cycling along West Street/Glossop Street, coming up to the Upper Hanover Junction (approximately opposite Welfare Pharmacy) at around 8.10am this morning (19/9/24) when a tram overtook me. This was extremely unsafe as the road narrowed before the tram had finished overtaking me, so the space foe me and my bike to fit in became very tight. I knocked on the window to ensure the driver was aware of what had happened and he immediately gesticulated angrily at me. It felt like he had been annoyed that I was cycling, and had knowingly squeezed past in an unsafe manner, and still felt that the situation was in some way my fault just because I was cycling. It was scary and unsafe, and I was angry that the driver didn't seem to understand this or take responsibility.</t>
  </si>
  <si>
    <t>Cyclist not staying in the lay by</t>
  </si>
  <si>
    <t>Cyclist error/driver not staying bac from the cyclist</t>
  </si>
  <si>
    <t xml:space="preserve">This investigation was brought to light from a customer complaint </t>
  </si>
  <si>
    <t>2407-52</t>
  </si>
  <si>
    <t>T119 Driver N Dewire (54567) reports a lady just past SHS  tramstop I/B is being restrained by Station staff the driver suspects the lady is trying to put herself in the path of the tram - the following tram passed the incident with caution police have been informed and are attending.</t>
  </si>
  <si>
    <t>2407-53</t>
  </si>
  <si>
    <t>Conductor Cwright (58278) reports physical assault upon himself T105 West Street O/B bodycam activated to be taken off tram for report and for  duty of care @ 17:28 where tram will be conductorless CAT-MEI-CAT (no spare available) CCTV requested. EV/2024/03804</t>
  </si>
  <si>
    <t>Passenger attack</t>
  </si>
  <si>
    <t>Criminal act</t>
  </si>
  <si>
    <t xml:space="preserve">OCC were contacted </t>
  </si>
  <si>
    <t>2407-54</t>
  </si>
  <si>
    <t>RSM Tech reported that he had exeprienced arc flash weld after using welder on top of tram to fix fatigue crack in fan cover. EV/2024/03805</t>
  </si>
  <si>
    <t>15:20 DM Rbridges reports that con D Richardson has had an altercation with an abusive passenger brtween HIL &amp; BAS ib report and CCTV to follow. EV/2024/03806</t>
  </si>
  <si>
    <t xml:space="preserve">Verbal abuse directed at the conductor </t>
  </si>
  <si>
    <t xml:space="preserve">Initial refusal to pay and malicious behaviour </t>
  </si>
  <si>
    <t>19:22 DRV from T119 reports that the conductor has been spat at when at Granville Road tram stop CCTV and reports requested - CCTV shows that spit did not make contact with conductor. EV/2024/03807</t>
  </si>
  <si>
    <t xml:space="preserve">Passenger spitting towards the conductor </t>
  </si>
  <si>
    <t xml:space="preserve">Fare evading </t>
  </si>
  <si>
    <t xml:space="preserve">Incidnet reported OCC via driver and reportedf to the polcie </t>
  </si>
  <si>
    <t>2407-57</t>
  </si>
  <si>
    <t xml:space="preserve">19:20 T205 reports that CIR I/B tram shelter has had a glass panel smashed </t>
  </si>
  <si>
    <t>10:00 J Major (8506252) T123 Park Grange Rd O/B reported via emergency call having minor RTC with a van DM Rbridges informed and will attend no injuries reported at the time - drivers exchanging details report CCTV &amp; SIBAS (tact 154796) requested on call informed. EV/2024/03923</t>
  </si>
  <si>
    <t>Driver did not stop to avoid the parked van</t>
  </si>
  <si>
    <t>The driver sent an emergency call to OCC</t>
  </si>
  <si>
    <t>2407-59</t>
  </si>
  <si>
    <t>11:33 D Johnson T202 reported a pedestrian walking I/B between NUS -CIR 11:35 pedestrian seen clear off the tracks on CCTV at CIR</t>
  </si>
  <si>
    <t>2407-60</t>
  </si>
  <si>
    <t xml:space="preserve">14:22 T107 driver P Marsden (4187) reports individual on wrong side of railings on footbridge near to PAG unclear as to weather this person is distressed of just messing about drivers advised to pass with caution and asked for more information infrastructure on way to site </t>
  </si>
  <si>
    <t>2407-61</t>
  </si>
  <si>
    <t>20:12 Pedestrians walking trackside VAC-ARS</t>
  </si>
  <si>
    <t>2407-62</t>
  </si>
  <si>
    <t xml:space="preserve">20:30 Small shelter panel found smashed at ARS I/B reported to SYP via online townhall CCTV camera facing wrong way for any potential damage </t>
  </si>
  <si>
    <t>2407-63</t>
  </si>
  <si>
    <t>23:15 Tram 108 A Watson (037) reported female pedestrian wrong side of the Bowstring Bridge with YAS staff with her OCC informed Dwilley DM J Cawthorn and CCTV with CCTV informing SYP trams in area informed female observed on CCTV to climb back on to the correct side of the railings and move toward tram 105 approaching I/B female restrianed by YAS staff tram 105 D Goldsburgh (8505276) reported female no too cllose to the tram 23:29 removed female from the bridge and all claer.</t>
  </si>
  <si>
    <t>2407-64</t>
  </si>
  <si>
    <t>12:23 Drv if T122 (600) reported a passenger fall as he left LEL O/B no injuries reported at the time CCTV report and SIBAS requested tact 154793. EV/2024/03924</t>
  </si>
  <si>
    <t xml:space="preserve">The passenger fall due to the normal movement of the tram </t>
  </si>
  <si>
    <t xml:space="preserve">The passenger stumbles on the steps </t>
  </si>
  <si>
    <t>2407-65</t>
  </si>
  <si>
    <t>16:52 Drv B Hill of MEI bound tram T109 reports persons walking trackside on the outbound track between ARS &amp; ATT person cleared before next tram (veiwed on CCTV)</t>
  </si>
  <si>
    <t>2407-66</t>
  </si>
  <si>
    <t>17:00 Drv S Green on T101 reported that person of public surfing on rear of tram from SHS trams topped and person in question got off the rear of the tram - CCTV requested. EV/2024/03925</t>
  </si>
  <si>
    <t>2407-67</t>
  </si>
  <si>
    <t>17:20 Drv D Worth reported member of the public with a small fire near the old platform at SHS close to one on our blue electrical boxes- unable to see on CCTV due to SHS camera being unable to move - Infra sent to site  - 17:37 member of public has moved away from the site  and the fire is out</t>
  </si>
  <si>
    <t>2407-68</t>
  </si>
  <si>
    <t>17:55 R Hollingsworth on T108 repotted a passenger fall at HOL O/B when the doors closed and tram was sationary no inuries reported CCTV requested. EV/2024/03926</t>
  </si>
  <si>
    <t xml:space="preserve">This investigation has an email trial with Safety Manager &amp; Duty Manager - it has been authorised t closed but the investigaion has not been attached </t>
  </si>
  <si>
    <t>2407-69</t>
  </si>
  <si>
    <t>19:30 Drv R Hollinsworth reported that he had tram surfers on his tram T108 at approx 16:44 but was not informed until break time by his conductor L Mee CCTV requested. EV/2024/03927</t>
  </si>
  <si>
    <t>2407-70</t>
  </si>
  <si>
    <t>00:00 Drv J Belgrave on T115 reported that she had incorrect VIS code when approaching the delta - permission given to hand operate points PS09 which then alarmed and cleared for next tram TACT 154806. EV/2024/03928</t>
  </si>
  <si>
    <t>Closed due to time elapsed - investigation was sent out 15/10/2025</t>
  </si>
  <si>
    <t>2407-71</t>
  </si>
  <si>
    <t>21:41 Driver T Rotchell (73323) on tram 202 reported having a cab side window smashed at TIN I/B didn’t see who did it but there were two lads stood on  the O/B platform tram stop CCTV pointing towards the chord - tram to be swapped RSM informed /tacted and polic online reporting completed -2:02 Drver C Donelly (78670) reported on bringing T202 on depot there was also damage to large saloon window No 2 end RSM updated. EV/2024/03929</t>
  </si>
  <si>
    <t>2407-72</t>
  </si>
  <si>
    <t xml:space="preserve">21:48 Driver T Rotchell (73323) on tram 202 repoted a large pane smashed at ATT I/B no one in the area </t>
  </si>
  <si>
    <t>2407-73</t>
  </si>
  <si>
    <t xml:space="preserve">22:24 Drv D Barnes (716) T120 reported 2 pedestrians walking between TIN/CAR nes tram informed and asked for update - 22:43 T Rotchell (73323) reported no pedestrians walking between TIN/AR </t>
  </si>
  <si>
    <t>2407-74</t>
  </si>
  <si>
    <t xml:space="preserve">17:37 Drv J Richardson on  T117 reported pedestrain walking towards HYP on Parkway iaduct netx drivers informed </t>
  </si>
  <si>
    <t>2407-75</t>
  </si>
  <si>
    <t>22:05 Drv of T120 reported pedestrians on Parkway viaduct - next driver advised and repted all clear at 22:13</t>
  </si>
  <si>
    <t>2407-76</t>
  </si>
  <si>
    <t>07:54 Tram 124 S Scanes (8508846) reported a near miss with two cars White Lane / Fox Lane I/B Evasive action required no inries reported  DM A Roberts informed CCTV reports repots and SIBAS requested TACT 154862</t>
  </si>
  <si>
    <t>CCTV shows that the driver acted in the correct manner</t>
  </si>
  <si>
    <t>2407-77</t>
  </si>
  <si>
    <t>22:57 DVR R Singer reports from tram 205 of a vulnerable person on the Bowstring Bridge - trams advised to proceed with caution</t>
  </si>
  <si>
    <t>2407-78</t>
  </si>
  <si>
    <t>Infra operative states that he was wrapping an extension cable and suffered a blow to the right hand side of his head - the injury caused the wound to bleed - other infra operative who was on site used first aid and applied a sterile bandage to the wound. EV/2024/03931</t>
  </si>
  <si>
    <t>Closed due to time elapsed - inevstigation was sent out on 17/10/2024 cannot find completed investigation</t>
  </si>
  <si>
    <t>2408-01</t>
  </si>
  <si>
    <t>01:20 R Smith report sthat S Walford has clipped a barrier on the delta with a van no injuries reported barrier ok and minor damage to van S Walford to report to Depot</t>
  </si>
  <si>
    <t>2408-02</t>
  </si>
  <si>
    <t>07:46 Driver s Cameron (1365) on tram 107 repoted a pedestrian walking tackside between Fox Lane and BIL o/b next tram in the area advised -07:54 Driver D Carrighan (8501812) on tram 122 reported no pedestrian sen walking trackside between Fox Lane and White Lane</t>
  </si>
  <si>
    <t>2408-03</t>
  </si>
  <si>
    <t>10:17 Driver G Knight (550) on tram 104 reported pedestrian walking o/b between VAC - CAR next tram in vicinty advised observed via CCTV coimng onto the outbound paltform but unable to track as camera cutrrently has no PTZ</t>
  </si>
  <si>
    <t>2408-04</t>
  </si>
  <si>
    <t>10:43 Driver S Green (58403) on tram 203 reported a pedestrian walking between CAR-VAC next tram in vicinty advised pedestrian observed via CCTV coming onto VAC platform and waiting for an inobound tram</t>
  </si>
  <si>
    <t>2408-05</t>
  </si>
  <si>
    <t>06:52 Tram 115 A Smith (81716) at FIS I/B reported a doortrap at LPV I/B with a male boarding - no injuries were  reoported CTTV and reports requested - DM JC awthorn aware. EV/2024/03933</t>
  </si>
  <si>
    <t>The driver did not allow enough time for the passenger to board the tram</t>
  </si>
  <si>
    <t>2408-06</t>
  </si>
  <si>
    <t>08:56 Tram 123 G Dobbin (58277) reported conductor R Dawson (670) requested to be taken off to speak to a DM 09:17 R Wild reported conductor had received verbally threatening behaviour from a non paying passenger incidnet occurred at SHS I/B and passenger left tram at FIS O/B on previous journey  - Condcutor completing report and CCTV requested. EV/2024/03935</t>
  </si>
  <si>
    <t>Re-classified as info only due to comments received from duty manager - On viewing the CCTV, you can see there is a conversation. It doesn't appear heated and then Ricky continues collecting fares and the passenger gets off</t>
  </si>
  <si>
    <t>14:00 Drv P Hawkins on Tram 116 at Cas i/b reports passenger fall boarding tram CCTV reports DM RWILD aware. EV/2024/03937</t>
  </si>
  <si>
    <t>Tram doors were not level</t>
  </si>
  <si>
    <t>Passenger fell over the lip of the door</t>
  </si>
  <si>
    <t xml:space="preserve">The driver informed OCC immdiatley </t>
  </si>
  <si>
    <t>2408-08</t>
  </si>
  <si>
    <t>14:45 Drv D White on Tram 101@ Att reports con R Madin has been assaulted CCTV reports DM D Tingle aware. EV/2024/03940</t>
  </si>
  <si>
    <t>Closed due to time elapsed - investigation was sent out 17/10/2025</t>
  </si>
  <si>
    <t>2408-09</t>
  </si>
  <si>
    <t>19:08 Drv P Gillott on Tram 206 reports a passenger fall at Cas whilst stationary CCTV reports DM A Roberts aware EV/2024/03942</t>
  </si>
  <si>
    <t xml:space="preserve">Passenger tripped on the doorway edge </t>
  </si>
  <si>
    <t xml:space="preserve">The driver reported the incident to OCC no injuries were reported for the person involved of medicla assistnace called for </t>
  </si>
  <si>
    <t>2408-10</t>
  </si>
  <si>
    <t xml:space="preserve">22:39 OCC recieved a call from SYP reagrding incident on T118 which is currently at Mid terminus - this incident was onboard and reprtoed to the police - after speaking with the driver on T118 an incident occurred at LEL O/B between passenger and conductor W Cain - this was not reported to OCC - then another passenger was involved defending the conducotr and subsequently a call was madto the police alledging sexual asssault bewteen passengers - the passengers involved one left at LELO/B and the other left at MID  W Cain to be taken off for a reprot and see DM D Tingle SYP to do a driver around at MID CCTV not requested awaitng a response from SYP nice/dems DM D Tingle reports WCain all alright and the incident is  a police matter. EV/2024/03944 </t>
  </si>
  <si>
    <t>2408-11</t>
  </si>
  <si>
    <t>04:25 SYFR and OCC and report a car on the delta upon viewing CCTV the car is on the track around points PS09 quickmission called out for Infra to attend</t>
  </si>
  <si>
    <t>2408-12</t>
  </si>
  <si>
    <t>11:27 Driver S Cameron (1365)  on Tram 206 (CAT I/B) reported his Conductor (S Wild) 355 has been threatened by a passenger involving a knife the passenger got off at CAT description passed onto CCTVare tracking someone of that description CCTV and report requested. EV/2024/03985</t>
  </si>
  <si>
    <t xml:space="preserve">Passenger avoiding paying </t>
  </si>
  <si>
    <t>Driver reported to OCC and the conductor reported the incident to OCC -Follow up welfare call with the conductor</t>
  </si>
  <si>
    <t>2408-13</t>
  </si>
  <si>
    <t>12:38 Driver S Green (584030) on Tram 203 reported a pedestrian walking o/b between HYP CIR, CIR CCTV picked up visually and the pedestrian continued walking o/b to NUS next tram in the area advised</t>
  </si>
  <si>
    <t>2408-14</t>
  </si>
  <si>
    <t>22:36 Driver C Donnelly (78670) tram 203 at Woodbourn Road O/B  reported that two youths onboard had an altercation which resultted in one of them leaving the tram at Woodbourn Road no further issues reported no staff involvement</t>
  </si>
  <si>
    <t>2408-15</t>
  </si>
  <si>
    <t>16:35 Tram 110 E Wilkinson (8502862) reported at CAT I/B passenger got their coat caught in the door as it closed - driver reactivated door and driver reported passenger boarded the tram - DM Rwild informed CCTV and reports requested - DM R Wild spoke to driver E Wilkinson (8502862) and reported only the arm of the coat was caught in the door and not the girls arm driver moved slightly off before stopping tram when completing mirror check and seeing the coat</t>
  </si>
  <si>
    <t>2408-16</t>
  </si>
  <si>
    <t>16:43 Tram 103 D Carrighan (8501812) reported pedestrian on the HYP viaduct walking O/B towards HYP Tram 125 S Cameron (1365) reported all clare on viaduct</t>
  </si>
  <si>
    <t>2408-17</t>
  </si>
  <si>
    <t>22:26 DRV S Cameron reports from tram 207 of a person sat in the cess between delta and SHS O/B</t>
  </si>
  <si>
    <t>2408-18</t>
  </si>
  <si>
    <t xml:space="preserve">05:20 drv D Pilgrim on tram 120 reports a pedestrian on the Parkway Viaduct following trams advised </t>
  </si>
  <si>
    <t>2408-19</t>
  </si>
  <si>
    <t>19:40 Trams 110 &amp; 107 both report smashed saloon windows on board incidents thought to have happened somewhere between Delta &amp; FIS both vehicles running into depot on early run ins reported to SYP via online portal CCTV requested tacts 154990 (T110) &amp; 15499 (T107). EV/2024/03986</t>
  </si>
  <si>
    <t>2408-20</t>
  </si>
  <si>
    <t>23:17 Driver J Peckett  (8500446) tram 101 had to apply track brake due to a road work barrier being placed in the swept path prior to Granville Road O/B no injuries reported CCTV requested. EV/2024/03989</t>
  </si>
  <si>
    <t>Barrier being placed in the trams path</t>
  </si>
  <si>
    <t xml:space="preserve">Unsual glare in the cab and poor observations </t>
  </si>
  <si>
    <t>Yes1</t>
  </si>
  <si>
    <t xml:space="preserve">The driver reported the incident to OCC - The Duty Manager has spoked with the driver and undelined the importance of good obesrvations </t>
  </si>
  <si>
    <t>Elcroft Gardens</t>
  </si>
  <si>
    <t>08:10 Drv P Rowbottom on T118 reported that the tram may have come into contact with something around Elcroft Gardens Amey are working on traffic lights at that junction CCTV and SIBAS requested Tact 155001 and 15002. EV/2024/03990</t>
  </si>
  <si>
    <t>Traffic light left in the trams swept path</t>
  </si>
  <si>
    <t xml:space="preserve">Driver not seeing the light </t>
  </si>
  <si>
    <t>POINT (-1.3559902 53.3416964)</t>
  </si>
  <si>
    <t xml:space="preserve">Once aware the driver called and informed OCC - Dhallam contacted Amey to make sue that no further equipment was left on the ballasted sections </t>
  </si>
  <si>
    <t>2408-22</t>
  </si>
  <si>
    <t xml:space="preserve">23:20 Town Hall CCTV report to OCC of a person on the wrong side of the railings on the Bowstring Bridge  - Town Hall CCTV report the person is a regular and SYP are on the way - At 23:26 whilst viewing the CCTV members of the public puilled the person back over the railings then SYP arrvied to take the person away </t>
  </si>
  <si>
    <t>2408-23</t>
  </si>
  <si>
    <t xml:space="preserve">Shirland Lane </t>
  </si>
  <si>
    <t>18:00 DRV D Johnson on T115 reported concerns of a fire on the towpath at Shirland Lane OCC informed emergency services via 99 and they were ware of the incident and already enroute</t>
  </si>
  <si>
    <t>2408-24</t>
  </si>
  <si>
    <t>11:28 Drv of T201  Kelly (8503165) reported T121 coming into St James Row check wit the driver of T201 and she confirmed she was already in CAT I/B drv of T121 L Bennett (8502599) was called by B Riley on traffic desk and she reported that she had a proceed at St James Row CCTV has been requested and DM DWilley informed and asked to speak to L Bennett awaiting more information. EV/2024/04020</t>
  </si>
  <si>
    <t>Closed due to time elapsed - investigation sent out 30/10/2024</t>
  </si>
  <si>
    <t>07:55 Drv J Ahmed (85000445)  on Tram 113 at Leppings Lane o/b via emergency call reports RTC with a car due to LRA this car then hit the car in front of ot, CCTV Sibas 155079 on N Barraclough informed matrix followed DM A Roberts to site. DM A Roberts onsite at Leppings Lane reports no injuries at RTC due to nature of incident black box frozen witnessed by G Wilcock buses not running in that area due to incident so no ticket accceptance first did not answer due to no spare drivers available G Lilley diverted from safety meeting due to no vehicles available J Keeling drove G Lilley to incident in own car (with business). EV/2024/04021</t>
  </si>
  <si>
    <t>Tram driver lack of concentration</t>
  </si>
  <si>
    <t>The driver called OCC via emergency call the driver was relieved of driving by Duty Manger at the scene and black box was frozen</t>
  </si>
  <si>
    <t>2408-26</t>
  </si>
  <si>
    <t xml:space="preserve">16:36 Drv D Carrighan (8501812) on T121 reported a group of youths walking on Park Grange Viaduct other drivers in area informed </t>
  </si>
  <si>
    <t>2408-27</t>
  </si>
  <si>
    <t xml:space="preserve">15:18 Drv J Peckett on T103 reported Birley school kids walking trackside between BIL and WHL trams in area warned </t>
  </si>
  <si>
    <t>2408-28</t>
  </si>
  <si>
    <t>18:15 Drv R Pearson (89116) reported via emergency call that a dog was running loose between ARS - ATT other trams in area warned.</t>
  </si>
  <si>
    <t>2408-29</t>
  </si>
  <si>
    <t>20:46 Police informing of a serious car/pedestrian RTC at GLT and the whole area is closed  - trams will not be able to run through Purple route hgeld at HEP, blue route terminating at BIL i/b and SHS i/b</t>
  </si>
  <si>
    <t>2408-30</t>
  </si>
  <si>
    <t xml:space="preserve">22:45 Driver G Knight (550) on tram 125 reported a two car RTC at the junction of Infirmary Road/Montgomery Terrace blocking both tracksno injuries reported </t>
  </si>
  <si>
    <t>11:45 T108 Con P Spencer (384) while ejecting 3 youths at BAS O/B one of them threw a punch at him which made no contact conductor to be taken off at CAT for a report and CCTV requested. EV/2024/04131</t>
  </si>
  <si>
    <t>Malicous behaviour by youths</t>
  </si>
  <si>
    <t>POINT  (-1.4925196 53.3988824)</t>
  </si>
  <si>
    <t>2408-32</t>
  </si>
  <si>
    <t>16:15 Tram 207 reported non tram RTC Arbourthorne Road both tracks blocked FEM asked to attend purple service with drawn no blue between SHS/GLT</t>
  </si>
  <si>
    <t>2408-33</t>
  </si>
  <si>
    <t>10:50 Driver W Hinchcliffe (8506848) tram 108 at Halfway reported that his conductor L Mataa (8507768) had been sexually assaulted by a passenger as he boarded the at CAS I/B this person alighted at ARR O/B DM D Tingle conductor to leave the tram at CAT O/B (11:28) to see DM at East Parade for a report CCTV requested. DM R Wild Conductor L Mataa (8507768) has completed her report  ut does not wish to report this to the police the conductor was not wearing a bodycam. EV/2024/04132</t>
  </si>
  <si>
    <t xml:space="preserve">Closed due to time elapsed - email was sent out -01/11/2024 - comments from daiy call state that "Driver reported his conductor had been sexually assaulted. Lefumbo played it down and initially didn’t want to do a report. Safe report completed but didn’t want to complete police portal - CCTV shows a clear image of the incident, and the passenger is a known regular. I am covering Lefumbo today for a welfare chat but also to try and get it reported on the portal 
</t>
  </si>
  <si>
    <t>2408-34</t>
  </si>
  <si>
    <t>14:26 DRV D Pilgrim reports from tram 109 at SPL I/B an object thrown at the tram with no damage CCTV requested and SYP complete following trams advised. EV/2024/04133</t>
  </si>
  <si>
    <t>2408-35</t>
  </si>
  <si>
    <t xml:space="preserve">DRV J Travis on tram 107 reports youths throwing at all road vehicles near to Spring Lane DM to site to investigate </t>
  </si>
  <si>
    <t>2408-36</t>
  </si>
  <si>
    <t>15:40 T109 reported 2 people walking between WHL - BIL</t>
  </si>
  <si>
    <t>2408-37</t>
  </si>
  <si>
    <r>
      <t>17:28 T119 (J Williams) reported a saloon door window smashed as the tram crossed the delta a group of youths were seen around the area council cctv monitoring a group in the area asked to check if anything has been seen CCTV and police online completed.</t>
    </r>
    <r>
      <rPr>
        <b/>
        <sz val="11"/>
        <color theme="1"/>
        <rFont val="Calibri"/>
        <family val="2"/>
        <scheme val="minor"/>
      </rPr>
      <t>EV/2024/04134</t>
    </r>
  </si>
  <si>
    <t>2408-38</t>
  </si>
  <si>
    <t>18:30 T107 (P Marsden) reported someone attempted to smash windscreen SPL O/B no damage reported online and CCTV requested. EV/2024/04135</t>
  </si>
  <si>
    <t>2408-39</t>
  </si>
  <si>
    <t>23:45 T110 running without a conductor passenger thrown drink over the conductor R Dawson (670) who is now wet and needs to change uniform incident happened CIH conductor wants to rpeort to SYP CCTV and report requested. EV/2024/04136</t>
  </si>
  <si>
    <t xml:space="preserve">Passenger throws drink over conductor </t>
  </si>
  <si>
    <t xml:space="preserve">The driver reported the incident to OCC the conductor was taken off the tram to ensure that he was alright the incident was reported to the police </t>
  </si>
  <si>
    <t>2408-40</t>
  </si>
  <si>
    <t xml:space="preserve">Arena </t>
  </si>
  <si>
    <t>08:15 DRV D Long on T108 reports a glass panel smashed at ARS O/B reported to SYP online Sheffield Interchange and facilities for clean up uknown when the incident ocurred as trams haved not served this area since last Friday due to engineering works. EV/2024/04137</t>
  </si>
  <si>
    <t>2408-41</t>
  </si>
  <si>
    <t xml:space="preserve">14:55:00 DRV A Smith reported persons trackside between CAR -VAC following tram informed OCC that the area is now clear of people trackside </t>
  </si>
  <si>
    <t>2408-42</t>
  </si>
  <si>
    <t>16:40 Driver on tram 112 reported a pedestrian walking trackside between ARS - VAC</t>
  </si>
  <si>
    <t>2408-43</t>
  </si>
  <si>
    <t>08:52  Drv P Marsden on 113 reports a minor RTC with a ambulance responder on Holme Lane  CCTV reports sibas 155222 DM J Gilbert aware, EV/2024/04138</t>
  </si>
  <si>
    <t xml:space="preserve">The ambulance continued into the swept path of the oncoming tram </t>
  </si>
  <si>
    <t>The ambulance continued into the path of the oncoming tram</t>
  </si>
  <si>
    <t>2408-44</t>
  </si>
  <si>
    <t xml:space="preserve">00:18 J Mitchell on T205 reported a pedestrian walking trackside between ARS -ATT next tram in the area warned </t>
  </si>
  <si>
    <t>2408-45</t>
  </si>
  <si>
    <t xml:space="preserve">08:34 DRv R Pearson (89116) reported 2 pedestrians trackside between NER - SHA other trams advised </t>
  </si>
  <si>
    <t>2408-46</t>
  </si>
  <si>
    <t xml:space="preserve">Crystal Peaks </t>
  </si>
  <si>
    <t xml:space="preserve">18:15 Driver R Hague T119 reports number of youths trackside between CRP - BDH one of the youths was laid in the ground in the cess following trams notified </t>
  </si>
  <si>
    <t>2408-47</t>
  </si>
  <si>
    <t>01:16 Driver P Rowbottom (788) reportted that her conductor T Davidson (324) has activated her bodycam due to having an altercation with a passenger - this was reported at MEI report and bodycam footage requested . EV/2024/04139</t>
  </si>
  <si>
    <t>Closed due to time elapsed - investigation was sent out  01/11/2024</t>
  </si>
  <si>
    <t>2408-48</t>
  </si>
  <si>
    <t>18:40 Driver S Green reported from T104 at Cir I/B that persons are throwing bricks at tram no damage reported to T104 at the time  - the TT following 202 had a cab side window smashed DRV Sgreen taken off for care of duty with DM Rwils SYP called via 999. EV/2024/04140</t>
  </si>
  <si>
    <t>2408-49</t>
  </si>
  <si>
    <t xml:space="preserve"> 19:30 Drv P Rowbottom on tram 117 at SPL I/B reports several cones placed in theft  - driver removed the cones SYP have also recorded this incident along with CIR incident woth the same number  -  794 31/10/2024</t>
  </si>
  <si>
    <t>2408-50</t>
  </si>
  <si>
    <t>10:25 FEM report that a damaged shelter panel at DOW O/B has been removed and will require replacing - reported to Traveline.EV/2024/04141</t>
  </si>
  <si>
    <t>2408-51</t>
  </si>
  <si>
    <t>11:11 DRV D Garrighan on T119 reported that his conductor (a Zelch 8512789) has had an altercation with a passenger that has resulted in a minor physical assault  - DM advised and will liase with conductor CCTV requested . EV/2024/04142</t>
  </si>
  <si>
    <t>12/12/2024 email from DM states  I have subsequently followed up with both conductors and they have confirmed that they have had no further update or contact from SYP.</t>
  </si>
  <si>
    <t>2408-52</t>
  </si>
  <si>
    <t>22:20 2 Pedestrians walking HYP-CIR</t>
  </si>
  <si>
    <t>2408-53</t>
  </si>
  <si>
    <t>11:54 The information board at CRP I/B tramstop was reported to have been pulled open a member of the cleaning team was asked ot if he could close it he reported the door had been bent open he managed to secure it closed but reported that it would need replacing TACT 155302</t>
  </si>
  <si>
    <t>2408-54</t>
  </si>
  <si>
    <t>12:50 Driver N Burton reported having to track brake between CAT/CAS I/B due to a pedestrian falling in front of the tram the pedestrian was ok and walked away  - no issues reported on the tram CCTV /Report report SIBAS download (1553304) requested. EV/2024/04143</t>
  </si>
  <si>
    <t>Email from DM states that  -  The CCTV shows the pedestrian crossing the tracks and falls as tram 125 is approaching. The driver reacts and immediately applies hazard brake. Stopping a good distance away from the pedestrian. There are no issues reported on board the tram</t>
  </si>
  <si>
    <t>2408-55</t>
  </si>
  <si>
    <t>15:35 T109 DRV reports trapping a passenger in the doors at CAS CCTV and reports requested . EV/2024/04144</t>
  </si>
  <si>
    <t>CCTV viewed doors are already closing and passenger boarded after walking past an open set of doors. No driver error </t>
  </si>
  <si>
    <t>2408-56</t>
  </si>
  <si>
    <t>18:25 T112 reports pedestrian walking trackside between Carbrook and Tinsley O/B side  towards Tinsley</t>
  </si>
  <si>
    <t>2408-57</t>
  </si>
  <si>
    <t xml:space="preserve">18:45 T122 reports seeing the pedestrian near Tinsley tramstop - was clear for tram after </t>
  </si>
  <si>
    <t>Driver Charlene Alexander Morrison conductor Chris Wright - Reported via customer care  - 31/10/2024  14:55  Yellow Tram on or around 14:55 the caller's daughter (aged 7) was out with her Grandma and they were boarding the identified Tram at Hillsborough Park to travel to Middlewood. For whatever reason, the tram doors closed before grandma could board and this left the little girl unaccompanied on the vehicle. She approached a conductor who we can  only identify at this time as an older man, to inform him of her situation.  The conductors response was "You will have to wait until the next stop to get off because the tram can't stop". At this point a passenger intervened - this was a female - and she said "You will be alright, I will wait for you until your Nanna comes on the next tram" This lady was prepared to complete the journey to Middlewood and wait with the child. In the meantime, Grandma has rung the caller (Mum) and informed her of the situation. Mum and Dad went to Middle wood tram stop and met their daughter at this point.It was only afterwards and in speaking with both her daughter and the passenger that the situation became apparent.EV/2024/04145</t>
  </si>
  <si>
    <t>Tram doors closed seperating the two passengers</t>
  </si>
  <si>
    <t xml:space="preserve">The driver was unaware of the situation the conductor did not follow procedure for dealing with a seperation duty manager Rwild &amp; Dtingle interviewed the conductor once they were aware of the incident </t>
  </si>
  <si>
    <t>2408-59</t>
  </si>
  <si>
    <t>21:32 Event conductor K Mundra (8512389) assaulted by passenger waiting to board tram at Arena making way back to depot with M Blackwell for duty of care and to fill in report. EV/2024/04146</t>
  </si>
  <si>
    <t xml:space="preserve">Rushing </t>
  </si>
  <si>
    <t xml:space="preserve">Female became abusive towards conductor - conductor was removed from area and taken back to depot - a welfare check was completed and reports taken - reported to police via online portal and Karen Holmes </t>
  </si>
  <si>
    <t>2408-60</t>
  </si>
  <si>
    <t>05:32 Drv J Belgrave on T125 reports clipping edge of temporary barriers between Bil and Bmr, CCTV reports SIBAS requested 155390 DM Rwild aware</t>
  </si>
  <si>
    <t>19:05 Drver G Lowrie (602) reported his conductor D Gray (601) is requesting to come off the tram due to injuring his back pulling a tram door shut that had been reported as stuck on INR  outbound platform CCTV and reports requested. EV/2024/04147</t>
  </si>
  <si>
    <t>Pulling tram doors shut manully from on tram</t>
  </si>
  <si>
    <t xml:space="preserve">used incorrect procedure for shutting doors contrary of training </t>
  </si>
  <si>
    <t>Incident reported to OCC via driver duty of care was ccarried out by DM</t>
  </si>
  <si>
    <t>2408-62</t>
  </si>
  <si>
    <t xml:space="preserve">20:55 Police informed that a car was on the segregated tracks at the junction of White Lane Fox Lane FEM conatacted and attending nest two tram in the area advised </t>
  </si>
  <si>
    <t>2408-63</t>
  </si>
  <si>
    <t xml:space="preserve">23:32 T201 T Rotchell (73323)  reported a pedestrian on the viaduct between Delta and Hyde Park trams informed T106 reported no pedestians seen </t>
  </si>
  <si>
    <t>2408-64</t>
  </si>
  <si>
    <t>07:15 G Stanford reports 2 pedestrians walking trackside NUS - CIR trams in area made aware - T107 Drv R Hollingworth (8507246) reports that the pedestrians are clear of the track</t>
  </si>
  <si>
    <t>2408-65</t>
  </si>
  <si>
    <t>08:23 Emergency call from T113 Drv S Scanes (8508846) reports seperation leaving CRP I/B parents on tram child on tram stop tram came to halt 6ft past the tram stop . EV/2024/04148</t>
  </si>
  <si>
    <t>Parent remained on tram after the child had alighted</t>
  </si>
  <si>
    <t>Parent was picking up newspaper on tram</t>
  </si>
  <si>
    <t xml:space="preserve">The tram driver stopped and followed procedure to make OCC aware og the seperation - the parent and the child weere reunited </t>
  </si>
  <si>
    <t>2408-67</t>
  </si>
  <si>
    <t>21:28 Drv of T123 D Pilgrim (095) reported a person sitting at the side of the tracks on the canal curve near ATT  following tram made aware but no one reported in that area</t>
  </si>
  <si>
    <t>2408-68</t>
  </si>
  <si>
    <t>21:42 Infrastructure reported possbly seeing someone running behind the paintshed on inspection there is a large hole in the fence and it looks like they have ben able to get in the stores depot east G Venner reported that some tools had been taken but without an inventory he cannot say what SYP contacted via 101 and will call back R Smith to mend the hole in the fence ut will not do anything instores until the police investigate J Keeling informed. EV/2024/04250</t>
  </si>
  <si>
    <t>2408-69</t>
  </si>
  <si>
    <t>03:20 FEM R Smith reports toolbox in mulitcar has ben accessed, as yet he is unsure if anything missing A Batty and I Grayson confirm no sign of damage around the training rooms</t>
  </si>
  <si>
    <t>2408-70</t>
  </si>
  <si>
    <t>12:40 Drv D bridges - on T108 reported passenger fall as the tram set off from SPL inbound no injuires reported CCTV and report requested. EV/2024/04251</t>
  </si>
  <si>
    <t>Tram setting off</t>
  </si>
  <si>
    <t xml:space="preserve">Passenger having mobility issues and being off balance </t>
  </si>
  <si>
    <t>2408-71</t>
  </si>
  <si>
    <t>Westfield</t>
  </si>
  <si>
    <t xml:space="preserve">15:28 DRV J Belgrave reports from tram 123 that there are two pedestrians walking on the outbound track between WED and HAL the following tram advised </t>
  </si>
  <si>
    <t>POINT (-1.3438407 53.331853)</t>
  </si>
  <si>
    <t>2408-72</t>
  </si>
  <si>
    <t>17:02 DRV R Pearson reports from tram 107 a pedestrian walking between WOR towards Staniforth Road on the inbound track DRV Swhite on tram 121 reports no pedestrian on the track</t>
  </si>
  <si>
    <t>2408-73</t>
  </si>
  <si>
    <t>05:19 Tram 119 S Green (54403) wrong code to leave depot west (003) instead of (001) tram sent back onto the headshunt no issues next time. EV/2024/04252</t>
  </si>
  <si>
    <t>Wrong Vis</t>
  </si>
  <si>
    <t>2408-74</t>
  </si>
  <si>
    <t xml:space="preserve">07:24 Drv of T124 S Parker (134) reported pedestrian on Parkway Viaduct following drivers informed </t>
  </si>
  <si>
    <t>2408-75</t>
  </si>
  <si>
    <t>08:30 Whilst asssiting Paul Hunt scrapping old pit side grids in the skip located at depot West - RSM tech has aggavated a groin injury that he had been carrying for a while - RSM Supervisor was not aware of this injury at the time and noticed RSM Tech grimace with pain when carrying out the task - tech continued his shft  but was in discomformat tech attended for work the following day but went home sick at 12-15pm. EV/2024/04254</t>
  </si>
  <si>
    <t>2409-01</t>
  </si>
  <si>
    <t>Waterthorpe</t>
  </si>
  <si>
    <t xml:space="preserve">14:17 Drv Nburton - (391) T116 reported a pedestrian walking between WAT &amp; WED following tram advised </t>
  </si>
  <si>
    <t>POINT (-1.3450669 53.3364995)</t>
  </si>
  <si>
    <t>2409-02</t>
  </si>
  <si>
    <t xml:space="preserve">15:13 DRV C Matthews (85223) T104 reported a pedestrian walking between ATT&amp;WOR trams in area advised </t>
  </si>
  <si>
    <t>2409-03</t>
  </si>
  <si>
    <t>23:38 T121 Drv P hawkins (64986) reports that the car has become stuck to the rear of the tram and cannot reverse away - RSM contacted and gave permission to try to move tram away from the car this did not work and car still attached to the tram. EV/2024/04253</t>
  </si>
  <si>
    <t>2409-04</t>
  </si>
  <si>
    <t>12:45 Driver G Lowrie (602) reported an elderly lady passenger has fallen on board and an ambulance is required currently at CIH inbound tram to be detrained and brought on to depot where the ambulance will meet the tram - cancellation CIH-SHS. EV/2024/04255</t>
  </si>
  <si>
    <t xml:space="preserve">Passenger with mobility issues and off balance </t>
  </si>
  <si>
    <t>The incident was reported to OCC and initial accident form completed</t>
  </si>
  <si>
    <t>2409-05</t>
  </si>
  <si>
    <t>06:46 Drv of T124 I Cooper (1397) reported an aggressive passenger was being abusive towards conductor P Bristol (74815) Passenger boarded at Cat and got off at HIL CCT and reports requested. EV/2024/04256</t>
  </si>
  <si>
    <t>2409-06</t>
  </si>
  <si>
    <t>21:21 R Broomhead (8511393)  on T104 activated bodycam due to problem passenger who alighted at SHS report requested.; EV/2024/04257</t>
  </si>
  <si>
    <t>2409-07</t>
  </si>
  <si>
    <t>08:45 Tram 201 A Howard (86110) reported pedestrian walking trackside from the Chord  to TIN I/B next tram informed seen on CCTV to walk clear onto platform and await next tram</t>
  </si>
  <si>
    <t>2409-08</t>
  </si>
  <si>
    <t xml:space="preserve">00:35 Tram 105 J Leggett (85041413) reported hitting a temporary road sign on Park Grange Road i/b scuff marks to the tram no injuries reported CCTV sibas and reports requested </t>
  </si>
  <si>
    <t>JK authorised to close - no attachment on email</t>
  </si>
  <si>
    <t>2409-09</t>
  </si>
  <si>
    <t>07:24 SYP report car on tracks near White Lane - Fox Lane  DM D Tingle , Quick mission and Infa oncall enroute on call Ndobbs in formed  - car was removed from the tracks 08:35</t>
  </si>
  <si>
    <t>2409-10</t>
  </si>
  <si>
    <t>12:55 Drv M Kelly reports a passenger fall whilst stationary at Hil o/b no medical assiatnce required CCTV reports DM Nwybrant aware - Drv M Kelly on tram 125 reports that injured passenger now requires an ambulance into end section at Mid to  wait DM NWybrant aware. EV/2024/04258</t>
  </si>
  <si>
    <t>Passenger falling</t>
  </si>
  <si>
    <t xml:space="preserve">Passenger not holding on /off balance </t>
  </si>
  <si>
    <t>The accident was reported to OCC after the event and a report was completed</t>
  </si>
  <si>
    <t>2409-11</t>
  </si>
  <si>
    <t xml:space="preserve">17:15 Drv of T202 C Matthews (85223) reported possible pedestrians between VAC and Car following driver informed </t>
  </si>
  <si>
    <t>2409-12</t>
  </si>
  <si>
    <t>08:46 Tram 110 R Pearson (89116) reported roadworks at BDH (away from tracks) being signalled by workers causing cars to potentially proceed through the red light at BDH O/B Infrastucture to liase with workers trams informed via ASC</t>
  </si>
  <si>
    <t>21:25 Drv of T119 J Birkitt (254) reported that at UOS O/B she was stationary with the doors open on the tram stop and the tram rolled back this was reported at NER and tram detrained and brought out of service back to depot - RSM informed tact 155654 CCTV and SIBAS requested tact 155655. EV/2024/04259</t>
  </si>
  <si>
    <t>The immediate cause of the rollback was due to the fact that the power controller was left in the power position as the tram came to a halt.</t>
  </si>
  <si>
    <t xml:space="preserve"> the incline of the tram stop helped to hide that the tram was left in power and had not applied the brakes -the age of the Siemens fleet does not allow for more robust verfication that the tram is at a standstill before satisfying the proving loop to enable the doors the 10% brake light was illuminated and was misinterpreted to mean that the brakes had applied </t>
  </si>
  <si>
    <t xml:space="preserve">Email from JK 18/02/2025 -States that this investigation was sent to WC to review once complete actions can be sent out and added to tracker </t>
  </si>
  <si>
    <t>2409-14</t>
  </si>
  <si>
    <t>02:05 After the microwave alarm depot east went off, a man was seen to push open the east tram gates to leave the depot RSM had seen him on depot and had approached him and he made his way off depot - all depot gates where shut and no other alarms had gone off - no idea where he had come from. EV/2024/04260</t>
  </si>
  <si>
    <t>2409-15</t>
  </si>
  <si>
    <t>12:35 Pedestrians walking trackside between Staniforth Road and Woodbourn Road tramstop inbound side view cleared via CCTV</t>
  </si>
  <si>
    <t>2409-16</t>
  </si>
  <si>
    <t>14:06 D Barnes on Tram 121 reports a distressed person on Bow String Bridge being assisted by several members of the public CCTV informed - this person moved away and few trams ran through then the person returned and sat on the tracks on the Bow String Bridge SYP arrived and requested trams stop which was actioned - at 14:23 police removed the said person and trams ran through with approx 12 mins delay - DM DTingle onsite oncall MBlackwell informed and aware DM A Barclay assisted in OCC due to ongoing faults with phones</t>
  </si>
  <si>
    <t>22:35 DVR M Kelly on tram 203 at the delta ad the wrong vis code entered and went too far over the points , a short WDM was required to clear PS09 so the tram could go to SHS and not into the city. EV/2024/04261</t>
  </si>
  <si>
    <t>Incorrect code entered</t>
  </si>
  <si>
    <t xml:space="preserve">Driver not checking code when taking over the tram </t>
  </si>
  <si>
    <t>The inicident was rrpoerted to OCC</t>
  </si>
  <si>
    <t>2409-18</t>
  </si>
  <si>
    <t>00:05 DRV W Hincliffe reports from tram 103 that he has run over a bicycle that was left on the track between CRP and BDH cctv requested</t>
  </si>
  <si>
    <t>Authorised to close as info only by JK Safent Manager 10/01/2025</t>
  </si>
  <si>
    <t>2409-19</t>
  </si>
  <si>
    <t>00:32 DVR P Hawkins on tram 111 at CIR O/B reports two passengers on board who are refusing to get off the tram and are demanding tram 111 runs to MEI all services are curently returning to depot for the night, the two passengers have become abusive and threatening to the tram crew , SYP called via 999  and will attend also incident number 23 19/11/2024 -00:51 SYP now on site at CIR with tram 111, after a discussion with officers the two passengers left the tram CCTV requested. EV/2024/04262</t>
  </si>
  <si>
    <t xml:space="preserve">Passengers didn’t want to leave the tram </t>
  </si>
  <si>
    <t xml:space="preserve">The driver informed OCC and SYP  were also informed </t>
  </si>
  <si>
    <t>2409-20</t>
  </si>
  <si>
    <t>07:23 Driver A Hall (549) on tram 106 reported having an abusive passenger on board vaping and refusing to pay - conductor K Skrodzki (8508698) advised to stay clear of the passenger report and CCTV requested. EV/2024/04263</t>
  </si>
  <si>
    <t xml:space="preserve">Re-classified as info only </t>
  </si>
  <si>
    <t>2409-21</t>
  </si>
  <si>
    <t>St Aidens Road</t>
  </si>
  <si>
    <t>11:16:00 Emergency call from driver R Hague (86735) on tram 109 involved in a minor rtc with a van that has pulled out of St Aidens Road just inbound of Spring Lane no injuries reported and checking for damage and exchanging details  - driver R Hague (86753) damage to the tram is few scratch marks offside driver from no2 end details have been exchanged with the driver and now moving DM J Cawthorn contacted at EP to go and confrim the damage to the tram report CCTV ans Sibas requested. EV/2024/04264</t>
  </si>
  <si>
    <t>Car driver not stopping at  the junction</t>
  </si>
  <si>
    <t>2409-22</t>
  </si>
  <si>
    <t>14:13 Tram 109 Scowlishaw (050) reported a passenger fall as the tram left CAT I/B CCTV reports and Sibas  requested N Wybrant informed TACT 1555818. EV/2024/04265</t>
  </si>
  <si>
    <t xml:space="preserve">Closed due to  time elapsed - re-classified as info only </t>
  </si>
  <si>
    <t>2409-23</t>
  </si>
  <si>
    <t>18:08 Tram 106 J Birkitt (254) afetr departing HAC O/B reported via normal radio call that she had had a potential RTC with a pedestrian reported as one under with a teenage girl as the tram was about to depart HAC O/B driver reported  stopping the tram as the girl fell in front of the tram - driver thought that she had hit the girl however the pedestrian reported that she hadnt - pedestian reported no inuries and no medical ssistance required - no damage reported tram turned at DOW due to late running - driver relieved at CAT to speak to DM tram 115 S Cuckson behind tram 106 at HAC O/B repoted two girls laughing on the platform - DM D Tingle informed reports CCTV and Sibas requested - TACT :  155825 19:20 dm D Tingle spoken to driver and informed on call manager M Blackwell driver brought back to depot for D&amp;A testing. EV/2024/04266</t>
  </si>
  <si>
    <t>Pedestrian banging on saoon windows</t>
  </si>
  <si>
    <t xml:space="preserve">Pedestrian fell off the platform towards the underside of the tram </t>
  </si>
  <si>
    <t>The driver reported the incident to OCC no injuries were repoted for the person involved</t>
  </si>
  <si>
    <t>2409-24</t>
  </si>
  <si>
    <t xml:space="preserve">01:20 INF B Clayton (1189) reported colliding with a road bollard on South Street with company vehicle Reg No NU73 0WR It was reported the road surface was a sheet of black ice at the time - report requested Amey informed re the condition of the road surface </t>
  </si>
  <si>
    <t>2409-25</t>
  </si>
  <si>
    <t xml:space="preserve">09:53 DVR M Mc Cabe (74928) reports from T109 when changing ends at MAB that his external mirror had been knocked back possible minor RTC WES O/B as the next tram had to stop for a lorry in swept path CCTV and reports requested DM J Cawthorn aware </t>
  </si>
  <si>
    <t>Insufficient clearance between ttram and other vehicle</t>
  </si>
  <si>
    <t>Other vehicle not parked completely within marked parking bay</t>
  </si>
  <si>
    <t>On chnaging ends at Mlaing Bridge the driver called OCC having found one of the mirror pushed out of place</t>
  </si>
  <si>
    <t>2409-26</t>
  </si>
  <si>
    <t>20:50 Drv S Cameron on T207 reported one large shelter panel smashed at CIR  reported to Sheffield Interchange and police via online. EV/2024/04267</t>
  </si>
  <si>
    <t>2409-27</t>
  </si>
  <si>
    <t xml:space="preserve">23:29 DVR R Pearson reports from tram 206 at SHS o/b that a car has driven on to the segregated track  at the rear of sheffield station botht tracks i/b and o/b are blocked </t>
  </si>
  <si>
    <t>2409-28</t>
  </si>
  <si>
    <t>Albert Terrace Road</t>
  </si>
  <si>
    <t xml:space="preserve">DVR J Travis reports a very near miss at Albert Terrace Road no injuries reported CCTV requested </t>
  </si>
  <si>
    <t>Car reversed close to the tram</t>
  </si>
  <si>
    <t xml:space="preserve">OCC Contacted </t>
  </si>
  <si>
    <t>2409-29</t>
  </si>
  <si>
    <t>09:23 DRV D Johnson (567) on T205 had incorrect VIS code so had to hand operate PS09 causing a points failiure FEM on call will atted to reset  (TACT 155862). EV/2024/04268</t>
  </si>
  <si>
    <t>2409-30</t>
  </si>
  <si>
    <t>09:54 DRV L Gulak (8506434) reported a passenger slip/fall around INR I/B no injuries reported CCTV report and SIBAS (TACT155684) requested -Passenge fall was on T108 driven by L Gulak. EV/2024/04269</t>
  </si>
  <si>
    <t>Closed with comments  - There is no CCTV for this investigation - there were no injuries reported at the time</t>
  </si>
  <si>
    <t>2409-31</t>
  </si>
  <si>
    <t>12:16 DRV T Rotchell (73323) on T124 reported that a passenger had slipped on the stairs whilst the tram was stationary at CIH O/B no injuries reported CCTV requested. EV/2024/04271</t>
  </si>
  <si>
    <t>Slipped on the stairs</t>
  </si>
  <si>
    <t>Passenger error</t>
  </si>
  <si>
    <t>2409-32</t>
  </si>
  <si>
    <t xml:space="preserve">15:15 Driver S Scanes (850 8846) on tram 105 reported running over a piece of wood that had been laid in the track between BIL- Fox Lane the wood is not stuck under the tram and is driving normally  CTTV requested and tacted next inboud tram advised </t>
  </si>
  <si>
    <t>Piece of wood placed across tracks</t>
  </si>
  <si>
    <t xml:space="preserve">Tram driver did bring tram to a stop </t>
  </si>
  <si>
    <t xml:space="preserve">Tram driver reported the near miss to OCC the next tram was warned </t>
  </si>
  <si>
    <t>17:10 Emergency call from driver W Hinchliffe (8506846) on tram 109 had and RTC with a car on Infirmary Road no inuries reported will update on damage and exchnage details - W Hinchcliffe (8506486) reports that the car cannot move out of the swept path due to the damage Driver J Richardson (74052)  on Tram 112 behind Tram 109 has been asked to take a look and offer a second opinin DM J Cawthorn attending. EV/2024/04272</t>
  </si>
  <si>
    <t>Driver unaware of swept path</t>
  </si>
  <si>
    <t>Drive rnot driving to conditions</t>
  </si>
  <si>
    <t xml:space="preserve">Driver stopped and called OCC driver exchnaged details with the car driver </t>
  </si>
  <si>
    <t>2409-34</t>
  </si>
  <si>
    <t>14:00  DRV P Rowbttom reports from T115 that she has had a passenger fall getting on to the tram CRP O/B and the passenger has been trapped in the doors - Correction CRP I/B passenger has no injuries CCTV and reports requested. EV/2024/04273</t>
  </si>
  <si>
    <t>Investigation was sent to DM 25/11/2024 - closed due to time elapsed</t>
  </si>
  <si>
    <t>2409-35</t>
  </si>
  <si>
    <t>15:55 DRV M Kelly reports from T201 she has the wrong code and has therefore had to hand operate PS09 points alarm infr aware Tact DV 155897. EV/2024/04274</t>
  </si>
  <si>
    <t>2409-36</t>
  </si>
  <si>
    <t xml:space="preserve">23:40 DRV J Birkitt reports from T112 West Street I/B  that she has spotted surfers on the rear of tram 118 O/B DRV C Cowley reported no surfers on tram when checked at UOS - SYP online completed and CCTV requested. EV/2024/04275 </t>
  </si>
  <si>
    <t>2409-37</t>
  </si>
  <si>
    <t>15:24 Driver D Barnes (716) on tram 117 reported stopping in between Fox Lane - BIL outbound to remove a piece of wood in the track, in doing so a female passenger fell on board  - no medical attention was required details taken CCTV report and SIBAS requested. EV/2024/04276</t>
  </si>
  <si>
    <t>Hazard brake applied due to obstacle (piece of wood) across both tracks</t>
  </si>
  <si>
    <t xml:space="preserve">The passenger fell due to the sudden braking of the tram </t>
  </si>
  <si>
    <t>2409-38</t>
  </si>
  <si>
    <t xml:space="preserve">08:48 Driver J Belgrave (443) on tram 124 reported having to use the track brake approaching Queens Tower junction inbound due to having a bar aspect - in doing so a female passenger fell, no medical attention was required detail were taken report CCTV and SIBAS requested - </t>
  </si>
  <si>
    <t>2409-39</t>
  </si>
  <si>
    <t>09:05 EP -DM reported thet trainee conductor S Shaju (1388)unjured her hand on T124 due to track brake application - report to be filled in. EV/2024/04277</t>
  </si>
  <si>
    <t>Passenger not holding on/off balance</t>
  </si>
  <si>
    <t>2409-40</t>
  </si>
  <si>
    <t>06:11  Tram 117 J Belgrave (443)  at MID reported smoke (no flame) in cab - tram sent into end  section and panned down - RSM informedand attended site 06:35 RSM report tram panned back up and waiting for smell to clear befire tram can leave MID  - 07:07 Tram 117 now departing MID OOS to depot TACT 155903</t>
  </si>
  <si>
    <t xml:space="preserve">25/11/2024 RSM Log Driver reported changing ends at MID and smoke filling the cab. Tram sent into end section and panned down. Met tram at Middlewood. Isolated cab 1 heater and brought tram back to depot. 
On return checked heater in cab 1 and heater working ok unable to get unit to fault. 
Investigated further checked wiring on unit and to the cab main heating contactor 61K11 on the roof but unable to find any short possibly shorting out the 100°C stat on the heater unit. Checked 100°C stat and after heating up stat is going open circuit as it should. Checked cab 1 main heating contactor 61K11 this in poor condition highly likely to of jammed/welded the contactor tips together for time of reported fault. 
Replaced the contactor for new, also fitted a new overhauled heater unit. Tested heater for cab 1 and operating as should. </t>
  </si>
  <si>
    <t>2409-41</t>
  </si>
  <si>
    <t>08:36 Tram 120 D Pilgrim (095) reported recptionist A Ashton fell on CRP I/B platform whilst the tram was stationary - no medical attention required DM A Barcaly informed and CCTV requested infrstructure to check the platform TACT 155907 - Infrastructure J Weaver checked CRP I/B paltform no trip hazards found   but a broken slab noticed whilst checking the platform. EV/2024/04278</t>
  </si>
  <si>
    <t>2409-43</t>
  </si>
  <si>
    <t>16:47 Driver reports brakes running on o T113 withdrawn straight away t be relplaced in service by T117 TACT 155932</t>
  </si>
  <si>
    <t>2409-45</t>
  </si>
  <si>
    <t>08:05 Driver A Hall (549) on Tram 102 reported braking issues on at GLT i/b RSM contacted and advised to withdraw ASAP service cancellation MTE- FIS</t>
  </si>
  <si>
    <t>2409-46</t>
  </si>
  <si>
    <t xml:space="preserve">10:20 Driver N Burton (391) on Tram 122 reported having a near miss with a van pulling out of a side road coming inbound on Middlewood Road and using the track brake  no injuries reported CCTV and report requested </t>
  </si>
  <si>
    <t xml:space="preserve">Email from DM states that There is no CCTV for this incident - no injuires reported - investigation has been closed due to these comments </t>
  </si>
  <si>
    <t>2409-47</t>
  </si>
  <si>
    <t>12:29 Emergency call from driver L Carse (8511211) on Tram 121 reported running into the back of a car approaching BMR outbound junction - will check for injuries and damage. EV/2024/04279</t>
  </si>
  <si>
    <t xml:space="preserve">Emergency call to OCC exchanged details with the car driver </t>
  </si>
  <si>
    <t>2409-48</t>
  </si>
  <si>
    <t>15:57 Pedestrian walking trackside MOW-CRP</t>
  </si>
  <si>
    <t>2409-49</t>
  </si>
  <si>
    <t xml:space="preserve">08:27 NR York Rock reported to OCC that 2A13 tram J Mtichell (75341) was offered the wrong route signal at W201 TRC reported route was set to go towards Tinsley instead of the Chord TRC informed OCC no wrong routing and no fault of the driver - OCC spoke to the driver who reportedly stopped on the red at W201 the signal changed to yellow but with no route detection signaller contacted driver and changed route to correct route DM J Gilbert informed </t>
  </si>
  <si>
    <t>2409-50</t>
  </si>
  <si>
    <t>12:01 Tram 117 D Luker (8506979) reported smoke coming from bogey, driver inspected with no flames seen driver D Long (063) reported strong smell of burning brakepad RSM informed tram detrained and brought out of service cancellation NER-WOR TACT 156034</t>
  </si>
  <si>
    <t>2409-52</t>
  </si>
  <si>
    <t>13:37 DVR A Hall reports a pedestrian between CAR and TIN following trams advised  - D pilgrim repots from tram 118 that there is no longer any pedestrians between CAR and TIN</t>
  </si>
  <si>
    <t>2409-53</t>
  </si>
  <si>
    <t>16:39 Trams 116 E Wilkinson (8502862) reported passenger fall on platform at BDH I/B no injuries reported infrastrucure informed and to attend 16:59 Infrastructure chekced area and nothing seen. EV/2024/04306</t>
  </si>
  <si>
    <t>2409-54</t>
  </si>
  <si>
    <t>Tram 118 J Lawrie (541) reported 3 x youths walking trackside between Delta HYP on the viaduct Seen on CCTV to walk clear at HYP 17:28</t>
  </si>
  <si>
    <t>2409-55</t>
  </si>
  <si>
    <t>17:47 System cleaner reported at MOW O/B the notice case panel has been vandalised with the front cover removed and taken away reported to SYP via online  reciept code DP-317-24-1414-IR01 M Blackwell inforemd via email TACT 156099. EV/2024/04307</t>
  </si>
  <si>
    <t>2409-56</t>
  </si>
  <si>
    <t>18:11 Trams reporting VAC O/B shelter panel smashed no trams in area townhall CCTV camera 68 looking at tram stop CCTV informed system cleaner informed and to sweep glass Sheffield Interchange informed SYP informed via online portal with reciept code DP-318-24-1414-IR01. EV/2024/04308</t>
  </si>
  <si>
    <t>2409-57</t>
  </si>
  <si>
    <t xml:space="preserve">19:37 Tram 102 S Parker (134) reported traffic gridlocked at GRR O/B townhall CCTV reported an non tram RTC with SYP in attendance and the road closed at the roundabout SYP contacted and try send resources to clear cars from the tram tracks to allow movements - tram moving 19:56  with tram 102 reporting SYP directing road traffic </t>
  </si>
  <si>
    <t>2409-58</t>
  </si>
  <si>
    <t>Tram 112 S Parker (134) reported running over a traffic cone between SPL - ARR I/B unable to release the cone tram 122 being held behind - Tram completed a short WDM but traffic cone still unalbe to be released  RSM to site 21:25 tram now moving after RSM attended tram  CCTV report and SIBAS requested DM A Roberts informed TACT 156104</t>
  </si>
  <si>
    <t>13/12/2024</t>
  </si>
  <si>
    <t>Cone in the 4ft</t>
  </si>
  <si>
    <t>2409-59</t>
  </si>
  <si>
    <t>Tram 118 S Morgan Walters (8505792) reported near miss with a cyclist between INR-SHA I/B CCTV reports and SIBAS requested DM A Roberts informed TACT :156106</t>
  </si>
  <si>
    <t>2409-60</t>
  </si>
  <si>
    <t>23:58 Drv T109 C Alexander- Morrison (41395) called OCC to report that she had wrong routed at GLT  and was heading to HEP instead of HAL when asked what the points indicator was showing she stated that she hadnt noticed T01 were in an alarmed state but had cleared as T01 approached On call informed. EV/2024/04311</t>
  </si>
  <si>
    <t>Investigation was sent to DM 02/12/2024 - closed due to time elapsed</t>
  </si>
  <si>
    <t>2409-61</t>
  </si>
  <si>
    <t xml:space="preserve">20:50 Drv reported 2 person trackside delta to Hyde Park next driver reported all clear </t>
  </si>
  <si>
    <t>2409-62</t>
  </si>
  <si>
    <t>Tram 113 J Brikitt (254) reported a member of the public had told the conductor that last tram I/B at BDH was parking and had flames and smoke driver of 116 E Wilkinson (8502862) was asked to check at PAG I/B and reported no signs of any flmaes or smoke information passed to RSM  TACT 156133</t>
  </si>
  <si>
    <t>2409-63</t>
  </si>
  <si>
    <t xml:space="preserve">12:46 DRV M MCabe reports from T113 of pedestrians on the Norfolk Park Viaduct following trams advised 13:03 The Norfolk Park viaduct is now clear of pedestrians reported from T113 O/B purple tram </t>
  </si>
  <si>
    <t>2409-64</t>
  </si>
  <si>
    <t>T121 DRV C Matthews reports a car has jumped the lights outside the red lion white lane and he has had to apply the track brake resulting in a passenger falling from their wheelchair no injuries reported CCTV requetsed. EV/2024/04375</t>
  </si>
  <si>
    <t>2409-65</t>
  </si>
  <si>
    <t xml:space="preserve">19:50 DRV Glilley (625) T117 reported having to move a large sheet of plastic that had been placed on the segregated tracks between BIL&amp; WHL drivers on the blue route advised to be cautious in the area </t>
  </si>
  <si>
    <t>2409-66</t>
  </si>
  <si>
    <t>17:18 DVR R Hollingworth reports from tram 113 of a pedestrian on the parkway viaduct following trams advised walking HYP to Delta</t>
  </si>
  <si>
    <t>2409-67</t>
  </si>
  <si>
    <t>Track 7</t>
  </si>
  <si>
    <t>Incident occurred on the apron depot east track 7, the forklift was not carrying a load and one wheel slipped into where the points spilt and the forklift becamse stuck at a precarious angle,  RSM (PG) reported this to OCC but it was not completed on the OCC log they rescued the forklift using jacks and returned to BAU  it was entered on the RSM Supervisors log also - The task was to recover an old compressor motor from the sand plant area - the operator of the forklift (JK) was not comfortable with this operation but felt under pressure due to resource availabilty in the week with facilities -the instruction came from facilities via our resident handy person (TC) neither parties knew they required permisission from OCC to driver on stablings apron  areas - the points were checked once the forklift was recovered by infrastructure. EV/2024/04376</t>
  </si>
  <si>
    <t xml:space="preserve">Investigation was sent to GS 05/12/2024 - Closed due to time elapsed </t>
  </si>
  <si>
    <t>2409-68</t>
  </si>
  <si>
    <t>22:21 Pedestrian reported on Park Square viaduct</t>
  </si>
  <si>
    <t>2409-69</t>
  </si>
  <si>
    <t>17:50 DRV S Reith (439)  on T207 reported a passenger fall as he left CAS O/B no injuries reported or details exchanged and passenger alighted at CAT CCTV report and TELOC  (TACT 156273) requested. EV/2024/04377</t>
  </si>
  <si>
    <t>Passenger moving in saloon to alight</t>
  </si>
  <si>
    <t>Reason for fall  not known</t>
  </si>
  <si>
    <t xml:space="preserve">The driver reported the incident to OCC the passenger did not report any injuries or leave any details </t>
  </si>
  <si>
    <t>2409-70</t>
  </si>
  <si>
    <t>17:50 Driver A Ashton (62828) reported wash plant doors (facing west) blown off due to high winds Door moved into the sheds infrastructure informed and to attend TACT:156298</t>
  </si>
  <si>
    <t>2410-01</t>
  </si>
  <si>
    <t xml:space="preserve">00:00:00 DRV K Tingle reported a large fie in an empty building on City Road I/B OCC conact Fire and Rescue via 99 they are sedning vehicles to site </t>
  </si>
  <si>
    <t>2410-02</t>
  </si>
  <si>
    <t>07:05 DVR D Long reports from tram 105 that due to a bus pulling out in front of the tram he had to brake sharply which resulted in CON R Kirk falling over - report and CCTV requested and R Kirk to be take off using spare conductor. EV/2024/04684</t>
  </si>
  <si>
    <t>Tram driver using the hazard brake</t>
  </si>
  <si>
    <t xml:space="preserve">Bus leaving the bay </t>
  </si>
  <si>
    <t>The driver informe OCC</t>
  </si>
  <si>
    <t>2410-03</t>
  </si>
  <si>
    <t>DRV D Barnes from tram 123 AT cih i/b of three youths who attempted to surf on the tram they got off before the tram moved CCTV requested. EV/2024/04685</t>
  </si>
  <si>
    <t>2410-04</t>
  </si>
  <si>
    <t>19:58 Conductor J Rosevear (8512745) reported to OCC a doortrap at CAS I/B (tram 120 returning to the depot) a passenger had boarded the tram at CAS I/B to ask the conductor a question the driver P Marsden (41867) activated the emergency door pull this did not work the passenger with help from the conductor pulled his foot clear, the door was isolated = all inofrmation given to RSM for door check investigation  XV Plus 156368 CCTV and door report requested - DM A Roberts informed. EV/2024/04686</t>
  </si>
  <si>
    <t xml:space="preserve">The doors were closed as the passenger was stood in the doorway </t>
  </si>
  <si>
    <t xml:space="preserve">The passenger stood in the doorway as the doors closed - the passenger foot got trapped in the bottom of the door where there are no sensitive edges </t>
  </si>
  <si>
    <t>2410-05</t>
  </si>
  <si>
    <t xml:space="preserve">22:50 Tram 203 Drv C Matthews (85223) reported a pedestrian with a dog walking trackside bewteen CIR-NUS O/B sen on CCTV by OCCto walk clear of the tracks </t>
  </si>
  <si>
    <t>23:59 Tram 203 DRV C Matthews (85223) reported in person to OCC a door trap at CAS I/B no injuries reported driver reenabled the doors - passenger threatened to report and took photo of the driver -male pedestrian involved reported to be the same indivudual from OCC LOG 19-11-2024 inc no 152397 CCTV and reports requested DM N Wybrant informed. EV/2024/04687</t>
  </si>
  <si>
    <t xml:space="preserve">Passenger rushing for the closing door </t>
  </si>
  <si>
    <t xml:space="preserve">Rushing to enter the tram as the doors were already cloosing </t>
  </si>
  <si>
    <t>2410-07</t>
  </si>
  <si>
    <t>Rudyard Road</t>
  </si>
  <si>
    <t>10:37 Drv R Hague (86735) reports a minor RTC with a car at Rudyard Road I/B the driver refused to swap details report and CCTV requested DM R Wild informed. EV/2024/04688</t>
  </si>
  <si>
    <t>Tram driver not using hazard</t>
  </si>
  <si>
    <t>Car driver leaving the junction and not stopping</t>
  </si>
  <si>
    <t xml:space="preserve">The driver informed OCC via radio call an emergency </t>
  </si>
  <si>
    <t>2410-08</t>
  </si>
  <si>
    <t xml:space="preserve">18:44 Drv of T110 Jbelgrave (443) reported a pedestrian walking Hyp to Delta following driver informed </t>
  </si>
  <si>
    <t>2410-09</t>
  </si>
  <si>
    <t>MS02S</t>
  </si>
  <si>
    <t xml:space="preserve">11:23 DRV M Mcabe T123 passed MS02S at a bar stopped and called before reaching points R02 the chord was in failure state at the time </t>
  </si>
  <si>
    <t>Signal MS02S was showing a bar due to the signalling being in a failed state</t>
  </si>
  <si>
    <t>Tram driver did not see bar aspect in time to stop short</t>
  </si>
  <si>
    <t>Process to be developed around a signal sighting committee review of each signal following a SPAS event - Copy of investigation sent to JK 10/10/2025 with rec assigned to JK</t>
  </si>
  <si>
    <t>2410-10</t>
  </si>
  <si>
    <t>16:19 DRV A Ashton (62828) on T111 reports a minor RTC on City Road I/B no injuries driver exchanging details. EV/2024/04689</t>
  </si>
  <si>
    <t>Closed due to the investigation being sent to DM who was on  long term sickness - investigation belonged to another DM - Time elasped until notified of the error</t>
  </si>
  <si>
    <t>2410-11</t>
  </si>
  <si>
    <t>09:38 Drv of T102 J Belgrave (443)  reported that a female had fallen in the tracks at MAB whilst running for the tram Infra informed to check for tripping hazards and CCTV requested - J Weaver has checked at MAB for any tripping hazards and nothing found he has also spoken to the lady that fell and she informed him tha she had just slipped  -injuries reported are a chipped tooth and possible broken wrist</t>
  </si>
  <si>
    <t>2410-12</t>
  </si>
  <si>
    <t>09:51 Driver J Belgrave (443)  tram 118 at BAS I/B reports a passenger fall onboard  as the tram departed HIL I/B No injuries reported no details obtained CCTV and report requested DM J Gilbert informed SIBAS requested XV Plus 156482. EV/2024/04690</t>
  </si>
  <si>
    <t>Passenger fell to floor while standing in saloon</t>
  </si>
  <si>
    <t>2410-13</t>
  </si>
  <si>
    <t>12:47 Driver R Hague (86735) tram 113 reports a near miss with a pedestrian at Meadow Street O/B driver requests to be taken off at Cathedral from Malin Bridge RDM J Gilbert notified and CCTV requested. EV/2024/04691</t>
  </si>
  <si>
    <t>Pedestrian walking in front of the tram</t>
  </si>
  <si>
    <t>Pedestrian not stopping ad looking before walking across the walkway</t>
  </si>
  <si>
    <t>2410-14</t>
  </si>
  <si>
    <t xml:space="preserve">18:10 Sara Morgan Walters on T207 reported a near miss at St Aidens Road O/B driver had to brake no injuries were reported Teloc and CCTV requested </t>
  </si>
  <si>
    <t>2410-15</t>
  </si>
  <si>
    <t>10:30 Asked by driver trainer K Brown to log that on T116 @07:07 this morning driver C Alexander- Morrison entered the wrong VIS code to exit depot west to middlewood OCC was contacted by the driver and was sent up the west headshunt and brought back on depot to reapproach. EV/2024/04726</t>
  </si>
  <si>
    <t>2410-16</t>
  </si>
  <si>
    <t xml:space="preserve">12:54 T104 driver W Hinchcliffe reported a pedestrian walking trackside BIL to Fox Lane driver in area informed </t>
  </si>
  <si>
    <t>2410-17</t>
  </si>
  <si>
    <t>Tram 102 S Scanes (8508846) reported a car had potentially hit BAS I/B platform Infrastructure informed and attended site 16:58 and reported no damage seen TACT 156605</t>
  </si>
  <si>
    <t>2410-18</t>
  </si>
  <si>
    <t>Tram 111 R Hollingworth (8507246) reported youths throwing ballast between CRP-BDH O/B no damage - 17:49 Tram 125 M Robinson (1394) reported youths In same location throwing ballast reported cab quarter glass window cracked - SYP informed via 999 and sending officers to site 17:55 Tram 123 D Luker (8506979) reported youths throwing at tram but no damage TRAM 125 also reported being hit on I/B journey but with no further damage 18:07 SYP informed OCC they had attended site and chased youths off SYP to request CCTV for Tram 125 CCTV requested for trams 111 and 125 INCIDENT NO 777/20-12-24 tact 156607. EV/2024/04728</t>
  </si>
  <si>
    <t>2410-19</t>
  </si>
  <si>
    <t>18:28 Tram 115 (254) reported from HAL door 3 glass smashed potentially around BDH O/B by youths door isolated TACT 15609 18:30 Tram 104 J Peckett (8500446) reported youths throwing ballast at tram resulting in chip marks to one on the trams windows TACT 156610 SYP  contacted via 999 incidents being attached to previous incident number (777/20-12-2024) due to descriptions of youths matching SYP officers still in area CCTV request for trams. EV/2024/04730</t>
  </si>
  <si>
    <t>2410-20</t>
  </si>
  <si>
    <t>Tram 119 T Miles reported an object thrown at tram ARR/PAG I/B no damage reported - reported to SYP VIA online portal incident number SYP 2024122024 - 0961 CCTV requested. EV/2024/04731</t>
  </si>
  <si>
    <t>2410-21</t>
  </si>
  <si>
    <t>22:02 DVR R Singer reports from T203 at CAT I/B that he has a group of youths on board fighting police called and have attended 1 person reported injured incident no 1060 CCTV requested police released tram to continue at 22:13 NR informed of delay and happy for it to run.</t>
  </si>
  <si>
    <t>2410-22</t>
  </si>
  <si>
    <t>18:12 Tram 108 J Birkett (254) reported object thrown at tram (no damage) between ARR-PAG I/B CCTV requested and SYP informed via online portal. EV/2024/04733</t>
  </si>
  <si>
    <t>21:02 Conductor K Rathod (1385)  reported to OCC passenger fall at WES I/B on tram 104 reported female had banged head but did not require any medical assistance conductor had not reported to driver T Baldwin (8501802) until NUS O/B who informed conductor to report to OCC CCTV and reports requested DM A Roberst informed. EV/2024/04734</t>
  </si>
  <si>
    <t xml:space="preserve">Passenger unsteady on her feet </t>
  </si>
  <si>
    <t>Possibly suffering from the effects of alcohol</t>
  </si>
  <si>
    <t xml:space="preserve">A call was made to OCC and an initial report was completed an injury was reported but no medical assitance needed </t>
  </si>
  <si>
    <t>2410-24</t>
  </si>
  <si>
    <t>08:19 Drv T120 D Long reported 1 small pane of shelter glass broken HOL O/B reported to Sheffield Interchange. EV/2024/04735</t>
  </si>
  <si>
    <t>2410-25</t>
  </si>
  <si>
    <t>13:32 T116 S Cameron (1365) reported child fell over on tram between FIS-CAS O/B parent and child left tram without giving any details DM N Wybrant informed CCTV reports and SIBAS requested TACT 1566649. EV/2024/04736</t>
  </si>
  <si>
    <t>23/12/2024 - Email from Rbridges child was standing in the first articulation on the top step and fell as the tram stopped - she was picked up by her parents and they left the tram.</t>
  </si>
  <si>
    <t>2410-26</t>
  </si>
  <si>
    <t xml:space="preserve">14:42 Tram 115 R Bayliss (87) reported ca blocking tracks blocking  tracks HIP I/B quick mission contacted and to attend Car clear at 14:58 Quick Mission cancelled </t>
  </si>
  <si>
    <t>2410-27</t>
  </si>
  <si>
    <t>18:03  Tram 117 R Hague (86735) ARR O/B reported distressed male threatening to self harm male left tram at MTE O/B conductor L Allen (8506728) reported male had been having an argment with another passenger who had boarded the tram with him - Repoted male intimdating towards conductor and other passengers and smashing glass bottle OCC informed SYP incident 648/22/12/2024 CCTV and reports requested M A Roberts informed - SYP contacted OCC regarding incident 648-22/12/2024  wishing to speak to conductor L Allen (8506728) DM A Roberts spoke to L Allen and conductor happy for details to be passed on SYP to contact conductor tonight</t>
  </si>
  <si>
    <t>2410-28</t>
  </si>
  <si>
    <t>On 18/12/2024], I observed a potentially hazardous situation involving live overhead lines and contractors working on a ladder at the depot shed main doors on Track 10.Upon arrival at the scene, I noticed one individual footing the ladder while another was ascending it. I looked up and saw that the overhead line was still live. Concerned for their safety, I immediately instructed the individual on the ladder to come down. Once the individual descended, Mark Blackwell informed me that he and Tom Harrison were in the process of isolating the overhead line. They then proceeded to turn off the power on Track 10.After ensuring the power was off, I returned to the shed and observed the contractor on top of a ladder on the other side of Track 10, next to Track 9.</t>
  </si>
  <si>
    <t>Investigation was completed by MB - AB review comments were sent back to MB - investigation incomplete</t>
  </si>
  <si>
    <t>10:28 J Miekle on T102 reported from conductor Z Brodie that a passenger onboard has been using racist and abusive language onboard the tram between CRP-GLT I/B CCTV and report requested. EV/2024/04737</t>
  </si>
  <si>
    <t>01/01/20225</t>
  </si>
  <si>
    <t xml:space="preserve">Passenger shouting obscenities and threatening to bomb the tram </t>
  </si>
  <si>
    <t xml:space="preserve">Inconclusive - malicious behavoiur by passenger/possibly intoxicated </t>
  </si>
  <si>
    <t xml:space="preserve">Incident was reported to the driver who reported the incident o OCC </t>
  </si>
  <si>
    <t>2410-30</t>
  </si>
  <si>
    <t xml:space="preserve">19:05 Tram 205 T Rotchell (73323) reported pedestrian walking on the Hyde Park Viaduct Trams informed via ASC 19:10 seen to walk clear of the tracks on CCTV </t>
  </si>
  <si>
    <t xml:space="preserve">11:00 L Bennett 8502599 reported that at approx 09:20 she had fallen over at Arena when setting the crossover points report and CCTV requested </t>
  </si>
  <si>
    <t xml:space="preserve">Wet Sleeper </t>
  </si>
  <si>
    <t xml:space="preserve">Driver rushing </t>
  </si>
  <si>
    <t xml:space="preserve">Driver notified OCC </t>
  </si>
  <si>
    <t>2410-32</t>
  </si>
  <si>
    <t>15:57 Driver E Wilkinson (8502862) on T106 reports a passenger fall on board tram between LEL-HIP passenger did not want to leave details left tram at the next stop CCTV and SIBAS requested. EV/2024/04739</t>
  </si>
  <si>
    <t>Passenger fell t the floor while standing in the saloon</t>
  </si>
  <si>
    <t>2410-33</t>
  </si>
  <si>
    <t>17:23 Driver reports to OCC a smashed glass panel at ARS I/B incident not seen and Townhall CCTV camera not pointing right wa but pieces of ballast on floor around so assumed vandalism reported to SYP via online portal Sheffield Interchange informed unable to conatct system cleaners to ask them to tidy up. EV/2024/04740</t>
  </si>
  <si>
    <t>2410-34</t>
  </si>
  <si>
    <t>19:35 Driver J Peckett (8500446) on T115 reports a near miss with a car on approach to SHA I/B trackbrake applied no injuries CCTV and SIBAS requested.EV/2024/04741</t>
  </si>
  <si>
    <t xml:space="preserve">The van continued into the swept path of the oncoming tram </t>
  </si>
  <si>
    <t xml:space="preserve">The van did not stop at the give way line </t>
  </si>
  <si>
    <t>2410-35</t>
  </si>
  <si>
    <t xml:space="preserve">08:35 Drv D Bridges on Tram at WOR reports Con R Chapman has collapsed on the tram A passenger called an ambulance after a few minutes Richeard decided to make his way to depot on an inbound tram he was met by spare J Travis who stayed with him until DMS ABarclcay and J Gilbert arrived at depot unable to continue </t>
  </si>
  <si>
    <t>2410-36</t>
  </si>
  <si>
    <t>Wood Street</t>
  </si>
  <si>
    <t>17:35 Drv S Scanes 8508846 on T102 reported near miss at Wood Street I/B car came through red light track brake used and no unuires reported on tram CCTV and SIBAS requested TACT :156749. EV/2024/04742</t>
  </si>
  <si>
    <t>2410-37</t>
  </si>
  <si>
    <t>21:15 pedestrians walking trackside between ATT-ARS</t>
  </si>
  <si>
    <t>2410-38</t>
  </si>
  <si>
    <t>S Gregory reported that when walking out of reception she had pushed the door to go outside but it came flying back and hit her arm with the impact knocking the tram keys and phone out of her hand  - driver noted that when she looked back at the door something had been bolted to the floor to stop the door all the way - when driver arrived at Middlewood noted tha her arm had swollen up and was bruised. EV/2025/00001</t>
  </si>
  <si>
    <t xml:space="preserve">Email from DM to HI 
I'm just wondering where to go with this. Sarah Gregory has just left the business; I spoke to her before she left and to summarise.  She opened the door to get out of reception, and the new (ish) rubber stopper, which she says she didn't know about stopped the door and it bounced back. See report for the minor injury description. </t>
  </si>
  <si>
    <t>2410-39</t>
  </si>
  <si>
    <t xml:space="preserve">10:05 J Barnes reporting finding a side panel of glass smashed ar ARS I/B no one in the area the glass has been swept up into a pile and left behind a barrier - Sheffield interchange informed </t>
  </si>
  <si>
    <t>2410-40</t>
  </si>
  <si>
    <t>16:35 Drv Wilks on tram 120 reports passenger fall at BMR O/B no injuries person left without leaving details CCTV Sibas 156807  DM J Gilbert aware.EV/2025/00002</t>
  </si>
  <si>
    <t>2410-41</t>
  </si>
  <si>
    <t>17:04 T122 DVR reports that football  fans are pulling the emergency door pull to exit the tram while the tram is waiting at St James Row to go into the Cathedral, CCTV Req. EV/2025/00003</t>
  </si>
  <si>
    <t>2410-42</t>
  </si>
  <si>
    <t>17:37 T203 Drv reports that conductor S Shortt (88415) has slipped and banged his knee - he is able to continue currently  CCTV sibas and reports requested. EV/2025/00004</t>
  </si>
  <si>
    <t>Conductor slipping on wet floor</t>
  </si>
  <si>
    <t xml:space="preserve">Wet weather conditions </t>
  </si>
  <si>
    <t>Incident was reported to OCC - conductor welfare attended to - Investigation needs to be signed off was part of back log</t>
  </si>
  <si>
    <t>2410-43</t>
  </si>
  <si>
    <t>18:20 Drv D Johnson reports pane of glass smashed at Arena inbound inbound interchnge informed crimed attempted to inform cleaners but phone constantly shows as busy</t>
  </si>
  <si>
    <t>19:30 Drv L Gulak on T108 reports con K Skrodzki has been assaulted between Sha and Uos i/b CCTV reports DM A Roberts aware. EV/2025/00049</t>
  </si>
  <si>
    <t>Passenger allegedly missing mobility pass</t>
  </si>
  <si>
    <t xml:space="preserve">Conductor asked passenger to leave the tram </t>
  </si>
  <si>
    <t>The driver reported the incident to OCC the conductor completed a SAFE report - investigation needs to be signed off was part of back log</t>
  </si>
  <si>
    <t>13:00 From dm RWild DRV A Watson reported that at 11:11 on T110 there was door trap at CAT O/B no injuries reported CCTV and report requested. EV/2025/00050</t>
  </si>
  <si>
    <t xml:space="preserve">Doors closing while person was still in doorway </t>
  </si>
  <si>
    <t xml:space="preserve">Person blocked while boarding </t>
  </si>
  <si>
    <t>The driver reported the matter to a duty manager who then Informed OCC (the driver was aware the incident happened but felt it was less convoluted to explain face to face than over the rasio as at that point he believed the persons actions were deliberate) investigation needs to be signed off was part of back log</t>
  </si>
  <si>
    <t>2410-46</t>
  </si>
  <si>
    <t>14:21 Tram 119 D Allott (323) reported 2 men trackside between VAC-CAR near the rear of the sub station observed on CCTV to walk clear and go in compund behind CAR O/B no alarms on SCADA infrastructure informed and to check townhall CCTV informed - Infrastructure attended CAR and spoke to two males in compound Males reported that they owned the land where they had been looking  and were looking to put up some fencing to stop tresspassers on their property Infrastrcutre giving the men the number for third party works and reminded that they are not permitted to walk trackside</t>
  </si>
  <si>
    <t>2410-47</t>
  </si>
  <si>
    <t>18:00 Tram 113 D Barnes (716) at WES O/B reported passenger fall leaving CIH O/B requiring an ambulance Driver reported although the passenger met non of the requirements on the crib card the tram could not be moved ETA for ambulance 1 hour DM D Tingle informed and heading to site On call A Rathborne informed First bus accepting tickets and X updated 18:28 DM D TIngle on site tram now available to move to SHA O.O.S then back to depot On Call buses and X updated , YAS updated first ambulance cancelled and second ambulance requested ETA 1 hour 18:49 tram 113 on Depot (outside 10E) on call informed 19:14 ambulance now on depot CCTV report and SIBAS requested TACT:156919 19:32 Ambulance now leaving depot . EV/2025/00051</t>
  </si>
  <si>
    <t xml:space="preserve">The passenger loses her balance as she is getting seated </t>
  </si>
  <si>
    <t xml:space="preserve">D23 Points </t>
  </si>
  <si>
    <t xml:space="preserve">09:05 Emergency call from DRV M Mcabe on T123 to advise that he has derailed on the depot over points D23 RSM and DM J Cawthorn advised </t>
  </si>
  <si>
    <t xml:space="preserve">Tram 123 derailed on points D23 due to them not being fully across </t>
  </si>
  <si>
    <t xml:space="preserve">Points D23 were not fuly across due to compacted snow beyween this points blades this caused a slow speed climb out of the leading bogie </t>
  </si>
  <si>
    <t>09:10 T102 J Meikle reports conductor Z Brodie fallen on tram and hurt shoulder no medical assistance required CCTV and sibas requested</t>
  </si>
  <si>
    <t>Wet floor/no tread on conductors footwear/ tram track braking</t>
  </si>
  <si>
    <t>2411-03</t>
  </si>
  <si>
    <t>Birley lane</t>
  </si>
  <si>
    <t xml:space="preserve">00:50 Alarn on SCADA and breakers 33DCF-GB M Timperley contacted and said that it was something that happened due to him working on the islolation confirmed the breakers could be closed then reclosed via SCADA with no issues </t>
  </si>
  <si>
    <t>2411-05</t>
  </si>
  <si>
    <t>16:17 OCC contacted by a member of the public to advise that they have driven onto the tracks at PGC I/B and are unable to move trams in the area advised to approach with caution quickmission called and will attend 16:32 DRV S Cuckson on T121 reports that the car is now clear and services are able to continue /quickmission advised and call out cancel</t>
  </si>
  <si>
    <t>2411-06</t>
  </si>
  <si>
    <t>16:53 DRV S Scanes on T124 reports a further car on the ttracks at PGC I/B FEM advised and will attend to check situation 17:14 DRV S Spillman informs OCC that the car has been removed and he can continue blue/purple route sunject to heavy delays as a s result of 2 cars stuck in quick succession quickmission cancelled.</t>
  </si>
  <si>
    <t>09:43 DRV J Peckett on tram 120 reports minor RTC at Sainsburys near Gleadless CCTV DM D Willey aware. EV/2025/00103</t>
  </si>
  <si>
    <t>Driver misjudges swept path</t>
  </si>
  <si>
    <t>Tram was stopped and OCC contacted an atttempt was made to swap details but was unsuccessful</t>
  </si>
  <si>
    <t>2411-08</t>
  </si>
  <si>
    <t xml:space="preserve">09:43 Driver of T205 reports smashed shelter panel at VAC O/ reported to SYP online and Sheffield Interchange informed townhall CCTV pointing wrong direction </t>
  </si>
  <si>
    <t>2411-09</t>
  </si>
  <si>
    <t>G Lilley (625) T115 reported a member of the public sat on the concrete overhead pole support between the tracks on the delta trams in area advised. - D Pilgrim T112 member of the public now clear.</t>
  </si>
  <si>
    <t>2411-10</t>
  </si>
  <si>
    <t xml:space="preserve">17:20 T203 reported a pedestrian walking trackside from CIR towards NUS trams in area advised 17:50 Tram 123 reported pedestrian now clear </t>
  </si>
  <si>
    <t>2411-11</t>
  </si>
  <si>
    <t>18:23  DRV K Donnelly (78670) reported youths throwing ice at the tram as it crossed the bowstring  bridge towards FIS drivers in thearea informed CCTV requested and reported online to SYP. EV/2025/00156</t>
  </si>
  <si>
    <t>2411-12</t>
  </si>
  <si>
    <t>18:25 drv s Parker (134) T124 reported  the youths are now dropping ice off the the bowstring bridge onto the road below town hall informed and they will pas on to SYP</t>
  </si>
  <si>
    <t>2411-13</t>
  </si>
  <si>
    <t>19:15 DRV S Gregory (70450) T107 at MEI reported having a vulnerable young male possible under the influence of drink or drugs on the tram DM E Cooper asked to meet the tram at cas driver reported he had also taken some medication from his pocket</t>
  </si>
  <si>
    <t>2411-14</t>
  </si>
  <si>
    <t xml:space="preserve">19:30 -T203 reported 3 youths walking up the parkway viaduct and throwing ice at the tram - trams in area informed </t>
  </si>
  <si>
    <t>19:17 DRV N Khan (913) T104 reported a possible track void as the tram departs NER I/B INF informed and will attend TACT 157085 - 19:53 railbreak at Netherthorpe Road is serious and have requested that tram stop running bewteen Cathedral and Shalesmoor - 23:24  From  J Kolchuk the railbreak has been now been rectified and normal service can resume without restrictions. EV/2025/00157</t>
  </si>
  <si>
    <t>Corrosion of the rail web and fot</t>
  </si>
  <si>
    <t xml:space="preserve">Age of the rail corrosion aided by contamination (sand/salt) and feezzing tempretures for a substantial period would have been the final element required to result in a break </t>
  </si>
  <si>
    <t xml:space="preserve">Service was immediately suspended when the break was identified bu infrastructure staff - a 3m closure rail with 10mm lift plates was installed withi hours of the break being discovered then then allowed trams to return to depot at the end of service and service to resume as normal the following day - daily track patrols were undertaken throughout this section whilst the cold weather persitied then eased to twice weekly - SYMC were updated the next day on the seriousness of the rail break and asked to escalate the proposed rail replacement for this area to Netherthorpe Road - Subsequent inspectiins and meetings havenow taken place and Mott Macdonald are now drawig a scope of works for Volker Rail to carry out the said replacement (rail only) - investigation needs to be signed off </t>
  </si>
  <si>
    <t>2411-16</t>
  </si>
  <si>
    <t>10:10 FEM report a railbreaks at ARR 3133 I/B TACT 157114, SHA 2137 I/B TACT 157115 both are clear to run with no restrictions. EV/2025/00158</t>
  </si>
  <si>
    <t>2411-17</t>
  </si>
  <si>
    <t>10:10 FEM report a railbreaks at ARR 3133 I/B TACT 157114, SHA 2137 I/B TACT 157115 both are clear to run with no restrictions</t>
  </si>
  <si>
    <t>2411-18</t>
  </si>
  <si>
    <t>12:56 Rail break WES 2082 i/b TACT 157129 - Due to a track fault on West Street services cancelled Cat-Mab-Mid serivce disruption sent oncall G Seaborn arranged for tweets and Pids first bus accepting tickets service being reformed to fit current levels. EV/2025/00159</t>
  </si>
  <si>
    <t>2411-19</t>
  </si>
  <si>
    <t>12:18 DRV S Cuckson (090) on tram 106 reported possible object in the track/rail head prior to Park Grange tram stop O/B oncall Cbottoms contacted to attend for checks XV Plus 157299 - 12:55 Cbottoms has inspected the track at Park Grange O/B he has found a double rail break on the near side rail at pole no PAG 3101 - no tram sto run through O/B CBottoms to inofrm JKolchuk - oncall G Seaborn informed - Twitter updated - service disruption email sent - First contacted for ticket acceptance - Purple route suspended - Blue route suspended - CAT -GLT -4x trams currently running HAL -GLT. EV/2025/00160</t>
  </si>
  <si>
    <t>2411-20</t>
  </si>
  <si>
    <t xml:space="preserve">13:46 Driver N Dewire (54567) tram 205 reports 1x glass panel smashed by person unknown cleaners to sweep glass up PTE informed SYP informe via online portal </t>
  </si>
  <si>
    <t>2411-21</t>
  </si>
  <si>
    <t>17:38 K Tingle (600) reports from T108 that a passenger has been trapped in the doors at ATT inbound CCTVand  reports req DM Abarclay aware. EV/2025/00161</t>
  </si>
  <si>
    <t xml:space="preserve">The passenger exits through closing doors </t>
  </si>
  <si>
    <t xml:space="preserve">The driver does not see the passenger trying exit </t>
  </si>
  <si>
    <t>The driver re-enabled the doors once he realised the trrap has happened then he reported to OCC - CCTV was downladed and reviewed - investigation needs to be signed off was part of backlog</t>
  </si>
  <si>
    <t>2411-22</t>
  </si>
  <si>
    <t>13:05 C Bottoms reported to OCC a single rail break in the cess rail at pole PAG3117 I/B to advise J Kolchuk - N Barraclough oncall informed. EV/2025/00163</t>
  </si>
  <si>
    <t>2411-23</t>
  </si>
  <si>
    <t>18:05 Emergency call from tram 115 driver D Wilks (651) RTC with a car at Blackburn Meadows I/B no reported injuries no emergency services required - DM A Barclay and RSM to site on call N Barraclough informed service disruptiom email sent yellow services to turn at the Arena - DM A Barclay - RSM have checked the tram front bumper damage tram moving to the depot with replecement tram driver  - tram detrained at Tinsley and confirmed no injuries reported  CCTV and report requested XV Plus 157257 oncall N Barraclough updated service disruption email sent . EV/2025/00164</t>
  </si>
  <si>
    <t>Car driver jumping red light</t>
  </si>
  <si>
    <t xml:space="preserve">Car driver jumping red light </t>
  </si>
  <si>
    <t>Driver stops the tram and contacts OCC via an emergency call then swaps details with the meceredes driver - investigation needs to be signed off was part of back log</t>
  </si>
  <si>
    <t>2411-24</t>
  </si>
  <si>
    <t>23:25 Driver A Ashton (62828) reported on Depot near the fan a man hole cover had come off infrastructure informed and attended 23:32 Man hole cover out back on however unable to fully cover due to cabling coming out of the cover TACT 157268. EV/2025/00165</t>
  </si>
  <si>
    <t>2411-25</t>
  </si>
  <si>
    <t>00:00 Police report to OCC that someone has dumped some rubbish on the tracks at Netherthorpe Road next tram through has moved the rubbish to the side of the track and asked infrastructure to remove it police incident nimber 124 14/01/22025</t>
  </si>
  <si>
    <t>2411-26</t>
  </si>
  <si>
    <t>DRV G Dobbin (58277) reported the tram sliding uncontrollably as it moved down Woodbourn Road passengers emoved and tram withdrawn from service T113 depart depot to pick up passengers up at WOR XV Plus 157289. EV/2025/00166</t>
  </si>
  <si>
    <t>2411-27</t>
  </si>
  <si>
    <t xml:space="preserve">09:24 T124 Drv Prowbottom reports 1 person walking trackside VAC-ARS O/B following tram informed </t>
  </si>
  <si>
    <t>2411-28</t>
  </si>
  <si>
    <t xml:space="preserve">11:00 B Clayton infrastructure report that a car has run into the back of the works van while stood at a red traffick light on Park Grange Road </t>
  </si>
  <si>
    <t>2411-29</t>
  </si>
  <si>
    <t xml:space="preserve">13:11 Drv S Gregory on T111 reported to OCC a car had driven on to the delta and was parked in the open area clear of the tracks drivers in area informed to show caution, 1317 DRV Gknight on T123 confirmed that the car has gone from the delta </t>
  </si>
  <si>
    <t>15:05 S Hague (RSM) notified OCC that J Booth (75609) had an accident in the workshop and hurt his hand not reporting sick at this point. EV/2025/00167 - Authoriser JK</t>
  </si>
  <si>
    <t>Mistimed/misaligned</t>
  </si>
  <si>
    <t>Poor judgement</t>
  </si>
  <si>
    <t>2411-31</t>
  </si>
  <si>
    <t>17:02 Driver S Gregory (70450) tram 119 reports an unusual noise from the saloon and burning type smell in the saloon RSM advised tram detrained at Attercliffe and returned to depot XV Plus 15705</t>
  </si>
  <si>
    <t>2411-32</t>
  </si>
  <si>
    <t xml:space="preserve">17:40 Driver J Mitchell (75341) duty R6 informed OCC that two pedestrians had entered the depot through the vehicle entry gate as he entered and had gone to reception for lost property - controller S Galloway went to reception and advised them to phone through to lost property number they then left the depot </t>
  </si>
  <si>
    <t>2411-33</t>
  </si>
  <si>
    <t>07:05  DRV M Kelly (8503165) reported a slight cut to her thumb whilst operating the external cab door on tram 1116 report requested</t>
  </si>
  <si>
    <t>Cab door knob</t>
  </si>
  <si>
    <t xml:space="preserve">Unable to establish cause </t>
  </si>
  <si>
    <t xml:space="preserve">The incident was reported to OCC and an intila form was completed  - investigation needs to be signed of was part of back log </t>
  </si>
  <si>
    <t>2411-34</t>
  </si>
  <si>
    <t>10:08 T103  S Scanes (8508846) emergency call reporting  an RTC with a car O/B on Infirmary Road - no reported injuries on the tram  - the car driver will need an ambulance all emergencies services are attending DM Ecooper informed and will attend CCCTV SIBAS (tact 157443) and reported requested trams turning at SHA on bluen and yellow route - On call informed and will send a disruption email  - ticket acceptance with First Bus DM E Cooper all emergencies servies on site  - DM E Cooper data recorder frozen witnessed by PC 3561  EV/2025/00369 - JK Authorise</t>
  </si>
  <si>
    <t xml:space="preserve">Car drove into tram swept path causing collision </t>
  </si>
  <si>
    <t>The driver made an emergency call to OCC and then worked to their instructions an ambulnace was called for the other party - investigaion needs to be signed off was part of back log</t>
  </si>
  <si>
    <t>2411-35</t>
  </si>
  <si>
    <t>13:06  DRV L Frith T203 reported a passenger was caught by the tram doors as they closed no injuries reported at the time and the passenger continued her journey CCT requested.EV/2025/00376. JK Authorise</t>
  </si>
  <si>
    <t>Rushing</t>
  </si>
  <si>
    <t xml:space="preserve">Passenger rushing </t>
  </si>
  <si>
    <t>Driver reported the incident to OCC - investigation needs signing off was part of back log</t>
  </si>
  <si>
    <t>2411-36</t>
  </si>
  <si>
    <t>12:49 RSM J Wright (1057) cut two fingers whilst working on a bogie - report requested - 13:34 G Seaborn informed OCC that RSM J Wright  is now attending A &amp; E. EV/2025/00377.JK Authorise</t>
  </si>
  <si>
    <t>Wrong powertool selected and use of</t>
  </si>
  <si>
    <t>No equipment pre-use check, no consulting of procedure and no PPE worn (gloves)</t>
  </si>
  <si>
    <t>05/09/2025 - AB was sent to WC &amp; JK on 22/02/2025 for Review</t>
  </si>
  <si>
    <t>2411-37</t>
  </si>
  <si>
    <t xml:space="preserve">16:53 RSM P Garrity reports whilst out on a test run with tram 108 - at 16:04 at Stanniforth Road O/B he had a near miss with a road vehicle with no evasie action required </t>
  </si>
  <si>
    <t>2411-38</t>
  </si>
  <si>
    <t>18:46 DRV A Watson reports from tram 105 at Meadow Street o/b that he has had a collision with a pesdestrian and thet pedestrian ad the pedestrian has been knocked into the four foot of the IB track - DRV A Watson now reports the casualty has stood up and also refusing any medical assistance and has walked away from the scene A Watson advised to ot move the tram until duty manager arrives incident non 818 - EV/2025/00378. JK Authorise</t>
  </si>
  <si>
    <t>The collision occurred due to two pedestrians walking into the swept path of tram 105 at Meadow Street road crossing</t>
  </si>
  <si>
    <t xml:space="preserve">The driver of the tram did not respond as expected to the hazard presented by the pedestrians until it was too late to take adequate evasive action - the pedestrians were in view for an amount of time which should have made it possible to stop the tram short or to reduce the impact, there is a lack of situational awareness and defensive driving on the drivers part  -  the reason for this cannot be explained by the driver of by the evidence provided by CCTV </t>
  </si>
  <si>
    <t xml:space="preserve">This level 2 has been reviewed by Wayne Clay - it has not been signed off </t>
  </si>
  <si>
    <t>2411-39</t>
  </si>
  <si>
    <t>05:10 C Tirziu on T121 first tram off depot reported various debris (drain covers, cone &amp; other items) in track both directions CIR-Delta</t>
  </si>
  <si>
    <t>2411-40</t>
  </si>
  <si>
    <t>14:10 Drv of T113 reported tram running on a NER when in brake  - detrained at SHA and OOS to depot RSM aware tact 157496</t>
  </si>
  <si>
    <t>2411-41</t>
  </si>
  <si>
    <t>14:41 DRV K Broughton (8502032) on T101 reported passenger v passenger altercation at CAS O/B delay of 5 minutes then the tram was able to continue CCTV requested</t>
  </si>
  <si>
    <t>2411-42</t>
  </si>
  <si>
    <t xml:space="preserve">19:10 T102 driver E Wilkinson (8502862) reports her conductor M Skelton (1361) tripped on a step and had a small fall - minor bump to the knee but rejects invitation to go and see DM at Eparade CCTV requested </t>
  </si>
  <si>
    <t>Conductor tripping on step</t>
  </si>
  <si>
    <t xml:space="preserve">Lack on concentraction/coordination </t>
  </si>
  <si>
    <t>The incident was reported to the driver who informed OCC</t>
  </si>
  <si>
    <t>2411-43</t>
  </si>
  <si>
    <t>16:45 DRV J Wilks (479) on T108 reported the tram running on and not braking correctly  - tram withdrawn at the next stop and returned to depot OOS (TACT 157545)</t>
  </si>
  <si>
    <t>2411-44</t>
  </si>
  <si>
    <t xml:space="preserve">18:55 DRV C Grant on T201 reported a pedestrian trackside between HYP and CIR next driver informed and will update OCC </t>
  </si>
  <si>
    <t>2411-45</t>
  </si>
  <si>
    <t>17:17 Pedestrian walking trackside MOW-CRP</t>
  </si>
  <si>
    <t>2411-46</t>
  </si>
  <si>
    <t>05:39 Tram 125 J Belgrave (443) wrong code to leave depot driver entered a 3 instead of a 1 tram sent to head shunt and back on to the depot with no further issues second time DM A Barclaware. EV/2025/00379. JK Authorise</t>
  </si>
  <si>
    <t>Driver set wrong VIS code in tram</t>
  </si>
  <si>
    <t xml:space="preserve">Driver had a lapse in concentraction due to personal  issue at home </t>
  </si>
  <si>
    <t>The driver reported the issue to OCC and then worked on their instructions the driver had a discussion with DM a few days later when she disclosed the personal circumstances that had affected her concentraction on that day - no further issues were expected - investigation needs to be signed is part of backlog</t>
  </si>
  <si>
    <t>2411-47</t>
  </si>
  <si>
    <t>16:34 Drv of T125 Glilley (625) reported pedestrian walking trackside Tinsley Chord on I/B side</t>
  </si>
  <si>
    <t>2411-48</t>
  </si>
  <si>
    <t>22:40 DM R Bridges phones to say Con R Broomhead has collapsed in the duty car after event at Arena it was decided to head to reception in depot where defibrilator is, ambuylance called to meet at depot  - night driver A Ashton to cover OCC with J Ramsden to alllow B Riley to attend as first aider - C Bottoms onsite was attaching defibrilator as a precation - night driver G West used floor pads as  999 operator inidcated may need to use if condition deteriorated DM R Bridges in contact with family to inform them of the situation</t>
  </si>
  <si>
    <t>2411-49</t>
  </si>
  <si>
    <t>05:46Tram 121 D Barnes (716) reported bar apsect on LRT at Cat points set correctly C01 a;arm on SCADA tram showing a code of (103) on AVL  Driver entered wrong code  alarm cleared for next tram. EV/2025/00380. JK Authorise</t>
  </si>
  <si>
    <t>Driver inputted the wrong vis code</t>
  </si>
  <si>
    <t>Driver stopped at LRT bar aspect and called OCC</t>
  </si>
  <si>
    <t>2411-50</t>
  </si>
  <si>
    <t>13:00 The driver on tram 104 reports a pedestrian walking trackside between Fox Lane and BIL O/B</t>
  </si>
  <si>
    <t>2411-51</t>
  </si>
  <si>
    <t>13:14 Driver C Moran(8506977) tram 107 at Cathedral O/B reported that one of the regular homeless /intocicated persons had walked in to the side of the tram to rear and then ran away - CCTV report requested DM A Roberts informed. EV/2025/00381</t>
  </si>
  <si>
    <t>2411-52</t>
  </si>
  <si>
    <t xml:space="preserve">18:05 Driver of T107 P Rowbottom (788) reported youths with laser pens at GRR pointing them into the cab as I was on the call to SYP the youths got on the tram behind T108 Djohnson (567) he reported they were behaving perfectly well. </t>
  </si>
  <si>
    <t>2411-53</t>
  </si>
  <si>
    <t>Drv of T107 DJohnson (567) reported a possily distressed person on the Bowstring Bridge following driver confirmed and reported that the person was on the wrong side of the railings  police contacted via emergency call and DMs sent to site - 21:34 from J Gilbert on site polcie have now removed the person Incident no 939/23/01/2024</t>
  </si>
  <si>
    <t>2411-54</t>
  </si>
  <si>
    <t>15:18 DRV J Birkitt reports from tram 121 at the bottom of Norfolk Park Viaduct whilst travelling I/B adjacent to the O/B GRR tram stop a laser pen was pointed at the driver by school children CCTV requested and driver reported this to someone she thought was from the school</t>
  </si>
  <si>
    <t>2411-55</t>
  </si>
  <si>
    <t>15:29 DRV R Pearson reports from T102 at depot near miss with a van u-turning at the depot entrance normal braking and no  evasive action required</t>
  </si>
  <si>
    <t>2411-56</t>
  </si>
  <si>
    <t>17:42 DRV K Tingle reports from T102 whislt at MID he had a door incident involving a passenger and no injuries were reported report and CCTV requested. EV/2025/00382. JK Authorise</t>
  </si>
  <si>
    <t>2411-57</t>
  </si>
  <si>
    <t xml:space="preserve">20:38 DRV J Birkitt reports from T207 at Mid when they left MEI at 19:50 youths boarded and refused to pay they left the tram at ARS I/B and pushed the hopper window - the hopper window will no longer close reported via xvplus to rsm CCTV requested </t>
  </si>
  <si>
    <t>2411-58</t>
  </si>
  <si>
    <t>00:27 Tram 205 (58403)  S Green reported a near  miss with a taxi CAT-CAS I/B CCTV reports and TELOC requested DM A Roberts informed TELOC 157720</t>
  </si>
  <si>
    <t>2411-59</t>
  </si>
  <si>
    <t>05:47 Tram 110 D Ibbetson (118) at SHS O/B reported miss reading the duty  board and went direct to SHS instead of Cat for X over driver used Xover at SHS back to CAT  DM J Cawthorn informed. EV/2025/00383. JK Authorise</t>
  </si>
  <si>
    <t>The driver informed OCC - investigation needs to be signed is part of backlog</t>
  </si>
  <si>
    <t>2411-60</t>
  </si>
  <si>
    <r>
      <t xml:space="preserve">09:12 Emergency call from DRV R Hague (8673) to report that whilst travelling O/B on Middlewood Road a bus travelling in the opposite directionhad veered into the side of the tram smashing a window and damaging a door 1 passenger complaining of minor injuires to the face from glass -  no medical assistance required the bus driver appears to have not stopped CCTV, SIBAS and reports requested. T106 RTC damage tact 157728 and SIBAS tact 157729 DM J Cawthorn to speak to R Hague and complete a police report - Drv of T106 has found </t>
    </r>
    <r>
      <rPr>
        <i/>
        <sz val="11"/>
        <color theme="1"/>
        <rFont val="Calibri"/>
        <family val="2"/>
        <scheme val="minor"/>
      </rPr>
      <t>tha</t>
    </r>
    <r>
      <rPr>
        <sz val="11"/>
        <color theme="1"/>
        <rFont val="Calibri"/>
        <family val="2"/>
        <scheme val="minor"/>
      </rPr>
      <t>t the bus hit the tram parked int he layby near Morrisons carpark entrance on Langsett Road I/B unable to stop and speak to the driver but has taken bus number Stagecaoch bus 15696.  EV/2025/00384.JK Authorise</t>
    </r>
  </si>
  <si>
    <t>Bus driver over the central white line and hitting the tram</t>
  </si>
  <si>
    <t xml:space="preserve">Bus driver error </t>
  </si>
  <si>
    <t>The driver informed OCC via an emergency call this incident was reporte to SYP via the portal - investigation needs to be signed is part of backlog</t>
  </si>
  <si>
    <t>2411-61</t>
  </si>
  <si>
    <t xml:space="preserve">17:14 Driver J Peckett tram 105(8500446) tram 105 on Park Grange Road reports a broken down car blocking O/B unable to push clear  DM D Tingle to site  - river T105 reports the car ia an automatic vehicle and is stuck in park position Quickmission contacted to attend  service disruption email sent  oncall JStewart advised for PIDS/TWITTER purple route tram 115 brought to depot from Cathedral Blue services to turnat Sheffield Station and Gleadless 17:34 Ca moved clear of tracks </t>
  </si>
  <si>
    <t>2411-62</t>
  </si>
  <si>
    <t xml:space="preserve">19:520 DRV J Mitchell on T201 reports a pedestrian walking on the parkway viaduct near to the new fencing </t>
  </si>
  <si>
    <t>2411-63</t>
  </si>
  <si>
    <t>01:44 Infra M Timperley reported a car on the grass banking at PAG driver reported to Infra that the had skidded on the tracks no injuries and car not blocking driver reported no injuries and car not blocking driver reported to be recovering the car themsellves  infra to monitor.</t>
  </si>
  <si>
    <t>2411-64</t>
  </si>
  <si>
    <t>14:10 P Rowbottom (788) reports a faller on board T116 details being exchanged no medical attention required CCTV and SIBAS requested.  EV/2025/00385</t>
  </si>
  <si>
    <t>Was sent for investigation 29/01/2025</t>
  </si>
  <si>
    <t>2411-65</t>
  </si>
  <si>
    <t>Call from J Meikle (85010009) on T111 saying a sick passenger on-board on the floor of the tram complaining of pain in the shoulder desicion made to call for medical assistance - passenger now seated so tram moving to MAB end section to wait for ambulance - 17:13 while tram was moving towards MAB passenger refused to remain on board ad has left the tram ambulance cancelled it transpires passenger tripped and fell onto the tram whilst it was stationary at WES O/B driver remarked that tram level seemed flush to the platform at the time - CCTV requested. EV/2025/00386. JK Authorised</t>
  </si>
  <si>
    <t>Stationary tram passenger shuffling his feet</t>
  </si>
  <si>
    <t xml:space="preserve">The incident was reported to OCC and CCTV  was downloaded </t>
  </si>
  <si>
    <t>2411-66</t>
  </si>
  <si>
    <t>14:21 T207 reported passenger walking trackside on Park Grange viaduct next tram reporteed pedestrian clear of tracks</t>
  </si>
  <si>
    <t>2411-67</t>
  </si>
  <si>
    <t>19:18 T124 Drv C Moran  reported a car pulling out in front of him on West Street I/B resulting in track brake application and a passenger fall - no injuries reported at the time CCTV and SIBAS requested TACT 157822. EV/2025/00387. JK Authorised</t>
  </si>
  <si>
    <t>Hazardbrake application</t>
  </si>
  <si>
    <t xml:space="preserve">Road vehicle crossing into the path of the tram </t>
  </si>
  <si>
    <t>2411-68</t>
  </si>
  <si>
    <t>19:49 T113 reported person trackside between CIR-NUS next tram reported no one on the tracks</t>
  </si>
  <si>
    <t>2411-69</t>
  </si>
  <si>
    <t xml:space="preserve">22:19 Drv of T201 reports pedestrians trackside between HYP and the delta trams in area informed </t>
  </si>
  <si>
    <t>2411-70</t>
  </si>
  <si>
    <t>A tipper/hiab wagon driver was travelling along Lumley Street and intended on turning right at the junction of Woodbourn RD with his HIAB still fully raised vertical. - tram driver intervened and prevented potential serious incident - Abuckley has conctacted Progressive Safety to see if they have nay capture to enable us to report to the relevant parties</t>
  </si>
  <si>
    <t>2411-71</t>
  </si>
  <si>
    <t>13:33 Drv Djohnson reports from T116 that he has seen persons surfing on the rear of tram 117 approaching CAT I/B Drv T17 advised CCTV requested and SYP online informed. EV/2025/00388</t>
  </si>
  <si>
    <t>2411-72</t>
  </si>
  <si>
    <t>13:42 The surfers have been seen on T123 at CAT I/B they then boarded T121 as passengers and travelled CAT to Cas CCTV requested for T1223. EV/2025/00389</t>
  </si>
  <si>
    <t>2411-73</t>
  </si>
  <si>
    <t>10:46 Tran 107 K Tingle (600) reported a pedestrian walking trackside VAC-CAR trams in area informed - Seen to walk clear o fthe tracks ar VAC</t>
  </si>
  <si>
    <t>2411-74</t>
  </si>
  <si>
    <t>19:45 Driver N Burton (391) reports a near miss with a car on City Road , track brake applied - no injuries on board CCTV and SIBAS requested.  EV/2025/00392.  JK Authorised</t>
  </si>
  <si>
    <t>Tram driver responding to potential hazard</t>
  </si>
  <si>
    <t xml:space="preserve">Car driver crossed give way line into path of tram </t>
  </si>
  <si>
    <t>Driver applied track brake and brought the tram to a stop - he checked for passenger injuries then reported near miss to OCC</t>
  </si>
  <si>
    <t>2411-75</t>
  </si>
  <si>
    <t>04:45 Con M Dean Called OCC to inform of a person laying in the 4ft close to Cricket Inn Road OCC observed on CCTV whilst Conductor checked person got up and moved away from the tracks onto Cricket Inn Road</t>
  </si>
  <si>
    <t>2411-76</t>
  </si>
  <si>
    <t xml:space="preserve">17:50 A member of the public who lives on City Road has reported a very large pothole has developed in the inbound 4ft at pole SPL 3200 that is ft in length and down to the metal they hava also reported it to the emergency services as they say it is dangerous fem oncal advised and tacted </t>
  </si>
  <si>
    <t>2411-77</t>
  </si>
  <si>
    <t>22:22 T124 Driver D long  (063) reports an altercation onboard tram and that his conductor has L Allen (8506728) has beeen knocked to the floor and has hurther back and is shook up, this happened between CAT-CAS and the people involved left the tramat CAS the conductor made her way to EP the report this to the DM and CCT V requested - 22:45 DM A Barclay has informed OCC that con LAllen (8506728) is unbale to continue and has gone home B4 will run for the rest od the evening without a conductor</t>
  </si>
  <si>
    <t>Was sent out for investigation on 03/02/2025</t>
  </si>
  <si>
    <t>2412-01</t>
  </si>
  <si>
    <t xml:space="preserve">08:35 Tram 106 J Richardson (70452) HIL O/B reported a near miss  car coming through the red lights as the tram went to leave the tram stop no evasive action required by the driver </t>
  </si>
  <si>
    <t>2412-02</t>
  </si>
  <si>
    <t xml:space="preserve">Either tram 202 at 12.00 or tram 205 at 12.27.  
She and her husband boarded the tram at cathedral thinking it was the Herdings park tram.
They were sat behind the driver in the 4-seat area, and the conductor was down the other end, and the driver was in the cab.
Has they hurried to get off again she had a fall,
The crew may not have realized she had fallen.
The lady is in hospital with a broken arm and is currently having an operation.
I took the call and the lady on the phone was upset, so asked for them to email me the details, but has yet we have not received anything.
Dave has requested for the cctv off both tram trains.
 </t>
  </si>
  <si>
    <t>This concern was not reported directly to the crew on the tram - no staff witnessed the incident  - CCTV was pulled from trams within in the timeframe no incident was captured - insurers wetre notified of the incident and have had no further correspondance with the claimant.</t>
  </si>
  <si>
    <t>2412-03</t>
  </si>
  <si>
    <t>08:09 D Carrighan T112 reported a near miss at York Street inbound track brake used no injuries reported CCTV and SIBAS requested tact 157894. EV/2025/00393</t>
  </si>
  <si>
    <t>2412-04</t>
  </si>
  <si>
    <t>22:31 DRV J Legett (8564143) T110 reported an object was thrown at the tram at ARR O/B  possible slight damage to the paint work on the O/S driving from No1 end (Tact 158002) CCTV requested reported online to SYP. EV/2025/00394</t>
  </si>
  <si>
    <t>2412-05</t>
  </si>
  <si>
    <t>06:16  Driver D Willey (426) reported a car driver said he skidded on the track and hit a railing a front wheel is buckled and the car will need recovering Quickmission contacted and asked to attend FEN contacted and asked to attend update on location at the top of City Road (vicar corner) - C Bottoms (FEM) at the RTV the cars wheel is buckled under and not pushable railings appear undamaged 07:09 The car has been recovered and services running normally.</t>
  </si>
  <si>
    <t>2412-06</t>
  </si>
  <si>
    <t>Driver S White (64124) on tram 12 reported smoke coming from beneath the rail on the o/b trackjust o/b of Staniforth Road junction M Tomkins contacted asked to attend ASAP next o/b tram to be held at NUS and i/b at ARS - Mtonkins reporting that is was dried leaves that was burning unsure what ignighted them but tram can keep running through - M Tomkinstrack lads coming down with a couple of buckets of water thinks that it was started with a stray cigarette butt - will check all earth bonds in area are in tact - fire occurred alongside pole ATT1107</t>
  </si>
  <si>
    <t>2412-07</t>
  </si>
  <si>
    <t>Environmental - Pit 8 - Oil spilt all over pit floor
Oil left on top of pit
Oil run down walls</t>
  </si>
  <si>
    <t>05/09/2025 No update</t>
  </si>
  <si>
    <t>2412-08</t>
  </si>
  <si>
    <t xml:space="preserve">Westfield </t>
  </si>
  <si>
    <t>10:07 Drv L Gulak on T110 that a passenger had tripped on the tramstop at WED I/B on the paving slabs passenger has minor injuries and used items out of first aid box CCTV requested infra going to check platform TACT 158053. EV/2025/00395</t>
  </si>
  <si>
    <t>2412-09</t>
  </si>
  <si>
    <t>00:20 Frm DM Rwild Conductor W Bainbridge (62018) has reported when arriving at EP that around 13:05 to 13:15 the driver L Gulak braked sharply for a bin lorry and he has hurt back CCTV SIBAS and reports requested SIBAS tact 158057 - EV/2025/00397</t>
  </si>
  <si>
    <t>Was sent out for investigation 07/02/2025</t>
  </si>
  <si>
    <t>2412-10</t>
  </si>
  <si>
    <t>Driver R Bayliss (087) on Tram 115 reported witnessing a car v motorcycle RTC on  Park Grange Road the junction of Kenninghall Road the motorcyclist  is laid in the right filter lane and the car is blocking the I/B track (o/b track clear) Next I/B tram contacted and asked for an update and DM JCawthorn asked to start making his way to site.</t>
  </si>
  <si>
    <t>2412-11</t>
  </si>
  <si>
    <t xml:space="preserve">12:39 J Barnes reporting another rail break on PAG RD this time i/b near pole ARR 3158 cess rail  currently no speed restriction required </t>
  </si>
  <si>
    <t>2412-12</t>
  </si>
  <si>
    <t xml:space="preserve">12:32 J Barnes reporting a new rail break on PAG RD o/b near pole SPL 3168 cess rail currently no speed rrestriction required </t>
  </si>
  <si>
    <t>2412-13</t>
  </si>
  <si>
    <t>18:05 Drv D Spillman on Tram 103 reports near miss with taxi at PGC evasive action taken no injuries reported Dwilley aware. EV/2025/00398</t>
  </si>
  <si>
    <t>Need to come back to this one</t>
  </si>
  <si>
    <t>2412-14</t>
  </si>
  <si>
    <t>22:15 Cleaner S Roulson (70885) reported to RSM S Hague (1127) tram 118 seat appeared to have been slashed by a sharp strap object potentially a knife  - no indication of when or where it could have occurred CCTV requested SYP not informed until CCTV footage viewed- safety team informed via email</t>
  </si>
  <si>
    <t>2412-15</t>
  </si>
  <si>
    <t xml:space="preserve">Conductor was racially abused by male passenger asfter being asked for his fare </t>
  </si>
  <si>
    <t>2412-16</t>
  </si>
  <si>
    <t>2412-17</t>
  </si>
  <si>
    <t>Youths stole conductors pen - youth also caused nuiscance on tram holding the doors open - body cam activated.</t>
  </si>
  <si>
    <t>2412-18</t>
  </si>
  <si>
    <t xml:space="preserve">08:30 Fire alaram sounds at depot  - building evactuated08:36  D Marrison confirms that checks have been completed by himslef and Paul Hunt and no fire found Alarm reset and staff permitted back in the building </t>
  </si>
  <si>
    <t>2412-19</t>
  </si>
  <si>
    <t>17:50 T124 C Bradbury reported pedestrian walking outbound of parkway viaduct , pedestrian observed clear of the tracks by CCTV</t>
  </si>
  <si>
    <t>2412-20</t>
  </si>
  <si>
    <t>13:35 Tram 207 reported track brake application between BDH-CRP due to a cyclist falling while crossing the tracks on walkway CCTV &amp; Sibas requested . EV/2025/00401</t>
  </si>
  <si>
    <t>2412-21</t>
  </si>
  <si>
    <t xml:space="preserve">The police have requested trams not to run in either direction on Norfolk Park Viaduct due to a aperson on the wrong side of the fence towards the top DM Dtingle asked to attend </t>
  </si>
  <si>
    <t>2412-22</t>
  </si>
  <si>
    <t xml:space="preserve">Middlewood </t>
  </si>
  <si>
    <t xml:space="preserve">07:34 Tram 111 P Rowbottom (788) reported whilst isolating a door a MID a metal trim fell from the panel and struck two passengers - no injuries reported DM J Gilbert and RSM informed CCtv and reports requested </t>
  </si>
  <si>
    <t>2412-23</t>
  </si>
  <si>
    <t>19:18 T121 Dvr D ibbetson (118) had incorrect VIS code to enter depot west points DW01 hand worked to enter depot. EV/2025/00403.  JK Authorised</t>
  </si>
  <si>
    <t>The driver stopped and informed OCC - investigation needs to be signed off forms part of back log</t>
  </si>
  <si>
    <t>2412-24</t>
  </si>
  <si>
    <t xml:space="preserve">Depot East </t>
  </si>
  <si>
    <t>20:23 T113 Dvr J Williams (59665) while bringing the tram on to the depot east DE03 alarmed when contacting the Drv replied the points had not changed and that she had hand operated the points and was now entering the depot - the tram has the wrong VIS code inputted tact 158209. EV/2025/00404. JK Authorised</t>
  </si>
  <si>
    <t>The driver did not informe OCC and continued travelling in depot east withour permission HR investigation took place - investigation needs signing off forms part of backlog</t>
  </si>
  <si>
    <t>2412-25</t>
  </si>
  <si>
    <t>12:25 Tram 106 DRV D Barnes (716) reported SHS O/B drunk male being abusive OCC advised crew to stay away , SPL O/B Driver reported passenger still being abusive GLT O/B driver reported passenger had left the tram, DM A Roberts informed CCTV requested.</t>
  </si>
  <si>
    <t xml:space="preserve">12/02/2025 - This incident has been picked up by HR due to action of driver </t>
  </si>
  <si>
    <t>2412-26</t>
  </si>
  <si>
    <t>18:55 DRV L Gulak reports from T124 that his conductor has been verbally abused between CIR-ATT O/B CCTV and reports requested, body cam was also activated. EV/2025/00405.JK Authorised</t>
  </si>
  <si>
    <t>Fare eveasion</t>
  </si>
  <si>
    <t>Driver reported that his conductor had been verbally abused by passenger - the conductor was removed from the tram to complete a welfare check and report - conductor decided that they did not want to report to the police no further action was taken</t>
  </si>
  <si>
    <t>2412-27</t>
  </si>
  <si>
    <t xml:space="preserve">09:46 Emergency call from DRV D Bridges on T106 to report smoke coming from front bogey and fillig cab Tram detrained at next stop (SHA I/B) driver then reported that the smoke had ceased but a strong smell of burning still present RSM to advise ok to bring vehilce back out of service </t>
  </si>
  <si>
    <t>2412-28</t>
  </si>
  <si>
    <t xml:space="preserve">17:35 Drv G Lowrie (Con O Richardson) on Tram 207 reports child seperation via normal radio call as leaving MEI WDM to Mei to reunite reportss CCTV DM J Gilbert aware </t>
  </si>
  <si>
    <t>2412-29</t>
  </si>
  <si>
    <t>07:50 Driver K Tingle (600) on T120 reported trapping a passenger in the doors at WES o/b no injuries reported Report nad CCTV requested. EV/2025/00406. JK Authorised</t>
  </si>
  <si>
    <t xml:space="preserve">Passenger boarding as doors close with audible warning </t>
  </si>
  <si>
    <t xml:space="preserve">Driver called OCC checked on the passengers wellbeing at the next stop </t>
  </si>
  <si>
    <t>2412-30</t>
  </si>
  <si>
    <t xml:space="preserve">14:45 DRV J Birkitt (254) on T103 emergency call to OCC to inform of a member of the public on the wrong side of the barrier on the Bow String Bridge Townhall CCTV advised and will contact SYP - OCC observe on CCTV a member of the public assist the person back ontom the footpath members of our FEM team are on site and help restrain the vulnerable female on the delta until SYP arrive </t>
  </si>
  <si>
    <t>14:47 J keeling reported pedestrian fall after tripping up ont the tram stop at CAT pedestrian suffered a cut to the head but no medical attention required , Jkeeling reported no defects on the platform. EV/2025/00407</t>
  </si>
  <si>
    <t>2412-31</t>
  </si>
  <si>
    <t xml:space="preserve">14:53 Tram R Singer (097) reported fire in the car wash at Langsett Road and Normandle Road with SYFR blocking O/B track DM D Willey heading to site 15:13 On call informed First Bus accepting tickets and service disruption sent 15:18 DM on site trams turning at SHA no service SHA/MAB/MID 15:53 SYFR now clear and trams moving On call and service disruption updated </t>
  </si>
  <si>
    <t>2412-32</t>
  </si>
  <si>
    <t>21:37 SYP contacted OCC regards a car has crashed into a pole on Holme Lane with reports of concrete across the tracks incident 996-14-02-2025 Tramm118 Jmeikle (8510009) held at HIL O/B and asked to check driver reported a concrete bollard outside medical centre had been knocked over SYP in attendance and moved bollard out of the rod driver and  SYP have moved debris from the tram tram moving 21:47 infrastructure informed and to check the track and Supertram infrastructure 22:00 Infrastructure reported no issues with our infrastructre TACT: 1583336</t>
  </si>
  <si>
    <t>2412-33</t>
  </si>
  <si>
    <t>00:36 Drv D Worth (569) reported from CIR that he had a passenger on board that was refusing to get off the tram, M J Gilbert sent to site with night personal - police attended site 01:15 passenger removed from tram. EV/2025/00408</t>
  </si>
  <si>
    <t>2412-34</t>
  </si>
  <si>
    <t xml:space="preserve">14:30 Drv Sspillman on tram 118 reports altercation between two passengers UOS-CAS 14:30 A male passenger was taking photos on the tram, a female passenger then complained about this, the male then threw something at the female as he departed the tram at Cat no injuries reported DM N WYbrant aware </t>
  </si>
  <si>
    <t>2412-35</t>
  </si>
  <si>
    <t>19:45 Drv Jmeikle on tram 113 at Tin i/b reports passenger fall departing no injuries CCTV reports DM A Roberts aware TACT  158346. EV/2025/00409. JK Authorised</t>
  </si>
  <si>
    <t xml:space="preserve">Passenger missed the seat when sitting </t>
  </si>
  <si>
    <t>Pasenger error</t>
  </si>
  <si>
    <t>2412-36</t>
  </si>
  <si>
    <t xml:space="preserve">03:16 SYP contacted OCC with information of a car on the tracks towards Sheffield Station from Shrewabury Road Inc NO 102/16/02/2025 The vehicle is a grey corsa reg no SA15XEG The police are with the vehicle Quickmission contcated to attend J Kolchuk (infrastructure oncall) contacted from someone to attend - DWorth (noght driver) on site with police waiting for Quickmission /infrastructure the vehicle has driver approx 50 metres towards SHS from Shrewsbury Road -05:56 Quickmission have removed the vehicle tracsk checked - all ok Infrastucture leaving </t>
  </si>
  <si>
    <t>2412-37</t>
  </si>
  <si>
    <t>15:23 11DCF trip on SCADA after tram 102 attempted to be moved 11DCF DE reclosed after tram identfied RSM informed TACT 158365 and 15836</t>
  </si>
  <si>
    <t>2412-38</t>
  </si>
  <si>
    <t>18:30 DRV J Brikitt (254) T116 reported youths throwing objects at the tram between BDH &amp; CRP no damage reported at the time trams in area advised CCTV requested and reported online to SYP. EV/2025/00410</t>
  </si>
  <si>
    <t>2412-39</t>
  </si>
  <si>
    <t>21:02 DRV J Birkitt (254) T120 reported the conductor T Cantwell (8500108) had been involved in an altercation with a passenger over a hot drink  - the passenger then began filming her and other passengers on the tram report and CCTV requested DM D Tingle informed. EV/2025/00449</t>
  </si>
  <si>
    <t>2412-40</t>
  </si>
  <si>
    <t>19:08 T123 Dvr N Burton (391) reports 6 youths on cycles travelling up Park Grange Viaduct following tram informed and reported that the youths were now clear of the viaduct. EV/2025/00450</t>
  </si>
  <si>
    <t>2412-41</t>
  </si>
  <si>
    <t>11:05 Drv S Cameron on T104 reported a SPAB at SHA O/B CCTV SIBAS 158181 DM D Willey aware EV/2025/00452.  JK Authorised</t>
  </si>
  <si>
    <t>Driver error/weather conditions</t>
  </si>
  <si>
    <t xml:space="preserve">The driver stopped and called OCC - investigation needs to be signed off form part of backlog </t>
  </si>
  <si>
    <t>2412-42</t>
  </si>
  <si>
    <t>12:08 Driver D Wilks (651) tram 205 at TIN I/B reports a female passenger has mentioned to the conductor that at TINS O/B (11:44) she stood to alight the tram and fell to her knees she then stayed on the tram to Parkgate - no injuries reported CCTV and report requested - RDM Gilbert informed. EV/2025/00457. JK Authorised</t>
  </si>
  <si>
    <t>22/04/2025</t>
  </si>
  <si>
    <t xml:space="preserve">Passenger not focussed on her movement </t>
  </si>
  <si>
    <t>Passenger missed stepped</t>
  </si>
  <si>
    <t xml:space="preserve">Conductor helped passenger up and obtained details </t>
  </si>
  <si>
    <t>2412-43</t>
  </si>
  <si>
    <t>15:49 T117 Dvr J Birkitt (254) that a motorcyclist has riden O/B up Park Square viaduct the following tram reported that there was no one on the viaduct. EV/2025/00458</t>
  </si>
  <si>
    <t>2412-44</t>
  </si>
  <si>
    <t>T125 Drv J Major (8505252) reports some youths have thrown a traffic cone at the tram prior to ARR tram stop O/B no damage reported CCTV and reported to police online -  EV/2025/00459</t>
  </si>
  <si>
    <t>2412-45</t>
  </si>
  <si>
    <t xml:space="preserve">T502  large pane of glass smashed CAR O/B reported to Sheff Interchange and to police online </t>
  </si>
  <si>
    <t>2412-46</t>
  </si>
  <si>
    <t>12:33 Drv G Knight on tram 101 reports 2 youths threw stones at tram resulting in crack to window CCTV crimed tact 158517. EV/2025/00461</t>
  </si>
  <si>
    <t>2412-47</t>
  </si>
  <si>
    <t>15:03 DRV T Baldwin on T102 reported a group of youths had thrown some objects at the tram at DOW I/B no damage reported to SYP online and CCTV requested EV/2025/00462</t>
  </si>
  <si>
    <t>2412-48</t>
  </si>
  <si>
    <t>23:53 TRAM 113 Cbradbury (568) reported pedestrian laying in the tracks at TIN I/B reported male then moved out of the way of the tram male now moving seen on townhall CCTV to clear area at 23:59 - EV/2025/00463</t>
  </si>
  <si>
    <t>2412-49</t>
  </si>
  <si>
    <t xml:space="preserve">10:27 DRV P Hawkins (64986) T207 reported a passenger was caught in the tram doors as they closed at HAL, the passenger was unhurt and no other details were taken CCTV report requested </t>
  </si>
  <si>
    <t>Doors closing</t>
  </si>
  <si>
    <t xml:space="preserve">Doors closing/passenger attempting to board the tram whilst an audible warning sounding </t>
  </si>
  <si>
    <t>2412-50</t>
  </si>
  <si>
    <t xml:space="preserve">19:29 Driver R Hague(86735) tram 108 ar Fitzalan Sq I/b reports via her conductor M Dean (685) that there had been a child /parent seperation at CAS I/B however there was no parent at CAS I/B (platform or tram behind) on checking the description of the young (brown hair/pink coat  - age 7years ) it appeared to be the girl the woman at Middlewood was asking about DM R Bridges was informed to liaise with conductor MDean and collect the child at Castle Square SYP contacted to attend at east parade. DM R Bridges Police arrived at East Parade at 19:40 and the parent at 19:45 (apparently upset thatthe police had ben contatcted) now waiting for social services to arrive. CCTV requested from tram 108 Mid -Cat- SYP to forward nice/dems request report from conductor M Dean submitted Police Inc 876/24/02/2025 oncall M Blackwell advised </t>
  </si>
  <si>
    <t>2412-51</t>
  </si>
  <si>
    <t>10:40 DRV S Spillman reports from T124 that upon  leaving MAB at 10:26 a passenger has fallen CCTV  sibas and reports requested TACT DV158569 - EV/2025/00467.  JK Authorised</t>
  </si>
  <si>
    <t xml:space="preserve">Tram departing tram stop </t>
  </si>
  <si>
    <t>Passenger not holding using 2 walking sticks</t>
  </si>
  <si>
    <t>2412-52</t>
  </si>
  <si>
    <t>11:47 Driver D Wilks CAT inbound 202 reports a person walking trackside between CAR &amp; VAC I/B side next approaching drivers informed - EV/2025/00468</t>
  </si>
  <si>
    <t>2412-53</t>
  </si>
  <si>
    <t>12:54 Driver of T205 (D Wilks) reports a person walking on Parkway Viaduct, Delta to HYP approaching drivers made aware person seen on HYP tram stop CCTV to be clear at 12:59 - EV/2025/00469</t>
  </si>
  <si>
    <t>2412-54</t>
  </si>
  <si>
    <t>13:29 Person walking Delta to HYP on the viaduct approaching drivers made aware - EV/2025/400470</t>
  </si>
  <si>
    <t>Rotherham Parkgate</t>
  </si>
  <si>
    <t>10:00 NR contacted OCC tram 202 overspeed (M Kelly8503165) Driver taken off for reports at Depot SIBAS requested</t>
  </si>
  <si>
    <t xml:space="preserve">Failiure to slow the tram sufficiently befre overspeed loop </t>
  </si>
  <si>
    <t>The incident was reported to OCC and an initial accident form was completed - investigation needs to be signed off - forms part of back log</t>
  </si>
  <si>
    <t>2412-56</t>
  </si>
  <si>
    <t>17:07 Driver S Green (58403)  tram 112 at Fitzalan Sq reports workmen placing further scaffolding on to the scaffolding already in place which looks close to the OHL Driver told them to stop working until our staff are on site  - drover D Long (063) on T120 reports no scaffolders at FIS only a couple of youths climbing o the scaffolding who have now left the site . DM A Roberts and Infrastructure (G Venner) on site at FIS I/B no one around all ok.</t>
  </si>
  <si>
    <t>2412-57</t>
  </si>
  <si>
    <t>18:45 - Driver Turner on T104 reports car stuck on tracks at PGC only blocking inbound tracks  - Quick Mission contacted Driver also reported car driver possibly under influence passed onto SYP when they called incident in themselves - DM A roberts on site - Car in question is a red Audi -EM07 OWL</t>
  </si>
  <si>
    <t>2412-58</t>
  </si>
  <si>
    <t>14:28 D Johnson reports from T205 of a pedestrian on the Parkway Viaduct walking towards HYP - EV/2025/00495</t>
  </si>
  <si>
    <t>16:33  drv  J Lawrie reports from tram 124 leaving HAL I/B that his conductor activated his bodycam for an aggressive passenger - this incident happened at PCG O/B at approx 15:54 DM D Tingle aware CCTV requested - Has been assigned to J Gilbert. EV/2025/00505</t>
  </si>
  <si>
    <t>Innapproriate behaviour from the member of the public</t>
  </si>
  <si>
    <t xml:space="preserve">Conductor challenging fare evasion </t>
  </si>
  <si>
    <t>2412-60</t>
  </si>
  <si>
    <t>20:01 DRV S Spillman reports from tram 106 of two pedestrians walkingon Parkway Viaduct towards HYP and one pedestrian walking on the same viaduct towards city. EV/2025/00506</t>
  </si>
  <si>
    <t>20:01 DRV S Spillman reports from tram 106 of two pedestrians walkingon Parkway Viaduct towards HYP and one pedestrian walking on the same viaduct towards city</t>
  </si>
  <si>
    <t>2413-01</t>
  </si>
  <si>
    <t>12:43 Drv of T207 P Marsden (41867) reported that due to LRA the tram slid through the bar  on the LRT at Alsing Road before he could bring it to a stop  CCTV, SIBAS and reports requested. EV/2025/00525 - RIDDOR 1012406</t>
  </si>
  <si>
    <t>Sent to DM 04/03/2025</t>
  </si>
  <si>
    <t>2413-02</t>
  </si>
  <si>
    <t xml:space="preserve">Driver trainer reported that between the hours of 12:00 - 12:30 one of the facilites vehicles was parked on the junction of White Lane and Carter Hall Road on the verge blocking the view for any vehilces leaving Carter Hall Road - this junction is one of the accidnet hotspots due to poor site lines - there have been previous numerous RTCS in this location -- One of the facilities team was cleaning the inbound tram stop - his vehicle was parked very close to the trams swept path on the grass verge causing trams to slow down and causing a potential hazard  - there was no reason he couldnt have parked elsewhere son as not o cause a danger to other road users </t>
  </si>
  <si>
    <t>2413-03</t>
  </si>
  <si>
    <t>Holme Lane</t>
  </si>
  <si>
    <t xml:space="preserve">06:30 Driver M Kelly (8503165) tram 102 after reports an ambulance blocking the swept path in both diections on Holme Lane - 06:32 Drver M Kelly (8503165) tram 102 reports that the incident involves a scooter and a car, the accident is I/B and the ambulance is blocking O/B on Holme Lane, Drver M Kelly instructed to move the tram back into Mlain Bridge  tram stop as it was just into the road area - 06:39 Driver M Kelly (8503165) tram 102 repots all clear on Holme Lane - tram moving from Mlain Bridge </t>
  </si>
  <si>
    <t>Granville Street</t>
  </si>
  <si>
    <t>17:10 Emergency call from driver J Leggett (8504143) in T121 reporting RTC with bus on Granville Street - only damage reported to tram is scratches - no injuries on board  CCTV&amp; SIBAS requested (Tact no 158777). EV/2025/00527</t>
  </si>
  <si>
    <t>Other vehicle continued to move into vehicles swept path</t>
  </si>
  <si>
    <t xml:space="preserve">Tram driver was not drving definsivley </t>
  </si>
  <si>
    <t>Driver stopped and emergency call was made to OCC</t>
  </si>
  <si>
    <t>2413-05</t>
  </si>
  <si>
    <t>Conductor H Campbell (8511271) on T125 makes us aware they have activated their bodycam (55) due to an abusive passnger DM J Cawthorn aware.</t>
  </si>
  <si>
    <t>Sent to DM 05/03/2025</t>
  </si>
  <si>
    <t>2413-06</t>
  </si>
  <si>
    <t>12:35Driver D White (893) tram 125 at CIR O/B reports a child onboard had banged her head whilst swinging on the internal saloon bars ambulance requested and called - tram  detrained and brought on to the depot J Brooked (first aider) to liase CCTV requested DM A Roberts informed - Driver DWhite reports the parent has spoken with the ambulnace service and they are not attending - the mother wishes to go home so is being escorted to NUS I/B to go to CIR</t>
  </si>
  <si>
    <t>2413-07</t>
  </si>
  <si>
    <t>14:57 Driver J Gladman (8513587) reports to DM N Wybrant that she has sustained an electric shock from a tabletop plug socket at East Parade, no further medical attention required and happy to continue duty socket disconnected by DM Jwells informed Tact 158844</t>
  </si>
  <si>
    <t>2413-08</t>
  </si>
  <si>
    <t>08:26 Driver of T115 G Dobbin (58227) reported that the con R Chapman (321)  had activated his bodycam (49) due to passenger v passenger racial abuse DM D Willey informed and CCTV and reports requested</t>
  </si>
  <si>
    <t>2413-09</t>
  </si>
  <si>
    <t xml:space="preserve">22:10 Driver G Lilley (625) on tram 115 reported an advertising panel had been damaged on ARS I/B tram stop - System cleaners swept up glass at ARS reported to SYP online portal  - Sheffield Interchange informed cleaners reported shards sticking out of the board, infrastructure informed and to attemd  - TACT 15883 SYP ref DP-5167-24-1414-04- Infrastructure coned and taped off broken advertising panel at ARS I/B infra reported contractor cleaned the glass away however they did not deal with the advert panels Sheffield Interchanged informed and will sort </t>
  </si>
  <si>
    <t>2413-10</t>
  </si>
  <si>
    <t>05:41 Tram 121 S Scanes (8508846) reported a pedestrian on Park Grange viaduct next tram inofrmed reported no one on the viaduct. EV/2025/00543</t>
  </si>
  <si>
    <t>2413-11</t>
  </si>
  <si>
    <t>00:00 Drv L Gulak reported from T112 that his conductor T Davidson has taken a fall as the tram departed CRP I/B T Davidson to be taken off at CAT to see DM report to follow CCTV requested along with SIBAS. EV/2025/00545 - RIDDOR 1012454</t>
  </si>
  <si>
    <t>Conductor missed step</t>
  </si>
  <si>
    <t xml:space="preserve">Apparent lack of concentraction/awareness of surroundings </t>
  </si>
  <si>
    <t>Incident was reported to the driver who informed OCC and a duty of care was  carried out by Duty Manager - Investigation needs to be signed off forms part of backlog</t>
  </si>
  <si>
    <t>2413-12</t>
  </si>
  <si>
    <t>22:37 Tram 103 reported a smashed shelter panel CIR O/B reported to interchange police online checked with CCTV nothing seen</t>
  </si>
  <si>
    <t>2413-13</t>
  </si>
  <si>
    <t>15:00 Drv T110 M Carr (81332) reported a group of youths throwing stones at vehicles T110 hit but no damage sustained reported SYP via 101 CCTV requested.EV/2025/00552</t>
  </si>
  <si>
    <t>2413-14</t>
  </si>
  <si>
    <t>17:10 Drv of T110 D Long (096) reported from Norton Avenue that due to a RTC invovling a pedestrian SYP had closed Norton Ave O/B - T110 detrained with Police assistance - On call manager informed of suspension to service and service disruotion email sent ticket acceptance acgreed with first bus on 47 and 48 between Raeburn Road and City</t>
  </si>
  <si>
    <t>2413-15</t>
  </si>
  <si>
    <t>17:31 Drv of T101 R Hollingworth (8507246) reported that cond D Kirk (82250) had activated body cam 51 due to an aggressive passenger reports and CCTV requested DM A Roberts informed. EV/2025/00553</t>
  </si>
  <si>
    <t>2413-16</t>
  </si>
  <si>
    <t xml:space="preserve">17:55 Call from ambulance service to report car on tracks at halfway tram stop Police and Ambulance crurrently on site - single line runningWestfield to Beighton Drakehouse commenced and Quickmisssion and oncall infra informed </t>
  </si>
  <si>
    <t>2413-17</t>
  </si>
  <si>
    <t>09:28 T123 M Robinson reported RTC with a car on City Road O/B with a car no injuries reported at the time.09:38 M Robinson on T123 informed OCC that 3 cars had been damaged in total and police are on their way to site CCTV and SIBAS requested TACT 158934- RIDDOR 1012428 - EV/2025/00554</t>
  </si>
  <si>
    <t xml:space="preserve">Tram unable to stop before colliding with car in swept path </t>
  </si>
  <si>
    <t xml:space="preserve">Car pulled out of traffic into trams swept path </t>
  </si>
  <si>
    <t>2413-18</t>
  </si>
  <si>
    <t>12:54 Driver J Belgrave T121 repoted scraping a wing mirror of a wite transit van between HIL &amp; HIP CCTV and SIBAS requested TACT158940 - riddor 1012429. EV/2025/00555</t>
  </si>
  <si>
    <t>Need to come back to this the signed investigation is for Mrobinson RTC at Manor Top</t>
  </si>
  <si>
    <t>2413-19</t>
  </si>
  <si>
    <t>19:56 pedestrian walking trackside Netherthorpe Road drivers made aware 20:08 pedestrian clear.EV/2025/00556</t>
  </si>
  <si>
    <t>2413-20</t>
  </si>
  <si>
    <t>20:11 Pedestrian trackside CAR-VAC 20:15 Pedestrian clear CAR-VAC. EV/2025/00557</t>
  </si>
  <si>
    <t>2413-21</t>
  </si>
  <si>
    <t>19:33 Drive S Green (58403)  on tram 106 reported a car had followed a tram across the Bowstring Bridge onto the Delta , the car managed to drive back off the delat and clear the system FEM informed /tacted. EV/2025/00558</t>
  </si>
  <si>
    <t>2413-22</t>
  </si>
  <si>
    <t>00:20 Driver I Cooper (1367) reported on arrival on depot that earlier on T107 whilst at GLT O/B a passenger had kicked and damaged door 7 which then needed isolating. Tact 158995 CCTV &amp; report requested and reported online to SYP. EV/2025/00563</t>
  </si>
  <si>
    <t>16:15 Cleaner K Wilson (1305) reported having an accident at DOW while litter picking he reported jumping off the platform onto the track and slipped on the wooden sleeper injuring his back and leg he said that he did not need any medical attention and is ok to carry on his duties. EV/2025/00565</t>
  </si>
  <si>
    <t>Stepping down from theplatform onto a wet sleeper</t>
  </si>
  <si>
    <t>Human factor</t>
  </si>
  <si>
    <t>Incident reported to OCC</t>
  </si>
  <si>
    <t>2413-24</t>
  </si>
  <si>
    <t>IB</t>
  </si>
  <si>
    <t>21:10 Driver M Carr (81332) on tram 105 reported having a large saloon smashed the conductor report it happened at HIL I/B  report and CCTV requested and police via online reported. EV/2025/00566</t>
  </si>
  <si>
    <t>2413-25</t>
  </si>
  <si>
    <t>23:40 T112 R Hague (86735) reported pedestrian wrong side of Bowstring Bridge CCTV and DM informed SYP and DM to attend 23:49 pedestrian pulled back onto correct side by another member of the public SYP still blocking tracks DM D Tingle on site trams moving after SDYP moved vehicles 00:09</t>
  </si>
  <si>
    <t>2413-26</t>
  </si>
  <si>
    <t>13:20 Drv A Ashton on tram 123 reports a large group of kids on canal path towpath between Cat-Tins possibly throwing items - no damage reported CCTV DNM R Bridges aware.</t>
  </si>
  <si>
    <t>2413-27</t>
  </si>
  <si>
    <t>20:15 Con G Lilley 1353 got off T120 at CIR (tram coming into depot) and tripped and fell on the platform on her own scarf resulting in injuries to her face, hand and ankle. Report requested first trip on second half of D31 will run without a conductor. EV/2025/00567</t>
  </si>
  <si>
    <t>Need to come back to this investigation</t>
  </si>
  <si>
    <t>2413-28</t>
  </si>
  <si>
    <t>23:16 DRV S Green on T203 reports that she has hit a badger on the tracks between TIN and CAR I/B CCTV requested and FEM ask to attend to remove it.</t>
  </si>
  <si>
    <t>2413-29</t>
  </si>
  <si>
    <t>14:23 Drvier N Burton (391) informs OCC of a door trap of a disabled person at LPV I/B CCTV and report requested. EV/2025/00569</t>
  </si>
  <si>
    <t>The drievr closed the doors as the passenger were exiting the tram</t>
  </si>
  <si>
    <t>The driver did not allow enough time for the passengers</t>
  </si>
  <si>
    <t>2413-30</t>
  </si>
  <si>
    <t>18:02 Conductor T Cantwell (8500108) on T103 has activated body cam (55) due to two passengers being aggressive with ech other - situation now believed to have calmed down</t>
  </si>
  <si>
    <t>2413-31</t>
  </si>
  <si>
    <t xml:space="preserve">005:42 Tram 202 S White (64124) reported ARS O/B platform advertising panel smashed om platform reported to SYP via online portal sheffield informed </t>
  </si>
  <si>
    <t>2413-32</t>
  </si>
  <si>
    <t xml:space="preserve">11:12 DVR N Burton (391) reports a loss of 750v on T112 when asked if it had cleared the driver responded that he had done a battery off/on which he hadnt asked permission for DM R Bridges aware </t>
  </si>
  <si>
    <t>2413-33</t>
  </si>
  <si>
    <t>13:55 Cleaner A Gibson has slipped on a bin liner in the female changing rooms at EP and has cut her head she has received first aid and dosent require further medical attention at this moment - 14:30 Update from R Bridges - A Gibson has been sent to minor injuries for attention  to the injury sustained to her head. EV/2025/00571</t>
  </si>
  <si>
    <t>Slip on object dropped by member of staff</t>
  </si>
  <si>
    <t xml:space="preserve">Human error </t>
  </si>
  <si>
    <t>Recycling bags were picked up and removed the area - the area was made safe - investigation needs to be signed off</t>
  </si>
  <si>
    <t>2413-34</t>
  </si>
  <si>
    <t>13:59  T104 DVR S White (707) reports passenger has been trapped in doors when trying to leave the tram at HIP I/B CCTV and reports requested.EV/2025/00573</t>
  </si>
  <si>
    <t>The passenger exited the tran as the doors were closing</t>
  </si>
  <si>
    <t xml:space="preserve">The passenger was slow exiting the tram </t>
  </si>
  <si>
    <t xml:space="preserve">The driver rePorted the inicdent to OCC </t>
  </si>
  <si>
    <t>2413-35</t>
  </si>
  <si>
    <t>16:50 Pedestrian walking trackside ATT-ARS. EV/2025/00574</t>
  </si>
  <si>
    <t>2413-36</t>
  </si>
  <si>
    <t xml:space="preserve">23:15 Tram 203 C Matthews (85223) reported ARS O/B 2 advertising panels smashed on platform reported to SYP via online portal sheffeild interchnage informed </t>
  </si>
  <si>
    <t>2413-37</t>
  </si>
  <si>
    <t>12:00 J Wells reports adevrtising panels smashed at ARS over the weekend Town Hall CCTV asked to check footage town Hall have found the culprits on 4/03/2025 SYP online completed Town Hall can only release footgae to SYP due to suspects being under age</t>
  </si>
  <si>
    <t>2413-38</t>
  </si>
  <si>
    <t>16:25 Tram 108 S Parker reported a passenger fall ARR I/B no injuries reported CCTV, SIBAS &amp; reports requested.EV/2025/00575</t>
  </si>
  <si>
    <t>Passenger standing up</t>
  </si>
  <si>
    <t>Passenger loosing balance whilst standing up</t>
  </si>
  <si>
    <t>The driver reported the acciden to OCC</t>
  </si>
  <si>
    <t>2413-39</t>
  </si>
  <si>
    <t>16:45 Drv M Robinson on Tram 123 at UOS i/b reports a person walking into tram door whilst stationary, the person then walked away requiring no medical assitance DM J Gilbert aware. EV/2025/00632</t>
  </si>
  <si>
    <t>2413-40</t>
  </si>
  <si>
    <t>15:25 Drv S Addlington on tram 112 at MTE i/b reports child fell off seat no injuries reported CCTV (awaiting XV Plus reboot sibas) DM J Gilbert aware. EV/2025/00701</t>
  </si>
  <si>
    <t xml:space="preserve">21/03/2025 - CCTV has been reviewed and shows that the child is laid across the seats and rolls off- closed as info only </t>
  </si>
  <si>
    <t>2413-41</t>
  </si>
  <si>
    <t>07:40 Cleaner D Suter reports having a knife pulled on him by a member of the public while cleaning at CIH no injuires and the male has left the scene - advised to call the police to report it and M Blackwell made aware.EV/2025/00702</t>
  </si>
  <si>
    <t>Incident was reported to SYP - M Blackwell conducted DOC .</t>
  </si>
  <si>
    <t>2413-42</t>
  </si>
  <si>
    <t>10:12 OCC contacted by TRC York to report DVR Rsinger on T202 has han an overspeed on NR at W201 DRV currently struggling to release the brakes CCTTV reports and SIBAS  req - 11:04 T202 now clear of NR DRV relived by relief DVR. SI-0006278</t>
  </si>
  <si>
    <t>Investigation was sent to DM 25/03/2025 - acnnot find the completed investigation</t>
  </si>
  <si>
    <t>2413-43</t>
  </si>
  <si>
    <t>EV/2025/00705 14:03 D Luker (8506979) tram 115 reported a passenger fall CAT O/B ambulance required passenger sat and conscious DM AR on tram WDM to use Xover and returned to depot to await ambulance reports CCTV &amp;Sibas requested.17:40 No sign o f ambulance so taxi ordered to take passenger to A&amp;E accompained by conductor ambulance cancelled. EV/2025/00705</t>
  </si>
  <si>
    <t xml:space="preserve">DM has left the business </t>
  </si>
  <si>
    <t>2413-44</t>
  </si>
  <si>
    <t>10:00 DRV G Lilley and D Long both report concerns over a build up of sand on the rails at INR O/B  J Kolchuk infomred and will send a team to check  - TACT 159193 - Glilley reported sand buld up to SHEQ team, an email was sent to RSM asking for further information</t>
  </si>
  <si>
    <t>2413-45</t>
  </si>
  <si>
    <t xml:space="preserve">18:36 T123 had a dog incident onboard DM A Roberts aware </t>
  </si>
  <si>
    <t>2413-46</t>
  </si>
  <si>
    <t>22:06 Tram 201 M Carr (81332)  reported HYP O/B on large shelter panel smashed cleaners Sheffield Interchange and SYP informed SYP portal reference  DP-6882-251414-04</t>
  </si>
  <si>
    <t>2413-47</t>
  </si>
  <si>
    <t>11:56 From DM E Cooper Con J Smith (8506845) whilst on a PNB has informed her that he has hurt himself when the driver braked sharply for a car pulling out OCC are unaware of any incident CON to write a report and OCC wil request CCTV and SIBAS when full detials are obtained. EV/2025/00706</t>
  </si>
  <si>
    <t>2413-48</t>
  </si>
  <si>
    <t>09:50 Informed by DM J Cawthorn at EP the con M Oliver (1405) has reported that when T123 departed PGC I/B a passenger fell report and CCTV  requested the driver of the tram D Barnes (716) was unaware off this until informed by conductor when on his break. EV/2025/00708</t>
  </si>
  <si>
    <t>2413-49</t>
  </si>
  <si>
    <t>12:58 Drv J Belgrave (443) reports 2 school children walking up Park Grange viaduct trams in area informed 13:16 T105 Dvr P Hawkins (64986) reports that the school children are now clear of Park Grange Viaduct. EV/2025/00710</t>
  </si>
  <si>
    <t>2413-50</t>
  </si>
  <si>
    <t>14:30 DRV J Mitchell (75341) T202 police advised him to depart PAQ straight away due to the possibilty of a WW11 bomb in the area - YOC confirmed unexploded ordanace device found in river near Parkgate no more TT services to be sent onto network rail 16:48 YOC confirmed Tram/Train services can now resume the first departure will be at 17:00 and then 17:31 Parlgate to Cathedral on call informed/disruption email sent and X updated.</t>
  </si>
  <si>
    <t>S Cameron 1365 swept path incident City Road - No reported via OCC</t>
  </si>
  <si>
    <t>Bus in swept path</t>
  </si>
  <si>
    <t>Tram driver error</t>
  </si>
  <si>
    <t>D07 Points</t>
  </si>
  <si>
    <t>07:10 T110 Drv J Belgrave (443) when exiting Depot West passed points D07 and headed onto the reception track , called OCC and was told to go on to West headshunt and return to topside of the wash and call to exit Depot West again DM J Gilbert aware. EV/2025/00785</t>
  </si>
  <si>
    <t xml:space="preserve">Needs looking at was possible HR investigation due to driver personal issues </t>
  </si>
  <si>
    <t>2413-53</t>
  </si>
  <si>
    <t>12:55 T205 Drv T Miles (748)  reports as tram left NCS a passenger banged their head on a tram pole DM D Tingle on board and dealing with passenger report and CCTV requested. EV/2025/00786</t>
  </si>
  <si>
    <t>Passenger was not holding on</t>
  </si>
  <si>
    <t xml:space="preserve">Driver emailed OCC to report the inicdent </t>
  </si>
  <si>
    <t>2413-54</t>
  </si>
  <si>
    <t>16:05 DRV J Birkitt (254) on T104 informs OCC of a possible door trap at HILS O/B no injuries CCTV and report requested</t>
  </si>
  <si>
    <t>2413-55</t>
  </si>
  <si>
    <t>15:57 Drv P Gillot (192) T116 reported at HIL O/B that a young child had left the tram at BAS and the parent was still onboard the parent left the tram at HIL and is heading back on foot to BAS T121 I/B at BAS reported no child on the O/B platform following tram (T104) also reported no child on or near BAS O/B report and CCTV requested. EV/2025/00787</t>
  </si>
  <si>
    <t>2413-56</t>
  </si>
  <si>
    <t>06:10 Drv reports a smashed glass advertising panel at ARS</t>
  </si>
  <si>
    <t>2413-57</t>
  </si>
  <si>
    <t>09:32 4 DVR T112 reports a non tram rtc at Meadow Street trams currently blocked  I/B</t>
  </si>
  <si>
    <t>2413-58</t>
  </si>
  <si>
    <t>11:34 - dvr t Baldwin reports from T106 a passenger falll while stationary at HLR cctv and reports requested - EV/2025/00788</t>
  </si>
  <si>
    <t>CCTV Viewed shows passenger missed their footing - tram was stationary at the time of the fall</t>
  </si>
  <si>
    <t>2413-59</t>
  </si>
  <si>
    <t>13:29 DVR J Meikle reports from T113 that a pasenger has fallen departing CAT no injuries cctv sibas and reports requested tact DV159324 - EV/2025/00790</t>
  </si>
  <si>
    <t>2413-60</t>
  </si>
  <si>
    <t xml:space="preserve">17:53 DRV M Mcabe on T123 reported some youths on bikes causing issues for trams between INR and SHA other drivers in the area advised to remain vigilant </t>
  </si>
  <si>
    <t>2413-61</t>
  </si>
  <si>
    <t>20:14 DRV S Scanes on T105 reports a hazard brake application INR- SHA no fallers/injuries CCTV and SIBAS (TACT 159339) requested. EV/2025/00791</t>
  </si>
  <si>
    <t>2413-62</t>
  </si>
  <si>
    <t>20:56 T112 reports a pedestrian on Hyde Park viaduct. EV/2025/00792</t>
  </si>
  <si>
    <t xml:space="preserve">07:18 Fire alarm due to an isolated incident in the workshop that has now been rectified alarm silenced and staff allowed back into the building </t>
  </si>
  <si>
    <t xml:space="preserve">The immediate cause of the fire was a spark from grinding activity coming into contact with a flammble substance </t>
  </si>
  <si>
    <t>A flammable substance was left out with no indication of what it was on the tub and without a lid.A hot works activity took place without a permit and a clear and appropriate workspace to use. There is a lack of an appropriate workspace for hot works to be carried out 
which is left clear, available, and well-identified for staff to use for this purpose. There is a lack of clarity around actions to be taken on discovery of a fire no 
matter how small</t>
  </si>
  <si>
    <t xml:space="preserve">Email from KHS to WC 13/08/2025 asking for sign off </t>
  </si>
  <si>
    <t>2413-64</t>
  </si>
  <si>
    <t>11:10 T101 Drv P Hawkins (64986) reports an intoxicated pedestrian around ARS tram stop following in both directions informed and reported that there was no one matvhing the decription in the area</t>
  </si>
  <si>
    <t>2413-65</t>
  </si>
  <si>
    <t>Glossop Road</t>
  </si>
  <si>
    <t>15:30 Drv J Brikitt on Tram 108 at Glossop Road reports a near miss no injuires reported tact 159355</t>
  </si>
  <si>
    <t>Email from R Wild 22/05/2025 states that CCTV has been veiwed - there are no concerns regarding the drivers behaviour - investigation has been re catogorised to "Info only"</t>
  </si>
  <si>
    <t>2413-66</t>
  </si>
  <si>
    <t>22:44  Two advertisisng boards found to be smashed at Arena tram stop reported to SYP via  online portal and Global informed by email</t>
  </si>
  <si>
    <t>2413-68</t>
  </si>
  <si>
    <t>18:55 Tram 106 J Birkitt reported a near miss with a pedestrian between City Hall &amp; West Street no track brake applied no injuries reported CCTV &amp; Sibas requested. EV/2025/00905</t>
  </si>
  <si>
    <t>T106 reports pedestrian near miss CIH – WES. Girl stepped off pavement with headphones on and back to tram. No contact or injury sustained</t>
  </si>
  <si>
    <t>2413-69</t>
  </si>
  <si>
    <t>19:18 Drv C Matthews reports surfers on Tram 113 in front of him CCTV requested.EV/2025/00906</t>
  </si>
  <si>
    <t>2501-01</t>
  </si>
  <si>
    <t>08:31 Drv L Carse (8511211) 10 mins late exiting depot west due to the driver having set incorrect vis code on approach instructed to meve to west headshunt then re entered depot driver exited correctly. EV/2025/00907</t>
  </si>
  <si>
    <t>29/03/2025</t>
  </si>
  <si>
    <t>2501-02</t>
  </si>
  <si>
    <t xml:space="preserve">18:55 Tram 106 J Birkitt reported a near miss with a pedestrian between City Hall &amp; West Street no track brake applied no injuries reported CCTV &amp; Sibas requested </t>
  </si>
  <si>
    <t>2501-03</t>
  </si>
  <si>
    <t>05:22 Driver D Clark on T112 reports Tinsley outbound selter smashed reported online to SYP Sheffield Interchange informed and cleaners asked t attend to sweep up debris. EV/2025/00908</t>
  </si>
  <si>
    <t>30/03/2025</t>
  </si>
  <si>
    <t>2501-04</t>
  </si>
  <si>
    <t>06:15 Facilties advise OCC that the shelter panel at TINS O/B is damaged and requires FEM to  remove the panel as they consider it potentially dangerous FEM informed and will attend - cleaners will stay on site until FEM aarive TACT 159401. EV/2025/00909</t>
  </si>
  <si>
    <t>2501-05</t>
  </si>
  <si>
    <t>Birley</t>
  </si>
  <si>
    <t xml:space="preserve">08:30 FEM M Tune (1402) informs OCC that he has had a minor RTC in the works van details exchanged with 3rd party no  injuries reported to fill in report 
</t>
  </si>
  <si>
    <t>31/03/2025</t>
  </si>
  <si>
    <t>POINT (-1.3939973 53.3448895)</t>
  </si>
  <si>
    <t>2501-06</t>
  </si>
  <si>
    <t>12:05DM N Wybrant at EP reports that Con B Howd is to visit the NHS walk in centre after suffering an injury due to T106 having a near miss on West Street I/B this was not reported at the time CCTV and SIBAS requested. EV/2025/00910</t>
  </si>
  <si>
    <t xml:space="preserve">Driver using the hazard brake </t>
  </si>
  <si>
    <t>Taxi turning in front of the tram</t>
  </si>
  <si>
    <t>The driver reported this incident to OCC</t>
  </si>
  <si>
    <t>2501-07</t>
  </si>
  <si>
    <t>20:15 DM A Roberts calls to make OCC aware of conductor Tcantwell being assaulted on board T123 at CIH I/B at approx 21:05 this was not reported to OCC via radio but was made aware to DM A Roberts on break body cams were activated and CCTV requested - T cantwell reported assault on SYP portal number TAA1470225141404  from DM A Roberts. EV/2025/00911</t>
  </si>
  <si>
    <t>Passenger loses temper</t>
  </si>
  <si>
    <t>Apparent mental helath of substance abuse issues</t>
  </si>
  <si>
    <t>2501-08</t>
  </si>
  <si>
    <t>22:15 T101 reported a group of youths on Park Grange Viaduct shortly after T123 reported them clear</t>
  </si>
  <si>
    <t>2501-09</t>
  </si>
  <si>
    <t>08:58 Driver J Leggett (8504143) T125 reported at least 2 adverising display panels at Sheffield Arena tram stop smashed reported online to SYP email sent to global media. EV/2025/00912</t>
  </si>
  <si>
    <t>2501-10</t>
  </si>
  <si>
    <t xml:space="preserve"> 09:25 Drv A Ashton (62828) on T117 reports pedestrian walking trackside SHA -NER other trams in area advised EV/2025/00913</t>
  </si>
  <si>
    <t>19:25 D Marrison advises OCC of a passenger on T112 which came into depot the passenger left depot CCTV footage requested. EV/2025/00914</t>
  </si>
  <si>
    <t>Person brought into the stabling yard</t>
  </si>
  <si>
    <t xml:space="preserve">Security checks not completed correctly </t>
  </si>
  <si>
    <t>The driver reported the trespass incident To OCC</t>
  </si>
  <si>
    <t>2501-12</t>
  </si>
  <si>
    <t>12:05DM N Wybrant at EP reports that Con B Howd is to visit the NHS walk in centre after suffering an injury due to T106 having a near miss on West Street I/B this was not reported at the time CCTV and SIBAS requested - Separated out from 2501-06</t>
  </si>
  <si>
    <t>2501-13</t>
  </si>
  <si>
    <t>06:00 DVR C Donnelly (78670) T203 reported a bus came through a red light as he departed CAS I/B no issues reported on the tram data download /CCTV and report requested. EV/2025/00915</t>
  </si>
  <si>
    <t xml:space="preserve">Bus went through red light </t>
  </si>
  <si>
    <t>Bus driver error</t>
  </si>
  <si>
    <t xml:space="preserve">Driver contacted OCC to report the incident </t>
  </si>
  <si>
    <t>2501-14</t>
  </si>
  <si>
    <t>06:32 T120 reported pedestrian walking between VAC - Car drivers in the area advised .EV/2025/00916</t>
  </si>
  <si>
    <t>2501-15</t>
  </si>
  <si>
    <t>Stores 2</t>
  </si>
  <si>
    <t>During SHEQ tour of depot it was noted the inapproriate use of the emergency exit door on stores 2 - Member of staff was painting bin lids in stores 2 at the time - it was noted that this is not a appropriate location for the task in hand.</t>
  </si>
  <si>
    <t>Mater was addressed</t>
  </si>
  <si>
    <t>2501-16</t>
  </si>
  <si>
    <t>21:17 D Luker on T107 reported a saloon window smashed by object thrown at the tram at TIN O/B CCTV requested and reported to SYP TACT 159522. EV/2025/00917</t>
  </si>
  <si>
    <t>14:46 DRV G Dobbin on T120 reported his conductor M Oliver has activated his body cam due to a drunk and abusive passenger who alighted to tram at FIS O/B DM J Gilert informed and will arrange a report .EV/2025/00918</t>
  </si>
  <si>
    <t>Verbal abuse and threatening behaviour of paasenger</t>
  </si>
  <si>
    <t xml:space="preserve">Malicioud behaviour of man while intoxicated </t>
  </si>
  <si>
    <t xml:space="preserve">The conductor activated his bodycam and the driver and OCC were immediately informed </t>
  </si>
  <si>
    <t>2501-18</t>
  </si>
  <si>
    <t>08:11 Informed by signaller that T201 (2A19) D Johnson (651) has had an overspeed activation at W201 driver to be taken off at depot to speak to DM - SI-0009046</t>
  </si>
  <si>
    <t>Closed due to time elapsed data cleanse sept 2025</t>
  </si>
  <si>
    <t>2501-19</t>
  </si>
  <si>
    <t>09:23 BIL bound tram 122 at SPL drv 090 S Cuckson reports closing the saloon doors while a child was alighting, the door caught the child and sprung open so sensitive door edges worked the child was ok the parent didn’t want to leave their details report requested and DM DWilley informed. EV/2025/00919</t>
  </si>
  <si>
    <t xml:space="preserve">Tram doors were closed while the passengers was trying to alight </t>
  </si>
  <si>
    <t xml:space="preserve">Child caught between the closing doors </t>
  </si>
  <si>
    <t xml:space="preserve">Ther driver reported the incident to OCC no injuries were reported or assistance called for </t>
  </si>
  <si>
    <t>11:00 DVR D Allott reports (emergency call) from tram 119 that he has had a minor accident with a recovery truck knocked mirror of recovery truck no injuries reported CCTV and SIBAS requested. EV/2025/00920 - RIDDOR 1012454</t>
  </si>
  <si>
    <t>Tram driver error poor judgement of swept path proximity</t>
  </si>
  <si>
    <t>2501-21</t>
  </si>
  <si>
    <t>10:02 Drv of T116 Oakes (58402) has had a minor RTC clipped a wing mirror of a vehicle on City Road no damage reported to either vehicle CCTV SIBAS and reports requested - EV/2025/00921 - RIDDOR 1012475</t>
  </si>
  <si>
    <t>Car driver in swept path</t>
  </si>
  <si>
    <t>2501-22</t>
  </si>
  <si>
    <t>From DRV trainer A Batty He informed me that whilst training new drivers on T113 they had been given permission to enter depot east  as they came to the brow of the hilltowards DE03 on the X on the points indicator had gone out and while waiting for the points indicator to change to inicate points were set for depot east T202 came past him heading for PAQ CCTV has been requested from T202 the driver was M Kelly (8503165)</t>
  </si>
  <si>
    <t>13/10/2025 Have sent email to Dave Hallam  asking for update on this - closed due to time elapsed data cleanse sept 2025</t>
  </si>
  <si>
    <t>2501-23</t>
  </si>
  <si>
    <t xml:space="preserve">20:53 Infra R Shore called OCC to report a distressed person on the Bowstring Bridge he then called back straight away to say he had found her partner and they were both walking away - the partner had mentioned that alcohol had been involved in the incident </t>
  </si>
  <si>
    <t>2501-24</t>
  </si>
  <si>
    <t>08:03 DVR of T122 reports graffiti on the tram shelter at INR O/B non offensive tact DV159603</t>
  </si>
  <si>
    <t>2501-25</t>
  </si>
  <si>
    <t>19:20 Glass panel found smashed at ATT reported to SYP ia online portal Sheffield Interchange informed and cleaners asked to tidy  EV/2025/00922</t>
  </si>
  <si>
    <t>2501-26</t>
  </si>
  <si>
    <t>23:37 Tram 202 C Grant (132) reported pedestrians walking on the HYP viduct towards HYP next tram infomed pedestrian seen to walk clear of the viduct on CCTV. EV/2025/00923</t>
  </si>
  <si>
    <t>2501-27</t>
  </si>
  <si>
    <t>08:06 Driver N Burton (391) tram 105 (Yellow) wrong routed at HIL O/B driver sent emergency call to OCC driver instructed to continue to MID at this time yellow services were diverting to MAB DM A Roberts otified CCTV and report requested.EV/2025/00967</t>
  </si>
  <si>
    <t>Closed due to time elapsed - investigation was sent 11/04/2025</t>
  </si>
  <si>
    <t>2501-28</t>
  </si>
  <si>
    <t>09:43 Driver J Travis (547) tram 120 reports a near miss with a police vehicle at the junction of Infirmary Road and Flora Street tram travelling I/B track brake used no injuries reported onboard, DM A Roberts informed CCTV and report requested. EV/2025/00968</t>
  </si>
  <si>
    <t>Police car went through red light</t>
  </si>
  <si>
    <t>2501-29</t>
  </si>
  <si>
    <t>20:54 Drv of T203 reported having to apply hazrd brake to avoid a cone in the tracks no injuries reported at the time and the cone was removed before continuing CCTV and report requested</t>
  </si>
  <si>
    <t>2501-30</t>
  </si>
  <si>
    <t>12:04 Driver N Burton (391) on tram 115 reported a passenger has fallen out of a wheel chair, currently doesn’t know where it is happened and wil fnd out HOL O/B - Driver N Burton (391) reported the passenger appears to be uninjured but refusing help back into advised to continue to BIL and update from there - Driver N Burton (391) reported the passenger isback in his wheelchair \and does not want to pass his details and wants the tram back to GLT report CCTV  and SIBAS requested</t>
  </si>
  <si>
    <t>2501-31</t>
  </si>
  <si>
    <t xml:space="preserve">16:15 DRV S Reith reported from tram 102 at SPL inbound that a saloon window has been smashed by stones being thrown at the window, CCTV requested and SYP online completed. EV/2025/00969 </t>
  </si>
  <si>
    <t>DVR S Cameron reports from T113 on City Road inbound of a swept path issue and making contact with motor cars wing mirror the driver of the left without exchanging details CCTV and SIBAS requested. EV/2025/00970 - RIDDOR 1012479</t>
  </si>
  <si>
    <t>2501-33</t>
  </si>
  <si>
    <t xml:space="preserve">08:11 A Buckley has reported the walkway (depot west) that staff use to walk to and from stabling positions is blocked by RSM equipment </t>
  </si>
  <si>
    <t>2501-34</t>
  </si>
  <si>
    <t xml:space="preserve">Birley Lane </t>
  </si>
  <si>
    <t>15:25 DRV N Burton reports from T103 upon arrival at BIL that a hopper window had been damaged /crakced by objects thrown at the tram at SPL outbound CCTV requested and SYP onlie report completed EV/2025/00971</t>
  </si>
  <si>
    <t>2501-35</t>
  </si>
  <si>
    <t>11:45 Drv of T119 A Watson (037) reported that he had had to use the hazard brake due to a signal change (BAS O/B) due to this a passenger had fallen injuries reported were a cut to the hand and a banged head - CCTV SIBAS and reports requested. EV/2025/00972</t>
  </si>
  <si>
    <t>LRT sigal changed to bar as tram approached</t>
  </si>
  <si>
    <t xml:space="preserve">The driver reported the incident to OCC the passenger left details but did not request </t>
  </si>
  <si>
    <t>2501-36</t>
  </si>
  <si>
    <t>12:00 Drv of T117 reported that the conductor had informed him that at HYP I/B around 11:30  a passenger threw a can at him  CCTV and report requested no body cam activation. EV/2025/00973</t>
  </si>
  <si>
    <t xml:space="preserve">Man throwing drinks cans at conductor and malicious behaviour </t>
  </si>
  <si>
    <t>Fare altercation/attempt to over ride</t>
  </si>
  <si>
    <t>Incident was reported via driver to OCC - Recommedations depedant on outcome of HR investigation</t>
  </si>
  <si>
    <t>2501-37</t>
  </si>
  <si>
    <t>22:35 T117 Dvr G Lilley (625) reports a tram seat base has been stolen from the tram, incident happened between Tinsley &amp; City Centre CCTV requested</t>
  </si>
  <si>
    <t>2501-38</t>
  </si>
  <si>
    <t>11:45 Drv of T119 A Watson (037) reported that he had had to use the hazard brake due to a signal change (BAS O/B) due to this a passenger had fallen injuries reported were a cut to the hand and a banged head - CCTV SIBAS and reports requested.EV/2025/00972</t>
  </si>
  <si>
    <t>10:34 Drv of T109 P Ward reported that on arriving at HIP I/B the conductor B Hammonds (1352) made him aware that as he pulled away from LEL a car had pulled into the rear offiside of the tram he was unaware that this had happened at the time and reported it immediatley when made aware reports no damage to tram, CCTV SIBAS requested.EV/2025/01001</t>
  </si>
  <si>
    <t>Car driver overtaking the tram</t>
  </si>
  <si>
    <t xml:space="preserve">Tram driver and car driver error behaviours </t>
  </si>
  <si>
    <t>2501-40</t>
  </si>
  <si>
    <t>11:43 Drv of T112 A Watson (037) reported that the conductor I Downes (553) had jarred his shoulder after the track brake was used to avoid a possible near miss with a vehicle on Holme Lane I/B no medical attention required SIBAS CCTV and reports requested. EV/2025/01014</t>
  </si>
  <si>
    <t>Conductor stumbled as a result of hazard brake being used by the driver</t>
  </si>
  <si>
    <t xml:space="preserve">Car potentially moving into trams swept path </t>
  </si>
  <si>
    <t>The driver reported the inicdent to OCC</t>
  </si>
  <si>
    <t>2501-41</t>
  </si>
  <si>
    <t>13:57 Drv of T105 D Allott (323) reported having to tracke brake to avoid a car coming round a bin lorry BIL to BMR CCTV SIBAS and reports requested. EV/2025/01015</t>
  </si>
  <si>
    <t>CCTV was viewed dangerous movement from third party - track brake was an appropriate response -no drive error</t>
  </si>
  <si>
    <t>2501-42</t>
  </si>
  <si>
    <t>11:43 Drv of T112 A Watson (037) reported that the conductor I Downes (553) had jarred his shoulder after the track brake was used to avoid a possible near miss with a vehicle on Holme Lane I/B no medical attention required SIBAS CCTV and reports requested.</t>
  </si>
  <si>
    <t>2501-43</t>
  </si>
  <si>
    <t>16:17 Drv M Mcabe (74928) reports faller whilst stationary at FIS O/B no medical attention required passenger now left tram CCTV requested. EV/2025/01016</t>
  </si>
  <si>
    <t xml:space="preserve">Pesron was unstaedy </t>
  </si>
  <si>
    <t>Lilkely under the effect of drugs or alcohol</t>
  </si>
  <si>
    <t>Driver called OCC to report and then went to assist passenger</t>
  </si>
  <si>
    <t>2501-44</t>
  </si>
  <si>
    <t>21:29 Glass panel found smashed ATT I/B Townhall CCTV camarea facing the wrong way reported to SYP via online portal</t>
  </si>
  <si>
    <t>2501-45</t>
  </si>
  <si>
    <t>08:30 T102 S Cameron (1365) reported no proceed to leave the depot driver asked to check VIS and driver reported code of 205 entered instead of 005 tram sent on to west head shunt no issues second time leaving depot DM J Gilbert made aware. EV/2025/01017</t>
  </si>
  <si>
    <t xml:space="preserve">The driver reported this incident to  OCC </t>
  </si>
  <si>
    <t>2501-46</t>
  </si>
  <si>
    <t>09:00 Drv D Oakes on T116 reports Con C Woolley fall after track brake departing MEI the driver did not get proceed so track braked before reaching signal DM A Barclay aware CCTV reports and SIBAS 159806 Con C Woolley relived at NUS due to bruising on arm and leg.EV/2025/01019</t>
  </si>
  <si>
    <t>Closed due to time elapsed - investigation was sent 21/04/2025</t>
  </si>
  <si>
    <t>2501-47</t>
  </si>
  <si>
    <t xml:space="preserve">09:00 Drv D Oakes on T116 reports Con C Woolley fall after track brake departing MEI the driver did not get proceed so track braked before reaching signal DM A Barclay aware CCTV reports and SIBAS 159806 Con C Woolley relived at NUS due to bruising on arm and leg </t>
  </si>
  <si>
    <t>2501-48</t>
  </si>
  <si>
    <t>20:10 Tram 109 J Birkett (254) reported 2 youths riding push bikes around the Park Grange Viaduct - next trams informed</t>
  </si>
  <si>
    <t>2501-49</t>
  </si>
  <si>
    <t>15:10 Driver R Pearson (89116) on platform at NUS reported pedestrian walking trackside NUS-CIR observed pedestrian clear tracks and walking into P&amp;R. EV/2025/01028</t>
  </si>
  <si>
    <t>2501-50</t>
  </si>
  <si>
    <t>19:03 Tram 203 T Fell (306) reported two pedestrians walking trackside between CIR-HYP seen on CCTV to walk clear of the tracks - EV/2025/01029</t>
  </si>
  <si>
    <t>2501-51</t>
  </si>
  <si>
    <t>21:35 Tram 117 S Scanes (8508846) reported a near miss with a car between BIL-BMR O/B driver reported having to use evasive action no injuries reported DM A Roberts informed. EV/2025/01030</t>
  </si>
  <si>
    <t>Email received from Rwild 20/05/2025 states that this CCTV has been reviewed and is happy for this investigation to re catorgorised to "Info only"</t>
  </si>
  <si>
    <t>2501-52</t>
  </si>
  <si>
    <t xml:space="preserve">19:35 One large shelter panel reported smashed at ATT O/B reported to SYP and Sheffield Interchnage </t>
  </si>
  <si>
    <t>2501-53</t>
  </si>
  <si>
    <t>20:24 Drv D Ibbertson on T120 reported a car on the tracks after an RTC at GLT blocking both tracks infra on way to site and Quickmission called - Due to the RTC damage the rear edging slab has been removed at GLT O/B Tact 59918</t>
  </si>
  <si>
    <t>2502-01</t>
  </si>
  <si>
    <t>9 Road East</t>
  </si>
  <si>
    <t>08:27 NNS 750 protection trip circuit breaker 11DCF showing an open on SCADA after speaking to RSM the breaker was closed informed that this happened as T114 was turned on T114 is on 9E</t>
  </si>
  <si>
    <t>NO</t>
  </si>
  <si>
    <t>POINT (-1.4404400 53.3858077)</t>
  </si>
  <si>
    <t>2502-02</t>
  </si>
  <si>
    <t>11:14 Drv D Long (603) reports a man tried to climb up the side of the tram using the leading cab step  the man then boarded the tram CCTV and report requested. EV/2025/01106</t>
  </si>
  <si>
    <t>2502-03</t>
  </si>
  <si>
    <t>11:18 DM J Cawthorn driving T116 reports while at Cat O/B the con K Skrodzki (85086980) was verbally and physically abused by one of four passengers  in a group he activated his body cam report and CCTV requested .EV/2025/01107</t>
  </si>
  <si>
    <t>Closed due time elapsed  - investigation was sent 28/04/2025</t>
  </si>
  <si>
    <t>13:21 Emergency call from T119 Driver A Jeff (548) reports child/carer seperation tram only just left GLT I/B paltform (still prior to traffic lights) emergency door can be used to safely reunite - CCTV &amp; Report requested. EV/2025/01108</t>
  </si>
  <si>
    <t xml:space="preserve">Slow group of passengers </t>
  </si>
  <si>
    <t xml:space="preserve">Passenger group splitting up </t>
  </si>
  <si>
    <t xml:space="preserve">Driver made an emergency call to OCC and used (with permission) an emeregency door to reunite the gropu </t>
  </si>
  <si>
    <t>2502-05</t>
  </si>
  <si>
    <t>12:46 Driver B Hall (549) in T116 reports a passenger fall out of her mobility scooter at FIS O/B as tram pulled out of the platform CCTV &amp; report requested. EV/2025/01140</t>
  </si>
  <si>
    <t xml:space="preserve">Passenger unstable on feet </t>
  </si>
  <si>
    <t xml:space="preserve">Another passenger blocking the priority seating </t>
  </si>
  <si>
    <t xml:space="preserve">Driver reported to OCC the conductor helped the passenger </t>
  </si>
  <si>
    <t>2502-06</t>
  </si>
  <si>
    <t>14:38 OCC contacted by SYP to inform of a serious RTC on Middlewood Road blocking both carriageways next yellow O/B diverted to MAB but then then I/B yellow reported no sign of any RTC so services resumed with single HIL-MID-HIL cancellation</t>
  </si>
  <si>
    <t>10:28 Tram off depot to replace T111 delayed as driver ( L Gulak 8506434) had wrong vis code in - same driver also had a problem getting off the depot first thing this morning which OCC wrote off as a signal timing issue with automatic gates shutting on approach - DM A barclay made aware. EV/2025/01141</t>
  </si>
  <si>
    <t>2502-08</t>
  </si>
  <si>
    <t>23:20 Tram 116 D White (893) reported conductor P Spencer (384) verbally abused by an aggressive passenger at HAL conductor advised to stay away from passenger - passenger boarded at BDH and left tram at GLT O/B conductordid not activate bodycam - DM RBridges informed. EV/2025/01142</t>
  </si>
  <si>
    <t xml:space="preserve">Male passenger indiscriminately verbally abusing the conductor </t>
  </si>
  <si>
    <t xml:space="preserve">Malicious behaviour by passenger / suggestion of intoxication </t>
  </si>
  <si>
    <t xml:space="preserve">Incident was reported to the driver who informed OCC </t>
  </si>
  <si>
    <t>2502-09</t>
  </si>
  <si>
    <t>00:17 Tram 107 C Matthews (85223) reported conductor K Rathod (1385) at CAS I/B had his machine taken and thrown on the floor passenger left the tramat SHS O/B CCTV and report requested DM RB ridges informed. EV/2025/01143</t>
  </si>
  <si>
    <t>Email from Rwild 22/05/2025 states that - the member of staff has moved to engineering - the assault was more of a random act - recatorgerised to info only</t>
  </si>
  <si>
    <t>2502-10</t>
  </si>
  <si>
    <t>Driver C Matthews reported after tram brought onto depot that at CAT O/B  (23:37) tram 107  youths outside of the tram had pushed their hands in the doors as the tram set off driver stopped and spoke to youths , driver reported youths said that their hand was stuck beofre running off  DM R Bridges aware RSM informed CCTV and reports requested TACT 160083</t>
  </si>
  <si>
    <t>2502-11</t>
  </si>
  <si>
    <t>12:41 DRV L Frith reports from T109 that he has had n RTC with a car whilst leaving Cathedral O/B exchanged details minor damage CCTV requested and sibas no injuries reported at the time. EV/2025/01402 - RIDDOR 2000085</t>
  </si>
  <si>
    <t>Closed due to time elapsed - investigation was sent 05/05/025</t>
  </si>
  <si>
    <t>2502-12</t>
  </si>
  <si>
    <t>13:55 T120 reports a pedestian between HYP &amp; CIR O/B EV/2025/01406</t>
  </si>
  <si>
    <t>2502-13</t>
  </si>
  <si>
    <t>18:25 DRV J Peckett on T107 reports kids throwing stones towards the tram at Spring Lane several hit but no damaged crimed - CCTV</t>
  </si>
  <si>
    <t>2502-14</t>
  </si>
  <si>
    <t>19:00 DRV J Lawrie had an incorrect VIS at PS01 handworked tact 160168 alarm and clear. EV/2025/01408</t>
  </si>
  <si>
    <t>2502-15</t>
  </si>
  <si>
    <t>22:56 DRV J Lawrie (541) on T109 reported a person on the wrong side of the railings on the Bowstring Bridge with two passers by talking to them CCTV observing - 23-26 police removed the person from the bridge and the incident is clear</t>
  </si>
  <si>
    <t>2502-16</t>
  </si>
  <si>
    <t>09:31 T104 reports a pedestrian between HYP and Delta trams in area advised 09:37 pedestrian now seen clear of the tracks CCTV. EV/2025/01409</t>
  </si>
  <si>
    <t>2502-17</t>
  </si>
  <si>
    <t xml:space="preserve">19:40 SYP report car on tracks between BMR &amp; BIL oncall I Levin informed no service here due to A3 rail replacement </t>
  </si>
  <si>
    <t>2502-18</t>
  </si>
  <si>
    <t>20:14 SYP report a car on delta it was not blocking tracks SYP escorted it to rejoin the road at Fitzalan Square</t>
  </si>
  <si>
    <t>2502-19</t>
  </si>
  <si>
    <t>10:34 DM D Tingle reports from T112 at Fitzalan O/B that an intending passenger fell over on the tramstop no injuries reported and the passenger boarded the tram CCTV requested. EV/2025/01410</t>
  </si>
  <si>
    <t>2502-20</t>
  </si>
  <si>
    <t>09:26 DRV R Singer reported 4x youths walking on track CIR to Hyde Park nest tram informed and reported that he thought the youth were going to walk down towards the delta following trams informed. EV/2025/01412</t>
  </si>
  <si>
    <t>2502-21</t>
  </si>
  <si>
    <t>15:11 DRV R Bayliss (087) T111  reported that his conductor (S Wild 355) had been assaulted by a passenger on the tram between HIL and INR where the passengerleft the tram he also had his staff and medical ID cards stolen bodycam was activated at the time CCTV &amp; report requested. EV/2025/01414</t>
  </si>
  <si>
    <t>Passenger not wanting any windows open</t>
  </si>
  <si>
    <t xml:space="preserve">Agressive passenger </t>
  </si>
  <si>
    <t>2502-22</t>
  </si>
  <si>
    <t>On Tram</t>
  </si>
  <si>
    <t>16:00 Conductor W Cain (8503271) reported that she trapped two fingers in the cab door report requested. EV/2025/01416</t>
  </si>
  <si>
    <t>Closed due to time elasped - investigation was sent 20/05/2025</t>
  </si>
  <si>
    <t>2502-23</t>
  </si>
  <si>
    <t>13:30 DRV T Miles on T201 reported a passenger fall as the tram departed FIS I/B no injuries tha passenger refused to leave any details CCTV and TELOC requested TACT 160214. EV/2025/01417</t>
  </si>
  <si>
    <t>2502-24</t>
  </si>
  <si>
    <t xml:space="preserve">Arbourthorne Road </t>
  </si>
  <si>
    <t>11:30 T103 T Cirziu  (61202) reports that his conductor has informed him that between ARR &amp; Spring Lane some youths were throwing objects at the tram CCTV requested and reported to SYP online</t>
  </si>
  <si>
    <t>2502-25</t>
  </si>
  <si>
    <t xml:space="preserve">17:40 T121 Reported that cyclist had fallen their bike at the junction of White Lane/ Fox Lane it is not know if the cyclist came off on the rail or not J Kolchuk emailed </t>
  </si>
  <si>
    <t>2502-26</t>
  </si>
  <si>
    <t>18:55 T105 reported a pedestrian walking on the tracks in the area near BDH next I/B tram was advised and reported the track now clear. EV/2025/01418</t>
  </si>
  <si>
    <t>2502-27</t>
  </si>
  <si>
    <t xml:space="preserve">19:27 SY Fire and Rescue reported that a member of the public had reported that they has seen smoke coming from the tracks in Meadow Street / Netherthorpe Road area trams in area advised INF informed and attending - T102 reported fire service on site and it is a piece of rubbish that is burning and the fire service have dealt with it  </t>
  </si>
  <si>
    <t>2502-28</t>
  </si>
  <si>
    <t>21:10 DRV D Long (063) T111 reported a possible rail break I/B on the N/S rail at Ridgeway Road near to pole HOL3260 INF informed and will attend TACT 160236</t>
  </si>
  <si>
    <t>2502-29</t>
  </si>
  <si>
    <t>10:38 T119 reports pedestrians trackside between CIR &amp; HYP other trams in area advised. EV/2025/01419</t>
  </si>
  <si>
    <t>2502-30</t>
  </si>
  <si>
    <t>07:44 DRV of T201 (651) reported pedestrian trackside CAR to VAC drivers informed.EV/2025/01420</t>
  </si>
  <si>
    <t>2502-31</t>
  </si>
  <si>
    <t>10:21 DRV D Pilgrim (095) tram 106 at Shalesmoor O/B reports a person fell out of their wheelchair alighting at NER O/B no injuries reported no details given CCTV and report requested DM J Gilvert informed. EV/2025/01421</t>
  </si>
  <si>
    <t>2502-32</t>
  </si>
  <si>
    <t>16:34 T121 reports a pedestrian on Hyde Park viaduct  - other trans advised. EV/2025/01422</t>
  </si>
  <si>
    <t>2502-33</t>
  </si>
  <si>
    <t xml:space="preserve">Sheffield Station </t>
  </si>
  <si>
    <t>21:05 DM R Wild reported Conductor M Dean (685) verbally abused by a passenger between SHS &amp; CAT on T121 conductor activated bodycam conductor completing SAFE report. EV/2025/01423</t>
  </si>
  <si>
    <t>Closed due to time elapsed - investigation sent 20/05/2025</t>
  </si>
  <si>
    <t>2502-34</t>
  </si>
  <si>
    <t>Hyde park</t>
  </si>
  <si>
    <t xml:space="preserve">21:40 T202 M Kelly (8503165) reported HYP  O/B shelter panel smashed reported to SYP online portal and Sheffield Interchange informed unable to contact cleaners currently </t>
  </si>
  <si>
    <t>2502-35</t>
  </si>
  <si>
    <t xml:space="preserve">12:24:00 DV R Pearson (89116) T120  reported a van came through red light as he was departing CIH I/B no evasive action needed </t>
  </si>
  <si>
    <t>2502-36</t>
  </si>
  <si>
    <t>13:55 DRV S Parker T108 reported a pedestrian walking between HYP &amp; CIR monitored on CCTV by OCC and seen leaving the tracks at CIR. EV/2025/01424</t>
  </si>
  <si>
    <t>20:05 DM J Cawthorn advised OCC that driver J Major (8506252) had reported to him a near miss with a pedestrian on Holme Lane I/B at 19:4hrs tram 105 track brake applied report and CCTV requested .EV/2025/01425</t>
  </si>
  <si>
    <t>Pedestrian crossing the road</t>
  </si>
  <si>
    <t>The driver did not report this incident to OCC the conducotr informed th DM on his break.</t>
  </si>
  <si>
    <t>2502-38</t>
  </si>
  <si>
    <t>12:05  DRV J Peckett MEI bound tram 104 at City Hall reports having a near miss with a pedestrian who just stepped out they seemed to be under the influence of something driver said that he has to brake sharply but no one had fallen on the tram and that he was fine driver also said that the person was now stood at the outbound tramstop at CIH so next drivers through made aware CCTV &amp; SIBAS &amp; report requested. EV/2025/01426</t>
  </si>
  <si>
    <t>2502-39</t>
  </si>
  <si>
    <t>16:30:00 Young girl reported to be walking n the track between BDH &amp; CRP I/B y the driver on HAL tram 111 next drivers through (trams 102 &amp; 112) made aware to update - Drv D Clark Hal bound tram reports no sign of the girl or anyone trackside etween CRP  &amp; BDH. EV/2025/01427</t>
  </si>
  <si>
    <t>2502-40</t>
  </si>
  <si>
    <t>13:11  T Fell on T101 reported near miss between MOW-DOW I/B and the ped crossing - track brake used and no injuries reported CCTV and SIBAS requested Tact 160405. EV/2025/01430</t>
  </si>
  <si>
    <t>24/06/2025 closed under instruction from DM driver applied hazad brake due to ped stepping out into the crossing.</t>
  </si>
  <si>
    <t>2502-41</t>
  </si>
  <si>
    <t xml:space="preserve">20:31 DRV J Brirkett (249) reported 2 x large glass panels smashed at HAC O/B reported online to SYP and Transport Interchange </t>
  </si>
  <si>
    <t>2502-42</t>
  </si>
  <si>
    <t>13:37 DRV C Matthews on T121 reports near miss (red light violation) at Birley Moor Road/Sheffield track brake applied no injuries reported CCTV and SIBAS (tact 160421) requested. EV/2025/01432</t>
  </si>
  <si>
    <t>2502-43</t>
  </si>
  <si>
    <t xml:space="preserve">DRV M Mccabe reports from T103 at MTE I/B on a non tram RTC blocking the i/b track DM to site reports recievd of an ambulance on site - 16:50 DRV M Mcabe on T1003 reports that the tracks are clear and trams can run through </t>
  </si>
  <si>
    <t>2502-44</t>
  </si>
  <si>
    <t xml:space="preserve">21:40 DVR L Gulak reports from T117at HAC of more shelter damage same as previous night glass panels smashed no repsonse from cleaners to sweep upand no response from Sheffield Interchange - SYP online completed - 21:50 cleaners to attend to broken glass panel at Hackenthorpe </t>
  </si>
  <si>
    <t>2502-45</t>
  </si>
  <si>
    <t>09:14 T109 Lcarse reported smashed shelter glass at DOW I/B reported to Sheffield Interchange and SYP</t>
  </si>
  <si>
    <t>2502-46</t>
  </si>
  <si>
    <t xml:space="preserve">17:45 D Pilgrim on T117 reported a large shelter panel smashed at BIL reported to Sheffield Interchange and SYP </t>
  </si>
  <si>
    <t>2502-47</t>
  </si>
  <si>
    <t xml:space="preserve">22:11 DRV D Clark on T104 reported a near miss on Holme Lane O/B no evasive action taken CCTV requested </t>
  </si>
  <si>
    <t>2502-48</t>
  </si>
  <si>
    <t xml:space="preserve">10:29 Driver J Peckett (8500446) T106 reports a pedestrian laid in the tracks at Glossop Road O/B there are other pedestrians with this person and an ambulance has been called - the drivr on T106 reports the the pedestrian appears to be drunk and a paramedic has been called service suspended CAT-SHA - The person onvolved stood up and walked away with no assistance </t>
  </si>
  <si>
    <t>2502-49</t>
  </si>
  <si>
    <t>13:00 Drv of T123 M Mcabe (74928) reported 1 side panel smashed DOW I/B and BIL I/B  reported to Sheffield Interchange reported online to SPY via online portal. EV/2025/01731</t>
  </si>
  <si>
    <t>03:00 FEM G Fairweather reports multicar derailed on points HW1 no injuries no damage to infrastructure multicar some damage to rail running parts tact 160559 on call N Dobbs emailed FEM J Barber checked HW1 points tact 160557</t>
  </si>
  <si>
    <t>Wrong investigation has been sent through for final sign off see email sent to WC on 11/08/2025 refer to this investigation but is T105 derailment - 13/10/2025 Have snet email to Abuckely to see if this can be closed off - need signatures</t>
  </si>
  <si>
    <t>2502-51</t>
  </si>
  <si>
    <t>16:07 Driver of T106 D Oakes (58402) reported a near miss with a woman in a mobility scooter in the Meadow Street area track brake was applied CCTV reports and SIBAS requested. EV/2025/01734</t>
  </si>
  <si>
    <t>2502-52</t>
  </si>
  <si>
    <t xml:space="preserve">17:09 Drv of T113 S Cameron (1365) reported a group of youths throwing what looks like rolls of paper at the tram CAT to CAS - DMs asked to attend </t>
  </si>
  <si>
    <t>2502-53</t>
  </si>
  <si>
    <t xml:space="preserve">Attercliffe </t>
  </si>
  <si>
    <t>21:02 Drv  T107 S Cameron (1365) reported group of youths "kicking off" on the tram and he was concerned for his conductor S Kurikose (1393) and thought the may possible snatch her cash bag instructed to get conductor in the cab DM D Willey contacted to meet the tram at CAT incident was reported just after the tram left ATT I/B CCTV requested awaiting update as to whether bodycam  has been activated - 21:21 from D Willey cond S Kuriakose was shook up so taken off the tram to do report - no bodycam activation but the reason behind the incident was the group did not want to pay and surrounded the conductor and verbally abused her T107 no running CAT to MI  to CAT without conductor. EV/2025/01770</t>
  </si>
  <si>
    <t>2502-54</t>
  </si>
  <si>
    <t xml:space="preserve">Tram 108 D Long (063) reported a non tram RTC blocking I/B tracks between BAS -LPV no damage to SYFTL infrstructure and SYP in attendance 22:53  cars moved clear by SYP and trams now moving </t>
  </si>
  <si>
    <t>2502-55</t>
  </si>
  <si>
    <t>20:31 Driver N Burton(391) tram 109 reports two large shelter panels smashed by persons unknown at Birley Lane tram stop I/B cleaners contacted to sweep glass up PTE advised damage - reported to SYP via online portal</t>
  </si>
  <si>
    <t>2503-01</t>
  </si>
  <si>
    <t>19:44 T205 reports cracked window from ballast thrown at tram youths walking trackside CAR-VAC good footage from townhall CCTV have rang them and asked to retain for SYP reported online via portal tact (for damage) 160657. EV/2025/01774</t>
  </si>
  <si>
    <t>2503-03</t>
  </si>
  <si>
    <t>22:48 Tram 109 driver D Cormack (1404) reported conductor R Broomhead (8511393)  activated body camera due to abusive passenger refuding to pay HEP - Tram 109 reported pasenger had now calmed down and has now paid driver D Cormack (1404) also reported bodycam not activated by conductor R Broomhead (85111393) as initially reported. EV/2025/01777</t>
  </si>
  <si>
    <t>2503-04</t>
  </si>
  <si>
    <t>Youths from previous incident on tram 205 reported at MTE O/B by tram 103 S Green (58403) and 109 D Cormack (1404) to be banging on the side of the tram at MTE no damage caused to either tram last tram reported youths waving metal rod around on the tram stop SP informed via 101 incident no 1060/2020527</t>
  </si>
  <si>
    <t>2503-05</t>
  </si>
  <si>
    <t>17:13 Conductor T Davidson (324) reported to OCC after requesting a PNB that driver J Major (8506265)  tram 104 had to use track brake at Shirlalnd Lane I/B approx 17:07 and had taken a fall not reported by the driver both crew members replaced by spares told to proceed to East Parade dm N Wybrant informed CCTV tram data download and reports requested - update from DM N Wybrant conductor TDavidson (324) her fall was not as a result of track brake application at Shirland Lane but as the tram stopped at Attercliffe tram stop I/B CCTV SIBAS  re-submitted.</t>
  </si>
  <si>
    <t xml:space="preserve">DM has left the business closed due to time elapsed </t>
  </si>
  <si>
    <t>2503-06</t>
  </si>
  <si>
    <t>17:13 Conductor T Davidson (324) reported to OCC after requesting a PNB that driver J Major (8506265)  tram 104 had to use track brake at Shirlalnd Lane I/B approx 17:07 and had taken a fall not reported by the driver both crew members replaced by spares told to proceed to East Parade dm N Wybrant informed CCTV tram data download and reports requested - update from DM N Wybrant conductor TDavidson (324) her fall was not as a result of track brake application at Shirland Lane but as the tram stopped at Attercliffe tram stop I/B CCTV SIBAS  re-submitted .EV/2025/01778</t>
  </si>
  <si>
    <t>2503-07</t>
  </si>
  <si>
    <t xml:space="preserve">Granville Road </t>
  </si>
  <si>
    <t xml:space="preserve">20:10 One small glass shelter panel smashed by persons unknown at GRR O/B reported by driver of tram 123 SYP informed via online portal - The driver on tram 123 updated the report regarding the damage at GRR O/B the damage is an advertisment board not shelter Global emailed PTE updated </t>
  </si>
  <si>
    <t>2503-08</t>
  </si>
  <si>
    <t>18:00 Two car RTC reported junction of Birley Moor Road/Birley Lane tracks blocked trams turning BIL &amp; DOW SYP onsite - 18:37 both cars out of track infrastructure on site and have cleared the debris</t>
  </si>
  <si>
    <t>2503-09</t>
  </si>
  <si>
    <t>08:00 OCC informed by member of the public 3 youths at CRP had smashed 2x large panels on the O/B platform they then boarded tram 106 I/B , contacted police via 999 and they met tram at HAC youths got off the tram and got several witnesses of the tram Police incident 217 interchange infomred about smashed glass</t>
  </si>
  <si>
    <t>2503-10</t>
  </si>
  <si>
    <t>Montgomery Terrace</t>
  </si>
  <si>
    <t>13:05 Tram 107 D Willey reported overshooting bar at Montgomery Terrace O/B cctv &amp; reports requested. EV/2025/01779</t>
  </si>
  <si>
    <t>Traffic signal timing out due to unknown fault</t>
  </si>
  <si>
    <t xml:space="preserve">Driver Error </t>
  </si>
  <si>
    <t>2503-11</t>
  </si>
  <si>
    <t>17:27 emergency call from driver C Canning (1411) on T125 @WED O/B reporting conductor S Mc callum (86310) has been assaulted by a passenger who has now left the tram conductor now sat in rear cab and on phone to SYP to report CCTV requested conductor to be taken off when next at CAT for DM welfare check- Regarding conductor assault - SYP incident no 0710/31052025 - conformation of bodycam activation. EV/2025/01950</t>
  </si>
  <si>
    <t>2503-12</t>
  </si>
  <si>
    <t>19:17 Conductor C Woolley (75813) on T109 has activated bodycam due a problem passenger - DM R Wild aware report requested.EV/2025/01951</t>
  </si>
  <si>
    <t>2503-13</t>
  </si>
  <si>
    <t>M Ledger informed DM D Tingle - the she fell while climbing on to T123 which was stabled above the wash and it is a high step off the ballast - it wasnt reported at the time because she though that she was ok - however later that evening her leg swelled and she had to visit the hospital -and has been prescribed medication - she is currently off sick due to this injury - EV/2025/01952</t>
  </si>
  <si>
    <t>This investigation was sent for sign off prior to duty manager leaving the business - Senior ops manager has since left the business</t>
  </si>
  <si>
    <t>2503-14</t>
  </si>
  <si>
    <t>Alsing Road</t>
  </si>
  <si>
    <t xml:space="preserve">11:32 Driver 78671 L Mawkes of T102 has overshot the VIS loop at Alsing Road due to LRA on approach WDM carried out to re-aline over the loop SIBAS &amp;CCTV requested </t>
  </si>
  <si>
    <t>04/06/2025 - Email from S Galloway Having spoken with Nina who has viewed the CCTV, the suggestion is that this does not warrant an investigation due to the very short distance the driver missed his marker by.
Whilst we would not investigate or even require a driver to report if they had slightly overshot a tram stop marker. However, I appreciate this is slightly different as a WDM is required. Info only please Kelly.</t>
  </si>
  <si>
    <t>2503-15</t>
  </si>
  <si>
    <t>14:45 Driver D Willey on T125 reports smashed glass at DOW i/b crimed interchange aware - no one reports seeing this occ. EV/2025/02315</t>
  </si>
  <si>
    <t>2503-16</t>
  </si>
  <si>
    <t>17:28 Drv T Miles repots a passenger fall on Tram 104 Bil I/B no injuries reported  CCTV Sibas 160765. EV/2025/02316</t>
  </si>
  <si>
    <t>2503-17</t>
  </si>
  <si>
    <t>21:40 Drv of T108 J lawrie (541) reported 3 panes of glass smashed at HAC I/B reported to Sheffield interchnage and to SYP via online portal. EV/2025/02318</t>
  </si>
  <si>
    <t>2503-18</t>
  </si>
  <si>
    <t>06:38 Driver C Tirzu (61202) on Tram 117 reported a car/cyclist RTC between BIL-BMR  O/B the cyclist does not look seriously hurt - next O/B tram informed to call from BIL to get an update - the police reported that tye cyclist got his wheels stick in the track to come off and a passing motorist was assisting the police will not be attending 06:52 Driver D Carrighan (8501812) on tram112 reported the cyclist was still there with the assisting motorist but they are clear of the track  - FEM contaced and attending to check the track.EV/2025/02320</t>
  </si>
  <si>
    <t>2503-19</t>
  </si>
  <si>
    <t>14:28  T125 S Parker (134) reports  that there may be a small fire around the area of PS11 that some pedestrians have extingushed - 14:00 T503 L Frirth (747) reports that there was a small fire arounnd PS11 that some pedestrains have extinguished - 14:40  T115 Dvr P Marsden (41867) reports that the fire around PS11 is still burning upon investigation he reported that there is some vegetation on fire underneath the wood structures that prevent pedestrians from accessing Park Square Viaduct he also said that some of the wood was catching alight the tram fire extingushiers was used to put out the fire</t>
  </si>
  <si>
    <t>2503-20</t>
  </si>
  <si>
    <t xml:space="preserve">11:08 Tram 105 D Johnson (567) reported a seperation of a vulnerable elderly female and daughter at FIS I/B driver not informed until going across Delta 11:12- driver reported daugther had made contact with vulnerable female and had left at HYP to travel back to meet CCTV and reports requested DM N Wybrant informed </t>
  </si>
  <si>
    <t>Exert from daily call log 06/05/2025 - CCTV shows two ladies on the tram , chatting in the doorway. One gets off and the other remains. A mother and daughter, they made contact and reunited at FIS</t>
  </si>
  <si>
    <t>2503-21</t>
  </si>
  <si>
    <t>11:35 Tram 125 Cameron (1365) reported one large glass shelter panel smashed at MOW I/B incident not seenby driver reported to Sheffield interchange cleaners and SYP via online portal reference DP-17463-1414-04. EV/2025/02321</t>
  </si>
  <si>
    <t>2503-22</t>
  </si>
  <si>
    <t>22:39 Driver R Bayliss (087) tram 108 at DOW O/B reports 2x large glass panels smashed by persons unknown at DOW I/B reported to SYP via online portal PTE informed.EV/2025/02322</t>
  </si>
  <si>
    <t>2503-23</t>
  </si>
  <si>
    <t>09:20 2 Pedestrian walking trackside between CIR-NUS trams informed observed clear by OCC. EV/2025/02323</t>
  </si>
  <si>
    <t>2503-24</t>
  </si>
  <si>
    <t>00:00 Drv Gilley HAL bound tram 109 at CIH reported taxi no 47 pulled in front of the tram when at CIH no evasive action required</t>
  </si>
  <si>
    <t>2503-25</t>
  </si>
  <si>
    <t>20:41 Driver D Oakes (58402) on tram 106  at HYP inbound reported his conductor K Srodzki (8508698)  had got in the back cab due to feeling threatened and intimidated by a group of youths who had boarded at WOR inbound bodycam not activated CCTV requested. EV/2025/02324</t>
  </si>
  <si>
    <t>2503-26</t>
  </si>
  <si>
    <t>21:00 Reports received of two youths surfing on the back of tram 111 CAS-CAT CCTV requested and City Centre CCTV control  contacted and given descirption of youths. EV/2025/02325</t>
  </si>
  <si>
    <t>2503-27</t>
  </si>
  <si>
    <t>13:34 Drv D Bridges on T117 reported near miss with a police car at HIL track brake applied and female passenger hurt wrist but left no details and alighted the tram at HIL  CCTV and SIBAS requested. EV/2025/02327</t>
  </si>
  <si>
    <t>2503-28</t>
  </si>
  <si>
    <t xml:space="preserve">13:35 Due to a no tram RTC involving 2 cars at the junction of Infirmary Road Montgomery Terrace the O/B track is blocked police and ambulance are on site along with DM R Wild </t>
  </si>
  <si>
    <t>2503-29</t>
  </si>
  <si>
    <t>18:43 Drv P Hawkins on Tram 115 reports passenger fall CCTV reports SIBAS 160862. EV/2025/02328</t>
  </si>
  <si>
    <t>Closed due to time elapsed DM has left the business</t>
  </si>
  <si>
    <t>2503-30</t>
  </si>
  <si>
    <t xml:space="preserve">O/B </t>
  </si>
  <si>
    <t>13:20 Tram 105 G Dobbin reported an altercation between conductor K Furness (1408) CCTV and reports requested. EV/2025/02330</t>
  </si>
  <si>
    <t>Is being investigated by HR due to conductor conduct</t>
  </si>
  <si>
    <t>2503-31</t>
  </si>
  <si>
    <t>15:40 RSM P Hunt (1003) reported that he had cut his thumb whilst at work on 08/06/2025 at approx 18:00 report now submitted. EV/2025/02337</t>
  </si>
  <si>
    <t>Unstable positioning of item being worked on</t>
  </si>
  <si>
    <t>Inadequate stabilty of item being worked on</t>
  </si>
  <si>
    <t xml:space="preserve">Matter has been discussed with staff member - about taking the time to safely secure items of this nature before starting work on them </t>
  </si>
  <si>
    <t>2503-32</t>
  </si>
  <si>
    <t xml:space="preserve">16:38 DVR J Major (8506252) T120 reported a near miss with a cyclist at GRR I/B no issues reported on the tram CCTV and report requested </t>
  </si>
  <si>
    <t>2503-33</t>
  </si>
  <si>
    <t>18:50 DVR N Burton (391) T123 reported that 2 large tram stop shelter panels had been smashed at PGC O/B reported online to SYP and transport interchange informed. EV/2025/02338</t>
  </si>
  <si>
    <t>2503-34</t>
  </si>
  <si>
    <t>10:14 Drv S Scanes on Tram  109 reports a medical emergency passenger had fallen on platform at MEI Meadowhall security led person to waiting area as required an ambulance Cancellation - Mei-Mid-Sha</t>
  </si>
  <si>
    <t>2503-35</t>
  </si>
  <si>
    <t>11:45 Drv I Cooper on Tram 120 reports smashed glass panel at MOW I/B crimed reported to interchange no witnesses.EV/2025/02339</t>
  </si>
  <si>
    <t>2503-36</t>
  </si>
  <si>
    <t>13:28 Drv M Mcabe on T110 reports a passenger fall departing Cat o/b minor graze on elbow sibas 160900 CCTV DM J Cawthorne aware. EV/2025/02341</t>
  </si>
  <si>
    <t>2503-37</t>
  </si>
  <si>
    <t xml:space="preserve">Craddock Road </t>
  </si>
  <si>
    <t>12:25 Tram 111 R Pearson (89116) reported a near miss Craddock Road I/B track brake dipped into no njurires reported CCTV &amp; reports requested also SIBAS. EV/2025/02369</t>
  </si>
  <si>
    <t>POINT (-1.4357741 53.3652651)</t>
  </si>
  <si>
    <t>2503-38</t>
  </si>
  <si>
    <t>18:35 DRV S White (64124) T201 reported a passenger had tripped off the tram at Cathedral no medical attention was needed and the passenger left no details report and CCTV requested . EV/2025/02370</t>
  </si>
  <si>
    <t>2503-39</t>
  </si>
  <si>
    <t>16:06 T109 reported pedestrian trackiside between ARS - ATT walking inbound next tram T116 reported them sat on a wall near plympic legacy park approx 10ft from tracktram in area informed. 16:13 pedestrian now clear of the tracks.  EV/2025/02371</t>
  </si>
  <si>
    <t>2503-40</t>
  </si>
  <si>
    <t xml:space="preserve">Drv of T101 L Bennett (1275) reported there had ben a fight between passengers on tram betyween GLT and WHL the conductor M Haywood (1392) had activated her bodycam but not involved in the incident CCTV and reports requested </t>
  </si>
  <si>
    <t>2503-41</t>
  </si>
  <si>
    <t>10:00 DRV D Johnson reports from T202 that a passenger fell over at CAT whilst the tram was stationary no injuries reported CCTV and report requested. EV/2025/02372</t>
  </si>
  <si>
    <t>2503-42</t>
  </si>
  <si>
    <t>09:46  R Madin reported bodycam activation due to a problem passenger who had pushed R Madin and other passengers CCTV requested. EV/2025/02373</t>
  </si>
  <si>
    <t>2503-43</t>
  </si>
  <si>
    <t>20:24 Drv S Scanes on tram 125 reports a bar aspect CAT due to incorrect code C01 handworked C01 alarm next tram C02 alarm tact 160998 oncall informed. EV/2025/02374</t>
  </si>
  <si>
    <t>Closed due to time elapsed investigation was sent16/06/2025</t>
  </si>
  <si>
    <t>2503-44</t>
  </si>
  <si>
    <t xml:space="preserve">12:06 DRV J Major reports from T123 at MEI thathe has forgotten to press his RTS to depart WDM back into platform to re-alighn over loop - the the driver has issues closing the doors - unbale to close door T123 taken out of service with a cancellation to service CCTV requested </t>
  </si>
  <si>
    <t xml:space="preserve">Closed due to time elapsed DM has left the business </t>
  </si>
  <si>
    <t>2503-45</t>
  </si>
  <si>
    <t>15:48 DRV L Gulak on T125 reports minor RTC with plastic road barriers between GLT- HLR O/B CCTV SIBAS and reports requested. EV/2025/02375</t>
  </si>
  <si>
    <t>2503-46</t>
  </si>
  <si>
    <t>20:14 DRV L Gulak reports that his conductor has been verbally abused between GLT-SHS CCTV and reports requested. EV/2025/02376</t>
  </si>
  <si>
    <t>2503-47</t>
  </si>
  <si>
    <t>00:26 Tram 108 S Spillman reported pedestrians walking trackside Delta -HYP next tram informed and OCC observed on CCTV to walk clear of the tracks.  EV/2025/02385</t>
  </si>
  <si>
    <t>2503-48</t>
  </si>
  <si>
    <t xml:space="preserve">17:00 Cleaner reports that a bus has knocked the mirror off the cleaning van whilst parked at Crystal Peaks details exchanged with the bus driver and report requested from cleaner </t>
  </si>
  <si>
    <t>2503-49</t>
  </si>
  <si>
    <t>19:13 DRV N Dewire reports from tram 203 of a pesdestrian between CAR and VAC upon viewing CCTV pedestrian clear at VAC. EV/2025/02386</t>
  </si>
  <si>
    <t>2503-50</t>
  </si>
  <si>
    <t xml:space="preserve">00:07 Message receieved from the conductor of T125 reporting that the driver R Pearson (89116) was out of the cab talking to a man who was crying at the side of the track between CRP-BDH- afeter several attempts of trying to contact T125 the conductor responded to report that man had been laid in the inbound track the had used the tram phone to call the police DM A Barclay and night driver A Ashton was going to site  - R Pearson reported the man has run off after finding out the  police had been called and now continuing to HAL DM A Barclay to meet the tram at CRP inbound and night driver A Ashton to bring the tram back to Depot </t>
  </si>
  <si>
    <t>2503-51</t>
  </si>
  <si>
    <t xml:space="preserve">19:24 Driver S Green (58403) tram 101 reported that an egg was thrown through a hopper window approaching CRP I/B no one was hit - CCTV requested </t>
  </si>
  <si>
    <t>2503-52</t>
  </si>
  <si>
    <t>20:13 Driver A Howard (6110) reported to OCC that there was 1x large glass panel smashed at CIR OB cleaners notified to attend Sheffield Interchnage informed. EV/2025/02387</t>
  </si>
  <si>
    <t>2503-54</t>
  </si>
  <si>
    <t xml:space="preserve">15:50 BIL O/B one small pane smashed SYP and Sheffield Interchnage advised </t>
  </si>
  <si>
    <t>13:00 York TRC reported T205 (2A42) had an overspeed issue S746 tram to continue to PAQ and back driver S Khan (77027)to be relieved at NUS dm n Wybrant informed - York TRC reported T205 (2A42) had also passed S746 signal at danger DM N Wybrant informed CCTV requested. Event: SI-0028613</t>
  </si>
  <si>
    <t>Closed due to time elapsed - data cleanse 2025</t>
  </si>
  <si>
    <t>16:16 Drv D Clark on T105 derailed at PS01 no emergency call RSM advised DM A Barclay to site on-call advised 17:16 A Rathbone advises OCC that RAIB are happy re-railing if photographs are taken DM A Barclay confirms that’all photos taken as requested by RAIB at 17:31 DM A Barclay also conrims data recorder now frozen witness M Mead . EV/2025/02497</t>
  </si>
  <si>
    <t>2503-56</t>
  </si>
  <si>
    <t>22:08 Drv D Johnson (567) on T125 reported one large pane of glass smashed at MOW I/B no one seen Sheffield Interchange - Police to be informed cleaners asked to attend to sweep the glass up. EV/2025/02555</t>
  </si>
  <si>
    <t>2503-57</t>
  </si>
  <si>
    <t>08:44 DRV P Marsden on T121 reports pedestrian trackside CAR-VAC next tram informed. EV/2025/02556</t>
  </si>
  <si>
    <t>2503-58</t>
  </si>
  <si>
    <t>18:27  Conductor C Blair (8512790) on T110 HOL-MTE reports passenger who became aggressive when caught using a fraudulant pass attempted to block conductor using their bodycam footage was obtained CCTV requested. EV/2025/02557</t>
  </si>
  <si>
    <t>2503-59</t>
  </si>
  <si>
    <t>05:50 Tram 113 reported 2 large glass panels smahed Waterthorpe I/B reported on line to police also reported to Interchange. EV/2025/02558</t>
  </si>
  <si>
    <t>16:14 Emergency call from 101  reports hitting a passenger walking out in front of him 999 called DM N Wybrant advised on call  16:22 Ambulance onsite .</t>
  </si>
  <si>
    <t>See report for further information</t>
  </si>
  <si>
    <t>2504-02</t>
  </si>
  <si>
    <t>14:02 T117 reports pedestrian trackside MOW -CRP next driver informed and will update. EV/2025/02559</t>
  </si>
  <si>
    <t>2504-03</t>
  </si>
  <si>
    <t>DRV D Luker on T120 reports that between LPV-MAB his conductor has been racially abused conductor A Abdulliah has activated his body cam and reports have been requested .EV/2025/02560</t>
  </si>
  <si>
    <t>2504-04</t>
  </si>
  <si>
    <t>11:00 DVR M Carr reports from tram 122 at CAS I/B that a passenger has fallen over after being hit by a closing door the person is curently laid on the platform- DM D Willey to site ambulance called by a member of the public trams moving now D Willey on site and awaiting ambulance to attend  - DM A Barclay advises OOC from CAS I/B that the person who was hit by the tram door was trying  to grab a free Metro paper as the doors closed and did not want an ambulance he was going back into the Bankers Draft where he had come from ambulance cancelled and CCTV was requested. EV/2025/02561</t>
  </si>
  <si>
    <t xml:space="preserve">CCTV has been shows that the male atttempts to board the tram as the door close had been enabled - the male falls he is helped up by members of the public on the platform - he thens makes his way to The Bankers Draft Pub - the male dcelined any medicla assistance and did not leave any details </t>
  </si>
  <si>
    <t>2504-05</t>
  </si>
  <si>
    <t>05:50 Tram 118 reported panel smashed at WAT I/B reported to SYP via online portal and Sheffeild Interchange informed cleaners to be informed once started. EV/2025/02742</t>
  </si>
  <si>
    <t>2504-06</t>
  </si>
  <si>
    <t>13:10 T112 reports a blockage at INF O/B due to a cylist falling off his bike currently awaiting ambulance On call W Clay aware  - DM A Barclay on route and ticket acceptance in place with first bus. EV/2025/02743</t>
  </si>
  <si>
    <t>2504-07</t>
  </si>
  <si>
    <t>16:15 Drv P Hawkins on Tram 125 at West Street reports whilst stationary a taxi overtook him and collided with a pedestrian the taxi driver and pedestrian talked then continued</t>
  </si>
  <si>
    <t>2504-08</t>
  </si>
  <si>
    <t>18:11 Driver A Howard (86110) on T202 reported near miss with car coming through red light at Shirland Lane O/B track brake applied no injuries on board CCTCV requested. EV/2025/02744</t>
  </si>
  <si>
    <t>2504-09</t>
  </si>
  <si>
    <t>00:12 Tram 120 reported a pedestrian walking trackside down the Hyde Park viaduct trams in area informed. EV/2025/02745</t>
  </si>
  <si>
    <t>2504-10</t>
  </si>
  <si>
    <t>13:35 T121 Drv J Leggett reported female passenger fall as tram rounded the bend at HLR O/B no injuries reported and no details given CCTV and Sibas requested. EV/2025/02746</t>
  </si>
  <si>
    <t xml:space="preserve">Passenger standing with feet against the steps </t>
  </si>
  <si>
    <t>Conductor and driver both helped the passenger then reported to OCC</t>
  </si>
  <si>
    <t>2504-11</t>
  </si>
  <si>
    <t>18:45 DRV L Carse (8511211) T120 reported a pedestrian had fallen from the platform into the dogleg at the back of the tram he was helped back onto the platform and an ambulance had been called CCTV and reports requested. EV/2025/02759</t>
  </si>
  <si>
    <t>2504-12</t>
  </si>
  <si>
    <t>19:18 T118 reported 3 pedestrians walking between CIR and the depot next tram informed. EV/2025/02760</t>
  </si>
  <si>
    <t>2504-13</t>
  </si>
  <si>
    <t>18:33 DVR S Scanes on T121 reports a near miss leaving Cat O/B no evasive action taken</t>
  </si>
  <si>
    <t>2504-14</t>
  </si>
  <si>
    <t xml:space="preserve">20:324 One large shelter panel smashed at WAT O/B SYP online completed sheff interchange informed </t>
  </si>
  <si>
    <t>2504-15</t>
  </si>
  <si>
    <t>22:10 Drver S Scanes on Tram 103 @SPL reports kids attempting to surf on side of tram CCTV requested. EV/2025/02761</t>
  </si>
  <si>
    <t>2504-16</t>
  </si>
  <si>
    <t>14:16 Drive R Pearson (89116) on T106 reports a non traffic RTC on City Road blocking O/B tracks Quick Mission called Trams beginning to turn at SHS &amp; GLT</t>
  </si>
  <si>
    <t>2504-17</t>
  </si>
  <si>
    <t>14:34 j Brooks (stores) reported that he had tripped as he crossed the tracks in depot from the training rooms no injuries reported. EV/2025/02762</t>
  </si>
  <si>
    <t>2504-19</t>
  </si>
  <si>
    <t>09:32 York TRC reported tram 203 (2A22)  C Donnelly had an overspeed between TIN Chord &amp; PAQ TT risk ranking checked and driver to be relieved at Depot DM J Cawthorn informed CCTV TELOC and report requested. SI-0033026</t>
  </si>
  <si>
    <t>TPWS Triggered</t>
  </si>
  <si>
    <t xml:space="preserve">Driver contacted signaller to report the incident </t>
  </si>
  <si>
    <t>16:23 From DM D Tingle cond K P  Hung (1389) has been racially abused on a tram bodycam was activated D Tingle happy that bodycam shows the incident clearly so no futher CCTV required. EV/2025/02764</t>
  </si>
  <si>
    <t>Teenagers being abusive</t>
  </si>
  <si>
    <t>Conductor notified the driver who contacted OCC</t>
  </si>
  <si>
    <t>2504-21</t>
  </si>
  <si>
    <t>17:54 Tram 112 exit depot west to replace tram 118 at Sheffield Station - driver faultXV Plus 161457</t>
  </si>
  <si>
    <t>19/01/2026 - Forwarded to WC &amp; JK for sign off 19/01/2026 - was previously sent directly to WC K by investigating officer 22/08/2025</t>
  </si>
  <si>
    <t>2504-22</t>
  </si>
  <si>
    <t>22:20 DRV J Leggett on T103 reported a large tram stop shelter panel at WES I/B has been smashed - reported to sheffield interchange - cleaners informed and asked to attend. EV/2025/02765</t>
  </si>
  <si>
    <t>2504-23</t>
  </si>
  <si>
    <t>On tram</t>
  </si>
  <si>
    <t>Driver A Fell reported retrospectivley (report completed (05/07/2025) that he sustained an injury due to drivers seats rocking on tram 105. EV/2025/02766</t>
  </si>
  <si>
    <t>RSM Log Chercked and as described found both dampners worn replaced same - used a s training for Chris Heath</t>
  </si>
  <si>
    <t>2504-24</t>
  </si>
  <si>
    <t>14:49 Tram 116 DM R Bridges completing test runs for RSM reported to OCC entering a wrong VIS code to enter depot east  DM handworked points Infra informed and reset points TACT 161518. EV/2025/02767</t>
  </si>
  <si>
    <t xml:space="preserve">Member  of staff has left the business </t>
  </si>
  <si>
    <t>2504-25</t>
  </si>
  <si>
    <t>18:19 Tram 205 reported pedestrian walking trackside CIR-NUS O/B next tram informed seen by OCC to walk clear onto footpath. EV/2025/02768</t>
  </si>
  <si>
    <t>2504-26</t>
  </si>
  <si>
    <t>18:28 Tram 102 G Knight a potential RTC with a car between HIP I/B and BAS I/B around HIL corner driver reported a potentially rolling into the side of the tram as it passed junction - driver did not see incident but reported it to OCC - driver stopped but the car drove off no details available to be exchanged driver reported a small mark to the front side panel of tram driver to be relived to speak to DM- DM James Gilbert and RSM informed CCTV reports and SIBAS requested TACTS 161521 and 161523 - 18:54 DM J Gilbert has spoken to driver G Knight reported junction as Rudyard Road. EV/2025/02769</t>
  </si>
  <si>
    <t>Chased with investigator 02.02.26</t>
  </si>
  <si>
    <t>2504-27</t>
  </si>
  <si>
    <t>19:32 Tram 123 reported WOR O/B shelter panel smashed tram did not witness event  reported to SYP via online portal Sheffeild Interchange and cleaners informed SYP receipt DP-23180-25-1414-04. EV/2025/02771</t>
  </si>
  <si>
    <t>2504-28</t>
  </si>
  <si>
    <t>10:07 Driver D Cormack (1404)  on Tram 121 reported a passenger fall on board as the tram was arriving at CAS outbound the passenger was unijured and got off without leaving any details report CCTV and SIBAS requested. EV/2025/02772</t>
  </si>
  <si>
    <t>Closed due to time elapsed - DM has left the business</t>
  </si>
  <si>
    <t>2504-29</t>
  </si>
  <si>
    <t>T113 reported a group of pedestrians walking up the parkway viaduct between the delta and HYP drivers in the area advised. EV/2025/02773</t>
  </si>
  <si>
    <t>2504-30</t>
  </si>
  <si>
    <t>11:09 DRV S Reith on T107 reported a minor RTC on West Street O/B damage to near side mirror so vehicle detrained at SHA and returned to depot OOS resulting in cancellation SHA-MAB CCTV report and SIBAS (TACT 161589) requested. EV/2025/02775</t>
  </si>
  <si>
    <t>Closed due to time elapsed- was sent to DM 17/07/2025</t>
  </si>
  <si>
    <t xml:space="preserve">12:53 J Leggett T102 reported pedestrian had fallen out of his mobility scooter at SPL I/B person is currently blocking the inbound track - member of public has phoned an ambulance </t>
  </si>
  <si>
    <t>2504-31</t>
  </si>
  <si>
    <t>DRV M Kelly on T121 reports a door trap at HIL O/B no injuiries to passenger  CCTV and report requested.EV/2025/02776</t>
  </si>
  <si>
    <t>Closed du to time elapsed - was sent to DM 17/07/2025</t>
  </si>
  <si>
    <t>Surfers reported between Carbrook and Valley Centertainement. EV/2025/02867</t>
  </si>
  <si>
    <t>DRV R Hague (86735) on tram 111 (purple route) reported on leaving CAT inbound the tram started going back across the x over so stopped - told to wrong direction back into the platform and get detection on C02 points - C02 points detection gained and Tram 111 departed next inbound tram at St James Row had bar aspect with no tram in the inbound platform FEM informed /tacted CCTV and report requested. EV/2025/02680</t>
  </si>
  <si>
    <t xml:space="preserve">Lapse in concentration </t>
  </si>
  <si>
    <t>The incident was reproted to OCC and CCTV was downloaded</t>
  </si>
  <si>
    <t>05:55 Driver R Bayliss (087) tram 118 incorrect code set for MAB at HB01 hand operation required no alarms on SCADA. EV/2025/02868</t>
  </si>
  <si>
    <t>Closed due to issue with tracker that meante time has elapsed</t>
  </si>
  <si>
    <t>2504-33</t>
  </si>
  <si>
    <t xml:space="preserve">18:44 Driver Cmatthews (85223) on Tram 203 reported a woman boarding the tram at Rotherham Central trapped her arm in the door as it was closing the woman was uninjured report and CCTV requested </t>
  </si>
  <si>
    <t>CCTV shows that as the tram is travelling between CAS &amp; FIS a pedestrian (intoxicated) walks into the track as T201 is approaching  - the driver reacts quickly and stops no injuries reported on board the tram the pedestrian continues towards FIS</t>
  </si>
  <si>
    <t>2504-34</t>
  </si>
  <si>
    <t>22:08 DM D Tingle at ARS makes OCC aware of a passenger fall on the platform the passenger sustained a small cut to the knee declined any medical assistance and boarded the next tram EV/2025/02777</t>
  </si>
  <si>
    <t>15/01/2026 WC Authorised to close - CCTV Viewed, no further action</t>
  </si>
  <si>
    <t>15:20 Tram 110 driver D Oakes reported a passenger in a wheelchair hurting their ankle after driver braked sharply on WHL I/B due to traffic passenger had informed conductor CCTV SIBAS and report requested DM E Cooper informed TACT 161747. EV/2025/02870</t>
  </si>
  <si>
    <t>14/10/2025- Email has been sent to DM asking for copy of investigation - DM has confirmed that this has been completed and sent to Megan for sign off</t>
  </si>
  <si>
    <t>2504-35</t>
  </si>
  <si>
    <t>07:51 DRV G Knight on T104 reports that the advertising hoarding at GRR O/B has been smashed cleaners  to attend reported to SYP online and Global emailed. EV/2025/02778</t>
  </si>
  <si>
    <t xml:space="preserve">00:16 Driver C Bradbury (568) tram 125 approaching the delta I/B reports a car on the tracks at the same time SYP contacted OCC to inform us of the same DM Rbridges to site Quickmission contacted to attend J Barnes also to site (currently liasing with MECHNO) XV Plus 161760 - 00:34 DM R Bridges on site with police the vehicle appears to have entered the delta through PS01 and become stuck around PS08 towards the parkway viaduct three occupants - JBarnes now on iste the car has hit the base ofOHLE pole HYP1003no signs of damage currently 4x trams held Delta to Cas 2x trams held at Sheffield Station I/B 01:49 trams now able to return to Depot from City and Sheffield Station OCC coordinating movements </t>
  </si>
  <si>
    <t>08:18 Emergency call from DRV J Major on T113 to inform OCC that has has wrong routed at GLT and gone towards HEP rather than HAL instructed to perform a short wrong direction move and continue on the correct route DM Rwild /J Cawthorn aware . EV/2025/02780</t>
  </si>
  <si>
    <t xml:space="preserve">The incident was reported to OCC and CCTV was downloaded </t>
  </si>
  <si>
    <t>15:40 Drv S Khan on tram 201 incorrect code to enter depot west tact 1617820 DW01 alarm and clear. EV/2025/02871</t>
  </si>
  <si>
    <t xml:space="preserve">Email from DT states that - There are a number of investigations which i have completed and sent, they are still showing as outstanding. they would have gone to Megan. does she still have some to look at? </t>
  </si>
  <si>
    <t>2504-37</t>
  </si>
  <si>
    <t>14:08 Driver A Howard (86110) on tram 108 reported Tram 121 had something hanging downfrom one of its bogies Drver N Dewire (54567) on Tram 121 confirmed there was something hanging down advised to set a vis code for depot and the tram would be swapped at HEP</t>
  </si>
  <si>
    <t>2504-38</t>
  </si>
  <si>
    <t>Driver J Brikitt (254) on tram 122 reported a woman in a motorised wheelchair got her front set of wheels stuck between the platform edge and the tram it took three people to free the wheelchair CCTV requested and tram/platform tacted for checking. EV/2025/02781</t>
  </si>
  <si>
    <t>2505-01</t>
  </si>
  <si>
    <t xml:space="preserve">Glossop Road </t>
  </si>
  <si>
    <t xml:space="preserve">08:08 DRV K Broughton on tram 108 reports a pedestrian jay walking has walked into the tram at the end of Glossop Road O/B the tram was stationary at the time as driver anticipated this and stopped the tram CCTVS SIBAS and report requested DRV to be relived ay CAT to see DM at EP </t>
  </si>
  <si>
    <t>2505-02</t>
  </si>
  <si>
    <t xml:space="preserve">14:11 Tram 121 P Gillott MTE O/B reports a car on roof blocking tracks top of City Road - OCC reported to SYP incident number 536-20250720 SYP attending infra C Bottoms and DM ABarclay informed and making way to site - 14:31 Tram 102 G Lowrie reports SYP on site and person still trapped in car - First Bus accepting tickets Coty- GLT-HEP service disruption sent X updated and oncall informed 14:33 infra onsite and reported persons freed from vehicle and now with YAS 14:40 DM A Barclay on  site SYP recovery expected to take 30  mins 15:44 DM A Barclay confirmed all tracks clear and trams now moving Infra First Bus X On calland service disruption updated </t>
  </si>
  <si>
    <t>2505-03</t>
  </si>
  <si>
    <t>09:15 Tram 118 J Travis reported clipping a a van wing mirror O/B Hills CCTV &amp; SIBAS and reports requested. EV/2025/02873</t>
  </si>
  <si>
    <t>2505-04</t>
  </si>
  <si>
    <t>18:55 DRV P Marsden (41867) Tram 108 WAT O/B reported a group of youths smashing the tram shelter stop glass at WAT SYP contacted via 999 (Inc No 1005/21/07/2025) The youths then boarded tram 104 I/B at 18:58 and travelled as far  as BMR where they got off CCTV requested from both trams and damage reported to sheffield Interchange - 20:00 SYP have been unable to apprehend the youths that caused the damage to the WES tramstop and will pass details on for further investigations EV/2025/02874</t>
  </si>
  <si>
    <t>21/07/2025</t>
  </si>
  <si>
    <t>2505-05</t>
  </si>
  <si>
    <t xml:space="preserve">06:33 OCC informed that there is broken glass from damaged shelter panels on the platform cleaners advised and will attend </t>
  </si>
  <si>
    <t>22/07/2025</t>
  </si>
  <si>
    <t>2505-06</t>
  </si>
  <si>
    <t xml:space="preserve">07:40 DRV C Moran on T119 ar HIL I/B reports a broken down car on Holme lane O/B bloking tracks </t>
  </si>
  <si>
    <t>2505-07</t>
  </si>
  <si>
    <t xml:space="preserve">17:12 A member of the public via Traveline has raised concerns of the state of the concrete in between the tracks just outbound of HAC FEM contacted and attending - G Venner up at HAC and there is a pothoe tha requires filling temporarirly with tarmac until a full repair can be done coming back to depot for tarmac </t>
  </si>
  <si>
    <t>2505-08</t>
  </si>
  <si>
    <t>23 Driver R Singer (097) on tram 202 forgot to change his vis code to use CAT Xover having to hand operate C01 and signals failed for the next outbound tram and C01 points fail.EV/2025/02875</t>
  </si>
  <si>
    <t>Was part of issue with C01 points</t>
  </si>
  <si>
    <t>2505-09</t>
  </si>
  <si>
    <t>16:56 C01 failed after T205 handworked due to having the wrong VIS code entered the next tram arriving at St James row had a proceed INF informed and will reset (tact 161890) 16:56 DRV L Mawkes (78671) T202 wrong VIS code entered for Cat xover C01 handworked points then failed - the next tram arriving at St James Row had a proceed INF informed and will reset (tact 161890). EV/2025/02876</t>
  </si>
  <si>
    <t>2505-11</t>
  </si>
  <si>
    <t xml:space="preserve">14:55 Driver L Bennett (8502599) on Tram 113 reported a female on the wrong side of the bowstring bridge a member of the public is with them -15:00 police are requesting that we stop running across the bridge incident no 609 15:07 The female is safe and the police have taken her away services now running through some with delays </t>
  </si>
  <si>
    <t>24/07/2025</t>
  </si>
  <si>
    <t>2505-12</t>
  </si>
  <si>
    <t xml:space="preserve">06:00 Conductor J Bark (379) reports being pushed by a problem passenger between WES-CIH ok to continue no bodycam worn CCTV requested </t>
  </si>
  <si>
    <t>Have emailed DM for copy of investigation was issued 27/08/2025 - amended to INFO Only as per comments  - CCTV clearly shows that the passenger does not push the conductor but tries to squeeze past the conductor - the conductor does not move to allow them to pass</t>
  </si>
  <si>
    <t>2505-13</t>
  </si>
  <si>
    <t>14:20 T120 LBennett (8502559) at WES I/B reports a passenger on board who is unresponsive DM RWild to meet the tran at CAT DVR also said she thinks that the passengers carer may have been left at MAB CCT Req 14:20 SYP called about the passenger on board T120 to say they had recieved a call for the carer at MAB saying they had been unable to board the tram - DM RWild informed and told to take the passenger off the tram at CAT and wait for the police to arriver - 14:38 Police have arrived and taken the passenger home - EV/2025/02878</t>
  </si>
  <si>
    <t xml:space="preserve">Have emailed DM for copy of investigation was issued 27/08/2025.
03/02/2026 - DM Has advised that this investigation was missed </t>
  </si>
  <si>
    <t>13:30 Driver P Rowbottom (788) tram 116 reported via emergency call a minor RTC with stationary fire engine minor damage to the external cab door and wing mirror damage to the fire engine details exchanged report and CCTV requested driver to be taken off at CAT tram detrained at City Hall RSM advised XV Plus 161969- 13:45 DM R Bridges informed OCC that thr driver P Rowbottom (788) did not get any details of the fire engines DM D Tingle to chase up for details - 14:30 DM D Tingle has reported the incident online to SYFR to request details as their help-line is not servied at the weekend.  EV/2025/02897</t>
  </si>
  <si>
    <t>Driver misjudging the swept path</t>
  </si>
  <si>
    <t xml:space="preserve">Fire engine not parked correctly </t>
  </si>
  <si>
    <t xml:space="preserve">Driver stopped and notified OCC via an emergency call </t>
  </si>
  <si>
    <t>2505-15</t>
  </si>
  <si>
    <t>21:40 T109 Drv reports one glass panel smashed at HYP cleaners informed and reported via portal-21:46 Unable to report smashed glass at HYP-SYP as reporting potal not working 22:14 HYP shelter damage reported to SYP and Sheff Interchange. EV/2025/02898</t>
  </si>
  <si>
    <t>27/07/2025</t>
  </si>
  <si>
    <t>2505-16</t>
  </si>
  <si>
    <t>OHL Technician reported that whilst carrying out maintenance on OHL at Park Grange Road pole no 3140 - Multi-car YS63 FMG slipped off its load spreader- the incident took place on the sloped banking at Park Grange Road</t>
  </si>
  <si>
    <t>no</t>
  </si>
  <si>
    <t xml:space="preserve">Investigation re-issued to AB for completion on the 1st October 2025, new due date 29th October if possible - was sent to WC for review and sign off by AB on 18/11/2025 after NB missed review deadline - has been resent to WC for review and sign off </t>
  </si>
  <si>
    <t>2505-17</t>
  </si>
  <si>
    <t xml:space="preserve">Whilst driving the multicar -(YM02 DJY0) outbound on Park Grange Road - tech heard what sounded like loose bearings coming front  under the front drivers side rail wheel after pulling over to inspect the wheel  in question it was confirmed that it had a loose bearing </t>
  </si>
  <si>
    <t>23/07/2025</t>
  </si>
  <si>
    <t>2505-18</t>
  </si>
  <si>
    <t>07:49 DVR A Howard wrong code entered to enter depot west DW01 hand op DW01 alarm then cleared for following tram. EV/2025/02899</t>
  </si>
  <si>
    <t>Confirmation  from DM sent to Sharon Galloway, completed in the summer. MB Deputising.</t>
  </si>
  <si>
    <t>2505-19</t>
  </si>
  <si>
    <t>19:15 Driver C Matthews (85223) tram 202 at Valley Centertainment O/B reports an object was thrown at the tram unsure if any damage to carry out checks - 19:20 Driver C Matthews (85223) tram 202 reports a cab side window cracked RSM advised XV Plus 162004 RSM to check the tram at Nunnery I/B CCTV request submitted. EV/2025/02900</t>
  </si>
  <si>
    <t>28/07/2025</t>
  </si>
  <si>
    <t>2505-20</t>
  </si>
  <si>
    <t>19:25 OCC on checking Valley centertainment tramstop noticed 1x large glass panel smashed on the O/B side OCC conctacted Town Hall CCTV and they have recorded footage of 3 x mlaes smashing the panel - cleaners contacted to attend and PTE informed of the damage - SYP  contacted via 101 the tram window damagae (T202) and shelter damage (VCT O/B) reported SYP  informed of townhall CCTV footage re: shelter damagecrime ref no for both incidents 14/133654/25 - EV/2025/02901</t>
  </si>
  <si>
    <t>2505-21</t>
  </si>
  <si>
    <t>23:37 Tram 111 reported pedestrian walking on the viaduct from Delta - HYP next tram informed next tram reported viduct clear. EV/2025/02902</t>
  </si>
  <si>
    <t>2505-22</t>
  </si>
  <si>
    <t xml:space="preserve">12:20 T110 D Ibbertson reported that a cyclist had fallen from his bike on Infirmary Road </t>
  </si>
  <si>
    <t>29/07/2025</t>
  </si>
  <si>
    <t>2505-23</t>
  </si>
  <si>
    <t xml:space="preserve">13:09 D Johnson -T201 reported havinmg 1 x large window smashed at WOR I/B  CCTV requested and reported to SYP online tram OOS to depot </t>
  </si>
  <si>
    <t>2505-24</t>
  </si>
  <si>
    <t>SYP called OCC to report car on side City Rd I/B infra informed to go to site and check infrastructure for damage - 21:26 G Venner confirms tracks and infrastructure inspected after car cleared on City Road no dmamage reported</t>
  </si>
  <si>
    <t>2505-25</t>
  </si>
  <si>
    <t xml:space="preserve"> PS05 Points</t>
  </si>
  <si>
    <t xml:space="preserve">Driver J Brikitt (254) tram 113 rpeorted an unsual noise just before or just after points PS05 on the delta G Venner to site for checks XV Plus 162021 the following tram (116) advised to approach with caution - Driver S Scanes (850886) tram 116 advised to go through PS05 at a reduced speed  (3mph) the driver didnt report ant noise or feel anything out of the ordinary G Venner on route to site for checks trams to be instructed to cross PS05 at a reduced speed until checks are completed - G Venner has checked the track area around PS05 and after checking 3x trams includong tram 113 with another team member on the ground has determined that T113 is catching the nearside check rail on approach to PS02 RSM informed XVPlus 162053 tram is returning to depot (early tram) </t>
  </si>
  <si>
    <t>2505-26</t>
  </si>
  <si>
    <t xml:space="preserve">09:05 DVR S Spillman (8504629) T110 reported a passenger fell on the tram LEL I/B the passenger left the tram at HIL without giving any details no injuries weere reported at the time CCTV and report requested </t>
  </si>
  <si>
    <t>2505-27</t>
  </si>
  <si>
    <t xml:space="preserve">18:10 Call to OCC from DM A Roberts -Customer service advisor as GLT reports leaving his bag at bus stop whilst going over to Sainsbury for some food upon return discovered bag to have been stolen happened between 17:55 -18-05 person will report to SYP CCTV requested for tram at GLT incase anything seen </t>
  </si>
  <si>
    <t>2505-28</t>
  </si>
  <si>
    <t>22:51 Tram 104 M Kelly reported a near miss leaving SHA O/B evasive action taken no injuries reported CCTV report and SIBAS requested DM A Roberts informed SIBAS 162088</t>
  </si>
  <si>
    <t>17/09/2025 -re catergorised on comment form Duty manager - Tram 104 leaves SHA outbound and is approaching the junction of Water Street / Infirmary Road. A car comes from Watery Street over the give way marker and stops in the road as tram 104 is approaching. The tram stops, the car reverses, the tram continues. No fallers etc</t>
  </si>
  <si>
    <t>2505-29</t>
  </si>
  <si>
    <t>Blackburn Meadows</t>
  </si>
  <si>
    <t xml:space="preserve">20:51 DVR D Cormack reports from tram 120 I/B at Blackburn Meadows way that objects were thrown towards the the tram  with no damage and nobody seen - SYP online completed </t>
  </si>
  <si>
    <t>2505-30</t>
  </si>
  <si>
    <t xml:space="preserve">22:38 DRV M Carr on T205 reports that HYP O/B tramstop has a tram stop has a shelter pane smashed reported to SYP online Sheffield interchnage and cleaners asked to attend </t>
  </si>
  <si>
    <t>2505-31</t>
  </si>
  <si>
    <t xml:space="preserve">17:11 Non-tram RTC Netherthorpe Road/Meadow Street trams blocked ambulance on site Quick Misssion called on-call manager D Hallam informed </t>
  </si>
  <si>
    <t>2505-32</t>
  </si>
  <si>
    <t xml:space="preserve">10:36 Drive C Tirziu (61202) Tram 114 a CAS I/B reported to OCC a doortrap at CAT I/B involving a female passenger alighting no injurires reported at the time CCTV requested DM J Cawthorn notified </t>
  </si>
  <si>
    <t>2505-33</t>
  </si>
  <si>
    <t>3- Car RTC blocking White Lane SYP on site services running HAL-BIL</t>
  </si>
  <si>
    <t>2505-34</t>
  </si>
  <si>
    <t>DRV G Lowrie reports from tram 104 at VAC O/B one large shelter panel smashed SYP online completed Sheff interchange informed CCTV at Townhall ave captured this incident and will save it.EV/2025/03503</t>
  </si>
  <si>
    <t>2505-35</t>
  </si>
  <si>
    <t>11: 55 Drv Kelly on T118 reported that her cowcatcher may be scrapping on some spare rail that is being stored in the 4ft at Ner O/B next tram reported no issue but suggested that the rail did look slightly raised FEM informed and will check (TACT 162255)</t>
  </si>
  <si>
    <t>2505-36</t>
  </si>
  <si>
    <t xml:space="preserve">10:17 T117 exit depot east to replace T111 at MEI at RSM request after T111 was reported to be making an unsual noise from bogey (TACT 162256) </t>
  </si>
  <si>
    <t>2505-37</t>
  </si>
  <si>
    <t>15:00 Driver A Turner MEI bound tram 113 just leaving HIP reports having a child (4 or 5) onboard without an adult con Ka Wai Mui to get off tram at HIL and go into interchange and try to contact the childs parents -15:08 From EP - DM James Gilbert con Ka Wa Mui has let him know that the childs mum is coming to collect them from the interchange so he is now making his way bact to CAT to finish - interchange staff are caring for the child untl the mum arrives etc</t>
  </si>
  <si>
    <t>2505-38</t>
  </si>
  <si>
    <t>17:52 Driver L Gulak (8506434) tram 119 reports objects thrown at the tram leaving Valley Centertainment O/B on inspection 3 small marks noticed on rear windscreen XV Plus 162270 CCTV requested. EV/2025/03504</t>
  </si>
  <si>
    <t>2505-39</t>
  </si>
  <si>
    <t xml:space="preserve">17:55 Four youths at the Arena tramstop throwing ballast no damage currently two of the youths climbed over the fencing on to NR side - TRC contacted and then climbed back on to the tramstop - two youths then climbed onto the I/B tram shelter Town hall CCTV are observing and have called for officers to attend infrastructure contacted to check Arena infrastructure - officers are on site at the Arena platform with the youths - infrastructure on site also - Infrastructure reported that the police had taken a a large metal tent peg and a screwdriver off the youths no platform damage reported the police started to leave site with the youths concerned two of the youths ran off with the police chasing </t>
  </si>
  <si>
    <t>2505-40</t>
  </si>
  <si>
    <t xml:space="preserve">13:21 Glenn contractor for SYFTL took an unauthorised possession of the loop for measurements - 13:24 T106 drIver training tram brought on to depot and held at depot east due to team taking measurements in the wrong location and were measureing from outside 10E, caused conflict with said tram, emergency held until contractor had completed works -1355  Glen, removed wrong and unauthorised possesion. CCTV made available via OCC in the relevant folder. </t>
  </si>
  <si>
    <t>2505-41</t>
  </si>
  <si>
    <t>09:25 Drv J Ahmed on T112 incorrect code to depart MEI M02 handworked tact 1622421 on call informed. EV/2025/03505</t>
  </si>
  <si>
    <t>Completed and sent for sign off with line manager 02.02.26</t>
  </si>
  <si>
    <t>2506-01</t>
  </si>
  <si>
    <t>N/R signaller informed OCC that T205 Ndewire (54567) has had an overspeed  DM J Cawthorn to meet the tram at CAT and make further enquries - DM Jcawthorn has spoken to Dvr N Dewire about the overspeed on N/R and is happy for driver to continue in service once he completes a report</t>
  </si>
  <si>
    <t>2506-02</t>
  </si>
  <si>
    <t>15:50 Drv P Gillott on T109 reports a passenger fall departing Cat no injuries reported  - CCTV SIBAS 162452 DM R Wild aware. EV/2025/04166</t>
  </si>
  <si>
    <t xml:space="preserve">Passenger fell on to sitting position on steps </t>
  </si>
  <si>
    <t xml:space="preserve">Tram setting off from steps </t>
  </si>
  <si>
    <t>RSM S Hague reports that S Webster has injured his leg Shaun staying at work, RSM to complete forms. EV/2025/04178</t>
  </si>
  <si>
    <t xml:space="preserve">Metal splinter/shard broke away from the incorrect tooling/attachement </t>
  </si>
  <si>
    <t>Operator was using incorrect tooling/attachement to carry out the task</t>
  </si>
  <si>
    <t xml:space="preserve">Incident reported via shift supervisor at the time and documented injured operative adminstered first aid themselves - form ST004-01 completed by the operative </t>
  </si>
  <si>
    <t>2506-04</t>
  </si>
  <si>
    <t>Wreckless third party driving, dealt with appropriately</t>
  </si>
  <si>
    <t>2506-05</t>
  </si>
  <si>
    <t>16:43 Tram 203 S Green reported female passenger hurt arm whilst trying to get on the tram as the doors closed at CAR I/B no medical attention CCTV and reports requested DM J Gilbert informed. EV/2025/04181</t>
  </si>
  <si>
    <t>2506-06</t>
  </si>
  <si>
    <t>20:03 Tram 121 R Hague reports conductor R Razdan wants to complete report regards abusive passenger on previous rip DM A Roberts informed and to update -20:43 DM A Roberts reports R Razdan has completed a report - conductor does not wish to report to SYP DM reports body cam activated CCTV requested by DM. EV/2025/04182</t>
  </si>
  <si>
    <t>2506-07</t>
  </si>
  <si>
    <t>South Street Bridge</t>
  </si>
  <si>
    <t>Not on OCC log, picked up from daily call - T107 Bogie Lifeguards made contact with Track Breather plate covers at South ST Bridge causing significant damage to tram and resulting in the requirement for a fleet wide check at end of service 28.08 due to suspsicions of maybe now four known vehicles possibly affected by same fouling piece of infrastructure. RIDDOR reportable REG7/Part5/Par60&amp;73(f).</t>
  </si>
  <si>
    <t>2506-08</t>
  </si>
  <si>
    <t>09:05  Tram 119 S Green reported a near miss with moped overtaking the tram in the opposite direction evasive action taken CCTV SIBAS and report requested DM J Gilbert informed TACT :162484. EV/2025/04194</t>
  </si>
  <si>
    <t>DM has confirmed  that this investigation has been completed and sent for sign off to Deputy?</t>
  </si>
  <si>
    <t>2506-09</t>
  </si>
  <si>
    <t>11:23 Tram 119 G lilley reported pedestrian laid in the tracks at CAT I/B pedestrian wanted "tram to run over them" pedestrian moved after a minute</t>
  </si>
  <si>
    <t>2506-10</t>
  </si>
  <si>
    <t>18:00 Person on wrong side of Bow String Bridge - police closed the bridge - clear 18:20</t>
  </si>
  <si>
    <t>2506-11</t>
  </si>
  <si>
    <t>06:56- R pearson 89116 on T123 entered wrong code to exit depot west  - went on to headshunt re-entered depot worked second time. EV/2025/04187</t>
  </si>
  <si>
    <t>Confirmation  from DM sent to Sharon Galloway, completed in the summer</t>
  </si>
  <si>
    <t>2506-12</t>
  </si>
  <si>
    <t>17:45 Tram 102 L Gulak reported pedestrian between CIR -NUS next tram informed - pedestrian seen to walk clear of tracks. EV/2025/04188</t>
  </si>
  <si>
    <t>2506-13</t>
  </si>
  <si>
    <t xml:space="preserve">18:32 Tram 102 L Gulak reported youths on the path next to the delta using a sling shot to shoot the birds youths observed on CCTV to fire sling shot Townhall CCTV informed CCTV to report to SYP </t>
  </si>
  <si>
    <t>2506-14</t>
  </si>
  <si>
    <t xml:space="preserve">Drv on T101 L Gulak reported near miss with car that jumped red light but stopped no evasive action taken by the driver of T101 CCTV requested </t>
  </si>
  <si>
    <t>2506-15</t>
  </si>
  <si>
    <t xml:space="preserve">21:19 Drv o T117 P Rowbottom (788) reported a drunken male WES O/B jumping in and out of the tracks next O/B tram informed and asked to update </t>
  </si>
  <si>
    <t>2506-16</t>
  </si>
  <si>
    <t>20:40 DRV L Mawkes (78671) T202 reported shelter glass smashed x2 at TIN I/B reported to SYP online Tramsport Interchange informed Townhall CCTV contacted and a young male is seen causing in the damage. EV/2025/04189</t>
  </si>
  <si>
    <t>2506-17</t>
  </si>
  <si>
    <t>05:22 Driver of T111 L Gulak (8506434) unable to exit depot west due to incorrect VIS code 302 instead of 02 headshunt back on depot  - reapproach with correct code .EV/2025/04190</t>
  </si>
  <si>
    <t>2506-18</t>
  </si>
  <si>
    <t>13:45 Drv reported smashed glass panels at Valley Centertainment crimed interchange informed. EV/2025/04191</t>
  </si>
  <si>
    <t>2506-19</t>
  </si>
  <si>
    <t>OCC contacted by SYP ref shelter damage at ARS O/B advised to contact Sheffield City Council for any possible CCTV footage of the incident Crime REF 14-150875-25. EV/2025/04192</t>
  </si>
  <si>
    <t>2506-20</t>
  </si>
  <si>
    <t>DRV D Wilks on T201 reports panels smashed at ATT on both platforms also reports people believed to have caused the damage travelled ATT -WOR and threatened CON R Madin CCTV and reports requested Sheffield CCTV have saved footage of the damage being caused reported to SYP online and Sheffield Interchange. EV/2025/04193</t>
  </si>
  <si>
    <t>2506-21</t>
  </si>
  <si>
    <t xml:space="preserve">Shefield City Council CCTV report that they have noticed a smashed shelter panel at Cricket In Road I/B reported to Sheffield Interchange SYP online and cleaners requested to attend. EV/2025/04195 </t>
  </si>
  <si>
    <t>2506-22</t>
  </si>
  <si>
    <t>13:40 DVR T114 reports loose pipe hanging from bogie 2 whilst a NUS -RSM attended and temporarily tied it up so that it can be replaced by T118 at CAT T118 exits D/W on Y4  DV162607</t>
  </si>
  <si>
    <t>Found axle 3 earth hub &amp; lid damaged, built-up new earth hub and replaced damaged hub, when moving tram 1 end showing VIS transmission equipment failure, swapped antenna card end to end, fault has now moved to 2 end. Replaced card and attempted to rephase but unable to get full overlay of phases. Replaced card again and rephased</t>
  </si>
  <si>
    <t>2506-23</t>
  </si>
  <si>
    <t>20:40 T112 reported shelter glass smashed at CRP O/B reported to SYP online transport interchage informed . EV/2025/04196</t>
  </si>
  <si>
    <t>2506-24</t>
  </si>
  <si>
    <t>Drv of T103 J Birkitt (254) reported 1 x large pane of glass smashed HAC O/B  crimed via on line portal and reported to Sheffield Interchange informed. EV/2025/04197</t>
  </si>
  <si>
    <t>2506-25</t>
  </si>
  <si>
    <t>08:20 Tram 114 withdrawn from service at SHA O/B due to a cable and cover from the bogey hanging down and dragging along the floor - tram initially to be sent back to depot but sent to MAB end section after consultation with RSM  - RSM to attend tram at MAB cancellation SHA-MAB-CAT TACT 162668</t>
  </si>
  <si>
    <t>driver reported axle 2 earth hub lid detached from hub with cable still connected, met tram at end section at MAB, cut earth lid off and tie wrapped cable to bracket and told OCC to pull tram, GS suggested to check all earth hubs and cables as this is the 2nd occurrence and have also suggested all end caps to be removed and thread lock to be added to the bolts as CM suggests it doesnt look like it has been done previously. left for afters to do so.
 Replaced earth contact for overhauled unit, made up and fitted new bogie earth cable and terminated to earth contact. Removed all earth contact lid screws, applied loctite to all and refitted. Also drilled out sheared shunt bolt on same axle, replaced shunt ok.</t>
  </si>
  <si>
    <t>2506-26</t>
  </si>
  <si>
    <t>11:52 Tram 115 C Donnelly reports from conductor I Grayson that a passenger left the tram at DOW I/B after spraying a cannister from underneath a towel passenger alleged it was lauging gas as they left the tram driver reports no residue or smell on the tram conductor to complete report back at CAT DM D Willey informed . EV/2025/04198</t>
  </si>
  <si>
    <t>2506-27</t>
  </si>
  <si>
    <t>23:29 Shelter glass panels smashed at DOW incident not seen by any trams reported to SYP via online portal. EV/2025/04199</t>
  </si>
  <si>
    <t>2506-28</t>
  </si>
  <si>
    <t>22:11 Drv of T103 G Lowrie (1066) reported both shetlters at MOW have had panels damaged reported to Sheffield Interchange and SY via online portal. EV/2025/04200</t>
  </si>
  <si>
    <t>2506-29</t>
  </si>
  <si>
    <t>22:15 Drv of T109 D Worth (569) reported clipping a wing mirror on a mini bus WES o/b not sure if the mini bus moved as he was passing - no details exchanged CCTV and reports requested. EV/2025/04202</t>
  </si>
  <si>
    <t>Tram passing minibus close to swept path</t>
  </si>
  <si>
    <t>Minibus manoeuvred causing contact</t>
  </si>
  <si>
    <t xml:space="preserve">The driver reported the collision to OCC but was unable to excahnge details with the other party </t>
  </si>
  <si>
    <t>2506-30</t>
  </si>
  <si>
    <t>Bernard Road</t>
  </si>
  <si>
    <t xml:space="preserve">09:26 Tram 201 D Johnson reports red light violation at Bernard Road I/B with taxi coming through the lights left to right no evasive action  </t>
  </si>
  <si>
    <t>POINT (-1.4530760 53.3847231)</t>
  </si>
  <si>
    <t>2506-31</t>
  </si>
  <si>
    <t>20:20 Tram 107 D Oakes reported passenger fall Spring Lane O/B no injuries reported of details exchanged CCTV &amp; Sibas requested - EV/2025/04267</t>
  </si>
  <si>
    <t>2506-32</t>
  </si>
  <si>
    <t>06:40 DRV L Gulak on T115 reports shelter panel smashed at BDH reported to SYP online and Interchange informed cleaaners requsted to attend. EV/2025/04268</t>
  </si>
  <si>
    <t>2506-33</t>
  </si>
  <si>
    <t>12:41 DRV K Broughton on T121 reports a problem passenger behaving unsociably advised to keep conductor away from situation and update OCC -13:18  DM A Roberts is attending T121 at CAT ref problem passenger and has requested SYP aasitance to remove the passengrr vehcile moving at 13:22</t>
  </si>
  <si>
    <t>2506-34</t>
  </si>
  <si>
    <t xml:space="preserve">02:39 J Barber reported 2 youths tried to steal the toolbox from the back of the box from back of van at Park Grange Croft </t>
  </si>
  <si>
    <t>2506-35</t>
  </si>
  <si>
    <t>12:18 T112 reported a pedestrian walking between NUS-CIR following tram advised and no one seen. EV/2025/04269</t>
  </si>
  <si>
    <t>2506-36</t>
  </si>
  <si>
    <t>12:40 Drv A Smith (1263)  T202 reported a passenger fall on the tram whilst boarding at ROC I/B the passenger left the tram without giving details no injuries were reported at the time CCTV and report requested - SI-0038276</t>
  </si>
  <si>
    <t>2506-37</t>
  </si>
  <si>
    <t>19:38 Driver S Cuckson (1016) tram 117 reports three youths walking trackside between the chord and tinsley following tram reported youths continuing towards carbrook drivers - 20:16 Tram 201 reports no one seen between Tinsley and Valley. EV/2025/04270</t>
  </si>
  <si>
    <t>2506-38</t>
  </si>
  <si>
    <t>20:25-20:30 Male was walking down the tram - as the tram went around the bend the male fell on the stairs - males states that has hit his heas on the seat - medical assistance was declined - no details left. EV/2025/04271</t>
  </si>
  <si>
    <t>2506-39</t>
  </si>
  <si>
    <t>07:46 T105 reports a pedestrian on the Hyde Park viaduct  next trams informed. EV/2025/04272</t>
  </si>
  <si>
    <t>2506-40</t>
  </si>
  <si>
    <t xml:space="preserve">09:05 T103 repots pedestrian walking trackside I/B WHL other drivers informed </t>
  </si>
  <si>
    <t>2506-41</t>
  </si>
  <si>
    <t xml:space="preserve">Shalesmoor </t>
  </si>
  <si>
    <t>15:16 Tram 114 N Burton SHA I/B reported smoke but no sign of flame coming from rear bogey of tram - tram detrained RSM contacted and tram brough OOS back to depot.</t>
  </si>
  <si>
    <t>2506-42</t>
  </si>
  <si>
    <t xml:space="preserve">18:52 Tram 110 reported 2 male pedestrians stood in the bushes next to MEI platform near M02 points next tram report still there Infr informed to inspect - 19:13 Infrastructure report no pedestrians seen at MEI however the gate was open infra resucured the gate </t>
  </si>
  <si>
    <t>2506-43</t>
  </si>
  <si>
    <t>20:00 Diver D Cormack reported to DM A Barclay a near miss with a pedestrian on the delta coming from HYP around 19:08 DM informed OCC CCTV report and SIBAS  requested. EV/2025/04273</t>
  </si>
  <si>
    <t>2506-44</t>
  </si>
  <si>
    <t xml:space="preserve">13:01 T111 Drv L Gulak (1293)  reports some youths throwing objects at the tram at CAS I/B Drv reports no damage to tram CCTV requested </t>
  </si>
  <si>
    <t>2506-45</t>
  </si>
  <si>
    <t xml:space="preserve">DRV L Bennett on T117 reported that there was possibly a non tram RTC on City Road as a vehicle attempted to overtake the tram CCTV requested </t>
  </si>
  <si>
    <t>Chased with investigator 02.02.26.
03/02/2026 this investigation was sent to Sgalloway for sign off 14/09/2025</t>
  </si>
  <si>
    <t>2506-46</t>
  </si>
  <si>
    <t>14:31 T107 reported 3 youths on bike cycling up the parkway viaduct following tram reported he youths where nowclear of the tracks.EV/2025/04274</t>
  </si>
  <si>
    <t>2506-47</t>
  </si>
  <si>
    <t>17:57 T117 reported shelter glass smashed at MOW O/B reported to SYP online transport interchange informed EV/2025/04275</t>
  </si>
  <si>
    <t>2506-48</t>
  </si>
  <si>
    <t>19:30 Drv D Cormack (91404)  T111 reported a group of youths on motorbikes blocking the tracks at ARR I/B one of the youths on the platform then pointed therear of his bike through the tram doors and filled it with exhuats fumes CCTV requested. EV/2025/04276</t>
  </si>
  <si>
    <t>2506-49</t>
  </si>
  <si>
    <t>21:01 DRV S M Walters (1288) T1109 reported a passenger fall on the tram whilst the tram was coming to a stop at WHL O/B the passenger left the tram without giving any details no injuires were reported at the time  SIBAS download CCTV report requested. EV/2025/04278</t>
  </si>
  <si>
    <t>2506-50</t>
  </si>
  <si>
    <t xml:space="preserve">12:26 T113 Dvr P Marsden (1142) reports at the bottom of Park Grange Viaduct he thought someone was throwing onjects at the tram he said that there was no  visable presence in the area Drv asked to inform OCC if there was any damage and all blue purple route trams informed </t>
  </si>
  <si>
    <t>2506-51</t>
  </si>
  <si>
    <t xml:space="preserve">17:45 DRV G Lilley (625) on T113 reports shelter paneL smashed at CRP O/B reported to SYP online traveline and cleaners to attend </t>
  </si>
  <si>
    <t>2506-52</t>
  </si>
  <si>
    <t>18:08 NR Signaller contacted OCC to inform of an overspeed at S744 by 2A72 (DRV DM J Gilbert on T205) risk ranking of driver checked and permission given to signaller and trc for the driver to continue. SI-0038820</t>
  </si>
  <si>
    <t xml:space="preserve">Person has left the business </t>
  </si>
  <si>
    <t>2506-53</t>
  </si>
  <si>
    <t>19:48 T125 reports some youths trackside at the bottom of the viaduct at GRR O/B other drivers advised - OCC contacted by SYP reference an incident they are attending at GRR O/B T103 currently on site and reported viaduct all clear of pedestrians at 20:36. EV/2025/04279</t>
  </si>
  <si>
    <t>2506-54</t>
  </si>
  <si>
    <t>07:30 1 Large pane of glass smashed CRP I/B cleaners informed and reported to Sheffield Interchange and SYP. EV/2025/04282</t>
  </si>
  <si>
    <t>2506-55</t>
  </si>
  <si>
    <t>21:06 MOW O/B shelter glass smashed reporting tram and previous saw nothing reported to SYP via online portal. EV/2025/04283</t>
  </si>
  <si>
    <t>2506-56</t>
  </si>
  <si>
    <t>21:24 CRP O/B also now found to be smashed potential perpetrators identified CCTV  requested.EV/2025/04284</t>
  </si>
  <si>
    <t>2506-57</t>
  </si>
  <si>
    <t>00:10 Tram 116 S Scanes reported tram surfer between CAT-CAS I/B CCTV requested to be reported to SYP after CCTV viewed.EV/2025/04285</t>
  </si>
  <si>
    <t>2506-58</t>
  </si>
  <si>
    <t>10:20 Tram 107 reported one large pane smashed  MOW O/B last tram passed didn’t know if glass was smashed reported online. EV/2025/04286</t>
  </si>
  <si>
    <t>2506-59</t>
  </si>
  <si>
    <t xml:space="preserve">18:05 Call received from BTP regarding a male stood in the ttracks at MEI BTP are on site deailing with him next tram told to approach with caution and update once there -18:09 further call from BTP no trace of the reported male in the tracks </t>
  </si>
  <si>
    <t>2506-60</t>
  </si>
  <si>
    <t>21:23 DRV of T203 L Mawkes reproted distressed female sat in the 6ft on the Bowstring Bridge tram inable to move T109 Townhall contacted who in turn contacted SYP dm j Cawthorn asked to attend - 21:32 personhas now moved the pavement and tramsnow able to move 21:36 Police onsite 21:36 Person now moved to a safe place.</t>
  </si>
  <si>
    <t>2506-61</t>
  </si>
  <si>
    <t>18:53 DRV E Wilknison reports from T102 at INR O/B that conductor  G Slator has hurt her leg and she does not know how this happened Gaynor to stay seated up tpo MAB and back to CAT where she will be taken off to see DM at EP</t>
  </si>
  <si>
    <t>2506-62</t>
  </si>
  <si>
    <t>19:32 DVR J Mtichell reports from tram 110 at CRP O/B that a large shelter panel has been smashed and no one in the area - T101 in front of T110 when asked stated that the shelter was not damaged and no one seen in the area at the time SYP online completed and Sheffield Interchange informed cleaners to sweep up EV/2025/04287</t>
  </si>
  <si>
    <t>2506-63</t>
  </si>
  <si>
    <t xml:space="preserve">20:05 DM D Willey reports that CON G Binney has telephoned EP to say that a couple of passengers who travel regularly may have brough a knife on board - this info came from a passenger G Binney was not on the tram at the time as he was using the toliet facilites in the station without OCC being aware - GBinney to be taken of for a report </t>
  </si>
  <si>
    <t>2506-64</t>
  </si>
  <si>
    <t>22:19 Tram 201 reported a pedestrian walking on HYP  viaduct towards the delta next tram informed. EV/2025/04288</t>
  </si>
  <si>
    <t>2506-65</t>
  </si>
  <si>
    <t>22:45 Tram 105 A howard reported advertising panel smashed at MEI cleaners informed and to inspect driver did not report seeing the damage. EV/2025/04289</t>
  </si>
  <si>
    <t>2506-66</t>
  </si>
  <si>
    <t xml:space="preserve">09:58 Drv D Luker and S Khan both called whilst on Bow String Bridge to say a distressed person was attempting to jump from the bridge , a pedestrian was struggling to prevent this so both and Con  C Crawford assisted DM N Wybrant to site CCTV called SYP to attend services held and turned accordingly </t>
  </si>
  <si>
    <t>2506-67</t>
  </si>
  <si>
    <t xml:space="preserve">17:21 DVR D Garringhan (1267) T111 HIL I/B reported football fans fighting on the tram CCTV requested </t>
  </si>
  <si>
    <t>2506-68</t>
  </si>
  <si>
    <t>18:25 System cleaner reported a group of youths at CRP tram stop throwing ballast advised to contact SYP on 999 no danage reported at the time.</t>
  </si>
  <si>
    <t>2506-69</t>
  </si>
  <si>
    <t>18:44 System cleaner G Watson (1397) reported the group of youths have now smashed the glass shelter panel at CRP he has already contacted SYP but no one had arrived incident reported to transport interchange and online to SYP - 2 panels EV/2025/04290</t>
  </si>
  <si>
    <t>2507-01</t>
  </si>
  <si>
    <t xml:space="preserve">15:20 DVR T Baldwin reports from tram105 that a group of youths next to Peaks Mount threw ballast at the tram with no damage  the next tram o/b tram advised SYP online and CCTV requested </t>
  </si>
  <si>
    <t>2507-02</t>
  </si>
  <si>
    <t>University</t>
  </si>
  <si>
    <t xml:space="preserve">18:20 DVR N Burton from tram 103  at SHA O/B that conductor H Campbell has activated BWC due to a passenger altecation betwen UOS and SHA DM J Gilbert advised </t>
  </si>
  <si>
    <t>2507-03</t>
  </si>
  <si>
    <t xml:space="preserve">Manor Top </t>
  </si>
  <si>
    <t>19:45 DVR D Cormack reports from T102 at MTE O/B of a non tram RTC blocking the trracks at Hurlfield Road 19:55 Tracks now clear for trams to run</t>
  </si>
  <si>
    <t>2507-04</t>
  </si>
  <si>
    <t>00:23 OCC informed by contractors Volker Rail that a pedestrian had smashed a shelter panel at Woodbourn Road  O/B inicdent after service CCTV camera not viewing platform at the time - camera moved to view individual walking away with good facial images seen  Townhall CCTV informed to save CCTV SYP informed via online portal and Sheffield Interchange informed cleaners to be informed once on in the morning SYP reciept DP-34416-25-1414-04 - EV/2025/04304</t>
  </si>
  <si>
    <t>2507-05</t>
  </si>
  <si>
    <t>11:12 T101 Drv D Wilks (1077) reports having to apply track brake due to ped crossing turning to bar while tram was close to signal no inuries reported CCTV requested - 2000295.</t>
  </si>
  <si>
    <t>DM has confirmed  that this investigation has been completed and sent for sign off to deputy?</t>
  </si>
  <si>
    <t>2507-06</t>
  </si>
  <si>
    <t xml:space="preserve">13:19 Overhead team at ARS O/B have concerns about loose and falling tree branches and have asked for passengers to use the I/B platform  M Blackwell informed and ASC to trams and tram trains - overhead team request someone from the safety team attend and assist  nobody currently at depot but J Keeling to contact G Fairweather by telephone - N Barraclough on-site at ARS informs OCC a contractor is being soureced to remove a tree branch causing particular concern  the team on site will continue to monitor until contractor can carry out the work - 15:46 contractor arrived on site has give a time quote of 90 mins to complete the work isolation required in preparation to empty vehicles from affected area  yelow route suspended NUS-MEI tram train suspended on-call informed service diruption email sent </t>
  </si>
  <si>
    <t>2507-07</t>
  </si>
  <si>
    <t>13:39 DVR S Scanes (1307) T105 reported a passenger fall on the tram whilst the tram was stationary at HAL the passenger left without giving any details no injuries were reported at the time CCTV report requested. EV/2025/04305</t>
  </si>
  <si>
    <t>Non</t>
  </si>
  <si>
    <t>2507-08</t>
  </si>
  <si>
    <t>19:24 Shelter glass reported smashed at MOW O/B reported to SYP via online portal nothing seen by proceeding trams. EV/2025/04307</t>
  </si>
  <si>
    <t>2507-09</t>
  </si>
  <si>
    <t xml:space="preserve">05:58 DRV C Morrison on T101 reports not getting V to exit depot west AVL shows no code entered CCTV and reports requested and DM Rwild aware </t>
  </si>
  <si>
    <t>none</t>
  </si>
  <si>
    <t>Investigation closed due to time elapsed.</t>
  </si>
  <si>
    <t>N</t>
  </si>
  <si>
    <t>2507-10</t>
  </si>
  <si>
    <t>Depot Ten Road</t>
  </si>
  <si>
    <t>A contractor was on site removing and installing remedial equipment to the overhead one tonne crane when some of the exsiting infrastruture been removed fell to the workshop floor causing no injury or damage.</t>
  </si>
  <si>
    <t xml:space="preserve">Email from WC states that since th initial incident there has been work carried out on the shopfloor area for housekeeping improvements and there has been focus on the control of contractors </t>
  </si>
  <si>
    <t>Depot Eight West</t>
  </si>
  <si>
    <t xml:space="preserve">Whilst RSM operative using the bogie turntable on 8W their grip slipped on the moving bar which threw them into and towards the outer wall of the depot. RSM Manager asked to monitor any lost time - 12:53 RSM P Hunt informs OCC that at 11:40 he had an accident involving the turn table on 8W report completed and he will forward directly to the safety team </t>
  </si>
  <si>
    <t>Reassigned 02.02.2026 to ND, was originally due 16.10.2025 by GS who has now left the business.</t>
  </si>
  <si>
    <t>2507-12</t>
  </si>
  <si>
    <t>11:58 DRV A Hall (1098) reported a passenger fell on the platform whilst boarding the tram at GLT I/B no injuries were reported at the time and the passenger gave no details CCTV requested. EV/2025/04870</t>
  </si>
  <si>
    <t>2507-13</t>
  </si>
  <si>
    <t xml:space="preserve">Bowstring Bridge </t>
  </si>
  <si>
    <t xml:space="preserve">19:06 2 teenage in 6ft Bow String Bridge not obviously distressed /vulnerable but refusing to move trams are able to pass at reduced speed Townhall CCTV advised </t>
  </si>
  <si>
    <t>2507-14</t>
  </si>
  <si>
    <t>11:15 DVR G Lilley reports from T118 youth placing ballast on the track at Moss Way O/B next trams advised following tram reports no ballast and a pedestrian walking MOW to DOW trams advised</t>
  </si>
  <si>
    <t>2507-15</t>
  </si>
  <si>
    <t>Donestk Way</t>
  </si>
  <si>
    <t>06:13 Tram 119 reported DOW I/B shelter damaged first tram through 19/09 reported it already broken nothing seen reported to SYP via online portal Sheffeild interchange and cleaners informed SYP receipt DP-35074-25-1414-04 - EV/2025/04871</t>
  </si>
  <si>
    <t>2507-16</t>
  </si>
  <si>
    <t xml:space="preserve">06:48 Trams reported fire in trees next to NR tracks bewteen ARS -VAC OCC observed fire on CCTV and informed SYFR via 999 OCC observed two males and a dog leaving the trees and going onto NR and SYFTL tracks - NR/SYFR CCTV and drviers advised - 07:12 SYFR requests trams to stop ARS-VAC so that firefighters can lay hoses across the tracks to access the fire  - on call X service disruption NR and Nothern Retail updated/sent First accepting tickets City MEI/PAQ Northern accepting MEI-RMC -08:01 tracks now clear and services resuming On-call NR, X service disruption buses and Nothern Ril updtaed </t>
  </si>
  <si>
    <t>2507-17</t>
  </si>
  <si>
    <t>07:54 Tram 104 Tngai CAT I/B  emergency call reporting persons to have pulled the emergency door pull on the tram whilst tram In motion driiver reclosed door and tram now moving reports and CCTV requested DM D Willey aware -(seperation). EV/2025/04878</t>
  </si>
  <si>
    <t>2507-18</t>
  </si>
  <si>
    <t>10:25 Tram 104 N Burton reports a passenger fall on steps at INR O/B no medical attention required reports CCTV and SIBAS requested SIBAS 163182. EV/2025/04879</t>
  </si>
  <si>
    <t>2507-19</t>
  </si>
  <si>
    <t>06:15 Drv E Wilkinson on tram 123 reports one pane of glass smashed a MTE I/B interchange informed crimed procedure followed for trams in area nothing seen. EV/2025/04880</t>
  </si>
  <si>
    <t>2507-20</t>
  </si>
  <si>
    <t>13:20 Drv Cbradbury on T102 Staniforth Road reports child seperation from ATT tram stop male adult on tram insisted on exiting tram and going back checked CCTV and no one showing in the area after a few minutes the male was seen approaching Att tram stop he continued walking past the stop and off camera across the bridge CCTV requested DM D WIlley aware and ECooper to site - 14:05 on call A Rathbone informed and SYP phoned who advised that there are no reports of a child lost in that area. EV/2025/04881</t>
  </si>
  <si>
    <t>2507-21</t>
  </si>
  <si>
    <t>21:55 Townhall CCTV contacted OCC to inform us of a person riding the  rear of the tram between CAS-CAT then left the tram (also possibly boarded at Cathedral) driver informed CCTV requested.EV/2025/04885</t>
  </si>
  <si>
    <t>2507-22</t>
  </si>
  <si>
    <t>10:50 Conductor A Kettle reported at sign on to OCC and DM a passenger fall yesterday bewteen Cathedral &amp; Castle Square with no injuries conductor did not report yesterday conductor completed a report CCTV and SIBAS  requested for T125 TACT:163231 - EV/2025/04886</t>
  </si>
  <si>
    <t>2507-23</t>
  </si>
  <si>
    <t>18:18 T113 to run CAT-MEI-CAT without a conductor onbaord S Kurikose (1393) had incident with passenger body cam activated DM Rwild to obtain details update on previous -gentleman on-board refusing to pay verbal abuse and taking photographs of conductor to report SYP via online portal -CCTV requested. EV/2025/04887</t>
  </si>
  <si>
    <t xml:space="preserve">Email from D Wiley 09/12/2025 The conductor reported this as a non paying passenger who took photos of her after being asked to exit the tram - the welfare of the conductor was checked following the incident - amended to info only </t>
  </si>
  <si>
    <t>2507-24</t>
  </si>
  <si>
    <t>22:25 Tram 123 reported 2 large and 2 small panels smashed DOW I/B no one seen happened between tram going O/B -I/B cleaners asked to tidy up also reported online and to interchange. EV/2025/04888</t>
  </si>
  <si>
    <t>2507-25</t>
  </si>
  <si>
    <t>14:09 Not reported on OCC Log - Conductor was on duty 24 - tram was on route to Malin Bridge - at Granville Road the was a large group of school kids who boarded the tram - the conductor was stood on the back of the tram collecting fares - as the tram started to move away from the platform 3-4 of the children fell on to the conductors foot conductor states that this caused a sprain injury to the ankle. EV/2025/04889</t>
  </si>
  <si>
    <t>2507-26</t>
  </si>
  <si>
    <t xml:space="preserve">11:22 Driver L Gulak tram 121 reports non tram RTC opposite Hillsborough Barracks O/B Infrastructure attending X updated Quickmission contacted to attend Trams on Blue and Yellow routes to turn at Shalesmoor 12:30 J  Weaver Quickmission have moved the  vehicle clear all tracks checked all ok, T121 clear to move oncall W Clay advised First contacted service disruption email sent X updated JWeaver to remain on site for recovery vehicle to remove the vehicle </t>
  </si>
  <si>
    <t>2507-27</t>
  </si>
  <si>
    <t>15:25 Drv D Clark on Tram 103 EM call for Tram-Car RTC approaching BMR O/B RSM to attend DM J Gilbert &amp;Dwilley attending shuttle DOW-HAL and other trams turning BIL First accepting tickets oncall Wclay informed.15:55 service disruption email sent DM D WIlley informs black box isolated as the car had collided with OHLE pole (Tact 163365) after tram FEM to attend Tram 103 damage (Tact 163364) SYP in attendance no injuries reported 16:50 Damaged tram moved @16:25 took til 16:45 to reform service blue 7 and 8 not running due to no trams service disruption cancelled 16:50 18:50 GVenner reports car now removed at BMR CCTV requested previously with SIBAS 163368. EV/2025/04907</t>
  </si>
  <si>
    <t>2507-28</t>
  </si>
  <si>
    <t xml:space="preserve">11:00 DRV S Addlington (1070) reported making contact (mirror to mirror) with a parked van on Glossop Road I/B no damage reported to either vehicle no detrails were exchanged at the time CCTV and report requested </t>
  </si>
  <si>
    <t>2507-29</t>
  </si>
  <si>
    <t>Norfolk Park</t>
  </si>
  <si>
    <t>13:26 DRV S Green on T110 reports a pedestrian on the Norfolk Park viaduct other trams made aware. 13:35 T107 reports viaduct clear of the pedestrians. EV/2025/04929</t>
  </si>
  <si>
    <t>2507-30</t>
  </si>
  <si>
    <t>16:14 T121 Drv D Clark reported youths had smashed saloon window as he passed on delta after enquries T105 reported that one of the same group of youths had stood in front of his tram CCTV requested for both trams incident reported to police via 999 INC number 603 as of todays date - EV/2025/04931</t>
  </si>
  <si>
    <t>2507-31</t>
  </si>
  <si>
    <t xml:space="preserve">Nunnery Sqaure </t>
  </si>
  <si>
    <t>19:15 Large pane of shelter glass smashed at NUS 2 youths witnessed running away from the tram stop towards CIR reported to townhall CCTV and via online portal. EV/2025/04955</t>
  </si>
  <si>
    <t>2507-32</t>
  </si>
  <si>
    <t>20:40 Driver S Reith (1143) on tram 109 reportded one large panel of  glass smashed at CRP outbound tram stop - EV/2025/04956</t>
  </si>
  <si>
    <t>2507-33</t>
  </si>
  <si>
    <t>12:46 Tram 123 reported youths on tracks between MOW-CRP trams in area informed 13:12 Tram 101 reported tracks clear - EV/2025/04993</t>
  </si>
  <si>
    <t>2507-34</t>
  </si>
  <si>
    <t xml:space="preserve">00:48 Whilst in the process for opening the breakers for ESF1 Mc3006 Network Coordinator should have opened 11DCF -DE in error this breaker was closed imeadiately co worker was informed of the error the coordinator then opened the correct breaker </t>
  </si>
  <si>
    <t>2507-35</t>
  </si>
  <si>
    <t>06:02 Tram 118 reports 2 panes of glass smashed at WHL I/B platform driver did not report seeing any persons Tram 118 first tram I/B  reported to SYP via online portal cleaners and sheffeild interchnage informed SYP reciept DP-36925-25-1414-04. EV/2025/04994</t>
  </si>
  <si>
    <t>2507-36</t>
  </si>
  <si>
    <t>22:21 Drv of T112 L Gulak (1293) reported conductor A Zelch (1328) has been assaulted by a female passenger conductor to be taken off tram at CAT  by DM  R Wild CCTV and reports requested the conductor had activated the body cam T112 to run CAT to MEI to CAT without a conductor - from DM RWild the incident onboard T112 was reproted to SYP by another passenger and the conductor and the conductor AZelch is currently speaking to SYP but is otherwise okay. EV/2025/04995</t>
  </si>
  <si>
    <t>2507-37</t>
  </si>
  <si>
    <t>13:12 Tram 116 S Scanes reports at CAS O/B whilst tram stationary a passenger fall no injuries reported at the time 13:16 driver reports potential facial injury with another passenger checking DM J Gilbert at CAT I/B to liase 13:20 tram moving DM reports no injuries to passengers and passenger has left the tram CCTV and reports requested. EV/2025/05024</t>
  </si>
  <si>
    <t>2507-38</t>
  </si>
  <si>
    <t>16:15 DRV R  Pearson on T123 reports that there was a passenger fall due to harsh braking City Road O/B when avoiding a vehicle that pulled out of a junction passenger claims that they have hurt their wrist but no medical attention required at this time details to be taken by conductor CCTV and SIBAS (TACT 163498) requested. EV/2025/05025</t>
  </si>
  <si>
    <t>2507-39</t>
  </si>
  <si>
    <t>18:15 From DM R Wild CON J Gladman when in EP for PNB  reported that customer had stumbled into her on a packed tram CAT-FIS and caused a minor injury to her leg report written and conductor able to continue shift (D33)</t>
  </si>
  <si>
    <t>Email from DM -02/010/2025 - Julia had a minor incident this evening where a passenger on the tram stumbled and bumped against her leg, causing her to get off for a trip as it was hurting a bit. She then went back out as normal.
I got her to do a report, but haven't put a CCTV request in. Julia said the tram was so busy she didn't even know herself who had done it, so I didn't think there would be much point. Recatergorised to Info only based onDM comments</t>
  </si>
  <si>
    <t>2507-40</t>
  </si>
  <si>
    <t xml:space="preserve">20:17 DRV L Gulak on T116 (P1) at CAT reported a passenger on board with blood on his face /head DM Rwild attended and informs OCC that the gentleman in question had fallen prior to boarding the tram and wishes to got to MEI mext tram advised and conductor asked to asist the gentleman if required </t>
  </si>
  <si>
    <t>2507-41</t>
  </si>
  <si>
    <t xml:space="preserve">20:42 DRV C Bradbury on T118 reported 2 females in the 6ft on the Bow String Bridge drivers advised and OCC contacted townhall CCTV to view as we curently do not have access to the required camera for this area </t>
  </si>
  <si>
    <t>2507-42</t>
  </si>
  <si>
    <t xml:space="preserve">Hyde Park </t>
  </si>
  <si>
    <t>17:32 Tram 123 D Barnes blocked by a tree on the tracks between HYP -Delta at the top of segregated - tree blocking I/B track only with driver reporting tree not close to OHLE but unable to be moved Infra informed and to attend service suspended FIS-WOR on call service disruption and X updated First Bus accepting tickets OCC observed on CCTV tram 123 detrained driver informed OCC afterwards DM RWild aware TACT :163511</t>
  </si>
  <si>
    <t>2507-43</t>
  </si>
  <si>
    <t>Donestsk Way</t>
  </si>
  <si>
    <t>21:24 Tram 110 reported 3 panels smashed at DOW I/B driver and previous tram saw nothing suspicious reported to SYP via online portal Sheffield Interchange informed and cleaners to attend SYP receipt DP-37336-25-1414-04. EV/2025/05027</t>
  </si>
  <si>
    <t>2507-44</t>
  </si>
  <si>
    <t>23:20 Drv of T105 I Cooper (1367) reported that a passenger had boarded at CAS  and had refused to pay and was verbally abusive towards both the conductor and other passengers these passenger attempted to get the man off the tram at SPL O/B but he remained onboard Cond P bristol (1222) did activate body camera CCTV and reports requested. EV/2025/05028</t>
  </si>
  <si>
    <t>2507-45</t>
  </si>
  <si>
    <t>DE03</t>
  </si>
  <si>
    <t>0:07 Drv of T113 R Hollingworth 1304 called OCC from just prior to DE03 to report he had approached with the wrong code (300 instead of 306)  and DE03 had thrown for depot informed to hand op D03 for correct route on call informed that someone would need to come and reset.EV/2025/05029. TAIR sent to JK for authorisation 27/01/2026</t>
  </si>
  <si>
    <t>2507-46</t>
  </si>
  <si>
    <t>06:40 T123 reported a pedestrian walking up the Parkway Viaduct from The Delta to HYP drivers advised pedestrian seen by OCC leaving the tracks at HYP on CCTV at 06:46. EV/2025/05030. TAIR sent to JK for authorisation 27/01/2026</t>
  </si>
  <si>
    <t>2507-47</t>
  </si>
  <si>
    <t>07:27 DRV A Watson reports from tram 102 at CIH O/B small shelter glass panel smashed cleaners to attend Sheff Interchange and SYP advised.EV/2025/05031. TAIR sent to JK for authorisation 27/01/2026</t>
  </si>
  <si>
    <t>2507-48</t>
  </si>
  <si>
    <t>07:43 DRV J Miekle reports from Tram 106 at Cas O/B that two large shelter panels smashed at CAS I/B cleaners to attend Sheff Interchange and SYP advised. EV/2025/05032. TAIR sent to JK for authorisation 27/01/2026</t>
  </si>
  <si>
    <t>2507-49</t>
  </si>
  <si>
    <t xml:space="preserve">12:39 Drv A Hall reported from Tram 103 of a near miss with a car a the junction of Balaclava Rd/Langsett Rd CCTV requested A Hall teakn off at CAT by DM for driver to to see SM A Roberts SIBAS  requested also </t>
  </si>
  <si>
    <t>2507-50</t>
  </si>
  <si>
    <t>18:41 System cleaners reported 2 shelter panels smashed at DOW O/B neither system cleaners or two trams in area see anything suspicious Sheffield Interchange informed and SYP Informed via online portal SYP receipt DP-37575-25-1414-04. EV/2025/05033. TAIR sent to JK for authorisation 27/01/2026</t>
  </si>
  <si>
    <t>2507-51</t>
  </si>
  <si>
    <t>19:43 Tram 109 reported CRP O/B shelter panel smashed tram and previous tram did not witness incident reported to Sheffield Interchanged cleaners and SYP via online portal SYP receipt DP-37581-25-1414-04 - EV/2025/05034. TAIR sent to JK for authorisation 27/01/2026</t>
  </si>
  <si>
    <t>2507-52</t>
  </si>
  <si>
    <t>20:24 Tram 109 reported PGC I/B shelter panel smashed driver did not report seeing anything suspicious reported to cleaners Sheffield Interchange and SYP via online portal SYP receipt :DP-37591-25-1414-40. EV/2025/05035. TAIR sent to JK for authorisation 27/01/2026</t>
  </si>
  <si>
    <t>2507-53</t>
  </si>
  <si>
    <t>17:14 DRV R Hollingworth (1304) Tram 104 reported having to track brake between BDH &amp;WAT to avoid an ambulance pulling out of Batesquire , this resulted in two passengers falling on the tram, one passenger left the tram at WAT (no details taken) the second passenger reported that she had banged her head, she didnt require any medical assistance at the time - details were taken and the passenger left the tram at HAL CCTV/SIBAS download (tact 163594) and report requested . EV/2025/05097. TAIR sent to JK for authorisation 27/01/2026</t>
  </si>
  <si>
    <t>2507-54</t>
  </si>
  <si>
    <t>09:57 Tram 105 M Kelly MTE I/B reported passenger tripped and fell whilst boarding the tram (tram stationary)  no injuries reported CCTV and reports requested Driver reported all doors high TACT: 163602 10:19  tram 101 off depot west to replace T105 at HYP I/B. EV/2025/05098. TAIR sent to JK for authorisation 27/01/2026</t>
  </si>
  <si>
    <t>2507-55</t>
  </si>
  <si>
    <t>12:01 Facillities report WHL I/B that they have had 2 tools stolen from the back of the van M Blackwell aware facillities to report to SYP reports requested. EV/2025/05099. TAIR sent to JK for authorisation 27/01/2026</t>
  </si>
  <si>
    <t>2507-56</t>
  </si>
  <si>
    <t>22:00 T105 Drv I Cooper reported smashed shelter panel at DOWI/B he was also last tram to pass through tram stop and saw no damage reported to SYP DP-3808-25-1414-04 and Sheffield Interchange. EV/2025/05100.TAIR sent to JK for authorisation 27/01/2026</t>
  </si>
  <si>
    <t>2507-57</t>
  </si>
  <si>
    <t>08:41 T123 DRV T Baldwin 1272 reports a pedestrian walking from CIR towards NCS - next tram through area reports no  one in the area. EV/2025/05101. TAIR sent to JK for authorisation 27/01/2026</t>
  </si>
  <si>
    <t>2507-58</t>
  </si>
  <si>
    <t>09:02 T105 Dvr N Burton reports that con G Slater is riding in the cab from CAS I/B due to a passenger who has  boarded the tram and shouting aggressively passenger calmed downand con left the cab at SHS</t>
  </si>
  <si>
    <t>2507-59</t>
  </si>
  <si>
    <t xml:space="preserve">12:39 T106 Drv M Kelly (1278) at CAS O/B says her conductor H Campbell (1319) has activated her bodycam as she felt threatened by some passengers and wanted to see a DM Con told to go up tp EP to see DM </t>
  </si>
  <si>
    <t>07:05 From G Seaborn - M Bamford (RSM) has had an accident working in the sheds minor injury reported but currently able to continue work - reports to be completed.EV/2025/06560.TAIR sent to JK for authorisation 27/01/2026</t>
  </si>
  <si>
    <t>Unsafe act</t>
  </si>
  <si>
    <t xml:space="preserve">Miss alignment of the crane and lateral rails /personal positioning /lack of communication and control of risk </t>
  </si>
  <si>
    <t>The bogie was repositioned and loaded on to the rails correctly - RSM tech cleaned up his leg and rested in the canteen, tech later approached first aider on site (stores person) for a plaster bandage - site was inspected for irregularities none found - investigation started.</t>
  </si>
  <si>
    <t>2507-61</t>
  </si>
  <si>
    <t>15:00 Tram 114 reported his conductor R Broomhead had been verbally abused body cam activated - DM R Wild to check if ok</t>
  </si>
  <si>
    <t>2507-62</t>
  </si>
  <si>
    <t>Brookhill Underpass</t>
  </si>
  <si>
    <t>18:44 DRV S Green on T107 reports pedestrian in the Brookhill underpass (18:37) Next tram advised and DRV R Hague reports all clear at 18:45. EV/2025/06561. TAIR sent to JK for authorisation 27/01/2026</t>
  </si>
  <si>
    <t>POINT (-1.4841169 53.3821069)</t>
  </si>
  <si>
    <t>2508-01</t>
  </si>
  <si>
    <t>17:25 DRV D Clark on T122 reports smashed shelter panel PGC I/B previous tram didn’t see any damage next DRV N Burton on T110 at 17:25 reports 3x panels in total now smashed Sheffeild Interchange made aware  and cleaners will attend - SYP ref DP:38733-2531414-04. TAIR sent to JK for authorisation 27/01/2026</t>
  </si>
  <si>
    <t>2508-02</t>
  </si>
  <si>
    <t>17:33 From DM R Wild Con J Hung has activated his body cam due to being verbally abused on T122 - report requested. EV/2025/06571. TAIR sent to JK for authorisation 27/01/2026</t>
  </si>
  <si>
    <t>Chased with investigator 02.02.26.
03/02/2026 was changed to info only as per AB email</t>
  </si>
  <si>
    <t>2508-03</t>
  </si>
  <si>
    <t xml:space="preserve">D03 Points </t>
  </si>
  <si>
    <t xml:space="preserve">23:45 DRV N Burton 1130 on T119 wrong routed at D03 went prior 1A and back on headshunt </t>
  </si>
  <si>
    <t>2508-04</t>
  </si>
  <si>
    <t xml:space="preserve">23:50 DRV D Oakes 1168 on T103 wrong routed at D03 went prior to 1A and back on the headshunt </t>
  </si>
  <si>
    <t>2508-05</t>
  </si>
  <si>
    <t xml:space="preserve">Donetsk Way </t>
  </si>
  <si>
    <t>10:48 DRV T Ngai reports from T121 from HAC I/B that he went through a bar aspect at DOW I/B CCTV requested and DM at EP to speak with Tngai - Incident Id: 75729 - EV/2025/06504. TAIR sent to JK for authorisation 27/01/2026</t>
  </si>
  <si>
    <t>2508-06</t>
  </si>
  <si>
    <t xml:space="preserve">:BAC 122975-25-1414-40 SYP receipt for two large panels smashed at MOW O/B CCTV requested cleaners to attend and Shff Interchange advised </t>
  </si>
  <si>
    <t>2508-07</t>
  </si>
  <si>
    <t>17:17 Driver A Hall (1096) tram 105 at Cathedral I/B reported a passenger fall on board on approach to Cathedral tram stop the driver reported from his conductor Z Brodie (1317) that an ambulance was required after speaking with the passenger concerned DM RWild sent from EP to the tram - DM R Wild on site an ambulance has been called to attend at the designated holding point (depot) as instructed by OCC tram 105 detrained and to move to depot indications are no injuries to the person concerned Tram 105 moving at 17:21 DM RWild on board -The passenger concerned is an elderly male (85 years old) who has directly spoken to the ambulance service and an ambulance is no longer required no injuries all ok report SIBAS (XV Plus 163722) and CCTV requested. EV/2025/06572. TAIR sent to JK for authorisation 27/01/2026</t>
  </si>
  <si>
    <t>Chased with investigator 02.02.26.
03/02/2026 emails states that AB cannot find this investigation will re do it</t>
  </si>
  <si>
    <t>2508-08</t>
  </si>
  <si>
    <t>23:40 Tram 101 A Turner reported a passenger fall leaving CAS O/B no injuries reported DM R Wild CCTV and SIBAS requested TACT: 163729. EV/2025/06581. TAIR sent to JK for authorisation 27/01/2026</t>
  </si>
  <si>
    <t xml:space="preserve">JK-Authorised this to be info only on daily -call </t>
  </si>
  <si>
    <t>2508-09</t>
  </si>
  <si>
    <t xml:space="preserve">16:53Drv of T121 George Lilley (1073) reported coming across a cyclist that appears to have fallen off his bike in South Street bridge area and the infra work party that had been working SHS were walking towards him - 16:56 G Venner (infra) with cyclist and reports that the cyclist says his wheel went into the groove between the conrete and the rail and that he maY have broken his arm currently moving away from tracks awaiting ambulance no CCTV recording of the incident available - G Venner inspected the area where the incident happened (between pole no SHS3008 and 3007 and found no defects </t>
  </si>
  <si>
    <t>2508-10</t>
  </si>
  <si>
    <t>19:03 Drv of T121 G Lilley (1073) reported whilst travelling O/B City Road a woman ran across the road and fell in the tracks - tram brought G Venner area inspected and betwen poles SPL3204-3205  there are 4 defects in the slab track tact 16374</t>
  </si>
  <si>
    <t>2508-11</t>
  </si>
  <si>
    <t xml:space="preserve">22:35 Driver R Bayliss (1015) on tram 107 reported the conductor had issues with a couple of passengers refusing to pay and got off NER outbound next outbound tram advised </t>
  </si>
  <si>
    <t>2508-12</t>
  </si>
  <si>
    <t>19:30:00 Tram 123 driver R Bayliss (1015)  after receiving instructions to enter Depot West and move directly to stabling point 9 west (inside the workshop) the tram came ionto contact with a glass storage frame outside the workshop this resulted in an offside panel and brakcet damage and damage to storage frame S Hague (RSM) attended CCTV and report requested XV Plus 163761. EV/2025/06582. TAIR sent to JK for authorisation 27/01/2026</t>
  </si>
  <si>
    <t>Chased with investigator 02.02.26.
03/02/2026 was sent to M Burns 06/11/2025</t>
  </si>
  <si>
    <t>2508-13</t>
  </si>
  <si>
    <t xml:space="preserve">13:14 Town Hall CCTV room reported a young lady on the wrong side of the bowstring bridge police on route driver ask to pass with caution </t>
  </si>
  <si>
    <t>2508-14</t>
  </si>
  <si>
    <t>11:21 DRV R Singer T108 reported a pedestrian walking between SHA-NER drivers in area advised - 11:36 T109 reported the pedestrian walking between SHA-NER was now clear of the tracks . EV/2025/06583. TAIR sent to JK for authorisation 27/01/2026</t>
  </si>
  <si>
    <t>2508-15</t>
  </si>
  <si>
    <t>13:24 DVR P Marsden T115 reported a pedestrian walking between NUS-CIR trams in area advised. EV/2025/06584. TAIR sent to JK for authorisation 27/01/2026</t>
  </si>
  <si>
    <t>2508-16</t>
  </si>
  <si>
    <t>HB01 Points</t>
  </si>
  <si>
    <t>14:56 Emergency call from DRV L Carse (1318) on T107 to say he has wrong routed at HB01 points (currently failed) instructed to continue to MID instead of MAB DM N Wybrant informed report and CCTV requsted. EV/2025/06585. TAIR sent to JK for authorisation 27/01/2026</t>
  </si>
  <si>
    <t>Confirmation from DM - completed and sent to Megan for sign-off 27/11/25</t>
  </si>
  <si>
    <t>2508-17</t>
  </si>
  <si>
    <t>00:10 A report from driver N Gai (1420) and CCTV requested after braking issues reported on RSM test run Tram 120 on 18/10 at 21:50</t>
  </si>
  <si>
    <t>2508-18</t>
  </si>
  <si>
    <t>T203 reported a pedestrian on parkway viaduct T109 next tram reported no one is site. EV/2025/06586. TAIR sent to JK for authorisation 27/01/2026</t>
  </si>
  <si>
    <t>Tram 113 was operating inbound on the Blue Route from Malin Bridge, driven by  Isaac Cooper with Jodie Watts acting as conductor. While stopped at Bamforth Street, an elderly couple boarded. The male passenger, noted as unsteady on his feet, tripped on the top step of the tram articulation just as the tram set off. Not reported on OCC Log. EV/2025/06587</t>
  </si>
  <si>
    <t xml:space="preserve">Passngers mobility limitations tram set off as he lost balance </t>
  </si>
  <si>
    <t>Passenger bypassed priority seating</t>
  </si>
  <si>
    <t>The incident wasn’t reported at the time but a report was filed the next day</t>
  </si>
  <si>
    <t>2508-20</t>
  </si>
  <si>
    <t>19:38 D Clark on T105 reported that as the door closed at HIL O/B they knocked a passenger over - no injuries reported CCTV requested - TAIR sent to Jk for authorisation 27/01/2026</t>
  </si>
  <si>
    <t>2508-21</t>
  </si>
  <si>
    <t>D04 Points</t>
  </si>
  <si>
    <t>00:25 TRAM 114 I Cooper (1367) reported tram had derailed on depot points D04 RSM &amp; FEM to site CCTV &amp; SIBAS requested oncall D Hallam called answer phone -01:34 Contacted D Hallam happy for rerailing of 114 to start</t>
  </si>
  <si>
    <t>Was sent directly to WC for review and sign off by KS on 29/10/2025 -Investigation has been resent to WC&amp;ND for review and sign off.</t>
  </si>
  <si>
    <t>2508-22</t>
  </si>
  <si>
    <t>14:23 Emergency call from T118 driver Scuckson (1016) RTC with car pulling out from side road Middlewood Road between HIP &amp; HIL minor damage to tram car bumper damaged - details exchanged CCTV report and SIBAS (tact163919) requested to be replaced in service with T113 - EV/2025/06753</t>
  </si>
  <si>
    <t>2508-23</t>
  </si>
  <si>
    <t xml:space="preserve">17:51 Driver T Ngai (1420) reports a near miss with a car on West Street Track brake applied no injuries on-board  CCTV and SIBAS  (tact 163924) requested </t>
  </si>
  <si>
    <t>2508-24</t>
  </si>
  <si>
    <t>13:32 DRV C Moran reports from tram 102 via emergency call at West Street /Fitwilliam Street o/b he has a minor RTC with a car no injuries reported details exchanged with the third party and tram continues in service. EV/2025/06754</t>
  </si>
  <si>
    <t>2508-25</t>
  </si>
  <si>
    <t>13:44 Drv S Parker reports from T112 that his conductor W Furniss has been assaulted by two female between CAS and FIS I/B CCTV requested along with a report spare took W Furniss of at NUS o/b. EV/2025/06767</t>
  </si>
  <si>
    <t>2508-26</t>
  </si>
  <si>
    <t>16:25 DRV T120 J Leggett (1279) reported a youth on a bike threw something at the tram on inspection he found a small crack in the front destination blind CCTV and reports requested reported to SYP via on line portal. EV/2025/06768</t>
  </si>
  <si>
    <t>2508-27</t>
  </si>
  <si>
    <t xml:space="preserve">18:05 Drv of T201 reported that it appears a cyclist has fallen off his bike on the Bowstring Bridge and I sat away from the tracks on the pavement no CCTV that may have captured the incident -18:07 ambulance on site blocking I/B track DM J Cawthorn asked to attend - 18:11 Ambulance now clear of the tracks </t>
  </si>
  <si>
    <t>2508-28</t>
  </si>
  <si>
    <t xml:space="preserve">21:57 DRV of T117 D Worth (1101) reported issues with a passenger on a bike that got on the tram in town exited at SHS but then caused issues at MTE GLT and White lane CCTV requested </t>
  </si>
  <si>
    <t>2508-29</t>
  </si>
  <si>
    <t>Loop</t>
  </si>
  <si>
    <t xml:space="preserve">10:30 Driver J Meikle (1316) on T102 while carrying out a stabling move from 6D round the loop to 7B  the tram derailed at D15 points the front bogie came off RSM and DM contacted to attend FEM on call contacted to attend and on call Dhallam advised - C Smith on initial inspection underneath T102 it appears that the check rail has come loose and come away D Hallam updated - DM A Roberts on depot and will freeze the data recorder on T102 and take photos - depot CCTV camera 3 zomed in to xhow check rail missing in vicinty of derailment - DM A Roberts A Callaghan (FEM on-call0 on site - DM A Roberts Tram 102 rerailed RSM movinng equipment away before tram clear - DM A Roberts  J Kolchuk is on  site with A Callaghan and they are going to put the check rail back in place and the curve useable again </t>
  </si>
  <si>
    <t xml:space="preserve">This investigation has been sent back to GS  28/01/2026 following further comments from WC </t>
  </si>
  <si>
    <t>2508-30</t>
  </si>
  <si>
    <t>17:56 Drv H Goodacre (1419) tram 113 at NER I/B reports a person on board had a leg trapped as the tram saloon doors opened, door 7 (door bars) driver investigated and the issue was resolved no injuires reported CCTV requested. EV/2025/06769</t>
  </si>
  <si>
    <t>2508-31</t>
  </si>
  <si>
    <t>18:20 Driver T Baldwin (1272) tram 101 reports that firework hit the tram between CAT-CAS no damage Town Hall CCTV contacted and they said that the police are already aware and are attending the area as fireworks had been set off across High Street earlier CCTV requested - T101 firework incidnet reported to SYP via onoline portal Ref No BCA -129254-25-1414-04</t>
  </si>
  <si>
    <t>2508-32</t>
  </si>
  <si>
    <t>20:08 Drv N Burton (1130) tram 122 reported passenger fall as the tram departed Langsett Tramstop  O/B no injuires reported - report and CCTV requested. EV/2025/06771</t>
  </si>
  <si>
    <t>2508-33</t>
  </si>
  <si>
    <t xml:space="preserve">17:32 3 Young males at FIS attempting to surf on trams Townhall CCTV advised CCTV footage of T112 requested incase SYP ask for it </t>
  </si>
  <si>
    <t>2508-34</t>
  </si>
  <si>
    <t xml:space="preserve">18:19 Driver C Alexander -Morrison  (1140) on T103 reports a near miss to Spring Lane track brake applied no injuries on board CCTV SIBAS and report requested </t>
  </si>
  <si>
    <t>2508-35</t>
  </si>
  <si>
    <t xml:space="preserve">22:20 Drv L Gulak on T121 informs that a non tram RTC is blocking Park Grange Road in the Arbourthorne area tram unable to pass and vehicle cannot be moved SYP inform OCC that they are aware and are enroute (incident 1058-29/10/2025) 22:25 SYP are on site at the RTC and have arranged reocvery - estimate 30-45 minutes before arrival oncall N Wragg will update PIDS 23:28 incident  at Park Grange Road is now clear and services have resumed FEN have checked the tracks and no issues reported </t>
  </si>
  <si>
    <t>2508-36</t>
  </si>
  <si>
    <t xml:space="preserve">14:20 A Webster reports from T103 of 3 youths surfing on the tram from MEI to TIN  CCTV requested and SYP online completed. EV/2025/06773 </t>
  </si>
  <si>
    <t>2508-37</t>
  </si>
  <si>
    <t>15:05 DVR T Baldwin on T125 entered wrong vis code (301) should have been (306)  this resulted in Cathedral points (C01) failing after hand operation infor to attend to reset xvplus 164148. EV/2025/06774</t>
  </si>
  <si>
    <t>2508-38</t>
  </si>
  <si>
    <t>17:18 DRV J Belgrave reports from tram 103 via conductor D McCormack of a passenger v passeger altercation (verbal) between two city and CIR O/B one passenger left the tram att CIR and the other stayed on board but refused to buy a ticket</t>
  </si>
  <si>
    <t>2508-39</t>
  </si>
  <si>
    <t>18:52  DVR S Addlington reports from tram 105 on City Road /Wulfric Road I/B of a non tram RTC blocking the tracks in both directions after discussions with people involved all cars have now cleared from the tracks after approx 5x mins</t>
  </si>
  <si>
    <t>2508-40</t>
  </si>
  <si>
    <t xml:space="preserve">23:00 DRV A Jeff  on T111 West Street I/B reports concerns over the crowds outside West Street Live blocking the road SYP  are on site and are attempting to move people back on to the pavement he has expressed that  he feel that he his unable ti run through again so will be relieved by a night driver at NUS I/B CCTV  and report requested DM A Roberts made aware </t>
  </si>
  <si>
    <t>2508-41</t>
  </si>
  <si>
    <t>23:41 Due to extreme numbers of people /SYP blocking West Street and delays of up to 40 mins I/B OCC have decided that services will no longer travel beyond CAT O/B for the rest of service tonight remaining services will turn back at CAT to depot</t>
  </si>
  <si>
    <t>2508-42</t>
  </si>
  <si>
    <t>0:00 BCA-133084-25-1414-04 TRAM 105 two youths surf on the tram from CAS-WOR CCTV requested SCC town hall also have footage SYP online completed. EV/2025/06775</t>
  </si>
  <si>
    <t>2508-43</t>
  </si>
  <si>
    <t>10:14 Driver A Webster (1038) on Tram 103 reported a passenger door trap at DOW outbound no medical attention currently required but will update further if required report and CTTV requested. EV/2025/06783</t>
  </si>
  <si>
    <t>2508-44</t>
  </si>
  <si>
    <t>18:53 T120 Dvr R Pearson (1256) reports as the tram left UOS I/N and on to West Street on the nearside pavement there was a cyclist who was seen on the pavement with a crowd around him CCTV camera 49 was viewed and afetr a few minutes the cyclist walked away</t>
  </si>
  <si>
    <t>2508-45</t>
  </si>
  <si>
    <t xml:space="preserve">20:22 T120 Drv R Pearson (1256) reports that a van has driven onto the delta blocking trams from FIS going towards MEI&amp;HAL on call and infrstucture informed -20:50 Infrastructure have driven the van clear of the track on the dleta and are now checking the area around where the van was 20:55 Infrastructure have checked the tracks and trams can now trun through </t>
  </si>
  <si>
    <t>2508-46</t>
  </si>
  <si>
    <t>22:16 Tram 110 J Birkitt reported to OCC having wrong VIS code enetered for CAT X-over (through code entered)driver hand operated C01 points C01 points alarmed Next I/B (T112) reported a proceed aspect showing on LRT to enter CAT as St james Row whilst a tram was still in the I/B platform C01 fail after next tram required to hand operate Infra informed as rest CAT 22:45  all alams now clear TACT:164284</t>
  </si>
  <si>
    <t>01:43 Infrastructure (J Wells 70449) PARTS 11,12 of ESF 1(B)MC 5784 circuit breakers 21 DCF UL/23 DCF LM/25 DCF LM closed on SCADA 750v protection trip when attempting to closed 23 DCL LM J Wells aware part 12 paused 23 DCF LM /25 DCF LM still open on SCADA</t>
  </si>
  <si>
    <t>Driven past the cabinet location realised at the time but did not go back to rectify</t>
  </si>
  <si>
    <t>Judgement error to non stop and immediatley perform the missing action</t>
  </si>
  <si>
    <t xml:space="preserve">28/01/2026 - Has been sent to ND for review &amp; sign off </t>
  </si>
  <si>
    <t>2508-48</t>
  </si>
  <si>
    <t xml:space="preserve">DRV Kwilliams inofrmed OCC that he has a drive fault and it is unable to move TCU2 turned off to enable the vehicle to continue (TACT 164321) tram appeared to be in MEI on AVL so was asked to detrain passengers but the unit was actaully on the sergegated track near to Alsing Road some passngers reboarded and were taken to TIN to await next service tram </t>
  </si>
  <si>
    <t>Has been sent to WC &amp; JK for review and sign off</t>
  </si>
  <si>
    <t>2508-49</t>
  </si>
  <si>
    <t>DRV E Wilkinson emergency call from T113 at BIL I/B that the tram has collided with a pedestrian and the pedestrian is underneath the tram - fire, police and ambulance requested via  999 call 19:38 DRV S M Walters from the following tram advises police now on site and Birley Lane closed by SYP JKeeling to attend  - 18:41 DM D Willey reports that this inicdnet is now a fatality The police will not allow our staff on the tram at this time DRV E Wilkinson and CON C Duffy are still onboard T113. EV/2025/06819</t>
  </si>
  <si>
    <t>2508-50</t>
  </si>
  <si>
    <t>20:24 DRV J Wilks reports from tram 122 that youths damaged a tram mirror when leaving the tram at CIR I/B CCTV requested SYP online complete. EV/2025/06850</t>
  </si>
  <si>
    <t>2508-51</t>
  </si>
  <si>
    <t>05:30 Tram 202 reported pedestrian walking up viaduct towards HYP next tram informed OCC observed the male walk clear of the viaduct and tracks. EV/2025/06854</t>
  </si>
  <si>
    <t>2508-52</t>
  </si>
  <si>
    <t>17:20 Driver R Hollingworth (1304) on tram 202 reported two lads surfing on the back of Tram 108 WOR -NUS inbound Tram 108 informed and stopped the tram at depot east the lads jumped off and walked on the path at the side of the depot picked up on depot and town hall CCTV Tram CCTV requested SYP online done. EV/2025/06855</t>
  </si>
  <si>
    <t>2508-53</t>
  </si>
  <si>
    <t xml:space="preserve">18:10 Driver M Mccabe (1199) on tram 121 reported a near miss crossing Granville Road inbound full service brake only used and no issues on the tram </t>
  </si>
  <si>
    <t>2508-54</t>
  </si>
  <si>
    <t>20:45 Driver C Canning (1411) reported that during his shift he had a passenger faller with no injuries he has done a report DMs aware CCTV/SIBAS requested for tram 122. EV/2025/06857</t>
  </si>
  <si>
    <t>2509-01</t>
  </si>
  <si>
    <t xml:space="preserve">15:10 Emergency call received from tram 116 at SHA O/B and OCC not able to connect vis both radio terminals (D Allott driver) DVR M Carr on T125 terminating at SHA reports that tram 116 has gone into SHA O/B whilst he was awaiting a proceed to leave SHA I/B from the O/B platform CCTV requested tram crews swapped accordingly when T116 had move from SHA radio was all good </t>
  </si>
  <si>
    <t>2509-02</t>
  </si>
  <si>
    <t>15:49 Drv R Singer (1018) T115 at MID reported a child had been trapped in the door bars of door 6 as the doors opened medical attention was refused and the child left the tram with his parent door 6 was isolated report and CCTV requested.EV/2025/06859</t>
  </si>
  <si>
    <t>2509-03</t>
  </si>
  <si>
    <t>19:42  T118 Drv J Birkitt reported broken down car blocking tracks before GRR O/B trying to push car out of way 19:54 Car now clear of the tracks.</t>
  </si>
  <si>
    <t>2509-04</t>
  </si>
  <si>
    <t>06:53 OCC observe a car stuck on the delta at PS01 points driver unsucsessfully attempting to move clear - trams in area held - driver appears unable to move the car clear of the delta - FEM asked to attend Quickmission called to recover on-call (N Dobbs) informed to update PIDS</t>
  </si>
  <si>
    <t>2509-05</t>
  </si>
  <si>
    <t>16:41 Drv C Donnelly on tram 110 reports a passenger fall - the passenger left without giving any details at MEI not sure where the fall happened CCTV reports Sibas 164471 DM Rwild aware. EV/2025/06945</t>
  </si>
  <si>
    <t>2509-06</t>
  </si>
  <si>
    <t>18:14 Drv D Cormack on tram 102 reports child got caught in door mechanism at BMR O/B as the door opened was released without injury CCTV reports DM N Wybrant aware. EV/2025/06950</t>
  </si>
  <si>
    <t>2509-07</t>
  </si>
  <si>
    <t>07:59 Tram 121 T Ngai reported a near miss with a vehicle leaving St James Row I/B  track brake requires no injuries CCTV and SDIBAS requested TACT: 164483</t>
  </si>
  <si>
    <t>Email from DM 29/11/2025 States that  after viewing the CCTV you can see a car clearly pulls into the tram sswept path -the tram driver acts appropriately - there were no fallers on the tram.</t>
  </si>
  <si>
    <t>2509-08</t>
  </si>
  <si>
    <t>12:31 Tram 103 I Cooper reported an RTC with a van on West Street/Mappin Street  no injuries no damage to van and tram details exchanged DM checked tram at CAT and driver taken off for reportDM D Willey and RSM informed CCTV reports and SIBAS requested TACT: 164490 and 164492. EV/2025/06983</t>
  </si>
  <si>
    <t>2509-09</t>
  </si>
  <si>
    <t xml:space="preserve">17:10 T107 reports car on tracks at PGC covering both  I/B and O/B Infra attended and requested Quick Mission who are on route service disruption email sent and on-call n Dobbs aware  and updating PIDS </t>
  </si>
  <si>
    <t>2509-10</t>
  </si>
  <si>
    <t>21:50 1 of pane of glass smashed at  Crystal Peaks tram stop O/B crimed . EV/2025/06984</t>
  </si>
  <si>
    <t>2509-11</t>
  </si>
  <si>
    <t>18:57 T119 reports 1 large piece of glass smashed at WAT O/B cleaners and SYP aware. EV/2025/06985</t>
  </si>
  <si>
    <t>2509-12</t>
  </si>
  <si>
    <t>20:37 T119 reports glass panel smashed at BIL O/B cleaners and syp aware. EV/2025/06986</t>
  </si>
  <si>
    <t xml:space="preserve">Nunnery Depot </t>
  </si>
  <si>
    <t>Email from Mblackwell  states that night cleaner M Barr tripped and fell over some metal pipes thathad been placed  over the walk way - the car park was dark and he could not see the pipe  -he says 1 cone was behind the pipes but this was difficult to see - The  member of staff has hurt his knee which has swollen up and is stiff  - this incident was not reproted to OCC - 17/11/2025  Log entry - M Blackwell reports night cleaner M Barr leaing depot this morning fell over metal pipes left across walkway at Depot East M Blackwell reports pipes have now been moved M Barr to complete report on next shift . EV/2025/06987. TAIR sent to JK for authorisation 27/01/2026. TAIR sent to JK for authorisation 27/01/2026</t>
  </si>
  <si>
    <t>Pipework left on the walkway</t>
  </si>
  <si>
    <t>House keeping issues</t>
  </si>
  <si>
    <t xml:space="preserve">As soon as the incident was reported the contractors were asked to move the pipe work from off the walkway contractors informed that walkways must always be kept clear </t>
  </si>
  <si>
    <t>2509-14</t>
  </si>
  <si>
    <t xml:space="preserve">05:46 Drv D Clark on T115 reported car on track at BIL tram stop on O/B side Infra on way to site </t>
  </si>
  <si>
    <t>2509-15</t>
  </si>
  <si>
    <t>06:35 D Bridges T110 reported a pedestrian walking on the Parkway Viaduct between the delta and HYP trams in area advised 06:44 T114 reported no sign of pedestrian on viaduct. EV/2025/07047</t>
  </si>
  <si>
    <t>2509-16</t>
  </si>
  <si>
    <t>14:14 Tram 122  D Long reported wheelchair stuck between platform and tram at FIS I/B whilst attempting to board reported chair had potentially become dragged driver unsure as to how damage ocurred wheelchair did not board tram and left the platform Infr informed and tram tacted CCTV requested and report requested from conductor K Skrodzki 15:09 Infr G Venner has checked FIS I/B platform no damage to platform edge Infra monitored trams through and reported that the gap between all trams and platform remained the same . EV/2025/07048</t>
  </si>
  <si>
    <t>2509-17</t>
  </si>
  <si>
    <t xml:space="preserve">16:27 Tram 122 M Mc cabe reported a near miss with a car between LPV-INR I/B evasive action taken and no injuries CCTV, report and SIBAS requested  dm j Gilbert informed SIBAS 164681. </t>
  </si>
  <si>
    <t>2509-18</t>
  </si>
  <si>
    <t>Flora Street</t>
  </si>
  <si>
    <t>i/b</t>
  </si>
  <si>
    <t xml:space="preserve">08:58 DRV J Wilks (1156) reported the tram slid through a signal at Flora Street I/B tram was heavily loaded at the time (tact 164697) tram OOS to depot from CAT replaced by T123 CCTV requested </t>
  </si>
  <si>
    <t>2509-19</t>
  </si>
  <si>
    <t>12:12 DVR C Donelly (1307) T105 reported a passsenger fell on the tram as the tram departed VAC I/B the passenger left the tram without giving any details no injuries were reported at the time CCTV report requested. EV/2025/07067</t>
  </si>
  <si>
    <t>2509-20</t>
  </si>
  <si>
    <t>17:27 Tram 123 P Rowbottom at MEI reported a near miss with a pedestrian running in front of the tram at TIN O/B on walkway  driver braked resulting in a passenger fall no medical attention required CCTV reports and SIBAS requested DM J Gilbert informed conductor to complete report SIBAS 164713. EV/2025/07084</t>
  </si>
  <si>
    <t>2509-21</t>
  </si>
  <si>
    <t xml:space="preserve">06:00  Driver J Peckett (1259) on Tram 114 reported 750v lost on PAG pan dropped and unable to put back up  RSM contacted. 06:55 Drv of T205 (1058) reported pan dropped after 750 protection trip - pan went back with no issues tram moving TACT 164746 07:13 G Fairweather OHLE inspectionMEI - CAR -07:42 From G Fairweather and M Tomkins suspect damage to OHLE found requested service suspended CIR-MEI 07:24 due tyo the suspected damage to the OHLE the tram train service has also been suspended T205 running to PAQ to be held at that location indefinitley Signaller made aware 07:52 due to OHLE damage G Fairweather request trams not to run to SHS services now only runnning CAT to MID and CAT to MABservice disruption and oncall manager has been kept up to date or all earlier suspensions along with Rotherham Signaller </t>
  </si>
  <si>
    <t>2509-22</t>
  </si>
  <si>
    <t>05:50 Drv J Leggett 1279 ON T119 entered code for HAL instead of going via CAT and went towards SHS as the Delta tram waited point time at SHS. EV/2025/07085</t>
  </si>
  <si>
    <t>Chased with investigator 02.02.26.
03/02/2026 - was sent to Mburns 18/01/206</t>
  </si>
  <si>
    <t>2509-23</t>
  </si>
  <si>
    <t>22:32 Driver P Hawkins (1184) on Tram 113 reported one panel of glass smashed on the outbound tram shelter at WED no one seen. EV/2025/07086</t>
  </si>
  <si>
    <t>2509-24</t>
  </si>
  <si>
    <t xml:space="preserve">16:10 Tram 123 Prowbottom reported a fight between 2 passengers between UOS - CAT  they fell on to a pram and hurt the child no medical assistance required - person involved told they need to report to the police CCTV requested </t>
  </si>
  <si>
    <t>2509-25</t>
  </si>
  <si>
    <t>18:05 Tram 123 D Cormack (1404)  reported a seperation HIP O/B child left on platform parents got off LEL and walked back CCTV &amp; reports requested.EV/2025/07088</t>
  </si>
  <si>
    <t>2509-26</t>
  </si>
  <si>
    <t>06:19 T117 Drv C Canning reports a cyclist has fallen off his bike and is blocking the inbound track on West Street close to Regent Terrace cyclist has suspected broken leg 06:46 Ambulance now onsite - 07:03 Ambulance now clear and trams running through</t>
  </si>
  <si>
    <t>2509-27</t>
  </si>
  <si>
    <t xml:space="preserve">Fitzalan </t>
  </si>
  <si>
    <t xml:space="preserve">18:35Drv of T103 J Birkitt (1048) reported some unruly passengers on the tram being aggressive to other passengers driver informed to keep conductor away and keep moving - at ARR driver then reported that a fight had occurred on the tram and one the assailants had got off but there was one injured passenger onboard conductor onboard to phone an amnulance who wanted t meet the tram at MEI CCTV requested - 18:52 police now with T103 at MEI awaiting ambulance - 18:58 ambulance now onsite and have taken passenger off the tram - tram now moving police have rquested CCTV through the driver </t>
  </si>
  <si>
    <t>2509-28</t>
  </si>
  <si>
    <t>08:36 Driver 1263 Asmith MID bound tram 122 reports a near miss with a cyclist at SHA driver used track brake no reported injuries CCTV and SBAS requested - EV/2025/07298</t>
  </si>
  <si>
    <t>2509-29</t>
  </si>
  <si>
    <t>08:37 Driver J Belgrave HL bound tram 119 reports a child has been caught somewhere by the saloon doors when alighting BIL the child was ok CCTV requested. EV/2025/07299</t>
  </si>
  <si>
    <t>2509-30</t>
  </si>
  <si>
    <t xml:space="preserve">09:05 SY inform OCC of a car on the ballast track close to HAL next driver (tram 110) informed us no car seen on the tracks as described </t>
  </si>
  <si>
    <t>2509-31</t>
  </si>
  <si>
    <t>09:28 Kieran Wragg signaling team reports having a minor RTC with a parked car whilst driving the van he has been unable to exchange details with driver/owner so advised to either go backand try and locate them or report to SYP within 24hrs report submitted and Keiran has let M Blackwell know.</t>
  </si>
  <si>
    <t>2509-32</t>
  </si>
  <si>
    <t>11:52 T107 reports smashed glass at MOW I/B SYP crime report done and glass cleared by Infra. EV/2025/07300</t>
  </si>
  <si>
    <t>2509-33</t>
  </si>
  <si>
    <t>14:57 Driver R Hollingworth (1304) reports a passenger fall whilst stationary at CAS O/B passenger clearly injured but repeatedly refusing medical attetntion left the tram at CAT O/B after leaving details CCTV and report requested. EV/2025/07331</t>
  </si>
  <si>
    <t>2509-34</t>
  </si>
  <si>
    <t>19:35 Driver J Peckett (1259) on T123 reports a near miss at BDH O/B car through red light track brake used no injuries reported CCTV &amp; SIBAS requested</t>
  </si>
  <si>
    <t>2509-35</t>
  </si>
  <si>
    <t>00:29 Tram 205 D Wilks reported a near miss with a pedestrian on the HYP viaduct with the pedestrian cross/walk infront of the tram evaisive action required CCTV and TELOC requested DM Dwilley  aware trams in the area informed town hall CCTV informed seen on camera to walk away from the viaduct and walk away from the tracks. EV/2025/07333</t>
  </si>
  <si>
    <t>2509-36</t>
  </si>
  <si>
    <t>16:14 DVR G Lilley reports from T119 of a pesdestrian walking delta to HYP on the I/B track upon viewing CCTV the pedestrian was clear at HYP. EV/2025/07335</t>
  </si>
  <si>
    <t>2509-37</t>
  </si>
  <si>
    <t xml:space="preserve">16:46 S Green T114 reported a group of youths fighting on the tram &amp; platform at MEI CCTV requested </t>
  </si>
  <si>
    <t>2509-38</t>
  </si>
  <si>
    <t>18:56 Driver J Birkitt (1048) emergency call reporting an RTC with a car on City Road  O/B unable to obtain many details over radio due to poor /no reception - call via mobile reports car coming from right handside from KFC/corner shop car driver injury reported but driver is on phone to ambulance herself DM A Barclay on way to site other tram services turning at SHS &amp;  GLT toward outer terminus - CCTV &amp; SIBAS requested service disruption to be sent &amp; oncall to be informed - A Barclay arrived onsite RSM also asked to attend the site as reports on the damage to tram unclear - A Barclay reports SYP on site happy that J Birkitts account matches car drivers ambulance yet to arrive thought that car will move under its own power when occupant removed - 20:26 T109 on City Road now moving OOS crossover at GLT then back to depot blue routes now operating HAL-SHS &amp;MAB-SHA. EV/2025/07348</t>
  </si>
  <si>
    <t>2509-39</t>
  </si>
  <si>
    <t>19:20 Richard from FEM reports an RTC with his works van minor injuries to both Supetram employees onboard no more details at the moment accident report form requested - update on the incident Supertram van NU73 0WR with C Hopson and R Shore rear-ended y car on Bernard Street details of car given on report. EV/2025/07540</t>
  </si>
  <si>
    <t>2509-40</t>
  </si>
  <si>
    <t>19:12 C Bradbury on T113 reported shelter panel smashed at MOW I/B no one in area and this tram was also last through reported to SYP and Sheffield Interchange. EV/2025/07519</t>
  </si>
  <si>
    <t>2509-41</t>
  </si>
  <si>
    <t>C02 Points</t>
  </si>
  <si>
    <t>Driver T205 reported that the right hand blade a C02 points had snapped - infrastructure were deployed to site to asses damage - infrastructure were granted permission to put in temporary repair which resulted in service disruption - the temp repair was completed at 20:49 permission was granted to bring back through points. Fully repair has been completed.EV/2025/07401</t>
  </si>
  <si>
    <t>2509-42</t>
  </si>
  <si>
    <t>13:30 Tram 104 S Addlington 1070 reported a passenger fall BMR I/B at tram stop no injuries reported and no details exchanged CCTV &amp; reports requested. EV/2025/07534</t>
  </si>
  <si>
    <t>2509-43</t>
  </si>
  <si>
    <t>08:38 Drv of T113 D Allott (1110) at GRR I/B reported that conductor M Ogden (1181) was requesting a PNB due to the fact that he had fallen on the tram on City Road CCTV requested and DM N Wybrant made aware. EV/2025/07544</t>
  </si>
  <si>
    <t>2509-44</t>
  </si>
  <si>
    <t>08:30 RSM T. Harrison reported RSM P Garrity sustaining a head injury caused by a a ratchett  - P. Garitty requiring medical attention - P.Garrity being taken to hospital by RSM -10:20rsm p. Garrity now back on iste at depot.EV/2025/07548</t>
  </si>
  <si>
    <t>Working blind as fastener is located out of sight</t>
  </si>
  <si>
    <t>Double check required to ensure tool is engaged with bolt correct;y</t>
  </si>
  <si>
    <t>2509-45</t>
  </si>
  <si>
    <t>11:34 Infra J. Weaver reported a rail break on the 6ft rail on the O/B side at pole MTE 3238 no speed restiction required A Callghan aware . EV/2025/07555</t>
  </si>
  <si>
    <t>2509-46</t>
  </si>
  <si>
    <t xml:space="preserve">18:16 Driver D.Cormack (1404) on T113 reports a faller on board as tram pulled into NER I/B Driver tells OCC there are no injuries but I has taken 19 mins to get the gentleman stood up and for the tram to continue (18:35) long periods of where the driver wasnt answering radio CCTV SIBAS and report requested </t>
  </si>
  <si>
    <t>2509-47</t>
  </si>
  <si>
    <t>07:30 Drv L Gulak on Tram 125 Reports a passenger fall at NER I/B no injuries reported sibas 165124 CCTV reports DM D Willey aware. EV/2025/07556</t>
  </si>
  <si>
    <t>2509-48</t>
  </si>
  <si>
    <t>17:56 Drv of T205 D Carrighan (1267) reported possible surfers on the back of T102 CAT to cas Drv of T102 informed CCTV in OCC checked but sowed nothing CCTV requested. EV/2025/07557</t>
  </si>
  <si>
    <t>2509-49</t>
  </si>
  <si>
    <t>09:33 From DM N Wybrant conductor R Woofingdon (1442) is unbale to continue he has reported to the DM that whilst taking fares on T114 GRR towards Halfway (the tram was very full of football fans) he was accidently elbowed in the head causing him to develope an headache on speaking N Wybrant he has not stated in the report the time or location he is going to update tomorrow and will be asked for approximate time and CCTV will then be requested. EV/2025/07558</t>
  </si>
  <si>
    <t>2509-50</t>
  </si>
  <si>
    <t>21:31 Drv of T108  Birkitt reported 1 x large panel of glass smashed BIL I/B reported to Sheffield Interchange and SYP online portal. EV/2025/07559</t>
  </si>
  <si>
    <t>2509-51</t>
  </si>
  <si>
    <t xml:space="preserve">Netherthorpe Road </t>
  </si>
  <si>
    <t xml:space="preserve">23:15 DRV D Canning on T107 reports for NER I/B that his conductor (L Carney) has activated his bodycam due to unsociable behaviour by some passengers </t>
  </si>
  <si>
    <t>06/12/025</t>
  </si>
  <si>
    <t>2509-52</t>
  </si>
  <si>
    <t xml:space="preserve">23:35 Emergency from DRV T Ngai on T114 at GLT O/B to inform of an incident onboard involving an altercation between two passngers OCC attempting to gain further information 23:40 Drv D Worth on T101 behind T114 requested to attend the incident to update OCC with further information - 23:46 fro Drv D Worth SYP arrive  on scene to T114 at GLT and remove the problem passenger </t>
  </si>
  <si>
    <t>2510-01</t>
  </si>
  <si>
    <t xml:space="preserve">System </t>
  </si>
  <si>
    <t>16:52 SYP Inspector Fiaz Ahmed contacted OCC to report a bomb threat made against the Sheffeild Tram Network no location given as to the potential threat reported that in around 2-4 hours people with knives potentially launching an attack - SYP have contacted anti-terrorism and there is no information (inc dark web)  regards a possible attack SYP report it as a standard risk incident no 555 (contact 0114196800/01142196801)  trams have not been requested to stop by SYP on-call W Clay informed trams, DMs, Cleaners, RSM, and all infra informed and to be vigilante of suspisious items and persons acting unusally - On Call W Clay soken to SYP counter terrorism police asking Supertram to complete cheks around the system  Driver and Conductors visually checking tram saloons and at stops, system cleaners driving across all stops to check  DMs checking ARS tram stop ahead of the event RSM completing a check of depot infra to come and check the infrastructure on cal W Clay coming into depot Town Hall CCTV informed Parkgate security asked to check PAQ tram stop York TRC  inofrmed trams trams still operating . EV/2025/07770</t>
  </si>
  <si>
    <t>2510-02</t>
  </si>
  <si>
    <t>20:09 Tram 202 C Grant reported CIR O/B advertising panel smashed did not see damage comitted reported SYP via online portal cleaners informed Global informed via email Townhall CCTV camera at CIR curremntly not working. EV/2025/07560</t>
  </si>
  <si>
    <t>2510-03</t>
  </si>
  <si>
    <t>10:24 Drv Trg  on T206 reported a small shelter panel smashed at MOW I/B no one in area reported to SYP and Traveline. EV/2025/08041</t>
  </si>
  <si>
    <t>2510-04</t>
  </si>
  <si>
    <t>14:40 Tram 102 reported pedestrian walking down Parkway Viaduct towards Delta - next tram informed pedestrian seen to clear viaduct on CCTV 14:45. EV/2025/08042</t>
  </si>
  <si>
    <t>2510-05</t>
  </si>
  <si>
    <t xml:space="preserve">17:36 OOC called system cleaner regards seat base replacement on tram system cleaner D Suter answered phone whilst driving resulting in being stopped by SYP for using mobile phone whilst driving cleaners issued with a penalty points and fine cleaner requested to come back to depot to complete report on call D Tingle informed cleaner sent home after completing report no system cleaner on shift for remainder of day M Blackwell informed via email </t>
  </si>
  <si>
    <t>2510-06</t>
  </si>
  <si>
    <t>23:31 The fire brigade have had reports of a car on the tracks at GRR and are attending (Log no, 17912)  no trams in the vicinty and FEM contacted to attend and provide an update -00:06 C Bottoms the police have arrested the car driver for being over the alcohol limit</t>
  </si>
  <si>
    <t>2510-07</t>
  </si>
  <si>
    <t>15:35 DM R Wild driving T118 reports a faller on board between CAT-CIH passenger is ok and not injured possibly drunk CCTV report and SIBAS (165305) requested. EV/2025/08043</t>
  </si>
  <si>
    <t>2510-08</t>
  </si>
  <si>
    <t>15:58 Emergency call from driver D Johnson (1099) on T113 reports RTC with car on City Road reportedly driver opened door into moving tram CCTV, SIBAS (165306) and report requested. EV/2025/08044</t>
  </si>
  <si>
    <t>2510-09</t>
  </si>
  <si>
    <t>22:10 Sheleter glass smashed at HAC reported tp SYP via online form. EV/2025/08045</t>
  </si>
  <si>
    <t>2510-10</t>
  </si>
  <si>
    <t xml:space="preserve">15:45 Drv R Pearson 1256 on T202 reported having signalling issues going on to NR and having to pass W210 at danger R Pearson reported he forgot to press trainstop overide resulting in the tram coming to a halt  tram then continued no contact made from NR signaller </t>
  </si>
  <si>
    <t>2510-11</t>
  </si>
  <si>
    <t>09:27 DRV M Mcabe on T104 reports that a shelter panel at BMR O/B is laying on the floor it appears undamaged reported to Sheffield Interchange for repair</t>
  </si>
  <si>
    <t>2510-12</t>
  </si>
  <si>
    <t>21:30 Drv of T125 K Broughton (1266) reported a large panel of glasss smashed WAT I/B reported to sheffield Interchange and to SYP via online portal cleaners asked to attend. EV/2025/08046</t>
  </si>
  <si>
    <t>2510-13</t>
  </si>
  <si>
    <t>S745</t>
  </si>
  <si>
    <t xml:space="preserve">07:56 York TRC reported tram 201 (2A11) TPWS overspeed activation prior to S745 on the down Tinsley Driver L Carse with Trainer K Brown K Brown to take over driving  and L Carse to see DM DM Rwild informed TELOC:165391 Driver K Brown reported speed around 20mph for the TPWS activation York TRC informed TRC informed OCC that the speed trap is 27.5mph DM Rwild and on call D Marrison updated </t>
  </si>
  <si>
    <t>Confirmation from DM - completed and sent to Megan 24/1/26</t>
  </si>
  <si>
    <t>2510-14</t>
  </si>
  <si>
    <t>08:50 Tram 121 S Scanes passed green and bar GLT-HOL O/B informed OCC afterwards DM J Cawthorn informed reports SIBAS and CCTV requested TACT 165413. EV/2025/08047</t>
  </si>
  <si>
    <t>2510-15</t>
  </si>
  <si>
    <t>14:37 T121 reports pedestrian in cess walking between DOW and MOW drivers informed. EV/2025/08078</t>
  </si>
  <si>
    <t>2510-16</t>
  </si>
  <si>
    <t>18:00 T105 reports pedestrian walking up Parkway Viaduct next trams informed 18:11 T105 reports Parkway viaduct clear of pedestrians. EV/2025/08079</t>
  </si>
  <si>
    <t>2510-17</t>
  </si>
  <si>
    <t>14:00Tram 118 reports pedestrian on tracks VAS -ARS next tram informed seen on CCTV to get to ARS platform and board next O/B tram</t>
  </si>
  <si>
    <t>2510-18</t>
  </si>
  <si>
    <t>Park Square Substation</t>
  </si>
  <si>
    <t xml:space="preserve">22:01 M Timperley (OHLE) informs OCC that last night they found a person of no fixed abode living in the entrance to Park Square Sub - he reported it to G Fairweather Safety team informed and requested OCC log the incident </t>
  </si>
  <si>
    <t>2510-19</t>
  </si>
  <si>
    <t>03:08 DE03 points fail RSM (L Coates) on tram 121 did not enter the depot correctly from Woodbourn Road driver hand operated DE03 resulting in DE03 points fail - J Barber advised to reset XV plus 165495. EV/2025/08080</t>
  </si>
  <si>
    <t xml:space="preserve">VIS code not entered </t>
  </si>
  <si>
    <t xml:space="preserve">Mulitpile vehicle failures cause a lapse in concentration </t>
  </si>
  <si>
    <t>2510-20</t>
  </si>
  <si>
    <t>21:02 Tram 202 reported youths threw object at tram between CAT-CAS no damage reported to SYP via online portal and trams inofrmed. EV/2025/08082</t>
  </si>
  <si>
    <t>2510-21</t>
  </si>
  <si>
    <t>21:41 Tram 110 M Kelly reported onject thrown at tram windscreen between CAT-CIH no damage reported to SYP via online portal and CCTV requested. EV/2025/08081</t>
  </si>
  <si>
    <t>2510-22</t>
  </si>
  <si>
    <t xml:space="preserve">System Wide </t>
  </si>
  <si>
    <t>15:21 OCC contacted by SYP (incident number 546)  F Ahmed of SYP (01142196800) reports a threat has been made against Supertram with a bomb placed on a Supertram that will detonate within the hour (SYP received text at 15:02)  Anti terro police classing threat as standard (lowest threat level) police to be deployed at tram stops but will not board vehicles F Ahmed reports no requirements for services to be withdrawn trams informed via ASC to check for any suspicious items on-call informed DMs to check EP and Cathedral area RSM to complete a sweep of depot Infra on call and system cleaners informed York ROC route incident and Townhall CCTV informed. 17:20 OCC contacted SYP for update on incident 549 inspector F Ahmed reports no new information SYP to maintian high visabilty ubtil 18:00 then to carry on mobile patrols until  01:00 OCC to conatct SYP at 19:30 for a further update on call informed - 01:10 21/12/2025 - OCC contacted SYP re Inc No 549 no further updates or information SYP noe closing/cancelling this incident D Marrison emailed - EV/2025/08083</t>
  </si>
  <si>
    <t>2510-23</t>
  </si>
  <si>
    <t>Universtiy</t>
  </si>
  <si>
    <t xml:space="preserve">21:00 Tram 102 M Mc Cabe  rpeorts a seperation leaving UOS I/B tram stopped and emergency door used to reunite CCTV and reports requested -Tram 102 updated to report seperation was an adult separated from a family unit containing other adults CCTV withdrawn </t>
  </si>
  <si>
    <t>2510-24</t>
  </si>
  <si>
    <t xml:space="preserve">Park Grange </t>
  </si>
  <si>
    <t>22:28 Driver M Mc Cabe (1199) tram 102 reports 1x small glass panel smashed at Park Grange tram stop I/B PTE contacted cleaners to sweep glass reported to SYTP via online portal. EV/2025/08084</t>
  </si>
  <si>
    <t>2510-25</t>
  </si>
  <si>
    <t>00:32 N Newbert (infrastucture) advised OCC that 4x bollards which were reported via email from SYP to D Marrison as being damaged at Crystal Peaks are our responsibilty - the location is at pole BD 3523 all four require replacing and there are three bases remaining SYP emailed (Grace Hill)  D Marrison cc included XV Plus 165529. EV/2025/08085</t>
  </si>
  <si>
    <t>2510-26</t>
  </si>
  <si>
    <t xml:space="preserve">16:17 Townhall CCTV report vulnerable female making way to Bowstring Bridge trams informed via ASC - 16:29 Vulnerable person seen on CCTV to arriveon bridge 16:31 female now on the wrong side of the bridge 16:35 SYP contacted OCC with trams still passing with caution 16:40 SYP  shut Bowstring Bridge and Delta OCC contacted SYP to get SYP to lift the closure of delat to allow trams to pass 16:57 trams now available to pass across delta C01 points failed after hand op for X over to be used wrong direction Infra informed and to attend on call informed service disruption sent X updated unable to contact First for ticket acceptance 17:04 SYP now have person on the correct side of the bridge and in a car but wont move vehicle - First contacted accepting tickets for the next couple of hours for passengers (cleared 18:22) 17:22 tracks now clear on call service disruption and X all updated </t>
  </si>
  <si>
    <t>2510-27</t>
  </si>
  <si>
    <t>16:38 DRV A Fell (1106) T114 reported his conductor D Balderson (1175) was having issues with a group of passengers after he withdrew a travel passengers after he withdrew travel pass that they had been trying to share the passengers left the tram at MTE O/B CCTV requested. EV/2025/08091</t>
  </si>
  <si>
    <t>Chased with investigator 02.02.26.
03/02/2026 sent to Mburns 18/01/2026</t>
  </si>
  <si>
    <t>2510-28</t>
  </si>
  <si>
    <t xml:space="preserve">09:50 Tram 205 CAS O/B driver D Johnson reported a passenger fall no injuries reported details exchanged CCTV &amp; reports requested. EV/2025/08095 </t>
  </si>
  <si>
    <t>2510-29</t>
  </si>
  <si>
    <t>17:17 Con F Miller 14:40(1440) reported to DM A Barclay when signing off at East Parade that he had been assaulted whilst working  on T112 between GLT and MTE I/B approximatley 15:00 he will make a  report next time he his on duty CCTV requested</t>
  </si>
  <si>
    <t>Chased with investigator 02.02.26
04/02/2026 Changed to info only as per email from Abuckley</t>
  </si>
  <si>
    <t>2510-30</t>
  </si>
  <si>
    <t>19:37 T110 reports a large A frame has been thrown at the windscreen between FIS and CAT no damage reported within a minute T123 travelling I/B the same area that something had been thrown at the tram and it smashed the nearside cab window town hall CCTV spoken and they were informaing the police straight away at 19:49 a police presence was on site CCTV requested and reported to SYP online ref DP-49795-25-1414-04- EV/2025/08096 - EV/2025/08097</t>
  </si>
  <si>
    <t>2510-31</t>
  </si>
  <si>
    <t xml:space="preserve">Hollinsend </t>
  </si>
  <si>
    <t>10:38 Emergency call came from T125 DRV N Burton (1130) to report RTC with car at the junction of Hollinsend Rd/Ridgeway Road He reported a car came from his nearside and turned right infront of him no injuries reported on board the tram or from the driver of the car at the time minor damage to front of tram reported SIBAS CCTV and reports requested SIBAS tact 165664 damage tact 165665. EV/2025/08098</t>
  </si>
  <si>
    <t>2510-32</t>
  </si>
  <si>
    <t>19:16 DRV S Scanes on T118 reports fron LPV I/B of an abandoned car blocking the tracks vehicle is wedged between posts and cannot be moved -SYP are on site at LPV Quickmission contacted to recover vehicle (ETA within 1hr) services turning back at SHA twitter updated and on call manager informed to chnage PIDS - DRV of T118 has confirmed that the vehicle is not wedged against any Supertram furniture but FEM on-call informed and they will attend site to check - 20:32 DRV S Scanes reports that the track is clear and he is now able to run through service resuming with some delays and cancellations.</t>
  </si>
  <si>
    <t>2510-33</t>
  </si>
  <si>
    <t xml:space="preserve">20:58 DRV R Kirk on T114 reported a large shelter panel smashed at DOW I/B reported to SYP online (DP-4989-25-1414-04) and Sheffield Interchange cleaners requested to attend </t>
  </si>
  <si>
    <t>2510-34</t>
  </si>
  <si>
    <t>05:53 T115 Drv Lcarse 1318 entered wrong code to exit depot west (306) exited fine second time. EV/2025/08100</t>
  </si>
  <si>
    <t>Confirmation from DM - completed and sent to Megan completed and sent to Megan 13/1/26</t>
  </si>
  <si>
    <t>2510-35</t>
  </si>
  <si>
    <t xml:space="preserve">22:57 YAS reported to OCC a person potentially wrong side of Bow String Bridge trams in area and CCTV informed 23:10 YAS contacted and person with YAS crew </t>
  </si>
  <si>
    <t>RSM tech reported that he had injured himself while tightening a traction motor bolt.EV/2026/00001</t>
  </si>
  <si>
    <t xml:space="preserve">Tooling slipped </t>
  </si>
  <si>
    <t>Slip</t>
  </si>
  <si>
    <t>28/01/2026 Has been sent to ND for sign off - Comments from Level 1 Mike Patterson (first aider) looked at Conors injury and just a graze so recommended washing the affected area sat conor down and gave him a drink no lasting effects from accident ok to cintinue work</t>
  </si>
  <si>
    <t>2510-37</t>
  </si>
  <si>
    <t>08:30 DRV J Miekle on tram 202 reports two pedestrians walking delta to HYP on veiwing CCTV they then walked HYP towards CIR trams in area advised. EV/2026/00016</t>
  </si>
  <si>
    <t>2510-38</t>
  </si>
  <si>
    <t>11:18 DVR R Pearson (1256) T101 reported his conductor (J Smith) had been spat at by a passenger during an altercation the passenger also kicked a door that then needed to be isolated CCTV and report requested no spit kits were available on the tram or at East Parade. EV/2026/00017 - EV/2026/00019</t>
  </si>
  <si>
    <t>2510-39</t>
  </si>
  <si>
    <t>11:07 DRV D Barnes 1055 on T115 reported a car in the swept path that he had to track brake for resulting in a passenger fall reported passenger had banged his head but was getting off at SPL and didn’t want to stay on the tram conductor called an ambulance to the passengers home address near SPL CCTV and SIBAS requested. EV/2026/00371</t>
  </si>
  <si>
    <t>2510-40</t>
  </si>
  <si>
    <t>18:23 SYP advise OCC of a report of a person laid in the tracks in HAC area trams advised and no one seen SYP call back and they cannot find anyone trams advised to be vigilant BIL to DOW</t>
  </si>
  <si>
    <t>2510-41</t>
  </si>
  <si>
    <t>20:27 DRV M Kelly on T106 O/B reports a pedestrian on the I/B track on the parkway viaduct towards delta trams advised. EV/2026/00372</t>
  </si>
  <si>
    <t>02/01/026</t>
  </si>
  <si>
    <t>2510-42</t>
  </si>
  <si>
    <t xml:space="preserve">Fitzalan Square </t>
  </si>
  <si>
    <t>20:42 DRV P Rowbottom on tram 113 reports unruly youths on the tram being anti social at fis they got off at fis and attempted unsuccessfully to tram surf then got back on the tram DM D Willey to meet at CAT the youths ran off at CAS . EV/2026/00373</t>
  </si>
  <si>
    <t>2510-43</t>
  </si>
  <si>
    <t>09:48 T108 I/B reported a pedestrian walking between ARS and VAC trams approaching advised pedestrian monitored on CCTV in OCC - 09:57 pedestrian seen on CCTV in OCC walking away towards IKEA at CAR. EV/2026/00374</t>
  </si>
  <si>
    <t>2511-01</t>
  </si>
  <si>
    <t>16:31 Vulnerable person on the wrong side of the railings of the Bow String Bridge STP (via Townhall CCTV) asked us to stop running trams - SYP on site trams held FIS/SHS/HYP for now 16:43 No progress made by SYP with this incident trams beginning to turn at SHS &amp; CAT back toward outer terminus - 17:23 individual now in ambulance incident clear tramway open</t>
  </si>
  <si>
    <t>2511-02</t>
  </si>
  <si>
    <t>06:30 RSM T Harrison contacted OCC a member of staff had fallen in the stabling yard area - at the same time driver C Moran (1297) phone OCC and informed us that a conductor S Selby (1249) had fallen he seemd ok but shaken S Selby (1249) was escorted back and liased with DM J Cawthorn -06:44 DM J Cawthorn as checked the area where conductor S SELBY (1249) had fallen (between tracks 1 and 2 on the Charlie berth) and alll appears ok DM J Cawthorn to obtain a report. 0730 DM J Cawthorn informed OC that conductor S Selby was unable to continue and will be visiting the NHS walk in centre. EV/2026/00375</t>
  </si>
  <si>
    <t>Chased with investigator 02.02.26.
03/02/2026 - sent to Mburns 17/01/2026</t>
  </si>
  <si>
    <t>2511-03</t>
  </si>
  <si>
    <t>23:59 T110 emergency call due to an RTC at MOW I/B Driver J Leggett says that there are no injuries and reported minor damage to both vehicles Infra &amp; RSM to attend SIBAS, CCTV and reports requested.EV/2026/00377</t>
  </si>
  <si>
    <t>Chased with investigator 02.02.26.
03/02/2026 Sent to Mburns 17/01/2026</t>
  </si>
  <si>
    <t>2511-04</t>
  </si>
  <si>
    <t>20:59 Drv of T202 S Green (1169) reported metal sign thrown at tram by a large group of both male and fermale youths between CAT and CAS no damage to tram CCTV requested. EV/2026/00378</t>
  </si>
  <si>
    <t>2511-05</t>
  </si>
  <si>
    <t>8 West</t>
  </si>
  <si>
    <t>05:30 E Wilkinson reported slipping on ice near 8W no injuries reported RSM to spread grit. EV/2026/00379</t>
  </si>
  <si>
    <t>2511-06</t>
  </si>
  <si>
    <t xml:space="preserve">21:23 Driver L Gulak (1293) approaching CAS I/B reported an object was thrown towards the tram possibly catching the nearside body work no signs of any damage CCTV requested SYP notified via online portal townhall CCTV aslo advised </t>
  </si>
  <si>
    <t>2511-07</t>
  </si>
  <si>
    <t xml:space="preserve">20:31 Driver T111 S Cowlishaw (1008) reported 1 large pane smashed reported to Sheffield Interchange and SYP via portal </t>
  </si>
  <si>
    <t>2511-08</t>
  </si>
  <si>
    <t>08:05 DRV D Pilgrim on T113 reported cyclist injured in track just after BMR O/B SYF&amp;R onsite ave moved cyclist on to the pavement so tram able to run through. EV/2026/00380</t>
  </si>
  <si>
    <t>2511-09</t>
  </si>
  <si>
    <t>10:50 Pedestrian walking trackside between CAR -ARS on O/B side walking I/B  observed clear of track by CCTV, EV/2026/00381</t>
  </si>
  <si>
    <t>2511-10</t>
  </si>
  <si>
    <t>07:22 T117 Drv Lgulak 1293 wrong direction on MW01 points into holding area - infrastructure working on points points were set for holding area and showed a bar aspect CCTV and report requested. EV/2026/00317</t>
  </si>
  <si>
    <t>Incident was discussed in more detail after the daily call took place. Chased with investigator 02.02.26</t>
  </si>
  <si>
    <t>2511-11</t>
  </si>
  <si>
    <t>11:41 Drv D Wilks 1077 reported slipping on the grit when coming down the stairs from Nunnery tram stop no injuries reported and report requested. EV/2026/00382</t>
  </si>
  <si>
    <t>2511-12</t>
  </si>
  <si>
    <t>Road 2</t>
  </si>
  <si>
    <t>12:00 RSM P Garrity on T102 incorrectly went on to road instead of 2 road whilst on depot moves - due to road 3 being full and with vehicles unable to move he became unable to clear points D07 RSM liased with OCC and made WDM to clear points D10 and then continue to 2 road</t>
  </si>
  <si>
    <t>2511-13</t>
  </si>
  <si>
    <t>Watery Street</t>
  </si>
  <si>
    <t>15:58 Driver J Peckett (1259) on T122 reports a minor RTC with car pulling out in front of him at Watery Street (prior to SHA I/B) details exchanged scratches to tram bumper only damage - DM A Barclay asked to go down to CAT to confirm level of tram damage CCTV  SIBAS (166196)  and report requested. EV/2026/00385</t>
  </si>
  <si>
    <t>2511-14</t>
  </si>
  <si>
    <t>19:00 Large shelter panel found smashed at PCG reported to SYP by online form. EV/2026/00386</t>
  </si>
  <si>
    <t>2511-15</t>
  </si>
  <si>
    <t>11:18 Driver C Alexnader-Morrison (1140) on T205 approached depot west with incorrect VIS code driver reported having 06 in vis  when asked but showing 306 Had to use west headshunt and return onto depot then approach to exit CAT to step up late TT. EV/2026/00387</t>
  </si>
  <si>
    <t xml:space="preserve">Chased with investigator 02.02.26.
03/02/2026-  email from AB this is still to be completed </t>
  </si>
  <si>
    <t>2511-16</t>
  </si>
  <si>
    <t>05:15 Police are dealing with a distressed woman on the Bow String Bridge both tracks blocked first blue route tran managed to get trhough before the police stopped anymore trams running through - first tram train diverted to SHS along with the first yellow route police incident 77 05:52 Police and ambulance clear of the bridge and inbound services can run throigh</t>
  </si>
  <si>
    <t>2511-17</t>
  </si>
  <si>
    <t>08:55 T205 Drv S Scanes (1307) reports at FIS a pedestrian walked in front of the tram and track brake applied no injuries reported  CCTV requested</t>
  </si>
  <si>
    <t>2511-18</t>
  </si>
  <si>
    <t xml:space="preserve">Fitzalan Sqaure </t>
  </si>
  <si>
    <t>09:00 T113 J Belgrave (1144) reports a passenger fall when leaving FIS O/B no injuries reported and CCTV requested. EV/2026/00429</t>
  </si>
  <si>
    <t>2511-19</t>
  </si>
  <si>
    <t xml:space="preserve">Nunnery Dpot </t>
  </si>
  <si>
    <t>10:11  415v trip on depot all relevant NNS alarms showing on SCADA all SCADA network comms depot power points alarms amainline depot signals off UTC screen blank OCC phones off no internet relevane personell dealing with situation XV plus 166356</t>
  </si>
  <si>
    <t>2511-20</t>
  </si>
  <si>
    <t>15:18 Driver E Wilkinson reports fromT120 whilst at CAS I/B that a passenger got their hand stuck in a closing door no injuries reported door 8 isolated as a precautionary measure due to possibly sensitive edges not working CCTV requested and XV plus to check door 8 sensitive edge function</t>
  </si>
  <si>
    <t>2511-21</t>
  </si>
  <si>
    <t xml:space="preserve">16:28 DVR T Ngai reports from T114 on PAG just after SPL I/B that a car driver brake checked the tram which resulted in a track brake application no fallers reported CCTV and SIBAS requested </t>
  </si>
  <si>
    <t>2511-22</t>
  </si>
  <si>
    <t>23:04 Tram 106 reported pedestrian trackside between CIR-NUS walking O/B OCC observed on CCTV pedestrian walked clear of tracks. EV/2026/00430</t>
  </si>
  <si>
    <t>2511-23</t>
  </si>
  <si>
    <t>A rail break was discovered  just prior to Shalesmoor road crossing on the O/B 6ft rail and within the segregated embedded area. The break follows the usual pattern for this type of break ) involving an Aluminothermic weld called a “Split Web Fracture”. The break will be monitored until we can get it removed and replaced with a closure rail being installed following an agreed process between SYFTL, SYMCA and VolkerRail.</t>
  </si>
  <si>
    <t>2511-24</t>
  </si>
  <si>
    <t xml:space="preserve">18:52 DRV P Hawkins (1184) T101 CAS O/B reported an altercation between a male and female on the tram the driver and conductor (JWagstaff 1201) got between the couple to separate them and the driver was grabbed by the neck another passenger then dragged the male off the tram the couple were not together and the female continued her journey CCTV and report requested </t>
  </si>
  <si>
    <t>2511-25</t>
  </si>
  <si>
    <t>Conductor Jack McQuillan cut finger while opening saloon window on T119.</t>
  </si>
  <si>
    <t>2511-26</t>
  </si>
  <si>
    <t>13:32 T117 reports a passenger fall at BMR O/B no injuries reported left vehicle at her stop reports SIBAS and CCTV requested TACT DV166516</t>
  </si>
  <si>
    <t>2511-27</t>
  </si>
  <si>
    <t>DRV S Scanes on T112 reported a blockage at the West Street/Rockingham Street junction whereby a cyclist has fallen off his bicycle a bus driver has called for an ambulance - service suspended CAT-SHA due to incident SP confirm that they will attend and an ambulance is on its way FEM to attend to check track for defects (TACT 166525) - smbulance and SYP no in attendance on West Street - FEM have inspsected the tracks on West Street and report no defects to remain on site as liaison for OCC 19:09 FEM on-site inform OCC that tracks are clear and service can resume</t>
  </si>
  <si>
    <t>2511-28</t>
  </si>
  <si>
    <t>DRV D Cormack on T112 at WES I/B reports that a car has struck the tram (whilst stationary because of the incident) the driver then drove off without stopping to exchange details  tram driver has taken photos of the car CCTV requested and to be reported to SYP online TACT (166258)</t>
  </si>
  <si>
    <t>2511-29</t>
  </si>
  <si>
    <t>11:40 Tram 116 reported a pedestrians at WOR-ATT next tram informed and reported no pedestrians seen</t>
  </si>
  <si>
    <t>Tram 123 C Donelly at MAB reported a potential passenger fall at CAT O/B conductor R Cawton did not witness the fall  no injuries reported at the time  CCTV SIBAS and reports requested SIBAS 166597</t>
  </si>
  <si>
    <t>2512-01</t>
  </si>
  <si>
    <t xml:space="preserve">21:25 Driver D Johnson (1099) tram 106 reports a near miss with a car after leaving Cathedral O/B drIver took evasive action no injuries reported CCTV abd Sibas requested DM R Wild advised </t>
  </si>
  <si>
    <t xml:space="preserve">Confirmed as INFO Only by WC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</si>
</sst>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0" x14ac:knownFonts="1">
    <font>
      <sz val="11"/>
      <color theme="1"/>
      <name val="Calibri"/>
      <family val="2"/>
      <scheme val="minor"/>
    </font>
    <font>
      <sz val="11"/>
      <color theme="1"/>
      <name val="Calibri"/>
      <scheme val="minor"/>
    </font>
    <font>
      <b/>
      <sz val="11"/>
      <color theme="1"/>
      <name val="Arial"/>
      <family val="2"/>
    </font>
    <font>
      <sz val="11"/>
      <color theme="1"/>
      <name val="Arial"/>
      <family val="2"/>
    </font>
    <font>
      <sz val="10"/>
      <color theme="1"/>
      <name val="Arial"/>
      <family val="2"/>
    </font>
    <font>
      <b/>
      <sz val="11"/>
      <color theme="1"/>
      <name val="Calibri"/>
      <family val="2"/>
      <scheme val="minor"/>
    </font>
    <font>
      <b/>
      <sz val="9"/>
      <color indexed="81"/>
      <name val="Tahoma"/>
      <family val="2"/>
    </font>
    <font>
      <sz val="9"/>
      <color indexed="81"/>
      <name val="Tahoma"/>
      <family val="2"/>
    </font>
    <font>
      <b/>
      <sz val="10"/>
      <color theme="1"/>
      <name val="Arial"/>
      <family val="2"/>
    </font>
    <font>
      <b/>
      <sz val="22"/>
      <color theme="1"/>
      <name val="Calibri"/>
      <family val="2"/>
      <scheme val="minor"/>
    </font>
    <font>
      <sz val="10"/>
      <name val="Arial"/>
      <family val="2"/>
    </font>
    <font>
      <b/>
      <sz val="11"/>
      <color rgb="FFFF0000"/>
      <name val="Calibri"/>
      <family val="2"/>
      <scheme val="minor"/>
    </font>
    <font>
      <sz val="11"/>
      <color rgb="FFFF0000"/>
      <name val="Calibri"/>
      <family val="2"/>
      <scheme val="minor"/>
    </font>
    <font>
      <sz val="11"/>
      <name val="Calibri"/>
      <family val="2"/>
      <scheme val="minor"/>
    </font>
    <font>
      <i/>
      <sz val="11"/>
      <color theme="1"/>
      <name val="Calibri"/>
      <family val="2"/>
      <scheme val="minor"/>
    </font>
    <font>
      <b/>
      <sz val="11"/>
      <name val="Calibri"/>
      <family val="2"/>
      <scheme val="minor"/>
    </font>
    <font>
      <b/>
      <sz val="11"/>
      <color theme="0"/>
      <name val="Calibri"/>
      <family val="2"/>
      <scheme val="minor"/>
    </font>
    <font>
      <b/>
      <sz val="14"/>
      <color theme="0"/>
      <name val="Calibri"/>
      <family val="2"/>
      <scheme val="minor"/>
    </font>
    <font>
      <b/>
      <sz val="14"/>
      <name val="Calibri"/>
      <family val="2"/>
      <scheme val="minor"/>
    </font>
    <font>
      <sz val="12"/>
      <color theme="1"/>
      <name val="Calibri"/>
      <family val="2"/>
      <scheme val="minor"/>
    </font>
    <font>
      <sz val="8"/>
      <name val="Calibri"/>
      <family val="2"/>
      <scheme val="minor"/>
    </font>
    <font>
      <sz val="11"/>
      <color rgb="FF000000"/>
      <name val="Calibri"/>
      <family val="2"/>
    </font>
    <font>
      <sz val="12"/>
      <color rgb="FF000000"/>
      <name val="Arial"/>
      <family val="2"/>
    </font>
    <font>
      <sz val="8"/>
      <color rgb="FF000000"/>
      <name val="Arial"/>
      <family val="2"/>
    </font>
    <font>
      <sz val="11"/>
      <color rgb="FFFF0000"/>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1"/>
      <color rgb="FF000000"/>
      <name val="Aptos Narrow"/>
      <family val="2"/>
    </font>
    <font>
      <b/>
      <sz val="10"/>
      <color rgb="FF111111"/>
      <name val="Arial"/>
      <family val="2"/>
    </font>
    <font>
      <sz val="10"/>
      <color rgb="FF111111"/>
      <name val="Arial"/>
      <family val="2"/>
    </font>
    <font>
      <sz val="11"/>
      <color rgb="FF000000"/>
      <name val="Arial"/>
      <family val="2"/>
    </font>
    <font>
      <sz val="11"/>
      <color theme="1"/>
      <name val="Calibri"/>
      <family val="2"/>
    </font>
    <font>
      <sz val="12"/>
      <color rgb="FF000000"/>
      <name val="Aptos"/>
      <family val="2"/>
    </font>
    <font>
      <sz val="10"/>
      <color rgb="FF000000"/>
      <name val="Arial"/>
      <family val="2"/>
    </font>
    <font>
      <sz val="9"/>
      <color theme="1"/>
      <name val="Calibri"/>
      <family val="2"/>
    </font>
    <font>
      <b/>
      <sz val="11"/>
      <color rgb="FF000000"/>
      <name val="Calibri"/>
      <family val="2"/>
      <scheme val="minor"/>
    </font>
    <font>
      <sz val="11"/>
      <color theme="1"/>
      <name val="Aptos"/>
      <family val="2"/>
    </font>
    <font>
      <sz val="11"/>
      <color rgb="FF000000"/>
      <name val="Calibri"/>
      <family val="2"/>
      <scheme val="minor"/>
    </font>
    <font>
      <sz val="7"/>
      <color theme="1"/>
      <name val="Calibri"/>
      <family val="2"/>
      <scheme val="minor"/>
    </font>
    <font>
      <sz val="12"/>
      <color rgb="FF000000"/>
      <name val="Calibri"/>
      <family val="2"/>
      <scheme val="minor"/>
    </font>
    <font>
      <b/>
      <u/>
      <sz val="12"/>
      <color rgb="FF000000"/>
      <name val="Calibri"/>
      <family val="2"/>
      <scheme val="minor"/>
    </font>
    <font>
      <sz val="12"/>
      <color theme="1"/>
      <name val="Calibri"/>
      <family val="2"/>
    </font>
    <font>
      <i/>
      <sz val="10"/>
      <color theme="4"/>
      <name val="Calibri"/>
      <family val="2"/>
      <scheme val="minor"/>
    </font>
    <font>
      <sz val="11"/>
      <color theme="1"/>
      <name val="Segoe UI"/>
      <charset val="1"/>
    </font>
    <font>
      <sz val="7"/>
      <color theme="1"/>
      <name val="Segoe UI"/>
      <family val="2"/>
    </font>
    <font>
      <sz val="11"/>
      <color rgb="FF000000"/>
      <name val="Calibri"/>
      <scheme val="minor"/>
    </font>
    <font>
      <sz val="11"/>
      <color rgb="FF0070C0"/>
      <name val="Calibri"/>
      <scheme val="minor"/>
    </font>
    <font>
      <sz val="11"/>
      <color rgb="FFFF0000"/>
      <name val="Calibri"/>
      <scheme val="minor"/>
    </font>
  </fonts>
  <fills count="4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rgb="FF0070C0"/>
        <bgColor indexed="64"/>
      </patternFill>
    </fill>
    <fill>
      <patternFill patternType="solid">
        <fgColor theme="8"/>
        <bgColor indexed="64"/>
      </patternFill>
    </fill>
    <fill>
      <patternFill patternType="solid">
        <fgColor theme="9" tint="0.39997558519241921"/>
        <bgColor indexed="64"/>
      </patternFill>
    </fill>
    <fill>
      <patternFill patternType="solid">
        <fgColor theme="9"/>
        <bgColor indexed="64"/>
      </patternFill>
    </fill>
    <fill>
      <patternFill patternType="solid">
        <fgColor rgb="FF00B050"/>
        <bgColor indexed="64"/>
      </patternFill>
    </fill>
    <fill>
      <patternFill patternType="solid">
        <fgColor theme="4" tint="0.59996337778862885"/>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43">
    <xf numFmtId="0" fontId="0" fillId="0" borderId="0"/>
    <xf numFmtId="0" fontId="10" fillId="0" borderId="0"/>
    <xf numFmtId="0" fontId="26" fillId="0" borderId="0" applyNumberFormat="0" applyFill="0" applyBorder="0" applyAlignment="0" applyProtection="0"/>
    <xf numFmtId="0" fontId="27" fillId="0" borderId="69" applyNumberFormat="0" applyFill="0" applyAlignment="0" applyProtection="0"/>
    <xf numFmtId="0" fontId="28" fillId="0" borderId="70" applyNumberFormat="0" applyFill="0" applyAlignment="0" applyProtection="0"/>
    <xf numFmtId="0" fontId="29" fillId="0" borderId="71" applyNumberFormat="0" applyFill="0" applyAlignment="0" applyProtection="0"/>
    <xf numFmtId="0" fontId="29" fillId="0" borderId="0" applyNumberFormat="0" applyFill="0" applyBorder="0" applyAlignment="0" applyProtection="0"/>
    <xf numFmtId="0" fontId="30" fillId="10" borderId="0" applyNumberFormat="0" applyBorder="0" applyAlignment="0" applyProtection="0"/>
    <xf numFmtId="0" fontId="31" fillId="11" borderId="0" applyNumberFormat="0" applyBorder="0" applyAlignment="0" applyProtection="0"/>
    <xf numFmtId="0" fontId="32" fillId="12" borderId="0" applyNumberFormat="0" applyBorder="0" applyAlignment="0" applyProtection="0"/>
    <xf numFmtId="0" fontId="33" fillId="13" borderId="72" applyNumberFormat="0" applyAlignment="0" applyProtection="0"/>
    <xf numFmtId="0" fontId="34" fillId="14" borderId="73" applyNumberFormat="0" applyAlignment="0" applyProtection="0"/>
    <xf numFmtId="0" fontId="35" fillId="14" borderId="72" applyNumberFormat="0" applyAlignment="0" applyProtection="0"/>
    <xf numFmtId="0" fontId="36" fillId="0" borderId="74" applyNumberFormat="0" applyFill="0" applyAlignment="0" applyProtection="0"/>
    <xf numFmtId="0" fontId="16" fillId="15" borderId="75" applyNumberFormat="0" applyAlignment="0" applyProtection="0"/>
    <xf numFmtId="0" fontId="12" fillId="0" borderId="0" applyNumberFormat="0" applyFill="0" applyBorder="0" applyAlignment="0" applyProtection="0"/>
    <xf numFmtId="0" fontId="25" fillId="16" borderId="76" applyNumberFormat="0" applyFont="0" applyAlignment="0" applyProtection="0"/>
    <xf numFmtId="0" fontId="37" fillId="0" borderId="0" applyNumberFormat="0" applyFill="0" applyBorder="0" applyAlignment="0" applyProtection="0"/>
    <xf numFmtId="0" fontId="5" fillId="0" borderId="77" applyNumberFormat="0" applyFill="0" applyAlignment="0" applyProtection="0"/>
    <xf numFmtId="0" fontId="38"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38"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38" fillId="25"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38"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38" fillId="33"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38" fillId="37"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cellStyleXfs>
  <cellXfs count="523">
    <xf numFmtId="0" fontId="0" fillId="0" borderId="0" xfId="0"/>
    <xf numFmtId="0" fontId="3" fillId="0" borderId="0" xfId="0" applyFont="1"/>
    <xf numFmtId="0" fontId="4" fillId="0" borderId="1" xfId="0" applyFont="1" applyBorder="1" applyAlignment="1">
      <alignment horizontal="center" wrapText="1"/>
    </xf>
    <xf numFmtId="0" fontId="0" fillId="0" borderId="1" xfId="0" applyBorder="1"/>
    <xf numFmtId="0" fontId="2" fillId="2" borderId="2" xfId="0" applyFont="1" applyFill="1" applyBorder="1" applyAlignment="1">
      <alignment horizontal="center" vertical="center" wrapText="1"/>
    </xf>
    <xf numFmtId="0" fontId="2" fillId="0" borderId="9" xfId="0" applyFont="1" applyBorder="1" applyAlignment="1">
      <alignment horizontal="center" vertical="center"/>
    </xf>
    <xf numFmtId="1" fontId="2" fillId="0" borderId="10" xfId="0" applyNumberFormat="1"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7" xfId="0" applyBorder="1" applyAlignment="1">
      <alignment horizontal="center" vertical="center"/>
    </xf>
    <xf numFmtId="0" fontId="5" fillId="0" borderId="2" xfId="0" applyFont="1" applyBorder="1"/>
    <xf numFmtId="0" fontId="5" fillId="0" borderId="1" xfId="0" applyFont="1" applyBorder="1" applyAlignment="1">
      <alignment horizontal="center"/>
    </xf>
    <xf numFmtId="0" fontId="5" fillId="0" borderId="2" xfId="0" applyFont="1" applyBorder="1" applyAlignment="1">
      <alignment horizontal="center" vertical="center"/>
    </xf>
    <xf numFmtId="0" fontId="5" fillId="0" borderId="54" xfId="0" applyFont="1" applyBorder="1" applyAlignment="1">
      <alignment horizontal="center" vertical="center"/>
    </xf>
    <xf numFmtId="0" fontId="5" fillId="0" borderId="55" xfId="0" applyFont="1" applyBorder="1" applyAlignment="1">
      <alignment horizontal="center" vertical="center"/>
    </xf>
    <xf numFmtId="0" fontId="5" fillId="0" borderId="37" xfId="0" applyFon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14" xfId="0" applyBorder="1" applyAlignment="1">
      <alignment horizontal="center" vertical="center"/>
    </xf>
    <xf numFmtId="0" fontId="5" fillId="0" borderId="34" xfId="0" applyFont="1" applyBorder="1" applyAlignment="1">
      <alignment horizontal="center"/>
    </xf>
    <xf numFmtId="0" fontId="5" fillId="0" borderId="8" xfId="0" applyFont="1" applyBorder="1" applyAlignment="1">
      <alignment horizontal="center"/>
    </xf>
    <xf numFmtId="0" fontId="5" fillId="0" borderId="7" xfId="0" applyFont="1" applyBorder="1" applyAlignment="1">
      <alignment horizontal="center"/>
    </xf>
    <xf numFmtId="0" fontId="5" fillId="0" borderId="0" xfId="0" applyFont="1" applyAlignment="1">
      <alignment horizontal="center"/>
    </xf>
    <xf numFmtId="0" fontId="0" fillId="0" borderId="0" xfId="0" applyAlignment="1">
      <alignment horizontal="center" vertical="center" wrapText="1"/>
    </xf>
    <xf numFmtId="0" fontId="5" fillId="0" borderId="37" xfId="0" applyFont="1" applyBorder="1"/>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57" xfId="0" applyFont="1" applyBorder="1" applyAlignment="1">
      <alignment horizontal="center" vertical="center"/>
    </xf>
    <xf numFmtId="0" fontId="5" fillId="0" borderId="14" xfId="0" applyFont="1" applyBorder="1" applyAlignment="1">
      <alignment horizontal="center" vertical="center"/>
    </xf>
    <xf numFmtId="2" fontId="0" fillId="0" borderId="22" xfId="0" applyNumberFormat="1" applyBorder="1"/>
    <xf numFmtId="0" fontId="5" fillId="0" borderId="59" xfId="0" applyFont="1" applyBorder="1" applyAlignment="1">
      <alignment horizontal="center"/>
    </xf>
    <xf numFmtId="2" fontId="0" fillId="0" borderId="24" xfId="0" applyNumberFormat="1" applyBorder="1"/>
    <xf numFmtId="0" fontId="5" fillId="0" borderId="48" xfId="0" applyFont="1" applyBorder="1" applyAlignment="1">
      <alignment horizontal="center" vertical="center"/>
    </xf>
    <xf numFmtId="0" fontId="5" fillId="0" borderId="27" xfId="0" applyFont="1" applyBorder="1" applyAlignment="1">
      <alignment horizontal="center" vertical="center"/>
    </xf>
    <xf numFmtId="0" fontId="5" fillId="0" borderId="17" xfId="0" applyFont="1" applyBorder="1" applyAlignment="1">
      <alignment horizontal="center" vertical="center"/>
    </xf>
    <xf numFmtId="0" fontId="5" fillId="0" borderId="40" xfId="0" applyFont="1" applyBorder="1" applyAlignment="1">
      <alignment horizontal="center"/>
    </xf>
    <xf numFmtId="2" fontId="0" fillId="0" borderId="23" xfId="0" applyNumberFormat="1" applyBorder="1"/>
    <xf numFmtId="2" fontId="5" fillId="0" borderId="17" xfId="0" applyNumberFormat="1" applyFont="1" applyBorder="1" applyAlignment="1">
      <alignment horizontal="center" vertical="center"/>
    </xf>
    <xf numFmtId="2" fontId="5" fillId="0" borderId="1" xfId="0" applyNumberFormat="1" applyFont="1" applyBorder="1" applyAlignment="1">
      <alignment horizontal="center" vertical="center"/>
    </xf>
    <xf numFmtId="2" fontId="5" fillId="0" borderId="18" xfId="0" applyNumberFormat="1" applyFont="1" applyBorder="1" applyAlignment="1">
      <alignment horizontal="center" vertical="center"/>
    </xf>
    <xf numFmtId="0" fontId="5" fillId="0" borderId="16" xfId="0" applyFont="1" applyBorder="1" applyAlignment="1">
      <alignment horizontal="center"/>
    </xf>
    <xf numFmtId="2" fontId="5" fillId="0" borderId="22" xfId="0" applyNumberFormat="1" applyFont="1" applyBorder="1" applyAlignment="1">
      <alignment horizontal="center" vertical="center"/>
    </xf>
    <xf numFmtId="2" fontId="5" fillId="0" borderId="24" xfId="0" applyNumberFormat="1" applyFont="1" applyBorder="1" applyAlignment="1">
      <alignment horizontal="center" vertical="center"/>
    </xf>
    <xf numFmtId="0" fontId="5" fillId="0" borderId="51" xfId="0" applyFont="1" applyBorder="1" applyAlignment="1">
      <alignment horizontal="center" vertical="center"/>
    </xf>
    <xf numFmtId="0" fontId="0" fillId="0" borderId="1" xfId="0" applyBorder="1" applyAlignment="1">
      <alignment horizontal="center" wrapText="1"/>
    </xf>
    <xf numFmtId="2" fontId="5" fillId="0" borderId="14" xfId="0" applyNumberFormat="1" applyFont="1" applyBorder="1" applyAlignment="1">
      <alignment horizontal="center" vertical="center"/>
    </xf>
    <xf numFmtId="0" fontId="0" fillId="0" borderId="1" xfId="0" applyBorder="1" applyAlignment="1">
      <alignment horizontal="center"/>
    </xf>
    <xf numFmtId="0" fontId="5" fillId="0" borderId="45" xfId="0" applyFont="1" applyBorder="1" applyAlignment="1">
      <alignment horizontal="center"/>
    </xf>
    <xf numFmtId="0" fontId="0" fillId="0" borderId="27" xfId="0" applyBorder="1"/>
    <xf numFmtId="0" fontId="0" fillId="0" borderId="28" xfId="0" applyBorder="1"/>
    <xf numFmtId="0" fontId="0" fillId="0" borderId="17" xfId="0" applyBorder="1"/>
    <xf numFmtId="0" fontId="0" fillId="0" borderId="21" xfId="0" applyBorder="1"/>
    <xf numFmtId="2" fontId="0" fillId="0" borderId="25" xfId="0" applyNumberFormat="1" applyBorder="1"/>
    <xf numFmtId="0" fontId="0" fillId="0" borderId="27" xfId="0" applyBorder="1" applyAlignment="1">
      <alignment horizontal="center"/>
    </xf>
    <xf numFmtId="0" fontId="5" fillId="0" borderId="24" xfId="0" applyFont="1" applyBorder="1" applyAlignment="1">
      <alignment horizontal="center"/>
    </xf>
    <xf numFmtId="0" fontId="0" fillId="0" borderId="8" xfId="0" applyBorder="1" applyAlignment="1">
      <alignment horizontal="center"/>
    </xf>
    <xf numFmtId="0" fontId="0" fillId="0" borderId="16" xfId="0" applyBorder="1" applyAlignment="1">
      <alignment horizontal="center"/>
    </xf>
    <xf numFmtId="0" fontId="0" fillId="0" borderId="13" xfId="0" applyBorder="1" applyAlignment="1">
      <alignment horizontal="center"/>
    </xf>
    <xf numFmtId="0" fontId="0" fillId="0" borderId="2" xfId="0" applyBorder="1"/>
    <xf numFmtId="2" fontId="5" fillId="0" borderId="32" xfId="0" applyNumberFormat="1" applyFont="1" applyBorder="1" applyAlignment="1">
      <alignment horizontal="center" vertical="center"/>
    </xf>
    <xf numFmtId="2" fontId="5" fillId="0" borderId="25" xfId="0" applyNumberFormat="1" applyFont="1" applyBorder="1" applyAlignment="1">
      <alignment horizontal="center" vertical="center"/>
    </xf>
    <xf numFmtId="2" fontId="5" fillId="0" borderId="23" xfId="0" applyNumberFormat="1" applyFont="1" applyBorder="1" applyAlignment="1">
      <alignment horizontal="center" vertical="center"/>
    </xf>
    <xf numFmtId="0" fontId="0" fillId="0" borderId="8" xfId="0" applyBorder="1"/>
    <xf numFmtId="0" fontId="5" fillId="0" borderId="19" xfId="0" applyFont="1" applyBorder="1"/>
    <xf numFmtId="0" fontId="5" fillId="0" borderId="39" xfId="0" applyFont="1" applyBorder="1"/>
    <xf numFmtId="0" fontId="5" fillId="0" borderId="44" xfId="0" applyFont="1" applyBorder="1"/>
    <xf numFmtId="2" fontId="0" fillId="0" borderId="1" xfId="0" applyNumberFormat="1" applyBorder="1" applyAlignment="1">
      <alignment horizontal="center" vertical="center"/>
    </xf>
    <xf numFmtId="0" fontId="5" fillId="0" borderId="64" xfId="0" applyFont="1" applyBorder="1" applyAlignment="1">
      <alignment horizontal="center"/>
    </xf>
    <xf numFmtId="2" fontId="5" fillId="0" borderId="46" xfId="0" applyNumberFormat="1" applyFont="1" applyBorder="1" applyAlignment="1">
      <alignment horizontal="center" vertical="center"/>
    </xf>
    <xf numFmtId="0" fontId="0" fillId="0" borderId="7" xfId="0" applyBorder="1" applyAlignment="1">
      <alignment horizontal="center"/>
    </xf>
    <xf numFmtId="0" fontId="0" fillId="0" borderId="19" xfId="0" applyBorder="1"/>
    <xf numFmtId="0" fontId="0" fillId="0" borderId="50" xfId="0" applyBorder="1"/>
    <xf numFmtId="14" fontId="0" fillId="0" borderId="1" xfId="0" applyNumberFormat="1" applyBorder="1" applyAlignment="1">
      <alignment horizontal="center" vertical="center" wrapText="1"/>
    </xf>
    <xf numFmtId="0" fontId="5" fillId="3" borderId="1" xfId="0" applyFont="1" applyFill="1" applyBorder="1" applyAlignment="1">
      <alignment horizontal="center" vertical="center"/>
    </xf>
    <xf numFmtId="0" fontId="0" fillId="0" borderId="45" xfId="0" applyBorder="1"/>
    <xf numFmtId="0" fontId="0" fillId="0" borderId="47" xfId="0" applyBorder="1"/>
    <xf numFmtId="0" fontId="0" fillId="0" borderId="46" xfId="0" applyBorder="1"/>
    <xf numFmtId="0" fontId="0" fillId="0" borderId="44" xfId="0" applyBorder="1"/>
    <xf numFmtId="0" fontId="0" fillId="0" borderId="31" xfId="0" applyBorder="1" applyAlignment="1">
      <alignment horizontal="center" vertical="center" wrapText="1"/>
    </xf>
    <xf numFmtId="0" fontId="0" fillId="7" borderId="1" xfId="0" applyFill="1"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8" fillId="0" borderId="1" xfId="0" applyFont="1" applyBorder="1" applyAlignment="1">
      <alignment horizontal="center" vertical="center" wrapText="1"/>
    </xf>
    <xf numFmtId="0" fontId="5" fillId="4" borderId="10" xfId="0" applyFont="1" applyFill="1" applyBorder="1" applyAlignment="1">
      <alignment horizontal="center"/>
    </xf>
    <xf numFmtId="0" fontId="5" fillId="4" borderId="62" xfId="0" applyFont="1" applyFill="1" applyBorder="1" applyAlignment="1">
      <alignment horizontal="center"/>
    </xf>
    <xf numFmtId="0" fontId="0" fillId="0" borderId="8" xfId="0" applyBorder="1" applyAlignment="1">
      <alignment horizontal="center" vertical="center"/>
    </xf>
    <xf numFmtId="2" fontId="0" fillId="0" borderId="14" xfId="0" applyNumberFormat="1" applyBorder="1" applyAlignment="1">
      <alignment horizontal="center" vertical="center"/>
    </xf>
    <xf numFmtId="2" fontId="0" fillId="0" borderId="8" xfId="0" applyNumberFormat="1" applyBorder="1" applyAlignment="1">
      <alignment horizontal="center" vertical="center"/>
    </xf>
    <xf numFmtId="2" fontId="0" fillId="4" borderId="10" xfId="0" applyNumberFormat="1" applyFill="1" applyBorder="1" applyAlignment="1">
      <alignment horizontal="center" vertical="center"/>
    </xf>
    <xf numFmtId="2" fontId="0" fillId="4" borderId="54" xfId="0" applyNumberFormat="1" applyFill="1" applyBorder="1" applyAlignment="1">
      <alignment horizontal="center" vertical="center"/>
    </xf>
    <xf numFmtId="2" fontId="0" fillId="0" borderId="13" xfId="0" applyNumberFormat="1" applyBorder="1" applyAlignment="1">
      <alignment horizontal="center" vertical="center"/>
    </xf>
    <xf numFmtId="2" fontId="0" fillId="0" borderId="42" xfId="0" applyNumberFormat="1" applyBorder="1" applyAlignment="1">
      <alignment horizontal="center" vertical="center"/>
    </xf>
    <xf numFmtId="0" fontId="11" fillId="0" borderId="0" xfId="0" applyFont="1" applyAlignment="1">
      <alignment horizontal="center"/>
    </xf>
    <xf numFmtId="0" fontId="0" fillId="0" borderId="67" xfId="0" applyBorder="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horizontal="center" vertical="center" wrapText="1"/>
    </xf>
    <xf numFmtId="0" fontId="0" fillId="3" borderId="1" xfId="0" applyFill="1" applyBorder="1" applyAlignment="1">
      <alignment horizontal="center"/>
    </xf>
    <xf numFmtId="0" fontId="4" fillId="3" borderId="1" xfId="0" applyFont="1" applyFill="1" applyBorder="1" applyAlignment="1">
      <alignment horizontal="center" wrapText="1"/>
    </xf>
    <xf numFmtId="0" fontId="0" fillId="3" borderId="0" xfId="0" applyFill="1"/>
    <xf numFmtId="0" fontId="0" fillId="0" borderId="8" xfId="0" applyBorder="1" applyAlignment="1">
      <alignment horizontal="center" wrapText="1"/>
    </xf>
    <xf numFmtId="0" fontId="0" fillId="7" borderId="14" xfId="0" applyFill="1" applyBorder="1" applyAlignment="1">
      <alignment horizontal="center" vertical="center"/>
    </xf>
    <xf numFmtId="14" fontId="4" fillId="2" borderId="4" xfId="0" applyNumberFormat="1" applyFont="1" applyFill="1" applyBorder="1" applyAlignment="1">
      <alignment horizontal="center" vertical="center" wrapText="1"/>
    </xf>
    <xf numFmtId="0" fontId="0" fillId="0" borderId="1" xfId="0" applyBorder="1" applyAlignment="1">
      <alignment horizontal="left" wrapText="1"/>
    </xf>
    <xf numFmtId="0" fontId="0" fillId="0" borderId="0" xfId="0" applyAlignment="1">
      <alignment vertical="center" wrapText="1"/>
    </xf>
    <xf numFmtId="0" fontId="8"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5" fillId="0" borderId="67" xfId="0" applyFont="1" applyBorder="1" applyAlignment="1">
      <alignment horizontal="center" vertical="center"/>
    </xf>
    <xf numFmtId="0" fontId="5" fillId="0" borderId="38" xfId="0" applyFont="1" applyBorder="1"/>
    <xf numFmtId="0" fontId="5" fillId="0" borderId="65" xfId="0" applyFont="1" applyBorder="1" applyAlignment="1">
      <alignment horizontal="center" vertical="center"/>
    </xf>
    <xf numFmtId="0" fontId="5" fillId="0" borderId="26" xfId="0" applyFont="1" applyBorder="1"/>
    <xf numFmtId="0" fontId="5" fillId="8" borderId="39"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46" xfId="0" applyFont="1" applyFill="1" applyBorder="1" applyAlignment="1">
      <alignment horizontal="center" vertical="center"/>
    </xf>
    <xf numFmtId="0" fontId="5" fillId="8" borderId="0" xfId="0" applyFont="1" applyFill="1" applyAlignment="1">
      <alignment horizontal="center" vertical="center"/>
    </xf>
    <xf numFmtId="0" fontId="5" fillId="8" borderId="5" xfId="0" applyFont="1" applyFill="1" applyBorder="1" applyAlignment="1">
      <alignment horizontal="center" vertical="center"/>
    </xf>
    <xf numFmtId="0" fontId="5" fillId="8" borderId="39" xfId="0" applyFont="1" applyFill="1" applyBorder="1" applyAlignment="1">
      <alignment horizontal="center"/>
    </xf>
    <xf numFmtId="0" fontId="5" fillId="8" borderId="4" xfId="0" applyFont="1" applyFill="1" applyBorder="1" applyAlignment="1">
      <alignment horizontal="center"/>
    </xf>
    <xf numFmtId="0" fontId="5" fillId="8" borderId="30" xfId="0" applyFont="1" applyFill="1" applyBorder="1" applyAlignment="1">
      <alignment horizontal="center"/>
    </xf>
    <xf numFmtId="0" fontId="5" fillId="8" borderId="5" xfId="0" applyFont="1" applyFill="1" applyBorder="1" applyAlignment="1">
      <alignment horizontal="center"/>
    </xf>
    <xf numFmtId="0" fontId="5" fillId="8" borderId="51" xfId="0" applyFont="1" applyFill="1" applyBorder="1" applyAlignment="1">
      <alignment horizontal="center" vertical="center"/>
    </xf>
    <xf numFmtId="0" fontId="5" fillId="8" borderId="50" xfId="0" applyFont="1" applyFill="1" applyBorder="1" applyAlignment="1">
      <alignment horizontal="center" vertical="center"/>
    </xf>
    <xf numFmtId="2" fontId="0" fillId="0" borderId="14" xfId="0" applyNumberFormat="1" applyBorder="1"/>
    <xf numFmtId="0" fontId="5" fillId="8" borderId="45" xfId="0" applyFont="1" applyFill="1" applyBorder="1" applyAlignment="1">
      <alignment horizontal="center"/>
    </xf>
    <xf numFmtId="0" fontId="5" fillId="8" borderId="46" xfId="0" applyFont="1" applyFill="1" applyBorder="1" applyAlignment="1">
      <alignment horizontal="center"/>
    </xf>
    <xf numFmtId="0" fontId="5" fillId="8" borderId="47" xfId="0" applyFont="1" applyFill="1" applyBorder="1" applyAlignment="1">
      <alignment horizontal="center"/>
    </xf>
    <xf numFmtId="0" fontId="5" fillId="8" borderId="2" xfId="0" applyFont="1" applyFill="1" applyBorder="1" applyAlignment="1">
      <alignment horizontal="center" vertical="center"/>
    </xf>
    <xf numFmtId="0" fontId="5" fillId="8" borderId="6" xfId="0" applyFont="1" applyFill="1" applyBorder="1" applyAlignment="1">
      <alignment horizontal="center"/>
    </xf>
    <xf numFmtId="0" fontId="5" fillId="8" borderId="6" xfId="0" applyFont="1" applyFill="1" applyBorder="1" applyAlignment="1">
      <alignment horizontal="center" vertical="center"/>
    </xf>
    <xf numFmtId="0" fontId="5" fillId="8" borderId="51" xfId="0" applyFont="1" applyFill="1" applyBorder="1" applyAlignment="1">
      <alignment horizontal="center"/>
    </xf>
    <xf numFmtId="0" fontId="5" fillId="8" borderId="50" xfId="0" applyFont="1" applyFill="1" applyBorder="1" applyAlignment="1">
      <alignment horizontal="center"/>
    </xf>
    <xf numFmtId="0" fontId="5" fillId="8" borderId="27" xfId="0" applyFont="1" applyFill="1" applyBorder="1" applyAlignment="1">
      <alignment horizontal="center"/>
    </xf>
    <xf numFmtId="0" fontId="5" fillId="8" borderId="39" xfId="0" applyFont="1" applyFill="1" applyBorder="1"/>
    <xf numFmtId="0" fontId="5" fillId="8" borderId="5" xfId="0" applyFont="1" applyFill="1" applyBorder="1"/>
    <xf numFmtId="0" fontId="0" fillId="8" borderId="39" xfId="0" applyFill="1" applyBorder="1"/>
    <xf numFmtId="0" fontId="0" fillId="8" borderId="5" xfId="0" applyFill="1" applyBorder="1"/>
    <xf numFmtId="0" fontId="0" fillId="8" borderId="16" xfId="0" applyFill="1" applyBorder="1"/>
    <xf numFmtId="0" fontId="0" fillId="8" borderId="15" xfId="0" applyFill="1" applyBorder="1"/>
    <xf numFmtId="0" fontId="0" fillId="0" borderId="52" xfId="0" applyBorder="1"/>
    <xf numFmtId="0" fontId="0" fillId="0" borderId="58" xfId="0" applyBorder="1" applyAlignment="1">
      <alignment horizontal="center" vertical="center" wrapText="1"/>
    </xf>
    <xf numFmtId="2" fontId="0" fillId="0" borderId="39" xfId="0" applyNumberForma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5" fillId="5" borderId="39" xfId="0" applyFont="1" applyFill="1" applyBorder="1" applyAlignment="1">
      <alignment horizontal="center"/>
    </xf>
    <xf numFmtId="0" fontId="5" fillId="5" borderId="4" xfId="0" applyFont="1" applyFill="1" applyBorder="1" applyAlignment="1">
      <alignment horizontal="center"/>
    </xf>
    <xf numFmtId="0" fontId="0" fillId="8" borderId="0" xfId="0" applyFill="1"/>
    <xf numFmtId="0" fontId="0" fillId="8" borderId="1" xfId="0" applyFill="1" applyBorder="1"/>
    <xf numFmtId="0" fontId="0" fillId="0" borderId="14" xfId="0" applyBorder="1" applyAlignment="1">
      <alignment wrapText="1"/>
    </xf>
    <xf numFmtId="0" fontId="0" fillId="0" borderId="51" xfId="0" applyBorder="1"/>
    <xf numFmtId="0" fontId="2" fillId="0" borderId="1" xfId="0" applyFont="1" applyBorder="1" applyAlignment="1">
      <alignment horizontal="center" vertical="center" wrapText="1"/>
    </xf>
    <xf numFmtId="0" fontId="13" fillId="0" borderId="14" xfId="0" applyFont="1" applyBorder="1" applyAlignment="1">
      <alignment horizontal="center" vertical="center"/>
    </xf>
    <xf numFmtId="0" fontId="0" fillId="0" borderId="10" xfId="0" applyBorder="1" applyAlignment="1">
      <alignment horizontal="center" vertical="center" wrapText="1"/>
    </xf>
    <xf numFmtId="0" fontId="0" fillId="0" borderId="9" xfId="0" applyBorder="1" applyAlignment="1">
      <alignment horizontal="center" wrapText="1"/>
    </xf>
    <xf numFmtId="0" fontId="0" fillId="3" borderId="13" xfId="0" applyFill="1" applyBorder="1" applyAlignment="1">
      <alignment horizontal="center"/>
    </xf>
    <xf numFmtId="0" fontId="5" fillId="0" borderId="8" xfId="0" applyFont="1" applyBorder="1" applyAlignment="1">
      <alignment horizontal="center" vertical="center"/>
    </xf>
    <xf numFmtId="2" fontId="0" fillId="0" borderId="67" xfId="0" applyNumberFormat="1" applyBorder="1" applyAlignment="1">
      <alignment horizontal="center" vertical="center"/>
    </xf>
    <xf numFmtId="0" fontId="5" fillId="8" borderId="1" xfId="0" applyFont="1" applyFill="1" applyBorder="1" applyAlignment="1">
      <alignment horizontal="center"/>
    </xf>
    <xf numFmtId="0" fontId="5" fillId="3" borderId="14" xfId="0" applyFont="1" applyFill="1" applyBorder="1" applyAlignment="1">
      <alignment horizontal="center" vertical="center"/>
    </xf>
    <xf numFmtId="0" fontId="5" fillId="0" borderId="46" xfId="0" applyFont="1" applyBorder="1" applyAlignment="1">
      <alignment horizontal="center" vertical="center"/>
    </xf>
    <xf numFmtId="0" fontId="5" fillId="0" borderId="52" xfId="0" applyFont="1" applyBorder="1" applyAlignment="1">
      <alignment horizontal="center"/>
    </xf>
    <xf numFmtId="0" fontId="0" fillId="3" borderId="14" xfId="0" applyFill="1" applyBorder="1" applyAlignment="1">
      <alignment horizontal="center"/>
    </xf>
    <xf numFmtId="0" fontId="4" fillId="0" borderId="1" xfId="0" applyFont="1" applyBorder="1" applyAlignment="1">
      <alignment horizontal="center" vertical="center" wrapText="1"/>
    </xf>
    <xf numFmtId="14" fontId="0" fillId="3" borderId="1" xfId="0" applyNumberFormat="1" applyFill="1" applyBorder="1" applyAlignment="1">
      <alignment horizontal="center" vertical="center" wrapText="1"/>
    </xf>
    <xf numFmtId="0" fontId="8" fillId="3"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7" fillId="9" borderId="49" xfId="0" applyFont="1" applyFill="1" applyBorder="1" applyAlignment="1">
      <alignment horizontal="center" wrapText="1"/>
    </xf>
    <xf numFmtId="0" fontId="18" fillId="3" borderId="27" xfId="0" applyFont="1" applyFill="1" applyBorder="1" applyAlignment="1">
      <alignment horizontal="center" vertical="center" wrapText="1"/>
    </xf>
    <xf numFmtId="0" fontId="5" fillId="0" borderId="21" xfId="0" applyFont="1" applyBorder="1" applyAlignment="1">
      <alignment horizontal="center" vertical="center" wrapText="1"/>
    </xf>
    <xf numFmtId="0" fontId="0" fillId="8" borderId="45" xfId="0" applyFill="1" applyBorder="1"/>
    <xf numFmtId="0" fontId="0" fillId="8" borderId="50" xfId="0" applyFill="1" applyBorder="1"/>
    <xf numFmtId="0" fontId="0" fillId="0" borderId="14" xfId="0" applyBorder="1" applyAlignment="1">
      <alignment horizontal="center" vertical="center" wrapText="1"/>
    </xf>
    <xf numFmtId="0" fontId="0" fillId="8" borderId="17" xfId="0" applyFill="1" applyBorder="1"/>
    <xf numFmtId="0" fontId="0" fillId="8" borderId="27" xfId="0" applyFill="1" applyBorder="1"/>
    <xf numFmtId="0" fontId="0" fillId="8" borderId="33" xfId="0" applyFill="1" applyBorder="1"/>
    <xf numFmtId="0" fontId="13" fillId="0" borderId="27" xfId="0" applyFont="1" applyBorder="1" applyAlignment="1">
      <alignment horizontal="center"/>
    </xf>
    <xf numFmtId="0" fontId="5" fillId="7" borderId="6" xfId="0" applyFont="1" applyFill="1" applyBorder="1" applyAlignment="1">
      <alignment horizontal="center"/>
    </xf>
    <xf numFmtId="0" fontId="5" fillId="7" borderId="4" xfId="0" applyFont="1" applyFill="1" applyBorder="1" applyAlignment="1">
      <alignment horizontal="center"/>
    </xf>
    <xf numFmtId="0" fontId="5" fillId="7" borderId="38" xfId="0" applyFont="1" applyFill="1" applyBorder="1" applyAlignment="1">
      <alignment horizontal="center"/>
    </xf>
    <xf numFmtId="0" fontId="5" fillId="7" borderId="2" xfId="0" applyFont="1" applyFill="1" applyBorder="1" applyAlignment="1">
      <alignment horizontal="center"/>
    </xf>
    <xf numFmtId="0" fontId="5" fillId="7" borderId="30" xfId="0" applyFont="1" applyFill="1" applyBorder="1" applyAlignment="1">
      <alignment horizontal="center"/>
    </xf>
    <xf numFmtId="0" fontId="5" fillId="7" borderId="39"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46" xfId="0" applyFont="1" applyFill="1" applyBorder="1" applyAlignment="1">
      <alignment horizontal="center" vertical="center"/>
    </xf>
    <xf numFmtId="0" fontId="5" fillId="7" borderId="30"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47" xfId="0" applyFont="1" applyFill="1" applyBorder="1" applyAlignment="1">
      <alignment horizontal="center" vertical="center"/>
    </xf>
    <xf numFmtId="0" fontId="5" fillId="7" borderId="50" xfId="0" applyFont="1" applyFill="1" applyBorder="1" applyAlignment="1">
      <alignment horizontal="center" vertical="center"/>
    </xf>
    <xf numFmtId="0" fontId="5" fillId="7" borderId="46" xfId="0" applyFont="1" applyFill="1" applyBorder="1" applyAlignment="1">
      <alignment horizontal="center"/>
    </xf>
    <xf numFmtId="0" fontId="5" fillId="7" borderId="47" xfId="0" applyFont="1" applyFill="1" applyBorder="1" applyAlignment="1">
      <alignment horizontal="center"/>
    </xf>
    <xf numFmtId="0" fontId="5" fillId="7" borderId="26" xfId="0" applyFont="1" applyFill="1" applyBorder="1" applyAlignment="1">
      <alignment horizontal="center" vertical="center"/>
    </xf>
    <xf numFmtId="0" fontId="5" fillId="7" borderId="50" xfId="0" applyFont="1" applyFill="1" applyBorder="1" applyAlignment="1">
      <alignment horizontal="center"/>
    </xf>
    <xf numFmtId="0" fontId="5" fillId="7" borderId="21" xfId="0" applyFont="1" applyFill="1" applyBorder="1" applyAlignment="1">
      <alignment horizontal="center"/>
    </xf>
    <xf numFmtId="0" fontId="5" fillId="7" borderId="52" xfId="0" applyFont="1" applyFill="1" applyBorder="1" applyAlignment="1">
      <alignment horizontal="center"/>
    </xf>
    <xf numFmtId="0" fontId="0" fillId="0" borderId="0" xfId="0" applyAlignment="1">
      <alignment horizontal="left" vertical="center" wrapText="1"/>
    </xf>
    <xf numFmtId="0" fontId="0" fillId="0" borderId="0" xfId="0" applyAlignment="1">
      <alignment wrapText="1"/>
    </xf>
    <xf numFmtId="0" fontId="3" fillId="0" borderId="0" xfId="0" applyFont="1" applyAlignment="1">
      <alignment wrapText="1"/>
    </xf>
    <xf numFmtId="0" fontId="0" fillId="3" borderId="14" xfId="0" applyFill="1" applyBorder="1" applyAlignment="1">
      <alignment wrapText="1"/>
    </xf>
    <xf numFmtId="0" fontId="0" fillId="3" borderId="0" xfId="0" applyFill="1" applyAlignment="1">
      <alignment wrapText="1"/>
    </xf>
    <xf numFmtId="14" fontId="4" fillId="3" borderId="4" xfId="0" applyNumberFormat="1" applyFont="1" applyFill="1" applyBorder="1" applyAlignment="1">
      <alignment horizontal="center" vertical="center" wrapText="1"/>
    </xf>
    <xf numFmtId="0" fontId="0" fillId="0" borderId="13" xfId="0" applyBorder="1" applyAlignment="1">
      <alignment horizontal="center" vertical="center"/>
    </xf>
    <xf numFmtId="0" fontId="0" fillId="0" borderId="10" xfId="0" applyBorder="1" applyAlignment="1">
      <alignment horizontal="center" wrapText="1"/>
    </xf>
    <xf numFmtId="0" fontId="0" fillId="3" borderId="2" xfId="0" applyFill="1" applyBorder="1"/>
    <xf numFmtId="0" fontId="0" fillId="0" borderId="62" xfId="0" applyBorder="1" applyAlignment="1">
      <alignment horizontal="center" wrapText="1"/>
    </xf>
    <xf numFmtId="0" fontId="22" fillId="0" borderId="1" xfId="0" applyFont="1" applyBorder="1" applyAlignment="1">
      <alignment horizontal="center" vertical="center" wrapText="1"/>
    </xf>
    <xf numFmtId="0" fontId="0" fillId="0" borderId="12" xfId="0" applyBorder="1" applyAlignment="1">
      <alignment horizontal="center" wrapText="1"/>
    </xf>
    <xf numFmtId="0" fontId="0" fillId="0" borderId="15" xfId="0" applyBorder="1" applyAlignment="1">
      <alignment horizontal="center" wrapText="1"/>
    </xf>
    <xf numFmtId="0" fontId="0" fillId="0" borderId="11" xfId="0" applyBorder="1" applyAlignment="1">
      <alignment horizontal="center" wrapText="1"/>
    </xf>
    <xf numFmtId="0" fontId="23" fillId="0" borderId="1" xfId="0" applyFont="1" applyBorder="1" applyAlignment="1">
      <alignment vertical="center" wrapText="1"/>
    </xf>
    <xf numFmtId="16" fontId="0" fillId="0" borderId="1" xfId="0" applyNumberFormat="1" applyBorder="1" applyAlignment="1">
      <alignment horizontal="center" vertical="center" wrapText="1"/>
    </xf>
    <xf numFmtId="14" fontId="5" fillId="0" borderId="1" xfId="0" applyNumberFormat="1" applyFont="1" applyBorder="1" applyAlignment="1">
      <alignment horizontal="center" vertical="center" wrapText="1"/>
    </xf>
    <xf numFmtId="0" fontId="44" fillId="0" borderId="1" xfId="0" applyFont="1" applyBorder="1" applyAlignment="1">
      <alignment horizontal="center" vertical="center" wrapText="1"/>
    </xf>
    <xf numFmtId="0" fontId="0" fillId="41" borderId="1" xfId="0" applyFill="1" applyBorder="1" applyAlignment="1">
      <alignment horizontal="center" vertical="center" wrapText="1"/>
    </xf>
    <xf numFmtId="0" fontId="5" fillId="6" borderId="1" xfId="0"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164" fontId="0" fillId="0" borderId="0" xfId="0" applyNumberFormat="1" applyAlignment="1">
      <alignment horizontal="center" vertical="center" wrapText="1"/>
    </xf>
    <xf numFmtId="164" fontId="2" fillId="0" borderId="9"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0" fontId="4" fillId="0" borderId="4" xfId="0" applyFont="1" applyBorder="1" applyAlignment="1">
      <alignment horizontal="center" vertical="center" wrapText="1"/>
    </xf>
    <xf numFmtId="14" fontId="4" fillId="0" borderId="4" xfId="0" applyNumberFormat="1" applyFont="1" applyBorder="1" applyAlignment="1">
      <alignment horizontal="center" vertical="center" wrapText="1"/>
    </xf>
    <xf numFmtId="164" fontId="0" fillId="7" borderId="1" xfId="0" applyNumberFormat="1" applyFill="1" applyBorder="1" applyAlignment="1">
      <alignment horizontal="center" vertical="center" wrapText="1"/>
    </xf>
    <xf numFmtId="164" fontId="0" fillId="3" borderId="1" xfId="0" applyNumberFormat="1" applyFill="1" applyBorder="1" applyAlignment="1">
      <alignment horizontal="center" vertical="center" wrapText="1"/>
    </xf>
    <xf numFmtId="164" fontId="13"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17" fillId="9" borderId="48" xfId="0" applyFont="1" applyFill="1" applyBorder="1" applyAlignment="1">
      <alignment horizontal="center" wrapText="1"/>
    </xf>
    <xf numFmtId="0" fontId="17" fillId="3" borderId="51" xfId="0" applyFont="1" applyFill="1" applyBorder="1" applyAlignment="1">
      <alignment horizontal="center" vertical="center" wrapText="1"/>
    </xf>
    <xf numFmtId="0" fontId="5" fillId="3" borderId="53" xfId="0" applyFont="1" applyFill="1" applyBorder="1" applyAlignment="1">
      <alignment horizontal="center" vertical="center"/>
    </xf>
    <xf numFmtId="0" fontId="5" fillId="2" borderId="1" xfId="0" applyFont="1" applyFill="1" applyBorder="1" applyAlignment="1">
      <alignment horizontal="center" vertical="center"/>
    </xf>
    <xf numFmtId="1" fontId="0" fillId="0" borderId="8" xfId="0" applyNumberFormat="1" applyBorder="1" applyAlignment="1">
      <alignment horizontal="center"/>
    </xf>
    <xf numFmtId="0" fontId="0" fillId="2" borderId="1" xfId="0" applyFill="1" applyBorder="1" applyAlignment="1">
      <alignment horizontal="center" vertical="center"/>
    </xf>
    <xf numFmtId="1" fontId="0" fillId="0" borderId="1" xfId="0" applyNumberFormat="1" applyBorder="1" applyAlignment="1">
      <alignment horizontal="center"/>
    </xf>
    <xf numFmtId="1" fontId="0" fillId="0" borderId="1" xfId="0" applyNumberFormat="1" applyBorder="1" applyAlignment="1">
      <alignment horizontal="center" vertical="center"/>
    </xf>
    <xf numFmtId="1" fontId="0" fillId="2" borderId="1" xfId="0" applyNumberFormat="1" applyFill="1" applyBorder="1" applyAlignment="1">
      <alignment horizontal="center" vertical="center"/>
    </xf>
    <xf numFmtId="0" fontId="5" fillId="0" borderId="22" xfId="0" applyFont="1" applyBorder="1" applyAlignment="1">
      <alignment horizontal="center" vertical="center"/>
    </xf>
    <xf numFmtId="1" fontId="5" fillId="0" borderId="22" xfId="0" applyNumberFormat="1" applyFont="1" applyBorder="1" applyAlignment="1">
      <alignment horizontal="center"/>
    </xf>
    <xf numFmtId="1" fontId="5" fillId="2" borderId="1" xfId="0" applyNumberFormat="1" applyFont="1" applyFill="1" applyBorder="1" applyAlignment="1">
      <alignment horizontal="center" vertical="center"/>
    </xf>
    <xf numFmtId="0" fontId="0" fillId="3" borderId="48" xfId="0" applyFill="1" applyBorder="1"/>
    <xf numFmtId="1" fontId="0" fillId="3" borderId="1" xfId="0" applyNumberFormat="1" applyFill="1" applyBorder="1" applyAlignment="1">
      <alignment horizontal="center"/>
    </xf>
    <xf numFmtId="1" fontId="0" fillId="3" borderId="1" xfId="0" applyNumberFormat="1" applyFill="1" applyBorder="1" applyAlignment="1">
      <alignment horizontal="center" vertical="center"/>
    </xf>
    <xf numFmtId="1" fontId="0" fillId="2" borderId="31" xfId="0" applyNumberFormat="1" applyFill="1" applyBorder="1" applyAlignment="1">
      <alignment horizontal="center" vertical="center"/>
    </xf>
    <xf numFmtId="1" fontId="0" fillId="0" borderId="31" xfId="0" applyNumberFormat="1" applyBorder="1" applyAlignment="1">
      <alignment horizontal="center" vertical="center"/>
    </xf>
    <xf numFmtId="1" fontId="0" fillId="3" borderId="31" xfId="0" applyNumberFormat="1" applyFill="1" applyBorder="1" applyAlignment="1">
      <alignment horizontal="center"/>
    </xf>
    <xf numFmtId="0" fontId="5" fillId="0" borderId="31" xfId="0" applyFont="1" applyBorder="1" applyAlignment="1">
      <alignment horizontal="center" vertical="center"/>
    </xf>
    <xf numFmtId="0" fontId="0" fillId="0" borderId="18" xfId="0" applyBorder="1" applyAlignment="1">
      <alignment horizontal="center"/>
    </xf>
    <xf numFmtId="0" fontId="0" fillId="0" borderId="22" xfId="0" applyBorder="1" applyAlignment="1">
      <alignment horizontal="center"/>
    </xf>
    <xf numFmtId="0" fontId="17" fillId="9" borderId="19" xfId="0" applyFont="1" applyFill="1" applyBorder="1" applyAlignment="1">
      <alignment horizontal="center" wrapText="1"/>
    </xf>
    <xf numFmtId="0" fontId="17" fillId="9" borderId="20" xfId="0" applyFont="1" applyFill="1" applyBorder="1" applyAlignment="1">
      <alignment horizontal="center" wrapText="1"/>
    </xf>
    <xf numFmtId="0" fontId="17" fillId="9" borderId="36" xfId="0" applyFont="1" applyFill="1" applyBorder="1" applyAlignment="1">
      <alignment horizontal="center" wrapText="1"/>
    </xf>
    <xf numFmtId="0" fontId="17" fillId="9" borderId="2" xfId="0" applyFont="1" applyFill="1" applyBorder="1" applyAlignment="1">
      <alignment horizontal="center" wrapText="1"/>
    </xf>
    <xf numFmtId="0" fontId="17" fillId="9" borderId="0" xfId="0" applyFont="1" applyFill="1" applyAlignment="1">
      <alignment horizontal="center" wrapText="1"/>
    </xf>
    <xf numFmtId="0" fontId="17" fillId="9" borderId="0" xfId="0" applyFont="1" applyFill="1" applyAlignment="1">
      <alignment wrapText="1"/>
    </xf>
    <xf numFmtId="0" fontId="17" fillId="9" borderId="58" xfId="0" applyFont="1" applyFill="1" applyBorder="1" applyAlignment="1">
      <alignment horizontal="center" wrapText="1"/>
    </xf>
    <xf numFmtId="2" fontId="0" fillId="0" borderId="30" xfId="0" applyNumberFormat="1" applyBorder="1" applyAlignment="1">
      <alignment horizontal="center" vertical="center"/>
    </xf>
    <xf numFmtId="2" fontId="5" fillId="0" borderId="2" xfId="0" applyNumberFormat="1" applyFont="1" applyBorder="1" applyAlignment="1">
      <alignment horizontal="center" vertical="center"/>
    </xf>
    <xf numFmtId="2" fontId="0" fillId="4" borderId="2" xfId="0" applyNumberFormat="1" applyFill="1" applyBorder="1" applyAlignment="1">
      <alignment horizontal="center" vertical="center"/>
    </xf>
    <xf numFmtId="0" fontId="17" fillId="3" borderId="19" xfId="0" applyFont="1" applyFill="1" applyBorder="1" applyAlignment="1">
      <alignment horizontal="center" wrapText="1"/>
    </xf>
    <xf numFmtId="0" fontId="17" fillId="3" borderId="49" xfId="0" applyFont="1" applyFill="1" applyBorder="1" applyAlignment="1">
      <alignment horizontal="center" wrapText="1"/>
    </xf>
    <xf numFmtId="0" fontId="17" fillId="3" borderId="43" xfId="0" applyFont="1" applyFill="1" applyBorder="1" applyAlignment="1">
      <alignment horizontal="center" wrapText="1"/>
    </xf>
    <xf numFmtId="0" fontId="47" fillId="0" borderId="36" xfId="0" applyFont="1" applyBorder="1" applyAlignment="1">
      <alignment horizontal="right" vertical="center"/>
    </xf>
    <xf numFmtId="0" fontId="5" fillId="0" borderId="45" xfId="0" applyFont="1" applyBorder="1"/>
    <xf numFmtId="0" fontId="5" fillId="0" borderId="46" xfId="0" applyFont="1" applyBorder="1"/>
    <xf numFmtId="0" fontId="0" fillId="0" borderId="17" xfId="0" applyBorder="1" applyAlignment="1">
      <alignment horizontal="center"/>
    </xf>
    <xf numFmtId="0" fontId="5" fillId="0" borderId="47" xfId="0" applyFont="1" applyBorder="1"/>
    <xf numFmtId="0" fontId="0" fillId="0" borderId="21" xfId="0" applyBorder="1" applyAlignment="1">
      <alignment horizontal="center"/>
    </xf>
    <xf numFmtId="0" fontId="0" fillId="0" borderId="62" xfId="0" applyBorder="1" applyAlignment="1">
      <alignment horizontal="center"/>
    </xf>
    <xf numFmtId="0" fontId="5" fillId="0" borderId="19" xfId="0" applyFont="1" applyBorder="1" applyAlignment="1">
      <alignment vertical="center"/>
    </xf>
    <xf numFmtId="0" fontId="0" fillId="0" borderId="65" xfId="0" applyBorder="1" applyAlignment="1">
      <alignment horizontal="center" vertical="center"/>
    </xf>
    <xf numFmtId="0" fontId="17" fillId="3" borderId="19" xfId="0" applyFont="1" applyFill="1" applyBorder="1" applyAlignment="1">
      <alignment horizontal="center" vertical="center" wrapText="1"/>
    </xf>
    <xf numFmtId="0" fontId="17" fillId="3" borderId="49" xfId="0" applyFont="1" applyFill="1" applyBorder="1" applyAlignment="1">
      <alignment horizontal="center" vertical="center" wrapText="1"/>
    </xf>
    <xf numFmtId="0" fontId="17" fillId="3" borderId="43" xfId="0" applyFont="1" applyFill="1" applyBorder="1" applyAlignment="1">
      <alignment horizontal="center" vertical="center" wrapText="1"/>
    </xf>
    <xf numFmtId="0" fontId="0" fillId="0" borderId="33" xfId="0" applyBorder="1" applyAlignment="1">
      <alignment horizontal="center"/>
    </xf>
    <xf numFmtId="0" fontId="5" fillId="0" borderId="51" xfId="0" applyFont="1" applyBorder="1"/>
    <xf numFmtId="0" fontId="5" fillId="0" borderId="52" xfId="0" applyFont="1" applyBorder="1"/>
    <xf numFmtId="0" fontId="0" fillId="0" borderId="44" xfId="0" applyBorder="1" applyAlignment="1">
      <alignment horizontal="center"/>
    </xf>
    <xf numFmtId="0" fontId="0" fillId="0" borderId="26" xfId="0" applyBorder="1" applyAlignment="1">
      <alignment horizontal="center"/>
    </xf>
    <xf numFmtId="0" fontId="0" fillId="0" borderId="17" xfId="0" applyBorder="1" applyAlignment="1">
      <alignment horizontal="center" wrapText="1"/>
    </xf>
    <xf numFmtId="0" fontId="0" fillId="0" borderId="21" xfId="0" applyBorder="1" applyAlignment="1">
      <alignment horizontal="center" wrapText="1"/>
    </xf>
    <xf numFmtId="0" fontId="0" fillId="44" borderId="1" xfId="0" applyFill="1" applyBorder="1" applyAlignment="1">
      <alignment horizontal="center" wrapText="1"/>
    </xf>
    <xf numFmtId="0" fontId="0" fillId="44" borderId="22" xfId="0" applyFill="1" applyBorder="1" applyAlignment="1">
      <alignment horizontal="center" wrapText="1"/>
    </xf>
    <xf numFmtId="1" fontId="5" fillId="0" borderId="25" xfId="0" applyNumberFormat="1" applyFont="1" applyBorder="1" applyAlignment="1">
      <alignment horizontal="center" vertical="center"/>
    </xf>
    <xf numFmtId="1" fontId="0" fillId="0" borderId="3" xfId="0" applyNumberFormat="1" applyBorder="1" applyAlignment="1">
      <alignment horizontal="center" vertical="center"/>
    </xf>
    <xf numFmtId="1" fontId="0" fillId="0" borderId="7" xfId="0" applyNumberFormat="1" applyBorder="1" applyAlignment="1">
      <alignment horizontal="center" vertical="center"/>
    </xf>
    <xf numFmtId="0" fontId="48" fillId="0" borderId="1" xfId="0" applyFont="1" applyBorder="1" applyAlignment="1">
      <alignment vertical="center"/>
    </xf>
    <xf numFmtId="0" fontId="45" fillId="0" borderId="1" xfId="0" applyFont="1" applyBorder="1" applyAlignment="1">
      <alignment horizontal="center" vertical="center" wrapText="1"/>
    </xf>
    <xf numFmtId="164" fontId="0" fillId="45" borderId="1" xfId="0" applyNumberFormat="1" applyFill="1" applyBorder="1" applyAlignment="1">
      <alignment horizontal="center" vertical="center" wrapText="1"/>
    </xf>
    <xf numFmtId="0" fontId="0" fillId="45" borderId="1" xfId="0" applyFill="1" applyBorder="1" applyAlignment="1">
      <alignment horizontal="center" vertical="center" wrapText="1"/>
    </xf>
    <xf numFmtId="0" fontId="8" fillId="45" borderId="1" xfId="0" applyFont="1" applyFill="1" applyBorder="1" applyAlignment="1">
      <alignment horizontal="center" vertical="center" wrapText="1"/>
    </xf>
    <xf numFmtId="164" fontId="0" fillId="3" borderId="0" xfId="0" applyNumberFormat="1" applyFill="1" applyAlignment="1">
      <alignment horizontal="center" vertical="center" wrapText="1"/>
    </xf>
    <xf numFmtId="0" fontId="0" fillId="3" borderId="0" xfId="0" applyFill="1" applyAlignment="1">
      <alignment horizontal="center" vertical="center" wrapText="1"/>
    </xf>
    <xf numFmtId="0" fontId="0" fillId="0" borderId="67" xfId="0" applyBorder="1" applyAlignment="1">
      <alignment horizontal="center" vertical="center"/>
    </xf>
    <xf numFmtId="0" fontId="43" fillId="0" borderId="1" xfId="0" applyFont="1" applyBorder="1" applyAlignment="1">
      <alignment horizontal="center" vertical="center"/>
    </xf>
    <xf numFmtId="0" fontId="40" fillId="0" borderId="0" xfId="0" applyFont="1" applyAlignment="1">
      <alignment horizontal="center" vertical="center" wrapText="1"/>
    </xf>
    <xf numFmtId="0" fontId="46" fillId="0" borderId="0" xfId="0" applyFont="1" applyAlignment="1">
      <alignment horizontal="center" vertical="center" wrapText="1"/>
    </xf>
    <xf numFmtId="0" fontId="41" fillId="0" borderId="0" xfId="0" applyFont="1"/>
    <xf numFmtId="2" fontId="5" fillId="7" borderId="18" xfId="0" applyNumberFormat="1" applyFont="1" applyFill="1" applyBorder="1" applyAlignment="1">
      <alignment horizontal="center" vertical="center"/>
    </xf>
    <xf numFmtId="1" fontId="0" fillId="4" borderId="8" xfId="0" applyNumberFormat="1" applyFill="1" applyBorder="1" applyAlignment="1">
      <alignment horizontal="center"/>
    </xf>
    <xf numFmtId="1" fontId="0" fillId="4" borderId="1" xfId="0" applyNumberFormat="1" applyFill="1" applyBorder="1" applyAlignment="1">
      <alignment horizontal="center"/>
    </xf>
    <xf numFmtId="1" fontId="5" fillId="4" borderId="25" xfId="0" applyNumberFormat="1" applyFont="1" applyFill="1" applyBorder="1" applyAlignment="1">
      <alignment horizontal="center" vertical="center"/>
    </xf>
    <xf numFmtId="1" fontId="5" fillId="4" borderId="1" xfId="0" applyNumberFormat="1" applyFont="1" applyFill="1" applyBorder="1" applyAlignment="1">
      <alignment horizontal="center"/>
    </xf>
    <xf numFmtId="1" fontId="5" fillId="4" borderId="31" xfId="0" applyNumberFormat="1" applyFont="1" applyFill="1" applyBorder="1" applyAlignment="1">
      <alignment horizontal="center"/>
    </xf>
    <xf numFmtId="14" fontId="0" fillId="7" borderId="1" xfId="0" applyNumberFormat="1" applyFill="1" applyBorder="1" applyAlignment="1">
      <alignment horizontal="center" vertical="center" wrapText="1"/>
    </xf>
    <xf numFmtId="14" fontId="4" fillId="45" borderId="4" xfId="0" applyNumberFormat="1" applyFont="1" applyFill="1" applyBorder="1" applyAlignment="1">
      <alignment horizontal="center" vertical="center" wrapText="1"/>
    </xf>
    <xf numFmtId="14" fontId="0" fillId="45" borderId="1" xfId="0" applyNumberFormat="1" applyFill="1" applyBorder="1" applyAlignment="1">
      <alignment horizontal="center" vertical="center" wrapText="1"/>
    </xf>
    <xf numFmtId="0" fontId="4" fillId="45" borderId="1" xfId="0" applyFont="1" applyFill="1" applyBorder="1" applyAlignment="1">
      <alignment horizontal="center" wrapText="1"/>
    </xf>
    <xf numFmtId="0" fontId="0" fillId="45" borderId="14" xfId="0" applyFill="1" applyBorder="1" applyAlignment="1">
      <alignment wrapText="1"/>
    </xf>
    <xf numFmtId="0" fontId="0" fillId="45" borderId="0" xfId="0" applyFill="1" applyAlignment="1">
      <alignment wrapText="1"/>
    </xf>
    <xf numFmtId="0" fontId="4" fillId="3" borderId="4" xfId="0" applyFont="1" applyFill="1" applyBorder="1" applyAlignment="1">
      <alignment horizontal="center" vertical="center" wrapText="1"/>
    </xf>
    <xf numFmtId="0" fontId="8" fillId="41" borderId="1" xfId="0" applyFont="1" applyFill="1" applyBorder="1" applyAlignment="1">
      <alignment horizontal="center" vertical="center" wrapText="1"/>
    </xf>
    <xf numFmtId="164" fontId="0" fillId="41" borderId="1" xfId="0" applyNumberFormat="1" applyFill="1" applyBorder="1" applyAlignment="1">
      <alignment horizontal="center" vertical="center" wrapText="1"/>
    </xf>
    <xf numFmtId="0" fontId="4" fillId="41" borderId="1" xfId="0" applyFont="1" applyFill="1" applyBorder="1" applyAlignment="1">
      <alignment horizontal="center" vertical="center" wrapText="1"/>
    </xf>
    <xf numFmtId="0" fontId="4" fillId="41" borderId="1" xfId="0" applyFont="1" applyFill="1" applyBorder="1" applyAlignment="1">
      <alignment horizontal="center" wrapText="1"/>
    </xf>
    <xf numFmtId="0" fontId="0" fillId="41" borderId="14" xfId="0" applyFill="1" applyBorder="1" applyAlignment="1">
      <alignment wrapText="1"/>
    </xf>
    <xf numFmtId="0" fontId="0" fillId="41" borderId="0" xfId="0" applyFill="1" applyAlignment="1">
      <alignment wrapText="1"/>
    </xf>
    <xf numFmtId="14" fontId="0" fillId="41" borderId="1" xfId="0" applyNumberFormat="1" applyFill="1" applyBorder="1" applyAlignment="1">
      <alignment horizontal="center" vertical="center" wrapText="1"/>
    </xf>
    <xf numFmtId="0" fontId="4" fillId="41" borderId="4" xfId="0" applyFont="1" applyFill="1" applyBorder="1" applyAlignment="1">
      <alignment horizontal="center" vertical="center" wrapText="1"/>
    </xf>
    <xf numFmtId="14" fontId="4" fillId="41" borderId="4" xfId="0" applyNumberFormat="1" applyFont="1" applyFill="1" applyBorder="1" applyAlignment="1">
      <alignment horizontal="center" vertical="center" wrapText="1"/>
    </xf>
    <xf numFmtId="0" fontId="0" fillId="41" borderId="14" xfId="0" applyFill="1" applyBorder="1" applyAlignment="1">
      <alignment horizontal="center" vertical="center" wrapText="1"/>
    </xf>
    <xf numFmtId="0" fontId="0" fillId="41" borderId="3" xfId="0" applyFill="1" applyBorder="1" applyAlignment="1">
      <alignment horizontal="center" vertical="center" wrapText="1"/>
    </xf>
    <xf numFmtId="0" fontId="4" fillId="0" borderId="6" xfId="0" applyFont="1" applyBorder="1" applyAlignment="1">
      <alignment horizontal="center" vertical="center" wrapText="1"/>
    </xf>
    <xf numFmtId="0" fontId="2" fillId="0" borderId="2" xfId="0" applyFont="1" applyBorder="1" applyAlignment="1">
      <alignment horizontal="center" vertical="center" wrapText="1"/>
    </xf>
    <xf numFmtId="0" fontId="4" fillId="0" borderId="61" xfId="0" applyFont="1" applyBorder="1" applyAlignment="1">
      <alignment horizontal="center" vertical="center" wrapText="1"/>
    </xf>
    <xf numFmtId="0" fontId="13" fillId="0" borderId="1" xfId="0" applyFont="1" applyBorder="1" applyAlignment="1">
      <alignment horizontal="center" vertical="center" wrapText="1"/>
    </xf>
    <xf numFmtId="20" fontId="0" fillId="0" borderId="1" xfId="0" applyNumberFormat="1" applyBorder="1" applyAlignment="1">
      <alignment horizontal="center" vertical="center" wrapText="1"/>
    </xf>
    <xf numFmtId="0" fontId="21" fillId="0" borderId="1" xfId="0" applyFont="1" applyBorder="1" applyAlignment="1">
      <alignment horizontal="center" vertical="center" wrapText="1"/>
    </xf>
    <xf numFmtId="0" fontId="0" fillId="0" borderId="0" xfId="0" applyAlignment="1">
      <alignment horizontal="center" wrapText="1"/>
    </xf>
    <xf numFmtId="0" fontId="0" fillId="0" borderId="42" xfId="0" applyBorder="1" applyAlignment="1">
      <alignment horizontal="center" vertical="center" wrapText="1"/>
    </xf>
    <xf numFmtId="0" fontId="0" fillId="0" borderId="68" xfId="0" applyBorder="1" applyAlignment="1">
      <alignment horizontal="center" vertical="center" wrapText="1"/>
    </xf>
    <xf numFmtId="0" fontId="0" fillId="0" borderId="13" xfId="0" applyBorder="1" applyAlignment="1">
      <alignment horizontal="center" vertical="center" wrapText="1"/>
    </xf>
    <xf numFmtId="0" fontId="39" fillId="0" borderId="0" xfId="0" applyFont="1" applyAlignment="1">
      <alignment horizontal="center" vertical="center" wrapText="1"/>
    </xf>
    <xf numFmtId="0" fontId="39" fillId="0" borderId="1" xfId="0" applyFont="1" applyBorder="1" applyAlignment="1">
      <alignment horizontal="center" vertical="center" wrapText="1"/>
    </xf>
    <xf numFmtId="0" fontId="39" fillId="0" borderId="0" xfId="0" applyFont="1" applyAlignment="1">
      <alignment horizontal="center" wrapText="1"/>
    </xf>
    <xf numFmtId="0" fontId="13" fillId="0" borderId="14" xfId="0" applyFont="1" applyBorder="1" applyAlignment="1">
      <alignment horizontal="center" vertical="center" wrapText="1"/>
    </xf>
    <xf numFmtId="0" fontId="13" fillId="0" borderId="3" xfId="0" applyFont="1" applyBorder="1" applyAlignment="1">
      <alignment horizontal="center" vertical="center" wrapText="1"/>
    </xf>
    <xf numFmtId="2" fontId="0" fillId="0" borderId="1" xfId="0" applyNumberFormat="1" applyBorder="1" applyAlignment="1">
      <alignment horizontal="center" vertical="center" wrapText="1"/>
    </xf>
    <xf numFmtId="0" fontId="49" fillId="0" borderId="1" xfId="0" applyFont="1" applyBorder="1" applyAlignment="1">
      <alignment horizontal="center" vertical="center" wrapText="1"/>
    </xf>
    <xf numFmtId="0" fontId="4" fillId="41" borderId="6" xfId="0" applyFont="1" applyFill="1" applyBorder="1" applyAlignment="1">
      <alignment horizontal="center" vertical="center" wrapText="1"/>
    </xf>
    <xf numFmtId="0" fontId="0" fillId="41" borderId="31" xfId="0" applyFill="1" applyBorder="1" applyAlignment="1">
      <alignment horizontal="center" vertical="center" wrapText="1"/>
    </xf>
    <xf numFmtId="20" fontId="0" fillId="41" borderId="1" xfId="0" applyNumberFormat="1" applyFill="1" applyBorder="1" applyAlignment="1">
      <alignment horizontal="center" vertical="center" wrapText="1"/>
    </xf>
    <xf numFmtId="0" fontId="51" fillId="0" borderId="1" xfId="0" applyFont="1" applyBorder="1" applyAlignment="1">
      <alignment horizontal="center" vertical="center" wrapText="1"/>
    </xf>
    <xf numFmtId="0" fontId="51" fillId="0" borderId="1" xfId="0" applyFont="1" applyBorder="1" applyAlignment="1">
      <alignment horizontal="left" vertical="center" wrapText="1" indent="1" readingOrder="1"/>
    </xf>
    <xf numFmtId="0" fontId="19" fillId="0" borderId="0" xfId="0" applyFont="1" applyAlignment="1">
      <alignment horizontal="center" vertical="center" wrapText="1"/>
    </xf>
    <xf numFmtId="0" fontId="53" fillId="0" borderId="1" xfId="0" applyFont="1" applyBorder="1" applyAlignment="1">
      <alignment horizontal="center" vertical="center" wrapText="1"/>
    </xf>
    <xf numFmtId="0" fontId="53" fillId="0" borderId="0" xfId="0" applyFont="1" applyAlignment="1">
      <alignment horizontal="center" vertical="center"/>
    </xf>
    <xf numFmtId="0" fontId="0" fillId="41" borderId="68"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3" xfId="0"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7" borderId="13" xfId="0" applyFill="1" applyBorder="1" applyAlignment="1">
      <alignment horizontal="center" vertical="center"/>
    </xf>
    <xf numFmtId="0" fontId="5" fillId="0" borderId="10" xfId="0" applyFont="1" applyBorder="1" applyAlignment="1">
      <alignment horizontal="center"/>
    </xf>
    <xf numFmtId="0" fontId="5" fillId="0" borderId="62" xfId="0" applyFont="1" applyBorder="1" applyAlignment="1">
      <alignment horizontal="center"/>
    </xf>
    <xf numFmtId="2" fontId="0" fillId="0" borderId="10" xfId="0" applyNumberFormat="1" applyBorder="1" applyAlignment="1">
      <alignment horizontal="center" vertical="center"/>
    </xf>
    <xf numFmtId="2" fontId="0" fillId="0" borderId="54" xfId="0" applyNumberFormat="1" applyBorder="1" applyAlignment="1">
      <alignment horizontal="center" vertical="center"/>
    </xf>
    <xf numFmtId="0" fontId="0" fillId="0" borderId="14" xfId="0" applyBorder="1" applyAlignment="1">
      <alignment horizontal="center"/>
    </xf>
    <xf numFmtId="0" fontId="8" fillId="7" borderId="1" xfId="0" applyFont="1" applyFill="1" applyBorder="1" applyAlignment="1">
      <alignment horizontal="center" vertical="center" wrapText="1"/>
    </xf>
    <xf numFmtId="0" fontId="0" fillId="7" borderId="14" xfId="0"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1" xfId="0" applyFont="1" applyFill="1" applyBorder="1" applyAlignment="1">
      <alignment horizontal="center" vertical="center" wrapText="1"/>
    </xf>
    <xf numFmtId="14" fontId="4" fillId="7" borderId="4" xfId="0" applyNumberFormat="1" applyFont="1" applyFill="1" applyBorder="1" applyAlignment="1">
      <alignment horizontal="center" vertical="center" wrapText="1"/>
    </xf>
    <xf numFmtId="0" fontId="4" fillId="7" borderId="1" xfId="0" applyFont="1" applyFill="1" applyBorder="1" applyAlignment="1">
      <alignment horizontal="center" wrapText="1"/>
    </xf>
    <xf numFmtId="0" fontId="0" fillId="7" borderId="14" xfId="0" applyFill="1" applyBorder="1" applyAlignment="1">
      <alignment wrapText="1"/>
    </xf>
    <xf numFmtId="0" fontId="0" fillId="7" borderId="0" xfId="0" applyFill="1" applyAlignment="1">
      <alignment wrapText="1"/>
    </xf>
    <xf numFmtId="0" fontId="0" fillId="7" borderId="31" xfId="0" applyFill="1" applyBorder="1" applyAlignment="1">
      <alignment horizontal="center" vertical="center" wrapText="1"/>
    </xf>
    <xf numFmtId="0" fontId="8" fillId="46" borderId="1" xfId="0" applyFont="1" applyFill="1" applyBorder="1" applyAlignment="1">
      <alignment horizontal="center" vertical="center" wrapText="1"/>
    </xf>
    <xf numFmtId="164" fontId="0" fillId="46" borderId="1" xfId="0" applyNumberFormat="1" applyFill="1" applyBorder="1" applyAlignment="1">
      <alignment horizontal="center" vertical="center" wrapText="1"/>
    </xf>
    <xf numFmtId="0" fontId="0" fillId="46" borderId="1" xfId="0" applyFill="1" applyBorder="1" applyAlignment="1">
      <alignment horizontal="center" vertical="center" wrapText="1"/>
    </xf>
    <xf numFmtId="0" fontId="0" fillId="46" borderId="14" xfId="0" applyFill="1" applyBorder="1" applyAlignment="1">
      <alignment horizontal="center" vertical="center" wrapText="1"/>
    </xf>
    <xf numFmtId="0" fontId="0" fillId="46" borderId="3" xfId="0" applyFill="1" applyBorder="1" applyAlignment="1">
      <alignment horizontal="center" vertical="center" wrapText="1"/>
    </xf>
    <xf numFmtId="0" fontId="4" fillId="46" borderId="6" xfId="0" applyFont="1" applyFill="1" applyBorder="1" applyAlignment="1">
      <alignment horizontal="center" vertical="center" wrapText="1"/>
    </xf>
    <xf numFmtId="0" fontId="4" fillId="46" borderId="1" xfId="0" applyFont="1" applyFill="1" applyBorder="1" applyAlignment="1">
      <alignment horizontal="center" vertical="center" wrapText="1"/>
    </xf>
    <xf numFmtId="0" fontId="4" fillId="46" borderId="4" xfId="0" applyFont="1" applyFill="1" applyBorder="1" applyAlignment="1">
      <alignment horizontal="center" vertical="center" wrapText="1"/>
    </xf>
    <xf numFmtId="14" fontId="4" fillId="46" borderId="4" xfId="0" applyNumberFormat="1" applyFont="1" applyFill="1" applyBorder="1" applyAlignment="1">
      <alignment horizontal="center" vertical="center" wrapText="1"/>
    </xf>
    <xf numFmtId="0" fontId="4" fillId="46" borderId="1" xfId="0" applyFont="1" applyFill="1" applyBorder="1" applyAlignment="1">
      <alignment horizontal="center" wrapText="1"/>
    </xf>
    <xf numFmtId="0" fontId="0" fillId="46" borderId="14" xfId="0" applyFill="1" applyBorder="1" applyAlignment="1">
      <alignment wrapText="1"/>
    </xf>
    <xf numFmtId="0" fontId="0" fillId="46" borderId="0" xfId="0" applyFill="1" applyAlignment="1">
      <alignment wrapText="1"/>
    </xf>
    <xf numFmtId="20" fontId="0" fillId="3" borderId="1" xfId="0" applyNumberFormat="1" applyFill="1" applyBorder="1" applyAlignment="1">
      <alignment horizontal="center" vertical="center" wrapText="1"/>
    </xf>
    <xf numFmtId="14" fontId="0" fillId="46" borderId="1" xfId="0" applyNumberFormat="1" applyFill="1" applyBorder="1" applyAlignment="1">
      <alignment horizontal="center" vertical="center" wrapText="1"/>
    </xf>
    <xf numFmtId="0" fontId="5" fillId="4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9" fillId="0" borderId="19" xfId="0" applyFont="1" applyBorder="1" applyAlignment="1">
      <alignment horizontal="center" wrapText="1"/>
    </xf>
    <xf numFmtId="0" fontId="9" fillId="0" borderId="19" xfId="0" applyFont="1" applyBorder="1" applyAlignment="1">
      <alignment horizontal="center" vertical="center" wrapText="1"/>
    </xf>
    <xf numFmtId="0" fontId="9" fillId="0" borderId="48" xfId="0" applyFont="1" applyBorder="1" applyAlignment="1">
      <alignment horizontal="center" wrapText="1"/>
    </xf>
    <xf numFmtId="0" fontId="2" fillId="2" borderId="2" xfId="0" applyFont="1" applyFill="1" applyBorder="1" applyAlignment="1">
      <alignment horizontal="left" vertical="center" wrapText="1"/>
    </xf>
    <xf numFmtId="0" fontId="0" fillId="0" borderId="0" xfId="0" applyAlignment="1">
      <alignment horizontal="left"/>
    </xf>
    <xf numFmtId="0" fontId="0" fillId="0" borderId="0" xfId="0" quotePrefix="1" applyAlignment="1">
      <alignment horizontal="left"/>
    </xf>
    <xf numFmtId="0" fontId="2" fillId="0" borderId="1" xfId="0" applyFont="1" applyBorder="1" applyAlignment="1">
      <alignment horizontal="left" vertical="center" wrapText="1"/>
    </xf>
    <xf numFmtId="0" fontId="0" fillId="0" borderId="1" xfId="0" applyBorder="1" applyAlignment="1">
      <alignment horizontal="left"/>
    </xf>
    <xf numFmtId="0" fontId="47" fillId="0" borderId="36" xfId="0" applyFont="1" applyBorder="1" applyAlignment="1">
      <alignment horizontal="center" vertical="center"/>
    </xf>
    <xf numFmtId="0" fontId="0" fillId="47" borderId="0" xfId="0" applyFill="1"/>
    <xf numFmtId="0" fontId="0" fillId="47" borderId="62" xfId="0" applyFill="1" applyBorder="1" applyAlignment="1">
      <alignment horizontal="center" wrapText="1"/>
    </xf>
    <xf numFmtId="0" fontId="0" fillId="47" borderId="10" xfId="0" applyFill="1" applyBorder="1" applyAlignment="1">
      <alignment horizontal="center" wrapText="1"/>
    </xf>
    <xf numFmtId="0" fontId="0" fillId="47" borderId="13" xfId="0" applyFill="1" applyBorder="1" applyAlignment="1">
      <alignment horizontal="center" vertical="center"/>
    </xf>
    <xf numFmtId="0" fontId="13" fillId="47" borderId="14" xfId="0" applyFont="1" applyFill="1" applyBorder="1" applyAlignment="1">
      <alignment horizontal="center" vertical="center"/>
    </xf>
    <xf numFmtId="0" fontId="0" fillId="47" borderId="14" xfId="0" applyFill="1" applyBorder="1" applyAlignment="1">
      <alignment horizontal="center" vertical="center"/>
    </xf>
    <xf numFmtId="0" fontId="0" fillId="47" borderId="1" xfId="0" applyFill="1" applyBorder="1" applyAlignment="1">
      <alignment horizontal="center" vertical="center"/>
    </xf>
    <xf numFmtId="0" fontId="0" fillId="47" borderId="31" xfId="0" applyFill="1" applyBorder="1" applyAlignment="1">
      <alignment horizontal="center" vertical="center"/>
    </xf>
    <xf numFmtId="0" fontId="5" fillId="47" borderId="10" xfId="0" applyFont="1" applyFill="1" applyBorder="1" applyAlignment="1">
      <alignment horizontal="center"/>
    </xf>
    <xf numFmtId="0" fontId="0" fillId="47" borderId="33" xfId="0" applyFill="1" applyBorder="1" applyAlignment="1">
      <alignment horizontal="center" vertical="center"/>
    </xf>
    <xf numFmtId="0" fontId="5" fillId="47" borderId="8" xfId="0" applyFont="1" applyFill="1" applyBorder="1" applyAlignment="1">
      <alignment horizontal="center"/>
    </xf>
    <xf numFmtId="0" fontId="5" fillId="47" borderId="1" xfId="0" applyFont="1" applyFill="1" applyBorder="1" applyAlignment="1">
      <alignment horizontal="center"/>
    </xf>
    <xf numFmtId="0" fontId="0" fillId="47" borderId="17" xfId="0" applyFill="1" applyBorder="1" applyAlignment="1">
      <alignment horizontal="center" vertical="center"/>
    </xf>
    <xf numFmtId="0" fontId="5" fillId="47" borderId="34" xfId="0" applyFont="1" applyFill="1" applyBorder="1" applyAlignment="1">
      <alignment horizontal="center"/>
    </xf>
    <xf numFmtId="0" fontId="5" fillId="47" borderId="62" xfId="0" applyFont="1" applyFill="1" applyBorder="1" applyAlignment="1">
      <alignment horizontal="center"/>
    </xf>
    <xf numFmtId="2" fontId="0" fillId="47" borderId="13" xfId="0" applyNumberFormat="1" applyFill="1" applyBorder="1" applyAlignment="1">
      <alignment horizontal="center" vertical="center"/>
    </xf>
    <xf numFmtId="2" fontId="0" fillId="47" borderId="14" xfId="0" applyNumberFormat="1" applyFill="1" applyBorder="1" applyAlignment="1">
      <alignment horizontal="center" vertical="center"/>
    </xf>
    <xf numFmtId="2" fontId="0" fillId="47" borderId="42" xfId="0" applyNumberFormat="1" applyFill="1" applyBorder="1" applyAlignment="1">
      <alignment horizontal="center" vertical="center"/>
    </xf>
    <xf numFmtId="2" fontId="0" fillId="47" borderId="67" xfId="0" applyNumberFormat="1" applyFill="1" applyBorder="1" applyAlignment="1">
      <alignment horizontal="center" vertical="center"/>
    </xf>
    <xf numFmtId="2" fontId="0" fillId="47" borderId="10" xfId="0" applyNumberFormat="1" applyFill="1" applyBorder="1" applyAlignment="1">
      <alignment horizontal="center" vertical="center"/>
    </xf>
    <xf numFmtId="2" fontId="0" fillId="47" borderId="54" xfId="0" applyNumberFormat="1" applyFill="1" applyBorder="1" applyAlignment="1">
      <alignment horizontal="center" vertical="center"/>
    </xf>
    <xf numFmtId="0" fontId="5" fillId="47" borderId="51" xfId="0" applyFont="1" applyFill="1" applyBorder="1" applyAlignment="1">
      <alignment horizontal="center" vertical="center"/>
    </xf>
    <xf numFmtId="2" fontId="5" fillId="47" borderId="14" xfId="0" applyNumberFormat="1" applyFont="1" applyFill="1" applyBorder="1" applyAlignment="1">
      <alignment horizontal="center" vertical="center"/>
    </xf>
    <xf numFmtId="0" fontId="5" fillId="47" borderId="46" xfId="0" applyFont="1" applyFill="1" applyBorder="1" applyAlignment="1">
      <alignment horizontal="center" vertical="center"/>
    </xf>
    <xf numFmtId="2" fontId="5" fillId="47" borderId="23" xfId="0" applyNumberFormat="1" applyFont="1" applyFill="1" applyBorder="1" applyAlignment="1">
      <alignment horizontal="center" vertical="center"/>
    </xf>
    <xf numFmtId="0" fontId="5" fillId="47" borderId="40" xfId="0" applyFont="1" applyFill="1" applyBorder="1" applyAlignment="1">
      <alignment horizontal="center"/>
    </xf>
    <xf numFmtId="2" fontId="0" fillId="47" borderId="23" xfId="0" applyNumberFormat="1" applyFill="1" applyBorder="1"/>
    <xf numFmtId="0" fontId="5" fillId="47" borderId="57" xfId="0" applyFont="1" applyFill="1" applyBorder="1" applyAlignment="1">
      <alignment horizontal="center" vertical="center"/>
    </xf>
    <xf numFmtId="2" fontId="5" fillId="47" borderId="18" xfId="0" applyNumberFormat="1" applyFont="1" applyFill="1" applyBorder="1" applyAlignment="1">
      <alignment horizontal="center" vertical="center"/>
    </xf>
    <xf numFmtId="0" fontId="5" fillId="47" borderId="14" xfId="0" applyFont="1" applyFill="1" applyBorder="1" applyAlignment="1">
      <alignment horizontal="center" vertical="center"/>
    </xf>
    <xf numFmtId="2" fontId="5" fillId="47" borderId="24" xfId="0" applyNumberFormat="1" applyFont="1" applyFill="1" applyBorder="1" applyAlignment="1">
      <alignment horizontal="center" vertical="center"/>
    </xf>
    <xf numFmtId="0" fontId="5" fillId="47" borderId="45" xfId="0" applyFont="1" applyFill="1" applyBorder="1" applyAlignment="1">
      <alignment horizontal="center"/>
    </xf>
    <xf numFmtId="2" fontId="0" fillId="47" borderId="22" xfId="0" applyNumberFormat="1" applyFill="1" applyBorder="1"/>
    <xf numFmtId="0" fontId="5" fillId="47" borderId="64" xfId="0" applyFont="1" applyFill="1" applyBorder="1" applyAlignment="1">
      <alignment horizontal="center"/>
    </xf>
    <xf numFmtId="2" fontId="0" fillId="47" borderId="24" xfId="0" applyNumberFormat="1" applyFill="1" applyBorder="1"/>
    <xf numFmtId="0" fontId="13" fillId="47" borderId="27" xfId="0" applyFont="1" applyFill="1" applyBorder="1" applyAlignment="1">
      <alignment horizontal="center"/>
    </xf>
    <xf numFmtId="0" fontId="5" fillId="47" borderId="24" xfId="0" applyFont="1" applyFill="1" applyBorder="1" applyAlignment="1">
      <alignment horizontal="center"/>
    </xf>
    <xf numFmtId="0" fontId="0" fillId="47" borderId="27" xfId="0" applyFill="1" applyBorder="1" applyAlignment="1">
      <alignment horizontal="center"/>
    </xf>
    <xf numFmtId="2" fontId="5" fillId="47" borderId="17" xfId="0" applyNumberFormat="1" applyFont="1" applyFill="1" applyBorder="1" applyAlignment="1">
      <alignment horizontal="center" vertical="center"/>
    </xf>
    <xf numFmtId="2" fontId="5" fillId="47" borderId="46" xfId="0" applyNumberFormat="1" applyFont="1" applyFill="1" applyBorder="1" applyAlignment="1">
      <alignment horizontal="center" vertical="center"/>
    </xf>
    <xf numFmtId="0" fontId="5" fillId="47" borderId="52" xfId="0" applyFont="1" applyFill="1" applyBorder="1" applyAlignment="1">
      <alignment horizontal="center"/>
    </xf>
    <xf numFmtId="2" fontId="0" fillId="47" borderId="25" xfId="0" applyNumberFormat="1" applyFill="1" applyBorder="1"/>
    <xf numFmtId="0" fontId="0" fillId="47" borderId="27" xfId="0" applyFill="1" applyBorder="1"/>
    <xf numFmtId="2" fontId="5" fillId="47" borderId="32" xfId="0" applyNumberFormat="1" applyFont="1" applyFill="1" applyBorder="1" applyAlignment="1">
      <alignment horizontal="center" vertical="center"/>
    </xf>
    <xf numFmtId="2" fontId="5" fillId="47" borderId="1" xfId="0" applyNumberFormat="1" applyFont="1" applyFill="1" applyBorder="1" applyAlignment="1">
      <alignment horizontal="center" vertical="center"/>
    </xf>
    <xf numFmtId="0" fontId="0" fillId="47" borderId="1" xfId="0" applyFill="1" applyBorder="1"/>
    <xf numFmtId="0" fontId="0" fillId="47" borderId="51" xfId="0" applyFill="1" applyBorder="1"/>
    <xf numFmtId="0" fontId="0" fillId="47" borderId="8" xfId="0" applyFill="1" applyBorder="1"/>
    <xf numFmtId="2" fontId="0" fillId="47" borderId="14" xfId="0" applyNumberFormat="1" applyFill="1" applyBorder="1"/>
    <xf numFmtId="0" fontId="0" fillId="47" borderId="28" xfId="0" applyFill="1" applyBorder="1"/>
    <xf numFmtId="2" fontId="5" fillId="47" borderId="25" xfId="0" applyNumberFormat="1" applyFont="1" applyFill="1" applyBorder="1" applyAlignment="1">
      <alignment horizontal="center" vertical="center"/>
    </xf>
    <xf numFmtId="0" fontId="0" fillId="47" borderId="7" xfId="0" applyFill="1" applyBorder="1" applyAlignment="1">
      <alignment horizontal="center"/>
    </xf>
    <xf numFmtId="0" fontId="5" fillId="47" borderId="54" xfId="0" applyFont="1" applyFill="1" applyBorder="1" applyAlignment="1">
      <alignment horizontal="center" vertical="center"/>
    </xf>
    <xf numFmtId="0" fontId="0" fillId="47" borderId="13" xfId="0" applyFill="1" applyBorder="1" applyAlignment="1">
      <alignment horizontal="center"/>
    </xf>
    <xf numFmtId="0" fontId="0" fillId="47" borderId="1" xfId="0" applyFill="1" applyBorder="1" applyAlignment="1">
      <alignment horizontal="center"/>
    </xf>
    <xf numFmtId="0" fontId="0" fillId="47" borderId="8" xfId="0" applyFill="1" applyBorder="1" applyAlignment="1">
      <alignment horizontal="center"/>
    </xf>
    <xf numFmtId="0" fontId="0" fillId="47" borderId="0" xfId="0" applyFill="1" applyAlignment="1">
      <alignment horizontal="center"/>
    </xf>
    <xf numFmtId="0" fontId="0" fillId="47" borderId="0" xfId="0" applyFill="1" applyAlignment="1">
      <alignment horizontal="center" vertical="center"/>
    </xf>
    <xf numFmtId="20" fontId="0" fillId="0" borderId="0" xfId="0" applyNumberFormat="1" applyAlignment="1">
      <alignment horizontal="center" vertical="center" wrapText="1"/>
    </xf>
    <xf numFmtId="0" fontId="2" fillId="0" borderId="14" xfId="0" applyFont="1" applyBorder="1" applyAlignment="1">
      <alignment horizontal="center" vertical="center" wrapText="1"/>
    </xf>
    <xf numFmtId="0" fontId="4" fillId="0" borderId="14" xfId="0" applyFont="1" applyBorder="1" applyAlignment="1">
      <alignment wrapText="1"/>
    </xf>
    <xf numFmtId="0" fontId="4" fillId="41" borderId="14" xfId="0" applyFont="1" applyFill="1" applyBorder="1" applyAlignment="1">
      <alignment wrapText="1"/>
    </xf>
    <xf numFmtId="0" fontId="4" fillId="7" borderId="14" xfId="0" applyFont="1" applyFill="1" applyBorder="1" applyAlignment="1">
      <alignment wrapText="1"/>
    </xf>
    <xf numFmtId="0" fontId="4" fillId="45" borderId="14" xfId="0" applyFont="1" applyFill="1" applyBorder="1" applyAlignment="1">
      <alignment wrapText="1"/>
    </xf>
    <xf numFmtId="0" fontId="4" fillId="46" borderId="14" xfId="0" applyFont="1" applyFill="1" applyBorder="1" applyAlignment="1">
      <alignment wrapText="1"/>
    </xf>
    <xf numFmtId="0" fontId="4" fillId="3" borderId="14" xfId="0" applyFont="1" applyFill="1" applyBorder="1" applyAlignment="1">
      <alignment wrapText="1"/>
    </xf>
    <xf numFmtId="0" fontId="2" fillId="9" borderId="15" xfId="0" applyFont="1" applyFill="1" applyBorder="1" applyAlignment="1">
      <alignment horizontal="center" vertical="center" wrapText="1"/>
    </xf>
    <xf numFmtId="0" fontId="2" fillId="9" borderId="2" xfId="0" applyFont="1" applyFill="1" applyBorder="1" applyAlignment="1">
      <alignment horizontal="center" vertical="center" wrapText="1"/>
    </xf>
    <xf numFmtId="164" fontId="54" fillId="3" borderId="0" xfId="0" applyNumberFormat="1" applyFont="1" applyFill="1" applyAlignment="1">
      <alignment horizontal="left" vertical="center" wrapText="1"/>
    </xf>
    <xf numFmtId="0" fontId="55" fillId="0" borderId="0" xfId="0" applyFont="1"/>
    <xf numFmtId="0" fontId="3" fillId="0" borderId="12" xfId="0" applyFont="1" applyBorder="1" applyAlignment="1">
      <alignment horizontal="center" vertical="center" wrapText="1"/>
    </xf>
    <xf numFmtId="0" fontId="3" fillId="0" borderId="9" xfId="0" applyFont="1" applyBorder="1" applyAlignment="1">
      <alignment horizontal="center" vertical="center" wrapText="1"/>
    </xf>
    <xf numFmtId="0" fontId="56" fillId="0" borderId="0" xfId="0" applyFont="1" applyAlignment="1">
      <alignment vertical="center"/>
    </xf>
    <xf numFmtId="0" fontId="1" fillId="0" borderId="1" xfId="0" applyFont="1" applyBorder="1" applyAlignment="1">
      <alignment horizontal="center" vertical="center" wrapText="1"/>
    </xf>
    <xf numFmtId="0" fontId="15" fillId="3" borderId="14" xfId="0" applyFont="1" applyFill="1" applyBorder="1" applyAlignment="1">
      <alignment horizontal="center" wrapText="1"/>
    </xf>
    <xf numFmtId="0" fontId="15" fillId="3" borderId="3" xfId="0" applyFont="1" applyFill="1" applyBorder="1" applyAlignment="1">
      <alignment horizontal="center" wrapText="1"/>
    </xf>
    <xf numFmtId="0" fontId="5" fillId="3" borderId="14" xfId="0" applyFont="1" applyFill="1" applyBorder="1" applyAlignment="1">
      <alignment horizontal="center"/>
    </xf>
    <xf numFmtId="0" fontId="5" fillId="3" borderId="41" xfId="0" applyFont="1" applyFill="1" applyBorder="1" applyAlignment="1">
      <alignment horizontal="center"/>
    </xf>
    <xf numFmtId="0" fontId="5" fillId="3" borderId="3" xfId="0" applyFont="1" applyFill="1" applyBorder="1" applyAlignment="1">
      <alignment horizontal="center"/>
    </xf>
    <xf numFmtId="0" fontId="15" fillId="3" borderId="23" xfId="0" applyFont="1" applyFill="1" applyBorder="1" applyAlignment="1">
      <alignment horizontal="center" wrapText="1"/>
    </xf>
    <xf numFmtId="0" fontId="15" fillId="3" borderId="25" xfId="0" applyFont="1" applyFill="1" applyBorder="1" applyAlignment="1">
      <alignment horizontal="center" wrapText="1"/>
    </xf>
    <xf numFmtId="0" fontId="5" fillId="0" borderId="37" xfId="0" applyFont="1" applyBorder="1" applyAlignment="1">
      <alignment horizontal="center" vertical="center" wrapText="1"/>
    </xf>
    <xf numFmtId="0" fontId="5" fillId="0" borderId="26" xfId="0" applyFont="1" applyBorder="1" applyAlignment="1">
      <alignment horizontal="center" vertical="center" wrapText="1"/>
    </xf>
    <xf numFmtId="0" fontId="5" fillId="4" borderId="48" xfId="0" applyFont="1" applyFill="1" applyBorder="1" applyAlignment="1">
      <alignment horizontal="center" wrapText="1"/>
    </xf>
    <xf numFmtId="0" fontId="5" fillId="4" borderId="44" xfId="0" applyFont="1" applyFill="1" applyBorder="1" applyAlignment="1">
      <alignment horizontal="center" wrapText="1"/>
    </xf>
    <xf numFmtId="0" fontId="16" fillId="42" borderId="57" xfId="0" applyFont="1" applyFill="1" applyBorder="1" applyAlignment="1">
      <alignment horizontal="center"/>
    </xf>
    <xf numFmtId="0" fontId="16" fillId="42" borderId="64" xfId="0" applyFont="1" applyFill="1" applyBorder="1" applyAlignment="1">
      <alignment horizontal="center"/>
    </xf>
    <xf numFmtId="0" fontId="16" fillId="42" borderId="60" xfId="0" applyFont="1" applyFill="1" applyBorder="1" applyAlignment="1">
      <alignment horizontal="center"/>
    </xf>
    <xf numFmtId="0" fontId="15" fillId="3" borderId="14" xfId="0" applyFont="1" applyFill="1" applyBorder="1" applyAlignment="1">
      <alignment horizontal="center"/>
    </xf>
    <xf numFmtId="0" fontId="15" fillId="3" borderId="41" xfId="0" applyFont="1" applyFill="1" applyBorder="1" applyAlignment="1">
      <alignment horizontal="center"/>
    </xf>
    <xf numFmtId="0" fontId="15" fillId="3" borderId="3" xfId="0" applyFont="1" applyFill="1" applyBorder="1" applyAlignment="1">
      <alignment horizontal="center"/>
    </xf>
    <xf numFmtId="0" fontId="15" fillId="3" borderId="78" xfId="0" applyFont="1" applyFill="1" applyBorder="1" applyAlignment="1">
      <alignment horizontal="center" wrapText="1"/>
    </xf>
    <xf numFmtId="0" fontId="17" fillId="9" borderId="19" xfId="0" applyFont="1" applyFill="1" applyBorder="1" applyAlignment="1">
      <alignment horizontal="center" vertical="center" wrapText="1"/>
    </xf>
    <xf numFmtId="0" fontId="17" fillId="9" borderId="20" xfId="0" applyFont="1" applyFill="1" applyBorder="1" applyAlignment="1">
      <alignment horizontal="center" vertical="center" wrapText="1"/>
    </xf>
    <xf numFmtId="0" fontId="17" fillId="9" borderId="43" xfId="0" applyFont="1" applyFill="1" applyBorder="1" applyAlignment="1">
      <alignment horizontal="center" vertical="center" wrapText="1"/>
    </xf>
    <xf numFmtId="0" fontId="17" fillId="42" borderId="19" xfId="0" applyFont="1" applyFill="1" applyBorder="1" applyAlignment="1">
      <alignment horizontal="center" wrapText="1"/>
    </xf>
    <xf numFmtId="0" fontId="17" fillId="42" borderId="49" xfId="0" applyFont="1" applyFill="1" applyBorder="1" applyAlignment="1">
      <alignment horizontal="center" wrapText="1"/>
    </xf>
    <xf numFmtId="0" fontId="17" fillId="42" borderId="43" xfId="0" applyFont="1" applyFill="1" applyBorder="1" applyAlignment="1">
      <alignment horizontal="center" wrapText="1"/>
    </xf>
    <xf numFmtId="0" fontId="17" fillId="43" borderId="19" xfId="0" applyFont="1" applyFill="1" applyBorder="1" applyAlignment="1">
      <alignment horizontal="center" vertical="center" wrapText="1"/>
    </xf>
    <xf numFmtId="0" fontId="17" fillId="43" borderId="20" xfId="0" applyFont="1" applyFill="1" applyBorder="1" applyAlignment="1">
      <alignment horizontal="center" vertical="center" wrapText="1"/>
    </xf>
    <xf numFmtId="0" fontId="17" fillId="43" borderId="36" xfId="0" applyFont="1" applyFill="1" applyBorder="1" applyAlignment="1">
      <alignment horizontal="center" vertical="center" wrapText="1"/>
    </xf>
    <xf numFmtId="0" fontId="17" fillId="9" borderId="27" xfId="0" applyFont="1" applyFill="1" applyBorder="1" applyAlignment="1">
      <alignment horizontal="center" wrapText="1"/>
    </xf>
    <xf numFmtId="0" fontId="17" fillId="9" borderId="28" xfId="0" applyFont="1" applyFill="1" applyBorder="1" applyAlignment="1">
      <alignment horizontal="center" wrapText="1"/>
    </xf>
    <xf numFmtId="0" fontId="17" fillId="9" borderId="29" xfId="0" applyFont="1" applyFill="1" applyBorder="1" applyAlignment="1">
      <alignment horizontal="center" wrapText="1"/>
    </xf>
    <xf numFmtId="0" fontId="0" fillId="0" borderId="0" xfId="0"/>
    <xf numFmtId="0" fontId="5" fillId="3" borderId="14" xfId="0" applyFont="1" applyFill="1" applyBorder="1" applyAlignment="1">
      <alignment horizontal="center" wrapText="1"/>
    </xf>
    <xf numFmtId="0" fontId="5" fillId="3" borderId="41" xfId="0" applyFont="1" applyFill="1" applyBorder="1" applyAlignment="1">
      <alignment horizontal="center" wrapText="1"/>
    </xf>
    <xf numFmtId="0" fontId="5" fillId="3" borderId="3" xfId="0" applyFont="1" applyFill="1" applyBorder="1" applyAlignment="1">
      <alignment horizontal="center" wrapText="1"/>
    </xf>
    <xf numFmtId="0" fontId="17" fillId="43" borderId="48" xfId="0" applyFont="1" applyFill="1" applyBorder="1" applyAlignment="1">
      <alignment horizontal="center" vertical="center" wrapText="1"/>
    </xf>
    <xf numFmtId="0" fontId="17" fillId="43" borderId="49" xfId="0" applyFont="1" applyFill="1"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5" xfId="0" applyBorder="1" applyAlignment="1">
      <alignment horizontal="center" vertical="center" wrapText="1"/>
    </xf>
    <xf numFmtId="0" fontId="0" fillId="0" borderId="63" xfId="0" applyBorder="1" applyAlignment="1">
      <alignment horizontal="center" vertical="center" wrapText="1"/>
    </xf>
    <xf numFmtId="0" fontId="5" fillId="0" borderId="56" xfId="0" applyFont="1" applyBorder="1" applyAlignment="1">
      <alignment horizontal="center" vertical="center" wrapText="1"/>
    </xf>
    <xf numFmtId="0" fontId="5" fillId="0" borderId="66" xfId="0" applyFont="1" applyBorder="1" applyAlignment="1">
      <alignment horizontal="center" vertical="center" wrapText="1"/>
    </xf>
    <xf numFmtId="0" fontId="17" fillId="0" borderId="27" xfId="0" applyFont="1" applyBorder="1" applyAlignment="1">
      <alignment horizontal="center" wrapText="1"/>
    </xf>
    <xf numFmtId="0" fontId="17" fillId="0" borderId="28" xfId="0" applyFont="1" applyBorder="1" applyAlignment="1">
      <alignment horizontal="center" wrapText="1"/>
    </xf>
    <xf numFmtId="0" fontId="17" fillId="0" borderId="29" xfId="0" applyFont="1" applyBorder="1" applyAlignment="1">
      <alignment horizontal="center" wrapText="1"/>
    </xf>
    <xf numFmtId="0" fontId="17" fillId="9" borderId="48" xfId="0" applyFont="1" applyFill="1" applyBorder="1" applyAlignment="1">
      <alignment horizontal="center" wrapText="1"/>
    </xf>
    <xf numFmtId="0" fontId="17" fillId="9" borderId="49" xfId="0" applyFont="1" applyFill="1" applyBorder="1" applyAlignment="1">
      <alignment horizontal="center" wrapText="1"/>
    </xf>
    <xf numFmtId="0" fontId="17" fillId="9" borderId="43" xfId="0" applyFont="1" applyFill="1" applyBorder="1" applyAlignment="1">
      <alignment horizontal="center" wrapText="1"/>
    </xf>
    <xf numFmtId="0" fontId="17" fillId="9" borderId="53" xfId="0" applyFont="1" applyFill="1" applyBorder="1" applyAlignment="1">
      <alignment horizontal="center" vertical="center" wrapText="1"/>
    </xf>
    <xf numFmtId="0" fontId="17" fillId="9" borderId="54" xfId="0" applyFont="1" applyFill="1" applyBorder="1" applyAlignment="1">
      <alignment horizontal="center" vertical="center" wrapText="1"/>
    </xf>
    <xf numFmtId="0" fontId="17" fillId="9" borderId="56" xfId="0" applyFont="1" applyFill="1" applyBorder="1" applyAlignment="1">
      <alignment horizontal="center" vertical="center" wrapText="1"/>
    </xf>
    <xf numFmtId="0" fontId="15" fillId="3" borderId="79" xfId="0" applyFont="1" applyFill="1" applyBorder="1" applyAlignment="1">
      <alignment horizontal="center" wrapText="1"/>
    </xf>
    <xf numFmtId="0" fontId="17" fillId="3" borderId="27" xfId="0" applyFont="1" applyFill="1" applyBorder="1" applyAlignment="1">
      <alignment horizontal="center" wrapText="1"/>
    </xf>
    <xf numFmtId="0" fontId="17" fillId="3" borderId="28" xfId="0" applyFont="1" applyFill="1" applyBorder="1" applyAlignment="1">
      <alignment horizontal="center" wrapText="1"/>
    </xf>
    <xf numFmtId="0" fontId="17" fillId="3" borderId="29" xfId="0" applyFont="1" applyFill="1" applyBorder="1" applyAlignment="1">
      <alignment horizont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1" xr:uid="{00000000-0005-0000-0000-000001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FF0000"/>
      </font>
      <fill>
        <patternFill>
          <bgColor theme="0"/>
        </patternFill>
      </fill>
    </dxf>
    <dxf>
      <font>
        <color rgb="FF00B050"/>
      </font>
      <fill>
        <patternFill patternType="none">
          <bgColor auto="1"/>
        </patternFill>
      </fill>
    </dxf>
    <dxf>
      <font>
        <color rgb="FF9C0006"/>
      </font>
      <fill>
        <patternFill>
          <bgColor rgb="FFFFC7CE"/>
        </patternFill>
      </fill>
    </dxf>
    <dxf>
      <font>
        <color rgb="FF006100"/>
      </font>
      <fill>
        <patternFill>
          <bgColor rgb="FFC6EFCE"/>
        </patternFill>
      </fill>
    </dxf>
    <dxf>
      <font>
        <color rgb="FFFF0000"/>
      </font>
      <fill>
        <patternFill>
          <bgColor theme="0"/>
        </patternFill>
      </fill>
    </dxf>
    <dxf>
      <font>
        <color rgb="FF00B050"/>
      </font>
      <fill>
        <patternFill patternType="none">
          <bgColor auto="1"/>
        </patternFill>
      </fill>
    </dxf>
    <dxf>
      <font>
        <color rgb="FFFF0000"/>
      </font>
      <fill>
        <patternFill>
          <bgColor theme="0"/>
        </patternFill>
      </fill>
    </dxf>
    <dxf>
      <font>
        <color rgb="FF00B050"/>
      </font>
      <fill>
        <patternFill patternType="none">
          <bgColor auto="1"/>
        </patternFill>
      </fill>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9" formatCode="dd/mm/yyyy"/>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medium">
          <color indexed="64"/>
        </left>
        <right style="medium">
          <color indexed="64"/>
        </right>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alignment textRotation="0" wrapText="1"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10552785824447"/>
          <c:y val="2.78662033437014E-2"/>
          <c:w val="0.67771070179386561"/>
          <c:h val="0.79418045535537785"/>
        </c:manualLayout>
      </c:layout>
      <c:barChart>
        <c:barDir val="col"/>
        <c:grouping val="stacked"/>
        <c:varyColors val="0"/>
        <c:ser>
          <c:idx val="0"/>
          <c:order val="0"/>
          <c:tx>
            <c:v>Staff Lost Time Accidents</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Data!$O$7:$AK$7</c:f>
              <c:numCache>
                <c:formatCode>General</c:formatCode>
                <c:ptCount val="23"/>
                <c:pt idx="1">
                  <c:v>1</c:v>
                </c:pt>
                <c:pt idx="11">
                  <c:v>0</c:v>
                </c:pt>
                <c:pt idx="12">
                  <c:v>0</c:v>
                </c:pt>
                <c:pt idx="13">
                  <c:v>1</c:v>
                </c:pt>
                <c:pt idx="21">
                  <c:v>1</c:v>
                </c:pt>
              </c:numCache>
            </c:numRef>
          </c:val>
          <c:extLst>
            <c:ext xmlns:c16="http://schemas.microsoft.com/office/drawing/2014/chart" uri="{C3380CC4-5D6E-409C-BE32-E72D297353CC}">
              <c16:uniqueId val="{00000000-FB26-46B6-BAF2-1D3F14453B93}"/>
            </c:ext>
          </c:extLst>
        </c:ser>
        <c:ser>
          <c:idx val="1"/>
          <c:order val="1"/>
          <c:tx>
            <c:v>Staff Accidents</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Data!$O$6:$AK$6</c:f>
              <c:numCache>
                <c:formatCode>General</c:formatCode>
                <c:ptCount val="23"/>
                <c:pt idx="0">
                  <c:v>1</c:v>
                </c:pt>
                <c:pt idx="1">
                  <c:v>3</c:v>
                </c:pt>
                <c:pt idx="2">
                  <c:v>0</c:v>
                </c:pt>
                <c:pt idx="3">
                  <c:v>2</c:v>
                </c:pt>
                <c:pt idx="4">
                  <c:v>2</c:v>
                </c:pt>
                <c:pt idx="5">
                  <c:v>1</c:v>
                </c:pt>
                <c:pt idx="6">
                  <c:v>3</c:v>
                </c:pt>
                <c:pt idx="7">
                  <c:v>2</c:v>
                </c:pt>
                <c:pt idx="8">
                  <c:v>1</c:v>
                </c:pt>
                <c:pt idx="9">
                  <c:v>3</c:v>
                </c:pt>
                <c:pt idx="10">
                  <c:v>5</c:v>
                </c:pt>
                <c:pt idx="11">
                  <c:v>0</c:v>
                </c:pt>
                <c:pt idx="12">
                  <c:v>0</c:v>
                </c:pt>
                <c:pt idx="13">
                  <c:v>3</c:v>
                </c:pt>
                <c:pt idx="14">
                  <c:v>1</c:v>
                </c:pt>
                <c:pt idx="15">
                  <c:v>3</c:v>
                </c:pt>
                <c:pt idx="16">
                  <c:v>2</c:v>
                </c:pt>
                <c:pt idx="17">
                  <c:v>0</c:v>
                </c:pt>
                <c:pt idx="18">
                  <c:v>1</c:v>
                </c:pt>
                <c:pt idx="19">
                  <c:v>4</c:v>
                </c:pt>
                <c:pt idx="20">
                  <c:v>0</c:v>
                </c:pt>
                <c:pt idx="21">
                  <c:v>3</c:v>
                </c:pt>
                <c:pt idx="22">
                  <c:v>1</c:v>
                </c:pt>
              </c:numCache>
            </c:numRef>
          </c:val>
          <c:extLst>
            <c:ext xmlns:c16="http://schemas.microsoft.com/office/drawing/2014/chart" uri="{C3380CC4-5D6E-409C-BE32-E72D297353CC}">
              <c16:uniqueId val="{00000001-FB26-46B6-BAF2-1D3F14453B93}"/>
            </c:ext>
          </c:extLst>
        </c:ser>
        <c:dLbls>
          <c:showLegendKey val="0"/>
          <c:showVal val="0"/>
          <c:showCatName val="0"/>
          <c:showSerName val="0"/>
          <c:showPercent val="0"/>
          <c:showBubbleSize val="0"/>
        </c:dLbls>
        <c:gapWidth val="150"/>
        <c:overlap val="100"/>
        <c:axId val="73201920"/>
        <c:axId val="127991808"/>
      </c:barChart>
      <c:lineChart>
        <c:grouping val="standard"/>
        <c:varyColors val="0"/>
        <c:ser>
          <c:idx val="2"/>
          <c:order val="2"/>
          <c:tx>
            <c:v>Staff Lost Time Accidents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Data!$O$23:$AK$23</c:f>
              <c:numCache>
                <c:formatCode>0.00</c:formatCode>
                <c:ptCount val="23"/>
                <c:pt idx="0">
                  <c:v>0.15384615384615385</c:v>
                </c:pt>
                <c:pt idx="1">
                  <c:v>0.23076923076923078</c:v>
                </c:pt>
                <c:pt idx="2">
                  <c:v>0.23076923076923078</c:v>
                </c:pt>
                <c:pt idx="3">
                  <c:v>0.15384615384615385</c:v>
                </c:pt>
                <c:pt idx="4">
                  <c:v>0.15384615384615385</c:v>
                </c:pt>
                <c:pt idx="5">
                  <c:v>7.6923076923076927E-2</c:v>
                </c:pt>
                <c:pt idx="6">
                  <c:v>7.6923076923076927E-2</c:v>
                </c:pt>
                <c:pt idx="7">
                  <c:v>7.6923076923076927E-2</c:v>
                </c:pt>
                <c:pt idx="8">
                  <c:v>7.6923076923076927E-2</c:v>
                </c:pt>
                <c:pt idx="9">
                  <c:v>7.6923076923076927E-2</c:v>
                </c:pt>
                <c:pt idx="10">
                  <c:v>7.6923076923076927E-2</c:v>
                </c:pt>
                <c:pt idx="11">
                  <c:v>7.6923076923076927E-2</c:v>
                </c:pt>
                <c:pt idx="12">
                  <c:v>7.6923076923076927E-2</c:v>
                </c:pt>
                <c:pt idx="13">
                  <c:v>0.15384615384615385</c:v>
                </c:pt>
                <c:pt idx="14">
                  <c:v>7.6923076923076927E-2</c:v>
                </c:pt>
                <c:pt idx="15">
                  <c:v>7.6923076923076927E-2</c:v>
                </c:pt>
                <c:pt idx="16">
                  <c:v>7.6923076923076927E-2</c:v>
                </c:pt>
                <c:pt idx="17">
                  <c:v>7.6923076923076927E-2</c:v>
                </c:pt>
                <c:pt idx="18">
                  <c:v>7.6923076923076927E-2</c:v>
                </c:pt>
                <c:pt idx="19">
                  <c:v>7.6923076923076927E-2</c:v>
                </c:pt>
                <c:pt idx="20">
                  <c:v>7.6923076923076927E-2</c:v>
                </c:pt>
                <c:pt idx="21">
                  <c:v>0.15384615384615385</c:v>
                </c:pt>
                <c:pt idx="22">
                  <c:v>0.15384615384615385</c:v>
                </c:pt>
              </c:numCache>
            </c:numRef>
          </c:val>
          <c:smooth val="0"/>
          <c:extLst>
            <c:ext xmlns:c16="http://schemas.microsoft.com/office/drawing/2014/chart" uri="{C3380CC4-5D6E-409C-BE32-E72D297353CC}">
              <c16:uniqueId val="{00000002-FB26-46B6-BAF2-1D3F14453B93}"/>
            </c:ext>
          </c:extLst>
        </c:ser>
        <c:ser>
          <c:idx val="3"/>
          <c:order val="3"/>
          <c:tx>
            <c:v>Staff Accident MAA (Excluding LTA)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Data!$O$22:$AK$22</c:f>
              <c:numCache>
                <c:formatCode>0.00</c:formatCode>
                <c:ptCount val="23"/>
                <c:pt idx="0">
                  <c:v>0.46153846153846156</c:v>
                </c:pt>
                <c:pt idx="1">
                  <c:v>0.69230769230769229</c:v>
                </c:pt>
                <c:pt idx="2">
                  <c:v>0.69230769230769229</c:v>
                </c:pt>
                <c:pt idx="3">
                  <c:v>0.92307692307692313</c:v>
                </c:pt>
                <c:pt idx="4">
                  <c:v>1.0769230769230769</c:v>
                </c:pt>
                <c:pt idx="5">
                  <c:v>1.2307692307692308</c:v>
                </c:pt>
                <c:pt idx="6">
                  <c:v>1.4615384615384615</c:v>
                </c:pt>
                <c:pt idx="7">
                  <c:v>1.6153846153846154</c:v>
                </c:pt>
                <c:pt idx="8">
                  <c:v>1.6153846153846154</c:v>
                </c:pt>
                <c:pt idx="9">
                  <c:v>1.6923076923076923</c:v>
                </c:pt>
                <c:pt idx="10">
                  <c:v>1.8461538461538463</c:v>
                </c:pt>
                <c:pt idx="11">
                  <c:v>1.7692307692307692</c:v>
                </c:pt>
                <c:pt idx="12">
                  <c:v>1.7692307692307692</c:v>
                </c:pt>
                <c:pt idx="13">
                  <c:v>1.9230769230769231</c:v>
                </c:pt>
                <c:pt idx="14">
                  <c:v>1.7692307692307692</c:v>
                </c:pt>
                <c:pt idx="15">
                  <c:v>2</c:v>
                </c:pt>
                <c:pt idx="16">
                  <c:v>2</c:v>
                </c:pt>
                <c:pt idx="17">
                  <c:v>1.8461538461538463</c:v>
                </c:pt>
                <c:pt idx="18">
                  <c:v>1.8461538461538463</c:v>
                </c:pt>
                <c:pt idx="19">
                  <c:v>1.9230769230769231</c:v>
                </c:pt>
                <c:pt idx="20">
                  <c:v>1.7692307692307692</c:v>
                </c:pt>
                <c:pt idx="21">
                  <c:v>1.9230769230769231</c:v>
                </c:pt>
                <c:pt idx="22">
                  <c:v>1.7692307692307692</c:v>
                </c:pt>
              </c:numCache>
            </c:numRef>
          </c:val>
          <c:smooth val="0"/>
          <c:extLst>
            <c:ext xmlns:c16="http://schemas.microsoft.com/office/drawing/2014/chart" uri="{C3380CC4-5D6E-409C-BE32-E72D297353CC}">
              <c16:uniqueId val="{00000003-FB26-46B6-BAF2-1D3F14453B93}"/>
            </c:ext>
          </c:extLst>
        </c:ser>
        <c:dLbls>
          <c:showLegendKey val="0"/>
          <c:showVal val="0"/>
          <c:showCatName val="0"/>
          <c:showSerName val="0"/>
          <c:showPercent val="0"/>
          <c:showBubbleSize val="0"/>
        </c:dLbls>
        <c:marker val="1"/>
        <c:smooth val="0"/>
        <c:axId val="73201920"/>
        <c:axId val="127991808"/>
      </c:lineChart>
      <c:catAx>
        <c:axId val="73201920"/>
        <c:scaling>
          <c:orientation val="minMax"/>
        </c:scaling>
        <c:delete val="0"/>
        <c:axPos val="b"/>
        <c:numFmt formatCode="General" sourceLinked="1"/>
        <c:majorTickMark val="out"/>
        <c:minorTickMark val="none"/>
        <c:tickLblPos val="nextTo"/>
        <c:txPr>
          <a:bodyPr/>
          <a:lstStyle/>
          <a:p>
            <a:pPr>
              <a:defRPr baseline="0"/>
            </a:pPr>
            <a:endParaRPr lang="en-US"/>
          </a:p>
        </c:txPr>
        <c:crossAx val="127991808"/>
        <c:crosses val="autoZero"/>
        <c:auto val="1"/>
        <c:lblAlgn val="ctr"/>
        <c:lblOffset val="100"/>
        <c:noMultiLvlLbl val="0"/>
      </c:catAx>
      <c:valAx>
        <c:axId val="127991808"/>
        <c:scaling>
          <c:orientation val="minMax"/>
        </c:scaling>
        <c:delete val="0"/>
        <c:axPos val="l"/>
        <c:majorGridlines/>
        <c:numFmt formatCode="General" sourceLinked="1"/>
        <c:majorTickMark val="out"/>
        <c:minorTickMark val="none"/>
        <c:tickLblPos val="nextTo"/>
        <c:crossAx val="73201920"/>
        <c:crosses val="autoZero"/>
        <c:crossBetween val="between"/>
      </c:valAx>
    </c:plotArea>
    <c:legend>
      <c:legendPos val="r"/>
      <c:layout>
        <c:manualLayout>
          <c:xMode val="edge"/>
          <c:yMode val="edge"/>
          <c:x val="0.81973252636758798"/>
          <c:y val="4.7445777261386726E-2"/>
          <c:w val="0.14602045750593287"/>
          <c:h val="0.84556974789797446"/>
        </c:manualLayout>
      </c:layout>
      <c:overlay val="0"/>
      <c:txPr>
        <a:bodyPr/>
        <a:lstStyle/>
        <a:p>
          <a:pPr>
            <a:defRPr sz="80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1757618893979639E-2"/>
          <c:y val="5.7858274093886365E-2"/>
          <c:w val="0.66217911785417072"/>
          <c:h val="0.85061337263963543"/>
        </c:manualLayout>
      </c:layout>
      <c:barChart>
        <c:barDir val="col"/>
        <c:grouping val="stacked"/>
        <c:varyColors val="0"/>
        <c:ser>
          <c:idx val="0"/>
          <c:order val="0"/>
          <c:tx>
            <c:v>Incorrect VIS</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Data!$O$214:$AK$214</c:f>
              <c:numCache>
                <c:formatCode>General</c:formatCode>
                <c:ptCount val="23"/>
                <c:pt idx="0">
                  <c:v>2</c:v>
                </c:pt>
                <c:pt idx="1">
                  <c:v>1</c:v>
                </c:pt>
                <c:pt idx="2">
                  <c:v>4</c:v>
                </c:pt>
                <c:pt idx="3">
                  <c:v>1</c:v>
                </c:pt>
                <c:pt idx="4">
                  <c:v>1</c:v>
                </c:pt>
                <c:pt idx="5">
                  <c:v>0</c:v>
                </c:pt>
                <c:pt idx="6">
                  <c:v>1</c:v>
                </c:pt>
                <c:pt idx="7">
                  <c:v>1</c:v>
                </c:pt>
                <c:pt idx="8">
                  <c:v>3</c:v>
                </c:pt>
                <c:pt idx="9">
                  <c:v>1</c:v>
                </c:pt>
                <c:pt idx="10">
                  <c:v>3</c:v>
                </c:pt>
                <c:pt idx="11">
                  <c:v>2</c:v>
                </c:pt>
                <c:pt idx="12">
                  <c:v>0</c:v>
                </c:pt>
                <c:pt idx="13">
                  <c:v>2</c:v>
                </c:pt>
                <c:pt idx="14">
                  <c:v>2</c:v>
                </c:pt>
                <c:pt idx="15">
                  <c:v>1</c:v>
                </c:pt>
                <c:pt idx="16">
                  <c:v>3</c:v>
                </c:pt>
                <c:pt idx="17">
                  <c:v>4</c:v>
                </c:pt>
                <c:pt idx="18">
                  <c:v>2</c:v>
                </c:pt>
                <c:pt idx="19">
                  <c:v>2</c:v>
                </c:pt>
                <c:pt idx="20">
                  <c:v>2</c:v>
                </c:pt>
                <c:pt idx="21">
                  <c:v>0</c:v>
                </c:pt>
                <c:pt idx="22">
                  <c:v>2</c:v>
                </c:pt>
              </c:numCache>
            </c:numRef>
          </c:val>
          <c:extLst>
            <c:ext xmlns:c16="http://schemas.microsoft.com/office/drawing/2014/chart" uri="{C3380CC4-5D6E-409C-BE32-E72D297353CC}">
              <c16:uniqueId val="{00000000-CAA6-4EEC-BF25-A67D6C7D7550}"/>
            </c:ext>
          </c:extLst>
        </c:ser>
        <c:ser>
          <c:idx val="1"/>
          <c:order val="1"/>
          <c:tx>
            <c:v>Seperation</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Data!$O$216:$AK$216</c:f>
              <c:numCache>
                <c:formatCode>General</c:formatCode>
                <c:ptCount val="23"/>
                <c:pt idx="0">
                  <c:v>0</c:v>
                </c:pt>
                <c:pt idx="1">
                  <c:v>0</c:v>
                </c:pt>
                <c:pt idx="2">
                  <c:v>2</c:v>
                </c:pt>
                <c:pt idx="3">
                  <c:v>0</c:v>
                </c:pt>
                <c:pt idx="4">
                  <c:v>0</c:v>
                </c:pt>
                <c:pt idx="5">
                  <c:v>0</c:v>
                </c:pt>
                <c:pt idx="6">
                  <c:v>0</c:v>
                </c:pt>
                <c:pt idx="7">
                  <c:v>2</c:v>
                </c:pt>
                <c:pt idx="8">
                  <c:v>0</c:v>
                </c:pt>
                <c:pt idx="9">
                  <c:v>0</c:v>
                </c:pt>
                <c:pt idx="10">
                  <c:v>0</c:v>
                </c:pt>
                <c:pt idx="11">
                  <c:v>1</c:v>
                </c:pt>
                <c:pt idx="12">
                  <c:v>1</c:v>
                </c:pt>
                <c:pt idx="13">
                  <c:v>0</c:v>
                </c:pt>
                <c:pt idx="14">
                  <c:v>1</c:v>
                </c:pt>
                <c:pt idx="15">
                  <c:v>1</c:v>
                </c:pt>
                <c:pt idx="16">
                  <c:v>0</c:v>
                </c:pt>
                <c:pt idx="17">
                  <c:v>2</c:v>
                </c:pt>
                <c:pt idx="18">
                  <c:v>0</c:v>
                </c:pt>
                <c:pt idx="19">
                  <c:v>2</c:v>
                </c:pt>
                <c:pt idx="20">
                  <c:v>0</c:v>
                </c:pt>
                <c:pt idx="21">
                  <c:v>1</c:v>
                </c:pt>
                <c:pt idx="22">
                  <c:v>1</c:v>
                </c:pt>
              </c:numCache>
            </c:numRef>
          </c:val>
          <c:extLst>
            <c:ext xmlns:c16="http://schemas.microsoft.com/office/drawing/2014/chart" uri="{C3380CC4-5D6E-409C-BE32-E72D297353CC}">
              <c16:uniqueId val="{00000001-CAA6-4EEC-BF25-A67D6C7D7550}"/>
            </c:ext>
          </c:extLst>
        </c:ser>
        <c:ser>
          <c:idx val="2"/>
          <c:order val="3"/>
          <c:tx>
            <c:v>Near Miss</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extLst xmlns:c15="http://schemas.microsoft.com/office/drawing/2012/chart"/>
            </c:numRef>
          </c:cat>
          <c:val>
            <c:numRef>
              <c:f>Data!$B$218:$F$218</c:f>
              <c:extLst xmlns:c15="http://schemas.microsoft.com/office/drawing/2012/chart"/>
            </c:numRef>
          </c:val>
          <c:extLst xmlns:c15="http://schemas.microsoft.com/office/drawing/2012/chart">
            <c:ext xmlns:c16="http://schemas.microsoft.com/office/drawing/2014/chart" uri="{C3380CC4-5D6E-409C-BE32-E72D297353CC}">
              <c16:uniqueId val="{00000002-CAA6-4EEC-BF25-A67D6C7D7550}"/>
            </c:ext>
          </c:extLst>
        </c:ser>
        <c:ser>
          <c:idx val="5"/>
          <c:order val="4"/>
          <c:tx>
            <c:v>Wrong Routing</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Data!$O$222:$AK$222</c:f>
              <c:numCache>
                <c:formatCode>General</c:formatCode>
                <c:ptCount val="23"/>
                <c:pt idx="0">
                  <c:v>2</c:v>
                </c:pt>
                <c:pt idx="1">
                  <c:v>0</c:v>
                </c:pt>
                <c:pt idx="2">
                  <c:v>1</c:v>
                </c:pt>
                <c:pt idx="3">
                  <c:v>0</c:v>
                </c:pt>
                <c:pt idx="4">
                  <c:v>2</c:v>
                </c:pt>
                <c:pt idx="5">
                  <c:v>1</c:v>
                </c:pt>
                <c:pt idx="6">
                  <c:v>0</c:v>
                </c:pt>
                <c:pt idx="7">
                  <c:v>0</c:v>
                </c:pt>
                <c:pt idx="8">
                  <c:v>1</c:v>
                </c:pt>
                <c:pt idx="9">
                  <c:v>0</c:v>
                </c:pt>
                <c:pt idx="10">
                  <c:v>0</c:v>
                </c:pt>
                <c:pt idx="11">
                  <c:v>0</c:v>
                </c:pt>
                <c:pt idx="12">
                  <c:v>1</c:v>
                </c:pt>
                <c:pt idx="13">
                  <c:v>1</c:v>
                </c:pt>
                <c:pt idx="14">
                  <c:v>0</c:v>
                </c:pt>
                <c:pt idx="15">
                  <c:v>0</c:v>
                </c:pt>
                <c:pt idx="16">
                  <c:v>1</c:v>
                </c:pt>
                <c:pt idx="17">
                  <c:v>0</c:v>
                </c:pt>
                <c:pt idx="18">
                  <c:v>0</c:v>
                </c:pt>
                <c:pt idx="19">
                  <c:v>0</c:v>
                </c:pt>
                <c:pt idx="20">
                  <c:v>3</c:v>
                </c:pt>
                <c:pt idx="21">
                  <c:v>1</c:v>
                </c:pt>
                <c:pt idx="22">
                  <c:v>0</c:v>
                </c:pt>
              </c:numCache>
            </c:numRef>
          </c:val>
          <c:extLst>
            <c:ext xmlns:c16="http://schemas.microsoft.com/office/drawing/2014/chart" uri="{C3380CC4-5D6E-409C-BE32-E72D297353CC}">
              <c16:uniqueId val="{00000003-CAA6-4EEC-BF25-A67D6C7D7550}"/>
            </c:ext>
          </c:extLst>
        </c:ser>
        <c:ser>
          <c:idx val="6"/>
          <c:order val="5"/>
          <c:tx>
            <c:v>Person in Cab</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Data!$O$232:$AK$232</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4-CAA6-4EEC-BF25-A67D6C7D7550}"/>
            </c:ext>
          </c:extLst>
        </c:ser>
        <c:ser>
          <c:idx val="7"/>
          <c:order val="6"/>
          <c:tx>
            <c:v>Tramstop overrun</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Data!$O$226:$AK$226</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5-CAA6-4EEC-BF25-A67D6C7D7550}"/>
            </c:ext>
          </c:extLst>
        </c:ser>
        <c:ser>
          <c:idx val="8"/>
          <c:order val="7"/>
          <c:tx>
            <c:v>Cyclist Fall</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Data!$O$228:$AK$228</c:f>
              <c:numCache>
                <c:formatCode>General</c:formatCode>
                <c:ptCount val="23"/>
                <c:pt idx="0">
                  <c:v>1</c:v>
                </c:pt>
                <c:pt idx="1">
                  <c:v>0</c:v>
                </c:pt>
                <c:pt idx="2">
                  <c:v>1</c:v>
                </c:pt>
                <c:pt idx="3">
                  <c:v>1</c:v>
                </c:pt>
                <c:pt idx="4">
                  <c:v>0</c:v>
                </c:pt>
                <c:pt idx="5">
                  <c:v>0</c:v>
                </c:pt>
                <c:pt idx="6">
                  <c:v>0</c:v>
                </c:pt>
                <c:pt idx="7">
                  <c:v>0</c:v>
                </c:pt>
                <c:pt idx="8">
                  <c:v>0</c:v>
                </c:pt>
                <c:pt idx="9">
                  <c:v>0</c:v>
                </c:pt>
                <c:pt idx="10">
                  <c:v>0</c:v>
                </c:pt>
                <c:pt idx="11">
                  <c:v>0</c:v>
                </c:pt>
                <c:pt idx="12">
                  <c:v>0</c:v>
                </c:pt>
                <c:pt idx="13">
                  <c:v>0</c:v>
                </c:pt>
                <c:pt idx="14">
                  <c:v>1</c:v>
                </c:pt>
                <c:pt idx="15">
                  <c:v>1</c:v>
                </c:pt>
                <c:pt idx="16">
                  <c:v>1</c:v>
                </c:pt>
                <c:pt idx="17">
                  <c:v>1</c:v>
                </c:pt>
                <c:pt idx="18">
                  <c:v>0</c:v>
                </c:pt>
                <c:pt idx="19">
                  <c:v>0</c:v>
                </c:pt>
                <c:pt idx="20">
                  <c:v>3</c:v>
                </c:pt>
                <c:pt idx="21">
                  <c:v>1</c:v>
                </c:pt>
                <c:pt idx="22">
                  <c:v>0</c:v>
                </c:pt>
              </c:numCache>
            </c:numRef>
          </c:val>
          <c:extLst>
            <c:ext xmlns:c16="http://schemas.microsoft.com/office/drawing/2014/chart" uri="{C3380CC4-5D6E-409C-BE32-E72D297353CC}">
              <c16:uniqueId val="{00000006-CAA6-4EEC-BF25-A67D6C7D7550}"/>
            </c:ext>
          </c:extLst>
        </c:ser>
        <c:ser>
          <c:idx val="9"/>
          <c:order val="8"/>
          <c:tx>
            <c:v>Minor RTC</c:v>
          </c:tx>
          <c:spPr>
            <a:ln w="22225"/>
          </c:spPr>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Data!$O$234:$AK$234</c:f>
              <c:numCache>
                <c:formatCode>General</c:formatCode>
                <c:ptCount val="23"/>
                <c:pt idx="0">
                  <c:v>2</c:v>
                </c:pt>
                <c:pt idx="1">
                  <c:v>5</c:v>
                </c:pt>
                <c:pt idx="2">
                  <c:v>0</c:v>
                </c:pt>
                <c:pt idx="3">
                  <c:v>7</c:v>
                </c:pt>
                <c:pt idx="4">
                  <c:v>1</c:v>
                </c:pt>
                <c:pt idx="5">
                  <c:v>3</c:v>
                </c:pt>
                <c:pt idx="6">
                  <c:v>4</c:v>
                </c:pt>
                <c:pt idx="7">
                  <c:v>3</c:v>
                </c:pt>
                <c:pt idx="8">
                  <c:v>8</c:v>
                </c:pt>
                <c:pt idx="9">
                  <c:v>2</c:v>
                </c:pt>
                <c:pt idx="10">
                  <c:v>4</c:v>
                </c:pt>
                <c:pt idx="11">
                  <c:v>0</c:v>
                </c:pt>
                <c:pt idx="12">
                  <c:v>4</c:v>
                </c:pt>
                <c:pt idx="13">
                  <c:v>4</c:v>
                </c:pt>
                <c:pt idx="14">
                  <c:v>1</c:v>
                </c:pt>
                <c:pt idx="15">
                  <c:v>2</c:v>
                </c:pt>
                <c:pt idx="16">
                  <c:v>2</c:v>
                </c:pt>
                <c:pt idx="17">
                  <c:v>2</c:v>
                </c:pt>
                <c:pt idx="18">
                  <c:v>2</c:v>
                </c:pt>
                <c:pt idx="19">
                  <c:v>2</c:v>
                </c:pt>
                <c:pt idx="20">
                  <c:v>3</c:v>
                </c:pt>
                <c:pt idx="21">
                  <c:v>4</c:v>
                </c:pt>
                <c:pt idx="22">
                  <c:v>2</c:v>
                </c:pt>
              </c:numCache>
            </c:numRef>
          </c:val>
          <c:extLst>
            <c:ext xmlns:c16="http://schemas.microsoft.com/office/drawing/2014/chart" uri="{C3380CC4-5D6E-409C-BE32-E72D297353CC}">
              <c16:uniqueId val="{00000007-CAA6-4EEC-BF25-A67D6C7D7550}"/>
            </c:ext>
          </c:extLst>
        </c:ser>
        <c:ser>
          <c:idx val="4"/>
          <c:order val="9"/>
          <c:tx>
            <c:v>Minor - PTC</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Data!$O$230:$AK$230</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8-CAA6-4EEC-BF25-A67D6C7D7550}"/>
            </c:ext>
          </c:extLst>
        </c:ser>
        <c:dLbls>
          <c:showLegendKey val="0"/>
          <c:showVal val="0"/>
          <c:showCatName val="0"/>
          <c:showSerName val="0"/>
          <c:showPercent val="0"/>
          <c:showBubbleSize val="0"/>
        </c:dLbls>
        <c:gapWidth val="150"/>
        <c:overlap val="100"/>
        <c:axId val="128348928"/>
        <c:axId val="128350464"/>
        <c:extLst/>
      </c:barChart>
      <c:lineChart>
        <c:grouping val="standard"/>
        <c:varyColors val="0"/>
        <c:ser>
          <c:idx val="3"/>
          <c:order val="2"/>
          <c:tx>
            <c:v>Low Risk Operational Incidents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Data!$O$237:$AK$237</c:f>
              <c:numCache>
                <c:formatCode>0.00</c:formatCode>
                <c:ptCount val="23"/>
                <c:pt idx="0">
                  <c:v>3</c:v>
                </c:pt>
                <c:pt idx="1">
                  <c:v>3.4615384615384617</c:v>
                </c:pt>
                <c:pt idx="2">
                  <c:v>4.0769230769230766</c:v>
                </c:pt>
                <c:pt idx="3">
                  <c:v>4.7692307692307692</c:v>
                </c:pt>
                <c:pt idx="4">
                  <c:v>5.0769230769230766</c:v>
                </c:pt>
                <c:pt idx="5">
                  <c:v>5.3076923076923075</c:v>
                </c:pt>
                <c:pt idx="6">
                  <c:v>5.615384615384615</c:v>
                </c:pt>
                <c:pt idx="7">
                  <c:v>6</c:v>
                </c:pt>
                <c:pt idx="8">
                  <c:v>6.6923076923076925</c:v>
                </c:pt>
                <c:pt idx="9">
                  <c:v>6.2307692307692308</c:v>
                </c:pt>
                <c:pt idx="10">
                  <c:v>5.9230769230769234</c:v>
                </c:pt>
                <c:pt idx="11">
                  <c:v>5.6923076923076925</c:v>
                </c:pt>
                <c:pt idx="12">
                  <c:v>6.1538461538461542</c:v>
                </c:pt>
                <c:pt idx="13">
                  <c:v>6.1538461538461542</c:v>
                </c:pt>
                <c:pt idx="14">
                  <c:v>6.0769230769230766</c:v>
                </c:pt>
                <c:pt idx="15">
                  <c:v>5.8461538461538458</c:v>
                </c:pt>
                <c:pt idx="16">
                  <c:v>5.6923076923076925</c:v>
                </c:pt>
                <c:pt idx="17">
                  <c:v>6.0769230769230766</c:v>
                </c:pt>
                <c:pt idx="18">
                  <c:v>6.0769230769230766</c:v>
                </c:pt>
                <c:pt idx="19">
                  <c:v>6.1538461538461542</c:v>
                </c:pt>
                <c:pt idx="20">
                  <c:v>6.5384615384615383</c:v>
                </c:pt>
                <c:pt idx="21">
                  <c:v>6.1538461538461542</c:v>
                </c:pt>
                <c:pt idx="22">
                  <c:v>6.3076923076923075</c:v>
                </c:pt>
              </c:numCache>
            </c:numRef>
          </c:val>
          <c:smooth val="0"/>
          <c:extLst>
            <c:ext xmlns:c16="http://schemas.microsoft.com/office/drawing/2014/chart" uri="{C3380CC4-5D6E-409C-BE32-E72D297353CC}">
              <c16:uniqueId val="{00000009-CAA6-4EEC-BF25-A67D6C7D7550}"/>
            </c:ext>
          </c:extLst>
        </c:ser>
        <c:dLbls>
          <c:showLegendKey val="0"/>
          <c:showVal val="0"/>
          <c:showCatName val="0"/>
          <c:showSerName val="0"/>
          <c:showPercent val="0"/>
          <c:showBubbleSize val="0"/>
        </c:dLbls>
        <c:marker val="1"/>
        <c:smooth val="0"/>
        <c:axId val="128348928"/>
        <c:axId val="128350464"/>
      </c:lineChart>
      <c:catAx>
        <c:axId val="128348928"/>
        <c:scaling>
          <c:orientation val="minMax"/>
        </c:scaling>
        <c:delete val="0"/>
        <c:axPos val="b"/>
        <c:numFmt formatCode="General" sourceLinked="1"/>
        <c:majorTickMark val="out"/>
        <c:minorTickMark val="none"/>
        <c:tickLblPos val="nextTo"/>
        <c:txPr>
          <a:bodyPr/>
          <a:lstStyle/>
          <a:p>
            <a:pPr>
              <a:defRPr sz="900"/>
            </a:pPr>
            <a:endParaRPr lang="en-US"/>
          </a:p>
        </c:txPr>
        <c:crossAx val="128350464"/>
        <c:crosses val="autoZero"/>
        <c:auto val="1"/>
        <c:lblAlgn val="ctr"/>
        <c:lblOffset val="100"/>
        <c:noMultiLvlLbl val="0"/>
      </c:catAx>
      <c:valAx>
        <c:axId val="128350464"/>
        <c:scaling>
          <c:orientation val="minMax"/>
        </c:scaling>
        <c:delete val="0"/>
        <c:axPos val="l"/>
        <c:majorGridlines/>
        <c:numFmt formatCode="General" sourceLinked="1"/>
        <c:majorTickMark val="out"/>
        <c:minorTickMark val="none"/>
        <c:tickLblPos val="nextTo"/>
        <c:crossAx val="128348928"/>
        <c:crosses val="autoZero"/>
        <c:crossBetween val="between"/>
      </c:valAx>
    </c:plotArea>
    <c:legend>
      <c:legendPos val="r"/>
      <c:layout>
        <c:manualLayout>
          <c:xMode val="edge"/>
          <c:yMode val="edge"/>
          <c:x val="0.83644919220904035"/>
          <c:y val="4.0055819179162545E-2"/>
          <c:w val="0.14949644709045515"/>
          <c:h val="0.95994409492934241"/>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75605990427667E-2"/>
          <c:y val="4.0592710304474942E-2"/>
          <c:w val="0.7950613371185753"/>
          <c:h val="0.80122274936453131"/>
        </c:manualLayout>
      </c:layout>
      <c:barChart>
        <c:barDir val="col"/>
        <c:grouping val="stacked"/>
        <c:varyColors val="0"/>
        <c:ser>
          <c:idx val="1"/>
          <c:order val="0"/>
          <c:tx>
            <c:v>Vandalism</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Data!$O$12:$AK$12</c:f>
              <c:numCache>
                <c:formatCode>General</c:formatCode>
                <c:ptCount val="23"/>
                <c:pt idx="0">
                  <c:v>7</c:v>
                </c:pt>
                <c:pt idx="1">
                  <c:v>4</c:v>
                </c:pt>
                <c:pt idx="2">
                  <c:v>7</c:v>
                </c:pt>
                <c:pt idx="3">
                  <c:v>5</c:v>
                </c:pt>
                <c:pt idx="4">
                  <c:v>3</c:v>
                </c:pt>
                <c:pt idx="5">
                  <c:v>5</c:v>
                </c:pt>
                <c:pt idx="6">
                  <c:v>6</c:v>
                </c:pt>
                <c:pt idx="7">
                  <c:v>10</c:v>
                </c:pt>
                <c:pt idx="8">
                  <c:v>4</c:v>
                </c:pt>
                <c:pt idx="9">
                  <c:v>8</c:v>
                </c:pt>
                <c:pt idx="10">
                  <c:v>3</c:v>
                </c:pt>
                <c:pt idx="11">
                  <c:v>7</c:v>
                </c:pt>
                <c:pt idx="12">
                  <c:v>12</c:v>
                </c:pt>
                <c:pt idx="13">
                  <c:v>11</c:v>
                </c:pt>
                <c:pt idx="14">
                  <c:v>10</c:v>
                </c:pt>
                <c:pt idx="15">
                  <c:v>14</c:v>
                </c:pt>
                <c:pt idx="16">
                  <c:v>5</c:v>
                </c:pt>
                <c:pt idx="17">
                  <c:v>11</c:v>
                </c:pt>
                <c:pt idx="18">
                  <c:v>20</c:v>
                </c:pt>
                <c:pt idx="19">
                  <c:v>16</c:v>
                </c:pt>
                <c:pt idx="20">
                  <c:v>4</c:v>
                </c:pt>
                <c:pt idx="21">
                  <c:v>7</c:v>
                </c:pt>
                <c:pt idx="22">
                  <c:v>11</c:v>
                </c:pt>
              </c:numCache>
            </c:numRef>
          </c:val>
          <c:extLst>
            <c:ext xmlns:c16="http://schemas.microsoft.com/office/drawing/2014/chart" uri="{C3380CC4-5D6E-409C-BE32-E72D297353CC}">
              <c16:uniqueId val="{00000000-15F9-478C-B881-3A5C49B2D411}"/>
            </c:ext>
          </c:extLst>
        </c:ser>
        <c:dLbls>
          <c:showLegendKey val="0"/>
          <c:showVal val="0"/>
          <c:showCatName val="0"/>
          <c:showSerName val="0"/>
          <c:showPercent val="0"/>
          <c:showBubbleSize val="0"/>
        </c:dLbls>
        <c:gapWidth val="150"/>
        <c:overlap val="100"/>
        <c:axId val="128383616"/>
        <c:axId val="128426368"/>
      </c:barChart>
      <c:lineChart>
        <c:grouping val="standard"/>
        <c:varyColors val="0"/>
        <c:ser>
          <c:idx val="3"/>
          <c:order val="1"/>
          <c:tx>
            <c:v>Vandalism MAA</c:v>
          </c:tx>
          <c:marker>
            <c:symbol val="none"/>
          </c:marker>
          <c:cat>
            <c:numRef>
              <c:f>Data!$O$21:$AK$21</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Data!$O$30:$AK$30</c:f>
              <c:numCache>
                <c:formatCode>0.00</c:formatCode>
                <c:ptCount val="23"/>
                <c:pt idx="0">
                  <c:v>2.0769230769230771</c:v>
                </c:pt>
                <c:pt idx="1">
                  <c:v>2.3846153846153846</c:v>
                </c:pt>
                <c:pt idx="2">
                  <c:v>2.9230769230769229</c:v>
                </c:pt>
                <c:pt idx="3">
                  <c:v>3.3076923076923075</c:v>
                </c:pt>
                <c:pt idx="4">
                  <c:v>3.5384615384615383</c:v>
                </c:pt>
                <c:pt idx="5">
                  <c:v>3.9230769230769229</c:v>
                </c:pt>
                <c:pt idx="6">
                  <c:v>4.384615384615385</c:v>
                </c:pt>
                <c:pt idx="7">
                  <c:v>5.1538461538461542</c:v>
                </c:pt>
                <c:pt idx="8">
                  <c:v>5.384615384615385</c:v>
                </c:pt>
                <c:pt idx="9">
                  <c:v>5.3076923076923075</c:v>
                </c:pt>
                <c:pt idx="10">
                  <c:v>5.2307692307692308</c:v>
                </c:pt>
                <c:pt idx="11">
                  <c:v>5.3076923076923075</c:v>
                </c:pt>
                <c:pt idx="12">
                  <c:v>6.2307692307692308</c:v>
                </c:pt>
                <c:pt idx="13">
                  <c:v>6.5384615384615383</c:v>
                </c:pt>
                <c:pt idx="14">
                  <c:v>7</c:v>
                </c:pt>
                <c:pt idx="15">
                  <c:v>7.5384615384615383</c:v>
                </c:pt>
                <c:pt idx="16">
                  <c:v>7.5384615384615383</c:v>
                </c:pt>
                <c:pt idx="17">
                  <c:v>8.1538461538461533</c:v>
                </c:pt>
                <c:pt idx="18">
                  <c:v>9.3076923076923084</c:v>
                </c:pt>
                <c:pt idx="19">
                  <c:v>10.076923076923077</c:v>
                </c:pt>
                <c:pt idx="20">
                  <c:v>9.615384615384615</c:v>
                </c:pt>
                <c:pt idx="21">
                  <c:v>9.8461538461538467</c:v>
                </c:pt>
                <c:pt idx="22">
                  <c:v>10.076923076923077</c:v>
                </c:pt>
              </c:numCache>
            </c:numRef>
          </c:val>
          <c:smooth val="0"/>
          <c:extLst>
            <c:ext xmlns:c16="http://schemas.microsoft.com/office/drawing/2014/chart" uri="{C3380CC4-5D6E-409C-BE32-E72D297353CC}">
              <c16:uniqueId val="{00000001-15F9-478C-B881-3A5C49B2D411}"/>
            </c:ext>
          </c:extLst>
        </c:ser>
        <c:dLbls>
          <c:showLegendKey val="0"/>
          <c:showVal val="0"/>
          <c:showCatName val="0"/>
          <c:showSerName val="0"/>
          <c:showPercent val="0"/>
          <c:showBubbleSize val="0"/>
        </c:dLbls>
        <c:marker val="1"/>
        <c:smooth val="0"/>
        <c:axId val="128383616"/>
        <c:axId val="128426368"/>
      </c:lineChart>
      <c:catAx>
        <c:axId val="128383616"/>
        <c:scaling>
          <c:orientation val="minMax"/>
        </c:scaling>
        <c:delete val="0"/>
        <c:axPos val="b"/>
        <c:numFmt formatCode="General" sourceLinked="1"/>
        <c:majorTickMark val="out"/>
        <c:minorTickMark val="none"/>
        <c:tickLblPos val="nextTo"/>
        <c:crossAx val="128426368"/>
        <c:crosses val="autoZero"/>
        <c:auto val="1"/>
        <c:lblAlgn val="ctr"/>
        <c:lblOffset val="100"/>
        <c:noMultiLvlLbl val="0"/>
      </c:catAx>
      <c:valAx>
        <c:axId val="128426368"/>
        <c:scaling>
          <c:orientation val="minMax"/>
        </c:scaling>
        <c:delete val="0"/>
        <c:axPos val="l"/>
        <c:majorGridlines/>
        <c:numFmt formatCode="General" sourceLinked="1"/>
        <c:majorTickMark val="out"/>
        <c:minorTickMark val="none"/>
        <c:tickLblPos val="nextTo"/>
        <c:crossAx val="128383616"/>
        <c:crosses val="autoZero"/>
        <c:crossBetween val="between"/>
      </c:valAx>
      <c:spPr>
        <a:noFill/>
        <a:ln w="25400">
          <a:noFill/>
        </a:ln>
      </c:spPr>
    </c:plotArea>
    <c:legend>
      <c:legendPos val="r"/>
      <c:legendEntry>
        <c:idx val="0"/>
        <c:txPr>
          <a:bodyPr/>
          <a:lstStyle/>
          <a:p>
            <a:pPr>
              <a:defRPr sz="800"/>
            </a:pPr>
            <a:endParaRPr lang="en-US"/>
          </a:p>
        </c:txPr>
      </c:legendEntry>
      <c:legendEntry>
        <c:idx val="1"/>
        <c:txPr>
          <a:bodyPr/>
          <a:lstStyle/>
          <a:p>
            <a:pPr>
              <a:defRPr sz="900"/>
            </a:pPr>
            <a:endParaRPr lang="en-US"/>
          </a:p>
        </c:txPr>
      </c:legendEntry>
      <c:layout>
        <c:manualLayout>
          <c:xMode val="edge"/>
          <c:yMode val="edge"/>
          <c:x val="0.84275540138470784"/>
          <c:y val="6.0288596405538956E-2"/>
          <c:w val="0.13116036706865386"/>
          <c:h val="0.50296570942095398"/>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76945816888408"/>
          <c:y val="5.6928632222577137E-2"/>
          <c:w val="0.70790551181102357"/>
          <c:h val="0.82343659138416081"/>
        </c:manualLayout>
      </c:layout>
      <c:barChart>
        <c:barDir val="col"/>
        <c:grouping val="stacked"/>
        <c:varyColors val="0"/>
        <c:ser>
          <c:idx val="0"/>
          <c:order val="0"/>
          <c:tx>
            <c:strRef>
              <c:f>Summary!$AB$10</c:f>
              <c:strCache>
                <c:ptCount val="1"/>
                <c:pt idx="0">
                  <c:v>Total Anom</c:v>
                </c:pt>
              </c:strCache>
            </c:strRef>
          </c:tx>
          <c:invertIfNegative val="0"/>
          <c:cat>
            <c:numRef>
              <c:f>Summary!$AC$6:$AO$6</c:f>
              <c:numCache>
                <c:formatCode>General</c:formatCode>
                <c:ptCount val="13"/>
                <c:pt idx="0">
                  <c:v>2411</c:v>
                </c:pt>
                <c:pt idx="1">
                  <c:v>2412</c:v>
                </c:pt>
                <c:pt idx="2">
                  <c:v>2413</c:v>
                </c:pt>
                <c:pt idx="3">
                  <c:v>2501</c:v>
                </c:pt>
                <c:pt idx="4">
                  <c:v>2502</c:v>
                </c:pt>
                <c:pt idx="5">
                  <c:v>2503</c:v>
                </c:pt>
                <c:pt idx="6">
                  <c:v>2504</c:v>
                </c:pt>
                <c:pt idx="7">
                  <c:v>2505</c:v>
                </c:pt>
                <c:pt idx="8">
                  <c:v>2506</c:v>
                </c:pt>
                <c:pt idx="9">
                  <c:v>2507</c:v>
                </c:pt>
                <c:pt idx="10">
                  <c:v>2508</c:v>
                </c:pt>
                <c:pt idx="11">
                  <c:v>2509</c:v>
                </c:pt>
                <c:pt idx="12">
                  <c:v>2510</c:v>
                </c:pt>
              </c:numCache>
            </c:numRef>
          </c:cat>
          <c:val>
            <c:numRef>
              <c:f>Summary!$AC$10:$AO$10</c:f>
              <c:numCache>
                <c:formatCode>General</c:formatCode>
                <c:ptCount val="13"/>
                <c:pt idx="0">
                  <c:v>0</c:v>
                </c:pt>
                <c:pt idx="1">
                  <c:v>6</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1985-44C5-A5E3-F40E8A1528C8}"/>
            </c:ext>
          </c:extLst>
        </c:ser>
        <c:ser>
          <c:idx val="1"/>
          <c:order val="1"/>
          <c:tx>
            <c:strRef>
              <c:f>Summary!$AB$11</c:f>
              <c:strCache>
                <c:ptCount val="1"/>
                <c:pt idx="0">
                  <c:v>Total Name</c:v>
                </c:pt>
              </c:strCache>
            </c:strRef>
          </c:tx>
          <c:spPr>
            <a:solidFill>
              <a:srgbClr val="92D050"/>
            </a:solidFill>
          </c:spPr>
          <c:invertIfNegative val="0"/>
          <c:cat>
            <c:numRef>
              <c:f>Summary!$AC$6:$AO$6</c:f>
              <c:numCache>
                <c:formatCode>General</c:formatCode>
                <c:ptCount val="13"/>
                <c:pt idx="0">
                  <c:v>2411</c:v>
                </c:pt>
                <c:pt idx="1">
                  <c:v>2412</c:v>
                </c:pt>
                <c:pt idx="2">
                  <c:v>2413</c:v>
                </c:pt>
                <c:pt idx="3">
                  <c:v>2501</c:v>
                </c:pt>
                <c:pt idx="4">
                  <c:v>2502</c:v>
                </c:pt>
                <c:pt idx="5">
                  <c:v>2503</c:v>
                </c:pt>
                <c:pt idx="6">
                  <c:v>2504</c:v>
                </c:pt>
                <c:pt idx="7">
                  <c:v>2505</c:v>
                </c:pt>
                <c:pt idx="8">
                  <c:v>2506</c:v>
                </c:pt>
                <c:pt idx="9">
                  <c:v>2507</c:v>
                </c:pt>
                <c:pt idx="10">
                  <c:v>2508</c:v>
                </c:pt>
                <c:pt idx="11">
                  <c:v>2509</c:v>
                </c:pt>
                <c:pt idx="12">
                  <c:v>2510</c:v>
                </c:pt>
              </c:numCache>
            </c:numRef>
          </c:cat>
          <c:val>
            <c:numRef>
              <c:f>Summary!$AC$11:$AO$11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1985-44C5-A5E3-F40E8A1528C8}"/>
            </c:ext>
          </c:extLst>
        </c:ser>
        <c:dLbls>
          <c:showLegendKey val="0"/>
          <c:showVal val="0"/>
          <c:showCatName val="0"/>
          <c:showSerName val="0"/>
          <c:showPercent val="0"/>
          <c:showBubbleSize val="0"/>
        </c:dLbls>
        <c:gapWidth val="150"/>
        <c:overlap val="100"/>
        <c:axId val="128468864"/>
        <c:axId val="128470400"/>
      </c:barChart>
      <c:catAx>
        <c:axId val="128468864"/>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128470400"/>
        <c:crosses val="autoZero"/>
        <c:auto val="1"/>
        <c:lblAlgn val="ctr"/>
        <c:lblOffset val="100"/>
        <c:noMultiLvlLbl val="0"/>
      </c:catAx>
      <c:valAx>
        <c:axId val="128470400"/>
        <c:scaling>
          <c:orientation val="minMax"/>
        </c:scaling>
        <c:delete val="0"/>
        <c:axPos val="l"/>
        <c:majorGridlines/>
        <c:numFmt formatCode="General" sourceLinked="1"/>
        <c:majorTickMark val="out"/>
        <c:minorTickMark val="none"/>
        <c:tickLblPos val="nextTo"/>
        <c:crossAx val="128468864"/>
        <c:crosses val="autoZero"/>
        <c:crossBetween val="between"/>
      </c:valAx>
    </c:plotArea>
    <c:legend>
      <c:legendPos val="r"/>
      <c:layout>
        <c:manualLayout>
          <c:xMode val="edge"/>
          <c:yMode val="edge"/>
          <c:x val="0.78607839273291913"/>
          <c:y val="0.24830708480869609"/>
          <c:w val="0.18499883347914844"/>
          <c:h val="0.58349631445769878"/>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90317876932051"/>
          <c:y val="3.6039751996944654E-2"/>
          <c:w val="0.69670205550148923"/>
          <c:h val="0.82343659138416081"/>
        </c:manualLayout>
      </c:layout>
      <c:barChart>
        <c:barDir val="col"/>
        <c:grouping val="stacked"/>
        <c:varyColors val="0"/>
        <c:ser>
          <c:idx val="0"/>
          <c:order val="0"/>
          <c:tx>
            <c:strRef>
              <c:f>Summary!$AB$7</c:f>
              <c:strCache>
                <c:ptCount val="1"/>
                <c:pt idx="0">
                  <c:v>Overdue </c:v>
                </c:pt>
              </c:strCache>
            </c:strRef>
          </c:tx>
          <c:spPr>
            <a:solidFill>
              <a:srgbClr val="FF0000"/>
            </a:solidFill>
          </c:spPr>
          <c:invertIfNegative val="0"/>
          <c:cat>
            <c:numRef>
              <c:f>Summary!$AC$6:$AO$6</c:f>
              <c:numCache>
                <c:formatCode>General</c:formatCode>
                <c:ptCount val="13"/>
                <c:pt idx="0">
                  <c:v>2411</c:v>
                </c:pt>
                <c:pt idx="1">
                  <c:v>2412</c:v>
                </c:pt>
                <c:pt idx="2">
                  <c:v>2413</c:v>
                </c:pt>
                <c:pt idx="3">
                  <c:v>2501</c:v>
                </c:pt>
                <c:pt idx="4">
                  <c:v>2502</c:v>
                </c:pt>
                <c:pt idx="5">
                  <c:v>2503</c:v>
                </c:pt>
                <c:pt idx="6">
                  <c:v>2504</c:v>
                </c:pt>
                <c:pt idx="7">
                  <c:v>2505</c:v>
                </c:pt>
                <c:pt idx="8">
                  <c:v>2506</c:v>
                </c:pt>
                <c:pt idx="9">
                  <c:v>2507</c:v>
                </c:pt>
                <c:pt idx="10">
                  <c:v>2508</c:v>
                </c:pt>
                <c:pt idx="11">
                  <c:v>2509</c:v>
                </c:pt>
                <c:pt idx="12">
                  <c:v>2510</c:v>
                </c:pt>
              </c:numCache>
            </c:numRef>
          </c:cat>
          <c:val>
            <c:numRef>
              <c:f>Summary!$AC$7:$AO$7</c:f>
              <c:numCache>
                <c:formatCode>General</c:formatCode>
                <c:ptCount val="13"/>
                <c:pt idx="0">
                  <c:v>0</c:v>
                </c:pt>
                <c:pt idx="1">
                  <c:v>0</c:v>
                </c:pt>
                <c:pt idx="2">
                  <c:v>0</c:v>
                </c:pt>
                <c:pt idx="3">
                  <c:v>0</c:v>
                </c:pt>
                <c:pt idx="4">
                  <c:v>1</c:v>
                </c:pt>
                <c:pt idx="5">
                  <c:v>0</c:v>
                </c:pt>
                <c:pt idx="6">
                  <c:v>1</c:v>
                </c:pt>
                <c:pt idx="7">
                  <c:v>0</c:v>
                </c:pt>
                <c:pt idx="8">
                  <c:v>0</c:v>
                </c:pt>
                <c:pt idx="9">
                  <c:v>0</c:v>
                </c:pt>
                <c:pt idx="10">
                  <c:v>1</c:v>
                </c:pt>
                <c:pt idx="11">
                  <c:v>0</c:v>
                </c:pt>
                <c:pt idx="12">
                  <c:v>3</c:v>
                </c:pt>
              </c:numCache>
            </c:numRef>
          </c:val>
          <c:extLst>
            <c:ext xmlns:c16="http://schemas.microsoft.com/office/drawing/2014/chart" uri="{C3380CC4-5D6E-409C-BE32-E72D297353CC}">
              <c16:uniqueId val="{00000000-50B4-46ED-BC23-7A30E6707524}"/>
            </c:ext>
          </c:extLst>
        </c:ser>
        <c:ser>
          <c:idx val="1"/>
          <c:order val="1"/>
          <c:tx>
            <c:strRef>
              <c:f>Summary!$AB$8</c:f>
              <c:strCache>
                <c:ptCount val="1"/>
                <c:pt idx="0">
                  <c:v>Open</c:v>
                </c:pt>
              </c:strCache>
            </c:strRef>
          </c:tx>
          <c:spPr>
            <a:solidFill>
              <a:schemeClr val="accent6"/>
            </a:solidFill>
          </c:spPr>
          <c:invertIfNegative val="0"/>
          <c:cat>
            <c:numRef>
              <c:f>Summary!$AC$6:$AO$6</c:f>
              <c:numCache>
                <c:formatCode>General</c:formatCode>
                <c:ptCount val="13"/>
                <c:pt idx="0">
                  <c:v>2411</c:v>
                </c:pt>
                <c:pt idx="1">
                  <c:v>2412</c:v>
                </c:pt>
                <c:pt idx="2">
                  <c:v>2413</c:v>
                </c:pt>
                <c:pt idx="3">
                  <c:v>2501</c:v>
                </c:pt>
                <c:pt idx="4">
                  <c:v>2502</c:v>
                </c:pt>
                <c:pt idx="5">
                  <c:v>2503</c:v>
                </c:pt>
                <c:pt idx="6">
                  <c:v>2504</c:v>
                </c:pt>
                <c:pt idx="7">
                  <c:v>2505</c:v>
                </c:pt>
                <c:pt idx="8">
                  <c:v>2506</c:v>
                </c:pt>
                <c:pt idx="9">
                  <c:v>2507</c:v>
                </c:pt>
                <c:pt idx="10">
                  <c:v>2508</c:v>
                </c:pt>
                <c:pt idx="11">
                  <c:v>2509</c:v>
                </c:pt>
                <c:pt idx="12">
                  <c:v>2510</c:v>
                </c:pt>
              </c:numCache>
            </c:numRef>
          </c:cat>
          <c:val>
            <c:numRef>
              <c:f>Summary!$AC$8:$AO$8</c:f>
              <c:numCache>
                <c:formatCode>General</c:formatCode>
                <c:ptCount val="13"/>
                <c:pt idx="0">
                  <c:v>0</c:v>
                </c:pt>
                <c:pt idx="1">
                  <c:v>0</c:v>
                </c:pt>
                <c:pt idx="2">
                  <c:v>0</c:v>
                </c:pt>
                <c:pt idx="3">
                  <c:v>0</c:v>
                </c:pt>
                <c:pt idx="4">
                  <c:v>0</c:v>
                </c:pt>
                <c:pt idx="5">
                  <c:v>0</c:v>
                </c:pt>
                <c:pt idx="6">
                  <c:v>0</c:v>
                </c:pt>
                <c:pt idx="7">
                  <c:v>0</c:v>
                </c:pt>
                <c:pt idx="8">
                  <c:v>1</c:v>
                </c:pt>
                <c:pt idx="9">
                  <c:v>0</c:v>
                </c:pt>
                <c:pt idx="10">
                  <c:v>0</c:v>
                </c:pt>
                <c:pt idx="11">
                  <c:v>1</c:v>
                </c:pt>
                <c:pt idx="12">
                  <c:v>0</c:v>
                </c:pt>
              </c:numCache>
            </c:numRef>
          </c:val>
          <c:extLst>
            <c:ext xmlns:c16="http://schemas.microsoft.com/office/drawing/2014/chart" uri="{C3380CC4-5D6E-409C-BE32-E72D297353CC}">
              <c16:uniqueId val="{00000001-50B4-46ED-BC23-7A30E6707524}"/>
            </c:ext>
          </c:extLst>
        </c:ser>
        <c:ser>
          <c:idx val="2"/>
          <c:order val="2"/>
          <c:tx>
            <c:strRef>
              <c:f>Summary!$AB$9</c:f>
              <c:strCache>
                <c:ptCount val="1"/>
                <c:pt idx="0">
                  <c:v>Closed</c:v>
                </c:pt>
              </c:strCache>
            </c:strRef>
          </c:tx>
          <c:invertIfNegative val="0"/>
          <c:cat>
            <c:numRef>
              <c:f>Summary!$AC$6:$AO$6</c:f>
              <c:numCache>
                <c:formatCode>General</c:formatCode>
                <c:ptCount val="13"/>
                <c:pt idx="0">
                  <c:v>2411</c:v>
                </c:pt>
                <c:pt idx="1">
                  <c:v>2412</c:v>
                </c:pt>
                <c:pt idx="2">
                  <c:v>2413</c:v>
                </c:pt>
                <c:pt idx="3">
                  <c:v>2501</c:v>
                </c:pt>
                <c:pt idx="4">
                  <c:v>2502</c:v>
                </c:pt>
                <c:pt idx="5">
                  <c:v>2503</c:v>
                </c:pt>
                <c:pt idx="6">
                  <c:v>2504</c:v>
                </c:pt>
                <c:pt idx="7">
                  <c:v>2505</c:v>
                </c:pt>
                <c:pt idx="8">
                  <c:v>2506</c:v>
                </c:pt>
                <c:pt idx="9">
                  <c:v>2507</c:v>
                </c:pt>
                <c:pt idx="10">
                  <c:v>2508</c:v>
                </c:pt>
                <c:pt idx="11">
                  <c:v>2509</c:v>
                </c:pt>
                <c:pt idx="12">
                  <c:v>2510</c:v>
                </c:pt>
              </c:numCache>
            </c:numRef>
          </c:cat>
          <c:val>
            <c:numRef>
              <c:f>Summary!$AC$9:$AO$9</c:f>
              <c:numCache>
                <c:formatCode>General</c:formatCode>
                <c:ptCount val="13"/>
                <c:pt idx="0">
                  <c:v>0</c:v>
                </c:pt>
                <c:pt idx="1">
                  <c:v>6</c:v>
                </c:pt>
                <c:pt idx="2">
                  <c:v>2</c:v>
                </c:pt>
                <c:pt idx="3">
                  <c:v>1</c:v>
                </c:pt>
                <c:pt idx="4">
                  <c:v>0</c:v>
                </c:pt>
                <c:pt idx="5">
                  <c:v>2</c:v>
                </c:pt>
                <c:pt idx="6">
                  <c:v>0</c:v>
                </c:pt>
                <c:pt idx="7">
                  <c:v>0</c:v>
                </c:pt>
                <c:pt idx="8">
                  <c:v>1</c:v>
                </c:pt>
                <c:pt idx="9">
                  <c:v>1</c:v>
                </c:pt>
                <c:pt idx="10">
                  <c:v>0</c:v>
                </c:pt>
                <c:pt idx="11">
                  <c:v>8</c:v>
                </c:pt>
                <c:pt idx="12">
                  <c:v>6</c:v>
                </c:pt>
              </c:numCache>
            </c:numRef>
          </c:val>
          <c:extLst>
            <c:ext xmlns:c16="http://schemas.microsoft.com/office/drawing/2014/chart" uri="{C3380CC4-5D6E-409C-BE32-E72D297353CC}">
              <c16:uniqueId val="{00000002-50B4-46ED-BC23-7A30E6707524}"/>
            </c:ext>
          </c:extLst>
        </c:ser>
        <c:dLbls>
          <c:showLegendKey val="0"/>
          <c:showVal val="0"/>
          <c:showCatName val="0"/>
          <c:showSerName val="0"/>
          <c:showPercent val="0"/>
          <c:showBubbleSize val="0"/>
        </c:dLbls>
        <c:gapWidth val="150"/>
        <c:overlap val="100"/>
        <c:axId val="128512768"/>
        <c:axId val="128514304"/>
      </c:barChart>
      <c:catAx>
        <c:axId val="128512768"/>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128514304"/>
        <c:crosses val="autoZero"/>
        <c:auto val="1"/>
        <c:lblAlgn val="ctr"/>
        <c:lblOffset val="100"/>
        <c:noMultiLvlLbl val="0"/>
      </c:catAx>
      <c:valAx>
        <c:axId val="128514304"/>
        <c:scaling>
          <c:orientation val="minMax"/>
        </c:scaling>
        <c:delete val="0"/>
        <c:axPos val="l"/>
        <c:majorGridlines/>
        <c:numFmt formatCode="General" sourceLinked="1"/>
        <c:majorTickMark val="out"/>
        <c:minorTickMark val="none"/>
        <c:tickLblPos val="nextTo"/>
        <c:crossAx val="128512768"/>
        <c:crosses val="autoZero"/>
        <c:crossBetween val="between"/>
      </c:valAx>
    </c:plotArea>
    <c:legend>
      <c:legendPos val="r"/>
      <c:layout>
        <c:manualLayout>
          <c:xMode val="edge"/>
          <c:yMode val="edge"/>
          <c:x val="0.80125571382228911"/>
          <c:y val="0.28792650918635171"/>
          <c:w val="0.18376301276947124"/>
          <c:h val="0.49999497068854415"/>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581042400353061E-2"/>
          <c:y val="2.7449474789990373E-2"/>
          <c:w val="0.75094005150971788"/>
          <c:h val="0.80690117330628919"/>
        </c:manualLayout>
      </c:layout>
      <c:barChart>
        <c:barDir val="col"/>
        <c:grouping val="stacked"/>
        <c:varyColors val="0"/>
        <c:ser>
          <c:idx val="1"/>
          <c:order val="0"/>
          <c:tx>
            <c:v>Surfing</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Data!$O$251:$AK$251</c:f>
              <c:numCache>
                <c:formatCode>General</c:formatCode>
                <c:ptCount val="23"/>
                <c:pt idx="0">
                  <c:v>1</c:v>
                </c:pt>
                <c:pt idx="1">
                  <c:v>0</c:v>
                </c:pt>
                <c:pt idx="2">
                  <c:v>4</c:v>
                </c:pt>
                <c:pt idx="3">
                  <c:v>0</c:v>
                </c:pt>
                <c:pt idx="4">
                  <c:v>0</c:v>
                </c:pt>
                <c:pt idx="5">
                  <c:v>0</c:v>
                </c:pt>
                <c:pt idx="6">
                  <c:v>3</c:v>
                </c:pt>
                <c:pt idx="7">
                  <c:v>0</c:v>
                </c:pt>
                <c:pt idx="8">
                  <c:v>1</c:v>
                </c:pt>
                <c:pt idx="9">
                  <c:v>1</c:v>
                </c:pt>
                <c:pt idx="10">
                  <c:v>2</c:v>
                </c:pt>
                <c:pt idx="11">
                  <c:v>0</c:v>
                </c:pt>
                <c:pt idx="12">
                  <c:v>1</c:v>
                </c:pt>
                <c:pt idx="13">
                  <c:v>0</c:v>
                </c:pt>
                <c:pt idx="14">
                  <c:v>0</c:v>
                </c:pt>
                <c:pt idx="15">
                  <c:v>1</c:v>
                </c:pt>
                <c:pt idx="16">
                  <c:v>2</c:v>
                </c:pt>
                <c:pt idx="17">
                  <c:v>0</c:v>
                </c:pt>
                <c:pt idx="18">
                  <c:v>1</c:v>
                </c:pt>
                <c:pt idx="19">
                  <c:v>1</c:v>
                </c:pt>
                <c:pt idx="20">
                  <c:v>4</c:v>
                </c:pt>
                <c:pt idx="21">
                  <c:v>1</c:v>
                </c:pt>
                <c:pt idx="22">
                  <c:v>0</c:v>
                </c:pt>
              </c:numCache>
            </c:numRef>
          </c:val>
          <c:extLst>
            <c:ext xmlns:c16="http://schemas.microsoft.com/office/drawing/2014/chart" uri="{C3380CC4-5D6E-409C-BE32-E72D297353CC}">
              <c16:uniqueId val="{00000000-043B-403E-AC9A-33F45F410E04}"/>
            </c:ext>
          </c:extLst>
        </c:ser>
        <c:dLbls>
          <c:showLegendKey val="0"/>
          <c:showVal val="0"/>
          <c:showCatName val="0"/>
          <c:showSerName val="0"/>
          <c:showPercent val="0"/>
          <c:showBubbleSize val="0"/>
        </c:dLbls>
        <c:gapWidth val="150"/>
        <c:overlap val="100"/>
        <c:axId val="128226048"/>
        <c:axId val="128227584"/>
      </c:barChart>
      <c:lineChart>
        <c:grouping val="standard"/>
        <c:varyColors val="0"/>
        <c:ser>
          <c:idx val="3"/>
          <c:order val="1"/>
          <c:tx>
            <c:v>Surfing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Data!$O$252:$AK$252</c:f>
              <c:numCache>
                <c:formatCode>0.00</c:formatCode>
                <c:ptCount val="23"/>
                <c:pt idx="0">
                  <c:v>0.15384615384615385</c:v>
                </c:pt>
                <c:pt idx="1">
                  <c:v>0.15384615384615385</c:v>
                </c:pt>
                <c:pt idx="2">
                  <c:v>0.46153846153846156</c:v>
                </c:pt>
                <c:pt idx="3">
                  <c:v>0.46153846153846156</c:v>
                </c:pt>
                <c:pt idx="4">
                  <c:v>0.46153846153846156</c:v>
                </c:pt>
                <c:pt idx="5">
                  <c:v>0.46153846153846156</c:v>
                </c:pt>
                <c:pt idx="6">
                  <c:v>0.69230769230769229</c:v>
                </c:pt>
                <c:pt idx="7">
                  <c:v>0.69230769230769229</c:v>
                </c:pt>
                <c:pt idx="8">
                  <c:v>0.76923076923076927</c:v>
                </c:pt>
                <c:pt idx="9">
                  <c:v>0.84615384615384615</c:v>
                </c:pt>
                <c:pt idx="10">
                  <c:v>0.92307692307692313</c:v>
                </c:pt>
                <c:pt idx="11">
                  <c:v>0.92307692307692313</c:v>
                </c:pt>
                <c:pt idx="12">
                  <c:v>1</c:v>
                </c:pt>
                <c:pt idx="13">
                  <c:v>0.92307692307692313</c:v>
                </c:pt>
                <c:pt idx="14">
                  <c:v>0.92307692307692313</c:v>
                </c:pt>
                <c:pt idx="15">
                  <c:v>0.69230769230769229</c:v>
                </c:pt>
                <c:pt idx="16">
                  <c:v>0.84615384615384615</c:v>
                </c:pt>
                <c:pt idx="17">
                  <c:v>0.84615384615384615</c:v>
                </c:pt>
                <c:pt idx="18">
                  <c:v>0.92307692307692313</c:v>
                </c:pt>
                <c:pt idx="19">
                  <c:v>0.76923076923076927</c:v>
                </c:pt>
                <c:pt idx="20">
                  <c:v>1.0769230769230769</c:v>
                </c:pt>
                <c:pt idx="21">
                  <c:v>1.0769230769230769</c:v>
                </c:pt>
                <c:pt idx="22">
                  <c:v>1</c:v>
                </c:pt>
              </c:numCache>
            </c:numRef>
          </c:val>
          <c:smooth val="0"/>
          <c:extLst>
            <c:ext xmlns:c16="http://schemas.microsoft.com/office/drawing/2014/chart" uri="{C3380CC4-5D6E-409C-BE32-E72D297353CC}">
              <c16:uniqueId val="{00000001-043B-403E-AC9A-33F45F410E04}"/>
            </c:ext>
          </c:extLst>
        </c:ser>
        <c:dLbls>
          <c:showLegendKey val="0"/>
          <c:showVal val="0"/>
          <c:showCatName val="0"/>
          <c:showSerName val="0"/>
          <c:showPercent val="0"/>
          <c:showBubbleSize val="0"/>
        </c:dLbls>
        <c:marker val="1"/>
        <c:smooth val="0"/>
        <c:axId val="128226048"/>
        <c:axId val="128227584"/>
      </c:lineChart>
      <c:catAx>
        <c:axId val="128226048"/>
        <c:scaling>
          <c:orientation val="minMax"/>
        </c:scaling>
        <c:delete val="0"/>
        <c:axPos val="b"/>
        <c:numFmt formatCode="General" sourceLinked="1"/>
        <c:majorTickMark val="out"/>
        <c:minorTickMark val="none"/>
        <c:tickLblPos val="nextTo"/>
        <c:crossAx val="128227584"/>
        <c:crosses val="autoZero"/>
        <c:auto val="1"/>
        <c:lblAlgn val="ctr"/>
        <c:lblOffset val="100"/>
        <c:noMultiLvlLbl val="0"/>
      </c:catAx>
      <c:valAx>
        <c:axId val="128227584"/>
        <c:scaling>
          <c:orientation val="minMax"/>
        </c:scaling>
        <c:delete val="0"/>
        <c:axPos val="l"/>
        <c:majorGridlines/>
        <c:numFmt formatCode="General" sourceLinked="1"/>
        <c:majorTickMark val="out"/>
        <c:minorTickMark val="none"/>
        <c:tickLblPos val="nextTo"/>
        <c:crossAx val="128226048"/>
        <c:crosses val="autoZero"/>
        <c:crossBetween val="between"/>
      </c:valAx>
    </c:plotArea>
    <c:legend>
      <c:legendPos val="r"/>
      <c:layout>
        <c:manualLayout>
          <c:xMode val="edge"/>
          <c:yMode val="edge"/>
          <c:x val="0.85253688190429311"/>
          <c:y val="9.7572027976136733E-2"/>
          <c:w val="0.14491442199657353"/>
          <c:h val="0.4648758363000704"/>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74473376147094E-2"/>
          <c:y val="6.9340029804915951E-2"/>
          <c:w val="0.77508324408155571"/>
          <c:h val="0.72976680014773398"/>
        </c:manualLayout>
      </c:layout>
      <c:barChart>
        <c:barDir val="col"/>
        <c:grouping val="stacked"/>
        <c:varyColors val="0"/>
        <c:ser>
          <c:idx val="0"/>
          <c:order val="0"/>
          <c:tx>
            <c:v>Derailment</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Data!$O$239:$AK$239</c:f>
              <c:numCache>
                <c:formatCode>General</c:formatCode>
                <c:ptCount val="23"/>
                <c:pt idx="0">
                  <c:v>1</c:v>
                </c:pt>
                <c:pt idx="1">
                  <c:v>2</c:v>
                </c:pt>
                <c:pt idx="2">
                  <c:v>0</c:v>
                </c:pt>
                <c:pt idx="3">
                  <c:v>0</c:v>
                </c:pt>
                <c:pt idx="4">
                  <c:v>0</c:v>
                </c:pt>
                <c:pt idx="5">
                  <c:v>0</c:v>
                </c:pt>
                <c:pt idx="6">
                  <c:v>0</c:v>
                </c:pt>
                <c:pt idx="7">
                  <c:v>0</c:v>
                </c:pt>
                <c:pt idx="8">
                  <c:v>0</c:v>
                </c:pt>
                <c:pt idx="9">
                  <c:v>0</c:v>
                </c:pt>
                <c:pt idx="10">
                  <c:v>1</c:v>
                </c:pt>
                <c:pt idx="11">
                  <c:v>0</c:v>
                </c:pt>
                <c:pt idx="12">
                  <c:v>0</c:v>
                </c:pt>
                <c:pt idx="13">
                  <c:v>0</c:v>
                </c:pt>
                <c:pt idx="14">
                  <c:v>0</c:v>
                </c:pt>
                <c:pt idx="15">
                  <c:v>1</c:v>
                </c:pt>
                <c:pt idx="16">
                  <c:v>0</c:v>
                </c:pt>
                <c:pt idx="17">
                  <c:v>0</c:v>
                </c:pt>
                <c:pt idx="18">
                  <c:v>0</c:v>
                </c:pt>
                <c:pt idx="19">
                  <c:v>0</c:v>
                </c:pt>
                <c:pt idx="20">
                  <c:v>2</c:v>
                </c:pt>
                <c:pt idx="21">
                  <c:v>0</c:v>
                </c:pt>
                <c:pt idx="22">
                  <c:v>0</c:v>
                </c:pt>
              </c:numCache>
            </c:numRef>
          </c:val>
          <c:extLst>
            <c:ext xmlns:c16="http://schemas.microsoft.com/office/drawing/2014/chart" uri="{C3380CC4-5D6E-409C-BE32-E72D297353CC}">
              <c16:uniqueId val="{00000000-571B-4C47-ADA1-519060BB5DA7}"/>
            </c:ext>
          </c:extLst>
        </c:ser>
        <c:ser>
          <c:idx val="2"/>
          <c:order val="3"/>
          <c:tx>
            <c:v>Major - PTC</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Data!$O$243:$AK$243</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2-571B-4C47-ADA1-519060BB5DA7}"/>
            </c:ext>
          </c:extLst>
        </c:ser>
        <c:ser>
          <c:idx val="4"/>
          <c:order val="4"/>
          <c:tx>
            <c:v>Major - RTC</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Data!$O$245:$AK$245</c:f>
              <c:numCache>
                <c:formatCode>General</c:formatCode>
                <c:ptCount val="23"/>
                <c:pt idx="0">
                  <c:v>0</c:v>
                </c:pt>
                <c:pt idx="1">
                  <c:v>0</c:v>
                </c:pt>
                <c:pt idx="2">
                  <c:v>0</c:v>
                </c:pt>
                <c:pt idx="3">
                  <c:v>0</c:v>
                </c:pt>
                <c:pt idx="4">
                  <c:v>0</c:v>
                </c:pt>
                <c:pt idx="5">
                  <c:v>1</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3-571B-4C47-ADA1-519060BB5DA7}"/>
            </c:ext>
          </c:extLst>
        </c:ser>
        <c:ser>
          <c:idx val="5"/>
          <c:order val="5"/>
          <c:tx>
            <c:v>Door Open in Traffic</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Data!$B$247:$AK$247</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4-571B-4C47-ADA1-519060BB5DA7}"/>
            </c:ext>
          </c:extLst>
        </c:ser>
        <c:dLbls>
          <c:showLegendKey val="0"/>
          <c:showVal val="0"/>
          <c:showCatName val="0"/>
          <c:showSerName val="0"/>
          <c:showPercent val="0"/>
          <c:showBubbleSize val="0"/>
        </c:dLbls>
        <c:gapWidth val="150"/>
        <c:overlap val="100"/>
        <c:axId val="128291968"/>
        <c:axId val="128293504"/>
        <c:extLst>
          <c:ext xmlns:c15="http://schemas.microsoft.com/office/drawing/2012/chart" uri="{02D57815-91ED-43cb-92C2-25804820EDAC}">
            <c15:filteredBarSeries>
              <c15:ser>
                <c:idx val="1"/>
                <c:order val="1"/>
                <c:tx>
                  <c:v>Signal Passed Against Bar</c:v>
                </c:tx>
                <c:invertIfNegative val="0"/>
                <c:cat>
                  <c:numRef>
                    <c:extLst>
                      <c:ext uri="{02D57815-91ED-43cb-92C2-25804820EDAC}">
                        <c15:formulaRef>
                          <c15:sqref>Data!$O$4:$AK$4</c15:sqref>
                        </c15:formulaRef>
                      </c:ext>
                    </c:extLst>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extLst>
                      <c:ext uri="{02D57815-91ED-43cb-92C2-25804820EDAC}">
                        <c15:formulaRef>
                          <c15:sqref>Data!$B$241:$M$241</c15:sqref>
                        </c15:formulaRef>
                      </c:ext>
                    </c:extLst>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571B-4C47-ADA1-519060BB5DA7}"/>
                  </c:ext>
                </c:extLst>
              </c15:ser>
            </c15:filteredBarSeries>
            <c15:filteredBarSeries>
              <c15:ser>
                <c:idx val="6"/>
                <c:order val="6"/>
                <c:tx>
                  <c:v>Fire</c:v>
                </c:tx>
                <c:invertIfNegative val="0"/>
                <c:cat>
                  <c:numRef>
                    <c:extLst xmlns:c15="http://schemas.microsoft.com/office/drawing/2012/chart">
                      <c:ext xmlns:c15="http://schemas.microsoft.com/office/drawing/2012/chart" uri="{02D57815-91ED-43cb-92C2-25804820EDAC}">
                        <c15:formulaRef>
                          <c15:sqref>Data!$O$4:$AK$4</c15:sqref>
                        </c15:formulaRef>
                      </c:ext>
                    </c:extLst>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extLst xmlns:c15="http://schemas.microsoft.com/office/drawing/2012/chart">
                      <c:ext xmlns:c15="http://schemas.microsoft.com/office/drawing/2012/chart" uri="{02D57815-91ED-43cb-92C2-25804820EDAC}">
                        <c15:formulaRef>
                          <c15:sqref>Data!$O$249:$AK$249</c15:sqref>
                        </c15:formulaRef>
                      </c:ext>
                    </c:extLst>
                    <c:numCache>
                      <c:formatCode>General</c:formatCode>
                      <c:ptCount val="23"/>
                      <c:pt idx="0">
                        <c:v>0</c:v>
                      </c:pt>
                      <c:pt idx="1">
                        <c:v>1</c:v>
                      </c:pt>
                      <c:pt idx="2">
                        <c:v>0</c:v>
                      </c:pt>
                      <c:pt idx="3">
                        <c:v>0</c:v>
                      </c:pt>
                      <c:pt idx="4">
                        <c:v>0</c:v>
                      </c:pt>
                      <c:pt idx="5">
                        <c:v>0</c:v>
                      </c:pt>
                      <c:pt idx="6">
                        <c:v>0</c:v>
                      </c:pt>
                      <c:pt idx="7">
                        <c:v>0</c:v>
                      </c:pt>
                      <c:pt idx="8">
                        <c:v>0</c:v>
                      </c:pt>
                      <c:pt idx="9">
                        <c:v>0</c:v>
                      </c:pt>
                      <c:pt idx="10">
                        <c:v>0</c:v>
                      </c:pt>
                      <c:pt idx="11">
                        <c:v>1</c:v>
                      </c:pt>
                      <c:pt idx="12">
                        <c:v>1</c:v>
                      </c:pt>
                      <c:pt idx="13">
                        <c:v>0</c:v>
                      </c:pt>
                      <c:pt idx="14">
                        <c:v>1</c:v>
                      </c:pt>
                      <c:pt idx="15">
                        <c:v>0</c:v>
                      </c:pt>
                      <c:pt idx="16">
                        <c:v>0</c:v>
                      </c:pt>
                      <c:pt idx="17">
                        <c:v>0</c:v>
                      </c:pt>
                      <c:pt idx="18">
                        <c:v>0</c:v>
                      </c:pt>
                      <c:pt idx="19">
                        <c:v>0</c:v>
                      </c:pt>
                      <c:pt idx="20">
                        <c:v>0</c:v>
                      </c:pt>
                      <c:pt idx="21">
                        <c:v>0</c:v>
                      </c:pt>
                      <c:pt idx="22">
                        <c:v>0</c:v>
                      </c:pt>
                    </c:numCache>
                  </c:numRef>
                </c:val>
                <c:extLst xmlns:c15="http://schemas.microsoft.com/office/drawing/2012/chart">
                  <c:ext xmlns:c16="http://schemas.microsoft.com/office/drawing/2014/chart" uri="{C3380CC4-5D6E-409C-BE32-E72D297353CC}">
                    <c16:uniqueId val="{00000005-571B-4C47-ADA1-519060BB5DA7}"/>
                  </c:ext>
                </c:extLst>
              </c15:ser>
            </c15:filteredBarSeries>
          </c:ext>
        </c:extLst>
      </c:barChart>
      <c:lineChart>
        <c:grouping val="standard"/>
        <c:varyColors val="0"/>
        <c:ser>
          <c:idx val="3"/>
          <c:order val="2"/>
          <c:tx>
            <c:v>High Risk Operational Incidents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Data!$O$254:$AK$254</c:f>
              <c:numCache>
                <c:formatCode>0.00</c:formatCode>
                <c:ptCount val="23"/>
                <c:pt idx="0">
                  <c:v>0.15384615384615385</c:v>
                </c:pt>
                <c:pt idx="1">
                  <c:v>0.38461538461538464</c:v>
                </c:pt>
                <c:pt idx="2">
                  <c:v>0.38461538461538464</c:v>
                </c:pt>
                <c:pt idx="3">
                  <c:v>0.38461538461538464</c:v>
                </c:pt>
                <c:pt idx="4">
                  <c:v>0.38461538461538464</c:v>
                </c:pt>
                <c:pt idx="5">
                  <c:v>0.46153846153846156</c:v>
                </c:pt>
                <c:pt idx="6">
                  <c:v>0.46153846153846156</c:v>
                </c:pt>
                <c:pt idx="7">
                  <c:v>0.46153846153846156</c:v>
                </c:pt>
                <c:pt idx="8">
                  <c:v>0.38461538461538464</c:v>
                </c:pt>
                <c:pt idx="9">
                  <c:v>0.38461538461538464</c:v>
                </c:pt>
                <c:pt idx="10">
                  <c:v>0.53846153846153844</c:v>
                </c:pt>
                <c:pt idx="11">
                  <c:v>0.61538461538461542</c:v>
                </c:pt>
                <c:pt idx="12">
                  <c:v>0.69230769230769229</c:v>
                </c:pt>
                <c:pt idx="13">
                  <c:v>0.61538461538461542</c:v>
                </c:pt>
                <c:pt idx="14">
                  <c:v>0.46153846153846156</c:v>
                </c:pt>
                <c:pt idx="15">
                  <c:v>0.53846153846153844</c:v>
                </c:pt>
                <c:pt idx="16">
                  <c:v>0.53846153846153844</c:v>
                </c:pt>
                <c:pt idx="17">
                  <c:v>0.53846153846153844</c:v>
                </c:pt>
                <c:pt idx="18">
                  <c:v>0.46153846153846156</c:v>
                </c:pt>
                <c:pt idx="19">
                  <c:v>0.46153846153846156</c:v>
                </c:pt>
                <c:pt idx="20">
                  <c:v>0.61538461538461542</c:v>
                </c:pt>
                <c:pt idx="21">
                  <c:v>0.61538461538461542</c:v>
                </c:pt>
                <c:pt idx="22">
                  <c:v>0.61538461538461542</c:v>
                </c:pt>
              </c:numCache>
            </c:numRef>
          </c:val>
          <c:smooth val="0"/>
          <c:extLst>
            <c:ext xmlns:c16="http://schemas.microsoft.com/office/drawing/2014/chart" uri="{C3380CC4-5D6E-409C-BE32-E72D297353CC}">
              <c16:uniqueId val="{00000006-571B-4C47-ADA1-519060BB5DA7}"/>
            </c:ext>
          </c:extLst>
        </c:ser>
        <c:dLbls>
          <c:showLegendKey val="0"/>
          <c:showVal val="0"/>
          <c:showCatName val="0"/>
          <c:showSerName val="0"/>
          <c:showPercent val="0"/>
          <c:showBubbleSize val="0"/>
        </c:dLbls>
        <c:marker val="1"/>
        <c:smooth val="0"/>
        <c:axId val="128291968"/>
        <c:axId val="128293504"/>
      </c:lineChart>
      <c:catAx>
        <c:axId val="128291968"/>
        <c:scaling>
          <c:orientation val="minMax"/>
        </c:scaling>
        <c:delete val="0"/>
        <c:axPos val="b"/>
        <c:numFmt formatCode="General" sourceLinked="1"/>
        <c:majorTickMark val="out"/>
        <c:minorTickMark val="none"/>
        <c:tickLblPos val="nextTo"/>
        <c:txPr>
          <a:bodyPr/>
          <a:lstStyle/>
          <a:p>
            <a:pPr>
              <a:defRPr sz="1100"/>
            </a:pPr>
            <a:endParaRPr lang="en-US"/>
          </a:p>
        </c:txPr>
        <c:crossAx val="128293504"/>
        <c:crosses val="autoZero"/>
        <c:auto val="1"/>
        <c:lblAlgn val="ctr"/>
        <c:lblOffset val="100"/>
        <c:noMultiLvlLbl val="0"/>
      </c:catAx>
      <c:valAx>
        <c:axId val="128293504"/>
        <c:scaling>
          <c:orientation val="minMax"/>
        </c:scaling>
        <c:delete val="0"/>
        <c:axPos val="l"/>
        <c:majorGridlines/>
        <c:numFmt formatCode="General" sourceLinked="1"/>
        <c:majorTickMark val="out"/>
        <c:minorTickMark val="none"/>
        <c:tickLblPos val="nextTo"/>
        <c:crossAx val="128291968"/>
        <c:crosses val="autoZero"/>
        <c:crossBetween val="between"/>
      </c:valAx>
    </c:plotArea>
    <c:legend>
      <c:legendPos val="r"/>
      <c:legendEntry>
        <c:idx val="0"/>
        <c:txPr>
          <a:bodyPr/>
          <a:lstStyle/>
          <a:p>
            <a:pPr>
              <a:defRPr sz="900"/>
            </a:pPr>
            <a:endParaRPr lang="en-US"/>
          </a:p>
        </c:txPr>
      </c:legendEntry>
      <c:legendEntry>
        <c:idx val="1"/>
        <c:txPr>
          <a:bodyPr/>
          <a:lstStyle/>
          <a:p>
            <a:pPr>
              <a:defRPr sz="900"/>
            </a:pPr>
            <a:endParaRPr lang="en-US"/>
          </a:p>
        </c:txPr>
      </c:legendEntry>
      <c:legendEntry>
        <c:idx val="2"/>
        <c:txPr>
          <a:bodyPr/>
          <a:lstStyle/>
          <a:p>
            <a:pPr>
              <a:defRPr sz="900"/>
            </a:pPr>
            <a:endParaRPr lang="en-US"/>
          </a:p>
        </c:txPr>
      </c:legendEntry>
      <c:legendEntry>
        <c:idx val="3"/>
        <c:txPr>
          <a:bodyPr/>
          <a:lstStyle/>
          <a:p>
            <a:pPr>
              <a:defRPr sz="900"/>
            </a:pPr>
            <a:endParaRPr lang="en-US"/>
          </a:p>
        </c:txPr>
      </c:legendEntry>
      <c:legendEntry>
        <c:idx val="4"/>
        <c:txPr>
          <a:bodyPr/>
          <a:lstStyle/>
          <a:p>
            <a:pPr>
              <a:defRPr sz="900"/>
            </a:pPr>
            <a:endParaRPr lang="en-US"/>
          </a:p>
        </c:txPr>
      </c:legendEntry>
      <c:layout>
        <c:manualLayout>
          <c:xMode val="edge"/>
          <c:yMode val="edge"/>
          <c:x val="0.87020915941593213"/>
          <c:y val="4.5600766029884623E-2"/>
          <c:w val="0.12771862192934996"/>
          <c:h val="0.9518070678320578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6433701601253335E-2"/>
          <c:y val="5.5249377419150758E-2"/>
          <c:w val="0.70552371236996181"/>
          <c:h val="0.81223684543636365"/>
        </c:manualLayout>
      </c:layout>
      <c:barChart>
        <c:barDir val="col"/>
        <c:grouping val="stacked"/>
        <c:varyColors val="0"/>
        <c:ser>
          <c:idx val="1"/>
          <c:order val="0"/>
          <c:tx>
            <c:v>Movement</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Data!$O$9:$AK$9</c:f>
              <c:numCache>
                <c:formatCode>General</c:formatCode>
                <c:ptCount val="23"/>
                <c:pt idx="0">
                  <c:v>9</c:v>
                </c:pt>
                <c:pt idx="1">
                  <c:v>6</c:v>
                </c:pt>
                <c:pt idx="2">
                  <c:v>9</c:v>
                </c:pt>
                <c:pt idx="3">
                  <c:v>6</c:v>
                </c:pt>
                <c:pt idx="4">
                  <c:v>3</c:v>
                </c:pt>
                <c:pt idx="5">
                  <c:v>7</c:v>
                </c:pt>
                <c:pt idx="6">
                  <c:v>7</c:v>
                </c:pt>
                <c:pt idx="7">
                  <c:v>4</c:v>
                </c:pt>
                <c:pt idx="8">
                  <c:v>7</c:v>
                </c:pt>
                <c:pt idx="9">
                  <c:v>8</c:v>
                </c:pt>
                <c:pt idx="10">
                  <c:v>4</c:v>
                </c:pt>
                <c:pt idx="11">
                  <c:v>0</c:v>
                </c:pt>
                <c:pt idx="12">
                  <c:v>0</c:v>
                </c:pt>
                <c:pt idx="13">
                  <c:v>0</c:v>
                </c:pt>
                <c:pt idx="14">
                  <c:v>1</c:v>
                </c:pt>
                <c:pt idx="15">
                  <c:v>4</c:v>
                </c:pt>
                <c:pt idx="16">
                  <c:v>6</c:v>
                </c:pt>
                <c:pt idx="17">
                  <c:v>1</c:v>
                </c:pt>
                <c:pt idx="18">
                  <c:v>6</c:v>
                </c:pt>
                <c:pt idx="19">
                  <c:v>5</c:v>
                </c:pt>
                <c:pt idx="20">
                  <c:v>8</c:v>
                </c:pt>
                <c:pt idx="21">
                  <c:v>9</c:v>
                </c:pt>
                <c:pt idx="22">
                  <c:v>3</c:v>
                </c:pt>
              </c:numCache>
            </c:numRef>
          </c:val>
          <c:extLst>
            <c:ext xmlns:c16="http://schemas.microsoft.com/office/drawing/2014/chart" uri="{C3380CC4-5D6E-409C-BE32-E72D297353CC}">
              <c16:uniqueId val="{00000000-4EE6-4465-B7CB-A6726BE1E8E5}"/>
            </c:ext>
          </c:extLst>
        </c:ser>
        <c:dLbls>
          <c:showLegendKey val="0"/>
          <c:showVal val="0"/>
          <c:showCatName val="0"/>
          <c:showSerName val="0"/>
          <c:showPercent val="0"/>
          <c:showBubbleSize val="0"/>
        </c:dLbls>
        <c:gapWidth val="150"/>
        <c:overlap val="100"/>
        <c:axId val="128847232"/>
        <c:axId val="128849024"/>
      </c:barChart>
      <c:lineChart>
        <c:grouping val="standard"/>
        <c:varyColors val="0"/>
        <c:ser>
          <c:idx val="3"/>
          <c:order val="1"/>
          <c:tx>
            <c:v>Movement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Data!$O$25:$AK$25</c:f>
              <c:numCache>
                <c:formatCode>0.00</c:formatCode>
                <c:ptCount val="23"/>
                <c:pt idx="0">
                  <c:v>2.0769230769230771</c:v>
                </c:pt>
                <c:pt idx="1">
                  <c:v>2.5384615384615383</c:v>
                </c:pt>
                <c:pt idx="2">
                  <c:v>3.2307692307692308</c:v>
                </c:pt>
                <c:pt idx="3">
                  <c:v>3.6923076923076925</c:v>
                </c:pt>
                <c:pt idx="4">
                  <c:v>3.9230769230769229</c:v>
                </c:pt>
                <c:pt idx="5">
                  <c:v>4.4615384615384617</c:v>
                </c:pt>
                <c:pt idx="6">
                  <c:v>5</c:v>
                </c:pt>
                <c:pt idx="7">
                  <c:v>5.3076923076923075</c:v>
                </c:pt>
                <c:pt idx="8">
                  <c:v>5.7692307692307692</c:v>
                </c:pt>
                <c:pt idx="9">
                  <c:v>6.1538461538461542</c:v>
                </c:pt>
                <c:pt idx="10">
                  <c:v>5.9230769230769234</c:v>
                </c:pt>
                <c:pt idx="11">
                  <c:v>5.384615384615385</c:v>
                </c:pt>
                <c:pt idx="12">
                  <c:v>5.384615384615385</c:v>
                </c:pt>
                <c:pt idx="13">
                  <c:v>4.6923076923076925</c:v>
                </c:pt>
                <c:pt idx="14">
                  <c:v>4.3076923076923075</c:v>
                </c:pt>
                <c:pt idx="15">
                  <c:v>3.9230769230769229</c:v>
                </c:pt>
                <c:pt idx="16">
                  <c:v>3.9230769230769229</c:v>
                </c:pt>
                <c:pt idx="17">
                  <c:v>3.7692307692307692</c:v>
                </c:pt>
                <c:pt idx="18">
                  <c:v>3.6923076923076925</c:v>
                </c:pt>
                <c:pt idx="19">
                  <c:v>3.5384615384615383</c:v>
                </c:pt>
                <c:pt idx="20">
                  <c:v>3.8461538461538463</c:v>
                </c:pt>
                <c:pt idx="21">
                  <c:v>4</c:v>
                </c:pt>
                <c:pt idx="22">
                  <c:v>3.6153846153846154</c:v>
                </c:pt>
              </c:numCache>
            </c:numRef>
          </c:val>
          <c:smooth val="0"/>
          <c:extLst>
            <c:ext xmlns:c16="http://schemas.microsoft.com/office/drawing/2014/chart" uri="{C3380CC4-5D6E-409C-BE32-E72D297353CC}">
              <c16:uniqueId val="{00000001-4EE6-4465-B7CB-A6726BE1E8E5}"/>
            </c:ext>
          </c:extLst>
        </c:ser>
        <c:dLbls>
          <c:showLegendKey val="0"/>
          <c:showVal val="0"/>
          <c:showCatName val="0"/>
          <c:showSerName val="0"/>
          <c:showPercent val="0"/>
          <c:showBubbleSize val="0"/>
        </c:dLbls>
        <c:marker val="1"/>
        <c:smooth val="0"/>
        <c:axId val="128847232"/>
        <c:axId val="128849024"/>
      </c:lineChart>
      <c:catAx>
        <c:axId val="128847232"/>
        <c:scaling>
          <c:orientation val="minMax"/>
        </c:scaling>
        <c:delete val="0"/>
        <c:axPos val="b"/>
        <c:numFmt formatCode="General" sourceLinked="1"/>
        <c:majorTickMark val="out"/>
        <c:minorTickMark val="none"/>
        <c:tickLblPos val="nextTo"/>
        <c:txPr>
          <a:bodyPr/>
          <a:lstStyle/>
          <a:p>
            <a:pPr>
              <a:defRPr sz="800"/>
            </a:pPr>
            <a:endParaRPr lang="en-US"/>
          </a:p>
        </c:txPr>
        <c:crossAx val="128849024"/>
        <c:crosses val="autoZero"/>
        <c:auto val="1"/>
        <c:lblAlgn val="ctr"/>
        <c:lblOffset val="100"/>
        <c:noMultiLvlLbl val="0"/>
      </c:catAx>
      <c:valAx>
        <c:axId val="128849024"/>
        <c:scaling>
          <c:orientation val="minMax"/>
        </c:scaling>
        <c:delete val="0"/>
        <c:axPos val="l"/>
        <c:majorGridlines/>
        <c:numFmt formatCode="General" sourceLinked="1"/>
        <c:majorTickMark val="out"/>
        <c:minorTickMark val="none"/>
        <c:tickLblPos val="nextTo"/>
        <c:crossAx val="128847232"/>
        <c:crosses val="autoZero"/>
        <c:crossBetween val="between"/>
      </c:valAx>
    </c:plotArea>
    <c:legend>
      <c:legendPos val="r"/>
      <c:layout>
        <c:manualLayout>
          <c:xMode val="edge"/>
          <c:yMode val="edge"/>
          <c:x val="0.81156677398022903"/>
          <c:y val="0.2549921709772463"/>
          <c:w val="0.17307807776948983"/>
          <c:h val="0.31522535834056475"/>
        </c:manualLayout>
      </c:layout>
      <c:overlay val="0"/>
      <c:txPr>
        <a:bodyPr/>
        <a:lstStyle/>
        <a:p>
          <a:pPr>
            <a:defRPr sz="800"/>
          </a:pPr>
          <a:endParaRPr lang="en-US"/>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84428442300207E-2"/>
          <c:y val="3.600865300448447E-2"/>
          <c:w val="0.63286400752470895"/>
          <c:h val="0.79704754614069762"/>
        </c:manualLayout>
      </c:layout>
      <c:barChart>
        <c:barDir val="col"/>
        <c:grouping val="stacked"/>
        <c:varyColors val="0"/>
        <c:ser>
          <c:idx val="1"/>
          <c:order val="0"/>
          <c:tx>
            <c:v>Near Miss</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Data!$O$218:$AK$218</c:f>
              <c:numCache>
                <c:formatCode>General</c:formatCode>
                <c:ptCount val="23"/>
                <c:pt idx="0">
                  <c:v>6</c:v>
                </c:pt>
                <c:pt idx="1">
                  <c:v>6</c:v>
                </c:pt>
                <c:pt idx="2">
                  <c:v>7</c:v>
                </c:pt>
                <c:pt idx="3">
                  <c:v>5</c:v>
                </c:pt>
                <c:pt idx="4">
                  <c:v>6</c:v>
                </c:pt>
                <c:pt idx="5">
                  <c:v>6</c:v>
                </c:pt>
                <c:pt idx="6">
                  <c:v>7</c:v>
                </c:pt>
                <c:pt idx="7">
                  <c:v>4</c:v>
                </c:pt>
                <c:pt idx="8">
                  <c:v>12</c:v>
                </c:pt>
                <c:pt idx="9">
                  <c:v>5</c:v>
                </c:pt>
                <c:pt idx="10">
                  <c:v>11</c:v>
                </c:pt>
                <c:pt idx="11">
                  <c:v>4</c:v>
                </c:pt>
                <c:pt idx="12">
                  <c:v>5</c:v>
                </c:pt>
                <c:pt idx="13">
                  <c:v>11</c:v>
                </c:pt>
                <c:pt idx="14">
                  <c:v>6</c:v>
                </c:pt>
                <c:pt idx="15">
                  <c:v>4</c:v>
                </c:pt>
                <c:pt idx="16">
                  <c:v>2</c:v>
                </c:pt>
                <c:pt idx="17">
                  <c:v>2</c:v>
                </c:pt>
                <c:pt idx="18">
                  <c:v>3</c:v>
                </c:pt>
                <c:pt idx="19">
                  <c:v>4</c:v>
                </c:pt>
                <c:pt idx="20">
                  <c:v>3</c:v>
                </c:pt>
                <c:pt idx="21">
                  <c:v>7</c:v>
                </c:pt>
                <c:pt idx="22">
                  <c:v>0</c:v>
                </c:pt>
              </c:numCache>
            </c:numRef>
          </c:val>
          <c:extLst>
            <c:ext xmlns:c16="http://schemas.microsoft.com/office/drawing/2014/chart" uri="{C3380CC4-5D6E-409C-BE32-E72D297353CC}">
              <c16:uniqueId val="{00000000-1D36-4655-B06D-ACBA3F8A8260}"/>
            </c:ext>
          </c:extLst>
        </c:ser>
        <c:dLbls>
          <c:showLegendKey val="0"/>
          <c:showVal val="0"/>
          <c:showCatName val="0"/>
          <c:showSerName val="0"/>
          <c:showPercent val="0"/>
          <c:showBubbleSize val="0"/>
        </c:dLbls>
        <c:gapWidth val="150"/>
        <c:overlap val="100"/>
        <c:axId val="128405504"/>
        <c:axId val="128407040"/>
      </c:barChart>
      <c:lineChart>
        <c:grouping val="standard"/>
        <c:varyColors val="0"/>
        <c:ser>
          <c:idx val="3"/>
          <c:order val="1"/>
          <c:tx>
            <c:v>Near Miss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Data!$O$219:$AK$219</c:f>
              <c:numCache>
                <c:formatCode>0.00</c:formatCode>
                <c:ptCount val="23"/>
                <c:pt idx="0">
                  <c:v>2.1538461538461537</c:v>
                </c:pt>
                <c:pt idx="1">
                  <c:v>2.6153846153846154</c:v>
                </c:pt>
                <c:pt idx="2">
                  <c:v>3.1538461538461537</c:v>
                </c:pt>
                <c:pt idx="3">
                  <c:v>3.5384615384615383</c:v>
                </c:pt>
                <c:pt idx="4">
                  <c:v>4</c:v>
                </c:pt>
                <c:pt idx="5">
                  <c:v>4.4615384615384617</c:v>
                </c:pt>
                <c:pt idx="6">
                  <c:v>5</c:v>
                </c:pt>
                <c:pt idx="7">
                  <c:v>5.3076923076923075</c:v>
                </c:pt>
                <c:pt idx="8">
                  <c:v>6.0769230769230766</c:v>
                </c:pt>
                <c:pt idx="9">
                  <c:v>5.8461538461538458</c:v>
                </c:pt>
                <c:pt idx="10">
                  <c:v>6.2307692307692308</c:v>
                </c:pt>
                <c:pt idx="11">
                  <c:v>6.0769230769230766</c:v>
                </c:pt>
                <c:pt idx="12">
                  <c:v>6.4615384615384617</c:v>
                </c:pt>
                <c:pt idx="13">
                  <c:v>6.8461538461538458</c:v>
                </c:pt>
                <c:pt idx="14">
                  <c:v>6.8461538461538458</c:v>
                </c:pt>
                <c:pt idx="15">
                  <c:v>6.615384615384615</c:v>
                </c:pt>
                <c:pt idx="16">
                  <c:v>6.384615384615385</c:v>
                </c:pt>
                <c:pt idx="17">
                  <c:v>6.0769230769230766</c:v>
                </c:pt>
                <c:pt idx="18">
                  <c:v>5.8461538461538458</c:v>
                </c:pt>
                <c:pt idx="19">
                  <c:v>5.615384615384615</c:v>
                </c:pt>
                <c:pt idx="20">
                  <c:v>5.5384615384615383</c:v>
                </c:pt>
                <c:pt idx="21">
                  <c:v>5.1538461538461542</c:v>
                </c:pt>
                <c:pt idx="22">
                  <c:v>4.7692307692307692</c:v>
                </c:pt>
              </c:numCache>
            </c:numRef>
          </c:val>
          <c:smooth val="0"/>
          <c:extLst>
            <c:ext xmlns:c16="http://schemas.microsoft.com/office/drawing/2014/chart" uri="{C3380CC4-5D6E-409C-BE32-E72D297353CC}">
              <c16:uniqueId val="{00000001-1D36-4655-B06D-ACBA3F8A8260}"/>
            </c:ext>
          </c:extLst>
        </c:ser>
        <c:dLbls>
          <c:showLegendKey val="0"/>
          <c:showVal val="0"/>
          <c:showCatName val="0"/>
          <c:showSerName val="0"/>
          <c:showPercent val="0"/>
          <c:showBubbleSize val="0"/>
        </c:dLbls>
        <c:upDownBars>
          <c:gapWidth val="150"/>
          <c:upBars/>
          <c:downBars/>
        </c:upDownBars>
        <c:marker val="1"/>
        <c:smooth val="0"/>
        <c:axId val="128405504"/>
        <c:axId val="128407040"/>
      </c:lineChart>
      <c:catAx>
        <c:axId val="128405504"/>
        <c:scaling>
          <c:orientation val="minMax"/>
        </c:scaling>
        <c:delete val="0"/>
        <c:axPos val="b"/>
        <c:numFmt formatCode="General" sourceLinked="1"/>
        <c:majorTickMark val="out"/>
        <c:minorTickMark val="none"/>
        <c:tickLblPos val="nextTo"/>
        <c:crossAx val="128407040"/>
        <c:crosses val="autoZero"/>
        <c:auto val="1"/>
        <c:lblAlgn val="ctr"/>
        <c:lblOffset val="100"/>
        <c:noMultiLvlLbl val="0"/>
      </c:catAx>
      <c:valAx>
        <c:axId val="128407040"/>
        <c:scaling>
          <c:orientation val="minMax"/>
        </c:scaling>
        <c:delete val="0"/>
        <c:axPos val="l"/>
        <c:majorGridlines/>
        <c:numFmt formatCode="General" sourceLinked="1"/>
        <c:majorTickMark val="out"/>
        <c:minorTickMark val="none"/>
        <c:tickLblPos val="nextTo"/>
        <c:crossAx val="128405504"/>
        <c:crosses val="autoZero"/>
        <c:crossBetween val="between"/>
      </c:valAx>
    </c:plotArea>
    <c:legend>
      <c:legendPos val="r"/>
      <c:layout>
        <c:manualLayout>
          <c:xMode val="edge"/>
          <c:yMode val="edge"/>
          <c:x val="0.74774623890654468"/>
          <c:y val="0.13884653559122206"/>
          <c:w val="0.21772034535358678"/>
          <c:h val="0.56096738983522176"/>
        </c:manualLayout>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3453173004537228E-2"/>
          <c:y val="2.739468199493076E-2"/>
          <c:w val="0.70253601790530917"/>
          <c:h val="0.80177406377281135"/>
        </c:manualLayout>
      </c:layout>
      <c:barChart>
        <c:barDir val="col"/>
        <c:grouping val="stacked"/>
        <c:varyColors val="0"/>
        <c:ser>
          <c:idx val="1"/>
          <c:order val="0"/>
          <c:tx>
            <c:v>Non Movement</c:v>
          </c:tx>
          <c:invertIfNegative val="0"/>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Data!$O$10:$AK$10</c:f>
              <c:numCache>
                <c:formatCode>General</c:formatCode>
                <c:ptCount val="23"/>
                <c:pt idx="0">
                  <c:v>1</c:v>
                </c:pt>
                <c:pt idx="1">
                  <c:v>1</c:v>
                </c:pt>
                <c:pt idx="2">
                  <c:v>0</c:v>
                </c:pt>
                <c:pt idx="3">
                  <c:v>2</c:v>
                </c:pt>
                <c:pt idx="4">
                  <c:v>0</c:v>
                </c:pt>
                <c:pt idx="5">
                  <c:v>0</c:v>
                </c:pt>
                <c:pt idx="6">
                  <c:v>1</c:v>
                </c:pt>
                <c:pt idx="7">
                  <c:v>0</c:v>
                </c:pt>
                <c:pt idx="8">
                  <c:v>1</c:v>
                </c:pt>
                <c:pt idx="9">
                  <c:v>1</c:v>
                </c:pt>
                <c:pt idx="10">
                  <c:v>0</c:v>
                </c:pt>
                <c:pt idx="11">
                  <c:v>0</c:v>
                </c:pt>
                <c:pt idx="12">
                  <c:v>0</c:v>
                </c:pt>
                <c:pt idx="13">
                  <c:v>0</c:v>
                </c:pt>
                <c:pt idx="14">
                  <c:v>0</c:v>
                </c:pt>
                <c:pt idx="15">
                  <c:v>0</c:v>
                </c:pt>
                <c:pt idx="16">
                  <c:v>0</c:v>
                </c:pt>
                <c:pt idx="17">
                  <c:v>0</c:v>
                </c:pt>
                <c:pt idx="18">
                  <c:v>0</c:v>
                </c:pt>
                <c:pt idx="19">
                  <c:v>1</c:v>
                </c:pt>
                <c:pt idx="20">
                  <c:v>0</c:v>
                </c:pt>
                <c:pt idx="21">
                  <c:v>0</c:v>
                </c:pt>
                <c:pt idx="22">
                  <c:v>0</c:v>
                </c:pt>
              </c:numCache>
            </c:numRef>
          </c:val>
          <c:extLst>
            <c:ext xmlns:c16="http://schemas.microsoft.com/office/drawing/2014/chart" uri="{C3380CC4-5D6E-409C-BE32-E72D297353CC}">
              <c16:uniqueId val="{00000000-A721-44F5-8921-8F55B3ECCA40}"/>
            </c:ext>
          </c:extLst>
        </c:ser>
        <c:dLbls>
          <c:showLegendKey val="0"/>
          <c:showVal val="0"/>
          <c:showCatName val="0"/>
          <c:showSerName val="0"/>
          <c:showPercent val="0"/>
          <c:showBubbleSize val="0"/>
        </c:dLbls>
        <c:gapWidth val="150"/>
        <c:overlap val="100"/>
        <c:axId val="128405504"/>
        <c:axId val="128407040"/>
      </c:barChart>
      <c:lineChart>
        <c:grouping val="standard"/>
        <c:varyColors val="0"/>
        <c:ser>
          <c:idx val="3"/>
          <c:order val="1"/>
          <c:tx>
            <c:v>Non Movement  MAA</c:v>
          </c:tx>
          <c:marker>
            <c:symbol val="none"/>
          </c:marker>
          <c:cat>
            <c:numRef>
              <c:f>Data!$O$4:$AK$4</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Data!$O$27:$AK$27</c:f>
              <c:numCache>
                <c:formatCode>0.00</c:formatCode>
                <c:ptCount val="23"/>
                <c:pt idx="0">
                  <c:v>0.15384615384615385</c:v>
                </c:pt>
                <c:pt idx="1">
                  <c:v>0.23076923076923078</c:v>
                </c:pt>
                <c:pt idx="2">
                  <c:v>0.23076923076923078</c:v>
                </c:pt>
                <c:pt idx="3">
                  <c:v>0.38461538461538464</c:v>
                </c:pt>
                <c:pt idx="4">
                  <c:v>0.38461538461538464</c:v>
                </c:pt>
                <c:pt idx="5">
                  <c:v>0.38461538461538464</c:v>
                </c:pt>
                <c:pt idx="6">
                  <c:v>0.46153846153846156</c:v>
                </c:pt>
                <c:pt idx="7">
                  <c:v>0.46153846153846156</c:v>
                </c:pt>
                <c:pt idx="8">
                  <c:v>0.53846153846153844</c:v>
                </c:pt>
                <c:pt idx="9">
                  <c:v>0.61538461538461542</c:v>
                </c:pt>
                <c:pt idx="10">
                  <c:v>0.61538461538461542</c:v>
                </c:pt>
                <c:pt idx="11">
                  <c:v>0.53846153846153844</c:v>
                </c:pt>
                <c:pt idx="12">
                  <c:v>0.53846153846153844</c:v>
                </c:pt>
                <c:pt idx="13">
                  <c:v>0.46153846153846156</c:v>
                </c:pt>
                <c:pt idx="14">
                  <c:v>0.38461538461538464</c:v>
                </c:pt>
                <c:pt idx="15">
                  <c:v>0.38461538461538464</c:v>
                </c:pt>
                <c:pt idx="16">
                  <c:v>0.23076923076923078</c:v>
                </c:pt>
                <c:pt idx="17">
                  <c:v>0.23076923076923078</c:v>
                </c:pt>
                <c:pt idx="18">
                  <c:v>0.23076923076923078</c:v>
                </c:pt>
                <c:pt idx="19">
                  <c:v>0.23076923076923078</c:v>
                </c:pt>
                <c:pt idx="20">
                  <c:v>0.23076923076923078</c:v>
                </c:pt>
                <c:pt idx="21">
                  <c:v>0.15384615384615385</c:v>
                </c:pt>
                <c:pt idx="22">
                  <c:v>7.6923076923076927E-2</c:v>
                </c:pt>
              </c:numCache>
            </c:numRef>
          </c:val>
          <c:smooth val="0"/>
          <c:extLst>
            <c:ext xmlns:c16="http://schemas.microsoft.com/office/drawing/2014/chart" uri="{C3380CC4-5D6E-409C-BE32-E72D297353CC}">
              <c16:uniqueId val="{00000001-A721-44F5-8921-8F55B3ECCA40}"/>
            </c:ext>
          </c:extLst>
        </c:ser>
        <c:dLbls>
          <c:showLegendKey val="0"/>
          <c:showVal val="0"/>
          <c:showCatName val="0"/>
          <c:showSerName val="0"/>
          <c:showPercent val="0"/>
          <c:showBubbleSize val="0"/>
        </c:dLbls>
        <c:upDownBars>
          <c:gapWidth val="150"/>
          <c:upBars/>
          <c:downBars/>
        </c:upDownBars>
        <c:marker val="1"/>
        <c:smooth val="0"/>
        <c:axId val="128405504"/>
        <c:axId val="128407040"/>
      </c:lineChart>
      <c:catAx>
        <c:axId val="128405504"/>
        <c:scaling>
          <c:orientation val="minMax"/>
        </c:scaling>
        <c:delete val="0"/>
        <c:axPos val="b"/>
        <c:numFmt formatCode="General" sourceLinked="1"/>
        <c:majorTickMark val="out"/>
        <c:minorTickMark val="none"/>
        <c:tickLblPos val="nextTo"/>
        <c:txPr>
          <a:bodyPr/>
          <a:lstStyle/>
          <a:p>
            <a:pPr>
              <a:defRPr sz="1200"/>
            </a:pPr>
            <a:endParaRPr lang="en-US"/>
          </a:p>
        </c:txPr>
        <c:crossAx val="128407040"/>
        <c:crosses val="autoZero"/>
        <c:auto val="1"/>
        <c:lblAlgn val="ctr"/>
        <c:lblOffset val="100"/>
        <c:noMultiLvlLbl val="0"/>
      </c:catAx>
      <c:valAx>
        <c:axId val="128407040"/>
        <c:scaling>
          <c:orientation val="minMax"/>
        </c:scaling>
        <c:delete val="0"/>
        <c:axPos val="l"/>
        <c:majorGridlines/>
        <c:numFmt formatCode="General" sourceLinked="1"/>
        <c:majorTickMark val="out"/>
        <c:minorTickMark val="none"/>
        <c:tickLblPos val="nextTo"/>
        <c:crossAx val="128405504"/>
        <c:crosses val="autoZero"/>
        <c:crossBetween val="between"/>
      </c:valAx>
    </c:plotArea>
    <c:legend>
      <c:legendPos val="r"/>
      <c:layout>
        <c:manualLayout>
          <c:xMode val="edge"/>
          <c:yMode val="edge"/>
          <c:x val="0.80260712872052375"/>
          <c:y val="0.14892755373276098"/>
          <c:w val="0.18036817304129113"/>
          <c:h val="0.7352403507280505"/>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3453173004537228E-2"/>
          <c:y val="2.739468199493076E-2"/>
          <c:w val="0.70253601790530917"/>
          <c:h val="0.80177406377281135"/>
        </c:manualLayout>
      </c:layout>
      <c:barChart>
        <c:barDir val="col"/>
        <c:grouping val="stacked"/>
        <c:varyColors val="0"/>
        <c:ser>
          <c:idx val="1"/>
          <c:order val="0"/>
          <c:tx>
            <c:v>Signal Passed Against Bar</c:v>
          </c:tx>
          <c:invertIfNegative val="0"/>
          <c:cat>
            <c:numRef>
              <c:f>Data!$B$4:$AK$4</c:f>
              <c:numCache>
                <c:formatCode>General</c:formatCode>
                <c:ptCount val="28"/>
                <c:pt idx="0">
                  <c:v>2309</c:v>
                </c:pt>
                <c:pt idx="1">
                  <c:v>2310</c:v>
                </c:pt>
                <c:pt idx="2">
                  <c:v>2311</c:v>
                </c:pt>
                <c:pt idx="3">
                  <c:v>2312</c:v>
                </c:pt>
                <c:pt idx="4">
                  <c:v>2313</c:v>
                </c:pt>
                <c:pt idx="5">
                  <c:v>2401</c:v>
                </c:pt>
                <c:pt idx="6">
                  <c:v>2402</c:v>
                </c:pt>
                <c:pt idx="7">
                  <c:v>2403</c:v>
                </c:pt>
                <c:pt idx="8">
                  <c:v>2404</c:v>
                </c:pt>
                <c:pt idx="9">
                  <c:v>2405</c:v>
                </c:pt>
                <c:pt idx="10">
                  <c:v>2406</c:v>
                </c:pt>
                <c:pt idx="11">
                  <c:v>2407</c:v>
                </c:pt>
                <c:pt idx="12">
                  <c:v>2408</c:v>
                </c:pt>
                <c:pt idx="13">
                  <c:v>2409</c:v>
                </c:pt>
                <c:pt idx="14">
                  <c:v>2410</c:v>
                </c:pt>
                <c:pt idx="15">
                  <c:v>2411</c:v>
                </c:pt>
                <c:pt idx="16">
                  <c:v>2412</c:v>
                </c:pt>
                <c:pt idx="17">
                  <c:v>2413</c:v>
                </c:pt>
                <c:pt idx="18">
                  <c:v>2501</c:v>
                </c:pt>
                <c:pt idx="19">
                  <c:v>2502</c:v>
                </c:pt>
                <c:pt idx="20">
                  <c:v>2503</c:v>
                </c:pt>
                <c:pt idx="21">
                  <c:v>2504</c:v>
                </c:pt>
                <c:pt idx="22">
                  <c:v>2505</c:v>
                </c:pt>
                <c:pt idx="23">
                  <c:v>2506</c:v>
                </c:pt>
                <c:pt idx="24">
                  <c:v>2507</c:v>
                </c:pt>
                <c:pt idx="25">
                  <c:v>2508</c:v>
                </c:pt>
                <c:pt idx="26">
                  <c:v>2509</c:v>
                </c:pt>
                <c:pt idx="27">
                  <c:v>2510</c:v>
                </c:pt>
              </c:numCache>
            </c:numRef>
          </c:cat>
          <c:val>
            <c:numRef>
              <c:f>Data!$B$241:$AK$241</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0-2CB9-4C42-868B-BDA18DDAB08D}"/>
            </c:ext>
          </c:extLst>
        </c:ser>
        <c:dLbls>
          <c:showLegendKey val="0"/>
          <c:showVal val="0"/>
          <c:showCatName val="0"/>
          <c:showSerName val="0"/>
          <c:showPercent val="0"/>
          <c:showBubbleSize val="0"/>
        </c:dLbls>
        <c:gapWidth val="150"/>
        <c:overlap val="100"/>
        <c:axId val="128405504"/>
        <c:axId val="128407040"/>
      </c:barChart>
      <c:lineChart>
        <c:grouping val="standard"/>
        <c:varyColors val="0"/>
        <c:ser>
          <c:idx val="3"/>
          <c:order val="1"/>
          <c:tx>
            <c:v>Signal Passed Against Bar MAA</c:v>
          </c:tx>
          <c:marker>
            <c:symbol val="none"/>
          </c:marker>
          <c:cat>
            <c:numRef>
              <c:f>Data!$B$4:$AK$4</c:f>
              <c:numCache>
                <c:formatCode>General</c:formatCode>
                <c:ptCount val="28"/>
                <c:pt idx="0">
                  <c:v>2309</c:v>
                </c:pt>
                <c:pt idx="1">
                  <c:v>2310</c:v>
                </c:pt>
                <c:pt idx="2">
                  <c:v>2311</c:v>
                </c:pt>
                <c:pt idx="3">
                  <c:v>2312</c:v>
                </c:pt>
                <c:pt idx="4">
                  <c:v>2313</c:v>
                </c:pt>
                <c:pt idx="5">
                  <c:v>2401</c:v>
                </c:pt>
                <c:pt idx="6">
                  <c:v>2402</c:v>
                </c:pt>
                <c:pt idx="7">
                  <c:v>2403</c:v>
                </c:pt>
                <c:pt idx="8">
                  <c:v>2404</c:v>
                </c:pt>
                <c:pt idx="9">
                  <c:v>2405</c:v>
                </c:pt>
                <c:pt idx="10">
                  <c:v>2406</c:v>
                </c:pt>
                <c:pt idx="11">
                  <c:v>2407</c:v>
                </c:pt>
                <c:pt idx="12">
                  <c:v>2408</c:v>
                </c:pt>
                <c:pt idx="13">
                  <c:v>2409</c:v>
                </c:pt>
                <c:pt idx="14">
                  <c:v>2410</c:v>
                </c:pt>
                <c:pt idx="15">
                  <c:v>2411</c:v>
                </c:pt>
                <c:pt idx="16">
                  <c:v>2412</c:v>
                </c:pt>
                <c:pt idx="17">
                  <c:v>2413</c:v>
                </c:pt>
                <c:pt idx="18">
                  <c:v>2501</c:v>
                </c:pt>
                <c:pt idx="19">
                  <c:v>2502</c:v>
                </c:pt>
                <c:pt idx="20">
                  <c:v>2503</c:v>
                </c:pt>
                <c:pt idx="21">
                  <c:v>2504</c:v>
                </c:pt>
                <c:pt idx="22">
                  <c:v>2505</c:v>
                </c:pt>
                <c:pt idx="23">
                  <c:v>2506</c:v>
                </c:pt>
                <c:pt idx="24">
                  <c:v>2507</c:v>
                </c:pt>
                <c:pt idx="25">
                  <c:v>2508</c:v>
                </c:pt>
                <c:pt idx="26">
                  <c:v>2509</c:v>
                </c:pt>
                <c:pt idx="27">
                  <c:v>2510</c:v>
                </c:pt>
              </c:numCache>
            </c:numRef>
          </c:cat>
          <c:val>
            <c:numRef>
              <c:f>Data!$B$242:$AK$242</c:f>
              <c:numCache>
                <c:formatCode>0.00</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smooth val="0"/>
          <c:extLst>
            <c:ext xmlns:c16="http://schemas.microsoft.com/office/drawing/2014/chart" uri="{C3380CC4-5D6E-409C-BE32-E72D297353CC}">
              <c16:uniqueId val="{00000001-2CB9-4C42-868B-BDA18DDAB08D}"/>
            </c:ext>
          </c:extLst>
        </c:ser>
        <c:dLbls>
          <c:showLegendKey val="0"/>
          <c:showVal val="0"/>
          <c:showCatName val="0"/>
          <c:showSerName val="0"/>
          <c:showPercent val="0"/>
          <c:showBubbleSize val="0"/>
        </c:dLbls>
        <c:upDownBars>
          <c:gapWidth val="150"/>
          <c:upBars/>
          <c:downBars/>
        </c:upDownBars>
        <c:marker val="1"/>
        <c:smooth val="0"/>
        <c:axId val="128405504"/>
        <c:axId val="128407040"/>
      </c:lineChart>
      <c:catAx>
        <c:axId val="128405504"/>
        <c:scaling>
          <c:orientation val="minMax"/>
        </c:scaling>
        <c:delete val="0"/>
        <c:axPos val="b"/>
        <c:numFmt formatCode="General" sourceLinked="1"/>
        <c:majorTickMark val="out"/>
        <c:minorTickMark val="none"/>
        <c:tickLblPos val="nextTo"/>
        <c:txPr>
          <a:bodyPr/>
          <a:lstStyle/>
          <a:p>
            <a:pPr>
              <a:defRPr sz="1200"/>
            </a:pPr>
            <a:endParaRPr lang="en-US"/>
          </a:p>
        </c:txPr>
        <c:crossAx val="128407040"/>
        <c:crosses val="autoZero"/>
        <c:auto val="1"/>
        <c:lblAlgn val="ctr"/>
        <c:lblOffset val="100"/>
        <c:noMultiLvlLbl val="0"/>
      </c:catAx>
      <c:valAx>
        <c:axId val="128407040"/>
        <c:scaling>
          <c:orientation val="minMax"/>
        </c:scaling>
        <c:delete val="0"/>
        <c:axPos val="l"/>
        <c:majorGridlines/>
        <c:numFmt formatCode="General" sourceLinked="1"/>
        <c:majorTickMark val="out"/>
        <c:minorTickMark val="none"/>
        <c:tickLblPos val="nextTo"/>
        <c:crossAx val="128405504"/>
        <c:crosses val="autoZero"/>
        <c:crossBetween val="between"/>
      </c:valAx>
    </c:plotArea>
    <c:legend>
      <c:legendPos val="r"/>
      <c:layout>
        <c:manualLayout>
          <c:xMode val="edge"/>
          <c:yMode val="edge"/>
          <c:x val="0.80260712872052375"/>
          <c:y val="0.14892755373276098"/>
          <c:w val="0.18036817304129113"/>
          <c:h val="0.7352403507280505"/>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3453173004537228E-2"/>
          <c:y val="2.739468199493076E-2"/>
          <c:w val="0.70253601790530917"/>
          <c:h val="0.80177406377281135"/>
        </c:manualLayout>
      </c:layout>
      <c:barChart>
        <c:barDir val="col"/>
        <c:grouping val="stacked"/>
        <c:varyColors val="0"/>
        <c:ser>
          <c:idx val="1"/>
          <c:order val="0"/>
          <c:tx>
            <c:v>RIDDOR</c:v>
          </c:tx>
          <c:invertIfNegative val="0"/>
          <c:cat>
            <c:numRef>
              <c:f>Data!$B$4:$AK$4</c:f>
              <c:numCache>
                <c:formatCode>General</c:formatCode>
                <c:ptCount val="28"/>
                <c:pt idx="0">
                  <c:v>2309</c:v>
                </c:pt>
                <c:pt idx="1">
                  <c:v>2310</c:v>
                </c:pt>
                <c:pt idx="2">
                  <c:v>2311</c:v>
                </c:pt>
                <c:pt idx="3">
                  <c:v>2312</c:v>
                </c:pt>
                <c:pt idx="4">
                  <c:v>2313</c:v>
                </c:pt>
                <c:pt idx="5">
                  <c:v>2401</c:v>
                </c:pt>
                <c:pt idx="6">
                  <c:v>2402</c:v>
                </c:pt>
                <c:pt idx="7">
                  <c:v>2403</c:v>
                </c:pt>
                <c:pt idx="8">
                  <c:v>2404</c:v>
                </c:pt>
                <c:pt idx="9">
                  <c:v>2405</c:v>
                </c:pt>
                <c:pt idx="10">
                  <c:v>2406</c:v>
                </c:pt>
                <c:pt idx="11">
                  <c:v>2407</c:v>
                </c:pt>
                <c:pt idx="12">
                  <c:v>2408</c:v>
                </c:pt>
                <c:pt idx="13">
                  <c:v>2409</c:v>
                </c:pt>
                <c:pt idx="14">
                  <c:v>2410</c:v>
                </c:pt>
                <c:pt idx="15">
                  <c:v>2411</c:v>
                </c:pt>
                <c:pt idx="16">
                  <c:v>2412</c:v>
                </c:pt>
                <c:pt idx="17">
                  <c:v>2413</c:v>
                </c:pt>
                <c:pt idx="18">
                  <c:v>2501</c:v>
                </c:pt>
                <c:pt idx="19">
                  <c:v>2502</c:v>
                </c:pt>
                <c:pt idx="20">
                  <c:v>2503</c:v>
                </c:pt>
                <c:pt idx="21">
                  <c:v>2504</c:v>
                </c:pt>
                <c:pt idx="22">
                  <c:v>2505</c:v>
                </c:pt>
                <c:pt idx="23">
                  <c:v>2506</c:v>
                </c:pt>
                <c:pt idx="24">
                  <c:v>2507</c:v>
                </c:pt>
                <c:pt idx="25">
                  <c:v>2508</c:v>
                </c:pt>
                <c:pt idx="26">
                  <c:v>2509</c:v>
                </c:pt>
                <c:pt idx="27">
                  <c:v>2510</c:v>
                </c:pt>
              </c:numCache>
            </c:numRef>
          </c:cat>
          <c:val>
            <c:numRef>
              <c:f>Data!$B$257:$AK$257</c:f>
              <c:numCache>
                <c:formatCode>General</c:formatCode>
                <c:ptCount val="28"/>
                <c:pt idx="0">
                  <c:v>1</c:v>
                </c:pt>
                <c:pt idx="1">
                  <c:v>2</c:v>
                </c:pt>
                <c:pt idx="2">
                  <c:v>3</c:v>
                </c:pt>
                <c:pt idx="3">
                  <c:v>0</c:v>
                </c:pt>
                <c:pt idx="4">
                  <c:v>0</c:v>
                </c:pt>
                <c:pt idx="5">
                  <c:v>1</c:v>
                </c:pt>
                <c:pt idx="6">
                  <c:v>1</c:v>
                </c:pt>
                <c:pt idx="7">
                  <c:v>0</c:v>
                </c:pt>
                <c:pt idx="8">
                  <c:v>3</c:v>
                </c:pt>
                <c:pt idx="9">
                  <c:v>2</c:v>
                </c:pt>
                <c:pt idx="10">
                  <c:v>4</c:v>
                </c:pt>
                <c:pt idx="11">
                  <c:v>1</c:v>
                </c:pt>
                <c:pt idx="12">
                  <c:v>5</c:v>
                </c:pt>
                <c:pt idx="13">
                  <c:v>5</c:v>
                </c:pt>
                <c:pt idx="14">
                  <c:v>4</c:v>
                </c:pt>
                <c:pt idx="15">
                  <c:v>9</c:v>
                </c:pt>
                <c:pt idx="16">
                  <c:v>2</c:v>
                </c:pt>
                <c:pt idx="17">
                  <c:v>2</c:v>
                </c:pt>
                <c:pt idx="18">
                  <c:v>0</c:v>
                </c:pt>
                <c:pt idx="19">
                  <c:v>0</c:v>
                </c:pt>
                <c:pt idx="20">
                  <c:v>4</c:v>
                </c:pt>
                <c:pt idx="21">
                  <c:v>2</c:v>
                </c:pt>
                <c:pt idx="22">
                  <c:v>0</c:v>
                </c:pt>
                <c:pt idx="23">
                  <c:v>3</c:v>
                </c:pt>
                <c:pt idx="24">
                  <c:v>2</c:v>
                </c:pt>
                <c:pt idx="25">
                  <c:v>4</c:v>
                </c:pt>
                <c:pt idx="26">
                  <c:v>5</c:v>
                </c:pt>
                <c:pt idx="27">
                  <c:v>3</c:v>
                </c:pt>
              </c:numCache>
            </c:numRef>
          </c:val>
          <c:extLst>
            <c:ext xmlns:c16="http://schemas.microsoft.com/office/drawing/2014/chart" uri="{C3380CC4-5D6E-409C-BE32-E72D297353CC}">
              <c16:uniqueId val="{00000000-3D23-4B28-BF0D-1DBEC0BDF363}"/>
            </c:ext>
          </c:extLst>
        </c:ser>
        <c:dLbls>
          <c:showLegendKey val="0"/>
          <c:showVal val="0"/>
          <c:showCatName val="0"/>
          <c:showSerName val="0"/>
          <c:showPercent val="0"/>
          <c:showBubbleSize val="0"/>
        </c:dLbls>
        <c:gapWidth val="150"/>
        <c:overlap val="100"/>
        <c:axId val="128405504"/>
        <c:axId val="128407040"/>
      </c:barChart>
      <c:lineChart>
        <c:grouping val="standard"/>
        <c:varyColors val="0"/>
        <c:ser>
          <c:idx val="3"/>
          <c:order val="1"/>
          <c:tx>
            <c:v>RIDDOR MAA</c:v>
          </c:tx>
          <c:marker>
            <c:symbol val="none"/>
          </c:marker>
          <c:cat>
            <c:numRef>
              <c:f>Data!$B$4:$AK$4</c:f>
              <c:numCache>
                <c:formatCode>General</c:formatCode>
                <c:ptCount val="28"/>
                <c:pt idx="0">
                  <c:v>2309</c:v>
                </c:pt>
                <c:pt idx="1">
                  <c:v>2310</c:v>
                </c:pt>
                <c:pt idx="2">
                  <c:v>2311</c:v>
                </c:pt>
                <c:pt idx="3">
                  <c:v>2312</c:v>
                </c:pt>
                <c:pt idx="4">
                  <c:v>2313</c:v>
                </c:pt>
                <c:pt idx="5">
                  <c:v>2401</c:v>
                </c:pt>
                <c:pt idx="6">
                  <c:v>2402</c:v>
                </c:pt>
                <c:pt idx="7">
                  <c:v>2403</c:v>
                </c:pt>
                <c:pt idx="8">
                  <c:v>2404</c:v>
                </c:pt>
                <c:pt idx="9">
                  <c:v>2405</c:v>
                </c:pt>
                <c:pt idx="10">
                  <c:v>2406</c:v>
                </c:pt>
                <c:pt idx="11">
                  <c:v>2407</c:v>
                </c:pt>
                <c:pt idx="12">
                  <c:v>2408</c:v>
                </c:pt>
                <c:pt idx="13">
                  <c:v>2409</c:v>
                </c:pt>
                <c:pt idx="14">
                  <c:v>2410</c:v>
                </c:pt>
                <c:pt idx="15">
                  <c:v>2411</c:v>
                </c:pt>
                <c:pt idx="16">
                  <c:v>2412</c:v>
                </c:pt>
                <c:pt idx="17">
                  <c:v>2413</c:v>
                </c:pt>
                <c:pt idx="18">
                  <c:v>2501</c:v>
                </c:pt>
                <c:pt idx="19">
                  <c:v>2502</c:v>
                </c:pt>
                <c:pt idx="20">
                  <c:v>2503</c:v>
                </c:pt>
                <c:pt idx="21">
                  <c:v>2504</c:v>
                </c:pt>
                <c:pt idx="22">
                  <c:v>2505</c:v>
                </c:pt>
                <c:pt idx="23">
                  <c:v>2506</c:v>
                </c:pt>
                <c:pt idx="24">
                  <c:v>2507</c:v>
                </c:pt>
                <c:pt idx="25">
                  <c:v>2508</c:v>
                </c:pt>
                <c:pt idx="26">
                  <c:v>2509</c:v>
                </c:pt>
                <c:pt idx="27">
                  <c:v>2510</c:v>
                </c:pt>
              </c:numCache>
            </c:numRef>
          </c:cat>
          <c:val>
            <c:numRef>
              <c:f>Data!$B$258:$AK$258</c:f>
              <c:numCache>
                <c:formatCode>0.00</c:formatCode>
                <c:ptCount val="28"/>
                <c:pt idx="0">
                  <c:v>7.6923076923076927E-2</c:v>
                </c:pt>
                <c:pt idx="1">
                  <c:v>0.23076923076923078</c:v>
                </c:pt>
                <c:pt idx="2">
                  <c:v>0.46153846153846156</c:v>
                </c:pt>
                <c:pt idx="3">
                  <c:v>0.46153846153846156</c:v>
                </c:pt>
                <c:pt idx="4">
                  <c:v>0.46153846153846156</c:v>
                </c:pt>
                <c:pt idx="5">
                  <c:v>0.53846153846153844</c:v>
                </c:pt>
                <c:pt idx="6">
                  <c:v>0.61538461538461542</c:v>
                </c:pt>
                <c:pt idx="7">
                  <c:v>0.61538461538461542</c:v>
                </c:pt>
                <c:pt idx="8">
                  <c:v>0.84615384615384615</c:v>
                </c:pt>
                <c:pt idx="9">
                  <c:v>1</c:v>
                </c:pt>
                <c:pt idx="10">
                  <c:v>1.3076923076923077</c:v>
                </c:pt>
                <c:pt idx="11">
                  <c:v>1.3846153846153846</c:v>
                </c:pt>
                <c:pt idx="12">
                  <c:v>1.7692307692307692</c:v>
                </c:pt>
                <c:pt idx="13">
                  <c:v>2.0769230769230771</c:v>
                </c:pt>
                <c:pt idx="14">
                  <c:v>2.2307692307692308</c:v>
                </c:pt>
                <c:pt idx="15">
                  <c:v>2.6923076923076925</c:v>
                </c:pt>
                <c:pt idx="16">
                  <c:v>2.8461538461538463</c:v>
                </c:pt>
                <c:pt idx="17">
                  <c:v>3</c:v>
                </c:pt>
                <c:pt idx="18">
                  <c:v>2.9230769230769229</c:v>
                </c:pt>
                <c:pt idx="19">
                  <c:v>2.8461538461538463</c:v>
                </c:pt>
                <c:pt idx="20">
                  <c:v>3.1538461538461537</c:v>
                </c:pt>
                <c:pt idx="21">
                  <c:v>3.0769230769230771</c:v>
                </c:pt>
                <c:pt idx="22">
                  <c:v>2.9230769230769229</c:v>
                </c:pt>
                <c:pt idx="23">
                  <c:v>2.8461538461538463</c:v>
                </c:pt>
                <c:pt idx="24">
                  <c:v>2.9230769230769229</c:v>
                </c:pt>
                <c:pt idx="25">
                  <c:v>2.8461538461538463</c:v>
                </c:pt>
                <c:pt idx="26">
                  <c:v>2.8461538461538463</c:v>
                </c:pt>
                <c:pt idx="27">
                  <c:v>2.7692307692307692</c:v>
                </c:pt>
              </c:numCache>
            </c:numRef>
          </c:val>
          <c:smooth val="0"/>
          <c:extLst>
            <c:ext xmlns:c16="http://schemas.microsoft.com/office/drawing/2014/chart" uri="{C3380CC4-5D6E-409C-BE32-E72D297353CC}">
              <c16:uniqueId val="{00000001-3D23-4B28-BF0D-1DBEC0BDF363}"/>
            </c:ext>
          </c:extLst>
        </c:ser>
        <c:dLbls>
          <c:showLegendKey val="0"/>
          <c:showVal val="0"/>
          <c:showCatName val="0"/>
          <c:showSerName val="0"/>
          <c:showPercent val="0"/>
          <c:showBubbleSize val="0"/>
        </c:dLbls>
        <c:upDownBars>
          <c:gapWidth val="150"/>
          <c:upBars/>
          <c:downBars/>
        </c:upDownBars>
        <c:marker val="1"/>
        <c:smooth val="0"/>
        <c:axId val="128405504"/>
        <c:axId val="128407040"/>
      </c:lineChart>
      <c:catAx>
        <c:axId val="128405504"/>
        <c:scaling>
          <c:orientation val="minMax"/>
        </c:scaling>
        <c:delete val="0"/>
        <c:axPos val="b"/>
        <c:numFmt formatCode="General" sourceLinked="1"/>
        <c:majorTickMark val="out"/>
        <c:minorTickMark val="none"/>
        <c:tickLblPos val="nextTo"/>
        <c:crossAx val="128407040"/>
        <c:crosses val="autoZero"/>
        <c:auto val="1"/>
        <c:lblAlgn val="ctr"/>
        <c:lblOffset val="100"/>
        <c:noMultiLvlLbl val="0"/>
      </c:catAx>
      <c:valAx>
        <c:axId val="128407040"/>
        <c:scaling>
          <c:orientation val="minMax"/>
        </c:scaling>
        <c:delete val="0"/>
        <c:axPos val="l"/>
        <c:majorGridlines/>
        <c:numFmt formatCode="General" sourceLinked="1"/>
        <c:majorTickMark val="out"/>
        <c:minorTickMark val="none"/>
        <c:tickLblPos val="nextTo"/>
        <c:crossAx val="128405504"/>
        <c:crosses val="autoZero"/>
        <c:crossBetween val="between"/>
      </c:valAx>
    </c:plotArea>
    <c:legend>
      <c:legendPos val="r"/>
      <c:layout>
        <c:manualLayout>
          <c:xMode val="edge"/>
          <c:yMode val="edge"/>
          <c:x val="0.80502906687909082"/>
          <c:y val="0.14013233778164369"/>
          <c:w val="0.18036817304129113"/>
          <c:h val="0.7352403507280505"/>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155990875395895E-2"/>
          <c:y val="4.3770026038212652E-2"/>
          <c:w val="0.81757296413336356"/>
          <c:h val="0.75651387933106273"/>
        </c:manualLayout>
      </c:layout>
      <c:barChart>
        <c:barDir val="col"/>
        <c:grouping val="stacked"/>
        <c:varyColors val="0"/>
        <c:ser>
          <c:idx val="0"/>
          <c:order val="0"/>
          <c:tx>
            <c:v>Physical Assaults</c:v>
          </c:tx>
          <c:invertIfNegative val="0"/>
          <c:cat>
            <c:numRef>
              <c:f>Data!$O$135:$AK$135</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Data!$O$136:$AK$136</c:f>
              <c:numCache>
                <c:formatCode>General</c:formatCode>
                <c:ptCount val="23"/>
                <c:pt idx="0">
                  <c:v>2</c:v>
                </c:pt>
                <c:pt idx="1">
                  <c:v>0</c:v>
                </c:pt>
                <c:pt idx="2">
                  <c:v>3</c:v>
                </c:pt>
                <c:pt idx="3">
                  <c:v>1</c:v>
                </c:pt>
                <c:pt idx="4">
                  <c:v>0</c:v>
                </c:pt>
                <c:pt idx="5">
                  <c:v>1</c:v>
                </c:pt>
                <c:pt idx="6">
                  <c:v>3</c:v>
                </c:pt>
                <c:pt idx="7">
                  <c:v>2</c:v>
                </c:pt>
                <c:pt idx="8">
                  <c:v>0</c:v>
                </c:pt>
                <c:pt idx="9">
                  <c:v>1</c:v>
                </c:pt>
                <c:pt idx="10">
                  <c:v>1</c:v>
                </c:pt>
                <c:pt idx="11">
                  <c:v>0</c:v>
                </c:pt>
                <c:pt idx="12">
                  <c:v>1</c:v>
                </c:pt>
                <c:pt idx="13">
                  <c:v>2</c:v>
                </c:pt>
                <c:pt idx="14">
                  <c:v>2</c:v>
                </c:pt>
                <c:pt idx="15">
                  <c:v>3</c:v>
                </c:pt>
                <c:pt idx="16">
                  <c:v>0</c:v>
                </c:pt>
                <c:pt idx="17">
                  <c:v>1</c:v>
                </c:pt>
                <c:pt idx="18">
                  <c:v>1</c:v>
                </c:pt>
                <c:pt idx="19">
                  <c:v>1</c:v>
                </c:pt>
                <c:pt idx="20">
                  <c:v>1</c:v>
                </c:pt>
                <c:pt idx="21">
                  <c:v>0</c:v>
                </c:pt>
                <c:pt idx="22">
                  <c:v>1</c:v>
                </c:pt>
              </c:numCache>
            </c:numRef>
          </c:val>
          <c:extLst>
            <c:ext xmlns:c16="http://schemas.microsoft.com/office/drawing/2014/chart" uri="{C3380CC4-5D6E-409C-BE32-E72D297353CC}">
              <c16:uniqueId val="{00000000-387B-454B-BB73-23272616101E}"/>
            </c:ext>
          </c:extLst>
        </c:ser>
        <c:ser>
          <c:idx val="1"/>
          <c:order val="1"/>
          <c:tx>
            <c:v>Threatening Behaviour</c:v>
          </c:tx>
          <c:invertIfNegative val="0"/>
          <c:cat>
            <c:numRef>
              <c:f>Data!$O$135:$AK$135</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Data!$O$138:$AK$138</c:f>
              <c:numCache>
                <c:formatCode>General</c:formatCode>
                <c:ptCount val="23"/>
                <c:pt idx="0">
                  <c:v>1</c:v>
                </c:pt>
                <c:pt idx="1">
                  <c:v>2</c:v>
                </c:pt>
                <c:pt idx="2">
                  <c:v>0</c:v>
                </c:pt>
                <c:pt idx="3">
                  <c:v>0</c:v>
                </c:pt>
                <c:pt idx="4">
                  <c:v>1</c:v>
                </c:pt>
                <c:pt idx="5">
                  <c:v>0</c:v>
                </c:pt>
                <c:pt idx="6">
                  <c:v>1</c:v>
                </c:pt>
                <c:pt idx="7">
                  <c:v>3</c:v>
                </c:pt>
                <c:pt idx="8">
                  <c:v>0</c:v>
                </c:pt>
                <c:pt idx="9">
                  <c:v>1</c:v>
                </c:pt>
                <c:pt idx="10">
                  <c:v>0</c:v>
                </c:pt>
                <c:pt idx="11">
                  <c:v>0</c:v>
                </c:pt>
                <c:pt idx="12">
                  <c:v>0</c:v>
                </c:pt>
                <c:pt idx="13">
                  <c:v>0</c:v>
                </c:pt>
                <c:pt idx="14">
                  <c:v>0</c:v>
                </c:pt>
                <c:pt idx="15">
                  <c:v>1</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1-387B-454B-BB73-23272616101E}"/>
            </c:ext>
          </c:extLst>
        </c:ser>
        <c:ser>
          <c:idx val="2"/>
          <c:order val="3"/>
          <c:tx>
            <c:v>Verbal Assault</c:v>
          </c:tx>
          <c:invertIfNegative val="0"/>
          <c:cat>
            <c:numRef>
              <c:f>Data!$O$135:$AK$135</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Data!$O$140:$AK$140</c:f>
              <c:numCache>
                <c:formatCode>General</c:formatCode>
                <c:ptCount val="23"/>
                <c:pt idx="0">
                  <c:v>6</c:v>
                </c:pt>
                <c:pt idx="1">
                  <c:v>3</c:v>
                </c:pt>
                <c:pt idx="2">
                  <c:v>2</c:v>
                </c:pt>
                <c:pt idx="3">
                  <c:v>3</c:v>
                </c:pt>
                <c:pt idx="4">
                  <c:v>2</c:v>
                </c:pt>
                <c:pt idx="5">
                  <c:v>4</c:v>
                </c:pt>
                <c:pt idx="6">
                  <c:v>4</c:v>
                </c:pt>
                <c:pt idx="7">
                  <c:v>5</c:v>
                </c:pt>
                <c:pt idx="8">
                  <c:v>4</c:v>
                </c:pt>
                <c:pt idx="9">
                  <c:v>0</c:v>
                </c:pt>
                <c:pt idx="10">
                  <c:v>0</c:v>
                </c:pt>
                <c:pt idx="11">
                  <c:v>2</c:v>
                </c:pt>
                <c:pt idx="12">
                  <c:v>0</c:v>
                </c:pt>
                <c:pt idx="13">
                  <c:v>1</c:v>
                </c:pt>
                <c:pt idx="14">
                  <c:v>3</c:v>
                </c:pt>
                <c:pt idx="15">
                  <c:v>4</c:v>
                </c:pt>
                <c:pt idx="16">
                  <c:v>2</c:v>
                </c:pt>
                <c:pt idx="17">
                  <c:v>0</c:v>
                </c:pt>
                <c:pt idx="18">
                  <c:v>0</c:v>
                </c:pt>
                <c:pt idx="19">
                  <c:v>3</c:v>
                </c:pt>
                <c:pt idx="20">
                  <c:v>1</c:v>
                </c:pt>
                <c:pt idx="21">
                  <c:v>0</c:v>
                </c:pt>
                <c:pt idx="22">
                  <c:v>1</c:v>
                </c:pt>
              </c:numCache>
            </c:numRef>
          </c:val>
          <c:extLst>
            <c:ext xmlns:c16="http://schemas.microsoft.com/office/drawing/2014/chart" uri="{C3380CC4-5D6E-409C-BE32-E72D297353CC}">
              <c16:uniqueId val="{00000002-387B-454B-BB73-23272616101E}"/>
            </c:ext>
          </c:extLst>
        </c:ser>
        <c:dLbls>
          <c:showLegendKey val="0"/>
          <c:showVal val="0"/>
          <c:showCatName val="0"/>
          <c:showSerName val="0"/>
          <c:showPercent val="0"/>
          <c:showBubbleSize val="0"/>
        </c:dLbls>
        <c:gapWidth val="150"/>
        <c:overlap val="100"/>
        <c:axId val="128026112"/>
        <c:axId val="128027648"/>
      </c:barChart>
      <c:lineChart>
        <c:grouping val="standard"/>
        <c:varyColors val="0"/>
        <c:ser>
          <c:idx val="3"/>
          <c:order val="2"/>
          <c:tx>
            <c:v>Assaults MAA</c:v>
          </c:tx>
          <c:marker>
            <c:symbol val="none"/>
          </c:marker>
          <c:cat>
            <c:numRef>
              <c:f>Data!$O$146:$AK$146</c:f>
              <c:numCache>
                <c:formatCode>General</c:formatCode>
                <c:ptCount val="23"/>
                <c:pt idx="0">
                  <c:v>2401</c:v>
                </c:pt>
                <c:pt idx="1">
                  <c:v>2402</c:v>
                </c:pt>
                <c:pt idx="2">
                  <c:v>2403</c:v>
                </c:pt>
                <c:pt idx="3">
                  <c:v>2404</c:v>
                </c:pt>
                <c:pt idx="4">
                  <c:v>2405</c:v>
                </c:pt>
                <c:pt idx="5">
                  <c:v>2406</c:v>
                </c:pt>
                <c:pt idx="6">
                  <c:v>2407</c:v>
                </c:pt>
                <c:pt idx="7">
                  <c:v>2408</c:v>
                </c:pt>
                <c:pt idx="8">
                  <c:v>2409</c:v>
                </c:pt>
                <c:pt idx="9">
                  <c:v>2410</c:v>
                </c:pt>
                <c:pt idx="10">
                  <c:v>2411</c:v>
                </c:pt>
                <c:pt idx="11">
                  <c:v>2412</c:v>
                </c:pt>
                <c:pt idx="12">
                  <c:v>2413</c:v>
                </c:pt>
                <c:pt idx="13">
                  <c:v>2501</c:v>
                </c:pt>
                <c:pt idx="14">
                  <c:v>2502</c:v>
                </c:pt>
                <c:pt idx="15">
                  <c:v>2503</c:v>
                </c:pt>
                <c:pt idx="16">
                  <c:v>2504</c:v>
                </c:pt>
                <c:pt idx="17">
                  <c:v>2505</c:v>
                </c:pt>
                <c:pt idx="18">
                  <c:v>2506</c:v>
                </c:pt>
                <c:pt idx="19">
                  <c:v>2507</c:v>
                </c:pt>
                <c:pt idx="20">
                  <c:v>2508</c:v>
                </c:pt>
                <c:pt idx="21">
                  <c:v>2509</c:v>
                </c:pt>
                <c:pt idx="22">
                  <c:v>2510</c:v>
                </c:pt>
              </c:numCache>
            </c:numRef>
          </c:cat>
          <c:val>
            <c:numRef>
              <c:f>Data!$O$143:$AK$143</c:f>
              <c:numCache>
                <c:formatCode>0.00</c:formatCode>
                <c:ptCount val="23"/>
                <c:pt idx="0">
                  <c:v>2</c:v>
                </c:pt>
                <c:pt idx="1">
                  <c:v>2.3846153846153846</c:v>
                </c:pt>
                <c:pt idx="2">
                  <c:v>2.7692307692307692</c:v>
                </c:pt>
                <c:pt idx="3">
                  <c:v>3.0769230769230771</c:v>
                </c:pt>
                <c:pt idx="4">
                  <c:v>3.3076923076923075</c:v>
                </c:pt>
                <c:pt idx="5">
                  <c:v>3.6923076923076925</c:v>
                </c:pt>
                <c:pt idx="6">
                  <c:v>4.3076923076923075</c:v>
                </c:pt>
                <c:pt idx="7">
                  <c:v>5.0769230769230766</c:v>
                </c:pt>
                <c:pt idx="8">
                  <c:v>5.2307692307692308</c:v>
                </c:pt>
                <c:pt idx="9">
                  <c:v>5</c:v>
                </c:pt>
                <c:pt idx="10">
                  <c:v>4.7692307692307692</c:v>
                </c:pt>
                <c:pt idx="11">
                  <c:v>4.4615384615384617</c:v>
                </c:pt>
                <c:pt idx="12">
                  <c:v>4.5384615384615383</c:v>
                </c:pt>
                <c:pt idx="13">
                  <c:v>4.0769230769230766</c:v>
                </c:pt>
                <c:pt idx="14">
                  <c:v>4.0769230769230766</c:v>
                </c:pt>
                <c:pt idx="15">
                  <c:v>4.3076923076923075</c:v>
                </c:pt>
                <c:pt idx="16">
                  <c:v>4.1538461538461542</c:v>
                </c:pt>
                <c:pt idx="17">
                  <c:v>4</c:v>
                </c:pt>
                <c:pt idx="18">
                  <c:v>3.6923076923076925</c:v>
                </c:pt>
                <c:pt idx="19">
                  <c:v>3.3846153846153846</c:v>
                </c:pt>
                <c:pt idx="20">
                  <c:v>2.7692307692307692</c:v>
                </c:pt>
                <c:pt idx="21">
                  <c:v>2.4615384615384617</c:v>
                </c:pt>
                <c:pt idx="22">
                  <c:v>2.4615384615384617</c:v>
                </c:pt>
              </c:numCache>
            </c:numRef>
          </c:val>
          <c:smooth val="0"/>
          <c:extLst>
            <c:ext xmlns:c16="http://schemas.microsoft.com/office/drawing/2014/chart" uri="{C3380CC4-5D6E-409C-BE32-E72D297353CC}">
              <c16:uniqueId val="{00000003-387B-454B-BB73-23272616101E}"/>
            </c:ext>
          </c:extLst>
        </c:ser>
        <c:dLbls>
          <c:showLegendKey val="0"/>
          <c:showVal val="0"/>
          <c:showCatName val="0"/>
          <c:showSerName val="0"/>
          <c:showPercent val="0"/>
          <c:showBubbleSize val="0"/>
        </c:dLbls>
        <c:marker val="1"/>
        <c:smooth val="0"/>
        <c:axId val="128026112"/>
        <c:axId val="128027648"/>
      </c:lineChart>
      <c:catAx>
        <c:axId val="128026112"/>
        <c:scaling>
          <c:orientation val="minMax"/>
        </c:scaling>
        <c:delete val="0"/>
        <c:axPos val="b"/>
        <c:numFmt formatCode="General" sourceLinked="1"/>
        <c:majorTickMark val="out"/>
        <c:minorTickMark val="none"/>
        <c:tickLblPos val="nextTo"/>
        <c:txPr>
          <a:bodyPr/>
          <a:lstStyle/>
          <a:p>
            <a:pPr>
              <a:defRPr sz="800"/>
            </a:pPr>
            <a:endParaRPr lang="en-US"/>
          </a:p>
        </c:txPr>
        <c:crossAx val="128027648"/>
        <c:crosses val="autoZero"/>
        <c:auto val="1"/>
        <c:lblAlgn val="ctr"/>
        <c:lblOffset val="100"/>
        <c:noMultiLvlLbl val="0"/>
      </c:catAx>
      <c:valAx>
        <c:axId val="128027648"/>
        <c:scaling>
          <c:orientation val="minMax"/>
        </c:scaling>
        <c:delete val="0"/>
        <c:axPos val="l"/>
        <c:majorGridlines/>
        <c:numFmt formatCode="General" sourceLinked="1"/>
        <c:majorTickMark val="out"/>
        <c:minorTickMark val="none"/>
        <c:tickLblPos val="nextTo"/>
        <c:crossAx val="128026112"/>
        <c:crosses val="autoZero"/>
        <c:crossBetween val="between"/>
      </c:valAx>
    </c:plotArea>
    <c:legend>
      <c:legendPos val="r"/>
      <c:legendEntry>
        <c:idx val="0"/>
        <c:txPr>
          <a:bodyPr/>
          <a:lstStyle/>
          <a:p>
            <a:pPr>
              <a:defRPr sz="800"/>
            </a:pPr>
            <a:endParaRPr lang="en-US"/>
          </a:p>
        </c:txPr>
      </c:legendEntry>
      <c:legendEntry>
        <c:idx val="1"/>
        <c:txPr>
          <a:bodyPr/>
          <a:lstStyle/>
          <a:p>
            <a:pPr>
              <a:defRPr sz="800"/>
            </a:pPr>
            <a:endParaRPr lang="en-US"/>
          </a:p>
        </c:txPr>
      </c:legendEntry>
      <c:legendEntry>
        <c:idx val="2"/>
        <c:txPr>
          <a:bodyPr/>
          <a:lstStyle/>
          <a:p>
            <a:pPr>
              <a:defRPr sz="800"/>
            </a:pPr>
            <a:endParaRPr lang="en-US"/>
          </a:p>
        </c:txPr>
      </c:legendEntry>
      <c:legendEntry>
        <c:idx val="3"/>
        <c:txPr>
          <a:bodyPr/>
          <a:lstStyle/>
          <a:p>
            <a:pPr>
              <a:defRPr sz="800"/>
            </a:pPr>
            <a:endParaRPr lang="en-US"/>
          </a:p>
        </c:txPr>
      </c:legendEntry>
      <c:layout>
        <c:manualLayout>
          <c:xMode val="edge"/>
          <c:yMode val="edge"/>
          <c:x val="0.89762351228792692"/>
          <c:y val="1.6032441429959523E-3"/>
          <c:w val="0.1023765169727419"/>
          <c:h val="0.60713042396246353"/>
        </c:manualLayout>
      </c:layout>
      <c:overlay val="0"/>
      <c:txPr>
        <a:bodyPr/>
        <a:lstStyle/>
        <a:p>
          <a:pPr>
            <a:defRPr sz="800"/>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56983</xdr:colOff>
      <xdr:row>35</xdr:row>
      <xdr:rowOff>47288</xdr:rowOff>
    </xdr:from>
    <xdr:to>
      <xdr:col>6</xdr:col>
      <xdr:colOff>16877</xdr:colOff>
      <xdr:row>51</xdr:row>
      <xdr:rowOff>9021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124</xdr:row>
      <xdr:rowOff>27406</xdr:rowOff>
    </xdr:from>
    <xdr:to>
      <xdr:col>7</xdr:col>
      <xdr:colOff>598070</xdr:colOff>
      <xdr:row>147</xdr:row>
      <xdr:rowOff>140369</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70</xdr:row>
      <xdr:rowOff>21888</xdr:rowOff>
    </xdr:from>
    <xdr:to>
      <xdr:col>5</xdr:col>
      <xdr:colOff>871954</xdr:colOff>
      <xdr:row>85</xdr:row>
      <xdr:rowOff>27568</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28908</xdr:colOff>
      <xdr:row>13</xdr:row>
      <xdr:rowOff>136306</xdr:rowOff>
    </xdr:from>
    <xdr:to>
      <xdr:col>36</xdr:col>
      <xdr:colOff>197083</xdr:colOff>
      <xdr:row>30</xdr:row>
      <xdr:rowOff>93578</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256337</xdr:colOff>
      <xdr:row>13</xdr:row>
      <xdr:rowOff>132848</xdr:rowOff>
    </xdr:from>
    <xdr:to>
      <xdr:col>45</xdr:col>
      <xdr:colOff>9857</xdr:colOff>
      <xdr:row>31</xdr:row>
      <xdr:rowOff>27071</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20052</xdr:colOff>
      <xdr:row>87</xdr:row>
      <xdr:rowOff>471</xdr:rowOff>
    </xdr:from>
    <xdr:to>
      <xdr:col>5</xdr:col>
      <xdr:colOff>882315</xdr:colOff>
      <xdr:row>102</xdr:row>
      <xdr:rowOff>16544</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0</xdr:rowOff>
    </xdr:from>
    <xdr:to>
      <xdr:col>0</xdr:col>
      <xdr:colOff>0</xdr:colOff>
      <xdr:row>3</xdr:row>
      <xdr:rowOff>0</xdr:rowOff>
    </xdr:to>
    <xdr:sp macro="" textlink="">
      <xdr:nvSpPr>
        <xdr:cNvPr id="13" name="Chart 7">
          <a:extLst>
            <a:ext uri="{FF2B5EF4-FFF2-40B4-BE49-F238E27FC236}">
              <a16:creationId xmlns:a16="http://schemas.microsoft.com/office/drawing/2014/main" id="{00000000-0008-0000-0000-00000D000000}"/>
            </a:ext>
          </a:extLst>
        </xdr:cNvPr>
        <xdr:cNvSpPr>
          <a:spLocks noChangeArrowheads="1"/>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0</xdr:colOff>
      <xdr:row>3</xdr:row>
      <xdr:rowOff>0</xdr:rowOff>
    </xdr:to>
    <xdr:sp macro="" textlink="">
      <xdr:nvSpPr>
        <xdr:cNvPr id="14" name="AutoShape 3">
          <a:extLst>
            <a:ext uri="{FF2B5EF4-FFF2-40B4-BE49-F238E27FC236}">
              <a16:creationId xmlns:a16="http://schemas.microsoft.com/office/drawing/2014/main" id="{00000000-0008-0000-0000-00000E000000}"/>
            </a:ext>
          </a:extLst>
        </xdr:cNvPr>
        <xdr:cNvSpPr>
          <a:spLocks noChangeArrowheads="1"/>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0</xdr:colOff>
      <xdr:row>3</xdr:row>
      <xdr:rowOff>0</xdr:rowOff>
    </xdr:to>
    <xdr:sp macro="" textlink="">
      <xdr:nvSpPr>
        <xdr:cNvPr id="15" name="Chart 6">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150</xdr:row>
      <xdr:rowOff>45286</xdr:rowOff>
    </xdr:from>
    <xdr:to>
      <xdr:col>7</xdr:col>
      <xdr:colOff>598404</xdr:colOff>
      <xdr:row>172</xdr:row>
      <xdr:rowOff>149559</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106</xdr:row>
      <xdr:rowOff>6852</xdr:rowOff>
    </xdr:from>
    <xdr:to>
      <xdr:col>3</xdr:col>
      <xdr:colOff>1012658</xdr:colOff>
      <xdr:row>121</xdr:row>
      <xdr:rowOff>1</xdr:rowOff>
    </xdr:to>
    <xdr:graphicFrame macro="">
      <xdr:nvGraphicFramePr>
        <xdr:cNvPr id="21" name="Chart 20">
          <a:extLst>
            <a:ext uri="{FF2B5EF4-FFF2-40B4-BE49-F238E27FC236}">
              <a16:creationId xmlns:a16="http://schemas.microsoft.com/office/drawing/2014/main"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175</xdr:row>
      <xdr:rowOff>20052</xdr:rowOff>
    </xdr:from>
    <xdr:to>
      <xdr:col>3</xdr:col>
      <xdr:colOff>1012658</xdr:colOff>
      <xdr:row>189</xdr:row>
      <xdr:rowOff>160755</xdr:rowOff>
    </xdr:to>
    <xdr:graphicFrame macro="">
      <xdr:nvGraphicFramePr>
        <xdr:cNvPr id="23" name="Chart 22">
          <a:extLst>
            <a:ext uri="{FF2B5EF4-FFF2-40B4-BE49-F238E27FC236}">
              <a16:creationId xmlns:a16="http://schemas.microsoft.com/office/drawing/2014/main" id="{DA7069A1-F01A-4649-8836-913354FC6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204</xdr:row>
      <xdr:rowOff>6516</xdr:rowOff>
    </xdr:from>
    <xdr:to>
      <xdr:col>4</xdr:col>
      <xdr:colOff>9860</xdr:colOff>
      <xdr:row>221</xdr:row>
      <xdr:rowOff>90236</xdr:rowOff>
    </xdr:to>
    <xdr:graphicFrame macro="">
      <xdr:nvGraphicFramePr>
        <xdr:cNvPr id="8" name="Chart 7">
          <a:extLst>
            <a:ext uri="{FF2B5EF4-FFF2-40B4-BE49-F238E27FC236}">
              <a16:creationId xmlns:a16="http://schemas.microsoft.com/office/drawing/2014/main" id="{368DE45A-1D8C-493E-B38D-4F0E54E77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224</xdr:row>
      <xdr:rowOff>0</xdr:rowOff>
    </xdr:from>
    <xdr:to>
      <xdr:col>4</xdr:col>
      <xdr:colOff>9860</xdr:colOff>
      <xdr:row>240</xdr:row>
      <xdr:rowOff>150395</xdr:rowOff>
    </xdr:to>
    <xdr:graphicFrame macro="">
      <xdr:nvGraphicFramePr>
        <xdr:cNvPr id="19" name="Chart 18">
          <a:extLst>
            <a:ext uri="{FF2B5EF4-FFF2-40B4-BE49-F238E27FC236}">
              <a16:creationId xmlns:a16="http://schemas.microsoft.com/office/drawing/2014/main" id="{2FC9BA92-C599-496B-8BE0-E323A21B1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244</xdr:row>
      <xdr:rowOff>50132</xdr:rowOff>
    </xdr:from>
    <xdr:to>
      <xdr:col>4</xdr:col>
      <xdr:colOff>6685</xdr:colOff>
      <xdr:row>260</xdr:row>
      <xdr:rowOff>50466</xdr:rowOff>
    </xdr:to>
    <xdr:graphicFrame macro="">
      <xdr:nvGraphicFramePr>
        <xdr:cNvPr id="24" name="Chart 23">
          <a:extLst>
            <a:ext uri="{FF2B5EF4-FFF2-40B4-BE49-F238E27FC236}">
              <a16:creationId xmlns:a16="http://schemas.microsoft.com/office/drawing/2014/main" id="{EB01FB17-C1F5-40BE-8907-3D36D8857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70184</xdr:colOff>
      <xdr:row>53</xdr:row>
      <xdr:rowOff>50131</xdr:rowOff>
    </xdr:from>
    <xdr:to>
      <xdr:col>9</xdr:col>
      <xdr:colOff>19716</xdr:colOff>
      <xdr:row>68</xdr:row>
      <xdr:rowOff>52804</xdr:rowOff>
    </xdr:to>
    <xdr:graphicFrame macro="">
      <xdr:nvGraphicFramePr>
        <xdr:cNvPr id="18" name="Chart 17">
          <a:extLst>
            <a:ext uri="{FF2B5EF4-FFF2-40B4-BE49-F238E27FC236}">
              <a16:creationId xmlns:a16="http://schemas.microsoft.com/office/drawing/2014/main" id="{A0A50225-39C0-4913-8329-898CE46EA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E157E7-7FF9-484C-9A85-1C42A3172D90}" name="Incidents" displayName="Incidents" ref="A2:AC2371" totalsRowShown="0" headerRowDxfId="52" tableBorderDxfId="51">
  <autoFilter ref="A2:AC2371" xr:uid="{1CE157E7-7FF9-484C-9A85-1C42A3172D90}"/>
  <tableColumns count="29">
    <tableColumn id="1" xr3:uid="{D8D49383-FA2A-4415-9933-3082BEB69BDB}" name="Status" dataDxfId="50">
      <calculatedColumnFormula>IF(T3&gt;1,"Closed",IF(AA3=1,"Overdue",IF(AA3=3,"","Open")))</calculatedColumnFormula>
    </tableColumn>
    <tableColumn id="2" xr3:uid="{D9E1C53B-F84A-4491-BFB1-6E281BD761FA}" name="Date " dataDxfId="49"/>
    <tableColumn id="3" xr3:uid="{B684EC31-48DC-478B-AE8E-3C706FBC9951}" name="Reporting Period" dataDxfId="48"/>
    <tableColumn id="4" xr3:uid="{CFD4B3D1-A4E0-4B0A-8C1B-4D462637A41E}" name="Accident/ Incident  Reference " dataDxfId="47"/>
    <tableColumn id="5" xr3:uid="{09DB9F0C-397E-4540-99F8-3C2132E4BBC9}" name="Incident" dataDxfId="46"/>
    <tableColumn id="6" xr3:uid="{F65096EA-3864-4832-B079-8FC5155AA5AC}" name="Location" dataDxfId="45"/>
    <tableColumn id="7" xr3:uid="{01D0BFF6-4D4A-4108-8805-0B12DDE052D8}" name="Direction of Travel" dataDxfId="44"/>
    <tableColumn id="8" xr3:uid="{B099CE9A-0F6B-4A87-85E5-976FE7A5727E}" name="Tram " dataDxfId="43"/>
    <tableColumn id="9" xr3:uid="{23324466-A3D9-416F-85A4-309C2AE6B6C1}" name="Catergory" dataDxfId="42"/>
    <tableColumn id="10" xr3:uid="{240C95C1-F38E-495E-85F2-2A35F9A761F2}" name="Staff No" dataDxfId="41"/>
    <tableColumn id="11" xr3:uid="{1F0A0D9E-D84E-47EE-9834-44C04D2A4A00}" name="Person Type " dataDxfId="40"/>
    <tableColumn id="12" xr3:uid="{77A5EF9C-0D1D-41E7-B119-843668329EDC}" name="Description of incident" dataDxfId="39"/>
    <tableColumn id="13" xr3:uid="{A7EF74A0-9E74-475D-B7E2-0A9F6A76AAE4}" name="Total Number of days Lost " dataDxfId="38">
      <calculatedColumnFormula>IF(I3="Staff Accident","Entry Required",IF(I3="Assaults","Entry Required",0))</calculatedColumnFormula>
    </tableColumn>
    <tableColumn id="14" xr3:uid="{82A53928-D0DA-4C60-9937-CBB3E8B05761}" name="RIDDOR/SMIS" dataDxfId="37"/>
    <tableColumn id="15" xr3:uid="{08A2A0C6-F7B5-48B3-8F65-055791C3F370}" name="Initial Report Received?" dataDxfId="36"/>
    <tableColumn id="16" xr3:uid="{F516C1FA-4BB2-45FB-9519-BCF7D724917B}" name="Type of investigation carried out " dataDxfId="35"/>
    <tableColumn id="17" xr3:uid="{5D6B2C0E-147A-4D14-99AA-0C42E017F6A4}" name="Investigating Manager" dataDxfId="34"/>
    <tableColumn id="18" xr3:uid="{5C16F59C-2C9B-43A9-A1EB-A2E3F0262BA1}" name="Function if Staff Accident or Assault (CS or Eng)" dataDxfId="33">
      <calculatedColumnFormula>IF(I3="Staff Accident","Entry Required",IF(I3="Assaults","Entry Required",0))</calculatedColumnFormula>
    </tableColumn>
    <tableColumn id="19" xr3:uid="{A6685B68-4FE3-4A0D-94D3-33CCA940A25F}" name="Investigation Due " dataDxfId="32">
      <calculatedColumnFormula>IF(B3="","",B3+28)</calculatedColumnFormula>
    </tableColumn>
    <tableColumn id="20" xr3:uid="{F5D8AB36-0CA6-43C6-909A-B13DA46BB9A5}" name="Investigation Completion date" dataDxfId="31"/>
    <tableColumn id="21" xr3:uid="{58C6C3F9-C39C-4076-B959-0D57FD2E60A4}" name="Immediate Cause" dataDxfId="30"/>
    <tableColumn id="22" xr3:uid="{449C7513-7AA5-49C2-AB02-1133CC8EDBE6}" name="Underlying Cause " dataDxfId="29"/>
    <tableColumn id="23" xr3:uid="{0E52041C-3018-462E-BD0A-C044F5B31C0D}" name="Driver Contributory Factor" dataDxfId="28"/>
    <tableColumn id="24" xr3:uid="{E4BB9E7C-2633-4B46-9FBD-29EEDC0F1DB8}" name="Recommendations Made?" dataDxfId="27"/>
    <tableColumn id="25" xr3:uid="{6D282B91-1BB2-4B9D-A26B-27B47FFE111B}" name="Lan &amp; Lon" dataDxfId="26"/>
    <tableColumn id="26" xr3:uid="{23C418D9-BF08-45B4-86BF-1ADAFDB7987E}" name="Comments" dataDxfId="25"/>
    <tableColumn id="27" xr3:uid="{86585BB0-70F0-4862-B6F8-6F53D6FF957E}" name="Column1" dataDxfId="24">
      <calculatedColumnFormula>IF(B3="",3,IF(S3&lt;$A$1,1,0))</calculatedColumnFormula>
    </tableColumn>
    <tableColumn id="28" xr3:uid="{BB6CC34E-3065-43AF-89B0-A2702962848C}" name="Claim received?" dataDxfId="23"/>
    <tableColumn id="29" xr3:uid="{437C0760-BE32-4B7F-9503-3103ECC9474A}" name="Citylink or Siemens" dataDxfId="22">
      <calculatedColumnFormula>LEFT(H3,1)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BCC45-00A6-42D8-8304-65E3EBE14F1C}">
  <we:reference id="wa104382047" version="1.0.2.7" store="en-GB" storeType="OMEX"/>
  <we:alternateReferences>
    <we:reference id="wa104382047" version="1.0.2.7" store="WA1043820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_xldudf_MAPCITE_DISTANCETO</we:customFunctionIds>
        <we:customFunctionIds>_xldudf_MAPCITE_DISTANCETOFURTHEST</we:customFunctionIds>
        <we:customFunctionIds>_xldudf_MAPCITE_DISTANCETONEAREST</we:customFunctionIds>
        <we:customFunctionIds>_xldudf_MAPCITE_FINDFURTHEST</we:customFunctionIds>
        <we:customFunctionIds>_xldudf_MAPCITE_FINDNEAREST</we:customFunctionIds>
        <we:customFunctionIds>_xldudf_MAPCITE_AVERAGEINRADIUS</we:customFunctionIds>
        <we:customFunctionIds>_xldudf_MAPCITE_COUNTINRADIUS</we:customFunctionIds>
        <we:customFunctionIds>_xldudf_MAPCITE_MAXINRADIUS</we:customFunctionIds>
        <we:customFunctionIds>_xldudf_MAPCITE_MININRADIUS</we:customFunctionIds>
        <we:customFunctionIds>_xldudf_MAPCITE_SUMINRADIUS</we:customFunctionIds>
        <we:customFunctionIds>_xldudf_MAPCITE_CO2EFREIGHT</we:customFunctionIds>
        <we:customFunctionIds>_xldudf_MAPCITE_CO2EBUSINESSTRAVEL</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93"/>
  <sheetViews>
    <sheetView workbookViewId="0">
      <pane xSplit="1" ySplit="4" topLeftCell="O221" activePane="bottomRight" state="frozen"/>
      <selection pane="topRight" activeCell="B1" sqref="B1"/>
      <selection pane="bottomLeft" activeCell="A5" sqref="A5"/>
      <selection pane="bottomRight" activeCell="O241" sqref="O241"/>
    </sheetView>
  </sheetViews>
  <sheetFormatPr defaultRowHeight="14.5" x14ac:dyDescent="0.35"/>
  <cols>
    <col min="1" max="1" width="45.453125" customWidth="1"/>
    <col min="2" max="9" width="8.7265625" style="394" hidden="1" customWidth="1"/>
    <col min="10" max="26" width="8.7265625" customWidth="1"/>
  </cols>
  <sheetData>
    <row r="1" spans="1:41" x14ac:dyDescent="0.35">
      <c r="B1" s="394">
        <v>1</v>
      </c>
      <c r="C1" s="394">
        <v>1</v>
      </c>
      <c r="D1" s="394">
        <v>1</v>
      </c>
      <c r="E1" s="394">
        <v>1</v>
      </c>
      <c r="F1" s="394">
        <v>1</v>
      </c>
      <c r="G1" s="394">
        <v>1</v>
      </c>
      <c r="H1" s="394">
        <v>1</v>
      </c>
      <c r="I1" s="394">
        <v>1</v>
      </c>
      <c r="J1">
        <v>1</v>
      </c>
      <c r="K1">
        <v>1</v>
      </c>
      <c r="L1">
        <v>1</v>
      </c>
      <c r="M1">
        <v>1</v>
      </c>
      <c r="N1">
        <v>1</v>
      </c>
      <c r="O1">
        <v>1</v>
      </c>
      <c r="P1">
        <v>1</v>
      </c>
      <c r="Q1">
        <v>1</v>
      </c>
      <c r="R1">
        <v>1</v>
      </c>
      <c r="S1">
        <v>1</v>
      </c>
      <c r="T1">
        <v>1</v>
      </c>
      <c r="U1">
        <v>1</v>
      </c>
      <c r="V1">
        <v>1</v>
      </c>
      <c r="W1">
        <v>1</v>
      </c>
      <c r="X1">
        <v>1</v>
      </c>
      <c r="Y1">
        <v>1</v>
      </c>
      <c r="Z1">
        <v>1</v>
      </c>
      <c r="AA1">
        <v>1</v>
      </c>
      <c r="AB1">
        <v>1</v>
      </c>
      <c r="AC1">
        <v>1</v>
      </c>
      <c r="AD1">
        <v>1</v>
      </c>
      <c r="AE1">
        <v>1</v>
      </c>
      <c r="AF1">
        <v>1</v>
      </c>
      <c r="AG1">
        <v>1</v>
      </c>
      <c r="AH1">
        <v>1</v>
      </c>
      <c r="AI1">
        <v>1</v>
      </c>
      <c r="AJ1">
        <v>1</v>
      </c>
      <c r="AK1">
        <v>1</v>
      </c>
    </row>
    <row r="2" spans="1:41" ht="15" thickBot="1" x14ac:dyDescent="0.4"/>
    <row r="3" spans="1:41" ht="29" thickBot="1" x14ac:dyDescent="0.4">
      <c r="A3" s="386" t="s">
        <v>0</v>
      </c>
      <c r="B3" s="395"/>
      <c r="C3" s="395"/>
      <c r="D3" s="395"/>
      <c r="E3" s="395"/>
      <c r="F3" s="395"/>
      <c r="G3" s="395"/>
      <c r="H3" s="395"/>
      <c r="I3" s="395"/>
      <c r="J3" s="208"/>
      <c r="K3" s="208"/>
      <c r="L3" s="208"/>
      <c r="M3" s="208"/>
      <c r="N3" s="208" t="s">
        <v>1</v>
      </c>
      <c r="O3" s="51"/>
      <c r="P3" s="51"/>
      <c r="Q3" s="51"/>
      <c r="R3" s="51"/>
      <c r="S3" s="51"/>
      <c r="T3" s="51"/>
      <c r="U3" s="51"/>
      <c r="V3" s="51"/>
      <c r="W3" s="51"/>
      <c r="X3" s="51"/>
      <c r="Y3" s="51"/>
      <c r="Z3" s="51"/>
      <c r="AA3" s="51"/>
      <c r="AB3" s="283"/>
      <c r="AC3" s="283"/>
      <c r="AD3" s="283"/>
      <c r="AE3" s="283"/>
      <c r="AF3" s="283"/>
      <c r="AG3" s="283"/>
      <c r="AH3" s="283"/>
      <c r="AI3" s="283"/>
      <c r="AJ3" s="283"/>
      <c r="AK3" s="283"/>
      <c r="AL3" s="283"/>
      <c r="AM3" s="283"/>
      <c r="AN3" s="283"/>
    </row>
    <row r="4" spans="1:41" ht="15" thickBot="1" x14ac:dyDescent="0.4">
      <c r="A4" s="114"/>
      <c r="B4" s="396">
        <v>2301</v>
      </c>
      <c r="C4" s="396">
        <v>2302</v>
      </c>
      <c r="D4" s="396">
        <v>2303</v>
      </c>
      <c r="E4" s="396">
        <v>2304</v>
      </c>
      <c r="F4" s="396">
        <v>2305</v>
      </c>
      <c r="G4" s="396">
        <v>2306</v>
      </c>
      <c r="H4" s="396">
        <v>2307</v>
      </c>
      <c r="I4" s="396">
        <v>2308</v>
      </c>
      <c r="J4" s="206">
        <v>2309</v>
      </c>
      <c r="K4" s="206">
        <v>2310</v>
      </c>
      <c r="L4" s="206">
        <v>2311</v>
      </c>
      <c r="M4" s="206">
        <v>2312</v>
      </c>
      <c r="N4" s="206">
        <v>2313</v>
      </c>
      <c r="O4" s="208">
        <v>2401</v>
      </c>
      <c r="P4" s="208">
        <v>2402</v>
      </c>
      <c r="Q4" s="208">
        <v>2403</v>
      </c>
      <c r="R4" s="208">
        <v>2404</v>
      </c>
      <c r="S4" s="208">
        <v>2405</v>
      </c>
      <c r="T4" s="208">
        <v>2406</v>
      </c>
      <c r="U4" s="208">
        <v>2407</v>
      </c>
      <c r="V4" s="208">
        <v>2408</v>
      </c>
      <c r="W4" s="208">
        <v>2409</v>
      </c>
      <c r="X4" s="208">
        <v>2410</v>
      </c>
      <c r="Y4" s="208">
        <v>2411</v>
      </c>
      <c r="Z4" s="208">
        <v>2412</v>
      </c>
      <c r="AA4" s="208">
        <v>2413</v>
      </c>
      <c r="AB4" s="284">
        <v>2501</v>
      </c>
      <c r="AC4" s="284">
        <v>2502</v>
      </c>
      <c r="AD4" s="284">
        <v>2503</v>
      </c>
      <c r="AE4" s="284">
        <v>2504</v>
      </c>
      <c r="AF4" s="284">
        <v>2505</v>
      </c>
      <c r="AG4" s="284">
        <v>2506</v>
      </c>
      <c r="AH4" s="284">
        <v>2507</v>
      </c>
      <c r="AI4" s="284">
        <v>2508</v>
      </c>
      <c r="AJ4" s="284">
        <v>2509</v>
      </c>
      <c r="AK4" s="284">
        <v>2510</v>
      </c>
      <c r="AL4" s="284">
        <v>2511</v>
      </c>
      <c r="AM4" s="284">
        <v>2512</v>
      </c>
      <c r="AN4" s="284">
        <v>2513</v>
      </c>
    </row>
    <row r="5" spans="1:41" x14ac:dyDescent="0.35">
      <c r="A5" s="71"/>
      <c r="B5" s="397">
        <f t="array" ref="B5">SUM(($A$6='Accident &amp; Incident Detail'!$I$3:$I$3433)*(Data!B4='Accident &amp; Incident Detail'!$C$3:$C$3433))</f>
        <v>0</v>
      </c>
      <c r="C5" s="397">
        <f t="array" ref="C5">SUM(($A$6='Accident &amp; Incident Detail'!$I$3:$I$3433)*(Data!C4='Accident &amp; Incident Detail'!$C$3:$C$3433))</f>
        <v>0</v>
      </c>
      <c r="D5" s="397">
        <f t="array" ref="D5">SUM(($A$6='Accident &amp; Incident Detail'!$I$3:$I$3433)*(Data!D4='Accident &amp; Incident Detail'!$C$3:$C$3433))</f>
        <v>0</v>
      </c>
      <c r="E5" s="397">
        <f t="array" ref="E5">SUM(($A$6='Accident &amp; Incident Detail'!$I$3:$I$3433)*(Data!E4='Accident &amp; Incident Detail'!$C$3:$C$3433))</f>
        <v>0</v>
      </c>
      <c r="F5" s="397">
        <f t="array" ref="F5">SUM(($A$6='Accident &amp; Incident Detail'!$I$3:$I$3433)*(Data!F4='Accident &amp; Incident Detail'!$C$3:$C$3433))</f>
        <v>0</v>
      </c>
      <c r="G5" s="397">
        <f t="array" ref="G5">SUM(($A$6='Accident &amp; Incident Detail'!$I$3:$I$3433)*(Data!G4='Accident &amp; Incident Detail'!$C$3:$C$3433))</f>
        <v>0</v>
      </c>
      <c r="H5" s="397">
        <f t="array" ref="H5">SUM(($A$6='Accident &amp; Incident Detail'!$I$3:$I$3433)*(Data!H4='Accident &amp; Incident Detail'!$C$3:$C$3433))</f>
        <v>0</v>
      </c>
      <c r="I5" s="397">
        <f t="array" ref="I5">SUM(($A$6='Accident &amp; Incident Detail'!$I$3:$I$3433)*(Data!I4='Accident &amp; Incident Detail'!$C$3:$C$3433))</f>
        <v>0</v>
      </c>
      <c r="J5" s="205">
        <f t="array" ref="J5">SUM(($A$6='Accident &amp; Incident Detail'!$I$3:$I$3433)*(Data!J4='Accident &amp; Incident Detail'!$C$3:$C$3433))</f>
        <v>1</v>
      </c>
      <c r="K5" s="205">
        <f t="array" ref="K5">SUM(($A$6='Accident &amp; Incident Detail'!$I$3:$I$3433)*(Data!K4='Accident &amp; Incident Detail'!$C$3:$C$3433))</f>
        <v>2</v>
      </c>
      <c r="L5" s="205">
        <f t="array" ref="L5">SUM(($A$6='Accident &amp; Incident Detail'!$I$3:$I$3433)*(Data!L4='Accident &amp; Incident Detail'!$C$3:$C$3433))</f>
        <v>3</v>
      </c>
      <c r="M5" s="205">
        <f t="array" ref="M5">SUM(($A$6='Accident &amp; Incident Detail'!$I$3:$I$3433)*(Data!M4='Accident &amp; Incident Detail'!$C$3:$C$3433))</f>
        <v>1</v>
      </c>
      <c r="N5" s="205">
        <f t="array" ref="N5">SUM(($A$6='Accident &amp; Incident Detail'!$I$3:$I$3433)*(Data!N4='Accident &amp; Incident Detail'!$C$3:$C$3433))</f>
        <v>0</v>
      </c>
      <c r="O5" s="205">
        <f t="array" ref="O5">SUM(($A$6='Accident &amp; Incident Detail'!$I$3:$I$3433)*(Data!O4='Accident &amp; Incident Detail'!$C$3:$C$3433))</f>
        <v>1</v>
      </c>
      <c r="P5" s="205">
        <f t="array" ref="P5">SUM(($A$6='Accident &amp; Incident Detail'!$I$3:$I$3433)*(Data!P4='Accident &amp; Incident Detail'!$C$3:$C$3433))</f>
        <v>4</v>
      </c>
      <c r="Q5" s="205">
        <f t="array" ref="Q5">SUM(($A$6='Accident &amp; Incident Detail'!$I$3:$I$3433)*(Data!Q4='Accident &amp; Incident Detail'!$C$3:$C$3433))</f>
        <v>0</v>
      </c>
      <c r="R5" s="205">
        <f t="array" ref="R5">SUM(($A$6='Accident &amp; Incident Detail'!$I$3:$I$3433)*(Data!R4='Accident &amp; Incident Detail'!$C$3:$C$3433))</f>
        <v>2</v>
      </c>
      <c r="S5" s="205">
        <f t="array" ref="S5">SUM(($A$6='Accident &amp; Incident Detail'!$I$3:$I$3433)*(Data!S4='Accident &amp; Incident Detail'!$C$3:$C$3433))</f>
        <v>2</v>
      </c>
      <c r="T5" s="205">
        <f t="array" ref="T5">SUM(($A$6='Accident &amp; Incident Detail'!$I$3:$I$3433)*(Data!T4='Accident &amp; Incident Detail'!$C$3:$C$3433))</f>
        <v>1</v>
      </c>
      <c r="U5" s="205" cm="1">
        <f t="array" ref="U5">SUM(($A$6='Accident &amp; Incident Detail'!$I$3:$I$3433)*(Data!U4='Accident &amp; Incident Detail'!$C$3:$C$3433))</f>
        <v>3</v>
      </c>
      <c r="V5" s="205">
        <f t="array" ref="V5">SUM(($A$6='Accident &amp; Incident Detail'!$I$3:$I$3433)*(Data!V4='Accident &amp; Incident Detail'!$C$3:$C$3433))</f>
        <v>2</v>
      </c>
      <c r="W5" s="205">
        <f t="array" ref="W5">SUM(($A$6='Accident &amp; Incident Detail'!$I$3:$I$3433)*(Data!W4='Accident &amp; Incident Detail'!$C$3:$C$3433))</f>
        <v>1</v>
      </c>
      <c r="X5" s="205">
        <f t="array" ref="X5">SUM(($A$6='Accident &amp; Incident Detail'!$I$3:$I$3433)*(Data!X4='Accident &amp; Incident Detail'!$C$3:$C$3433))</f>
        <v>3</v>
      </c>
      <c r="Y5" s="205">
        <f t="array" ref="Y5">SUM(($A$6='Accident &amp; Incident Detail'!$I$3:$I$3433)*(Data!Y4='Accident &amp; Incident Detail'!$C$3:$C$3433))</f>
        <v>5</v>
      </c>
      <c r="Z5" s="205">
        <f t="array" ref="Z5">SUM(($A$6='Accident &amp; Incident Detail'!$I$3:$I$3433)*(Data!Z4='Accident &amp; Incident Detail'!$C$3:$C$3433))</f>
        <v>0</v>
      </c>
      <c r="AA5" s="205">
        <f t="array" ref="AA5">SUM(($A$6='Accident &amp; Incident Detail'!$I$3:$I$3433)*(Data!AA4='Accident &amp; Incident Detail'!$C$3:$C$3433))</f>
        <v>4</v>
      </c>
      <c r="AB5" s="205">
        <f t="array" ref="AB5">SUM(($A$6='Accident &amp; Incident Detail'!$I$3:$I$3434)*(Data!AB4='Accident &amp; Incident Detail'!$C$3:$C$3434))</f>
        <v>4</v>
      </c>
      <c r="AC5" s="205">
        <f t="array" ref="AC5">SUM(($A$6='Accident &amp; Incident Detail'!$I$3:$I$3433)*(Data!AC4='Accident &amp; Incident Detail'!$C$3:$C$3433))</f>
        <v>1</v>
      </c>
      <c r="AD5" s="205">
        <f t="array" ref="AD5">SUM(($A$6='Accident &amp; Incident Detail'!$I$3:$I$3433)*(Data!AD4='Accident &amp; Incident Detail'!$C$3:$C$3433))</f>
        <v>3</v>
      </c>
      <c r="AE5" s="205">
        <f t="array" ref="AE5">SUM(($A$6='Accident &amp; Incident Detail'!$I$3:$I$3433)*(Data!AE4='Accident &amp; Incident Detail'!$C$3:$C$3433))</f>
        <v>2</v>
      </c>
      <c r="AF5" s="205">
        <f t="array" ref="AF5">SUM(($A$6='Accident &amp; Incident Detail'!$I$3:$I$3433)*(Data!AF4='Accident &amp; Incident Detail'!$C$3:$C$3433))</f>
        <v>0</v>
      </c>
      <c r="AG5" s="205">
        <f t="array" ref="AG5">SUM(($A$6='Accident &amp; Incident Detail'!$I$3:$I$3433)*(Data!AG4='Accident &amp; Incident Detail'!$C$3:$C$3433))</f>
        <v>1</v>
      </c>
      <c r="AH5" s="205">
        <f t="array" ref="AH5">SUM(($A$6='Accident &amp; Incident Detail'!$I$3:$I$3433)*(Data!AH4='Accident &amp; Incident Detail'!$C$3:$C$3433))</f>
        <v>4</v>
      </c>
      <c r="AI5" s="205">
        <f t="array" ref="AI5">SUM(($A$6='Accident &amp; Incident Detail'!$I$3:$I$3433)*(Data!AI4='Accident &amp; Incident Detail'!$C$3:$C$3433))</f>
        <v>0</v>
      </c>
      <c r="AJ5" s="205">
        <f t="array" ref="AJ5">SUM(($A$6='Accident &amp; Incident Detail'!$I$3:$I$3433)*(Data!AJ4='Accident &amp; Incident Detail'!$C$3:$C$3433))</f>
        <v>4</v>
      </c>
      <c r="AK5" s="205">
        <f t="array" ref="AK5">SUM(($A$6='Accident &amp; Incident Detail'!$I$3:$I$3433)*(Data!AK4='Accident &amp; Incident Detail'!$C$3:$C$3433))</f>
        <v>1</v>
      </c>
      <c r="AL5" s="205">
        <f t="array" ref="AL5">SUM(($A$6='Accident &amp; Incident Detail'!$I$3:$I$3433)*(Data!AL4='Accident &amp; Incident Detail'!$C$3:$C$3433))</f>
        <v>4</v>
      </c>
      <c r="AM5" s="205">
        <f t="array" ref="AM5">SUM(($A$6='Accident &amp; Incident Detail'!$I$3:$I$3433)*(Data!AM4='Accident &amp; Incident Detail'!$C$3:$C$3433))</f>
        <v>0</v>
      </c>
      <c r="AN5" s="205">
        <f t="array" ref="AN5">SUM(($A$6='Accident &amp; Incident Detail'!$I$3:$I$3433)*(Data!AN4='Accident &amp; Incident Detail'!$C$3:$C$3433))</f>
        <v>0</v>
      </c>
      <c r="AO5" s="92">
        <f t="shared" ref="AO5:AO18" si="0">SUM(AB5:AN5)</f>
        <v>24</v>
      </c>
    </row>
    <row r="6" spans="1:41" x14ac:dyDescent="0.35">
      <c r="A6" s="182" t="s">
        <v>2</v>
      </c>
      <c r="B6" s="398">
        <f t="shared" ref="B6:N6" si="1">B5-B7</f>
        <v>0</v>
      </c>
      <c r="C6" s="398">
        <f t="shared" si="1"/>
        <v>0</v>
      </c>
      <c r="D6" s="398">
        <f t="shared" si="1"/>
        <v>0</v>
      </c>
      <c r="E6" s="398">
        <f t="shared" si="1"/>
        <v>-1</v>
      </c>
      <c r="F6" s="398">
        <f t="shared" si="1"/>
        <v>0</v>
      </c>
      <c r="G6" s="398">
        <f t="shared" si="1"/>
        <v>-1</v>
      </c>
      <c r="H6" s="398">
        <f t="shared" si="1"/>
        <v>0</v>
      </c>
      <c r="I6" s="398">
        <f t="shared" si="1"/>
        <v>0</v>
      </c>
      <c r="J6" s="156">
        <f t="shared" si="1"/>
        <v>1</v>
      </c>
      <c r="K6" s="156">
        <f t="shared" si="1"/>
        <v>2</v>
      </c>
      <c r="L6" s="156">
        <f t="shared" si="1"/>
        <v>3</v>
      </c>
      <c r="M6" s="156">
        <f t="shared" si="1"/>
        <v>1</v>
      </c>
      <c r="N6" s="156">
        <f t="shared" si="1"/>
        <v>0</v>
      </c>
      <c r="O6" s="156">
        <f t="shared" ref="O6:Y6" si="2">O5-O7</f>
        <v>1</v>
      </c>
      <c r="P6" s="156">
        <f t="shared" si="2"/>
        <v>3</v>
      </c>
      <c r="Q6" s="156">
        <f t="shared" si="2"/>
        <v>0</v>
      </c>
      <c r="R6" s="156">
        <f t="shared" si="2"/>
        <v>2</v>
      </c>
      <c r="S6" s="156">
        <f t="shared" si="2"/>
        <v>2</v>
      </c>
      <c r="T6" s="156">
        <f t="shared" si="2"/>
        <v>1</v>
      </c>
      <c r="U6" s="156">
        <f t="shared" si="2"/>
        <v>3</v>
      </c>
      <c r="V6" s="156">
        <f t="shared" si="2"/>
        <v>2</v>
      </c>
      <c r="W6" s="156">
        <f t="shared" si="2"/>
        <v>1</v>
      </c>
      <c r="X6" s="156">
        <f t="shared" si="2"/>
        <v>3</v>
      </c>
      <c r="Y6" s="156">
        <f t="shared" si="2"/>
        <v>5</v>
      </c>
      <c r="Z6" s="205">
        <f t="array" ref="Z6">SUM(($A$6='Accident &amp; Incident Detail'!$I$3:$I$3433)*(Data!Z5='Accident &amp; Incident Detail'!$C$3:$C$3433))</f>
        <v>0</v>
      </c>
      <c r="AA6" s="205">
        <f t="array" ref="AA6">SUM(($A$6='Accident &amp; Incident Detail'!$I$3:$I$3433)*(Data!AA5='Accident &amp; Incident Detail'!$C$3:$C$3433))</f>
        <v>0</v>
      </c>
      <c r="AB6" s="205">
        <f>AB5-AB7</f>
        <v>3</v>
      </c>
      <c r="AC6" s="205">
        <f>AC5-AC7</f>
        <v>1</v>
      </c>
      <c r="AD6" s="205">
        <f t="shared" ref="AD6:AN6" si="3">AD5-AD7</f>
        <v>3</v>
      </c>
      <c r="AE6" s="205">
        <f t="shared" si="3"/>
        <v>2</v>
      </c>
      <c r="AF6" s="205">
        <f t="shared" si="3"/>
        <v>0</v>
      </c>
      <c r="AG6" s="205">
        <f t="shared" si="3"/>
        <v>1</v>
      </c>
      <c r="AH6" s="205">
        <f t="shared" si="3"/>
        <v>4</v>
      </c>
      <c r="AI6" s="205">
        <f t="shared" si="3"/>
        <v>0</v>
      </c>
      <c r="AJ6" s="205">
        <f t="shared" si="3"/>
        <v>3</v>
      </c>
      <c r="AK6" s="205">
        <f t="shared" si="3"/>
        <v>1</v>
      </c>
      <c r="AL6" s="205">
        <f t="shared" si="3"/>
        <v>4</v>
      </c>
      <c r="AM6" s="205">
        <f t="shared" si="3"/>
        <v>0</v>
      </c>
      <c r="AN6" s="205">
        <f t="shared" si="3"/>
        <v>0</v>
      </c>
      <c r="AO6" s="92">
        <f t="shared" si="0"/>
        <v>22</v>
      </c>
    </row>
    <row r="7" spans="1:41" x14ac:dyDescent="0.35">
      <c r="A7" s="182" t="s">
        <v>3</v>
      </c>
      <c r="B7" s="399"/>
      <c r="C7" s="399"/>
      <c r="D7" s="399"/>
      <c r="E7" s="399">
        <v>1</v>
      </c>
      <c r="F7" s="399"/>
      <c r="G7" s="399">
        <v>1</v>
      </c>
      <c r="H7" s="399"/>
      <c r="I7" s="399"/>
      <c r="J7" s="107"/>
      <c r="K7" s="107"/>
      <c r="L7" s="107"/>
      <c r="M7" s="107"/>
      <c r="N7" s="107"/>
      <c r="O7" s="107"/>
      <c r="P7" s="107">
        <v>1</v>
      </c>
      <c r="Q7" s="107"/>
      <c r="R7" s="107"/>
      <c r="S7" s="107"/>
      <c r="T7" s="107"/>
      <c r="U7" s="107"/>
      <c r="V7" s="107"/>
      <c r="W7" s="107"/>
      <c r="X7" s="107"/>
      <c r="Y7" s="107"/>
      <c r="Z7" s="107">
        <f t="array" ref="Z7">SUM(($A$6='Accident &amp; Incident Detail'!$I$3:$I$3433)*(Data!Z6='Accident &amp; Incident Detail'!$C$3:$C$3433))</f>
        <v>0</v>
      </c>
      <c r="AA7" s="107">
        <f t="array" ref="AA7">SUM(($A$6='Accident &amp; Incident Detail'!$I$3:$I$3433)*(Data!AA6='Accident &amp; Incident Detail'!$C$3:$C$3433))</f>
        <v>0</v>
      </c>
      <c r="AB7" s="107">
        <v>1</v>
      </c>
      <c r="AC7" s="107"/>
      <c r="AD7" s="107"/>
      <c r="AE7" s="107"/>
      <c r="AF7" s="107"/>
      <c r="AG7" s="107"/>
      <c r="AH7" s="25"/>
      <c r="AI7" s="107"/>
      <c r="AJ7" s="107">
        <v>1</v>
      </c>
      <c r="AK7" s="107"/>
      <c r="AL7" s="107"/>
      <c r="AM7" s="107"/>
      <c r="AN7" s="107"/>
      <c r="AO7" s="92">
        <f t="shared" si="0"/>
        <v>2</v>
      </c>
    </row>
    <row r="8" spans="1:41" x14ac:dyDescent="0.35">
      <c r="A8" s="182" t="s">
        <v>4</v>
      </c>
      <c r="B8" s="399">
        <f t="array" ref="B8">SUM(($A$8='Accident &amp; Incident Detail'!$I$3:$I$3433)*(Data!B4='Accident &amp; Incident Detail'!$C$3:$C$3433))</f>
        <v>0</v>
      </c>
      <c r="C8" s="399">
        <f t="array" ref="C8">SUM(($A$8='Accident &amp; Incident Detail'!$I$3:$I$3433)*(Data!C4='Accident &amp; Incident Detail'!$C$3:$C$3433))</f>
        <v>0</v>
      </c>
      <c r="D8" s="399">
        <f t="array" ref="D8">SUM(($A$8='Accident &amp; Incident Detail'!$I$3:$I$3433)*(Data!D4='Accident &amp; Incident Detail'!$C$3:$C$3433))</f>
        <v>0</v>
      </c>
      <c r="E8" s="399">
        <f t="array" ref="E8">SUM(($A$8='Accident &amp; Incident Detail'!$I$3:$I$3433)*(Data!E4='Accident &amp; Incident Detail'!$C$3:$C$3433))</f>
        <v>0</v>
      </c>
      <c r="F8" s="399">
        <f t="array" ref="F8">SUM(($A$8='Accident &amp; Incident Detail'!$I$3:$I$3433)*(Data!F4='Accident &amp; Incident Detail'!$C$3:$C$3433))</f>
        <v>0</v>
      </c>
      <c r="G8" s="399">
        <f t="array" ref="G8">SUM(($A$8='Accident &amp; Incident Detail'!$I$3:$I$3433)*(Data!G4='Accident &amp; Incident Detail'!$C$3:$C$3433))</f>
        <v>0</v>
      </c>
      <c r="H8" s="399">
        <f t="array" ref="H8">SUM(($A$8='Accident &amp; Incident Detail'!$I$3:$I$3433)*(Data!H4='Accident &amp; Incident Detail'!$C$3:$C$3433))</f>
        <v>0</v>
      </c>
      <c r="I8" s="399">
        <f t="array" ref="I8">SUM(($A$8='Accident &amp; Incident Detail'!$I$3:$I$3433)*(Data!I4='Accident &amp; Incident Detail'!$C$3:$C$3433))</f>
        <v>0</v>
      </c>
      <c r="J8" s="25">
        <f t="array" ref="J8">SUM(($A$8='Accident &amp; Incident Detail'!$I$3:$I$3433)*(Data!J4='Accident &amp; Incident Detail'!$C$3:$C$3433))</f>
        <v>2</v>
      </c>
      <c r="K8" s="25">
        <f t="array" ref="K8">SUM(($A$8='Accident &amp; Incident Detail'!$I$3:$I$3433)*(Data!K4='Accident &amp; Incident Detail'!$C$3:$C$3433))</f>
        <v>5</v>
      </c>
      <c r="L8" s="25">
        <f t="array" ref="L8">SUM(($A$8='Accident &amp; Incident Detail'!$I$3:$I$3433)*(Data!L4='Accident &amp; Incident Detail'!$C$3:$C$3433))</f>
        <v>3</v>
      </c>
      <c r="M8" s="25">
        <f t="array" ref="M8">SUM(($A$8='Accident &amp; Incident Detail'!$I$3:$I$3433)*(Data!M4='Accident &amp; Incident Detail'!$C$3:$C$3433))</f>
        <v>6</v>
      </c>
      <c r="N8" s="25">
        <f t="array" ref="N8">SUM(($A$8='Accident &amp; Incident Detail'!$I$3:$I$3433)*(Data!N4='Accident &amp; Incident Detail'!$C$3:$C$3433))</f>
        <v>0</v>
      </c>
      <c r="O8" s="25">
        <f t="array" ref="O8">SUM(($A$8='Accident &amp; Incident Detail'!$I$3:$I$3433)*(Data!O4='Accident &amp; Incident Detail'!$C$3:$C$3433))</f>
        <v>9</v>
      </c>
      <c r="P8" s="25">
        <f t="array" ref="P8">SUM(($A$8='Accident &amp; Incident Detail'!$I$3:$I$3433)*(Data!P4='Accident &amp; Incident Detail'!$C$3:$C$3433))</f>
        <v>4</v>
      </c>
      <c r="Q8" s="25">
        <f t="array" ref="Q8">SUM(($A$8='Accident &amp; Incident Detail'!$I$3:$I$3433)*(Data!Q4='Accident &amp; Incident Detail'!$C$3:$C$3433))</f>
        <v>4</v>
      </c>
      <c r="R8" s="25">
        <f t="array" ref="R8">SUM(($A$8='Accident &amp; Incident Detail'!$I$3:$I$3433)*(Data!R4='Accident &amp; Incident Detail'!$C$3:$C$3433))</f>
        <v>4</v>
      </c>
      <c r="S8" s="25">
        <f t="array" ref="S8">SUM(($A$8='Accident &amp; Incident Detail'!$I$3:$I$3433)*(Data!S4='Accident &amp; Incident Detail'!$C$3:$C$3433))</f>
        <v>3</v>
      </c>
      <c r="T8" s="25">
        <f t="array" ref="T8">SUM(($A$8='Accident &amp; Incident Detail'!$I$3:$I$3433)*(Data!T4='Accident &amp; Incident Detail'!$C$3:$C$3433))</f>
        <v>4</v>
      </c>
      <c r="U8" s="25">
        <f t="array" ref="U8">SUM(($A$8='Accident &amp; Incident Detail'!$I$3:$I$3433)*(Data!U4='Accident &amp; Incident Detail'!$C$3:$C$3433))</f>
        <v>6</v>
      </c>
      <c r="V8" s="25">
        <f t="array" ref="V8">SUM(($A$8='Accident &amp; Incident Detail'!$I$3:$I$3433)*(Data!V4='Accident &amp; Incident Detail'!$C$3:$C$3433))</f>
        <v>6</v>
      </c>
      <c r="W8" s="25">
        <f t="array" ref="W8">SUM(($A$8='Accident &amp; Incident Detail'!$I$3:$I$3433)*(Data!W4='Accident &amp; Incident Detail'!$C$3:$C$3433))</f>
        <v>4</v>
      </c>
      <c r="X8" s="25">
        <f t="array" ref="X8">SUM(($A$8='Accident &amp; Incident Detail'!$I$3:$I$3433)*(Data!X4='Accident &amp; Incident Detail'!$C$3:$C$3433))</f>
        <v>2</v>
      </c>
      <c r="Y8" s="25">
        <f t="array" ref="Y8">SUM(($A$8='Accident &amp; Incident Detail'!$I$3:$I$3433)*(Data!Y4='Accident &amp; Incident Detail'!$C$3:$C$3433))</f>
        <v>1</v>
      </c>
      <c r="Z8" s="205">
        <f t="array" ref="Z8">SUM(($A$6='Accident &amp; Incident Detail'!$I$3:$I$3433)*(Data!Z7='Accident &amp; Incident Detail'!$C$3:$C$3433))</f>
        <v>0</v>
      </c>
      <c r="AA8" s="205">
        <f t="array" ref="AA8">SUM(($A$6='Accident &amp; Incident Detail'!$I$3:$I$3433)*(Data!AA7='Accident &amp; Incident Detail'!$C$3:$C$3433))</f>
        <v>0</v>
      </c>
      <c r="AB8" s="205">
        <f t="array" ref="AB8">SUM(($A$8='Accident &amp; Incident Detail'!$I$3:$I$3433)*(Data!AB7='Accident &amp; Incident Detail'!$C$3:$C$3433))</f>
        <v>0</v>
      </c>
      <c r="AC8" s="205" cm="1">
        <f t="array" ref="AC8">SUM(($A$8='Accident &amp; Incident Detail'!$I$3:$I$3433)*(Data!AC4='Accident &amp; Incident Detail'!$C$3:$C$3433))</f>
        <v>4</v>
      </c>
      <c r="AD8" s="205" cm="1">
        <f t="array" ref="AD8">SUM(($A$8='Accident &amp; Incident Detail'!$I$3:$I$3433)*(Data!AD4='Accident &amp; Incident Detail'!$C$3:$C$3433))</f>
        <v>6</v>
      </c>
      <c r="AE8" s="205" cm="1">
        <f t="array" ref="AE8">SUM(($A$8='Accident &amp; Incident Detail'!$I$3:$I$3433)*(Data!AE4='Accident &amp; Incident Detail'!$C$3:$C$3433))</f>
        <v>2</v>
      </c>
      <c r="AF8" s="205" cm="1">
        <f t="array" ref="AF8">SUM(($A$8='Accident &amp; Incident Detail'!$I$3:$I$3433)*(Data!AF4='Accident &amp; Incident Detail'!$C$3:$C$3433))</f>
        <v>1</v>
      </c>
      <c r="AG8" s="205" cm="1">
        <f t="array" ref="AG8">SUM(($A$8='Accident &amp; Incident Detail'!$I$3:$I$3433)*(Data!AG4='Accident &amp; Incident Detail'!$C$3:$C$3433))</f>
        <v>1</v>
      </c>
      <c r="AH8" s="205" cm="1">
        <f t="array" ref="AH8">SUM(($A$8='Accident &amp; Incident Detail'!$I$3:$I$3433)*(Data!AH4='Accident &amp; Incident Detail'!$C$3:$C$3433))</f>
        <v>3</v>
      </c>
      <c r="AI8" s="205" cm="1">
        <f t="array" ref="AI8">SUM(($A$8='Accident &amp; Incident Detail'!$I$3:$I$3433)*(Data!AI4='Accident &amp; Incident Detail'!$C$3:$C$3433))</f>
        <v>1</v>
      </c>
      <c r="AJ8" s="205" cm="1">
        <f t="array" ref="AJ8">SUM(($A$8='Accident &amp; Incident Detail'!$I$3:$I$3433)*(Data!AJ4='Accident &amp; Incident Detail'!$C$3:$C$3433))</f>
        <v>0</v>
      </c>
      <c r="AK8" s="205" cm="1">
        <f t="array" ref="AK8">SUM(($A$8='Accident &amp; Incident Detail'!$I$3:$I$3433)*(Data!AK4='Accident &amp; Incident Detail'!$C$3:$C$3433))</f>
        <v>3</v>
      </c>
      <c r="AL8" s="205" cm="1">
        <f t="array" ref="AL8">SUM(($A$8='Accident &amp; Incident Detail'!$I$3:$I$3433)*(Data!AL4='Accident &amp; Incident Detail'!$C$3:$C$3433))</f>
        <v>1</v>
      </c>
      <c r="AM8" s="205" cm="1">
        <f t="array" ref="AM8">SUM(($A$8='Accident &amp; Incident Detail'!$I$3:$I$3433)*(Data!AM4='Accident &amp; Incident Detail'!$C$3:$C$3433))</f>
        <v>0</v>
      </c>
      <c r="AN8" s="205" cm="1">
        <f t="array" ref="AN8">SUM(($A$8='Accident &amp; Incident Detail'!$I$3:$I$3433)*(Data!AN4='Accident &amp; Incident Detail'!$C$3:$C$3433))</f>
        <v>0</v>
      </c>
      <c r="AO8" s="92">
        <f t="shared" si="0"/>
        <v>22</v>
      </c>
    </row>
    <row r="9" spans="1:41" x14ac:dyDescent="0.35">
      <c r="A9" s="182" t="s">
        <v>5</v>
      </c>
      <c r="B9" s="400">
        <f t="array" ref="B9">SUM(($A$9='Accident &amp; Incident Detail'!$I$3:$I$3433)*(Data!B4='Accident &amp; Incident Detail'!$C$3:$C$3433))</f>
        <v>0</v>
      </c>
      <c r="C9" s="400">
        <f t="array" ref="C9">SUM(($A$9='Accident &amp; Incident Detail'!$I$3:$I$3433)*(Data!C4='Accident &amp; Incident Detail'!$C$3:$C$3433))</f>
        <v>0</v>
      </c>
      <c r="D9" s="400">
        <f t="array" ref="D9">SUM(($A$9='Accident &amp; Incident Detail'!$I$3:$I$3433)*(Data!D4='Accident &amp; Incident Detail'!$C$3:$C$3433))</f>
        <v>0</v>
      </c>
      <c r="E9" s="400">
        <f t="array" ref="E9">SUM(($A$9='Accident &amp; Incident Detail'!$I$3:$I$3433)*(Data!E4='Accident &amp; Incident Detail'!$C$3:$C$3433))</f>
        <v>0</v>
      </c>
      <c r="F9" s="400">
        <f t="array" ref="F9">SUM(($A$9='Accident &amp; Incident Detail'!$I$3:$I$3433)*(Data!F4='Accident &amp; Incident Detail'!$C$3:$C$3433))</f>
        <v>0</v>
      </c>
      <c r="G9" s="400">
        <f t="array" ref="G9">SUM(($A$9='Accident &amp; Incident Detail'!$I$3:$I$3433)*(Data!G4='Accident &amp; Incident Detail'!$C$3:$C$3433))</f>
        <v>0</v>
      </c>
      <c r="H9" s="400">
        <f t="array" ref="H9">SUM(($A$9='Accident &amp; Incident Detail'!$I$3:$I$3433)*(Data!H4='Accident &amp; Incident Detail'!$C$3:$C$3433))</f>
        <v>0</v>
      </c>
      <c r="I9" s="400">
        <f t="array" ref="I9">SUM(($A$9='Accident &amp; Incident Detail'!$I$3:$I$3433)*(Data!I4='Accident &amp; Incident Detail'!$C$3:$C$3433))</f>
        <v>0</v>
      </c>
      <c r="J9" s="15">
        <f t="array" ref="J9">SUM(($A$9='Accident &amp; Incident Detail'!$I$3:$I$3433)*(Data!J4='Accident &amp; Incident Detail'!$C$3:$C$3433))</f>
        <v>1</v>
      </c>
      <c r="K9" s="15">
        <f t="array" ref="K9">SUM(($A$9='Accident &amp; Incident Detail'!$I$3:$I$3433)*(Data!K4='Accident &amp; Incident Detail'!$C$3:$C$3433))</f>
        <v>3</v>
      </c>
      <c r="L9" s="15">
        <f t="array" ref="L9">SUM(($A$9='Accident &amp; Incident Detail'!$I$3:$I$3433)*(Data!L4='Accident &amp; Incident Detail'!$C$3:$C$3433))</f>
        <v>7</v>
      </c>
      <c r="M9" s="15">
        <f t="array" ref="M9">SUM(($A$9='Accident &amp; Incident Detail'!$I$3:$I$3433)*(Data!M4='Accident &amp; Incident Detail'!$C$3:$C$3433))</f>
        <v>7</v>
      </c>
      <c r="N9" s="15">
        <f t="array" ref="N9">SUM(($A$9='Accident &amp; Incident Detail'!$I$3:$I$3433)*(Data!N4='Accident &amp; Incident Detail'!$C$3:$C$3433))</f>
        <v>0</v>
      </c>
      <c r="O9" s="15">
        <f t="array" ref="O9">SUM(($A$9='Accident &amp; Incident Detail'!$I$3:$I$3433)*(Data!O4='Accident &amp; Incident Detail'!$C$3:$C$3433))</f>
        <v>9</v>
      </c>
      <c r="P9" s="15">
        <f t="array" ref="P9">SUM(($A$9='Accident &amp; Incident Detail'!$I$3:$I$3433)*(Data!P4='Accident &amp; Incident Detail'!$C$3:$C$3433))</f>
        <v>6</v>
      </c>
      <c r="Q9" s="15">
        <f t="array" ref="Q9">SUM(($A$9='Accident &amp; Incident Detail'!$I$3:$I$3433)*(Data!Q4='Accident &amp; Incident Detail'!$C$3:$C$3433))</f>
        <v>9</v>
      </c>
      <c r="R9" s="15">
        <f t="array" ref="R9">SUM(($A$9='Accident &amp; Incident Detail'!$I$3:$I$3433)*(Data!R4='Accident &amp; Incident Detail'!$C$3:$C$3433))</f>
        <v>6</v>
      </c>
      <c r="S9" s="15">
        <f t="array" ref="S9">SUM(($A$9='Accident &amp; Incident Detail'!$I$3:$I$3433)*(Data!S4='Accident &amp; Incident Detail'!$C$3:$C$3433))</f>
        <v>3</v>
      </c>
      <c r="T9" s="15">
        <f t="array" ref="T9">SUM(($A$9='Accident &amp; Incident Detail'!$I$3:$I$3433)*(Data!T4='Accident &amp; Incident Detail'!$C$3:$C$3433))</f>
        <v>7</v>
      </c>
      <c r="U9" s="15">
        <f t="array" ref="U9">SUM(($A$9='Accident &amp; Incident Detail'!$I$3:$I$3433)*(Data!U4='Accident &amp; Incident Detail'!$C$3:$C$3433))</f>
        <v>7</v>
      </c>
      <c r="V9" s="15">
        <f t="array" ref="V9">SUM(($A$9='Accident &amp; Incident Detail'!$I$3:$I$3433)*(Data!V4='Accident &amp; Incident Detail'!$C$3:$C$3433))</f>
        <v>4</v>
      </c>
      <c r="W9" s="15">
        <f t="array" ref="W9">SUM(($A$9='Accident &amp; Incident Detail'!$I$3:$I$3433)*(Data!W4='Accident &amp; Incident Detail'!$C$3:$C$3433))</f>
        <v>7</v>
      </c>
      <c r="X9" s="15">
        <f t="array" ref="X9">SUM(($A$9='Accident &amp; Incident Detail'!$I$3:$I$3433)*(Data!X4='Accident &amp; Incident Detail'!$C$3:$C$3433))</f>
        <v>8</v>
      </c>
      <c r="Y9" s="15">
        <f t="array" ref="Y9">SUM(($A$9='Accident &amp; Incident Detail'!$I$3:$I$3433)*(Data!Y4='Accident &amp; Incident Detail'!$C$3:$C$3433))</f>
        <v>4</v>
      </c>
      <c r="Z9" s="205" cm="1">
        <f t="array" ref="Z9">SUM(($A$9='Accident &amp; Incident Detail'!$I$3:$I$3433)*(Data!Z8='Accident &amp; Incident Detail'!$C$3:$C$3433))</f>
        <v>0</v>
      </c>
      <c r="AA9" s="205" cm="1">
        <f t="array" ref="AA9">SUM(($A$9='Accident &amp; Incident Detail'!$I$3:$I$3433)*(Data!AA8='Accident &amp; Incident Detail'!$C$3:$C$3433))</f>
        <v>0</v>
      </c>
      <c r="AB9" s="205">
        <f t="array" ref="AB9">SUM(($A$9='Accident &amp; Incident Detail'!$I$3:$I$3433)*(Data!AB8='Accident &amp; Incident Detail'!$C$3:$C$3433))</f>
        <v>0</v>
      </c>
      <c r="AC9" s="205" cm="1">
        <f t="array" ref="AC9">SUM(($A$9='Accident &amp; Incident Detail'!$I$3:$I$3433)*(Data!AC4='Accident &amp; Incident Detail'!$C$3:$C$3433))</f>
        <v>1</v>
      </c>
      <c r="AD9" s="205" cm="1">
        <f t="array" ref="AD9">SUM(($A$9='Accident &amp; Incident Detail'!$I$3:$I$3433)*(Data!AD4='Accident &amp; Incident Detail'!$C$3:$C$3433))</f>
        <v>4</v>
      </c>
      <c r="AE9" s="205" cm="1">
        <f t="array" ref="AE9">SUM(($A$9='Accident &amp; Incident Detail'!$I$3:$I$3433)*(Data!AE4='Accident &amp; Incident Detail'!$C$3:$C$3433))</f>
        <v>6</v>
      </c>
      <c r="AF9" s="205" cm="1">
        <f t="array" ref="AF9">SUM(($A$9='Accident &amp; Incident Detail'!$I$3:$I$3433)*(Data!AF4='Accident &amp; Incident Detail'!$C$3:$C$3433))</f>
        <v>1</v>
      </c>
      <c r="AG9" s="205" cm="1">
        <f t="array" ref="AG9">SUM(($A$9='Accident &amp; Incident Detail'!$I$3:$I$3433)*(Data!AG4='Accident &amp; Incident Detail'!$C$3:$C$3433))</f>
        <v>6</v>
      </c>
      <c r="AH9" s="205" cm="1">
        <f t="array" ref="AH9">SUM(($A$9='Accident &amp; Incident Detail'!$I$3:$I$3433)*(Data!AH4='Accident &amp; Incident Detail'!$C$3:$C$3433))</f>
        <v>5</v>
      </c>
      <c r="AI9" s="205" cm="1">
        <f t="array" ref="AI9">SUM(($A$9='Accident &amp; Incident Detail'!$I$3:$I$3433)*(Data!AI4='Accident &amp; Incident Detail'!$C$3:$C$3433))</f>
        <v>8</v>
      </c>
      <c r="AJ9" s="205" cm="1">
        <f t="array" ref="AJ9">SUM(($A$9='Accident &amp; Incident Detail'!$I$3:$I$3433)*(Data!AJ4='Accident &amp; Incident Detail'!$C$3:$C$3433))</f>
        <v>9</v>
      </c>
      <c r="AK9" s="205" cm="1">
        <f t="array" ref="AK9">SUM(($A$9='Accident &amp; Incident Detail'!$I$3:$I$3433)*(Data!AK4='Accident &amp; Incident Detail'!$C$3:$C$3433))</f>
        <v>3</v>
      </c>
      <c r="AL9" s="205" cm="1">
        <f t="array" ref="AL9">SUM(($A$9='Accident &amp; Incident Detail'!$I$3:$I$3433)*(Data!AL4='Accident &amp; Incident Detail'!$C$3:$C$3433))</f>
        <v>3</v>
      </c>
      <c r="AM9" s="205" cm="1">
        <f t="array" ref="AM9">SUM(($A$9='Accident &amp; Incident Detail'!$I$3:$I$3433)*(Data!AM4='Accident &amp; Incident Detail'!$C$3:$C$3433))</f>
        <v>0</v>
      </c>
      <c r="AN9" s="205" cm="1">
        <f t="array" ref="AN9">SUM(($A$9='Accident &amp; Incident Detail'!$I$3:$I$3433)*(Data!AN4='Accident &amp; Incident Detail'!$C$3:$C$3433))</f>
        <v>0</v>
      </c>
      <c r="AO9" s="92">
        <f t="shared" si="0"/>
        <v>46</v>
      </c>
    </row>
    <row r="10" spans="1:41" ht="15" thickBot="1" x14ac:dyDescent="0.4">
      <c r="A10" s="185" t="s">
        <v>6</v>
      </c>
      <c r="B10" s="401">
        <f t="array" ref="B10">SUM(($A$10='Accident &amp; Incident Detail'!$I$3:$I$3433)*(Data!B4='Accident &amp; Incident Detail'!$C$3:$C$3433))</f>
        <v>0</v>
      </c>
      <c r="C10" s="401">
        <f t="array" ref="C10">SUM(($A$10='Accident &amp; Incident Detail'!$I$3:$I$3433)*(Data!C4='Accident &amp; Incident Detail'!$C$3:$C$3433))</f>
        <v>0</v>
      </c>
      <c r="D10" s="401">
        <f t="array" ref="D10">SUM(($A$10='Accident &amp; Incident Detail'!$I$3:$I$3433)*(Data!D4='Accident &amp; Incident Detail'!$C$3:$C$3433))</f>
        <v>0</v>
      </c>
      <c r="E10" s="401">
        <f t="array" ref="E10">SUM(($A$10='Accident &amp; Incident Detail'!$I$3:$I$3433)*(Data!E4='Accident &amp; Incident Detail'!$C$3:$C$3433))</f>
        <v>0</v>
      </c>
      <c r="F10" s="401">
        <f t="array" ref="F10">SUM(($A$10='Accident &amp; Incident Detail'!$I$3:$I$3433)*(Data!F4='Accident &amp; Incident Detail'!$C$3:$C$3433))</f>
        <v>0</v>
      </c>
      <c r="G10" s="401">
        <f t="array" ref="G10">SUM(($A$10='Accident &amp; Incident Detail'!$I$3:$I$3433)*(Data!G4='Accident &amp; Incident Detail'!$C$3:$C$3433))</f>
        <v>0</v>
      </c>
      <c r="H10" s="401">
        <f t="array" ref="H10">SUM(($A$10='Accident &amp; Incident Detail'!$I$3:$I$3433)*(Data!H4='Accident &amp; Incident Detail'!$C$3:$C$3433))</f>
        <v>0</v>
      </c>
      <c r="I10" s="401">
        <f t="array" ref="I10">SUM(($A$10='Accident &amp; Incident Detail'!$I$3:$I$3433)*(Data!I4='Accident &amp; Incident Detail'!$C$3:$C$3433))</f>
        <v>0</v>
      </c>
      <c r="J10" s="23">
        <f t="array" ref="J10">SUM(($A$10='Accident &amp; Incident Detail'!$I$3:$I$3433)*(Data!J4='Accident &amp; Incident Detail'!$C$3:$C$3433))</f>
        <v>0</v>
      </c>
      <c r="K10" s="23">
        <f t="array" ref="K10">SUM(($A$10='Accident &amp; Incident Detail'!$I$3:$I$3433)*(Data!K4='Accident &amp; Incident Detail'!$C$3:$C$3433))</f>
        <v>0</v>
      </c>
      <c r="L10" s="23">
        <f t="array" ref="L10">SUM(($A$10='Accident &amp; Incident Detail'!$I$3:$I$3433)*(Data!L4='Accident &amp; Incident Detail'!$C$3:$C$3433))</f>
        <v>0</v>
      </c>
      <c r="M10" s="23">
        <f t="array" ref="M10">SUM(($A$10='Accident &amp; Incident Detail'!$I$3:$I$3433)*(Data!M4='Accident &amp; Incident Detail'!$C$3:$C$3433))</f>
        <v>1</v>
      </c>
      <c r="N10" s="23">
        <f t="array" ref="N10">SUM(($A$10='Accident &amp; Incident Detail'!$I$3:$I$3433)*(Data!N4='Accident &amp; Incident Detail'!$C$3:$C$3433))</f>
        <v>0</v>
      </c>
      <c r="O10" s="23">
        <f t="array" ref="O10">SUM(($A$10='Accident &amp; Incident Detail'!$I$3:$I$3433)*(Data!O4='Accident &amp; Incident Detail'!$C$3:$C$3433))</f>
        <v>1</v>
      </c>
      <c r="P10" s="23">
        <f t="array" ref="P10">SUM(($A$10='Accident &amp; Incident Detail'!$I$3:$I$3433)*(Data!P4='Accident &amp; Incident Detail'!$C$3:$C$3433))</f>
        <v>1</v>
      </c>
      <c r="Q10" s="23">
        <f t="array" ref="Q10">SUM(($A$10='Accident &amp; Incident Detail'!$I$3:$I$3433)*(Data!Q4='Accident &amp; Incident Detail'!$C$3:$C$3433))</f>
        <v>0</v>
      </c>
      <c r="R10" s="23">
        <f t="array" ref="R10">SUM(($A$10='Accident &amp; Incident Detail'!$I$3:$I$3433)*(Data!R4='Accident &amp; Incident Detail'!$C$3:$C$3433))</f>
        <v>2</v>
      </c>
      <c r="S10" s="23">
        <f t="array" ref="S10">SUM(($A$10='Accident &amp; Incident Detail'!$I$3:$I$3433)*(Data!S4='Accident &amp; Incident Detail'!$C$3:$C$3433))</f>
        <v>0</v>
      </c>
      <c r="T10" s="23">
        <f t="array" ref="T10">SUM(($A$10='Accident &amp; Incident Detail'!$I$3:$I$3433)*(Data!T4='Accident &amp; Incident Detail'!$C$3:$C$3433))</f>
        <v>0</v>
      </c>
      <c r="U10" s="23">
        <f t="array" ref="U10">SUM(($A$10='Accident &amp; Incident Detail'!$I$3:$I$3433)*(Data!U4='Accident &amp; Incident Detail'!$C$3:$C$3433))</f>
        <v>1</v>
      </c>
      <c r="V10" s="23">
        <f t="array" ref="V10">SUM(($A$10='Accident &amp; Incident Detail'!$I$3:$I$3433)*(Data!V4='Accident &amp; Incident Detail'!$C$3:$C$3433))</f>
        <v>0</v>
      </c>
      <c r="W10" s="23">
        <f t="array" ref="W10">SUM(($A$10='Accident &amp; Incident Detail'!$I$3:$I$3433)*(Data!W4='Accident &amp; Incident Detail'!$C$3:$C$3433))</f>
        <v>1</v>
      </c>
      <c r="X10" s="23">
        <f t="array" ref="X10">SUM(($A$10='Accident &amp; Incident Detail'!$I$3:$I$3433)*(Data!X4='Accident &amp; Incident Detail'!$C$3:$C$3433))</f>
        <v>1</v>
      </c>
      <c r="Y10" s="23">
        <f t="array" ref="Y10">SUM(($A$10='Accident &amp; Incident Detail'!$I$3:$I$3433)*(Data!Y4='Accident &amp; Incident Detail'!$C$3:$C$3433))</f>
        <v>0</v>
      </c>
      <c r="Z10" s="205">
        <f t="array" ref="Z10">SUM(($A$6='Accident &amp; Incident Detail'!$I$3:$I$3433)*(Data!Z9='Accident &amp; Incident Detail'!$C$3:$C$3433))</f>
        <v>0</v>
      </c>
      <c r="AA10" s="205">
        <f t="array" ref="AA10">SUM(($A$6='Accident &amp; Incident Detail'!$I$3:$I$3433)*(Data!AA9='Accident &amp; Incident Detail'!$C$3:$C$3433))</f>
        <v>0</v>
      </c>
      <c r="AB10" s="205" cm="1">
        <f t="array" ref="AB10">SUM(($A$10='Accident &amp; Incident Detail'!$I$3:$I$3434)*(Data!AB9='Accident &amp; Incident Detail'!$C$3:$C$3434))</f>
        <v>0</v>
      </c>
      <c r="AC10" s="205" cm="1">
        <f t="array" ref="AC10">SUM(($A$10='Accident &amp; Incident Detail'!$I$3:$I$3434)*(Data!AC9='Accident &amp; Incident Detail'!$C$3:$C$3434))</f>
        <v>0</v>
      </c>
      <c r="AD10" s="205" cm="1">
        <f t="array" ref="AD10">SUM(($A$10='Accident &amp; Incident Detail'!$I$3:$I$3434)*(Data!AD9='Accident &amp; Incident Detail'!$C$3:$C$3434))</f>
        <v>0</v>
      </c>
      <c r="AE10" s="205" cm="1">
        <f t="array" ref="AE10">SUM(($A$10='Accident &amp; Incident Detail'!$I$3:$I$3434)*(Data!AE9='Accident &amp; Incident Detail'!$C$3:$C$3434))</f>
        <v>0</v>
      </c>
      <c r="AF10" s="205" cm="1">
        <f t="array" ref="AF10">SUM(($A$10='Accident &amp; Incident Detail'!$I$3:$I$3434)*(Data!AF9='Accident &amp; Incident Detail'!$C$3:$C$3434))</f>
        <v>0</v>
      </c>
      <c r="AG10" s="205" cm="1">
        <f t="array" ref="AG10">SUM(($A$10='Accident &amp; Incident Detail'!$I$3:$I$3434)*(Data!AG9='Accident &amp; Incident Detail'!$C$3:$C$3434))</f>
        <v>0</v>
      </c>
      <c r="AH10" s="205" cm="1">
        <f t="array" ref="AH10">SUM(($A$10='Accident &amp; Incident Detail'!$I$3:$I$3433)*(Data!AH4='Accident &amp; Incident Detail'!$C$3:$C$3433))</f>
        <v>1</v>
      </c>
      <c r="AI10" s="354" cm="1">
        <f t="array" ref="AI10">SUM(($A$10='Accident &amp; Incident Detail'!$I$3:$I$3433)*(Data!AI4='Accident &amp; Incident Detail'!$C$3:$C$3433))</f>
        <v>0</v>
      </c>
      <c r="AJ10" s="354" cm="1">
        <f t="array" ref="AJ10">SUM(($A$10='Accident &amp; Incident Detail'!$I$3:$I$3433)*(Data!AJ4='Accident &amp; Incident Detail'!$C$3:$C$3433))</f>
        <v>0</v>
      </c>
      <c r="AK10" s="354" cm="1">
        <f t="array" ref="AK10">SUM(($A$10='Accident &amp; Incident Detail'!$I$3:$I$3433)*(Data!AK4='Accident &amp; Incident Detail'!$C$3:$C$3433))</f>
        <v>0</v>
      </c>
      <c r="AL10" s="354" cm="1">
        <f t="array" ref="AL10">SUM(($A$10='Accident &amp; Incident Detail'!$I$3:$I$3433)*(Data!AL4='Accident &amp; Incident Detail'!$C$3:$C$3433))</f>
        <v>0</v>
      </c>
      <c r="AM10" s="354" cm="1">
        <f t="array" ref="AM10">SUM(($A$10='Accident &amp; Incident Detail'!$I$3:$I$3433)*(Data!AM4='Accident &amp; Incident Detail'!$C$3:$C$3433))</f>
        <v>0</v>
      </c>
      <c r="AN10" s="354" cm="1">
        <f t="array" ref="AN10">SUM(($A$10='Accident &amp; Incident Detail'!$I$3:$I$3433)*(Data!AN4='Accident &amp; Incident Detail'!$C$3:$C$3433))</f>
        <v>0</v>
      </c>
      <c r="AO10" s="92">
        <f t="shared" si="0"/>
        <v>1</v>
      </c>
    </row>
    <row r="11" spans="1:41" ht="15" thickBot="1" x14ac:dyDescent="0.4">
      <c r="A11" s="184" t="s">
        <v>7</v>
      </c>
      <c r="B11" s="402">
        <f t="shared" ref="B11:N11" si="4">SUM(B6:B10)</f>
        <v>0</v>
      </c>
      <c r="C11" s="402">
        <f t="shared" si="4"/>
        <v>0</v>
      </c>
      <c r="D11" s="402">
        <f t="shared" si="4"/>
        <v>0</v>
      </c>
      <c r="E11" s="402">
        <f t="shared" si="4"/>
        <v>0</v>
      </c>
      <c r="F11" s="402">
        <f t="shared" si="4"/>
        <v>0</v>
      </c>
      <c r="G11" s="402">
        <f t="shared" si="4"/>
        <v>0</v>
      </c>
      <c r="H11" s="402">
        <f t="shared" si="4"/>
        <v>0</v>
      </c>
      <c r="I11" s="402">
        <f t="shared" si="4"/>
        <v>0</v>
      </c>
      <c r="J11" s="90">
        <f t="shared" si="4"/>
        <v>4</v>
      </c>
      <c r="K11" s="90">
        <f t="shared" si="4"/>
        <v>10</v>
      </c>
      <c r="L11" s="90">
        <f t="shared" si="4"/>
        <v>13</v>
      </c>
      <c r="M11" s="90">
        <f t="shared" si="4"/>
        <v>15</v>
      </c>
      <c r="N11" s="90">
        <f t="shared" si="4"/>
        <v>0</v>
      </c>
      <c r="O11" s="90">
        <f t="shared" ref="O11:Y11" si="5">SUM(O6:O10)</f>
        <v>20</v>
      </c>
      <c r="P11" s="90">
        <f t="shared" si="5"/>
        <v>15</v>
      </c>
      <c r="Q11" s="90">
        <f t="shared" si="5"/>
        <v>13</v>
      </c>
      <c r="R11" s="90">
        <f t="shared" si="5"/>
        <v>14</v>
      </c>
      <c r="S11" s="90">
        <f t="shared" si="5"/>
        <v>8</v>
      </c>
      <c r="T11" s="90">
        <f t="shared" si="5"/>
        <v>12</v>
      </c>
      <c r="U11" s="90">
        <f t="shared" si="5"/>
        <v>17</v>
      </c>
      <c r="V11" s="90">
        <f t="shared" si="5"/>
        <v>12</v>
      </c>
      <c r="W11" s="90">
        <f t="shared" si="5"/>
        <v>13</v>
      </c>
      <c r="X11" s="90">
        <f t="shared" si="5"/>
        <v>14</v>
      </c>
      <c r="Y11" s="90">
        <f t="shared" si="5"/>
        <v>10</v>
      </c>
      <c r="Z11" s="90">
        <f t="array" ref="Z11">SUM(($A$6='Accident &amp; Incident Detail'!$I$3:$I$3433)*(Data!Z10='Accident &amp; Incident Detail'!$C$3:$C$3433))</f>
        <v>0</v>
      </c>
      <c r="AA11" s="90">
        <f t="array" ref="AA11">SUM(($A$6='Accident &amp; Incident Detail'!$I$3:$I$3433)*(Data!AA10='Accident &amp; Incident Detail'!$C$3:$C$3433))</f>
        <v>0</v>
      </c>
      <c r="AB11" s="90">
        <f>SUM(AB6:AB10)</f>
        <v>4</v>
      </c>
      <c r="AC11" s="90">
        <f t="shared" ref="AC11:AN11" si="6">SUM(AC6:AC10)</f>
        <v>6</v>
      </c>
      <c r="AD11" s="90">
        <f t="shared" si="6"/>
        <v>13</v>
      </c>
      <c r="AE11" s="90">
        <f t="shared" si="6"/>
        <v>10</v>
      </c>
      <c r="AF11" s="90">
        <f t="shared" si="6"/>
        <v>2</v>
      </c>
      <c r="AG11" s="90">
        <f t="shared" si="6"/>
        <v>8</v>
      </c>
      <c r="AH11" s="355">
        <f t="shared" si="6"/>
        <v>13</v>
      </c>
      <c r="AI11" s="90">
        <f t="shared" si="6"/>
        <v>9</v>
      </c>
      <c r="AJ11" s="90">
        <f>SUM(AJ6:AJ10)</f>
        <v>13</v>
      </c>
      <c r="AK11" s="90">
        <f t="shared" si="6"/>
        <v>7</v>
      </c>
      <c r="AL11" s="90">
        <f t="shared" si="6"/>
        <v>8</v>
      </c>
      <c r="AM11" s="90">
        <f t="shared" si="6"/>
        <v>0</v>
      </c>
      <c r="AN11" s="90">
        <f t="shared" si="6"/>
        <v>0</v>
      </c>
      <c r="AO11" s="92">
        <f t="shared" si="0"/>
        <v>93</v>
      </c>
    </row>
    <row r="12" spans="1:41" x14ac:dyDescent="0.35">
      <c r="A12" s="183" t="s">
        <v>8</v>
      </c>
      <c r="B12" s="403">
        <f t="array" ref="B12">SUM(($A$12='Accident &amp; Incident Detail'!$E$3:$E$3434)*(Data!B4='Accident &amp; Incident Detail'!$C$3:$C$3434))</f>
        <v>0</v>
      </c>
      <c r="C12" s="403">
        <f t="array" ref="C12">SUM(($A$12='Accident &amp; Incident Detail'!$E$3:$E$3434)*(Data!C4='Accident &amp; Incident Detail'!$C$3:$C$3434))</f>
        <v>0</v>
      </c>
      <c r="D12" s="403">
        <f t="array" ref="D12">SUM(($A$12='Accident &amp; Incident Detail'!$E$3:$E$3434)*(Data!D4='Accident &amp; Incident Detail'!$C$3:$C$3434))</f>
        <v>0</v>
      </c>
      <c r="E12" s="403">
        <f t="array" ref="E12">SUM(($A$12='Accident &amp; Incident Detail'!$E$3:$E$3434)*(Data!E4='Accident &amp; Incident Detail'!$C$3:$C$3434))</f>
        <v>0</v>
      </c>
      <c r="F12" s="403">
        <f t="array" ref="F12">SUM(($A$12='Accident &amp; Incident Detail'!$E$3:$E$3434)*(Data!F4='Accident &amp; Incident Detail'!$C$3:$C$3434))</f>
        <v>0</v>
      </c>
      <c r="G12" s="403">
        <f t="array" ref="G12">SUM(($A$12='Accident &amp; Incident Detail'!$E$3:$E$3434)*(Data!G4='Accident &amp; Incident Detail'!$C$3:$C$3434))</f>
        <v>0</v>
      </c>
      <c r="H12" s="403">
        <f t="array" ref="H12">SUM(($A$12='Accident &amp; Incident Detail'!$E$3:$E$3434)*(Data!H4='Accident &amp; Incident Detail'!$C$3:$C$3434))</f>
        <v>0</v>
      </c>
      <c r="I12" s="403">
        <f t="array" ref="I12">SUM(($A$12='Accident &amp; Incident Detail'!$E$3:$E$3434)*(Data!I4='Accident &amp; Incident Detail'!$C$3:$C$3434))</f>
        <v>0</v>
      </c>
      <c r="J12" s="24">
        <f t="array" ref="J12">SUM(($A$12='Accident &amp; Incident Detail'!$E$3:$E$3434)*(Data!J4='Accident &amp; Incident Detail'!$C$3:$C$3434))</f>
        <v>1</v>
      </c>
      <c r="K12" s="24">
        <f t="array" ref="K12">SUM(($A$12='Accident &amp; Incident Detail'!$E$3:$E$3434)*(Data!K4='Accident &amp; Incident Detail'!$C$3:$C$3434))</f>
        <v>9</v>
      </c>
      <c r="L12" s="24">
        <f t="array" ref="L12">SUM(($A$12='Accident &amp; Incident Detail'!$E$3:$E$3434)*(Data!L4='Accident &amp; Incident Detail'!$C$3:$C$3434))</f>
        <v>4</v>
      </c>
      <c r="M12" s="24">
        <f t="array" ref="M12">SUM(($A$12='Accident &amp; Incident Detail'!$E$3:$E$3434)*(Data!M4='Accident &amp; Incident Detail'!$C$3:$C$3434))</f>
        <v>6</v>
      </c>
      <c r="N12" s="24">
        <f t="array" ref="N12">SUM(($A$12='Accident &amp; Incident Detail'!$E$3:$E$3434)*(Data!N4='Accident &amp; Incident Detail'!$C$3:$C$3434))</f>
        <v>0</v>
      </c>
      <c r="O12" s="24">
        <f t="array" ref="O12">SUM(($A$12='Accident &amp; Incident Detail'!$E$3:$E$3434)*(Data!O4='Accident &amp; Incident Detail'!$C$3:$C$3434))</f>
        <v>7</v>
      </c>
      <c r="P12" s="24">
        <f t="array" ref="P12">SUM(($A$12='Accident &amp; Incident Detail'!$E$3:$E$3434)*(Data!P4='Accident &amp; Incident Detail'!$C$3:$C$3434))</f>
        <v>4</v>
      </c>
      <c r="Q12" s="24">
        <f t="array" ref="Q12">SUM(($A$12='Accident &amp; Incident Detail'!$E$3:$E$3434)*(Data!Q4='Accident &amp; Incident Detail'!$C$3:$C$3434))</f>
        <v>7</v>
      </c>
      <c r="R12" s="24">
        <f t="array" ref="R12">SUM(($A$12='Accident &amp; Incident Detail'!$E$3:$E$3434)*(Data!R4='Accident &amp; Incident Detail'!$C$3:$C$3434))</f>
        <v>5</v>
      </c>
      <c r="S12" s="24">
        <f t="array" ref="S12">SUM(($A$12='Accident &amp; Incident Detail'!$E$3:$E$3434)*(Data!S4='Accident &amp; Incident Detail'!$C$3:$C$3434))</f>
        <v>3</v>
      </c>
      <c r="T12" s="24">
        <f t="array" ref="T12">SUM(($A$12='Accident &amp; Incident Detail'!$E$3:$E$3434)*(Data!T4='Accident &amp; Incident Detail'!$C$3:$C$3434))</f>
        <v>5</v>
      </c>
      <c r="U12" s="24">
        <f t="array" ref="U12">SUM(($A$12='Accident &amp; Incident Detail'!$E$3:$E$3434)*(Data!U4='Accident &amp; Incident Detail'!$C$3:$C$3434))</f>
        <v>6</v>
      </c>
      <c r="V12" s="24">
        <f t="array" ref="V12">SUM(($A$12='Accident &amp; Incident Detail'!$E$3:$E$3434)*(Data!V4='Accident &amp; Incident Detail'!$C$3:$C$3434))</f>
        <v>10</v>
      </c>
      <c r="W12" s="24">
        <f t="array" ref="W12">SUM(($A$12='Accident &amp; Incident Detail'!$E$3:$E$3434)*(Data!W4='Accident &amp; Incident Detail'!$C$3:$C$3434))</f>
        <v>4</v>
      </c>
      <c r="X12" s="24">
        <f t="array" ref="X12">SUM(($A$12='Accident &amp; Incident Detail'!$E$3:$E$3434)*(Data!X4='Accident &amp; Incident Detail'!$C$3:$C$3434))</f>
        <v>8</v>
      </c>
      <c r="Y12" s="24">
        <f t="array" ref="Y12">SUM(($A$12='Accident &amp; Incident Detail'!$E$3:$E$3434)*(Data!Y4='Accident &amp; Incident Detail'!$C$3:$C$3434))</f>
        <v>3</v>
      </c>
      <c r="Z12" s="205" cm="1">
        <f t="array" ref="Z12">SUM(($A$12='Accident &amp; Incident Detail'!$E$3:$E$3433)*(Data!Z4='Accident &amp; Incident Detail'!$C$3:$C$3433))</f>
        <v>7</v>
      </c>
      <c r="AA12" s="205" cm="1">
        <f t="array" ref="AA12">SUM(($A$12='Accident &amp; Incident Detail'!$E$3:$E$3433)*(Data!AA4='Accident &amp; Incident Detail'!$C$3:$C$3433))</f>
        <v>12</v>
      </c>
      <c r="AB12" s="205">
        <f t="array" ref="AB12">SUM(($A$12='Accident &amp; Incident Detail'!$E$3:$E$3435)*(Data!AB4='Accident &amp; Incident Detail'!$C$3:$C$3435))</f>
        <v>11</v>
      </c>
      <c r="AC12" s="205">
        <f t="array" ref="AC12">SUM(($A$12='Accident &amp; Incident Detail'!$E$3:$E$3435)*(Data!AC4='Accident &amp; Incident Detail'!$C$3:$C$3435))</f>
        <v>10</v>
      </c>
      <c r="AD12" s="205">
        <f t="array" ref="AD12">SUM(($A$12='Accident &amp; Incident Detail'!$E$3:$E$3435)*(Data!AD4='Accident &amp; Incident Detail'!$C$3:$C$3435))</f>
        <v>14</v>
      </c>
      <c r="AE12" s="205">
        <f t="array" ref="AE12">SUM(($A$12='Accident &amp; Incident Detail'!$E$3:$E$3435)*(Data!AE4='Accident &amp; Incident Detail'!$C$3:$C$3435))</f>
        <v>5</v>
      </c>
      <c r="AF12" s="205">
        <f t="array" ref="AF12">SUM(($A$12='Accident &amp; Incident Detail'!$E$3:$E$3435)*(Data!AF4='Accident &amp; Incident Detail'!$C$3:$C$3435))</f>
        <v>11</v>
      </c>
      <c r="AG12" s="205">
        <f t="array" ref="AG12">SUM(($A$12='Accident &amp; Incident Detail'!$E$3:$E$3435)*(Data!AG4='Accident &amp; Incident Detail'!$C$3:$C$3435))</f>
        <v>20</v>
      </c>
      <c r="AH12" s="205">
        <f t="array" ref="AH12">SUM(($A$12='Accident &amp; Incident Detail'!$E$3:$E$3435)*(Data!AH4='Accident &amp; Incident Detail'!$C$3:$C$3435))</f>
        <v>16</v>
      </c>
      <c r="AI12" s="205">
        <f t="array" ref="AI12">SUM(($A$12='Accident &amp; Incident Detail'!$E$3:$E$3435)*(Data!AI4='Accident &amp; Incident Detail'!$C$3:$C$3435))</f>
        <v>4</v>
      </c>
      <c r="AJ12" s="205">
        <f t="array" ref="AJ12">SUM(($A$12='Accident &amp; Incident Detail'!$E$3:$E$3435)*(Data!AJ4='Accident &amp; Incident Detail'!$C$3:$C$3435))</f>
        <v>7</v>
      </c>
      <c r="AK12" s="205">
        <f t="array" ref="AK12">SUM(($A$12='Accident &amp; Incident Detail'!$E$3:$E$3435)*(Data!AK4='Accident &amp; Incident Detail'!$C$3:$C$3435))</f>
        <v>11</v>
      </c>
      <c r="AL12" s="205">
        <f t="array" ref="AL12">SUM(($A$12='Accident &amp; Incident Detail'!$E$3:$E$3435)*(Data!AL4='Accident &amp; Incident Detail'!$C$3:$C$3435))</f>
        <v>4</v>
      </c>
      <c r="AM12" s="205">
        <f t="array" ref="AM12">SUM(($A$12='Accident &amp; Incident Detail'!$E$3:$E$3435)*(Data!AM4='Accident &amp; Incident Detail'!$C$3:$C$3435))</f>
        <v>0</v>
      </c>
      <c r="AN12" s="205">
        <f t="array" ref="AN12">SUM(($A$12='Accident &amp; Incident Detail'!$E$3:$E$3435)*(Data!AN4='Accident &amp; Incident Detail'!$C$3:$C$3435))</f>
        <v>0</v>
      </c>
      <c r="AO12" s="92">
        <f t="shared" si="0"/>
        <v>113</v>
      </c>
    </row>
    <row r="13" spans="1:41" x14ac:dyDescent="0.35">
      <c r="A13" s="181" t="s">
        <v>9</v>
      </c>
      <c r="B13" s="404">
        <f t="shared" ref="B13:AN13" si="7">IF(B1=1,B236,0)</f>
        <v>0</v>
      </c>
      <c r="C13" s="404">
        <f t="shared" si="7"/>
        <v>0</v>
      </c>
      <c r="D13" s="404">
        <f t="shared" si="7"/>
        <v>0</v>
      </c>
      <c r="E13" s="404">
        <f t="shared" si="7"/>
        <v>0</v>
      </c>
      <c r="F13" s="404">
        <f t="shared" si="7"/>
        <v>0</v>
      </c>
      <c r="G13" s="404">
        <f t="shared" si="7"/>
        <v>1</v>
      </c>
      <c r="H13" s="404">
        <f t="shared" si="7"/>
        <v>1</v>
      </c>
      <c r="I13" s="404">
        <f t="shared" si="7"/>
        <v>1</v>
      </c>
      <c r="J13" s="27">
        <f t="shared" si="7"/>
        <v>3</v>
      </c>
      <c r="K13" s="27">
        <f t="shared" si="7"/>
        <v>9</v>
      </c>
      <c r="L13" s="27">
        <f t="shared" si="7"/>
        <v>11</v>
      </c>
      <c r="M13" s="27">
        <f t="shared" si="7"/>
        <v>6</v>
      </c>
      <c r="N13" s="27">
        <f t="shared" si="7"/>
        <v>0</v>
      </c>
      <c r="O13" s="27">
        <f t="shared" si="7"/>
        <v>7</v>
      </c>
      <c r="P13" s="27">
        <f t="shared" si="7"/>
        <v>6</v>
      </c>
      <c r="Q13" s="27">
        <f t="shared" si="7"/>
        <v>8</v>
      </c>
      <c r="R13" s="27">
        <f t="shared" si="7"/>
        <v>9</v>
      </c>
      <c r="S13" s="27">
        <f t="shared" si="7"/>
        <v>4</v>
      </c>
      <c r="T13" s="27">
        <f t="shared" si="7"/>
        <v>4</v>
      </c>
      <c r="U13" s="27">
        <f t="shared" si="7"/>
        <v>5</v>
      </c>
      <c r="V13" s="27">
        <f t="shared" si="7"/>
        <v>6</v>
      </c>
      <c r="W13" s="27">
        <f t="shared" si="7"/>
        <v>12</v>
      </c>
      <c r="X13" s="27">
        <f t="shared" si="7"/>
        <v>3</v>
      </c>
      <c r="Y13" s="27">
        <f t="shared" si="7"/>
        <v>7</v>
      </c>
      <c r="Z13" s="27">
        <f t="shared" si="7"/>
        <v>3</v>
      </c>
      <c r="AA13" s="27">
        <f t="shared" si="7"/>
        <v>6</v>
      </c>
      <c r="AB13" s="27">
        <f t="shared" si="7"/>
        <v>7</v>
      </c>
      <c r="AC13" s="27">
        <f t="shared" si="7"/>
        <v>5</v>
      </c>
      <c r="AD13" s="27">
        <f t="shared" si="7"/>
        <v>5</v>
      </c>
      <c r="AE13" s="27">
        <f t="shared" si="7"/>
        <v>7</v>
      </c>
      <c r="AF13" s="27">
        <f t="shared" si="7"/>
        <v>9</v>
      </c>
      <c r="AG13" s="27">
        <f t="shared" si="7"/>
        <v>4</v>
      </c>
      <c r="AH13" s="27">
        <f t="shared" si="7"/>
        <v>6</v>
      </c>
      <c r="AI13" s="27">
        <f t="shared" si="7"/>
        <v>11</v>
      </c>
      <c r="AJ13" s="27">
        <f t="shared" si="7"/>
        <v>7</v>
      </c>
      <c r="AK13" s="27">
        <f t="shared" si="7"/>
        <v>5</v>
      </c>
      <c r="AL13" s="27">
        <f t="shared" si="7"/>
        <v>0</v>
      </c>
      <c r="AM13" s="27">
        <f t="shared" si="7"/>
        <v>0</v>
      </c>
      <c r="AN13" s="27">
        <f t="shared" si="7"/>
        <v>0</v>
      </c>
      <c r="AO13" s="92">
        <f t="shared" si="0"/>
        <v>66</v>
      </c>
    </row>
    <row r="14" spans="1:41" x14ac:dyDescent="0.35">
      <c r="A14" s="181" t="s">
        <v>10</v>
      </c>
      <c r="B14" s="405">
        <f t="shared" ref="B14:H14" si="8">IF(B1=1,B253,0)</f>
        <v>0</v>
      </c>
      <c r="C14" s="405">
        <f t="shared" si="8"/>
        <v>0</v>
      </c>
      <c r="D14" s="405">
        <f t="shared" si="8"/>
        <v>0</v>
      </c>
      <c r="E14" s="405">
        <f t="shared" si="8"/>
        <v>0</v>
      </c>
      <c r="F14" s="405">
        <f t="shared" si="8"/>
        <v>0</v>
      </c>
      <c r="G14" s="405">
        <f t="shared" si="8"/>
        <v>0</v>
      </c>
      <c r="H14" s="405">
        <f t="shared" si="8"/>
        <v>0</v>
      </c>
      <c r="I14" s="405">
        <f t="shared" ref="I14:AN14" si="9">IF(I1=1,I253,0)</f>
        <v>0</v>
      </c>
      <c r="J14" s="18">
        <f t="shared" si="9"/>
        <v>1</v>
      </c>
      <c r="K14" s="18">
        <f t="shared" si="9"/>
        <v>0</v>
      </c>
      <c r="L14" s="18">
        <f t="shared" si="9"/>
        <v>0</v>
      </c>
      <c r="M14" s="18">
        <f t="shared" si="9"/>
        <v>0</v>
      </c>
      <c r="N14" s="18">
        <f t="shared" si="9"/>
        <v>0</v>
      </c>
      <c r="O14" s="18">
        <f t="shared" si="9"/>
        <v>1</v>
      </c>
      <c r="P14" s="18">
        <f t="shared" si="9"/>
        <v>3</v>
      </c>
      <c r="Q14" s="18">
        <f t="shared" si="9"/>
        <v>0</v>
      </c>
      <c r="R14" s="18">
        <f t="shared" si="9"/>
        <v>0</v>
      </c>
      <c r="S14" s="18">
        <f t="shared" si="9"/>
        <v>0</v>
      </c>
      <c r="T14" s="18">
        <f t="shared" si="9"/>
        <v>1</v>
      </c>
      <c r="U14" s="18">
        <f t="shared" si="9"/>
        <v>0</v>
      </c>
      <c r="V14" s="18">
        <f t="shared" si="9"/>
        <v>0</v>
      </c>
      <c r="W14" s="18">
        <f t="shared" si="9"/>
        <v>0</v>
      </c>
      <c r="X14" s="18">
        <f t="shared" si="9"/>
        <v>0</v>
      </c>
      <c r="Y14" s="18">
        <f t="shared" si="9"/>
        <v>2</v>
      </c>
      <c r="Z14" s="18">
        <f t="shared" si="9"/>
        <v>1</v>
      </c>
      <c r="AA14" s="18">
        <f t="shared" si="9"/>
        <v>1</v>
      </c>
      <c r="AB14" s="18">
        <f t="shared" si="9"/>
        <v>0</v>
      </c>
      <c r="AC14" s="18">
        <f t="shared" si="9"/>
        <v>1</v>
      </c>
      <c r="AD14" s="18">
        <f t="shared" si="9"/>
        <v>1</v>
      </c>
      <c r="AE14" s="18">
        <f t="shared" si="9"/>
        <v>0</v>
      </c>
      <c r="AF14" s="18">
        <f t="shared" si="9"/>
        <v>0</v>
      </c>
      <c r="AG14" s="18">
        <f t="shared" si="9"/>
        <v>0</v>
      </c>
      <c r="AH14" s="18">
        <f t="shared" si="9"/>
        <v>0</v>
      </c>
      <c r="AI14" s="18">
        <f t="shared" si="9"/>
        <v>2</v>
      </c>
      <c r="AJ14" s="18">
        <f t="shared" si="9"/>
        <v>0</v>
      </c>
      <c r="AK14" s="18">
        <f t="shared" si="9"/>
        <v>0</v>
      </c>
      <c r="AL14" s="18">
        <f t="shared" si="9"/>
        <v>0</v>
      </c>
      <c r="AM14" s="18">
        <f t="shared" si="9"/>
        <v>0</v>
      </c>
      <c r="AN14" s="18">
        <f t="shared" si="9"/>
        <v>0</v>
      </c>
      <c r="AO14" s="92">
        <f t="shared" si="0"/>
        <v>4</v>
      </c>
    </row>
    <row r="15" spans="1:41" x14ac:dyDescent="0.35">
      <c r="A15" s="182" t="s">
        <v>11</v>
      </c>
      <c r="B15" s="400">
        <f t="array" ref="B15">SUM(($A$15='Accident &amp; Incident Detail'!$I$3:$I$3433)*(Data!B4='Accident &amp; Incident Detail'!$C$3:$C$3433))</f>
        <v>0</v>
      </c>
      <c r="C15" s="400">
        <f t="array" ref="C15">SUM(($A$15='Accident &amp; Incident Detail'!$I$3:$I$3433)*(Data!C4='Accident &amp; Incident Detail'!$C$3:$C$3433))</f>
        <v>0</v>
      </c>
      <c r="D15" s="400">
        <f t="array" ref="D15">SUM(($A$15='Accident &amp; Incident Detail'!$I$3:$I$3433)*(Data!D4='Accident &amp; Incident Detail'!$C$3:$C$3433))</f>
        <v>0</v>
      </c>
      <c r="E15" s="400">
        <f t="array" ref="E15">SUM(($A$15='Accident &amp; Incident Detail'!$I$3:$I$3433)*(Data!E4='Accident &amp; Incident Detail'!$C$3:$C$3433))</f>
        <v>0</v>
      </c>
      <c r="F15" s="400">
        <f t="array" ref="F15">SUM(($A$15='Accident &amp; Incident Detail'!$I$3:$I$3433)*(Data!F4='Accident &amp; Incident Detail'!$C$3:$C$3433))</f>
        <v>0</v>
      </c>
      <c r="G15" s="400">
        <f t="array" ref="G15">SUM(($A$15='Accident &amp; Incident Detail'!$I$3:$I$3433)*(Data!G4='Accident &amp; Incident Detail'!$C$3:$C$3433))</f>
        <v>0</v>
      </c>
      <c r="H15" s="400">
        <f t="array" ref="H15">SUM(($A$15='Accident &amp; Incident Detail'!$I$3:$I$3433)*(Data!H4='Accident &amp; Incident Detail'!$C$3:$C$3433))</f>
        <v>0</v>
      </c>
      <c r="I15" s="400">
        <f t="array" ref="I15">SUM(($A$15='Accident &amp; Incident Detail'!$I$3:$I$3433)*(Data!I4='Accident &amp; Incident Detail'!$C$3:$C$3433))</f>
        <v>0</v>
      </c>
      <c r="J15" s="15">
        <f t="array" ref="J15">SUM(($A$15='Accident &amp; Incident Detail'!$I$3:$I$3433)*(Data!J4='Accident &amp; Incident Detail'!$C$3:$C$3433))</f>
        <v>0</v>
      </c>
      <c r="K15" s="15">
        <f t="array" ref="K15">SUM(($A$15='Accident &amp; Incident Detail'!$I$3:$I$3433)*(Data!K4='Accident &amp; Incident Detail'!$C$3:$C$3433))</f>
        <v>0</v>
      </c>
      <c r="L15" s="15">
        <f t="array" ref="L15">SUM(($A$15='Accident &amp; Incident Detail'!$I$3:$I$3433)*(Data!L4='Accident &amp; Incident Detail'!$C$3:$C$3433))</f>
        <v>0</v>
      </c>
      <c r="M15" s="15">
        <f t="array" ref="M15">SUM(($A$15='Accident &amp; Incident Detail'!$I$3:$I$3433)*(Data!M4='Accident &amp; Incident Detail'!$C$3:$C$3433))</f>
        <v>1</v>
      </c>
      <c r="N15" s="15">
        <f t="array" ref="N15">SUM(($A$15='Accident &amp; Incident Detail'!$I$3:$I$3433)*(Data!N4='Accident &amp; Incident Detail'!$C$3:$C$3433))</f>
        <v>0</v>
      </c>
      <c r="O15" s="15">
        <f t="array" ref="O15">SUM(($A$15='Accident &amp; Incident Detail'!$I$3:$I$3433)*(Data!O4='Accident &amp; Incident Detail'!$C$3:$C$3433))</f>
        <v>1</v>
      </c>
      <c r="P15" s="15">
        <f t="array" ref="P15">SUM(($A$15='Accident &amp; Incident Detail'!$I$3:$I$3433)*(Data!P4='Accident &amp; Incident Detail'!$C$3:$C$3433))</f>
        <v>0</v>
      </c>
      <c r="Q15" s="15">
        <f t="array" ref="Q15">SUM(($A$15='Accident &amp; Incident Detail'!$I$3:$I$3433)*(Data!Q4='Accident &amp; Incident Detail'!$C$3:$C$3433))</f>
        <v>0</v>
      </c>
      <c r="R15" s="15">
        <f t="array" ref="R15">SUM(($A$15='Accident &amp; Incident Detail'!$I$3:$I$3433)*(Data!R4='Accident &amp; Incident Detail'!$C$3:$C$3433))</f>
        <v>0</v>
      </c>
      <c r="S15" s="15">
        <f t="array" ref="S15">SUM(($A$15='Accident &amp; Incident Detail'!$I$3:$I$3433)*(Data!S4='Accident &amp; Incident Detail'!$C$3:$C$3433))</f>
        <v>0</v>
      </c>
      <c r="T15" s="15">
        <f t="array" ref="T15">SUM(($A$15='Accident &amp; Incident Detail'!$I$3:$I$3433)*(Data!T4='Accident &amp; Incident Detail'!$C$3:$C$3433))</f>
        <v>0</v>
      </c>
      <c r="U15" s="15">
        <f t="array" ref="U15">SUM(($A$15='Accident &amp; Incident Detail'!$I$3:$I$3433)*(Data!U4='Accident &amp; Incident Detail'!$C$3:$C$3433))</f>
        <v>0</v>
      </c>
      <c r="V15" s="15">
        <f t="array" ref="V15">SUM(($A$15='Accident &amp; Incident Detail'!$I$3:$I$3433)*(Data!V4='Accident &amp; Incident Detail'!$C$3:$C$3433))</f>
        <v>0</v>
      </c>
      <c r="W15" s="15">
        <f t="array" ref="W15">SUM(($A$15='Accident &amp; Incident Detail'!$I$3:$I$3433)*(Data!W4='Accident &amp; Incident Detail'!$C$3:$C$3433))</f>
        <v>0</v>
      </c>
      <c r="X15" s="15">
        <f t="array" ref="X15">SUM(($A$15='Accident &amp; Incident Detail'!$I$3:$I$3433)*(Data!X4='Accident &amp; Incident Detail'!$C$3:$C$3433))</f>
        <v>0</v>
      </c>
      <c r="Y15" s="15">
        <f t="array" ref="Y15">SUM(($A$15='Accident &amp; Incident Detail'!$I$3:$I$3433)*(Data!Y4='Accident &amp; Incident Detail'!$C$3:$C$3433))</f>
        <v>0</v>
      </c>
      <c r="Z15" s="205">
        <f t="array" ref="Z15">SUM(($A$6='Accident &amp; Incident Detail'!$I$3:$I$3433)*(Data!Z14='Accident &amp; Incident Detail'!$C$3:$C$3433))</f>
        <v>0</v>
      </c>
      <c r="AA15" s="205">
        <f t="array" ref="AA15">SUM(($A$6='Accident &amp; Incident Detail'!$I$3:$I$3433)*(Data!AA14='Accident &amp; Incident Detail'!$C$3:$C$3433))</f>
        <v>0</v>
      </c>
      <c r="AB15" s="205">
        <f t="array" ref="AB15">SUM(($A$15='Accident &amp; Incident Detail'!$I$3:$I$3434)*(Data!AB14='Accident &amp; Incident Detail'!$C$3:$C$3434))</f>
        <v>0</v>
      </c>
      <c r="AC15" s="205" cm="1">
        <f t="array" ref="AC15">SUM(($A$15='Accident &amp; Incident Detail'!$I$3:$I$3434)*(Data!AC4='Accident &amp; Incident Detail'!$C$3:$C$3434))</f>
        <v>0</v>
      </c>
      <c r="AD15" s="205" cm="1">
        <f t="array" ref="AD15">SUM(($A$15='Accident &amp; Incident Detail'!$I$3:$I$3434)*(Data!AD4='Accident &amp; Incident Detail'!$C$3:$C$3434))</f>
        <v>0</v>
      </c>
      <c r="AE15" s="205" cm="1">
        <f t="array" ref="AE15">SUM(($A$15='Accident &amp; Incident Detail'!$I$3:$I$3434)*(Data!AE4='Accident &amp; Incident Detail'!$C$3:$C$3434))</f>
        <v>1</v>
      </c>
      <c r="AF15" s="205" cm="1">
        <f t="array" ref="AF15">SUM(($A$15='Accident &amp; Incident Detail'!$I$3:$I$3434)*(Data!AF4='Accident &amp; Incident Detail'!$C$3:$C$3434))</f>
        <v>0</v>
      </c>
      <c r="AG15" s="205" cm="1">
        <f t="array" ref="AG15">SUM(($A$15='Accident &amp; Incident Detail'!$I$3:$I$3434)*(Data!AG4='Accident &amp; Incident Detail'!$C$3:$C$3434))</f>
        <v>0</v>
      </c>
      <c r="AH15" s="205" cm="1">
        <f t="array" ref="AH15">SUM(($A$15='Accident &amp; Incident Detail'!$I$3:$I$3434)*(Data!AH4='Accident &amp; Incident Detail'!$C$3:$C$3434))</f>
        <v>0</v>
      </c>
      <c r="AI15" s="205" cm="1">
        <f t="array" ref="AI15">SUM(($A$15='Accident &amp; Incident Detail'!$I$3:$I$3434)*(Data!AI4='Accident &amp; Incident Detail'!$C$3:$C$3434))</f>
        <v>0</v>
      </c>
      <c r="AJ15" s="205" cm="1">
        <f t="array" ref="AJ15">SUM(($A$15='Accident &amp; Incident Detail'!$I$3:$I$3434)*(Data!AJ4='Accident &amp; Incident Detail'!$C$3:$C$3434))</f>
        <v>0</v>
      </c>
      <c r="AK15" s="205" cm="1">
        <f t="array" ref="AK15">SUM(($A$15='Accident &amp; Incident Detail'!$I$3:$I$3434)*(Data!AK4='Accident &amp; Incident Detail'!$C$3:$C$3434))</f>
        <v>0</v>
      </c>
      <c r="AL15" s="205" cm="1">
        <f t="array" ref="AL15">SUM(($A$15='Accident &amp; Incident Detail'!$I$3:$I$3434)*(Data!AL4='Accident &amp; Incident Detail'!$C$3:$C$3434))</f>
        <v>0</v>
      </c>
      <c r="AM15" s="205" cm="1">
        <f t="array" ref="AM15">SUM(($A$15='Accident &amp; Incident Detail'!$I$3:$I$3434)*(Data!AM4='Accident &amp; Incident Detail'!$C$3:$C$3434))</f>
        <v>0</v>
      </c>
      <c r="AN15" s="205" cm="1">
        <f t="array" ref="AN15">SUM(($A$15='Accident &amp; Incident Detail'!$I$3:$I$3434)*(Data!AN4='Accident &amp; Incident Detail'!$C$3:$C$3434))</f>
        <v>0</v>
      </c>
      <c r="AO15" s="92">
        <f t="shared" si="0"/>
        <v>1</v>
      </c>
    </row>
    <row r="16" spans="1:41" ht="15.65" customHeight="1" thickBot="1" x14ac:dyDescent="0.4">
      <c r="A16" s="183" t="s">
        <v>12</v>
      </c>
      <c r="B16" s="406" cm="1">
        <f t="array" ref="B16">SUM(($A$16='Accident &amp; Incident Detail'!$I$3:$I$3433)*(Data!B4='Accident &amp; Incident Detail'!$C$3:$C$3433))</f>
        <v>0</v>
      </c>
      <c r="C16" s="406">
        <f t="array" ref="C16">SUM(($A$16='Accident &amp; Incident Detail'!$I$3:$I$3433)*(Data!C4='Accident &amp; Incident Detail'!$C$3:$C$3433))</f>
        <v>0</v>
      </c>
      <c r="D16" s="406">
        <f t="array" ref="D16">SUM(($A$16='Accident &amp; Incident Detail'!$I$3:$I$3433)*(Data!D4='Accident &amp; Incident Detail'!$C$3:$C$3433))</f>
        <v>0</v>
      </c>
      <c r="E16" s="406">
        <f t="array" ref="E16">SUM(($A$16='Accident &amp; Incident Detail'!$I$3:$I$3433)*(Data!E4='Accident &amp; Incident Detail'!$C$3:$C$3433))</f>
        <v>0</v>
      </c>
      <c r="F16" s="406">
        <f t="array" ref="F16">SUM(($A$16='Accident &amp; Incident Detail'!$I$3:$I$3433)*(Data!F4='Accident &amp; Incident Detail'!$C$3:$C$3433))</f>
        <v>0</v>
      </c>
      <c r="G16" s="406">
        <f t="array" ref="G16">SUM(($A$16='Accident &amp; Incident Detail'!$I$3:$I$3433)*(Data!G4='Accident &amp; Incident Detail'!$C$3:$C$3433))</f>
        <v>0</v>
      </c>
      <c r="H16" s="406">
        <f t="array" ref="H16">SUM(($A$16='Accident &amp; Incident Detail'!$I$3:$I$3433)*(Data!H4='Accident &amp; Incident Detail'!$C$3:$C$3433))</f>
        <v>0</v>
      </c>
      <c r="I16" s="406">
        <f t="array" ref="I16">SUM(($A$16='Accident &amp; Incident Detail'!$I$3:$I$3433)*(Data!I4='Accident &amp; Incident Detail'!$C$3:$C$3433))</f>
        <v>0</v>
      </c>
      <c r="J16" s="16">
        <f t="array" ref="J16">SUM(($A$16='Accident &amp; Incident Detail'!$I$3:$I$3433)*(Data!J4='Accident &amp; Incident Detail'!$C$3:$C$3433))</f>
        <v>0</v>
      </c>
      <c r="K16" s="16">
        <f t="array" ref="K16">SUM(($A$16='Accident &amp; Incident Detail'!$I$3:$I$3433)*(Data!K4='Accident &amp; Incident Detail'!$C$3:$C$3433))</f>
        <v>0</v>
      </c>
      <c r="L16" s="16">
        <f t="array" ref="L16">SUM(($A$16='Accident &amp; Incident Detail'!$I$3:$I$3433)*(Data!L4='Accident &amp; Incident Detail'!$C$3:$C$3433))</f>
        <v>0</v>
      </c>
      <c r="M16" s="16">
        <f t="array" ref="M16">SUM(($A$16='Accident &amp; Incident Detail'!$I$3:$I$3433)*(Data!M4='Accident &amp; Incident Detail'!$C$3:$C$3433))</f>
        <v>0</v>
      </c>
      <c r="N16" s="16">
        <f t="array" ref="N16">SUM(($A$16='Accident &amp; Incident Detail'!$I$3:$I$3433)*(Data!N4='Accident &amp; Incident Detail'!$C$3:$C$3433))</f>
        <v>0</v>
      </c>
      <c r="O16" s="16">
        <f t="array" ref="O16">SUM(($A$16='Accident &amp; Incident Detail'!$I$3:$I$3433)*(Data!O4='Accident &amp; Incident Detail'!$C$3:$C$3433))</f>
        <v>0</v>
      </c>
      <c r="P16" s="16">
        <f t="array" ref="P16">SUM(($A$16='Accident &amp; Incident Detail'!$I$3:$I$3433)*(Data!P4='Accident &amp; Incident Detail'!$C$3:$C$3433))</f>
        <v>0</v>
      </c>
      <c r="Q16" s="16">
        <f t="array" ref="Q16">SUM(($A$16='Accident &amp; Incident Detail'!$I$3:$I$3433)*(Data!Q4='Accident &amp; Incident Detail'!$C$3:$C$3433))</f>
        <v>0</v>
      </c>
      <c r="R16" s="16">
        <f t="array" ref="R16">SUM(($A$16='Accident &amp; Incident Detail'!$I$3:$I$3433)*(Data!R4='Accident &amp; Incident Detail'!$C$3:$C$3433))</f>
        <v>0</v>
      </c>
      <c r="S16" s="16">
        <f t="array" ref="S16">SUM(($A$16='Accident &amp; Incident Detail'!$I$3:$I$3433)*(Data!S4='Accident &amp; Incident Detail'!$C$3:$C$3433))</f>
        <v>0</v>
      </c>
      <c r="T16" s="16">
        <f t="array" ref="T16">SUM(($A$16='Accident &amp; Incident Detail'!$I$3:$I$3433)*(Data!T4='Accident &amp; Incident Detail'!$C$3:$C$3433))</f>
        <v>0</v>
      </c>
      <c r="U16" s="16">
        <f t="array" ref="U16">SUM(($A$16='Accident &amp; Incident Detail'!$I$3:$I$3433)*(Data!U4='Accident &amp; Incident Detail'!$C$3:$C$3433))</f>
        <v>0</v>
      </c>
      <c r="V16" s="16">
        <f t="array" ref="V16">SUM(($A$16='Accident &amp; Incident Detail'!$I$3:$I$3433)*(Data!V4='Accident &amp; Incident Detail'!$C$3:$C$3433))</f>
        <v>0</v>
      </c>
      <c r="W16" s="16">
        <f t="array" ref="W16">SUM(($A$16='Accident &amp; Incident Detail'!$I$3:$I$3433)*(Data!W4='Accident &amp; Incident Detail'!$C$3:$C$3433))</f>
        <v>0</v>
      </c>
      <c r="X16" s="16">
        <f t="array" ref="X16">SUM(($A$16='Accident &amp; Incident Detail'!$I$3:$I$3433)*(Data!X4='Accident &amp; Incident Detail'!$C$3:$C$3433))</f>
        <v>0</v>
      </c>
      <c r="Y16" s="16">
        <f t="array" ref="Y16">SUM(($A$16='Accident &amp; Incident Detail'!$I$3:$I$3433)*(Data!Y4='Accident &amp; Incident Detail'!$C$3:$C$3433))</f>
        <v>0</v>
      </c>
      <c r="Z16" s="205">
        <f t="array" ref="Z16">SUM(($A$6='Accident &amp; Incident Detail'!$I$3:$I$3433)*(Data!Z15='Accident &amp; Incident Detail'!$C$3:$C$3433))</f>
        <v>0</v>
      </c>
      <c r="AA16" s="205">
        <f t="array" ref="AA16">SUM(($A$6='Accident &amp; Incident Detail'!$I$3:$I$3433)*(Data!AA15='Accident &amp; Incident Detail'!$C$3:$C$3433))</f>
        <v>0</v>
      </c>
      <c r="AB16" s="205">
        <f t="array" ref="AB16">SUM(($A$16='Accident &amp; Incident Detail'!$I$3:$I$3434)*(Data!AB15='Accident &amp; Incident Detail'!$C$3:$C$3434))</f>
        <v>0</v>
      </c>
      <c r="AC16" s="205">
        <f t="array" ref="AC16">SUM(($A$16='Accident &amp; Incident Detail'!$I$3:$I$3434)*(Data!AC15='Accident &amp; Incident Detail'!$C$3:$C$3434))</f>
        <v>0</v>
      </c>
      <c r="AD16" s="205" cm="1">
        <f t="array" ref="AD16">SUM(($A$16='Accident &amp; Incident Detail'!$I$3:$I$3434)*(Data!AD4='Accident &amp; Incident Detail'!$C$3:$C$3434))</f>
        <v>0</v>
      </c>
      <c r="AE16" s="205">
        <f t="array" ref="AE16">SUM(($A$16='Accident &amp; Incident Detail'!$I$3:$I$3434)*(Data!AE15='Accident &amp; Incident Detail'!$C$3:$C$3434))</f>
        <v>0</v>
      </c>
      <c r="AF16" s="205" cm="1">
        <f t="array" ref="AF16">SUM(($A$16='Accident &amp; Incident Detail'!$I$3:$I$3434)*(Data!AF4='Accident &amp; Incident Detail'!$C$3:$C$3434))</f>
        <v>0</v>
      </c>
      <c r="AG16" s="205" cm="1">
        <f t="array" ref="AG16">SUM(($A$16='Accident &amp; Incident Detail'!$I$3:$I$3434)*(Data!AG4='Accident &amp; Incident Detail'!$C$3:$C$3434))</f>
        <v>0</v>
      </c>
      <c r="AH16" s="205" cm="1">
        <f t="array" ref="AH16">SUM(($A$16='Accident &amp; Incident Detail'!$I$3:$I$3434)*(Data!AH4='Accident &amp; Incident Detail'!$C$3:$C$3434))</f>
        <v>0</v>
      </c>
      <c r="AI16" s="205" cm="1">
        <f t="array" ref="AI16">SUM(($A$16='Accident &amp; Incident Detail'!$I$3:$I$3434)*(Data!AI4='Accident &amp; Incident Detail'!$C$3:$C$3434))</f>
        <v>0</v>
      </c>
      <c r="AJ16" s="205" cm="1">
        <f t="array" ref="AJ16">SUM(($A$16='Accident &amp; Incident Detail'!$I$3:$I$3434)*(Data!AJ4='Accident &amp; Incident Detail'!$C$3:$C$3434))</f>
        <v>0</v>
      </c>
      <c r="AK16" s="205" cm="1">
        <f t="array" ref="AK16">SUM(($A$16='Accident &amp; Incident Detail'!$I$3:$I$3434)*(Data!AK4='Accident &amp; Incident Detail'!$C$3:$C$3434))</f>
        <v>0</v>
      </c>
      <c r="AL16" s="205" cm="1">
        <f t="array" ref="AL16">SUM(($A$16='Accident &amp; Incident Detail'!$I$3:$I$3434)*(Data!AL4='Accident &amp; Incident Detail'!$C$3:$C$3434))</f>
        <v>0</v>
      </c>
      <c r="AM16" s="205" cm="1">
        <f t="array" ref="AM16">SUM(($A$16='Accident &amp; Incident Detail'!$I$3:$I$3434)*(Data!AM4='Accident &amp; Incident Detail'!$C$3:$C$3434))</f>
        <v>0</v>
      </c>
      <c r="AN16" s="205" cm="1">
        <f t="array" ref="AN16">SUM(($A$16='Accident &amp; Incident Detail'!$I$3:$I$3434)*(Data!AN4='Accident &amp; Incident Detail'!$C$3:$C$3434))</f>
        <v>0</v>
      </c>
      <c r="AO16" s="92">
        <f t="shared" si="0"/>
        <v>0</v>
      </c>
    </row>
    <row r="17" spans="1:41" ht="15" thickBot="1" x14ac:dyDescent="0.4">
      <c r="A17" s="184" t="s">
        <v>13</v>
      </c>
      <c r="B17" s="407">
        <f t="shared" ref="B17:N17" si="10">SUM(B12:B15)</f>
        <v>0</v>
      </c>
      <c r="C17" s="407">
        <f t="shared" si="10"/>
        <v>0</v>
      </c>
      <c r="D17" s="407">
        <f t="shared" si="10"/>
        <v>0</v>
      </c>
      <c r="E17" s="407">
        <f t="shared" si="10"/>
        <v>0</v>
      </c>
      <c r="F17" s="407">
        <f t="shared" si="10"/>
        <v>0</v>
      </c>
      <c r="G17" s="407">
        <f t="shared" si="10"/>
        <v>1</v>
      </c>
      <c r="H17" s="407">
        <f t="shared" si="10"/>
        <v>1</v>
      </c>
      <c r="I17" s="407">
        <f t="shared" si="10"/>
        <v>1</v>
      </c>
      <c r="J17" s="26">
        <f t="shared" si="10"/>
        <v>5</v>
      </c>
      <c r="K17" s="26">
        <f t="shared" si="10"/>
        <v>18</v>
      </c>
      <c r="L17" s="26">
        <f t="shared" si="10"/>
        <v>15</v>
      </c>
      <c r="M17" s="26">
        <f t="shared" si="10"/>
        <v>13</v>
      </c>
      <c r="N17" s="26">
        <f t="shared" si="10"/>
        <v>0</v>
      </c>
      <c r="O17" s="26">
        <f t="shared" ref="O17:AN17" si="11">SUM(O12:O15)</f>
        <v>16</v>
      </c>
      <c r="P17" s="26">
        <f t="shared" si="11"/>
        <v>13</v>
      </c>
      <c r="Q17" s="26">
        <f t="shared" si="11"/>
        <v>15</v>
      </c>
      <c r="R17" s="26">
        <f t="shared" si="11"/>
        <v>14</v>
      </c>
      <c r="S17" s="26">
        <f t="shared" si="11"/>
        <v>7</v>
      </c>
      <c r="T17" s="26">
        <f t="shared" si="11"/>
        <v>10</v>
      </c>
      <c r="U17" s="26">
        <f t="shared" si="11"/>
        <v>11</v>
      </c>
      <c r="V17" s="26">
        <f t="shared" si="11"/>
        <v>16</v>
      </c>
      <c r="W17" s="26">
        <f t="shared" si="11"/>
        <v>16</v>
      </c>
      <c r="X17" s="26">
        <f t="shared" si="11"/>
        <v>11</v>
      </c>
      <c r="Y17" s="26">
        <f t="shared" si="11"/>
        <v>12</v>
      </c>
      <c r="Z17" s="26">
        <f t="shared" si="11"/>
        <v>11</v>
      </c>
      <c r="AA17" s="26">
        <f t="shared" si="11"/>
        <v>19</v>
      </c>
      <c r="AB17" s="26">
        <f t="shared" si="11"/>
        <v>18</v>
      </c>
      <c r="AC17" s="26">
        <f t="shared" si="11"/>
        <v>16</v>
      </c>
      <c r="AD17" s="26">
        <f t="shared" si="11"/>
        <v>20</v>
      </c>
      <c r="AE17" s="26">
        <f t="shared" si="11"/>
        <v>13</v>
      </c>
      <c r="AF17" s="26">
        <f t="shared" si="11"/>
        <v>20</v>
      </c>
      <c r="AG17" s="26">
        <f t="shared" si="11"/>
        <v>24</v>
      </c>
      <c r="AH17" s="26">
        <f t="shared" si="11"/>
        <v>22</v>
      </c>
      <c r="AI17" s="26">
        <f t="shared" si="11"/>
        <v>17</v>
      </c>
      <c r="AJ17" s="26">
        <f t="shared" si="11"/>
        <v>14</v>
      </c>
      <c r="AK17" s="26">
        <f t="shared" si="11"/>
        <v>16</v>
      </c>
      <c r="AL17" s="26">
        <f t="shared" si="11"/>
        <v>4</v>
      </c>
      <c r="AM17" s="26">
        <f t="shared" si="11"/>
        <v>0</v>
      </c>
      <c r="AN17" s="26">
        <f t="shared" si="11"/>
        <v>0</v>
      </c>
      <c r="AO17" s="92">
        <f t="shared" si="0"/>
        <v>184</v>
      </c>
    </row>
    <row r="18" spans="1:41" ht="15" thickBot="1" x14ac:dyDescent="0.4">
      <c r="A18" s="184" t="s">
        <v>14</v>
      </c>
      <c r="B18" s="408">
        <f t="shared" ref="B18:N18" si="12">B17+B11</f>
        <v>0</v>
      </c>
      <c r="C18" s="408">
        <f t="shared" si="12"/>
        <v>0</v>
      </c>
      <c r="D18" s="408">
        <f t="shared" si="12"/>
        <v>0</v>
      </c>
      <c r="E18" s="408">
        <f t="shared" si="12"/>
        <v>0</v>
      </c>
      <c r="F18" s="408">
        <f t="shared" si="12"/>
        <v>0</v>
      </c>
      <c r="G18" s="408">
        <f t="shared" si="12"/>
        <v>1</v>
      </c>
      <c r="H18" s="408">
        <f t="shared" si="12"/>
        <v>1</v>
      </c>
      <c r="I18" s="408">
        <f t="shared" si="12"/>
        <v>1</v>
      </c>
      <c r="J18" s="91">
        <f t="shared" si="12"/>
        <v>9</v>
      </c>
      <c r="K18" s="91">
        <f t="shared" si="12"/>
        <v>28</v>
      </c>
      <c r="L18" s="91">
        <f t="shared" si="12"/>
        <v>28</v>
      </c>
      <c r="M18" s="91">
        <f t="shared" si="12"/>
        <v>28</v>
      </c>
      <c r="N18" s="91">
        <f t="shared" si="12"/>
        <v>0</v>
      </c>
      <c r="O18" s="91">
        <f t="shared" ref="O18:Y18" si="13">O17+O11</f>
        <v>36</v>
      </c>
      <c r="P18" s="91">
        <f t="shared" si="13"/>
        <v>28</v>
      </c>
      <c r="Q18" s="91">
        <f t="shared" si="13"/>
        <v>28</v>
      </c>
      <c r="R18" s="91">
        <f t="shared" si="13"/>
        <v>28</v>
      </c>
      <c r="S18" s="91">
        <f t="shared" si="13"/>
        <v>15</v>
      </c>
      <c r="T18" s="91">
        <f t="shared" si="13"/>
        <v>22</v>
      </c>
      <c r="U18" s="91">
        <f t="shared" si="13"/>
        <v>28</v>
      </c>
      <c r="V18" s="91">
        <f t="shared" si="13"/>
        <v>28</v>
      </c>
      <c r="W18" s="91">
        <f t="shared" si="13"/>
        <v>29</v>
      </c>
      <c r="X18" s="91">
        <f t="shared" si="13"/>
        <v>25</v>
      </c>
      <c r="Y18" s="91">
        <f t="shared" si="13"/>
        <v>22</v>
      </c>
      <c r="Z18" s="91">
        <f t="array" ref="Z18">SUM(($A$6='Accident &amp; Incident Detail'!$I$3:$I$3433)*(Data!Z17='Accident &amp; Incident Detail'!$C$3:$C$3433))</f>
        <v>0</v>
      </c>
      <c r="AA18" s="91">
        <f t="array" ref="AA18">SUM(($A$6='Accident &amp; Incident Detail'!$I$3:$I$3433)*(Data!AA17='Accident &amp; Incident Detail'!$C$3:$C$3433))</f>
        <v>0</v>
      </c>
      <c r="AB18" s="91">
        <f>AB17+AB11</f>
        <v>22</v>
      </c>
      <c r="AC18" s="91">
        <f t="shared" ref="AC18:AN18" si="14">AC17+AC11</f>
        <v>22</v>
      </c>
      <c r="AD18" s="91">
        <f t="shared" si="14"/>
        <v>33</v>
      </c>
      <c r="AE18" s="91">
        <f t="shared" si="14"/>
        <v>23</v>
      </c>
      <c r="AF18" s="91">
        <f t="shared" si="14"/>
        <v>22</v>
      </c>
      <c r="AG18" s="91">
        <f t="shared" si="14"/>
        <v>32</v>
      </c>
      <c r="AH18" s="356">
        <f t="shared" si="14"/>
        <v>35</v>
      </c>
      <c r="AI18" s="91">
        <f t="shared" si="14"/>
        <v>26</v>
      </c>
      <c r="AJ18" s="91">
        <f t="shared" si="14"/>
        <v>27</v>
      </c>
      <c r="AK18" s="91">
        <f t="shared" si="14"/>
        <v>23</v>
      </c>
      <c r="AL18" s="91">
        <f t="shared" si="14"/>
        <v>12</v>
      </c>
      <c r="AM18" s="91">
        <f t="shared" si="14"/>
        <v>0</v>
      </c>
      <c r="AN18" s="91">
        <f t="shared" si="14"/>
        <v>0</v>
      </c>
      <c r="AO18" s="92">
        <f t="shared" si="0"/>
        <v>277</v>
      </c>
    </row>
    <row r="19" spans="1:41" ht="15" thickBot="1" x14ac:dyDescent="0.4">
      <c r="A19" s="29"/>
    </row>
    <row r="20" spans="1:41" ht="29" thickBot="1" x14ac:dyDescent="0.7">
      <c r="A20" s="385" t="s">
        <v>15</v>
      </c>
    </row>
    <row r="21" spans="1:41" ht="15" thickBot="1" x14ac:dyDescent="0.4">
      <c r="A21" s="116"/>
      <c r="B21" s="396">
        <v>2301</v>
      </c>
      <c r="C21" s="396">
        <v>2302</v>
      </c>
      <c r="D21" s="396">
        <v>2303</v>
      </c>
      <c r="E21" s="396">
        <v>2304</v>
      </c>
      <c r="F21" s="396">
        <v>2305</v>
      </c>
      <c r="G21" s="396">
        <v>2306</v>
      </c>
      <c r="H21" s="396">
        <v>2307</v>
      </c>
      <c r="I21" s="396">
        <v>2308</v>
      </c>
      <c r="J21" s="206">
        <v>2309</v>
      </c>
      <c r="K21" s="206">
        <v>2310</v>
      </c>
      <c r="L21" s="206">
        <v>2311</v>
      </c>
      <c r="M21" s="206">
        <v>2312</v>
      </c>
      <c r="N21" s="210">
        <v>2313</v>
      </c>
      <c r="O21" s="211">
        <v>2401</v>
      </c>
      <c r="P21" s="206">
        <v>2402</v>
      </c>
      <c r="Q21" s="206">
        <v>2403</v>
      </c>
      <c r="R21" s="206">
        <v>2404</v>
      </c>
      <c r="S21" s="206">
        <v>2405</v>
      </c>
      <c r="T21" s="206">
        <v>2406</v>
      </c>
      <c r="U21" s="206">
        <v>2407</v>
      </c>
      <c r="V21" s="206">
        <v>2408</v>
      </c>
      <c r="W21" s="206">
        <v>2409</v>
      </c>
      <c r="X21" s="206">
        <v>2410</v>
      </c>
      <c r="Y21" s="206">
        <v>2411</v>
      </c>
      <c r="Z21" s="212">
        <v>2412</v>
      </c>
      <c r="AA21" s="158">
        <v>2413</v>
      </c>
      <c r="AB21" s="284">
        <v>2501</v>
      </c>
      <c r="AC21" s="284">
        <v>2502</v>
      </c>
      <c r="AD21" s="284">
        <v>2503</v>
      </c>
      <c r="AE21" s="284">
        <v>2504</v>
      </c>
      <c r="AF21" s="284">
        <v>2505</v>
      </c>
      <c r="AG21" s="284">
        <v>2506</v>
      </c>
      <c r="AH21" s="284">
        <v>2507</v>
      </c>
      <c r="AI21" s="284">
        <v>2508</v>
      </c>
      <c r="AJ21" s="284">
        <v>2509</v>
      </c>
      <c r="AK21" s="284">
        <v>2510</v>
      </c>
      <c r="AL21" s="284">
        <v>2511</v>
      </c>
      <c r="AM21" s="284">
        <v>2512</v>
      </c>
      <c r="AN21" s="284">
        <v>2513</v>
      </c>
      <c r="AO21" s="158"/>
    </row>
    <row r="22" spans="1:41" x14ac:dyDescent="0.35">
      <c r="A22" s="181" t="s">
        <v>2</v>
      </c>
      <c r="B22" s="409">
        <f>IF(B$1=1,SUM(SUM(B6:B6)/13),NA())</f>
        <v>0</v>
      </c>
      <c r="C22" s="409">
        <f>IF(C$1=1,SUM(SUM(B6:C6)/13),NA())</f>
        <v>0</v>
      </c>
      <c r="D22" s="409">
        <f>IF(D$1=1,SUM(SUM(B6:D6)/13),NA())</f>
        <v>0</v>
      </c>
      <c r="E22" s="409">
        <f>IF(E$1=1,SUM(SUM(B6:E6)/13),NA())</f>
        <v>-7.6923076923076927E-2</v>
      </c>
      <c r="F22" s="409">
        <f>IF(F$1=1,SUM(SUM(B6:F6)/13),NA())</f>
        <v>-7.6923076923076927E-2</v>
      </c>
      <c r="G22" s="409">
        <f>IF(G$1=1,SUM(SUM(B6:G6)/13),NA())</f>
        <v>-0.15384615384615385</v>
      </c>
      <c r="H22" s="409">
        <f>IF(H$1=1,SUM(SUM(B6:H6)/13),NA())</f>
        <v>-0.15384615384615385</v>
      </c>
      <c r="I22" s="409">
        <f>IF(I$1=1,SUM(SUM(B6:I6)/13),NA())</f>
        <v>-0.15384615384615385</v>
      </c>
      <c r="J22" s="97">
        <f>IF(J$1=1,SUM(SUM(B6:J6)/13),NA())</f>
        <v>-7.6923076923076927E-2</v>
      </c>
      <c r="K22" s="97">
        <f>IF(K$1=1,SUM(SUM(B6:K6)/13),NA())</f>
        <v>7.6923076923076927E-2</v>
      </c>
      <c r="L22" s="97">
        <f>IF(L$1=1,SUM(SUM(B6:L6)/13),NA())</f>
        <v>0.30769230769230771</v>
      </c>
      <c r="M22" s="97">
        <f>IF(M$1=1,SUM(SUM(B6:M6)/13),NA())</f>
        <v>0.38461538461538464</v>
      </c>
      <c r="N22" s="97">
        <f>IF(N$1=1,SUM(SUM(B6:N6)/13),NA())</f>
        <v>0.38461538461538464</v>
      </c>
      <c r="O22" s="97">
        <f t="shared" ref="O22:Z22" si="15">IF(O$1=1,SUM(SUM(C6:O6)/13),NA())</f>
        <v>0.46153846153846156</v>
      </c>
      <c r="P22" s="97">
        <f t="shared" si="15"/>
        <v>0.69230769230769229</v>
      </c>
      <c r="Q22" s="97">
        <f t="shared" si="15"/>
        <v>0.69230769230769229</v>
      </c>
      <c r="R22" s="97">
        <f t="shared" si="15"/>
        <v>0.92307692307692313</v>
      </c>
      <c r="S22" s="97">
        <f t="shared" si="15"/>
        <v>1.0769230769230769</v>
      </c>
      <c r="T22" s="97">
        <f t="shared" si="15"/>
        <v>1.2307692307692308</v>
      </c>
      <c r="U22" s="97">
        <f t="shared" si="15"/>
        <v>1.4615384615384615</v>
      </c>
      <c r="V22" s="97">
        <f t="shared" si="15"/>
        <v>1.6153846153846154</v>
      </c>
      <c r="W22" s="97">
        <f t="shared" si="15"/>
        <v>1.6153846153846154</v>
      </c>
      <c r="X22" s="97">
        <f t="shared" si="15"/>
        <v>1.6923076923076923</v>
      </c>
      <c r="Y22" s="97">
        <f t="shared" si="15"/>
        <v>1.8461538461538463</v>
      </c>
      <c r="Z22" s="97">
        <f t="shared" si="15"/>
        <v>1.7692307692307692</v>
      </c>
      <c r="AA22" s="97">
        <f t="shared" ref="AA22:AN24" si="16">IF(AA$1=1,SUM(SUM(O6:AA6)/13),NA())</f>
        <v>1.7692307692307692</v>
      </c>
      <c r="AB22" s="97">
        <f t="shared" si="16"/>
        <v>1.9230769230769231</v>
      </c>
      <c r="AC22" s="97">
        <f t="shared" si="16"/>
        <v>1.7692307692307692</v>
      </c>
      <c r="AD22" s="97">
        <f t="shared" si="16"/>
        <v>2</v>
      </c>
      <c r="AE22" s="97">
        <f t="shared" si="16"/>
        <v>2</v>
      </c>
      <c r="AF22" s="97">
        <f t="shared" si="16"/>
        <v>1.8461538461538463</v>
      </c>
      <c r="AG22" s="97">
        <f t="shared" si="16"/>
        <v>1.8461538461538463</v>
      </c>
      <c r="AH22" s="97">
        <f t="shared" si="16"/>
        <v>1.9230769230769231</v>
      </c>
      <c r="AI22" s="97">
        <f t="shared" si="16"/>
        <v>1.7692307692307692</v>
      </c>
      <c r="AJ22" s="97">
        <f t="shared" si="16"/>
        <v>1.9230769230769231</v>
      </c>
      <c r="AK22" s="97">
        <f t="shared" si="16"/>
        <v>1.7692307692307692</v>
      </c>
      <c r="AL22" s="97" t="e">
        <f t="shared" si="16"/>
        <v>#N/A</v>
      </c>
      <c r="AM22" s="97" t="e">
        <f t="shared" si="16"/>
        <v>#N/A</v>
      </c>
      <c r="AN22" s="97" t="e">
        <f t="shared" si="16"/>
        <v>#N/A</v>
      </c>
      <c r="AO22" s="94" t="e">
        <f>SUM(AC22:AN22)</f>
        <v>#N/A</v>
      </c>
    </row>
    <row r="23" spans="1:41" x14ac:dyDescent="0.35">
      <c r="A23" s="181" t="s">
        <v>3</v>
      </c>
      <c r="B23" s="409">
        <f>IF(B$1=1,SUM(SUM(B7:B7)/13),NA())</f>
        <v>0</v>
      </c>
      <c r="C23" s="409">
        <f>IF(C$1=1,SUM(SUM(B7:C7)/13),NA())</f>
        <v>0</v>
      </c>
      <c r="D23" s="409">
        <f>IF(D$1=1,SUM(SUM(B7:D7)/13),NA())</f>
        <v>0</v>
      </c>
      <c r="E23" s="409">
        <f>IF(E$1=1,SUM(SUM(B7:E7)/13),NA())</f>
        <v>7.6923076923076927E-2</v>
      </c>
      <c r="F23" s="409">
        <f>IF(F$1=1,SUM(SUM(B7:F7)/13),NA())</f>
        <v>7.6923076923076927E-2</v>
      </c>
      <c r="G23" s="409">
        <f>IF(G$1=1,SUM(SUM(B7:G7)/13),NA())</f>
        <v>0.15384615384615385</v>
      </c>
      <c r="H23" s="409">
        <f>IF(H$1=1,SUM(SUM(B7:H7)/13),NA())</f>
        <v>0.15384615384615385</v>
      </c>
      <c r="I23" s="409">
        <f>IF(I$1=1,SUM(SUM(B7:I7)/13),NA())</f>
        <v>0.15384615384615385</v>
      </c>
      <c r="J23" s="97">
        <f>IF(J$1=1,SUM(SUM(B7:J7)/13),NA())</f>
        <v>0.15384615384615385</v>
      </c>
      <c r="K23" s="97">
        <f>IF(K$1=1,SUM(SUM(B7:K7)/13),NA())</f>
        <v>0.15384615384615385</v>
      </c>
      <c r="L23" s="97">
        <f>IF(L$1=1,SUM(SUM(B7:L7)/13),NA())</f>
        <v>0.15384615384615385</v>
      </c>
      <c r="M23" s="97">
        <f>IF(M$1=1,SUM(SUM(B7:M7)/13),NA())</f>
        <v>0.15384615384615385</v>
      </c>
      <c r="N23" s="97">
        <f>IF(N$1=1,SUM(SUM(B7:N7)/13),NA())</f>
        <v>0.15384615384615385</v>
      </c>
      <c r="O23" s="97">
        <f t="shared" ref="O23:Z23" si="17">IF(O$1=1,SUM(SUM(C7:O7)/13),NA())</f>
        <v>0.15384615384615385</v>
      </c>
      <c r="P23" s="97">
        <f t="shared" si="17"/>
        <v>0.23076923076923078</v>
      </c>
      <c r="Q23" s="97">
        <f t="shared" si="17"/>
        <v>0.23076923076923078</v>
      </c>
      <c r="R23" s="97">
        <f t="shared" si="17"/>
        <v>0.15384615384615385</v>
      </c>
      <c r="S23" s="97">
        <f t="shared" si="17"/>
        <v>0.15384615384615385</v>
      </c>
      <c r="T23" s="97">
        <f>IF(T$1=1,SUM(SUM(H7:T7)/13),NA())</f>
        <v>7.6923076923076927E-2</v>
      </c>
      <c r="U23" s="97">
        <f t="shared" si="17"/>
        <v>7.6923076923076927E-2</v>
      </c>
      <c r="V23" s="97">
        <f t="shared" si="17"/>
        <v>7.6923076923076927E-2</v>
      </c>
      <c r="W23" s="97">
        <f t="shared" si="17"/>
        <v>7.6923076923076927E-2</v>
      </c>
      <c r="X23" s="97">
        <f t="shared" si="17"/>
        <v>7.6923076923076927E-2</v>
      </c>
      <c r="Y23" s="97">
        <f t="shared" si="17"/>
        <v>7.6923076923076927E-2</v>
      </c>
      <c r="Z23" s="97">
        <f t="shared" si="17"/>
        <v>7.6923076923076927E-2</v>
      </c>
      <c r="AA23" s="97">
        <f t="shared" si="16"/>
        <v>7.6923076923076927E-2</v>
      </c>
      <c r="AB23" s="97">
        <f t="shared" si="16"/>
        <v>0.15384615384615385</v>
      </c>
      <c r="AC23" s="97">
        <f t="shared" si="16"/>
        <v>7.6923076923076927E-2</v>
      </c>
      <c r="AD23" s="97">
        <f t="shared" si="16"/>
        <v>7.6923076923076927E-2</v>
      </c>
      <c r="AE23" s="97">
        <f t="shared" si="16"/>
        <v>7.6923076923076927E-2</v>
      </c>
      <c r="AF23" s="97">
        <f t="shared" si="16"/>
        <v>7.6923076923076927E-2</v>
      </c>
      <c r="AG23" s="97">
        <f t="shared" si="16"/>
        <v>7.6923076923076927E-2</v>
      </c>
      <c r="AH23" s="97">
        <f t="shared" si="16"/>
        <v>7.6923076923076927E-2</v>
      </c>
      <c r="AI23" s="97">
        <f t="shared" si="16"/>
        <v>7.6923076923076927E-2</v>
      </c>
      <c r="AJ23" s="97">
        <f t="shared" si="16"/>
        <v>0.15384615384615385</v>
      </c>
      <c r="AK23" s="97">
        <f t="shared" si="16"/>
        <v>0.15384615384615385</v>
      </c>
      <c r="AL23" s="97" t="e">
        <f t="shared" si="16"/>
        <v>#N/A</v>
      </c>
      <c r="AM23" s="97" t="e">
        <f t="shared" si="16"/>
        <v>#N/A</v>
      </c>
      <c r="AN23" s="97" t="e">
        <f t="shared" si="16"/>
        <v>#N/A</v>
      </c>
      <c r="AO23" s="94" t="e">
        <f t="shared" ref="AO23:AO35" si="18">SUM(AC23:AN23)</f>
        <v>#N/A</v>
      </c>
    </row>
    <row r="24" spans="1:41" x14ac:dyDescent="0.35">
      <c r="A24" s="182" t="s">
        <v>4</v>
      </c>
      <c r="B24" s="410">
        <f>IF(B$1=1,SUM(SUM(B8:B8)/13),NA())</f>
        <v>0</v>
      </c>
      <c r="C24" s="410">
        <f>IF(C$1=1,SUM(SUM(B8:C8)/13),NA())</f>
        <v>0</v>
      </c>
      <c r="D24" s="410">
        <f>IF(D$1=1,SUM(SUM(B8:D8)/13),NA())</f>
        <v>0</v>
      </c>
      <c r="E24" s="410">
        <f>IF(E$1=1,SUM(SUM(B8:E8)/13),NA())</f>
        <v>0</v>
      </c>
      <c r="F24" s="410">
        <f>IF(F$1=1,SUM(SUM(B8:F8)/13),NA())</f>
        <v>0</v>
      </c>
      <c r="G24" s="410">
        <f>IF(G$1=1,SUM(SUM(B8:G8)/13),NA())</f>
        <v>0</v>
      </c>
      <c r="H24" s="410">
        <f>IF(H$1=1,SUM(SUM(B8:H8)/13),NA())</f>
        <v>0</v>
      </c>
      <c r="I24" s="410">
        <f>IF(I$1=1,SUM(SUM(B8:I8)/13),NA())</f>
        <v>0</v>
      </c>
      <c r="J24" s="93">
        <f>IF(J$1=1,SUM(SUM(B8:J8)/13),NA())</f>
        <v>0.15384615384615385</v>
      </c>
      <c r="K24" s="93">
        <f>IF(K$1=1,SUM(SUM(B8:K8)/13),NA())</f>
        <v>0.53846153846153844</v>
      </c>
      <c r="L24" s="93">
        <f>IF(L$1=1,SUM(SUM(B8:L8)/13),NA())</f>
        <v>0.76923076923076927</v>
      </c>
      <c r="M24" s="93">
        <f>IF(M$1=1,SUM(SUM(B8:M8)/13),NA())</f>
        <v>1.2307692307692308</v>
      </c>
      <c r="N24" s="93">
        <f>IF(N$1=1,SUM(SUM(B8:N8)/13),NA())</f>
        <v>1.2307692307692308</v>
      </c>
      <c r="O24" s="93">
        <f t="shared" ref="O24:Z24" si="19">IF(O$1=1,SUM(SUM(C8:O8)/13),NA())</f>
        <v>1.9230769230769231</v>
      </c>
      <c r="P24" s="93">
        <f t="shared" si="19"/>
        <v>2.2307692307692308</v>
      </c>
      <c r="Q24" s="93">
        <f t="shared" si="19"/>
        <v>2.5384615384615383</v>
      </c>
      <c r="R24" s="93">
        <f t="shared" si="19"/>
        <v>2.8461538461538463</v>
      </c>
      <c r="S24" s="93">
        <f t="shared" si="19"/>
        <v>3.0769230769230771</v>
      </c>
      <c r="T24" s="93">
        <f t="shared" si="19"/>
        <v>3.3846153846153846</v>
      </c>
      <c r="U24" s="93">
        <f t="shared" si="19"/>
        <v>3.8461538461538463</v>
      </c>
      <c r="V24" s="93">
        <f t="shared" si="19"/>
        <v>4.3076923076923075</v>
      </c>
      <c r="W24" s="93">
        <f t="shared" si="19"/>
        <v>4.4615384615384617</v>
      </c>
      <c r="X24" s="93">
        <f t="shared" si="19"/>
        <v>4.2307692307692308</v>
      </c>
      <c r="Y24" s="93">
        <f t="shared" si="19"/>
        <v>4.0769230769230766</v>
      </c>
      <c r="Z24" s="93">
        <f t="shared" si="19"/>
        <v>3.6153846153846154</v>
      </c>
      <c r="AA24" s="93">
        <f t="shared" si="16"/>
        <v>3.6153846153846154</v>
      </c>
      <c r="AB24" s="93">
        <f t="shared" si="16"/>
        <v>2.9230769230769229</v>
      </c>
      <c r="AC24" s="93">
        <f t="shared" si="16"/>
        <v>2.9230769230769229</v>
      </c>
      <c r="AD24" s="93">
        <f t="shared" si="16"/>
        <v>3.0769230769230771</v>
      </c>
      <c r="AE24" s="93">
        <f t="shared" si="16"/>
        <v>2.9230769230769229</v>
      </c>
      <c r="AF24" s="93">
        <f t="shared" si="16"/>
        <v>2.7692307692307692</v>
      </c>
      <c r="AG24" s="93">
        <f t="shared" si="16"/>
        <v>2.5384615384615383</v>
      </c>
      <c r="AH24" s="93">
        <f t="shared" si="16"/>
        <v>2.3076923076923075</v>
      </c>
      <c r="AI24" s="93">
        <f t="shared" si="16"/>
        <v>1.9230769230769231</v>
      </c>
      <c r="AJ24" s="93">
        <f t="shared" si="16"/>
        <v>1.6153846153846154</v>
      </c>
      <c r="AK24" s="93">
        <f t="shared" si="16"/>
        <v>1.6923076923076923</v>
      </c>
      <c r="AL24" s="93" t="e">
        <f t="shared" si="16"/>
        <v>#N/A</v>
      </c>
      <c r="AM24" s="93" t="e">
        <f t="shared" si="16"/>
        <v>#N/A</v>
      </c>
      <c r="AN24" s="93" t="e">
        <f t="shared" si="16"/>
        <v>#N/A</v>
      </c>
      <c r="AO24" s="94" t="e">
        <f t="shared" si="18"/>
        <v>#N/A</v>
      </c>
    </row>
    <row r="25" spans="1:41" x14ac:dyDescent="0.35">
      <c r="A25" s="182" t="s">
        <v>16</v>
      </c>
      <c r="B25" s="410">
        <f>IF(B$1=1,(SUM(SUM(B9:B9))/13),NA())</f>
        <v>0</v>
      </c>
      <c r="C25" s="410">
        <f>IF(C$1=1,(SUM(SUM(B9:C9))/13),NA())</f>
        <v>0</v>
      </c>
      <c r="D25" s="410">
        <f>IF(D$1=1,(SUM(SUM(B9:D9))/13),NA())</f>
        <v>0</v>
      </c>
      <c r="E25" s="410">
        <f>IF(E$1=1,(SUM(SUM(B9:E9))/13),NA())</f>
        <v>0</v>
      </c>
      <c r="F25" s="410">
        <f>IF(F$1=1,(SUM(SUM(B9:F9))/13),NA())</f>
        <v>0</v>
      </c>
      <c r="G25" s="410">
        <f>IF(G$1=1,(SUM(SUM(B9:G9))/13),NA())</f>
        <v>0</v>
      </c>
      <c r="H25" s="410">
        <f>IF(H$1=1,(SUM(SUM(B9:H9))/13),NA())</f>
        <v>0</v>
      </c>
      <c r="I25" s="410">
        <f>IF(I$1=1,(SUM(SUM(B9:I9))/13),NA())</f>
        <v>0</v>
      </c>
      <c r="J25" s="93">
        <f>IF(J$1=1,(SUM(SUM(B9:J9))/13),NA())</f>
        <v>7.6923076923076927E-2</v>
      </c>
      <c r="K25" s="93">
        <f>IF(K$1=1,(SUM(SUM(B9:K9))/13),NA())</f>
        <v>0.30769230769230771</v>
      </c>
      <c r="L25" s="93">
        <f>IF(L$1=1,(SUM(SUM(B9:L9))/13),NA())</f>
        <v>0.84615384615384615</v>
      </c>
      <c r="M25" s="93">
        <f>IF(M$1=1,(SUM(SUM(B9:M9))/13),NA())</f>
        <v>1.3846153846153846</v>
      </c>
      <c r="N25" s="93">
        <f>IF(N$1=1,(SUM(SUM(B9:N9))/13),NA())</f>
        <v>1.3846153846153846</v>
      </c>
      <c r="O25" s="93">
        <f t="shared" ref="O25:Z25" si="20">IF(O$1=1,(SUM(SUM(C9:O9))/13),NA())</f>
        <v>2.0769230769230771</v>
      </c>
      <c r="P25" s="93">
        <f t="shared" si="20"/>
        <v>2.5384615384615383</v>
      </c>
      <c r="Q25" s="93">
        <f t="shared" si="20"/>
        <v>3.2307692307692308</v>
      </c>
      <c r="R25" s="93">
        <f t="shared" si="20"/>
        <v>3.6923076923076925</v>
      </c>
      <c r="S25" s="93">
        <f t="shared" si="20"/>
        <v>3.9230769230769229</v>
      </c>
      <c r="T25" s="93">
        <f t="shared" si="20"/>
        <v>4.4615384615384617</v>
      </c>
      <c r="U25" s="93">
        <f t="shared" si="20"/>
        <v>5</v>
      </c>
      <c r="V25" s="93">
        <f t="shared" si="20"/>
        <v>5.3076923076923075</v>
      </c>
      <c r="W25" s="93">
        <f t="shared" si="20"/>
        <v>5.7692307692307692</v>
      </c>
      <c r="X25" s="93">
        <f t="shared" si="20"/>
        <v>6.1538461538461542</v>
      </c>
      <c r="Y25" s="93">
        <f t="shared" si="20"/>
        <v>5.9230769230769234</v>
      </c>
      <c r="Z25" s="93">
        <f t="shared" si="20"/>
        <v>5.384615384615385</v>
      </c>
      <c r="AA25" s="93">
        <f t="shared" ref="AA25:AN25" si="21">IF(AA$1=1,(SUM(SUM(O9:AA9))/13),NA())</f>
        <v>5.384615384615385</v>
      </c>
      <c r="AB25" s="93">
        <f t="shared" si="21"/>
        <v>4.6923076923076925</v>
      </c>
      <c r="AC25" s="93">
        <f t="shared" si="21"/>
        <v>4.3076923076923075</v>
      </c>
      <c r="AD25" s="93">
        <f t="shared" si="21"/>
        <v>3.9230769230769229</v>
      </c>
      <c r="AE25" s="93">
        <f t="shared" si="21"/>
        <v>3.9230769230769229</v>
      </c>
      <c r="AF25" s="93">
        <f t="shared" si="21"/>
        <v>3.7692307692307692</v>
      </c>
      <c r="AG25" s="93">
        <f t="shared" si="21"/>
        <v>3.6923076923076925</v>
      </c>
      <c r="AH25" s="93">
        <f t="shared" si="21"/>
        <v>3.5384615384615383</v>
      </c>
      <c r="AI25" s="93">
        <f t="shared" si="21"/>
        <v>3.8461538461538463</v>
      </c>
      <c r="AJ25" s="93">
        <f t="shared" si="21"/>
        <v>4</v>
      </c>
      <c r="AK25" s="93">
        <f t="shared" si="21"/>
        <v>3.6153846153846154</v>
      </c>
      <c r="AL25" s="93" t="e">
        <f t="shared" si="21"/>
        <v>#N/A</v>
      </c>
      <c r="AM25" s="93" t="e">
        <f t="shared" si="21"/>
        <v>#N/A</v>
      </c>
      <c r="AN25" s="93" t="e">
        <f t="shared" si="21"/>
        <v>#N/A</v>
      </c>
      <c r="AO25" s="94" t="e">
        <f t="shared" si="18"/>
        <v>#N/A</v>
      </c>
    </row>
    <row r="26" spans="1:41" hidden="1" x14ac:dyDescent="0.35">
      <c r="A26" s="182" t="s">
        <v>17</v>
      </c>
      <c r="B26" s="411">
        <v>91.615384615384599</v>
      </c>
      <c r="C26" s="411">
        <v>92.615384615384599</v>
      </c>
      <c r="D26" s="411">
        <v>93.615384615384599</v>
      </c>
      <c r="E26" s="411">
        <v>94.615384615384599</v>
      </c>
      <c r="F26" s="411">
        <v>95.615384615384599</v>
      </c>
      <c r="G26" s="411">
        <v>96.615384615384599</v>
      </c>
      <c r="H26" s="411">
        <v>97.615384615384599</v>
      </c>
      <c r="I26" s="411">
        <v>98.615384615384599</v>
      </c>
      <c r="J26" s="98">
        <v>99.615384615384599</v>
      </c>
      <c r="K26" s="98">
        <v>100.615384615385</v>
      </c>
      <c r="L26" s="98">
        <v>101.615384615385</v>
      </c>
      <c r="M26" s="98">
        <v>102.615384615385</v>
      </c>
      <c r="N26" s="98">
        <v>103.615384615385</v>
      </c>
      <c r="O26" s="98">
        <v>104.615384615385</v>
      </c>
      <c r="P26" s="98">
        <v>105.615384615385</v>
      </c>
      <c r="Q26" s="98">
        <v>106.615384615385</v>
      </c>
      <c r="R26" s="98">
        <v>107.615384615385</v>
      </c>
      <c r="S26" s="98">
        <v>108.615384615385</v>
      </c>
      <c r="T26" s="98">
        <v>109.615384615385</v>
      </c>
      <c r="U26" s="98">
        <v>110.615384615385</v>
      </c>
      <c r="V26" s="98">
        <v>111.615384615385</v>
      </c>
      <c r="W26" s="98">
        <v>112.615384615385</v>
      </c>
      <c r="X26" s="98">
        <v>113.615384615385</v>
      </c>
      <c r="Y26" s="98">
        <v>114.615384615385</v>
      </c>
      <c r="Z26" s="98">
        <v>115.615384615385</v>
      </c>
      <c r="AA26" s="98">
        <v>116.615384615385</v>
      </c>
      <c r="AB26" s="98">
        <v>117.615384615385</v>
      </c>
      <c r="AC26" s="98">
        <v>118.615384615385</v>
      </c>
      <c r="AD26" s="98">
        <v>119.615384615385</v>
      </c>
      <c r="AE26" s="98">
        <v>120.615384615385</v>
      </c>
      <c r="AF26" s="98">
        <v>121.615384615385</v>
      </c>
      <c r="AG26" s="98">
        <v>122.615384615385</v>
      </c>
      <c r="AH26" s="98">
        <v>123.615384615385</v>
      </c>
      <c r="AI26" s="98">
        <v>124.615384615385</v>
      </c>
      <c r="AJ26" s="98">
        <v>125.615384615385</v>
      </c>
      <c r="AK26" s="98">
        <v>126.615384615385</v>
      </c>
      <c r="AL26" s="98">
        <v>127.615384615385</v>
      </c>
      <c r="AM26" s="98">
        <v>128.61538461538501</v>
      </c>
      <c r="AN26" s="98">
        <v>129.61538461538501</v>
      </c>
      <c r="AO26" s="94">
        <f t="shared" si="18"/>
        <v>1489.38461538462</v>
      </c>
    </row>
    <row r="27" spans="1:41" ht="15" thickBot="1" x14ac:dyDescent="0.4">
      <c r="A27" s="182" t="s">
        <v>18</v>
      </c>
      <c r="B27" s="411">
        <f>IF(B$1=1,(SUM(SUM(B10:B10))/13),NA())</f>
        <v>0</v>
      </c>
      <c r="C27" s="411">
        <f>IF(C$1=1,(SUM(SUM(B10:C10))/13),NA())</f>
        <v>0</v>
      </c>
      <c r="D27" s="411">
        <f>IF(D$1=1,(SUM(SUM(B10:D10))/13),NA())</f>
        <v>0</v>
      </c>
      <c r="E27" s="411">
        <f>IF(E$1=1,(SUM(SUM(B10:E10))/13),NA())</f>
        <v>0</v>
      </c>
      <c r="F27" s="411">
        <f>IF(F$1=1,(SUM(SUM(B10:F10))/13),NA())</f>
        <v>0</v>
      </c>
      <c r="G27" s="411">
        <f>IF(G$1=1,(SUM(SUM(B10:G10))/13),NA())</f>
        <v>0</v>
      </c>
      <c r="H27" s="411">
        <f>IF(H$1=1,(SUM(SUM(B10:H10))/13),NA())</f>
        <v>0</v>
      </c>
      <c r="I27" s="411">
        <f>IF(I$1=1,(SUM(SUM(B10:I10))/13),NA())</f>
        <v>0</v>
      </c>
      <c r="J27" s="98">
        <f>IF(J$1=1,(SUM(SUM(B10:J10))/13),NA())</f>
        <v>0</v>
      </c>
      <c r="K27" s="98">
        <f>IF(K$1=1,(SUM(SUM(B10:K10))/13),NA())</f>
        <v>0</v>
      </c>
      <c r="L27" s="98">
        <f>IF(L$1=1,(SUM(SUM(B10:L10))/13),NA())</f>
        <v>0</v>
      </c>
      <c r="M27" s="98">
        <f>IF(M$1=1,(SUM(SUM(B10:M10))/13),NA())</f>
        <v>7.6923076923076927E-2</v>
      </c>
      <c r="N27" s="98">
        <f>IF(N$1=1,(SUM(SUM(B10:N10))/13),NA())</f>
        <v>7.6923076923076927E-2</v>
      </c>
      <c r="O27" s="98">
        <f t="shared" ref="O27:Z27" si="22">IF(O$1=1,(SUM(SUM(C10:O10))/13),NA())</f>
        <v>0.15384615384615385</v>
      </c>
      <c r="P27" s="98">
        <f t="shared" si="22"/>
        <v>0.23076923076923078</v>
      </c>
      <c r="Q27" s="98">
        <f t="shared" si="22"/>
        <v>0.23076923076923078</v>
      </c>
      <c r="R27" s="98">
        <f t="shared" si="22"/>
        <v>0.38461538461538464</v>
      </c>
      <c r="S27" s="98">
        <f t="shared" si="22"/>
        <v>0.38461538461538464</v>
      </c>
      <c r="T27" s="98">
        <f t="shared" si="22"/>
        <v>0.38461538461538464</v>
      </c>
      <c r="U27" s="98">
        <f t="shared" si="22"/>
        <v>0.46153846153846156</v>
      </c>
      <c r="V27" s="98">
        <f t="shared" si="22"/>
        <v>0.46153846153846156</v>
      </c>
      <c r="W27" s="98">
        <f t="shared" si="22"/>
        <v>0.53846153846153844</v>
      </c>
      <c r="X27" s="98">
        <f t="shared" si="22"/>
        <v>0.61538461538461542</v>
      </c>
      <c r="Y27" s="98">
        <f t="shared" si="22"/>
        <v>0.61538461538461542</v>
      </c>
      <c r="Z27" s="98">
        <f t="shared" si="22"/>
        <v>0.53846153846153844</v>
      </c>
      <c r="AA27" s="98">
        <f t="shared" ref="AA27:AN27" si="23">IF(AA$1=1,(SUM(SUM(O10:AA10))/13),NA())</f>
        <v>0.53846153846153844</v>
      </c>
      <c r="AB27" s="98">
        <f t="shared" si="23"/>
        <v>0.46153846153846156</v>
      </c>
      <c r="AC27" s="98">
        <f t="shared" si="23"/>
        <v>0.38461538461538464</v>
      </c>
      <c r="AD27" s="98">
        <f t="shared" si="23"/>
        <v>0.38461538461538464</v>
      </c>
      <c r="AE27" s="98">
        <f t="shared" si="23"/>
        <v>0.23076923076923078</v>
      </c>
      <c r="AF27" s="98">
        <f t="shared" si="23"/>
        <v>0.23076923076923078</v>
      </c>
      <c r="AG27" s="98">
        <f t="shared" si="23"/>
        <v>0.23076923076923078</v>
      </c>
      <c r="AH27" s="98">
        <f t="shared" si="23"/>
        <v>0.23076923076923078</v>
      </c>
      <c r="AI27" s="98">
        <f t="shared" si="23"/>
        <v>0.23076923076923078</v>
      </c>
      <c r="AJ27" s="98">
        <f t="shared" si="23"/>
        <v>0.15384615384615385</v>
      </c>
      <c r="AK27" s="98">
        <f t="shared" si="23"/>
        <v>7.6923076923076927E-2</v>
      </c>
      <c r="AL27" s="98" t="e">
        <f t="shared" si="23"/>
        <v>#N/A</v>
      </c>
      <c r="AM27" s="98" t="e">
        <f t="shared" si="23"/>
        <v>#N/A</v>
      </c>
      <c r="AN27" s="98" t="e">
        <f t="shared" si="23"/>
        <v>#N/A</v>
      </c>
      <c r="AO27" s="94" t="e">
        <f t="shared" si="18"/>
        <v>#N/A</v>
      </c>
    </row>
    <row r="28" spans="1:41" ht="15" hidden="1" thickBot="1" x14ac:dyDescent="0.4">
      <c r="A28" s="183" t="s">
        <v>19</v>
      </c>
      <c r="B28" s="412" t="e">
        <v>#N/A</v>
      </c>
      <c r="C28" s="412" t="e">
        <v>#N/A</v>
      </c>
      <c r="D28" s="412" t="e">
        <v>#N/A</v>
      </c>
      <c r="E28" s="412" t="e">
        <v>#N/A</v>
      </c>
      <c r="F28" s="412" t="e">
        <v>#N/A</v>
      </c>
      <c r="G28" s="412" t="e">
        <v>#N/A</v>
      </c>
      <c r="H28" s="412" t="e">
        <v>#N/A</v>
      </c>
      <c r="I28" s="412" t="e">
        <v>#N/A</v>
      </c>
      <c r="J28" s="161" t="e">
        <v>#N/A</v>
      </c>
      <c r="K28" s="161" t="e">
        <v>#N/A</v>
      </c>
      <c r="L28" s="161" t="e">
        <v>#N/A</v>
      </c>
      <c r="M28" s="161" t="e">
        <v>#N/A</v>
      </c>
      <c r="N28" s="161" t="e">
        <v>#N/A</v>
      </c>
      <c r="O28" s="161" t="e">
        <v>#N/A</v>
      </c>
      <c r="P28" s="161" t="e">
        <v>#N/A</v>
      </c>
      <c r="Q28" s="161" t="e">
        <v>#N/A</v>
      </c>
      <c r="R28" s="161" t="e">
        <v>#N/A</v>
      </c>
      <c r="S28" s="161" t="e">
        <v>#N/A</v>
      </c>
      <c r="T28" s="161" t="e">
        <v>#N/A</v>
      </c>
      <c r="U28" s="161" t="e">
        <v>#N/A</v>
      </c>
      <c r="V28" s="161" t="e">
        <v>#N/A</v>
      </c>
      <c r="W28" s="161" t="e">
        <v>#N/A</v>
      </c>
      <c r="X28" s="161" t="e">
        <v>#N/A</v>
      </c>
      <c r="Y28" s="161" t="e">
        <v>#N/A</v>
      </c>
      <c r="Z28" s="161" t="e">
        <v>#N/A</v>
      </c>
      <c r="AA28" s="161" t="e">
        <v>#N/A</v>
      </c>
      <c r="AB28" s="161" t="e">
        <v>#N/A</v>
      </c>
      <c r="AC28" s="161" t="e">
        <v>#N/A</v>
      </c>
      <c r="AD28" s="161" t="e">
        <v>#N/A</v>
      </c>
      <c r="AE28" s="161" t="e">
        <v>#N/A</v>
      </c>
      <c r="AF28" s="161" t="e">
        <v>#N/A</v>
      </c>
      <c r="AG28" s="161" t="e">
        <v>#N/A</v>
      </c>
      <c r="AH28" s="161" t="e">
        <v>#N/A</v>
      </c>
      <c r="AI28" s="161" t="e">
        <v>#N/A</v>
      </c>
      <c r="AJ28" s="161" t="e">
        <v>#N/A</v>
      </c>
      <c r="AK28" s="161" t="e">
        <v>#N/A</v>
      </c>
      <c r="AL28" s="161" t="e">
        <v>#N/A</v>
      </c>
      <c r="AM28" s="161" t="e">
        <v>#N/A</v>
      </c>
      <c r="AN28" s="161" t="e">
        <v>#N/A</v>
      </c>
      <c r="AO28" s="94" t="e">
        <f t="shared" si="18"/>
        <v>#N/A</v>
      </c>
    </row>
    <row r="29" spans="1:41" ht="15" thickBot="1" x14ac:dyDescent="0.4">
      <c r="A29" s="184" t="s">
        <v>7</v>
      </c>
      <c r="B29" s="413">
        <f>IF(B$1=1,SUM(SUM(B11:B11)/13),NA())</f>
        <v>0</v>
      </c>
      <c r="C29" s="413">
        <f>IF(C$1=1,SUM(SUM(B11:C11)/13),NA())</f>
        <v>0</v>
      </c>
      <c r="D29" s="413">
        <f>IF(D$1=1,SUM(SUM(B11:D11)/13),NA())</f>
        <v>0</v>
      </c>
      <c r="E29" s="413">
        <f>IF(E$1=1,SUM(SUM(B11:E11)/13),NA())</f>
        <v>0</v>
      </c>
      <c r="F29" s="413">
        <f>IF(F$1=1,SUM(SUM(B11:F11)/13),NA())</f>
        <v>0</v>
      </c>
      <c r="G29" s="413">
        <f>IF(G$1=1,SUM(SUM(B11:G11)/13),NA())</f>
        <v>0</v>
      </c>
      <c r="H29" s="413">
        <f>IF(H$1=1,SUM(SUM(B11:H11)/13),NA())</f>
        <v>0</v>
      </c>
      <c r="I29" s="413">
        <f>IF(I$1=1,SUM(SUM(B11:I11)/13),NA())</f>
        <v>0</v>
      </c>
      <c r="J29" s="95">
        <f>IF(J$1=1,SUM(SUM(B11:J11)/13),NA())</f>
        <v>0.30769230769230771</v>
      </c>
      <c r="K29" s="95">
        <f>IF(K$1=1,SUM(SUM(B11:K11)/13),NA())</f>
        <v>1.0769230769230769</v>
      </c>
      <c r="L29" s="95">
        <f>IF(L$1=1,SUM(SUM(B11:L11)/13),NA())</f>
        <v>2.0769230769230771</v>
      </c>
      <c r="M29" s="95">
        <f>IF(M$1=1,SUM(SUM(B11:M11)/13),NA())</f>
        <v>3.2307692307692308</v>
      </c>
      <c r="N29" s="95">
        <f>IF(N$1=1,SUM(SUM(B11:N11)/13),NA())</f>
        <v>3.2307692307692308</v>
      </c>
      <c r="O29" s="95">
        <f t="shared" ref="O29:Z29" si="24">IF(O$1=1,SUM(SUM(C11:O11)/13),NA())</f>
        <v>4.7692307692307692</v>
      </c>
      <c r="P29" s="95">
        <f t="shared" si="24"/>
        <v>5.9230769230769234</v>
      </c>
      <c r="Q29" s="95">
        <f t="shared" si="24"/>
        <v>6.9230769230769234</v>
      </c>
      <c r="R29" s="95">
        <f t="shared" si="24"/>
        <v>8</v>
      </c>
      <c r="S29" s="95">
        <f t="shared" si="24"/>
        <v>8.615384615384615</v>
      </c>
      <c r="T29" s="95">
        <f t="shared" si="24"/>
        <v>9.5384615384615383</v>
      </c>
      <c r="U29" s="95">
        <f t="shared" si="24"/>
        <v>10.846153846153847</v>
      </c>
      <c r="V29" s="95">
        <f t="shared" si="24"/>
        <v>11.76923076923077</v>
      </c>
      <c r="W29" s="95">
        <f t="shared" si="24"/>
        <v>12.461538461538462</v>
      </c>
      <c r="X29" s="95">
        <f t="shared" si="24"/>
        <v>12.76923076923077</v>
      </c>
      <c r="Y29" s="95">
        <f t="shared" si="24"/>
        <v>12.538461538461538</v>
      </c>
      <c r="Z29" s="95">
        <f t="shared" si="24"/>
        <v>11.384615384615385</v>
      </c>
      <c r="AA29" s="95">
        <f t="shared" ref="AA29:AN33" si="25">IF(AA$1=1,SUM(SUM(O11:AA11)/13),NA())</f>
        <v>11.384615384615385</v>
      </c>
      <c r="AB29" s="95">
        <f t="shared" si="25"/>
        <v>10.153846153846153</v>
      </c>
      <c r="AC29" s="95">
        <f t="shared" si="25"/>
        <v>9.4615384615384617</v>
      </c>
      <c r="AD29" s="95">
        <f t="shared" si="25"/>
        <v>9.4615384615384617</v>
      </c>
      <c r="AE29" s="95">
        <f t="shared" si="25"/>
        <v>9.1538461538461533</v>
      </c>
      <c r="AF29" s="95">
        <f t="shared" si="25"/>
        <v>8.6923076923076916</v>
      </c>
      <c r="AG29" s="95">
        <f t="shared" si="25"/>
        <v>8.384615384615385</v>
      </c>
      <c r="AH29" s="357">
        <f t="shared" si="25"/>
        <v>8.0769230769230766</v>
      </c>
      <c r="AI29" s="95">
        <f t="shared" si="25"/>
        <v>7.8461538461538458</v>
      </c>
      <c r="AJ29" s="95">
        <f t="shared" si="25"/>
        <v>7.8461538461538458</v>
      </c>
      <c r="AK29" s="95">
        <f t="shared" si="25"/>
        <v>7.3076923076923075</v>
      </c>
      <c r="AL29" s="95" t="e">
        <f t="shared" si="25"/>
        <v>#N/A</v>
      </c>
      <c r="AM29" s="95" t="e">
        <f t="shared" si="25"/>
        <v>#N/A</v>
      </c>
      <c r="AN29" s="95" t="e">
        <f t="shared" si="25"/>
        <v>#N/A</v>
      </c>
      <c r="AO29" s="94" t="e">
        <f t="shared" si="18"/>
        <v>#N/A</v>
      </c>
    </row>
    <row r="30" spans="1:41" x14ac:dyDescent="0.35">
      <c r="A30" s="183" t="s">
        <v>8</v>
      </c>
      <c r="B30" s="409">
        <f>IF(B$1=1,SUM(SUM(B12:B12)/13),NA())</f>
        <v>0</v>
      </c>
      <c r="C30" s="409">
        <f>IF(C$1=1,SUM(SUM(B12:C12)/13),NA())</f>
        <v>0</v>
      </c>
      <c r="D30" s="409">
        <f>IF(D$1=1,SUM(SUM(B12:D12)/13),NA())</f>
        <v>0</v>
      </c>
      <c r="E30" s="409">
        <f>IF(E$1=1,SUM(SUM(B12:E12)/13),NA())</f>
        <v>0</v>
      </c>
      <c r="F30" s="409">
        <f>IF(F$1=1,SUM(SUM(B12:F12)/13),NA())</f>
        <v>0</v>
      </c>
      <c r="G30" s="409">
        <f>IF(G$1=1,SUM(SUM(B12:G12)/13),NA())</f>
        <v>0</v>
      </c>
      <c r="H30" s="409">
        <f>IF(H$1=1,SUM(SUM(B12:H12)/13),NA())</f>
        <v>0</v>
      </c>
      <c r="I30" s="409">
        <f>IF(I$1=1,SUM(SUM(B12:I12)/13),NA())</f>
        <v>0</v>
      </c>
      <c r="J30" s="97">
        <f>IF(J$1=1,SUM(SUM(B12:J12)/13),NA())</f>
        <v>7.6923076923076927E-2</v>
      </c>
      <c r="K30" s="97">
        <f>IF(K$1=1,SUM(SUM(B12:K12)/13),NA())</f>
        <v>0.76923076923076927</v>
      </c>
      <c r="L30" s="97">
        <f>IF(L$1=1,SUM(SUM(B12:L12)/13),NA())</f>
        <v>1.0769230769230769</v>
      </c>
      <c r="M30" s="97">
        <f>IF(M$1=1,SUM(SUM(B12:M12)/13),NA())</f>
        <v>1.5384615384615385</v>
      </c>
      <c r="N30" s="97">
        <f>IF(N$1=1,SUM(SUM(B12:N12)/13),NA())</f>
        <v>1.5384615384615385</v>
      </c>
      <c r="O30" s="97">
        <f t="shared" ref="O30:Z30" si="26">IF(O$1=1,SUM(SUM(C12:O12)/13),NA())</f>
        <v>2.0769230769230771</v>
      </c>
      <c r="P30" s="97">
        <f t="shared" si="26"/>
        <v>2.3846153846153846</v>
      </c>
      <c r="Q30" s="97">
        <f t="shared" si="26"/>
        <v>2.9230769230769229</v>
      </c>
      <c r="R30" s="97">
        <f t="shared" si="26"/>
        <v>3.3076923076923075</v>
      </c>
      <c r="S30" s="97">
        <f t="shared" si="26"/>
        <v>3.5384615384615383</v>
      </c>
      <c r="T30" s="97">
        <f t="shared" si="26"/>
        <v>3.9230769230769229</v>
      </c>
      <c r="U30" s="97">
        <f t="shared" si="26"/>
        <v>4.384615384615385</v>
      </c>
      <c r="V30" s="97">
        <f t="shared" si="26"/>
        <v>5.1538461538461542</v>
      </c>
      <c r="W30" s="97">
        <f t="shared" si="26"/>
        <v>5.384615384615385</v>
      </c>
      <c r="X30" s="97">
        <f t="shared" si="26"/>
        <v>5.3076923076923075</v>
      </c>
      <c r="Y30" s="97">
        <f t="shared" si="26"/>
        <v>5.2307692307692308</v>
      </c>
      <c r="Z30" s="97">
        <f t="shared" si="26"/>
        <v>5.3076923076923075</v>
      </c>
      <c r="AA30" s="97">
        <f t="shared" si="25"/>
        <v>6.2307692307692308</v>
      </c>
      <c r="AB30" s="97">
        <f t="shared" si="25"/>
        <v>6.5384615384615383</v>
      </c>
      <c r="AC30" s="97">
        <f t="shared" si="25"/>
        <v>7</v>
      </c>
      <c r="AD30" s="97">
        <f t="shared" si="25"/>
        <v>7.5384615384615383</v>
      </c>
      <c r="AE30" s="97">
        <f t="shared" si="25"/>
        <v>7.5384615384615383</v>
      </c>
      <c r="AF30" s="97">
        <f t="shared" si="25"/>
        <v>8.1538461538461533</v>
      </c>
      <c r="AG30" s="97">
        <f t="shared" si="25"/>
        <v>9.3076923076923084</v>
      </c>
      <c r="AH30" s="97">
        <f t="shared" si="25"/>
        <v>10.076923076923077</v>
      </c>
      <c r="AI30" s="97">
        <f t="shared" si="25"/>
        <v>9.615384615384615</v>
      </c>
      <c r="AJ30" s="97">
        <f t="shared" si="25"/>
        <v>9.8461538461538467</v>
      </c>
      <c r="AK30" s="97">
        <f t="shared" si="25"/>
        <v>10.076923076923077</v>
      </c>
      <c r="AL30" s="97" t="e">
        <f t="shared" si="25"/>
        <v>#N/A</v>
      </c>
      <c r="AM30" s="97" t="e">
        <f t="shared" si="25"/>
        <v>#N/A</v>
      </c>
      <c r="AN30" s="97" t="e">
        <f t="shared" si="25"/>
        <v>#N/A</v>
      </c>
      <c r="AO30" s="94" t="e">
        <f t="shared" si="18"/>
        <v>#N/A</v>
      </c>
    </row>
    <row r="31" spans="1:41" x14ac:dyDescent="0.35">
      <c r="A31" s="182" t="s">
        <v>9</v>
      </c>
      <c r="B31" s="409">
        <f>IF(B$1=1,SUM(SUM(B13:B13)/13),NA())</f>
        <v>0</v>
      </c>
      <c r="C31" s="409">
        <f>IF(C$1=1,SUM(SUM(B13:C13)/13),NA())</f>
        <v>0</v>
      </c>
      <c r="D31" s="409">
        <f>IF(D$1=1,SUM(SUM(B13:D13)/13),NA())</f>
        <v>0</v>
      </c>
      <c r="E31" s="409">
        <f>IF(E$1=1,SUM(SUM(B13:E13)/13),NA())</f>
        <v>0</v>
      </c>
      <c r="F31" s="409">
        <f>IF(F$1=1,SUM(SUM(B13:F13)/13),NA())</f>
        <v>0</v>
      </c>
      <c r="G31" s="409">
        <f>IF(G$1=1,SUM(SUM(B13:G13)/13),NA())</f>
        <v>7.6923076923076927E-2</v>
      </c>
      <c r="H31" s="409">
        <f>IF(H$1=1,SUM(SUM(B13:H13)/13),NA())</f>
        <v>0.15384615384615385</v>
      </c>
      <c r="I31" s="409">
        <f>IF(I$1=1,SUM(SUM(B13:I13)/13),NA())</f>
        <v>0.23076923076923078</v>
      </c>
      <c r="J31" s="97">
        <f>IF(J$1=1,SUM(SUM(B13:J13)/13),NA())</f>
        <v>0.46153846153846156</v>
      </c>
      <c r="K31" s="97">
        <f>IF(K$1=1,SUM(SUM(B13:K13)/13),NA())</f>
        <v>1.1538461538461537</v>
      </c>
      <c r="L31" s="97">
        <f>IF(L$1=1,SUM(SUM(B13:L13)/13),NA())</f>
        <v>2</v>
      </c>
      <c r="M31" s="97">
        <f>IF(M$1=1,SUM(SUM(B13:M13)/13),NA())</f>
        <v>2.4615384615384617</v>
      </c>
      <c r="N31" s="97">
        <f>IF(N$1=1,SUM(SUM(B13:N13)/13),NA())</f>
        <v>2.4615384615384617</v>
      </c>
      <c r="O31" s="97">
        <f t="shared" ref="O31:Z31" si="27">IF(O$1=1,SUM(SUM(C13:O13)/13),NA())</f>
        <v>3</v>
      </c>
      <c r="P31" s="97">
        <f t="shared" si="27"/>
        <v>3.4615384615384617</v>
      </c>
      <c r="Q31" s="97">
        <f t="shared" si="27"/>
        <v>4.0769230769230766</v>
      </c>
      <c r="R31" s="97">
        <f t="shared" si="27"/>
        <v>4.7692307692307692</v>
      </c>
      <c r="S31" s="97">
        <f t="shared" si="27"/>
        <v>5.0769230769230766</v>
      </c>
      <c r="T31" s="97">
        <f t="shared" si="27"/>
        <v>5.3076923076923075</v>
      </c>
      <c r="U31" s="97">
        <f t="shared" si="27"/>
        <v>5.615384615384615</v>
      </c>
      <c r="V31" s="97">
        <f t="shared" si="27"/>
        <v>6</v>
      </c>
      <c r="W31" s="97">
        <f t="shared" si="27"/>
        <v>6.6923076923076925</v>
      </c>
      <c r="X31" s="97">
        <f t="shared" si="27"/>
        <v>6.2307692307692308</v>
      </c>
      <c r="Y31" s="97">
        <f t="shared" si="27"/>
        <v>5.9230769230769234</v>
      </c>
      <c r="Z31" s="97">
        <f t="shared" si="27"/>
        <v>5.6923076923076925</v>
      </c>
      <c r="AA31" s="97">
        <f t="shared" si="25"/>
        <v>6.1538461538461542</v>
      </c>
      <c r="AB31" s="97">
        <f t="shared" si="25"/>
        <v>6.1538461538461542</v>
      </c>
      <c r="AC31" s="97">
        <f t="shared" si="25"/>
        <v>6.0769230769230766</v>
      </c>
      <c r="AD31" s="97">
        <f t="shared" si="25"/>
        <v>5.8461538461538458</v>
      </c>
      <c r="AE31" s="97">
        <f t="shared" si="25"/>
        <v>5.6923076923076925</v>
      </c>
      <c r="AF31" s="97">
        <f t="shared" si="25"/>
        <v>6.0769230769230766</v>
      </c>
      <c r="AG31" s="97">
        <f t="shared" si="25"/>
        <v>6.0769230769230766</v>
      </c>
      <c r="AH31" s="97">
        <f t="shared" si="25"/>
        <v>6.1538461538461542</v>
      </c>
      <c r="AI31" s="97">
        <f t="shared" si="25"/>
        <v>6.5384615384615383</v>
      </c>
      <c r="AJ31" s="97">
        <f t="shared" si="25"/>
        <v>6.1538461538461542</v>
      </c>
      <c r="AK31" s="97">
        <f t="shared" si="25"/>
        <v>6.3076923076923075</v>
      </c>
      <c r="AL31" s="97" t="e">
        <f t="shared" si="25"/>
        <v>#N/A</v>
      </c>
      <c r="AM31" s="97" t="e">
        <f t="shared" si="25"/>
        <v>#N/A</v>
      </c>
      <c r="AN31" s="97" t="e">
        <f t="shared" si="25"/>
        <v>#N/A</v>
      </c>
      <c r="AO31" s="94" t="e">
        <f t="shared" si="18"/>
        <v>#N/A</v>
      </c>
    </row>
    <row r="32" spans="1:41" x14ac:dyDescent="0.35">
      <c r="A32" s="182" t="s">
        <v>20</v>
      </c>
      <c r="B32" s="409">
        <f>IF(B$1=1,SUM(SUM(B14:B14)/13),NA())</f>
        <v>0</v>
      </c>
      <c r="C32" s="409">
        <f>IF(C$1=1,SUM(SUM(B14:C14)/13),NA())</f>
        <v>0</v>
      </c>
      <c r="D32" s="409">
        <f>IF(D$1=1,SUM(SUM(B14:D14)/13),NA())</f>
        <v>0</v>
      </c>
      <c r="E32" s="409">
        <f>IF(E$1=1,SUM(SUM(B14:E14)/13),NA())</f>
        <v>0</v>
      </c>
      <c r="F32" s="409">
        <f>IF(F$1=1,SUM(SUM(B14:F14)/13),NA())</f>
        <v>0</v>
      </c>
      <c r="G32" s="409">
        <f>IF(G$1=1,SUM(SUM(B14:G14)/13),NA())</f>
        <v>0</v>
      </c>
      <c r="H32" s="409">
        <f>IF(H$1=1,SUM(SUM(B14:H14)/13),NA())</f>
        <v>0</v>
      </c>
      <c r="I32" s="409">
        <f>IF(I$1=1,SUM(SUM(B14:I14)/13),NA())</f>
        <v>0</v>
      </c>
      <c r="J32" s="97">
        <f>IF(J$1=1,SUM(SUM(B14:J14)/13),NA())</f>
        <v>7.6923076923076927E-2</v>
      </c>
      <c r="K32" s="97">
        <f>IF(K$1=1,SUM(SUM(B14:K14)/13),NA())</f>
        <v>7.6923076923076927E-2</v>
      </c>
      <c r="L32" s="97">
        <f>IF(L$1=1,SUM(SUM(B14:L14)/13),NA())</f>
        <v>7.6923076923076927E-2</v>
      </c>
      <c r="M32" s="97">
        <f>IF(M$1=1,SUM(SUM(B14:M14)/13),NA())</f>
        <v>7.6923076923076927E-2</v>
      </c>
      <c r="N32" s="97">
        <f>IF(N$1=1,SUM(SUM(B14:N14)/13),NA())</f>
        <v>7.6923076923076927E-2</v>
      </c>
      <c r="O32" s="97">
        <f t="shared" ref="O32:Z32" si="28">IF(O$1=1,SUM(SUM(C14:O14)/13),NA())</f>
        <v>0.15384615384615385</v>
      </c>
      <c r="P32" s="97">
        <f t="shared" si="28"/>
        <v>0.38461538461538464</v>
      </c>
      <c r="Q32" s="97">
        <f t="shared" si="28"/>
        <v>0.38461538461538464</v>
      </c>
      <c r="R32" s="97">
        <f t="shared" si="28"/>
        <v>0.38461538461538464</v>
      </c>
      <c r="S32" s="97">
        <f t="shared" si="28"/>
        <v>0.38461538461538464</v>
      </c>
      <c r="T32" s="97">
        <f t="shared" si="28"/>
        <v>0.46153846153846156</v>
      </c>
      <c r="U32" s="97">
        <f t="shared" si="28"/>
        <v>0.46153846153846156</v>
      </c>
      <c r="V32" s="97">
        <f t="shared" si="28"/>
        <v>0.46153846153846156</v>
      </c>
      <c r="W32" s="97">
        <f t="shared" si="28"/>
        <v>0.38461538461538464</v>
      </c>
      <c r="X32" s="97">
        <f t="shared" si="28"/>
        <v>0.38461538461538464</v>
      </c>
      <c r="Y32" s="97">
        <f t="shared" si="28"/>
        <v>0.53846153846153844</v>
      </c>
      <c r="Z32" s="97">
        <f t="shared" si="28"/>
        <v>0.61538461538461542</v>
      </c>
      <c r="AA32" s="97">
        <f t="shared" si="25"/>
        <v>0.69230769230769229</v>
      </c>
      <c r="AB32" s="97">
        <f t="shared" si="25"/>
        <v>0.61538461538461542</v>
      </c>
      <c r="AC32" s="97">
        <f t="shared" si="25"/>
        <v>0.46153846153846156</v>
      </c>
      <c r="AD32" s="97">
        <f t="shared" si="25"/>
        <v>0.53846153846153844</v>
      </c>
      <c r="AE32" s="97">
        <f t="shared" si="25"/>
        <v>0.53846153846153844</v>
      </c>
      <c r="AF32" s="97">
        <f t="shared" si="25"/>
        <v>0.53846153846153844</v>
      </c>
      <c r="AG32" s="97">
        <f t="shared" si="25"/>
        <v>0.46153846153846156</v>
      </c>
      <c r="AH32" s="97">
        <f t="shared" si="25"/>
        <v>0.46153846153846156</v>
      </c>
      <c r="AI32" s="97">
        <f t="shared" si="25"/>
        <v>0.61538461538461542</v>
      </c>
      <c r="AJ32" s="97">
        <f t="shared" si="25"/>
        <v>0.61538461538461542</v>
      </c>
      <c r="AK32" s="97">
        <f t="shared" si="25"/>
        <v>0.61538461538461542</v>
      </c>
      <c r="AL32" s="97" t="e">
        <f t="shared" si="25"/>
        <v>#N/A</v>
      </c>
      <c r="AM32" s="97" t="e">
        <f t="shared" si="25"/>
        <v>#N/A</v>
      </c>
      <c r="AN32" s="97" t="e">
        <f t="shared" si="25"/>
        <v>#N/A</v>
      </c>
      <c r="AO32" s="94" t="e">
        <f t="shared" si="18"/>
        <v>#N/A</v>
      </c>
    </row>
    <row r="33" spans="1:41" ht="15" thickBot="1" x14ac:dyDescent="0.4">
      <c r="A33" s="182" t="s">
        <v>21</v>
      </c>
      <c r="B33" s="409">
        <f>IF(B$1=1,SUM(SUM(B15:B15)/13),NA())</f>
        <v>0</v>
      </c>
      <c r="C33" s="409">
        <f>IF(C$1=1,SUM(SUM(B15:C15)/13),NA())</f>
        <v>0</v>
      </c>
      <c r="D33" s="409">
        <f>IF(D$1=1,SUM(SUM(B15:D15)/13),NA())</f>
        <v>0</v>
      </c>
      <c r="E33" s="409">
        <f>IF(E$1=1,SUM(SUM(B15:E15)/13),NA())</f>
        <v>0</v>
      </c>
      <c r="F33" s="409">
        <f>IF(F$1=1,SUM(SUM(B15:F15)/13),NA())</f>
        <v>0</v>
      </c>
      <c r="G33" s="409">
        <f>IF(G$1=1,SUM(SUM(B15:G15)/13),NA())</f>
        <v>0</v>
      </c>
      <c r="H33" s="409">
        <f>IF(H$1=1,SUM(SUM(B15:H15)/13),NA())</f>
        <v>0</v>
      </c>
      <c r="I33" s="409">
        <f>IF(I$1=1,SUM(SUM(B15:I15)/13),NA())</f>
        <v>0</v>
      </c>
      <c r="J33" s="97">
        <f>IF(J$1=1,SUM(SUM(B15:J15)/13),NA())</f>
        <v>0</v>
      </c>
      <c r="K33" s="97">
        <f>IF(K$1=1,SUM(SUM(B15:K15)/13),NA())</f>
        <v>0</v>
      </c>
      <c r="L33" s="97">
        <f>IF(L$1=1,SUM(SUM(B15:L15)/13),NA())</f>
        <v>0</v>
      </c>
      <c r="M33" s="97">
        <f>IF(M$1=1,SUM(SUM(B15:M15)/13),NA())</f>
        <v>7.6923076923076927E-2</v>
      </c>
      <c r="N33" s="97">
        <f>IF(N$1=1,SUM(SUM(B15:N15)/13),NA())</f>
        <v>7.6923076923076927E-2</v>
      </c>
      <c r="O33" s="97">
        <f t="shared" ref="O33:Z33" si="29">IF(O$1=1,SUM(SUM(C15:O15)/13),NA())</f>
        <v>0.15384615384615385</v>
      </c>
      <c r="P33" s="97">
        <f t="shared" si="29"/>
        <v>0.15384615384615385</v>
      </c>
      <c r="Q33" s="97">
        <f t="shared" si="29"/>
        <v>0.15384615384615385</v>
      </c>
      <c r="R33" s="97">
        <f t="shared" si="29"/>
        <v>0.15384615384615385</v>
      </c>
      <c r="S33" s="97">
        <f t="shared" si="29"/>
        <v>0.15384615384615385</v>
      </c>
      <c r="T33" s="97">
        <f t="shared" si="29"/>
        <v>0.15384615384615385</v>
      </c>
      <c r="U33" s="97">
        <f t="shared" si="29"/>
        <v>0.15384615384615385</v>
      </c>
      <c r="V33" s="97">
        <f t="shared" si="29"/>
        <v>0.15384615384615385</v>
      </c>
      <c r="W33" s="97">
        <f t="shared" si="29"/>
        <v>0.15384615384615385</v>
      </c>
      <c r="X33" s="97">
        <f t="shared" si="29"/>
        <v>0.15384615384615385</v>
      </c>
      <c r="Y33" s="97">
        <f t="shared" si="29"/>
        <v>0.15384615384615385</v>
      </c>
      <c r="Z33" s="97">
        <f t="shared" si="29"/>
        <v>7.6923076923076927E-2</v>
      </c>
      <c r="AA33" s="97">
        <f t="shared" si="25"/>
        <v>7.6923076923076927E-2</v>
      </c>
      <c r="AB33" s="97">
        <f t="shared" si="25"/>
        <v>0</v>
      </c>
      <c r="AC33" s="97">
        <f t="shared" si="25"/>
        <v>0</v>
      </c>
      <c r="AD33" s="97">
        <f t="shared" si="25"/>
        <v>0</v>
      </c>
      <c r="AE33" s="97">
        <f t="shared" si="25"/>
        <v>7.6923076923076927E-2</v>
      </c>
      <c r="AF33" s="97">
        <f t="shared" si="25"/>
        <v>7.6923076923076927E-2</v>
      </c>
      <c r="AG33" s="97">
        <f t="shared" si="25"/>
        <v>7.6923076923076927E-2</v>
      </c>
      <c r="AH33" s="97">
        <f t="shared" si="25"/>
        <v>7.6923076923076927E-2</v>
      </c>
      <c r="AI33" s="97">
        <f t="shared" si="25"/>
        <v>7.6923076923076927E-2</v>
      </c>
      <c r="AJ33" s="97">
        <f t="shared" si="25"/>
        <v>7.6923076923076927E-2</v>
      </c>
      <c r="AK33" s="97">
        <f t="shared" si="25"/>
        <v>7.6923076923076927E-2</v>
      </c>
      <c r="AL33" s="97" t="e">
        <f t="shared" si="25"/>
        <v>#N/A</v>
      </c>
      <c r="AM33" s="97" t="e">
        <f t="shared" si="25"/>
        <v>#N/A</v>
      </c>
      <c r="AN33" s="97" t="e">
        <f t="shared" si="25"/>
        <v>#N/A</v>
      </c>
      <c r="AO33" s="94" t="e">
        <f t="shared" si="18"/>
        <v>#N/A</v>
      </c>
    </row>
    <row r="34" spans="1:41" ht="15" thickBot="1" x14ac:dyDescent="0.4">
      <c r="A34" s="184" t="s">
        <v>13</v>
      </c>
      <c r="B34" s="414">
        <f>IF(B$1=1,SUM(SUM(B17:B17)/13),NA())</f>
        <v>0</v>
      </c>
      <c r="C34" s="414">
        <f>IF(C$1=1,SUM(SUM(B17:C17)/13),NA())</f>
        <v>0</v>
      </c>
      <c r="D34" s="414">
        <f>IF(D$1=1,SUM(SUM(B17:D17)/13),NA())</f>
        <v>0</v>
      </c>
      <c r="E34" s="414">
        <f>IF(E$1=1,SUM(SUM(B17:E17)/13),NA())</f>
        <v>0</v>
      </c>
      <c r="F34" s="414">
        <f>IF(F$1=1,SUM(SUM(B17:F17)/13),NA())</f>
        <v>0</v>
      </c>
      <c r="G34" s="414">
        <f>IF(G$1=1,SUM(SUM(B17:G17)/13),NA())</f>
        <v>7.6923076923076927E-2</v>
      </c>
      <c r="H34" s="414">
        <f>IF(H$1=1,SUM(SUM(B17:H17)/13),NA())</f>
        <v>0.15384615384615385</v>
      </c>
      <c r="I34" s="414">
        <f>IF(I$1=1,SUM(SUM(B17:I17)/13),NA())</f>
        <v>0.23076923076923078</v>
      </c>
      <c r="J34" s="96">
        <f>IF(J$1=1,SUM(SUM(B17:J17)/13),NA())</f>
        <v>0.61538461538461542</v>
      </c>
      <c r="K34" s="96">
        <f>IF(K$1=1,SUM(SUM(B17:K17)/13),NA())</f>
        <v>2</v>
      </c>
      <c r="L34" s="96">
        <f>IF(L$1=1,SUM(SUM(B17:L17)/13),NA())</f>
        <v>3.1538461538461537</v>
      </c>
      <c r="M34" s="96">
        <f>IF(M$1=1,SUM(SUM(B17:M17)/13),NA())</f>
        <v>4.1538461538461542</v>
      </c>
      <c r="N34" s="96">
        <f>IF(N$1=1,SUM(SUM(B17:N17)/13),NA())</f>
        <v>4.1538461538461542</v>
      </c>
      <c r="O34" s="96">
        <f t="shared" ref="O34:Z34" si="30">IF(O$1=1,SUM(SUM(C17:O17)/13),NA())</f>
        <v>5.384615384615385</v>
      </c>
      <c r="P34" s="96">
        <f t="shared" si="30"/>
        <v>6.384615384615385</v>
      </c>
      <c r="Q34" s="96">
        <f t="shared" si="30"/>
        <v>7.5384615384615383</v>
      </c>
      <c r="R34" s="96">
        <f t="shared" si="30"/>
        <v>8.615384615384615</v>
      </c>
      <c r="S34" s="96">
        <f t="shared" si="30"/>
        <v>9.1538461538461533</v>
      </c>
      <c r="T34" s="96">
        <f t="shared" si="30"/>
        <v>9.8461538461538467</v>
      </c>
      <c r="U34" s="96">
        <f t="shared" si="30"/>
        <v>10.615384615384615</v>
      </c>
      <c r="V34" s="96">
        <f t="shared" si="30"/>
        <v>11.76923076923077</v>
      </c>
      <c r="W34" s="96">
        <f t="shared" si="30"/>
        <v>12.615384615384615</v>
      </c>
      <c r="X34" s="96">
        <f t="shared" si="30"/>
        <v>12.076923076923077</v>
      </c>
      <c r="Y34" s="96">
        <f t="shared" si="30"/>
        <v>11.846153846153847</v>
      </c>
      <c r="Z34" s="96">
        <f t="shared" si="30"/>
        <v>11.692307692307692</v>
      </c>
      <c r="AA34" s="96">
        <f t="shared" ref="AA34:AN35" si="31">IF(AA$1=1,SUM(SUM(O17:AA17)/13),NA())</f>
        <v>13.153846153846153</v>
      </c>
      <c r="AB34" s="96">
        <f t="shared" si="31"/>
        <v>13.307692307692308</v>
      </c>
      <c r="AC34" s="96">
        <f t="shared" si="31"/>
        <v>13.538461538461538</v>
      </c>
      <c r="AD34" s="96">
        <f t="shared" si="31"/>
        <v>13.923076923076923</v>
      </c>
      <c r="AE34" s="96">
        <f t="shared" si="31"/>
        <v>13.846153846153847</v>
      </c>
      <c r="AF34" s="96">
        <f t="shared" si="31"/>
        <v>14.846153846153847</v>
      </c>
      <c r="AG34" s="96">
        <f t="shared" si="31"/>
        <v>15.923076923076923</v>
      </c>
      <c r="AH34" s="358">
        <f t="shared" si="31"/>
        <v>16.76923076923077</v>
      </c>
      <c r="AI34" s="96">
        <f t="shared" si="31"/>
        <v>16.846153846153847</v>
      </c>
      <c r="AJ34" s="96">
        <f t="shared" si="31"/>
        <v>16.692307692307693</v>
      </c>
      <c r="AK34" s="96">
        <f t="shared" si="31"/>
        <v>17.076923076923077</v>
      </c>
      <c r="AL34" s="96" t="e">
        <f t="shared" si="31"/>
        <v>#N/A</v>
      </c>
      <c r="AM34" s="96" t="e">
        <f t="shared" si="31"/>
        <v>#N/A</v>
      </c>
      <c r="AN34" s="96" t="e">
        <f t="shared" si="31"/>
        <v>#N/A</v>
      </c>
      <c r="AO34" s="94" t="e">
        <f t="shared" si="18"/>
        <v>#N/A</v>
      </c>
    </row>
    <row r="35" spans="1:41" ht="15" thickBot="1" x14ac:dyDescent="0.4">
      <c r="A35" s="184" t="s">
        <v>14</v>
      </c>
      <c r="B35" s="413">
        <f>IF(B$1=1,SUM(SUM(B18:B18)/13),NA())</f>
        <v>0</v>
      </c>
      <c r="C35" s="413">
        <f>IF(C$1=1,SUM(SUM(B18:C18)/13),NA())</f>
        <v>0</v>
      </c>
      <c r="D35" s="413">
        <f>IF(D$1=1,SUM(SUM(B18:D18)/13),NA())</f>
        <v>0</v>
      </c>
      <c r="E35" s="413">
        <f>IF(E$1=1,SUM(SUM(B18:E18)/13),NA())</f>
        <v>0</v>
      </c>
      <c r="F35" s="413">
        <f>IF(F$1=1,SUM(SUM(B18:F18)/13),NA())</f>
        <v>0</v>
      </c>
      <c r="G35" s="413">
        <f>IF(G$1=1,SUM(SUM(B18:G18)/13),NA())</f>
        <v>7.6923076923076927E-2</v>
      </c>
      <c r="H35" s="413">
        <f>IF(H$1=1,SUM(SUM(B18:H18)/13),NA())</f>
        <v>0.15384615384615385</v>
      </c>
      <c r="I35" s="413">
        <f>IF(I$1=1,SUM(SUM(B18:I18)/13),NA())</f>
        <v>0.23076923076923078</v>
      </c>
      <c r="J35" s="95">
        <f>IF(J$1=1,SUM(SUM(B18:J18)/13),NA())</f>
        <v>0.92307692307692313</v>
      </c>
      <c r="K35" s="95">
        <f>IF(K$1=1,SUM(SUM(B18:K18)/13),NA())</f>
        <v>3.0769230769230771</v>
      </c>
      <c r="L35" s="95">
        <f>IF(L$1=1,SUM(SUM(B18:L18)/13),NA())</f>
        <v>5.2307692307692308</v>
      </c>
      <c r="M35" s="95">
        <f>IF(M$1=1,SUM(SUM(B18:M18)/13),NA())</f>
        <v>7.384615384615385</v>
      </c>
      <c r="N35" s="95">
        <f>IF(N$1=1,SUM(SUM(B18:N18)/13),NA())</f>
        <v>7.384615384615385</v>
      </c>
      <c r="O35" s="95">
        <f t="shared" ref="O35:Z35" si="32">IF(O$1=1,SUM(SUM(C18:O18)/13),NA())</f>
        <v>10.153846153846153</v>
      </c>
      <c r="P35" s="95">
        <f t="shared" si="32"/>
        <v>12.307692307692308</v>
      </c>
      <c r="Q35" s="95">
        <f t="shared" si="32"/>
        <v>14.461538461538462</v>
      </c>
      <c r="R35" s="95">
        <f t="shared" si="32"/>
        <v>16.615384615384617</v>
      </c>
      <c r="S35" s="95">
        <f t="shared" si="32"/>
        <v>17.76923076923077</v>
      </c>
      <c r="T35" s="95">
        <f t="shared" si="32"/>
        <v>19.384615384615383</v>
      </c>
      <c r="U35" s="95">
        <f t="shared" si="32"/>
        <v>21.46153846153846</v>
      </c>
      <c r="V35" s="95">
        <f t="shared" si="32"/>
        <v>23.53846153846154</v>
      </c>
      <c r="W35" s="95">
        <f t="shared" si="32"/>
        <v>25.076923076923077</v>
      </c>
      <c r="X35" s="95">
        <f t="shared" si="32"/>
        <v>24.846153846153847</v>
      </c>
      <c r="Y35" s="95">
        <f t="shared" si="32"/>
        <v>24.384615384615383</v>
      </c>
      <c r="Z35" s="95">
        <f t="shared" si="32"/>
        <v>22.23076923076923</v>
      </c>
      <c r="AA35" s="95">
        <f t="shared" si="31"/>
        <v>22.23076923076923</v>
      </c>
      <c r="AB35" s="95">
        <f t="shared" si="31"/>
        <v>21.153846153846153</v>
      </c>
      <c r="AC35" s="95">
        <f t="shared" si="31"/>
        <v>20.692307692307693</v>
      </c>
      <c r="AD35" s="95">
        <f t="shared" si="31"/>
        <v>21.076923076923077</v>
      </c>
      <c r="AE35" s="95">
        <f t="shared" si="31"/>
        <v>20.692307692307693</v>
      </c>
      <c r="AF35" s="95">
        <f t="shared" si="31"/>
        <v>21.23076923076923</v>
      </c>
      <c r="AG35" s="95">
        <f t="shared" si="31"/>
        <v>22</v>
      </c>
      <c r="AH35" s="357">
        <f t="shared" si="31"/>
        <v>22.53846153846154</v>
      </c>
      <c r="AI35" s="95">
        <f t="shared" si="31"/>
        <v>22.384615384615383</v>
      </c>
      <c r="AJ35" s="95">
        <f t="shared" si="31"/>
        <v>22.23076923076923</v>
      </c>
      <c r="AK35" s="95">
        <f t="shared" si="31"/>
        <v>22.076923076923077</v>
      </c>
      <c r="AL35" s="95" t="e">
        <f t="shared" si="31"/>
        <v>#N/A</v>
      </c>
      <c r="AM35" s="95" t="e">
        <f t="shared" si="31"/>
        <v>#N/A</v>
      </c>
      <c r="AN35" s="95" t="e">
        <f t="shared" si="31"/>
        <v>#N/A</v>
      </c>
      <c r="AO35" s="73" t="e">
        <f t="shared" si="18"/>
        <v>#N/A</v>
      </c>
    </row>
    <row r="36" spans="1:41" ht="15" thickBot="1" x14ac:dyDescent="0.4"/>
    <row r="37" spans="1:41" ht="29" thickBot="1" x14ac:dyDescent="0.7">
      <c r="A37" s="385" t="s">
        <v>22</v>
      </c>
    </row>
    <row r="38" spans="1:41" ht="15" thickBot="1" x14ac:dyDescent="0.4">
      <c r="A38" s="22" t="s">
        <v>2</v>
      </c>
      <c r="B38" s="396">
        <v>2301</v>
      </c>
      <c r="C38" s="396">
        <v>2302</v>
      </c>
      <c r="D38" s="396">
        <v>2303</v>
      </c>
      <c r="E38" s="396">
        <v>2304</v>
      </c>
      <c r="F38" s="396">
        <v>2305</v>
      </c>
      <c r="G38" s="396">
        <v>2306</v>
      </c>
      <c r="H38" s="396">
        <v>2307</v>
      </c>
      <c r="I38" s="396">
        <v>2308</v>
      </c>
      <c r="J38" s="206">
        <v>2309</v>
      </c>
      <c r="K38" s="206">
        <v>2310</v>
      </c>
      <c r="L38" s="206">
        <v>2311</v>
      </c>
      <c r="M38" s="210">
        <v>2312</v>
      </c>
      <c r="N38" s="211">
        <v>2313</v>
      </c>
      <c r="O38" s="206">
        <v>2401</v>
      </c>
      <c r="P38" s="206">
        <v>2402</v>
      </c>
      <c r="Q38" s="206">
        <v>2403</v>
      </c>
      <c r="R38" s="206">
        <v>2404</v>
      </c>
      <c r="S38" s="206">
        <v>2405</v>
      </c>
      <c r="T38" s="206">
        <v>2406</v>
      </c>
      <c r="U38" s="206">
        <v>2407</v>
      </c>
      <c r="V38" s="206">
        <v>2408</v>
      </c>
      <c r="W38" s="206">
        <v>2409</v>
      </c>
      <c r="X38" s="206">
        <v>2410</v>
      </c>
      <c r="Y38" s="206">
        <v>2411</v>
      </c>
      <c r="Z38" s="212">
        <v>2412</v>
      </c>
      <c r="AA38" s="212">
        <v>2413</v>
      </c>
      <c r="AB38" s="284">
        <v>2501</v>
      </c>
      <c r="AC38" s="284">
        <v>2502</v>
      </c>
      <c r="AD38" s="284">
        <v>2503</v>
      </c>
      <c r="AE38" s="284">
        <v>2504</v>
      </c>
      <c r="AF38" s="284">
        <v>2505</v>
      </c>
      <c r="AG38" s="284">
        <v>2506</v>
      </c>
      <c r="AH38" s="284">
        <v>2507</v>
      </c>
      <c r="AI38" s="284">
        <v>2508</v>
      </c>
      <c r="AJ38" s="284">
        <v>2509</v>
      </c>
      <c r="AK38" s="284">
        <v>2510</v>
      </c>
      <c r="AL38" s="284">
        <v>2511</v>
      </c>
      <c r="AM38" s="284">
        <v>2512</v>
      </c>
      <c r="AN38" s="284">
        <v>2513</v>
      </c>
    </row>
    <row r="39" spans="1:41" x14ac:dyDescent="0.35">
      <c r="A39" s="186" t="s">
        <v>23</v>
      </c>
      <c r="B39" s="415">
        <f t="array" ref="B39">SUM((B38='Accident &amp; Incident Detail'!$C$2:$C$3433)*($A$38='Accident &amp; Incident Detail'!$I$2:$I$3433)*($A$39='Accident &amp; Incident Detail'!$E$2:$E$3433))</f>
        <v>0</v>
      </c>
      <c r="C39" s="415">
        <f t="array" ref="C39">SUM((C38='Accident &amp; Incident Detail'!$C$2:$C$3433)*($A$38='Accident &amp; Incident Detail'!$I$2:$I$3433)*($A$39='Accident &amp; Incident Detail'!$E$2:$E$3433))</f>
        <v>0</v>
      </c>
      <c r="D39" s="415">
        <f t="array" ref="D39">SUM((D38='Accident &amp; Incident Detail'!$C$2:$C$3433)*($A$38='Accident &amp; Incident Detail'!$I$2:$I$3433)*($A$39='Accident &amp; Incident Detail'!$E$2:$E$3433))</f>
        <v>0</v>
      </c>
      <c r="E39" s="415">
        <f t="array" ref="E39">SUM((E38='Accident &amp; Incident Detail'!$C$2:$C$3433)*($A$38='Accident &amp; Incident Detail'!$I$2:$I$3433)*($A$39='Accident &amp; Incident Detail'!$E$2:$E$3433))</f>
        <v>0</v>
      </c>
      <c r="F39" s="415">
        <f t="array" ref="F39">SUM((F38='Accident &amp; Incident Detail'!$C$2:$C$3433)*($A$38='Accident &amp; Incident Detail'!$I$2:$I$3433)*($A$39='Accident &amp; Incident Detail'!$E$2:$E$3433))</f>
        <v>0</v>
      </c>
      <c r="G39" s="415">
        <f t="array" ref="G39">SUM((G38='Accident &amp; Incident Detail'!$C$2:$C$3433)*($A$38='Accident &amp; Incident Detail'!$I$2:$I$3433)*($A$39='Accident &amp; Incident Detail'!$E$2:$E$3433))</f>
        <v>0</v>
      </c>
      <c r="H39" s="415">
        <f t="array" ref="H39">SUM((H38='Accident &amp; Incident Detail'!$C$2:$C$3433)*($A$38='Accident &amp; Incident Detail'!$I$2:$I$3433)*($A$39='Accident &amp; Incident Detail'!$E$2:$E$3433))</f>
        <v>0</v>
      </c>
      <c r="I39" s="415">
        <f t="array" ref="I39">SUM((I38='Accident &amp; Incident Detail'!$C$2:$C$3433)*($A$38='Accident &amp; Incident Detail'!$I$2:$I$3433)*($A$39='Accident &amp; Incident Detail'!$E$2:$E$3433))</f>
        <v>0</v>
      </c>
      <c r="J39" s="50">
        <f t="array" ref="J39">SUM((J38='Accident &amp; Incident Detail'!$C$2:$C$3433)*($A$38='Accident &amp; Incident Detail'!$I$2:$I$3433)*($A$39='Accident &amp; Incident Detail'!$E$2:$E$3433))</f>
        <v>0</v>
      </c>
      <c r="K39" s="50">
        <f t="array" ref="K39">SUM((K38='Accident &amp; Incident Detail'!$C$2:$C$3433)*($A$38='Accident &amp; Incident Detail'!$I$2:$I$3433)*($A$39='Accident &amp; Incident Detail'!$E$2:$E$3433))</f>
        <v>0</v>
      </c>
      <c r="L39" s="50">
        <f t="array" ref="L39">SUM((L38='Accident &amp; Incident Detail'!$C$2:$C$3433)*($A$38='Accident &amp; Incident Detail'!$I$2:$I$3433)*($A$39='Accident &amp; Incident Detail'!$E$2:$E$3433))</f>
        <v>0</v>
      </c>
      <c r="M39" s="50">
        <f t="array" ref="M39">SUM((M38='Accident &amp; Incident Detail'!$C$2:$C$3433)*($A$38='Accident &amp; Incident Detail'!$I$2:$I$3433)*($A$39='Accident &amp; Incident Detail'!$E$2:$E$3433))</f>
        <v>0</v>
      </c>
      <c r="N39" s="50">
        <f t="array" ref="N39">SUM((N38='Accident &amp; Incident Detail'!$C$2:$C$3433)*($A$38='Accident &amp; Incident Detail'!$I$2:$I$3433)*($A$39='Accident &amp; Incident Detail'!$E$2:$E$3433))</f>
        <v>0</v>
      </c>
      <c r="O39" s="50">
        <f t="array" ref="O39">SUM((O38='Accident &amp; Incident Detail'!$C$2:$C$3433)*($A$38='Accident &amp; Incident Detail'!$I$2:$I$3433)*($A$39='Accident &amp; Incident Detail'!$E$2:$E$3433))</f>
        <v>0</v>
      </c>
      <c r="P39" s="50">
        <f t="array" ref="P39">SUM((P38='Accident &amp; Incident Detail'!$C$2:$C$3433)*($A$38='Accident &amp; Incident Detail'!$I$2:$I$3433)*($A$39='Accident &amp; Incident Detail'!$E$2:$E$3433))</f>
        <v>0</v>
      </c>
      <c r="Q39" s="50">
        <f t="array" ref="Q39">SUM((Q38='Accident &amp; Incident Detail'!$C$2:$C$3433)*($A$38='Accident &amp; Incident Detail'!$I$2:$I$3433)*($A$39='Accident &amp; Incident Detail'!$E$2:$E$3433))</f>
        <v>0</v>
      </c>
      <c r="R39" s="50">
        <f t="array" ref="R39">SUM((R38='Accident &amp; Incident Detail'!$C$2:$C$3433)*($A$38='Accident &amp; Incident Detail'!$I$2:$I$3433)*($A$39='Accident &amp; Incident Detail'!$E$2:$E$3433))</f>
        <v>0</v>
      </c>
      <c r="S39" s="50">
        <f t="array" ref="S39">SUM((S38='Accident &amp; Incident Detail'!$C$2:$C$3433)*($A$38='Accident &amp; Incident Detail'!$I$2:$I$3433)*($A$39='Accident &amp; Incident Detail'!$E$2:$E$3433))</f>
        <v>0</v>
      </c>
      <c r="T39" s="50">
        <f t="array" ref="T39">SUM((T38='Accident &amp; Incident Detail'!$C$2:$C$3433)*($A$38='Accident &amp; Incident Detail'!$I$2:$I$3433)*($A$39='Accident &amp; Incident Detail'!$E$2:$E$3433))</f>
        <v>0</v>
      </c>
      <c r="U39" s="50">
        <f t="array" ref="U39">SUM((U38='Accident &amp; Incident Detail'!$C$2:$C$3433)*($A$38='Accident &amp; Incident Detail'!$I$2:$I$3433)*($A$39='Accident &amp; Incident Detail'!$E$2:$E$3433))</f>
        <v>0</v>
      </c>
      <c r="V39" s="50">
        <f t="array" ref="V39">SUM((V38='Accident &amp; Incident Detail'!$C$2:$C$3433)*($A$38='Accident &amp; Incident Detail'!$I$2:$I$3433)*($A$39='Accident &amp; Incident Detail'!$E$2:$E$3433))</f>
        <v>0</v>
      </c>
      <c r="W39" s="50">
        <f t="array" ref="W39">SUM((W38='Accident &amp; Incident Detail'!$C$2:$C$3433)*($A$38='Accident &amp; Incident Detail'!$I$2:$I$3433)*($A$39='Accident &amp; Incident Detail'!$E$2:$E$3433))</f>
        <v>0</v>
      </c>
      <c r="X39" s="50">
        <f t="array" ref="X39">SUM((X38='Accident &amp; Incident Detail'!$C$2:$C$3433)*($A$38='Accident &amp; Incident Detail'!$I$2:$I$3433)*($A$39='Accident &amp; Incident Detail'!$E$2:$E$3433))</f>
        <v>0</v>
      </c>
      <c r="Y39" s="50">
        <f t="array" ref="Y39">SUM((Y38='Accident &amp; Incident Detail'!$C$2:$C$3433)*($A$38='Accident &amp; Incident Detail'!$I$2:$I$3433)*($A$39='Accident &amp; Incident Detail'!$E$2:$E$3433))</f>
        <v>0</v>
      </c>
      <c r="Z39" s="40">
        <f t="array" ref="Z39">SUM((Z38='Accident &amp; Incident Detail'!$C$2:$C$3433)*($A$38='Accident &amp; Incident Detail'!$I$2:$I$3433)*($A$39='Accident &amp; Incident Detail'!$E$2:$E$3433))</f>
        <v>0</v>
      </c>
      <c r="AA39" s="40">
        <f t="array" ref="AA39">SUM((AA38='Accident &amp; Incident Detail'!$C$2:$C$3433)*($A$38='Accident &amp; Incident Detail'!$I$2:$I$3433)*($A$39='Accident &amp; Incident Detail'!$E$2:$E$3433))</f>
        <v>0</v>
      </c>
      <c r="AB39" s="40">
        <f t="array" ref="AB39">SUM((AB38='Accident &amp; Incident Detail'!$C$2:$C$3433)*($A$38='Accident &amp; Incident Detail'!$I$2:$I$3433)*($A$39='Accident &amp; Incident Detail'!$E$2:$E$3433))</f>
        <v>0</v>
      </c>
      <c r="AC39" s="40">
        <f t="array" ref="AC39">SUM((AC38='Accident &amp; Incident Detail'!$C$2:$C$3433)*($A$38='Accident &amp; Incident Detail'!$I$2:$I$3433)*($A$39='Accident &amp; Incident Detail'!$E$2:$E$3433))</f>
        <v>0</v>
      </c>
      <c r="AD39" s="40">
        <f t="array" ref="AD39">SUM((AD38='Accident &amp; Incident Detail'!$C$2:$C$3433)*($A$38='Accident &amp; Incident Detail'!$I$2:$I$3433)*($A$39='Accident &amp; Incident Detail'!$E$2:$E$3433))</f>
        <v>0</v>
      </c>
      <c r="AE39" s="40">
        <f t="array" ref="AE39">SUM((AE38='Accident &amp; Incident Detail'!$C$2:$C$3433)*($A$38='Accident &amp; Incident Detail'!$I$2:$I$3433)*($A$39='Accident &amp; Incident Detail'!$E$2:$E$3433))</f>
        <v>0</v>
      </c>
      <c r="AF39" s="40">
        <f t="array" ref="AF39">SUM((AF38='Accident &amp; Incident Detail'!$C$2:$C$3433)*($A$38='Accident &amp; Incident Detail'!$I$2:$I$3433)*($A$39='Accident &amp; Incident Detail'!$E$2:$E$3433))</f>
        <v>0</v>
      </c>
      <c r="AG39" s="40">
        <f t="array" ref="AG39">SUM((AG38='Accident &amp; Incident Detail'!$C$2:$C$3433)*($A$38='Accident &amp; Incident Detail'!$I$2:$I$3433)*($A$39='Accident &amp; Incident Detail'!$E$2:$E$3433))</f>
        <v>0</v>
      </c>
      <c r="AH39" s="40">
        <f t="array" ref="AH39">SUM((AH38='Accident &amp; Incident Detail'!$C$2:$C$3433)*($A$38='Accident &amp; Incident Detail'!$I$2:$I$3433)*($A$39='Accident &amp; Incident Detail'!$E$2:$E$3433))</f>
        <v>0</v>
      </c>
      <c r="AI39" s="40">
        <f t="array" ref="AI39">SUM((AI38='Accident &amp; Incident Detail'!$C$2:$C$3433)*($A$38='Accident &amp; Incident Detail'!$I$2:$I$3433)*($A$39='Accident &amp; Incident Detail'!$E$2:$E$3433))</f>
        <v>0</v>
      </c>
      <c r="AJ39" s="40">
        <f t="array" ref="AJ39">SUM((AJ38='Accident &amp; Incident Detail'!$C$2:$C$3433)*($A$38='Accident &amp; Incident Detail'!$I$2:$I$3433)*($A$39='Accident &amp; Incident Detail'!$E$2:$E$3433))</f>
        <v>0</v>
      </c>
      <c r="AK39" s="40">
        <f t="array" ref="AK39">SUM((AK38='Accident &amp; Incident Detail'!$C$2:$C$3433)*($A$38='Accident &amp; Incident Detail'!$I$2:$I$3433)*($A$39='Accident &amp; Incident Detail'!$E$2:$E$3433))</f>
        <v>0</v>
      </c>
      <c r="AL39" s="40">
        <f t="array" ref="AL39">SUM((AL38='Accident &amp; Incident Detail'!$C$2:$C$3433)*($A$38='Accident &amp; Incident Detail'!$I$2:$I$3433)*($A$39='Accident &amp; Incident Detail'!$E$2:$E$3433))</f>
        <v>0</v>
      </c>
      <c r="AM39" s="40">
        <f t="array" ref="AM39">SUM((AM38='Accident &amp; Incident Detail'!$C$2:$C$3433)*($A$38='Accident &amp; Incident Detail'!$I$2:$I$3433)*($A$39='Accident &amp; Incident Detail'!$E$2:$E$3433))</f>
        <v>0</v>
      </c>
      <c r="AN39" s="40">
        <f t="array" ref="AN39">SUM((AN38='Accident &amp; Incident Detail'!$C$2:$C$3433)*($A$38='Accident &amp; Incident Detail'!$I$2:$I$3433)*($A$39='Accident &amp; Incident Detail'!$E$2:$E$3433))</f>
        <v>0</v>
      </c>
    </row>
    <row r="40" spans="1:41" x14ac:dyDescent="0.35">
      <c r="A40" s="187" t="s">
        <v>15</v>
      </c>
      <c r="B40" s="416">
        <f>IF(B$1=1,(SUM(B39:B39)/13),0)</f>
        <v>0</v>
      </c>
      <c r="C40" s="416">
        <f>IF(C$1=1,(SUM(B39:C39)/13),0)</f>
        <v>0</v>
      </c>
      <c r="D40" s="416">
        <f>IF(D$1=1,(SUM(B39:D39)/13),0)</f>
        <v>0</v>
      </c>
      <c r="E40" s="416">
        <f>IF(E$1=1,(SUM(B39:E39)/13),0)</f>
        <v>0</v>
      </c>
      <c r="F40" s="416">
        <f>IF(F$1=1,(SUM(B39:F39)/13),0)</f>
        <v>0</v>
      </c>
      <c r="G40" s="416">
        <f>IF(G$1=1,(SUM(B39:G39)/13),0)</f>
        <v>0</v>
      </c>
      <c r="H40" s="416">
        <f>IF(H$1=1,(SUM(B39:H39)/13),0)</f>
        <v>0</v>
      </c>
      <c r="I40" s="416">
        <f>IF(I$1=1,(SUM(B39:I39)/13),0)</f>
        <v>0</v>
      </c>
      <c r="J40" s="52">
        <f>IF(J$1=1,(SUM(B39:J39)/13),0)</f>
        <v>0</v>
      </c>
      <c r="K40" s="52">
        <f>IF(K$1=1,(SUM(B39:K39)/13),0)</f>
        <v>0</v>
      </c>
      <c r="L40" s="52">
        <f>IF(L$1=1,(SUM(B39:L39)/13),0)</f>
        <v>0</v>
      </c>
      <c r="M40" s="52">
        <f>IF(M$1=1,(SUM(B39:M39)/13),0)</f>
        <v>0</v>
      </c>
      <c r="N40" s="52">
        <f>IF(N$1=1,(SUM(B39:N39)/13),0)</f>
        <v>0</v>
      </c>
      <c r="O40" s="52">
        <f t="shared" ref="O40:Z40" si="33">IF(O$1=1,(SUM(C39:O39)/13),0)</f>
        <v>0</v>
      </c>
      <c r="P40" s="52">
        <f t="shared" si="33"/>
        <v>0</v>
      </c>
      <c r="Q40" s="52">
        <f t="shared" si="33"/>
        <v>0</v>
      </c>
      <c r="R40" s="52">
        <f t="shared" si="33"/>
        <v>0</v>
      </c>
      <c r="S40" s="52">
        <f t="shared" si="33"/>
        <v>0</v>
      </c>
      <c r="T40" s="52">
        <f t="shared" si="33"/>
        <v>0</v>
      </c>
      <c r="U40" s="52">
        <f t="shared" si="33"/>
        <v>0</v>
      </c>
      <c r="V40" s="52">
        <f t="shared" si="33"/>
        <v>0</v>
      </c>
      <c r="W40" s="52">
        <f t="shared" si="33"/>
        <v>0</v>
      </c>
      <c r="X40" s="52">
        <f t="shared" si="33"/>
        <v>0</v>
      </c>
      <c r="Y40" s="52">
        <f t="shared" si="33"/>
        <v>0</v>
      </c>
      <c r="Z40" s="45">
        <f t="shared" si="33"/>
        <v>0</v>
      </c>
      <c r="AA40" s="45">
        <f t="shared" ref="AA40:AN40" si="34">IF(AA$1=1,(SUM(O39:AA39)/13),0)</f>
        <v>0</v>
      </c>
      <c r="AB40" s="45">
        <f t="shared" si="34"/>
        <v>0</v>
      </c>
      <c r="AC40" s="45">
        <f t="shared" si="34"/>
        <v>0</v>
      </c>
      <c r="AD40" s="45">
        <f t="shared" si="34"/>
        <v>0</v>
      </c>
      <c r="AE40" s="45">
        <f t="shared" si="34"/>
        <v>0</v>
      </c>
      <c r="AF40" s="45">
        <f t="shared" si="34"/>
        <v>0</v>
      </c>
      <c r="AG40" s="45">
        <f t="shared" si="34"/>
        <v>0</v>
      </c>
      <c r="AH40" s="45">
        <f t="shared" si="34"/>
        <v>0</v>
      </c>
      <c r="AI40" s="45">
        <f t="shared" si="34"/>
        <v>0</v>
      </c>
      <c r="AJ40" s="45">
        <f t="shared" si="34"/>
        <v>0</v>
      </c>
      <c r="AK40" s="45">
        <f t="shared" si="34"/>
        <v>0</v>
      </c>
      <c r="AL40" s="45">
        <f t="shared" si="34"/>
        <v>0</v>
      </c>
      <c r="AM40" s="45">
        <f t="shared" si="34"/>
        <v>0</v>
      </c>
      <c r="AN40" s="45">
        <f t="shared" si="34"/>
        <v>0</v>
      </c>
    </row>
    <row r="41" spans="1:41" x14ac:dyDescent="0.35">
      <c r="A41" s="187" t="s">
        <v>24</v>
      </c>
      <c r="B41" s="417">
        <f t="array" ref="B41">SUM((B38='Accident &amp; Incident Detail'!$C$2:$C$3433)*($A$38='Accident &amp; Incident Detail'!$I$2:$I$3433)*($A$41='Accident &amp; Incident Detail'!$E$2:$E$3433))</f>
        <v>0</v>
      </c>
      <c r="C41" s="417">
        <f t="array" ref="C41">SUM((C38='Accident &amp; Incident Detail'!$C$2:$C$3433)*($A$38='Accident &amp; Incident Detail'!$I$2:$I$3433)*($A$41='Accident &amp; Incident Detail'!$E$2:$E$3433))</f>
        <v>0</v>
      </c>
      <c r="D41" s="417">
        <f t="array" ref="D41">SUM((D38='Accident &amp; Incident Detail'!$C$2:$C$3433)*($A$38='Accident &amp; Incident Detail'!$I$2:$I$3433)*($A$41='Accident &amp; Incident Detail'!$E$2:$E$3433))</f>
        <v>0</v>
      </c>
      <c r="E41" s="417">
        <f t="array" ref="E41">SUM((E38='Accident &amp; Incident Detail'!$C$2:$C$3433)*($A$38='Accident &amp; Incident Detail'!$I$2:$I$3433)*($A$41='Accident &amp; Incident Detail'!$E$2:$E$3433))</f>
        <v>0</v>
      </c>
      <c r="F41" s="417">
        <f t="array" ref="F41">SUM((F38='Accident &amp; Incident Detail'!$C$2:$C$3433)*($A$38='Accident &amp; Incident Detail'!$I$2:$I$3433)*($A$41='Accident &amp; Incident Detail'!$E$2:$E$3433))</f>
        <v>0</v>
      </c>
      <c r="G41" s="417">
        <f t="array" ref="G41">SUM((G38='Accident &amp; Incident Detail'!$C$2:$C$3433)*($A$38='Accident &amp; Incident Detail'!$I$2:$I$3433)*($A$41='Accident &amp; Incident Detail'!$E$2:$E$3433))</f>
        <v>0</v>
      </c>
      <c r="H41" s="417">
        <f t="array" ref="H41">SUM((H38='Accident &amp; Incident Detail'!$C$2:$C$3433)*($A$38='Accident &amp; Incident Detail'!$I$2:$I$3433)*($A$41='Accident &amp; Incident Detail'!$E$2:$E$3433))</f>
        <v>0</v>
      </c>
      <c r="I41" s="417">
        <f t="array" ref="I41">SUM((I38='Accident &amp; Incident Detail'!$C$2:$C$3433)*($A$38='Accident &amp; Incident Detail'!$I$2:$I$3433)*($A$41='Accident &amp; Incident Detail'!$E$2:$E$3433))</f>
        <v>0</v>
      </c>
      <c r="J41" s="164">
        <f t="array" ref="J41">SUM((J38='Accident &amp; Incident Detail'!$C$2:$C$3433)*($A$38='Accident &amp; Incident Detail'!$I$2:$I$3433)*($A$41='Accident &amp; Incident Detail'!$E$2:$E$3433))</f>
        <v>0</v>
      </c>
      <c r="K41" s="164">
        <f t="array" ref="K41">SUM((K38='Accident &amp; Incident Detail'!$C$2:$C$3433)*($A$38='Accident &amp; Incident Detail'!$I$2:$I$3433)*($A$41='Accident &amp; Incident Detail'!$E$2:$E$3433))</f>
        <v>0</v>
      </c>
      <c r="L41" s="164">
        <f t="array" ref="L41">SUM((L38='Accident &amp; Incident Detail'!$C$2:$C$3433)*($A$38='Accident &amp; Incident Detail'!$I$2:$I$3433)*($A$41='Accident &amp; Incident Detail'!$E$2:$E$3433))</f>
        <v>0</v>
      </c>
      <c r="M41" s="164">
        <f t="array" ref="M41">SUM((M38='Accident &amp; Incident Detail'!$C$2:$C$3433)*($A$38='Accident &amp; Incident Detail'!$I$2:$I$3433)*($A$41='Accident &amp; Incident Detail'!$E$2:$E$3433))</f>
        <v>0</v>
      </c>
      <c r="N41" s="164">
        <f t="array" ref="N41">SUM((N38='Accident &amp; Incident Detail'!$C$2:$C$3433)*($A$38='Accident &amp; Incident Detail'!$I$2:$I$3433)*($A$41='Accident &amp; Incident Detail'!$E$2:$E$3433))</f>
        <v>0</v>
      </c>
      <c r="O41" s="164">
        <f t="array" ref="O41">SUM((O38='Accident &amp; Incident Detail'!$C$2:$C$3433)*($A$38='Accident &amp; Incident Detail'!$I$2:$I$3433)*($A$41='Accident &amp; Incident Detail'!$E$2:$E$3433))</f>
        <v>0</v>
      </c>
      <c r="P41" s="164">
        <f t="array" ref="P41">SUM((P38='Accident &amp; Incident Detail'!$C$2:$C$3433)*($A$38='Accident &amp; Incident Detail'!$I$2:$I$3433)*($A$41='Accident &amp; Incident Detail'!$E$2:$E$3433))</f>
        <v>0</v>
      </c>
      <c r="Q41" s="164">
        <f t="array" ref="Q41">SUM((Q38='Accident &amp; Incident Detail'!$C$2:$C$3433)*($A$38='Accident &amp; Incident Detail'!$I$2:$I$3433)*($A$41='Accident &amp; Incident Detail'!$E$2:$E$3433))</f>
        <v>0</v>
      </c>
      <c r="R41" s="164">
        <f t="array" ref="R41">SUM((R38='Accident &amp; Incident Detail'!$C$2:$C$3433)*($A$38='Accident &amp; Incident Detail'!$I$2:$I$3433)*($A$41='Accident &amp; Incident Detail'!$E$2:$E$3433))</f>
        <v>0</v>
      </c>
      <c r="S41" s="164">
        <f t="array" ref="S41">SUM((S38='Accident &amp; Incident Detail'!$C$2:$C$3433)*($A$38='Accident &amp; Incident Detail'!$I$2:$I$3433)*($A$41='Accident &amp; Incident Detail'!$E$2:$E$3433))</f>
        <v>0</v>
      </c>
      <c r="T41" s="164">
        <f t="array" ref="T41">SUM((T38='Accident &amp; Incident Detail'!$C$2:$C$3433)*($A$38='Accident &amp; Incident Detail'!$I$2:$I$3433)*($A$41='Accident &amp; Incident Detail'!$E$2:$E$3433))</f>
        <v>0</v>
      </c>
      <c r="U41" s="164">
        <f t="array" ref="U41">SUM((U38='Accident &amp; Incident Detail'!$C$2:$C$3433)*($A$38='Accident &amp; Incident Detail'!$I$2:$I$3433)*($A$41='Accident &amp; Incident Detail'!$E$2:$E$3433))</f>
        <v>0</v>
      </c>
      <c r="V41" s="164">
        <f t="array" ref="V41">SUM((V38='Accident &amp; Incident Detail'!$C$2:$C$3433)*($A$38='Accident &amp; Incident Detail'!$I$2:$I$3433)*($A$41='Accident &amp; Incident Detail'!$E$2:$E$3433))</f>
        <v>0</v>
      </c>
      <c r="W41" s="164">
        <f t="array" ref="W41">SUM((W38='Accident &amp; Incident Detail'!$C$2:$C$3433)*($A$38='Accident &amp; Incident Detail'!$I$2:$I$3433)*($A$41='Accident &amp; Incident Detail'!$E$2:$E$3433))</f>
        <v>0</v>
      </c>
      <c r="X41" s="164">
        <f t="array" ref="X41">SUM((X38='Accident &amp; Incident Detail'!$C$2:$C$3433)*($A$38='Accident &amp; Incident Detail'!$I$2:$I$3433)*($A$41='Accident &amp; Incident Detail'!$E$2:$E$3433))</f>
        <v>0</v>
      </c>
      <c r="Y41" s="164">
        <f t="array" ref="Y41">SUM((Y38='Accident &amp; Incident Detail'!$C$2:$C$3433)*($A$38='Accident &amp; Incident Detail'!$I$2:$I$3433)*($A$41='Accident &amp; Incident Detail'!$E$2:$E$3433))</f>
        <v>0</v>
      </c>
      <c r="Z41" s="41">
        <f t="array" ref="Z41">SUM((Z38='Accident &amp; Incident Detail'!$C$2:$C$3433)*($A$38='Accident &amp; Incident Detail'!$I$2:$I$3433)*($A$41='Accident &amp; Incident Detail'!$E$2:$E$3433))</f>
        <v>0</v>
      </c>
      <c r="AA41" s="41">
        <f t="array" ref="AA41">SUM((AA38='Accident &amp; Incident Detail'!$C$2:$C$3433)*($A$38='Accident &amp; Incident Detail'!$I$2:$I$3433)*($A$41='Accident &amp; Incident Detail'!$E$2:$E$3433))</f>
        <v>0</v>
      </c>
      <c r="AB41" s="41">
        <f t="array" ref="AB41">SUM((AB38='Accident &amp; Incident Detail'!$C$2:$C$3433)*($A$38='Accident &amp; Incident Detail'!$I$2:$I$3433)*($A$41='Accident &amp; Incident Detail'!$E$2:$E$3433))</f>
        <v>0</v>
      </c>
      <c r="AC41" s="41">
        <f t="array" ref="AC41">SUM((AC38='Accident &amp; Incident Detail'!$C$2:$C$3433)*($A$38='Accident &amp; Incident Detail'!$I$2:$I$3433)*($A$41='Accident &amp; Incident Detail'!$E$2:$E$3433))</f>
        <v>0</v>
      </c>
      <c r="AD41" s="41">
        <f t="array" ref="AD41">SUM((AD38='Accident &amp; Incident Detail'!$C$2:$C$3433)*($A$38='Accident &amp; Incident Detail'!$I$2:$I$3433)*($A$41='Accident &amp; Incident Detail'!$E$2:$E$3433))</f>
        <v>0</v>
      </c>
      <c r="AE41" s="41">
        <f t="array" ref="AE41">SUM((AE38='Accident &amp; Incident Detail'!$C$2:$C$3433)*($A$38='Accident &amp; Incident Detail'!$I$2:$I$3433)*($A$41='Accident &amp; Incident Detail'!$E$2:$E$3433))</f>
        <v>0</v>
      </c>
      <c r="AF41" s="41">
        <f t="array" ref="AF41">SUM((AF38='Accident &amp; Incident Detail'!$C$2:$C$3433)*($A$38='Accident &amp; Incident Detail'!$I$2:$I$3433)*($A$41='Accident &amp; Incident Detail'!$E$2:$E$3433))</f>
        <v>0</v>
      </c>
      <c r="AG41" s="41">
        <f t="array" ref="AG41">SUM((AG38='Accident &amp; Incident Detail'!$C$2:$C$3433)*($A$38='Accident &amp; Incident Detail'!$I$2:$I$3433)*($A$41='Accident &amp; Incident Detail'!$E$2:$E$3433))</f>
        <v>0</v>
      </c>
      <c r="AH41" s="41">
        <f t="array" ref="AH41">SUM((AH38='Accident &amp; Incident Detail'!$C$2:$C$3433)*($A$38='Accident &amp; Incident Detail'!$I$2:$I$3433)*($A$41='Accident &amp; Incident Detail'!$E$2:$E$3433))</f>
        <v>0</v>
      </c>
      <c r="AI41" s="41">
        <f t="array" ref="AI41">SUM((AI38='Accident &amp; Incident Detail'!$C$2:$C$3433)*($A$38='Accident &amp; Incident Detail'!$I$2:$I$3433)*($A$41='Accident &amp; Incident Detail'!$E$2:$E$3433))</f>
        <v>0</v>
      </c>
      <c r="AJ41" s="41">
        <f t="array" ref="AJ41">SUM((AJ38='Accident &amp; Incident Detail'!$C$2:$C$3433)*($A$38='Accident &amp; Incident Detail'!$I$2:$I$3433)*($A$41='Accident &amp; Incident Detail'!$E$2:$E$3433))</f>
        <v>0</v>
      </c>
      <c r="AK41" s="41">
        <f t="array" ref="AK41">SUM((AK38='Accident &amp; Incident Detail'!$C$2:$C$3433)*($A$38='Accident &amp; Incident Detail'!$I$2:$I$3433)*($A$41='Accident &amp; Incident Detail'!$E$2:$E$3433))</f>
        <v>0</v>
      </c>
      <c r="AL41" s="41">
        <f t="array" ref="AL41">SUM((AL38='Accident &amp; Incident Detail'!$C$2:$C$3433)*($A$38='Accident &amp; Incident Detail'!$I$2:$I$3433)*($A$41='Accident &amp; Incident Detail'!$E$2:$E$3433))</f>
        <v>0</v>
      </c>
      <c r="AM41" s="41">
        <f t="array" ref="AM41">SUM((AM38='Accident &amp; Incident Detail'!$C$2:$C$3433)*($A$38='Accident &amp; Incident Detail'!$I$2:$I$3433)*($A$41='Accident &amp; Incident Detail'!$E$2:$E$3433))</f>
        <v>0</v>
      </c>
      <c r="AN41" s="41">
        <f t="array" ref="AN41">SUM((AN38='Accident &amp; Incident Detail'!$C$2:$C$3433)*($A$38='Accident &amp; Incident Detail'!$I$2:$I$3433)*($A$41='Accident &amp; Incident Detail'!$E$2:$E$3433))</f>
        <v>0</v>
      </c>
    </row>
    <row r="42" spans="1:41" x14ac:dyDescent="0.35">
      <c r="A42" s="187" t="s">
        <v>15</v>
      </c>
      <c r="B42" s="416">
        <f>IF(B$1=1,(SUM(B41:B41)/13),0)</f>
        <v>0</v>
      </c>
      <c r="C42" s="416">
        <f>IF(C$1=1,(SUM(B41:C41)/13),0)</f>
        <v>0</v>
      </c>
      <c r="D42" s="416">
        <f>IF(D$1=1,(SUM(B41:D41)/13),0)</f>
        <v>0</v>
      </c>
      <c r="E42" s="416">
        <f>IF(E$1=1,(SUM(B41:E41)/13),0)</f>
        <v>0</v>
      </c>
      <c r="F42" s="416">
        <f>IF(F$1=1,(SUM(B41:F41)/13),0)</f>
        <v>0</v>
      </c>
      <c r="G42" s="416">
        <f>IF(G$1=1,(SUM(B41:G41)/13),0)</f>
        <v>0</v>
      </c>
      <c r="H42" s="416">
        <f>IF(H$1=1,(SUM(B41:H41)/13),0)</f>
        <v>0</v>
      </c>
      <c r="I42" s="416">
        <f>IF(I$1=1,(SUM(B41:I41)/13),0)</f>
        <v>0</v>
      </c>
      <c r="J42" s="52">
        <f>IF(J$1=1,(SUM(B41:J41)/13),0)</f>
        <v>0</v>
      </c>
      <c r="K42" s="52">
        <f>IF(K$1=1,(SUM(B41:K41)/13),0)</f>
        <v>0</v>
      </c>
      <c r="L42" s="52">
        <f>IF(L$1=1,(SUM(B41:L41)/13),0)</f>
        <v>0</v>
      </c>
      <c r="M42" s="52">
        <f>IF(M$1=1,(SUM(B41:M41)/13),0)</f>
        <v>0</v>
      </c>
      <c r="N42" s="52">
        <f>IF(N$1=1,(SUM(B41:N41)/13),0)</f>
        <v>0</v>
      </c>
      <c r="O42" s="52">
        <f t="shared" ref="O42:Z42" si="35">IF(O$1=1,(SUM(C41:O41)/13),0)</f>
        <v>0</v>
      </c>
      <c r="P42" s="52">
        <f t="shared" si="35"/>
        <v>0</v>
      </c>
      <c r="Q42" s="52">
        <f t="shared" si="35"/>
        <v>0</v>
      </c>
      <c r="R42" s="52">
        <f t="shared" si="35"/>
        <v>0</v>
      </c>
      <c r="S42" s="52">
        <f t="shared" si="35"/>
        <v>0</v>
      </c>
      <c r="T42" s="52">
        <f t="shared" si="35"/>
        <v>0</v>
      </c>
      <c r="U42" s="52">
        <f t="shared" si="35"/>
        <v>0</v>
      </c>
      <c r="V42" s="52">
        <f t="shared" si="35"/>
        <v>0</v>
      </c>
      <c r="W42" s="52">
        <f t="shared" si="35"/>
        <v>0</v>
      </c>
      <c r="X42" s="52">
        <f t="shared" si="35"/>
        <v>0</v>
      </c>
      <c r="Y42" s="52">
        <f t="shared" si="35"/>
        <v>0</v>
      </c>
      <c r="Z42" s="45">
        <f t="shared" si="35"/>
        <v>0</v>
      </c>
      <c r="AA42" s="45">
        <f t="shared" ref="AA42:AN42" si="36">IF(AA$1=1,(SUM(O41:AA41)/13),0)</f>
        <v>0</v>
      </c>
      <c r="AB42" s="45">
        <f t="shared" si="36"/>
        <v>0</v>
      </c>
      <c r="AC42" s="45">
        <f t="shared" si="36"/>
        <v>0</v>
      </c>
      <c r="AD42" s="45">
        <f t="shared" si="36"/>
        <v>0</v>
      </c>
      <c r="AE42" s="45">
        <f t="shared" si="36"/>
        <v>0</v>
      </c>
      <c r="AF42" s="45">
        <f t="shared" si="36"/>
        <v>0</v>
      </c>
      <c r="AG42" s="45">
        <f t="shared" si="36"/>
        <v>0</v>
      </c>
      <c r="AH42" s="45">
        <f t="shared" si="36"/>
        <v>0</v>
      </c>
      <c r="AI42" s="45">
        <f t="shared" si="36"/>
        <v>0</v>
      </c>
      <c r="AJ42" s="45">
        <f t="shared" si="36"/>
        <v>0</v>
      </c>
      <c r="AK42" s="45">
        <f t="shared" si="36"/>
        <v>0</v>
      </c>
      <c r="AL42" s="45">
        <f t="shared" si="36"/>
        <v>0</v>
      </c>
      <c r="AM42" s="45">
        <f t="shared" si="36"/>
        <v>0</v>
      </c>
      <c r="AN42" s="45">
        <f t="shared" si="36"/>
        <v>0</v>
      </c>
    </row>
    <row r="43" spans="1:41" x14ac:dyDescent="0.35">
      <c r="A43" s="187" t="s">
        <v>25</v>
      </c>
      <c r="B43" s="417">
        <f t="array" ref="B43">SUM((B38='Accident &amp; Incident Detail'!$C$2:$C$3433)*($A$38='Accident &amp; Incident Detail'!$I$2:$I$3433)*($A$43='Accident &amp; Incident Detail'!$E$2:$E$3433))</f>
        <v>0</v>
      </c>
      <c r="C43" s="417">
        <f t="array" ref="C43">SUM((C38='Accident &amp; Incident Detail'!$C$2:$C$3433)*($A$38='Accident &amp; Incident Detail'!$I$2:$I$3433)*($A$43='Accident &amp; Incident Detail'!$E$2:$E$3433))</f>
        <v>0</v>
      </c>
      <c r="D43" s="417">
        <f t="array" ref="D43">SUM((D38='Accident &amp; Incident Detail'!$C$2:$C$3433)*($A$38='Accident &amp; Incident Detail'!$I$2:$I$3433)*($A$43='Accident &amp; Incident Detail'!$E$2:$E$3433))</f>
        <v>0</v>
      </c>
      <c r="E43" s="417">
        <f t="array" ref="E43">SUM((E38='Accident &amp; Incident Detail'!$C$2:$C$3433)*($A$38='Accident &amp; Incident Detail'!$I$2:$I$3433)*($A$43='Accident &amp; Incident Detail'!$E$2:$E$3433))</f>
        <v>0</v>
      </c>
      <c r="F43" s="417">
        <f t="array" ref="F43">SUM((F38='Accident &amp; Incident Detail'!$C$2:$C$3433)*($A$38='Accident &amp; Incident Detail'!$I$2:$I$3433)*($A$43='Accident &amp; Incident Detail'!$E$2:$E$3433))</f>
        <v>0</v>
      </c>
      <c r="G43" s="417">
        <f t="array" ref="G43">SUM((G38='Accident &amp; Incident Detail'!$C$2:$C$3433)*($A$38='Accident &amp; Incident Detail'!$I$2:$I$3433)*($A$43='Accident &amp; Incident Detail'!$E$2:$E$3433))</f>
        <v>0</v>
      </c>
      <c r="H43" s="417">
        <f t="array" ref="H43">SUM((H38='Accident &amp; Incident Detail'!$C$2:$C$3433)*($A$38='Accident &amp; Incident Detail'!$I$2:$I$3433)*($A$43='Accident &amp; Incident Detail'!$E$2:$E$3433))</f>
        <v>0</v>
      </c>
      <c r="I43" s="417">
        <f t="array" ref="I43">SUM((I38='Accident &amp; Incident Detail'!$C$2:$C$3433)*($A$38='Accident &amp; Incident Detail'!$I$2:$I$3433)*($A$43='Accident &amp; Incident Detail'!$E$2:$E$3433))</f>
        <v>0</v>
      </c>
      <c r="J43" s="164">
        <f t="array" ref="J43">SUM((J38='Accident &amp; Incident Detail'!$C$2:$C$3433)*($A$38='Accident &amp; Incident Detail'!$I$2:$I$3433)*($A$43='Accident &amp; Incident Detail'!$E$2:$E$3433))</f>
        <v>0</v>
      </c>
      <c r="K43" s="164">
        <f t="array" ref="K43">SUM((K38='Accident &amp; Incident Detail'!$C$2:$C$3433)*($A$38='Accident &amp; Incident Detail'!$I$2:$I$3433)*($A$43='Accident &amp; Incident Detail'!$E$2:$E$3433))</f>
        <v>0</v>
      </c>
      <c r="L43" s="164">
        <f t="array" ref="L43">SUM((L38='Accident &amp; Incident Detail'!$C$2:$C$3433)*($A$38='Accident &amp; Incident Detail'!$I$2:$I$3433)*($A$43='Accident &amp; Incident Detail'!$E$2:$E$3433))</f>
        <v>0</v>
      </c>
      <c r="M43" s="164">
        <f t="array" ref="M43">SUM((M38='Accident &amp; Incident Detail'!$C$2:$C$3433)*($A$38='Accident &amp; Incident Detail'!$I$2:$I$3433)*($A$43='Accident &amp; Incident Detail'!$E$2:$E$3433))</f>
        <v>0</v>
      </c>
      <c r="N43" s="164">
        <f t="array" ref="N43">SUM((N38='Accident &amp; Incident Detail'!$C$2:$C$3433)*($A$38='Accident &amp; Incident Detail'!$I$2:$I$3433)*($A$43='Accident &amp; Incident Detail'!$E$2:$E$3433))</f>
        <v>0</v>
      </c>
      <c r="O43" s="164">
        <f t="array" ref="O43">SUM((O38='Accident &amp; Incident Detail'!$C$2:$C$3433)*($A$38='Accident &amp; Incident Detail'!$I$2:$I$3433)*($A$43='Accident &amp; Incident Detail'!$E$2:$E$3433))</f>
        <v>0</v>
      </c>
      <c r="P43" s="164">
        <f t="array" ref="P43">SUM((P38='Accident &amp; Incident Detail'!$C$2:$C$3433)*($A$38='Accident &amp; Incident Detail'!$I$2:$I$3433)*($A$43='Accident &amp; Incident Detail'!$E$2:$E$3433))</f>
        <v>0</v>
      </c>
      <c r="Q43" s="164">
        <f t="array" ref="Q43">SUM((Q38='Accident &amp; Incident Detail'!$C$2:$C$3433)*($A$38='Accident &amp; Incident Detail'!$I$2:$I$3433)*($A$43='Accident &amp; Incident Detail'!$E$2:$E$3433))</f>
        <v>0</v>
      </c>
      <c r="R43" s="164">
        <f t="array" ref="R43">SUM((R38='Accident &amp; Incident Detail'!$C$2:$C$3433)*($A$38='Accident &amp; Incident Detail'!$I$2:$I$3433)*($A$43='Accident &amp; Incident Detail'!$E$2:$E$3433))</f>
        <v>0</v>
      </c>
      <c r="S43" s="164">
        <f t="array" ref="S43">SUM((S38='Accident &amp; Incident Detail'!$C$2:$C$3433)*($A$38='Accident &amp; Incident Detail'!$I$2:$I$3433)*($A$43='Accident &amp; Incident Detail'!$E$2:$E$3433))</f>
        <v>0</v>
      </c>
      <c r="T43" s="164">
        <f t="array" ref="T43">SUM((T38='Accident &amp; Incident Detail'!$C$2:$C$3433)*($A$38='Accident &amp; Incident Detail'!$I$2:$I$3433)*($A$43='Accident &amp; Incident Detail'!$E$2:$E$3433))</f>
        <v>0</v>
      </c>
      <c r="U43" s="164">
        <f t="array" ref="U43">SUM((U38='Accident &amp; Incident Detail'!$C$2:$C$3433)*($A$38='Accident &amp; Incident Detail'!$I$2:$I$3433)*($A$43='Accident &amp; Incident Detail'!$E$2:$E$3433))</f>
        <v>0</v>
      </c>
      <c r="V43" s="164">
        <f t="array" ref="V43">SUM((V38='Accident &amp; Incident Detail'!$C$2:$C$3433)*($A$38='Accident &amp; Incident Detail'!$I$2:$I$3433)*($A$43='Accident &amp; Incident Detail'!$E$2:$E$3433))</f>
        <v>0</v>
      </c>
      <c r="W43" s="164">
        <f t="array" ref="W43">SUM((W38='Accident &amp; Incident Detail'!$C$2:$C$3433)*($A$38='Accident &amp; Incident Detail'!$I$2:$I$3433)*($A$43='Accident &amp; Incident Detail'!$E$2:$E$3433))</f>
        <v>0</v>
      </c>
      <c r="X43" s="164">
        <f t="array" ref="X43">SUM((X38='Accident &amp; Incident Detail'!$C$2:$C$3433)*($A$38='Accident &amp; Incident Detail'!$I$2:$I$3433)*($A$43='Accident &amp; Incident Detail'!$E$2:$E$3433))</f>
        <v>0</v>
      </c>
      <c r="Y43" s="164">
        <f t="array" ref="Y43">SUM((Y38='Accident &amp; Incident Detail'!$C$2:$C$3433)*($A$38='Accident &amp; Incident Detail'!$I$2:$I$3433)*($A$43='Accident &amp; Incident Detail'!$E$2:$E$3433))</f>
        <v>0</v>
      </c>
      <c r="Z43" s="41">
        <f t="array" ref="Z43">SUM((Z38='Accident &amp; Incident Detail'!$C$2:$C$3433)*($A$38='Accident &amp; Incident Detail'!$I$2:$I$3433)*($A$43='Accident &amp; Incident Detail'!$E$2:$E$3433))</f>
        <v>0</v>
      </c>
      <c r="AA43" s="41">
        <f t="array" ref="AA43">SUM((AA38='Accident &amp; Incident Detail'!$C$2:$C$3433)*($A$38='Accident &amp; Incident Detail'!$I$2:$I$3433)*($A$43='Accident &amp; Incident Detail'!$E$2:$E$3433))</f>
        <v>0</v>
      </c>
      <c r="AB43" s="41">
        <f t="array" ref="AB43">SUM((AB38='Accident &amp; Incident Detail'!$C$2:$C$3433)*($A$38='Accident &amp; Incident Detail'!$I$2:$I$3433)*($A$43='Accident &amp; Incident Detail'!$E$2:$E$3433))</f>
        <v>0</v>
      </c>
      <c r="AC43" s="41">
        <f t="array" ref="AC43">SUM((AC38='Accident &amp; Incident Detail'!$C$2:$C$3433)*($A$38='Accident &amp; Incident Detail'!$I$2:$I$3433)*($A$43='Accident &amp; Incident Detail'!$E$2:$E$3433))</f>
        <v>0</v>
      </c>
      <c r="AD43" s="41">
        <f t="array" ref="AD43">SUM((AD38='Accident &amp; Incident Detail'!$C$2:$C$3433)*($A$38='Accident &amp; Incident Detail'!$I$2:$I$3433)*($A$43='Accident &amp; Incident Detail'!$E$2:$E$3433))</f>
        <v>0</v>
      </c>
      <c r="AE43" s="41">
        <f t="array" ref="AE43">SUM((AE38='Accident &amp; Incident Detail'!$C$2:$C$3433)*($A$38='Accident &amp; Incident Detail'!$I$2:$I$3433)*($A$43='Accident &amp; Incident Detail'!$E$2:$E$3433))</f>
        <v>0</v>
      </c>
      <c r="AF43" s="41">
        <f t="array" ref="AF43">SUM((AF38='Accident &amp; Incident Detail'!$C$2:$C$3433)*($A$38='Accident &amp; Incident Detail'!$I$2:$I$3433)*($A$43='Accident &amp; Incident Detail'!$E$2:$E$3433))</f>
        <v>0</v>
      </c>
      <c r="AG43" s="41">
        <f t="array" ref="AG43">SUM((AG38='Accident &amp; Incident Detail'!$C$2:$C$3433)*($A$38='Accident &amp; Incident Detail'!$I$2:$I$3433)*($A$43='Accident &amp; Incident Detail'!$E$2:$E$3433))</f>
        <v>0</v>
      </c>
      <c r="AH43" s="41">
        <f t="array" ref="AH43">SUM((AH38='Accident &amp; Incident Detail'!$C$2:$C$3433)*($A$38='Accident &amp; Incident Detail'!$I$2:$I$3433)*($A$43='Accident &amp; Incident Detail'!$E$2:$E$3433))</f>
        <v>0</v>
      </c>
      <c r="AI43" s="41">
        <f t="array" ref="AI43">SUM((AI38='Accident &amp; Incident Detail'!$C$2:$C$3433)*($A$38='Accident &amp; Incident Detail'!$I$2:$I$3433)*($A$43='Accident &amp; Incident Detail'!$E$2:$E$3433))</f>
        <v>0</v>
      </c>
      <c r="AJ43" s="41">
        <f t="array" ref="AJ43">SUM((AJ38='Accident &amp; Incident Detail'!$C$2:$C$3433)*($A$38='Accident &amp; Incident Detail'!$I$2:$I$3433)*($A$43='Accident &amp; Incident Detail'!$E$2:$E$3433))</f>
        <v>0</v>
      </c>
      <c r="AK43" s="41">
        <f t="array" ref="AK43">SUM((AK38='Accident &amp; Incident Detail'!$C$2:$C$3433)*($A$38='Accident &amp; Incident Detail'!$I$2:$I$3433)*($A$43='Accident &amp; Incident Detail'!$E$2:$E$3433))</f>
        <v>0</v>
      </c>
      <c r="AL43" s="41">
        <f t="array" ref="AL43">SUM((AL38='Accident &amp; Incident Detail'!$C$2:$C$3433)*($A$38='Accident &amp; Incident Detail'!$I$2:$I$3433)*($A$43='Accident &amp; Incident Detail'!$E$2:$E$3433))</f>
        <v>0</v>
      </c>
      <c r="AM43" s="41">
        <f t="array" ref="AM43">SUM((AM38='Accident &amp; Incident Detail'!$C$2:$C$3433)*($A$38='Accident &amp; Incident Detail'!$I$2:$I$3433)*($A$43='Accident &amp; Incident Detail'!$E$2:$E$3433))</f>
        <v>0</v>
      </c>
      <c r="AN43" s="41">
        <f t="array" ref="AN43">SUM((AN38='Accident &amp; Incident Detail'!$C$2:$C$3433)*($A$38='Accident &amp; Incident Detail'!$I$2:$I$3433)*($A$43='Accident &amp; Incident Detail'!$E$2:$E$3433))</f>
        <v>0</v>
      </c>
    </row>
    <row r="44" spans="1:41" x14ac:dyDescent="0.35">
      <c r="A44" s="187" t="s">
        <v>15</v>
      </c>
      <c r="B44" s="416">
        <f>IF(B$1=1,(SUM(B43:B43)/13),0)</f>
        <v>0</v>
      </c>
      <c r="C44" s="416">
        <f>IF(C$1=1,(SUM(B43:C43)/13),0)</f>
        <v>0</v>
      </c>
      <c r="D44" s="416">
        <f>IF(D$1=1,(SUM(B43:D43)/13),0)</f>
        <v>0</v>
      </c>
      <c r="E44" s="416">
        <f>IF(E$1=1,(SUM(B43:E43)/13),0)</f>
        <v>0</v>
      </c>
      <c r="F44" s="416">
        <f>IF(F$1=1,(SUM(B43:F43)/13),0)</f>
        <v>0</v>
      </c>
      <c r="G44" s="416">
        <f>IF(G$1=1,(SUM(B43:G43)/13),0)</f>
        <v>0</v>
      </c>
      <c r="H44" s="416">
        <f>IF(H$1=1,(SUM(B43:H43)/13),0)</f>
        <v>0</v>
      </c>
      <c r="I44" s="416">
        <f>IF(I$1=1,(SUM(B43:I43)/13),0)</f>
        <v>0</v>
      </c>
      <c r="J44" s="52">
        <f>IF(J$1=1,(SUM(B43:J43)/13),0)</f>
        <v>0</v>
      </c>
      <c r="K44" s="52">
        <f>IF(K$1=1,(SUM(B43:K43)/13),0)</f>
        <v>0</v>
      </c>
      <c r="L44" s="52">
        <f>IF(L$1=1,(SUM(B43:L43)/13),0)</f>
        <v>0</v>
      </c>
      <c r="M44" s="52">
        <f>IF(M$1=1,(SUM(B43:M43)/13),0)</f>
        <v>0</v>
      </c>
      <c r="N44" s="52">
        <f>IF(N$1=1,(SUM(B43:N43)/13),0)</f>
        <v>0</v>
      </c>
      <c r="O44" s="52">
        <f t="shared" ref="O44:Z44" si="37">IF(O$1=1,(SUM(C43:O43)/13),0)</f>
        <v>0</v>
      </c>
      <c r="P44" s="52">
        <f t="shared" si="37"/>
        <v>0</v>
      </c>
      <c r="Q44" s="52">
        <f t="shared" si="37"/>
        <v>0</v>
      </c>
      <c r="R44" s="52">
        <f t="shared" si="37"/>
        <v>0</v>
      </c>
      <c r="S44" s="52">
        <f t="shared" si="37"/>
        <v>0</v>
      </c>
      <c r="T44" s="52">
        <f t="shared" si="37"/>
        <v>0</v>
      </c>
      <c r="U44" s="52">
        <f t="shared" si="37"/>
        <v>0</v>
      </c>
      <c r="V44" s="52">
        <f t="shared" si="37"/>
        <v>0</v>
      </c>
      <c r="W44" s="52">
        <f t="shared" si="37"/>
        <v>0</v>
      </c>
      <c r="X44" s="52">
        <f t="shared" si="37"/>
        <v>0</v>
      </c>
      <c r="Y44" s="52">
        <f t="shared" si="37"/>
        <v>0</v>
      </c>
      <c r="Z44" s="45">
        <f t="shared" si="37"/>
        <v>0</v>
      </c>
      <c r="AA44" s="45">
        <f t="shared" ref="AA44:AN44" si="38">IF(AA$1=1,(SUM(O43:AA43)/13),0)</f>
        <v>0</v>
      </c>
      <c r="AB44" s="45">
        <f t="shared" si="38"/>
        <v>0</v>
      </c>
      <c r="AC44" s="45">
        <f t="shared" si="38"/>
        <v>0</v>
      </c>
      <c r="AD44" s="45">
        <f t="shared" si="38"/>
        <v>0</v>
      </c>
      <c r="AE44" s="45">
        <f t="shared" si="38"/>
        <v>0</v>
      </c>
      <c r="AF44" s="45">
        <f t="shared" si="38"/>
        <v>0</v>
      </c>
      <c r="AG44" s="45">
        <f t="shared" si="38"/>
        <v>0</v>
      </c>
      <c r="AH44" s="45">
        <f t="shared" si="38"/>
        <v>0</v>
      </c>
      <c r="AI44" s="45">
        <f t="shared" si="38"/>
        <v>0</v>
      </c>
      <c r="AJ44" s="45">
        <f t="shared" si="38"/>
        <v>0</v>
      </c>
      <c r="AK44" s="45">
        <f t="shared" si="38"/>
        <v>0</v>
      </c>
      <c r="AL44" s="45">
        <f t="shared" si="38"/>
        <v>0</v>
      </c>
      <c r="AM44" s="45">
        <f t="shared" si="38"/>
        <v>0</v>
      </c>
      <c r="AN44" s="45">
        <f t="shared" si="38"/>
        <v>0</v>
      </c>
    </row>
    <row r="45" spans="1:41" x14ac:dyDescent="0.35">
      <c r="A45" s="187" t="s">
        <v>26</v>
      </c>
      <c r="B45" s="417">
        <f t="array" ref="B45">SUM((B38='Accident &amp; Incident Detail'!$C$2:$C$3433)*($A$38='Accident &amp; Incident Detail'!$I$2:$I$3433)*($A$45='Accident &amp; Incident Detail'!$E$2:$E$3433))</f>
        <v>0</v>
      </c>
      <c r="C45" s="417">
        <f t="array" ref="C45">SUM((C38='Accident &amp; Incident Detail'!$C$2:$C$3433)*($A$38='Accident &amp; Incident Detail'!$I$2:$I$3433)*($A$45='Accident &amp; Incident Detail'!$E$2:$E$3433))</f>
        <v>0</v>
      </c>
      <c r="D45" s="417">
        <f t="array" ref="D45">SUM((D38='Accident &amp; Incident Detail'!$C$2:$C$3433)*($A$38='Accident &amp; Incident Detail'!$I$2:$I$3433)*($A$45='Accident &amp; Incident Detail'!$E$2:$E$3433))</f>
        <v>0</v>
      </c>
      <c r="E45" s="417">
        <f t="array" ref="E45">SUM((E38='Accident &amp; Incident Detail'!$C$2:$C$3433)*($A$38='Accident &amp; Incident Detail'!$I$2:$I$3433)*($A$45='Accident &amp; Incident Detail'!$E$2:$E$3433))</f>
        <v>0</v>
      </c>
      <c r="F45" s="417">
        <f t="array" ref="F45">SUM((F38='Accident &amp; Incident Detail'!$C$2:$C$3433)*($A$38='Accident &amp; Incident Detail'!$I$2:$I$3433)*($A$45='Accident &amp; Incident Detail'!$E$2:$E$3433))</f>
        <v>0</v>
      </c>
      <c r="G45" s="417">
        <f t="array" ref="G45">SUM((G38='Accident &amp; Incident Detail'!$C$2:$C$3433)*($A$38='Accident &amp; Incident Detail'!$I$2:$I$3433)*($A$45='Accident &amp; Incident Detail'!$E$2:$E$3433))</f>
        <v>0</v>
      </c>
      <c r="H45" s="417">
        <f t="array" ref="H45">SUM((H38='Accident &amp; Incident Detail'!$C$2:$C$3433)*($A$38='Accident &amp; Incident Detail'!$I$2:$I$3433)*($A$45='Accident &amp; Incident Detail'!$E$2:$E$3433))</f>
        <v>0</v>
      </c>
      <c r="I45" s="417">
        <f t="array" ref="I45">SUM((I38='Accident &amp; Incident Detail'!$C$2:$C$3433)*($A$38='Accident &amp; Incident Detail'!$I$2:$I$3433)*($A$45='Accident &amp; Incident Detail'!$E$2:$E$3433))</f>
        <v>0</v>
      </c>
      <c r="J45" s="164">
        <f t="array" ref="J45">SUM((J38='Accident &amp; Incident Detail'!$C$2:$C$3433)*($A$38='Accident &amp; Incident Detail'!$I$2:$I$3433)*($A$45='Accident &amp; Incident Detail'!$E$2:$E$3433))</f>
        <v>0</v>
      </c>
      <c r="K45" s="164">
        <f t="array" ref="K45">SUM((K38='Accident &amp; Incident Detail'!$C$2:$C$3433)*($A$38='Accident &amp; Incident Detail'!$I$2:$I$3433)*($A$45='Accident &amp; Incident Detail'!$E$2:$E$3433))</f>
        <v>0</v>
      </c>
      <c r="L45" s="164">
        <f t="array" ref="L45">SUM((L38='Accident &amp; Incident Detail'!$C$2:$C$3433)*($A$38='Accident &amp; Incident Detail'!$I$2:$I$3433)*($A$45='Accident &amp; Incident Detail'!$E$2:$E$3433))</f>
        <v>0</v>
      </c>
      <c r="M45" s="164">
        <f t="array" ref="M45">SUM((M38='Accident &amp; Incident Detail'!$C$2:$C$3433)*($A$38='Accident &amp; Incident Detail'!$I$2:$I$3433)*($A$45='Accident &amp; Incident Detail'!$E$2:$E$3433))</f>
        <v>0</v>
      </c>
      <c r="N45" s="164">
        <f t="array" ref="N45">SUM((N38='Accident &amp; Incident Detail'!$C$2:$C$3433)*($A$38='Accident &amp; Incident Detail'!$I$2:$I$3433)*($A$45='Accident &amp; Incident Detail'!$E$2:$E$3433))</f>
        <v>0</v>
      </c>
      <c r="O45" s="164">
        <f t="array" ref="O45">SUM((O38='Accident &amp; Incident Detail'!$C$2:$C$3433)*($A$38='Accident &amp; Incident Detail'!$I$2:$I$3433)*($A$45='Accident &amp; Incident Detail'!$E$2:$E$3433))</f>
        <v>0</v>
      </c>
      <c r="P45" s="164">
        <f t="array" ref="P45">SUM((P38='Accident &amp; Incident Detail'!$C$2:$C$3433)*($A$38='Accident &amp; Incident Detail'!$I$2:$I$3433)*($A$45='Accident &amp; Incident Detail'!$E$2:$E$3433))</f>
        <v>0</v>
      </c>
      <c r="Q45" s="164">
        <f t="array" ref="Q45">SUM((Q38='Accident &amp; Incident Detail'!$C$2:$C$3433)*($A$38='Accident &amp; Incident Detail'!$I$2:$I$3433)*($A$45='Accident &amp; Incident Detail'!$E$2:$E$3433))</f>
        <v>0</v>
      </c>
      <c r="R45" s="164">
        <f t="array" ref="R45">SUM((R38='Accident &amp; Incident Detail'!$C$2:$C$3433)*($A$38='Accident &amp; Incident Detail'!$I$2:$I$3433)*($A$45='Accident &amp; Incident Detail'!$E$2:$E$3433))</f>
        <v>0</v>
      </c>
      <c r="S45" s="164">
        <f t="array" ref="S45">SUM((S38='Accident &amp; Incident Detail'!$C$2:$C$3433)*($A$38='Accident &amp; Incident Detail'!$I$2:$I$3433)*($A$45='Accident &amp; Incident Detail'!$E$2:$E$3433))</f>
        <v>1</v>
      </c>
      <c r="T45" s="164">
        <f t="array" ref="T45">SUM((T38='Accident &amp; Incident Detail'!$C$2:$C$3433)*($A$38='Accident &amp; Incident Detail'!$I$2:$I$3433)*($A$45='Accident &amp; Incident Detail'!$E$2:$E$3433))</f>
        <v>0</v>
      </c>
      <c r="U45" s="164">
        <f t="array" ref="U45">SUM((U38='Accident &amp; Incident Detail'!$C$2:$C$3433)*($A$38='Accident &amp; Incident Detail'!$I$2:$I$3433)*($A$45='Accident &amp; Incident Detail'!$E$2:$E$3433))</f>
        <v>0</v>
      </c>
      <c r="V45" s="164">
        <f t="array" ref="V45">SUM((V38='Accident &amp; Incident Detail'!$C$2:$C$3433)*($A$38='Accident &amp; Incident Detail'!$I$2:$I$3433)*($A$45='Accident &amp; Incident Detail'!$E$2:$E$3433))</f>
        <v>0</v>
      </c>
      <c r="W45" s="164">
        <f t="array" ref="W45">SUM((W38='Accident &amp; Incident Detail'!$C$2:$C$3433)*($A$38='Accident &amp; Incident Detail'!$I$2:$I$3433)*($A$45='Accident &amp; Incident Detail'!$E$2:$E$3433))</f>
        <v>0</v>
      </c>
      <c r="X45" s="164">
        <f t="array" ref="X45">SUM((X38='Accident &amp; Incident Detail'!$C$2:$C$3433)*($A$38='Accident &amp; Incident Detail'!$I$2:$I$3433)*($A$45='Accident &amp; Incident Detail'!$E$2:$E$3433))</f>
        <v>0</v>
      </c>
      <c r="Y45" s="164">
        <f t="array" ref="Y45">SUM((Y38='Accident &amp; Incident Detail'!$C$2:$C$3433)*($A$38='Accident &amp; Incident Detail'!$I$2:$I$3433)*($A$45='Accident &amp; Incident Detail'!$E$2:$E$3433))</f>
        <v>0</v>
      </c>
      <c r="Z45" s="41">
        <f t="array" ref="Z45">SUM((Z38='Accident &amp; Incident Detail'!$C$2:$C$3433)*($A$38='Accident &amp; Incident Detail'!$I$2:$I$3433)*($A$45='Accident &amp; Incident Detail'!$E$2:$E$3433))</f>
        <v>0</v>
      </c>
      <c r="AA45" s="41">
        <f t="array" ref="AA45">SUM((AA38='Accident &amp; Incident Detail'!$C$2:$C$3433)*($A$38='Accident &amp; Incident Detail'!$I$2:$I$3433)*($A$45='Accident &amp; Incident Detail'!$E$2:$E$3433))</f>
        <v>0</v>
      </c>
      <c r="AB45" s="41">
        <f t="array" ref="AB45">SUM((AB38='Accident &amp; Incident Detail'!$C$2:$C$3433)*($A$38='Accident &amp; Incident Detail'!$I$2:$I$3433)*($A$45='Accident &amp; Incident Detail'!$E$2:$E$3433))</f>
        <v>0</v>
      </c>
      <c r="AC45" s="41">
        <f t="array" ref="AC45">SUM((AC38='Accident &amp; Incident Detail'!$C$2:$C$3433)*($A$38='Accident &amp; Incident Detail'!$I$2:$I$3433)*($A$45='Accident &amp; Incident Detail'!$E$2:$E$3433))</f>
        <v>0</v>
      </c>
      <c r="AD45" s="41">
        <f t="array" ref="AD45">SUM((AD38='Accident &amp; Incident Detail'!$C$2:$C$3433)*($A$38='Accident &amp; Incident Detail'!$I$2:$I$3433)*($A$45='Accident &amp; Incident Detail'!$E$2:$E$3433))</f>
        <v>0</v>
      </c>
      <c r="AE45" s="41">
        <f t="array" ref="AE45">SUM((AE38='Accident &amp; Incident Detail'!$C$2:$C$3433)*($A$38='Accident &amp; Incident Detail'!$I$2:$I$3433)*($A$45='Accident &amp; Incident Detail'!$E$2:$E$3433))</f>
        <v>0</v>
      </c>
      <c r="AF45" s="41">
        <f t="array" ref="AF45">SUM((AF38='Accident &amp; Incident Detail'!$C$2:$C$3433)*($A$38='Accident &amp; Incident Detail'!$I$2:$I$3433)*($A$45='Accident &amp; Incident Detail'!$E$2:$E$3433))</f>
        <v>0</v>
      </c>
      <c r="AG45" s="41">
        <f t="array" ref="AG45">SUM((AG38='Accident &amp; Incident Detail'!$C$2:$C$3433)*($A$38='Accident &amp; Incident Detail'!$I$2:$I$3433)*($A$45='Accident &amp; Incident Detail'!$E$2:$E$3433))</f>
        <v>0</v>
      </c>
      <c r="AH45" s="41">
        <f t="array" ref="AH45">SUM((AH38='Accident &amp; Incident Detail'!$C$2:$C$3433)*($A$38='Accident &amp; Incident Detail'!$I$2:$I$3433)*($A$45='Accident &amp; Incident Detail'!$E$2:$E$3433))</f>
        <v>0</v>
      </c>
      <c r="AI45" s="41">
        <f t="array" ref="AI45">SUM((AI38='Accident &amp; Incident Detail'!$C$2:$C$3433)*($A$38='Accident &amp; Incident Detail'!$I$2:$I$3433)*($A$45='Accident &amp; Incident Detail'!$E$2:$E$3433))</f>
        <v>0</v>
      </c>
      <c r="AJ45" s="41">
        <f t="array" ref="AJ45">SUM((AJ38='Accident &amp; Incident Detail'!$C$2:$C$3433)*($A$38='Accident &amp; Incident Detail'!$I$2:$I$3433)*($A$45='Accident &amp; Incident Detail'!$E$2:$E$3433))</f>
        <v>0</v>
      </c>
      <c r="AK45" s="41">
        <f t="array" ref="AK45">SUM((AK38='Accident &amp; Incident Detail'!$C$2:$C$3433)*($A$38='Accident &amp; Incident Detail'!$I$2:$I$3433)*($A$45='Accident &amp; Incident Detail'!$E$2:$E$3433))</f>
        <v>0</v>
      </c>
      <c r="AL45" s="41">
        <f t="array" ref="AL45">SUM((AL38='Accident &amp; Incident Detail'!$C$2:$C$3433)*($A$38='Accident &amp; Incident Detail'!$I$2:$I$3433)*($A$45='Accident &amp; Incident Detail'!$E$2:$E$3433))</f>
        <v>0</v>
      </c>
      <c r="AM45" s="41">
        <f t="array" ref="AM45">SUM((AM38='Accident &amp; Incident Detail'!$C$2:$C$3433)*($A$38='Accident &amp; Incident Detail'!$I$2:$I$3433)*($A$45='Accident &amp; Incident Detail'!$E$2:$E$3433))</f>
        <v>0</v>
      </c>
      <c r="AN45" s="41">
        <f t="array" ref="AN45">SUM((AN38='Accident &amp; Incident Detail'!$C$2:$C$3433)*($A$38='Accident &amp; Incident Detail'!$I$2:$I$3433)*($A$45='Accident &amp; Incident Detail'!$E$2:$E$3433))</f>
        <v>0</v>
      </c>
    </row>
    <row r="46" spans="1:41" x14ac:dyDescent="0.35">
      <c r="A46" s="187" t="s">
        <v>15</v>
      </c>
      <c r="B46" s="416">
        <f>IF(B$1=1,(SUM(B45:B45)/13),0)</f>
        <v>0</v>
      </c>
      <c r="C46" s="416">
        <f>IF(C$1=1,(SUM(B45:C45)/13),0)</f>
        <v>0</v>
      </c>
      <c r="D46" s="416">
        <f>IF(D$1=1,(SUM(B45:D45)/13),0)</f>
        <v>0</v>
      </c>
      <c r="E46" s="416">
        <f>IF(E$1=1,(SUM(B45:E45)/13),0)</f>
        <v>0</v>
      </c>
      <c r="F46" s="416">
        <f>IF(F$1=1,(SUM(B45:F45)/13),0)</f>
        <v>0</v>
      </c>
      <c r="G46" s="416">
        <f>IF(G$1=1,(SUM(B45:G45)/13),0)</f>
        <v>0</v>
      </c>
      <c r="H46" s="416">
        <f>IF(H$1=1,(SUM(B45:H45)/13),0)</f>
        <v>0</v>
      </c>
      <c r="I46" s="416">
        <f>IF(I$1=1,(SUM(B45:I45)/13),0)</f>
        <v>0</v>
      </c>
      <c r="J46" s="52">
        <f>IF(J$1=1,(SUM(B45:J45)/13),0)</f>
        <v>0</v>
      </c>
      <c r="K46" s="52">
        <f>IF(K$1=1,(SUM(B45:K45)/13),0)</f>
        <v>0</v>
      </c>
      <c r="L46" s="52">
        <f>IF(L$1=1,(SUM(B45:L45)/13),0)</f>
        <v>0</v>
      </c>
      <c r="M46" s="52">
        <f>IF(M$1=1,(SUM(B45:M45)/13),0)</f>
        <v>0</v>
      </c>
      <c r="N46" s="52">
        <f>IF(N$1=1,(SUM(B45:N45)/13),0)</f>
        <v>0</v>
      </c>
      <c r="O46" s="52">
        <f t="shared" ref="O46:Z46" si="39">IF(O$1=1,(SUM(C45:O45)/13),0)</f>
        <v>0</v>
      </c>
      <c r="P46" s="52">
        <f t="shared" si="39"/>
        <v>0</v>
      </c>
      <c r="Q46" s="52">
        <f t="shared" si="39"/>
        <v>0</v>
      </c>
      <c r="R46" s="52">
        <f t="shared" si="39"/>
        <v>0</v>
      </c>
      <c r="S46" s="52">
        <f t="shared" si="39"/>
        <v>7.6923076923076927E-2</v>
      </c>
      <c r="T46" s="52">
        <f t="shared" si="39"/>
        <v>7.6923076923076927E-2</v>
      </c>
      <c r="U46" s="52">
        <f t="shared" si="39"/>
        <v>7.6923076923076927E-2</v>
      </c>
      <c r="V46" s="52">
        <f t="shared" si="39"/>
        <v>7.6923076923076927E-2</v>
      </c>
      <c r="W46" s="52">
        <f t="shared" si="39"/>
        <v>7.6923076923076927E-2</v>
      </c>
      <c r="X46" s="52">
        <f t="shared" si="39"/>
        <v>7.6923076923076927E-2</v>
      </c>
      <c r="Y46" s="52">
        <f t="shared" si="39"/>
        <v>7.6923076923076927E-2</v>
      </c>
      <c r="Z46" s="45">
        <f t="shared" si="39"/>
        <v>7.6923076923076927E-2</v>
      </c>
      <c r="AA46" s="45">
        <f t="shared" ref="AA46:AN46" si="40">IF(AA$1=1,(SUM(O45:AA45)/13),0)</f>
        <v>7.6923076923076927E-2</v>
      </c>
      <c r="AB46" s="45">
        <f t="shared" si="40"/>
        <v>7.6923076923076927E-2</v>
      </c>
      <c r="AC46" s="45">
        <f t="shared" si="40"/>
        <v>7.6923076923076927E-2</v>
      </c>
      <c r="AD46" s="45">
        <f t="shared" si="40"/>
        <v>7.6923076923076927E-2</v>
      </c>
      <c r="AE46" s="45">
        <f t="shared" si="40"/>
        <v>7.6923076923076927E-2</v>
      </c>
      <c r="AF46" s="45">
        <f t="shared" si="40"/>
        <v>0</v>
      </c>
      <c r="AG46" s="45">
        <f t="shared" si="40"/>
        <v>0</v>
      </c>
      <c r="AH46" s="45">
        <f t="shared" si="40"/>
        <v>0</v>
      </c>
      <c r="AI46" s="45">
        <f t="shared" si="40"/>
        <v>0</v>
      </c>
      <c r="AJ46" s="45">
        <f t="shared" si="40"/>
        <v>0</v>
      </c>
      <c r="AK46" s="45">
        <f t="shared" si="40"/>
        <v>0</v>
      </c>
      <c r="AL46" s="45">
        <f t="shared" si="40"/>
        <v>0</v>
      </c>
      <c r="AM46" s="45">
        <f t="shared" si="40"/>
        <v>0</v>
      </c>
      <c r="AN46" s="45">
        <f t="shared" si="40"/>
        <v>0</v>
      </c>
    </row>
    <row r="47" spans="1:41" x14ac:dyDescent="0.35">
      <c r="A47" s="187" t="s">
        <v>27</v>
      </c>
      <c r="B47" s="417">
        <f t="array" ref="B47">SUM((B38='Accident &amp; Incident Detail'!$C$2:$C$3433)*($A$38='Accident &amp; Incident Detail'!$I$2:$I$3433)*($A$47='Accident &amp; Incident Detail'!$E$2:$E$3433))</f>
        <v>0</v>
      </c>
      <c r="C47" s="417">
        <f t="array" ref="C47">SUM((C38='Accident &amp; Incident Detail'!$C$2:$C$3433)*($A$38='Accident &amp; Incident Detail'!$I$2:$I$3433)*($A$47='Accident &amp; Incident Detail'!$E$2:$E$3433))</f>
        <v>0</v>
      </c>
      <c r="D47" s="417">
        <f t="array" ref="D47">SUM((D38='Accident &amp; Incident Detail'!$C$2:$C$3433)*($A$38='Accident &amp; Incident Detail'!$I$2:$I$3433)*($A$47='Accident &amp; Incident Detail'!$E$2:$E$3433))</f>
        <v>0</v>
      </c>
      <c r="E47" s="417">
        <f t="array" ref="E47">SUM((E38='Accident &amp; Incident Detail'!$C$2:$C$3433)*($A$38='Accident &amp; Incident Detail'!$I$2:$I$3433)*($A$47='Accident &amp; Incident Detail'!$E$2:$E$3433))</f>
        <v>0</v>
      </c>
      <c r="F47" s="417">
        <f t="array" ref="F47">SUM((F38='Accident &amp; Incident Detail'!$C$2:$C$3433)*($A$38='Accident &amp; Incident Detail'!$I$2:$I$3433)*($A$47='Accident &amp; Incident Detail'!$E$2:$E$3433))</f>
        <v>0</v>
      </c>
      <c r="G47" s="417">
        <f t="array" ref="G47">SUM((G38='Accident &amp; Incident Detail'!$C$2:$C$3433)*($A$38='Accident &amp; Incident Detail'!$I$2:$I$3433)*($A$47='Accident &amp; Incident Detail'!$E$2:$E$3433))</f>
        <v>0</v>
      </c>
      <c r="H47" s="417">
        <f t="array" ref="H47">SUM((H38='Accident &amp; Incident Detail'!$C$2:$C$3433)*($A$38='Accident &amp; Incident Detail'!$I$2:$I$3433)*($A$47='Accident &amp; Incident Detail'!$E$2:$E$3433))</f>
        <v>0</v>
      </c>
      <c r="I47" s="417">
        <f t="array" ref="I47">SUM((I38='Accident &amp; Incident Detail'!$C$2:$C$3433)*($A$38='Accident &amp; Incident Detail'!$I$2:$I$3433)*($A$47='Accident &amp; Incident Detail'!$E$2:$E$3433))</f>
        <v>0</v>
      </c>
      <c r="J47" s="164">
        <f t="array" ref="J47">SUM((J38='Accident &amp; Incident Detail'!$C$2:$C$3433)*($A$38='Accident &amp; Incident Detail'!$I$2:$I$3433)*($A$47='Accident &amp; Incident Detail'!$E$2:$E$3433))</f>
        <v>0</v>
      </c>
      <c r="K47" s="164">
        <f t="array" ref="K47">SUM((K38='Accident &amp; Incident Detail'!$C$2:$C$3433)*($A$38='Accident &amp; Incident Detail'!$I$2:$I$3433)*($A$47='Accident &amp; Incident Detail'!$E$2:$E$3433))</f>
        <v>1</v>
      </c>
      <c r="L47" s="164">
        <f t="array" ref="L47">SUM((L38='Accident &amp; Incident Detail'!$C$2:$C$3433)*($A$38='Accident &amp; Incident Detail'!$I$2:$I$3433)*($A$47='Accident &amp; Incident Detail'!$E$2:$E$3433))</f>
        <v>0</v>
      </c>
      <c r="M47" s="164">
        <f t="array" ref="M47">SUM((M38='Accident &amp; Incident Detail'!$C$2:$C$3433)*($A$38='Accident &amp; Incident Detail'!$I$2:$I$3433)*($A$47='Accident &amp; Incident Detail'!$E$2:$E$3433))</f>
        <v>0</v>
      </c>
      <c r="N47" s="164">
        <f t="array" ref="N47">SUM((N38='Accident &amp; Incident Detail'!$C$2:$C$3433)*($A$38='Accident &amp; Incident Detail'!$I$2:$I$3433)*($A$47='Accident &amp; Incident Detail'!$E$2:$E$3433))</f>
        <v>0</v>
      </c>
      <c r="O47" s="164">
        <f t="array" ref="O47">SUM((O38='Accident &amp; Incident Detail'!$C$2:$C$3433)*($A$38='Accident &amp; Incident Detail'!$I$2:$I$3433)*($A$47='Accident &amp; Incident Detail'!$E$2:$E$3433))</f>
        <v>0</v>
      </c>
      <c r="P47" s="164">
        <f t="array" ref="P47">SUM((P38='Accident &amp; Incident Detail'!$C$2:$C$3433)*($A$38='Accident &amp; Incident Detail'!$I$2:$I$3433)*($A$47='Accident &amp; Incident Detail'!$E$2:$E$3433))</f>
        <v>0</v>
      </c>
      <c r="Q47" s="164">
        <f t="array" ref="Q47">SUM((Q38='Accident &amp; Incident Detail'!$C$2:$C$3433)*($A$38='Accident &amp; Incident Detail'!$I$2:$I$3433)*($A$47='Accident &amp; Incident Detail'!$E$2:$E$3433))</f>
        <v>0</v>
      </c>
      <c r="R47" s="164">
        <f t="array" ref="R47">SUM((R38='Accident &amp; Incident Detail'!$C$2:$C$3433)*($A$38='Accident &amp; Incident Detail'!$I$2:$I$3433)*($A$47='Accident &amp; Incident Detail'!$E$2:$E$3433))</f>
        <v>1</v>
      </c>
      <c r="S47" s="164">
        <f t="array" ref="S47">SUM((S38='Accident &amp; Incident Detail'!$C$2:$C$3433)*($A$38='Accident &amp; Incident Detail'!$I$2:$I$3433)*($A$47='Accident &amp; Incident Detail'!$E$2:$E$3433))</f>
        <v>0</v>
      </c>
      <c r="T47" s="164">
        <f t="array" ref="T47">SUM((T38='Accident &amp; Incident Detail'!$C$2:$C$3433)*($A$38='Accident &amp; Incident Detail'!$I$2:$I$3433)*($A$47='Accident &amp; Incident Detail'!$E$2:$E$3433))</f>
        <v>1</v>
      </c>
      <c r="U47" s="164">
        <f t="array" ref="U47">SUM((U38='Accident &amp; Incident Detail'!$C$2:$C$3433)*($A$38='Accident &amp; Incident Detail'!$I$2:$I$3433)*($A$47='Accident &amp; Incident Detail'!$E$2:$E$3433))</f>
        <v>0</v>
      </c>
      <c r="V47" s="164">
        <f t="array" ref="V47">SUM((V38='Accident &amp; Incident Detail'!$C$2:$C$3433)*($A$38='Accident &amp; Incident Detail'!$I$2:$I$3433)*($A$47='Accident &amp; Incident Detail'!$E$2:$E$3433))</f>
        <v>0</v>
      </c>
      <c r="W47" s="164">
        <f t="array" ref="W47">SUM((W38='Accident &amp; Incident Detail'!$C$2:$C$3433)*($A$38='Accident &amp; Incident Detail'!$I$2:$I$3433)*($A$47='Accident &amp; Incident Detail'!$E$2:$E$3433))</f>
        <v>0</v>
      </c>
      <c r="X47" s="164">
        <f t="array" ref="X47">SUM((X38='Accident &amp; Incident Detail'!$C$2:$C$3433)*($A$38='Accident &amp; Incident Detail'!$I$2:$I$3433)*($A$47='Accident &amp; Incident Detail'!$E$2:$E$3433))</f>
        <v>0</v>
      </c>
      <c r="Y47" s="164">
        <f t="array" ref="Y47">SUM((Y38='Accident &amp; Incident Detail'!$C$2:$C$3433)*($A$38='Accident &amp; Incident Detail'!$I$2:$I$3433)*($A$47='Accident &amp; Incident Detail'!$E$2:$E$3433))</f>
        <v>0</v>
      </c>
      <c r="Z47" s="41">
        <f t="array" ref="Z47">SUM((Z38='Accident &amp; Incident Detail'!$C$2:$C$3433)*($A$38='Accident &amp; Incident Detail'!$I$2:$I$3433)*($A$47='Accident &amp; Incident Detail'!$E$2:$E$3433))</f>
        <v>0</v>
      </c>
      <c r="AA47" s="41">
        <f t="array" ref="AA47">SUM((AA38='Accident &amp; Incident Detail'!$C$2:$C$3433)*($A$38='Accident &amp; Incident Detail'!$I$2:$I$3433)*($A$47='Accident &amp; Incident Detail'!$E$2:$E$3433))</f>
        <v>0</v>
      </c>
      <c r="AB47" s="41">
        <f t="array" ref="AB47">SUM((AB38='Accident &amp; Incident Detail'!$C$2:$C$3433)*($A$38='Accident &amp; Incident Detail'!$I$2:$I$3433)*($A$47='Accident &amp; Incident Detail'!$E$2:$E$3433))</f>
        <v>0</v>
      </c>
      <c r="AC47" s="41">
        <f t="array" ref="AC47">SUM((AC38='Accident &amp; Incident Detail'!$C$2:$C$3433)*($A$38='Accident &amp; Incident Detail'!$I$2:$I$3433)*($A$47='Accident &amp; Incident Detail'!$E$2:$E$3433))</f>
        <v>0</v>
      </c>
      <c r="AD47" s="41">
        <f t="array" ref="AD47">SUM((AD38='Accident &amp; Incident Detail'!$C$2:$C$3433)*($A$38='Accident &amp; Incident Detail'!$I$2:$I$3433)*($A$47='Accident &amp; Incident Detail'!$E$2:$E$3433))</f>
        <v>0</v>
      </c>
      <c r="AE47" s="41">
        <f t="array" ref="AE47">SUM((AE38='Accident &amp; Incident Detail'!$C$2:$C$3433)*($A$38='Accident &amp; Incident Detail'!$I$2:$I$3433)*($A$47='Accident &amp; Incident Detail'!$E$2:$E$3433))</f>
        <v>0</v>
      </c>
      <c r="AF47" s="41">
        <f t="array" ref="AF47">SUM((AF38='Accident &amp; Incident Detail'!$C$2:$C$3433)*($A$38='Accident &amp; Incident Detail'!$I$2:$I$3433)*($A$47='Accident &amp; Incident Detail'!$E$2:$E$3433))</f>
        <v>0</v>
      </c>
      <c r="AG47" s="41">
        <f t="array" ref="AG47">SUM((AG38='Accident &amp; Incident Detail'!$C$2:$C$3433)*($A$38='Accident &amp; Incident Detail'!$I$2:$I$3433)*($A$47='Accident &amp; Incident Detail'!$E$2:$E$3433))</f>
        <v>0</v>
      </c>
      <c r="AH47" s="41">
        <f t="array" ref="AH47">SUM((AH38='Accident &amp; Incident Detail'!$C$2:$C$3433)*($A$38='Accident &amp; Incident Detail'!$I$2:$I$3433)*($A$47='Accident &amp; Incident Detail'!$E$2:$E$3433))</f>
        <v>0</v>
      </c>
      <c r="AI47" s="41">
        <f t="array" ref="AI47">SUM((AI38='Accident &amp; Incident Detail'!$C$2:$C$3433)*($A$38='Accident &amp; Incident Detail'!$I$2:$I$3433)*($A$47='Accident &amp; Incident Detail'!$E$2:$E$3433))</f>
        <v>0</v>
      </c>
      <c r="AJ47" s="41">
        <f t="array" ref="AJ47">SUM((AJ38='Accident &amp; Incident Detail'!$C$2:$C$3433)*($A$38='Accident &amp; Incident Detail'!$I$2:$I$3433)*($A$47='Accident &amp; Incident Detail'!$E$2:$E$3433))</f>
        <v>0</v>
      </c>
      <c r="AK47" s="41">
        <f t="array" ref="AK47">SUM((AK38='Accident &amp; Incident Detail'!$C$2:$C$3433)*($A$38='Accident &amp; Incident Detail'!$I$2:$I$3433)*($A$47='Accident &amp; Incident Detail'!$E$2:$E$3433))</f>
        <v>0</v>
      </c>
      <c r="AL47" s="41">
        <f t="array" ref="AL47">SUM((AL38='Accident &amp; Incident Detail'!$C$2:$C$3433)*($A$38='Accident &amp; Incident Detail'!$I$2:$I$3433)*($A$47='Accident &amp; Incident Detail'!$E$2:$E$3433))</f>
        <v>0</v>
      </c>
      <c r="AM47" s="41">
        <f t="array" ref="AM47">SUM((AM38='Accident &amp; Incident Detail'!$C$2:$C$3433)*($A$38='Accident &amp; Incident Detail'!$I$2:$I$3433)*($A$47='Accident &amp; Incident Detail'!$E$2:$E$3433))</f>
        <v>0</v>
      </c>
      <c r="AN47" s="41">
        <f t="array" ref="AN47">SUM((AN38='Accident &amp; Incident Detail'!$C$2:$C$3433)*($A$38='Accident &amp; Incident Detail'!$I$2:$I$3433)*($A$47='Accident &amp; Incident Detail'!$E$2:$E$3433))</f>
        <v>0</v>
      </c>
    </row>
    <row r="48" spans="1:41" x14ac:dyDescent="0.35">
      <c r="A48" s="187" t="s">
        <v>15</v>
      </c>
      <c r="B48" s="416">
        <f>IF(B$1=1,(SUM(B47:B47)/13),0)</f>
        <v>0</v>
      </c>
      <c r="C48" s="416">
        <f>IF(C$1=1,(SUM(B47:C47)/13),0)</f>
        <v>0</v>
      </c>
      <c r="D48" s="416">
        <f>IF(D$1=1,(SUM(B47:D47)/13),0)</f>
        <v>0</v>
      </c>
      <c r="E48" s="416">
        <f>IF(E$1=1,(SUM(B47:E47)/13),0)</f>
        <v>0</v>
      </c>
      <c r="F48" s="416">
        <f>IF(F$1=1,(SUM(B47:F47)/13),0)</f>
        <v>0</v>
      </c>
      <c r="G48" s="416">
        <f>IF(G$1=1,(SUM(B47:G47)/13),0)</f>
        <v>0</v>
      </c>
      <c r="H48" s="416">
        <f>IF(H$1=1,(SUM(B47:H47)/13),0)</f>
        <v>0</v>
      </c>
      <c r="I48" s="416">
        <f>IF(I$1=1,(SUM(B47:I47)/13),0)</f>
        <v>0</v>
      </c>
      <c r="J48" s="52">
        <f>IF(J$1=1,(SUM(B47:J47)/13),0)</f>
        <v>0</v>
      </c>
      <c r="K48" s="52">
        <f>IF(K$1=1,(SUM(B47:K47)/13),0)</f>
        <v>7.6923076923076927E-2</v>
      </c>
      <c r="L48" s="52">
        <f>IF(L$1=1,(SUM(B47:L47)/13),0)</f>
        <v>7.6923076923076927E-2</v>
      </c>
      <c r="M48" s="52">
        <f>IF(M$1=1,(SUM(B47:M47)/13),0)</f>
        <v>7.6923076923076927E-2</v>
      </c>
      <c r="N48" s="52">
        <f>IF(N$1=1,(SUM(B47:N47)/13),0)</f>
        <v>7.6923076923076927E-2</v>
      </c>
      <c r="O48" s="52">
        <f t="shared" ref="O48:Z48" si="41">IF(O$1=1,(SUM(C47:O47)/13),0)</f>
        <v>7.6923076923076927E-2</v>
      </c>
      <c r="P48" s="52">
        <f t="shared" si="41"/>
        <v>7.6923076923076927E-2</v>
      </c>
      <c r="Q48" s="52">
        <f t="shared" si="41"/>
        <v>7.6923076923076927E-2</v>
      </c>
      <c r="R48" s="52">
        <f t="shared" si="41"/>
        <v>0.15384615384615385</v>
      </c>
      <c r="S48" s="52">
        <f t="shared" si="41"/>
        <v>0.15384615384615385</v>
      </c>
      <c r="T48" s="52">
        <f t="shared" si="41"/>
        <v>0.23076923076923078</v>
      </c>
      <c r="U48" s="52">
        <f t="shared" si="41"/>
        <v>0.23076923076923078</v>
      </c>
      <c r="V48" s="52">
        <f t="shared" si="41"/>
        <v>0.23076923076923078</v>
      </c>
      <c r="W48" s="52">
        <f t="shared" si="41"/>
        <v>0.23076923076923078</v>
      </c>
      <c r="X48" s="52">
        <f t="shared" si="41"/>
        <v>0.15384615384615385</v>
      </c>
      <c r="Y48" s="52">
        <f t="shared" si="41"/>
        <v>0.15384615384615385</v>
      </c>
      <c r="Z48" s="45">
        <f t="shared" si="41"/>
        <v>0.15384615384615385</v>
      </c>
      <c r="AA48" s="45">
        <f t="shared" ref="AA48:AN48" si="42">IF(AA$1=1,(SUM(O47:AA47)/13),0)</f>
        <v>0.15384615384615385</v>
      </c>
      <c r="AB48" s="45">
        <f t="shared" si="42"/>
        <v>0.15384615384615385</v>
      </c>
      <c r="AC48" s="45">
        <f t="shared" si="42"/>
        <v>0.15384615384615385</v>
      </c>
      <c r="AD48" s="45">
        <f t="shared" si="42"/>
        <v>0.15384615384615385</v>
      </c>
      <c r="AE48" s="45">
        <f t="shared" si="42"/>
        <v>7.6923076923076927E-2</v>
      </c>
      <c r="AF48" s="45">
        <f t="shared" si="42"/>
        <v>7.6923076923076927E-2</v>
      </c>
      <c r="AG48" s="45">
        <f t="shared" si="42"/>
        <v>0</v>
      </c>
      <c r="AH48" s="45">
        <f t="shared" si="42"/>
        <v>0</v>
      </c>
      <c r="AI48" s="45">
        <f t="shared" si="42"/>
        <v>0</v>
      </c>
      <c r="AJ48" s="45">
        <f t="shared" si="42"/>
        <v>0</v>
      </c>
      <c r="AK48" s="45">
        <f t="shared" si="42"/>
        <v>0</v>
      </c>
      <c r="AL48" s="45">
        <f t="shared" si="42"/>
        <v>0</v>
      </c>
      <c r="AM48" s="45">
        <f t="shared" si="42"/>
        <v>0</v>
      </c>
      <c r="AN48" s="45">
        <f t="shared" si="42"/>
        <v>0</v>
      </c>
    </row>
    <row r="49" spans="1:40" x14ac:dyDescent="0.35">
      <c r="A49" s="187" t="s">
        <v>28</v>
      </c>
      <c r="B49" s="417">
        <f t="array" ref="B49">SUM((B38='Accident &amp; Incident Detail'!$C$2:$C$3433)*($A$38='Accident &amp; Incident Detail'!$I$2:$I$3433)*($A$49='Accident &amp; Incident Detail'!$E$2:$E$3433))</f>
        <v>0</v>
      </c>
      <c r="C49" s="417">
        <f t="array" ref="C49">SUM((C38='Accident &amp; Incident Detail'!$C$2:$C$3433)*($A$38='Accident &amp; Incident Detail'!$I$2:$I$3433)*($A$49='Accident &amp; Incident Detail'!$E$2:$E$3433))</f>
        <v>0</v>
      </c>
      <c r="D49" s="417">
        <f t="array" ref="D49">SUM((D38='Accident &amp; Incident Detail'!$C$2:$C$3433)*($A$38='Accident &amp; Incident Detail'!$I$2:$I$3433)*($A$49='Accident &amp; Incident Detail'!$E$2:$E$3433))</f>
        <v>0</v>
      </c>
      <c r="E49" s="417">
        <f t="array" ref="E49">SUM((E38='Accident &amp; Incident Detail'!$C$2:$C$3433)*($A$38='Accident &amp; Incident Detail'!$I$2:$I$3433)*($A$49='Accident &amp; Incident Detail'!$E$2:$E$3433))</f>
        <v>0</v>
      </c>
      <c r="F49" s="417">
        <f t="array" ref="F49">SUM((F38='Accident &amp; Incident Detail'!$C$2:$C$3433)*($A$38='Accident &amp; Incident Detail'!$I$2:$I$3433)*($A$49='Accident &amp; Incident Detail'!$E$2:$E$3433))</f>
        <v>0</v>
      </c>
      <c r="G49" s="417">
        <f t="array" ref="G49">SUM((G38='Accident &amp; Incident Detail'!$C$2:$C$3433)*($A$38='Accident &amp; Incident Detail'!$I$2:$I$3433)*($A$49='Accident &amp; Incident Detail'!$E$2:$E$3433))</f>
        <v>0</v>
      </c>
      <c r="H49" s="417">
        <f t="array" ref="H49">SUM((H38='Accident &amp; Incident Detail'!$C$2:$C$3433)*($A$38='Accident &amp; Incident Detail'!$I$2:$I$3433)*($A$49='Accident &amp; Incident Detail'!$E$2:$E$3433))</f>
        <v>0</v>
      </c>
      <c r="I49" s="417">
        <f t="array" ref="I49">SUM((I38='Accident &amp; Incident Detail'!$C$2:$C$3433)*($A$38='Accident &amp; Incident Detail'!$I$2:$I$3433)*($A$49='Accident &amp; Incident Detail'!$E$2:$E$3433))</f>
        <v>0</v>
      </c>
      <c r="J49" s="164">
        <f t="array" ref="J49">SUM((J38='Accident &amp; Incident Detail'!$C$2:$C$3433)*($A$38='Accident &amp; Incident Detail'!$I$2:$I$3433)*($A$49='Accident &amp; Incident Detail'!$E$2:$E$3433))</f>
        <v>1</v>
      </c>
      <c r="K49" s="164">
        <f t="array" ref="K49">SUM((K38='Accident &amp; Incident Detail'!$C$2:$C$3433)*($A$38='Accident &amp; Incident Detail'!$I$2:$I$3433)*($A$49='Accident &amp; Incident Detail'!$E$2:$E$3433))</f>
        <v>1</v>
      </c>
      <c r="L49" s="164">
        <f t="array" ref="L49">SUM((L38='Accident &amp; Incident Detail'!$C$2:$C$3433)*($A$38='Accident &amp; Incident Detail'!$I$2:$I$3433)*($A$49='Accident &amp; Incident Detail'!$E$2:$E$3433))</f>
        <v>3</v>
      </c>
      <c r="M49" s="164">
        <f t="array" ref="M49">SUM((M38='Accident &amp; Incident Detail'!$C$2:$C$3433)*($A$38='Accident &amp; Incident Detail'!$I$2:$I$3433)*($A$49='Accident &amp; Incident Detail'!$E$2:$E$3433))</f>
        <v>1</v>
      </c>
      <c r="N49" s="164">
        <f t="array" ref="N49">SUM((N38='Accident &amp; Incident Detail'!$C$2:$C$3433)*($A$38='Accident &amp; Incident Detail'!$I$2:$I$3433)*($A$49='Accident &amp; Incident Detail'!$E$2:$E$3433))</f>
        <v>0</v>
      </c>
      <c r="O49" s="164">
        <f t="array" ref="O49">SUM((O38='Accident &amp; Incident Detail'!$C$2:$C$3433)*($A$38='Accident &amp; Incident Detail'!$I$2:$I$3433)*($A$49='Accident &amp; Incident Detail'!$E$2:$E$3433))</f>
        <v>1</v>
      </c>
      <c r="P49" s="164">
        <f t="array" ref="P49">SUM((P38='Accident &amp; Incident Detail'!$C$2:$C$3433)*($A$38='Accident &amp; Incident Detail'!$I$2:$I$3433)*($A$49='Accident &amp; Incident Detail'!$E$2:$E$3433))</f>
        <v>4</v>
      </c>
      <c r="Q49" s="164">
        <f t="array" ref="Q49">SUM((Q38='Accident &amp; Incident Detail'!$C$2:$C$3433)*($A$38='Accident &amp; Incident Detail'!$I$2:$I$3433)*($A$49='Accident &amp; Incident Detail'!$E$2:$E$3433))</f>
        <v>0</v>
      </c>
      <c r="R49" s="164">
        <f t="array" ref="R49">SUM((R38='Accident &amp; Incident Detail'!$C$2:$C$3433)*($A$38='Accident &amp; Incident Detail'!$I$2:$I$3433)*($A$49='Accident &amp; Incident Detail'!$E$2:$E$3433))</f>
        <v>1</v>
      </c>
      <c r="S49" s="164">
        <f t="array" ref="S49">SUM((S38='Accident &amp; Incident Detail'!$C$2:$C$3433)*($A$38='Accident &amp; Incident Detail'!$I$2:$I$3433)*($A$49='Accident &amp; Incident Detail'!$E$2:$E$3433))</f>
        <v>1</v>
      </c>
      <c r="T49" s="164">
        <f t="array" ref="T49">SUM((T38='Accident &amp; Incident Detail'!$C$2:$C$3433)*($A$38='Accident &amp; Incident Detail'!$I$2:$I$3433)*($A$49='Accident &amp; Incident Detail'!$E$2:$E$3433))</f>
        <v>0</v>
      </c>
      <c r="U49" s="164">
        <f t="array" ref="U49">SUM((U38='Accident &amp; Incident Detail'!$C$2:$C$3433)*($A$38='Accident &amp; Incident Detail'!$I$2:$I$3433)*($A$49='Accident &amp; Incident Detail'!$E$2:$E$3433))</f>
        <v>3</v>
      </c>
      <c r="V49" s="164">
        <f t="array" ref="V49">SUM((V38='Accident &amp; Incident Detail'!$C$2:$C$3433)*($A$38='Accident &amp; Incident Detail'!$I$2:$I$3433)*($A$49='Accident &amp; Incident Detail'!$E$2:$E$3433))</f>
        <v>2</v>
      </c>
      <c r="W49" s="164">
        <f t="array" ref="W49">SUM((W38='Accident &amp; Incident Detail'!$C$2:$C$3433)*($A$38='Accident &amp; Incident Detail'!$I$2:$I$3433)*($A$49='Accident &amp; Incident Detail'!$E$2:$E$3433))</f>
        <v>1</v>
      </c>
      <c r="X49" s="164">
        <f t="array" ref="X49">SUM((X38='Accident &amp; Incident Detail'!$C$2:$C$3433)*($A$38='Accident &amp; Incident Detail'!$I$2:$I$3433)*($A$49='Accident &amp; Incident Detail'!$E$2:$E$3433))</f>
        <v>2</v>
      </c>
      <c r="Y49" s="164">
        <f t="array" ref="Y49">SUM((Y38='Accident &amp; Incident Detail'!$C$2:$C$3433)*($A$38='Accident &amp; Incident Detail'!$I$2:$I$3433)*($A$49='Accident &amp; Incident Detail'!$E$2:$E$3433))</f>
        <v>5</v>
      </c>
      <c r="Z49" s="41">
        <f t="array" ref="Z49">SUM((Z38='Accident &amp; Incident Detail'!$C$2:$C$3433)*($A$38='Accident &amp; Incident Detail'!$I$2:$I$3433)*($A$49='Accident &amp; Incident Detail'!$E$2:$E$3433))</f>
        <v>0</v>
      </c>
      <c r="AA49" s="41">
        <f t="array" ref="AA49">SUM((AA38='Accident &amp; Incident Detail'!$C$2:$C$3433)*($A$38='Accident &amp; Incident Detail'!$I$2:$I$3433)*($A$49='Accident &amp; Incident Detail'!$E$2:$E$3433))</f>
        <v>3</v>
      </c>
      <c r="AB49" s="41">
        <f t="array" ref="AB49">SUM((AB38='Accident &amp; Incident Detail'!$C$2:$C$3433)*($A$38='Accident &amp; Incident Detail'!$I$2:$I$3433)*($A$49='Accident &amp; Incident Detail'!$E$2:$E$3433))</f>
        <v>2</v>
      </c>
      <c r="AC49" s="41">
        <f t="array" ref="AC49">SUM((AC38='Accident &amp; Incident Detail'!$C$2:$C$3433)*($A$38='Accident &amp; Incident Detail'!$I$2:$I$3433)*($A$49='Accident &amp; Incident Detail'!$E$2:$E$3433))</f>
        <v>1</v>
      </c>
      <c r="AD49" s="41">
        <f t="array" ref="AD49">SUM((AD38='Accident &amp; Incident Detail'!$C$2:$C$3433)*($A$38='Accident &amp; Incident Detail'!$I$2:$I$3433)*($A$49='Accident &amp; Incident Detail'!$E$2:$E$3433))</f>
        <v>3</v>
      </c>
      <c r="AE49" s="41">
        <f t="array" ref="AE49">SUM((AE38='Accident &amp; Incident Detail'!$C$2:$C$3433)*($A$38='Accident &amp; Incident Detail'!$I$2:$I$3433)*($A$49='Accident &amp; Incident Detail'!$E$2:$E$3433))</f>
        <v>2</v>
      </c>
      <c r="AF49" s="41">
        <f t="array" ref="AF49">SUM((AF38='Accident &amp; Incident Detail'!$C$2:$C$3433)*($A$38='Accident &amp; Incident Detail'!$I$2:$I$3433)*($A$49='Accident &amp; Incident Detail'!$E$2:$E$3433))</f>
        <v>0</v>
      </c>
      <c r="AG49" s="41">
        <f t="array" ref="AG49">SUM((AG38='Accident &amp; Incident Detail'!$C$2:$C$3433)*($A$38='Accident &amp; Incident Detail'!$I$2:$I$3433)*($A$49='Accident &amp; Incident Detail'!$E$2:$E$3433))</f>
        <v>1</v>
      </c>
      <c r="AH49" s="41">
        <f t="array" ref="AH49">SUM((AH38='Accident &amp; Incident Detail'!$C$2:$C$3433)*($A$38='Accident &amp; Incident Detail'!$I$2:$I$3433)*($A$49='Accident &amp; Incident Detail'!$E$2:$E$3433))</f>
        <v>4</v>
      </c>
      <c r="AI49" s="41">
        <f t="array" ref="AI49">SUM((AI38='Accident &amp; Incident Detail'!$C$2:$C$3433)*($A$38='Accident &amp; Incident Detail'!$I$2:$I$3433)*($A$49='Accident &amp; Incident Detail'!$E$2:$E$3433))</f>
        <v>0</v>
      </c>
      <c r="AJ49" s="41">
        <f t="array" ref="AJ49">SUM((AJ38='Accident &amp; Incident Detail'!$C$2:$C$3433)*($A$38='Accident &amp; Incident Detail'!$I$2:$I$3433)*($A$49='Accident &amp; Incident Detail'!$E$2:$E$3433))</f>
        <v>4</v>
      </c>
      <c r="AK49" s="41">
        <f t="array" ref="AK49">SUM((AK38='Accident &amp; Incident Detail'!$C$2:$C$3433)*($A$38='Accident &amp; Incident Detail'!$I$2:$I$3433)*($A$49='Accident &amp; Incident Detail'!$E$2:$E$3433))</f>
        <v>1</v>
      </c>
      <c r="AL49" s="41">
        <f t="array" ref="AL49">SUM((AL38='Accident &amp; Incident Detail'!$C$2:$C$3433)*($A$38='Accident &amp; Incident Detail'!$I$2:$I$3433)*($A$49='Accident &amp; Incident Detail'!$E$2:$E$3433))</f>
        <v>4</v>
      </c>
      <c r="AM49" s="41">
        <f t="array" ref="AM49">SUM((AM38='Accident &amp; Incident Detail'!$C$2:$C$3433)*($A$38='Accident &amp; Incident Detail'!$I$2:$I$3433)*($A$49='Accident &amp; Incident Detail'!$E$2:$E$3433))</f>
        <v>0</v>
      </c>
      <c r="AN49" s="41">
        <f t="array" ref="AN49">SUM((AN38='Accident &amp; Incident Detail'!$C$2:$C$3433)*($A$38='Accident &amp; Incident Detail'!$I$2:$I$3433)*($A$49='Accident &amp; Incident Detail'!$E$2:$E$3433))</f>
        <v>0</v>
      </c>
    </row>
    <row r="50" spans="1:40" x14ac:dyDescent="0.35">
      <c r="A50" s="187" t="s">
        <v>15</v>
      </c>
      <c r="B50" s="416">
        <f>IF(B$1=1,(SUM(B49:B49)/13),0)</f>
        <v>0</v>
      </c>
      <c r="C50" s="416">
        <f>IF(C$1=1,(SUM(B49:C49)/13),0)</f>
        <v>0</v>
      </c>
      <c r="D50" s="416">
        <f>IF(D$1=1,(SUM(B49:D49)/13),0)</f>
        <v>0</v>
      </c>
      <c r="E50" s="416">
        <f>IF(E$1=1,(SUM(B49:E49)/13),0)</f>
        <v>0</v>
      </c>
      <c r="F50" s="416">
        <f>IF(F$1=1,(SUM(B49:F49)/13),0)</f>
        <v>0</v>
      </c>
      <c r="G50" s="416">
        <f>IF(G$1=1,(SUM(B49:G49)/13),0)</f>
        <v>0</v>
      </c>
      <c r="H50" s="416">
        <f>IF(H$1=1,(SUM(B49:H49)/13),0)</f>
        <v>0</v>
      </c>
      <c r="I50" s="416">
        <f>IF(I$1=1,(SUM(B49:I49)/13),0)</f>
        <v>0</v>
      </c>
      <c r="J50" s="52">
        <f>IF(J$1=1,(SUM(B49:J49)/13),0)</f>
        <v>7.6923076923076927E-2</v>
      </c>
      <c r="K50" s="52">
        <f>IF(K$1=1,(SUM(B49:K49)/13),0)</f>
        <v>0.15384615384615385</v>
      </c>
      <c r="L50" s="52">
        <f>IF(L$1=1,(SUM(B49:L49)/13),0)</f>
        <v>0.38461538461538464</v>
      </c>
      <c r="M50" s="52">
        <f>IF(M$1=1,(SUM(B49:M49)/13),0)</f>
        <v>0.46153846153846156</v>
      </c>
      <c r="N50" s="52">
        <f>IF(N$1=1,(SUM(B49:N49)/13),0)</f>
        <v>0.46153846153846156</v>
      </c>
      <c r="O50" s="52">
        <f t="shared" ref="O50:Z50" si="43">IF(O$1=1,(SUM(C49:O49)/13),0)</f>
        <v>0.53846153846153844</v>
      </c>
      <c r="P50" s="52">
        <f t="shared" si="43"/>
        <v>0.84615384615384615</v>
      </c>
      <c r="Q50" s="52">
        <f t="shared" si="43"/>
        <v>0.84615384615384615</v>
      </c>
      <c r="R50" s="52">
        <f t="shared" si="43"/>
        <v>0.92307692307692313</v>
      </c>
      <c r="S50" s="52">
        <f t="shared" si="43"/>
        <v>1</v>
      </c>
      <c r="T50" s="52">
        <f t="shared" si="43"/>
        <v>1</v>
      </c>
      <c r="U50" s="52">
        <f t="shared" si="43"/>
        <v>1.2307692307692308</v>
      </c>
      <c r="V50" s="52">
        <f t="shared" si="43"/>
        <v>1.3846153846153846</v>
      </c>
      <c r="W50" s="52">
        <f t="shared" si="43"/>
        <v>1.3846153846153846</v>
      </c>
      <c r="X50" s="52">
        <f t="shared" si="43"/>
        <v>1.4615384615384615</v>
      </c>
      <c r="Y50" s="52">
        <f t="shared" si="43"/>
        <v>1.6153846153846154</v>
      </c>
      <c r="Z50" s="45">
        <f t="shared" si="43"/>
        <v>1.5384615384615385</v>
      </c>
      <c r="AA50" s="45">
        <f t="shared" ref="AA50:AN50" si="44">IF(AA$1=1,(SUM(O49:AA49)/13),0)</f>
        <v>1.7692307692307692</v>
      </c>
      <c r="AB50" s="45">
        <f t="shared" si="44"/>
        <v>1.8461538461538463</v>
      </c>
      <c r="AC50" s="45">
        <f t="shared" si="44"/>
        <v>1.6153846153846154</v>
      </c>
      <c r="AD50" s="45">
        <f t="shared" si="44"/>
        <v>1.8461538461538463</v>
      </c>
      <c r="AE50" s="45">
        <f t="shared" si="44"/>
        <v>1.9230769230769231</v>
      </c>
      <c r="AF50" s="45">
        <f t="shared" si="44"/>
        <v>1.8461538461538463</v>
      </c>
      <c r="AG50" s="45">
        <f t="shared" si="44"/>
        <v>1.9230769230769231</v>
      </c>
      <c r="AH50" s="45">
        <f t="shared" si="44"/>
        <v>2</v>
      </c>
      <c r="AI50" s="45">
        <f t="shared" si="44"/>
        <v>1.8461538461538463</v>
      </c>
      <c r="AJ50" s="45">
        <f t="shared" si="44"/>
        <v>2.0769230769230771</v>
      </c>
      <c r="AK50" s="45">
        <f t="shared" si="44"/>
        <v>2</v>
      </c>
      <c r="AL50" s="45">
        <f t="shared" si="44"/>
        <v>0</v>
      </c>
      <c r="AM50" s="45">
        <f t="shared" si="44"/>
        <v>0</v>
      </c>
      <c r="AN50" s="45">
        <f t="shared" si="44"/>
        <v>0</v>
      </c>
    </row>
    <row r="51" spans="1:40" x14ac:dyDescent="0.35">
      <c r="A51" s="188" t="s">
        <v>27</v>
      </c>
      <c r="B51" s="417">
        <f t="array" ref="B51">SUM((B38='Accident &amp; Incident Detail'!$C$2:$C$3433)*($A$38='Accident &amp; Incident Detail'!$I$2:$I$3433)*($A$51='Accident &amp; Incident Detail'!$E$2:$E$3433))</f>
        <v>0</v>
      </c>
      <c r="C51" s="417">
        <f t="array" ref="C51">SUM((C38='Accident &amp; Incident Detail'!$C$2:$C$3433)*($A$38='Accident &amp; Incident Detail'!$I$2:$I$3433)*($A$51='Accident &amp; Incident Detail'!$E$2:$E$3433))</f>
        <v>0</v>
      </c>
      <c r="D51" s="417">
        <f t="array" ref="D51">SUM((D38='Accident &amp; Incident Detail'!$C$2:$C$3433)*($A$38='Accident &amp; Incident Detail'!$I$2:$I$3433)*($A$51='Accident &amp; Incident Detail'!$E$2:$E$3433))</f>
        <v>0</v>
      </c>
      <c r="E51" s="417">
        <f t="array" ref="E51">SUM((E38='Accident &amp; Incident Detail'!$C$2:$C$3433)*($A$38='Accident &amp; Incident Detail'!$I$2:$I$3433)*($A$51='Accident &amp; Incident Detail'!$E$2:$E$3433))</f>
        <v>0</v>
      </c>
      <c r="F51" s="417">
        <f t="array" ref="F51">SUM((F38='Accident &amp; Incident Detail'!$C$2:$C$3433)*($A$38='Accident &amp; Incident Detail'!$I$2:$I$3433)*($A$51='Accident &amp; Incident Detail'!$E$2:$E$3433))</f>
        <v>0</v>
      </c>
      <c r="G51" s="417">
        <f t="array" ref="G51">SUM((G38='Accident &amp; Incident Detail'!$C$2:$C$3433)*($A$38='Accident &amp; Incident Detail'!$I$2:$I$3433)*($A$51='Accident &amp; Incident Detail'!$E$2:$E$3433))</f>
        <v>0</v>
      </c>
      <c r="H51" s="417">
        <f t="array" ref="H51">SUM((H38='Accident &amp; Incident Detail'!$C$2:$C$3433)*($A$38='Accident &amp; Incident Detail'!$I$2:$I$3433)*($A$51='Accident &amp; Incident Detail'!$E$2:$E$3433))</f>
        <v>0</v>
      </c>
      <c r="I51" s="417">
        <f t="array" ref="I51">SUM((I38='Accident &amp; Incident Detail'!$C$2:$C$3433)*($A$38='Accident &amp; Incident Detail'!$I$2:$I$3433)*($A$51='Accident &amp; Incident Detail'!$E$2:$E$3433))</f>
        <v>0</v>
      </c>
      <c r="J51" s="164">
        <f t="array" ref="J51">SUM((J38='Accident &amp; Incident Detail'!$C$2:$C$3433)*($A$38='Accident &amp; Incident Detail'!$I$2:$I$3433)*($A$51='Accident &amp; Incident Detail'!$E$2:$E$3433))</f>
        <v>0</v>
      </c>
      <c r="K51" s="164">
        <f t="array" ref="K51">SUM((K38='Accident &amp; Incident Detail'!$C$2:$C$3433)*($A$38='Accident &amp; Incident Detail'!$I$2:$I$3433)*($A$51='Accident &amp; Incident Detail'!$E$2:$E$3433))</f>
        <v>1</v>
      </c>
      <c r="L51" s="164">
        <f t="array" ref="L51">SUM((L38='Accident &amp; Incident Detail'!$C$2:$C$3433)*($A$38='Accident &amp; Incident Detail'!$I$2:$I$3433)*($A$51='Accident &amp; Incident Detail'!$E$2:$E$3433))</f>
        <v>0</v>
      </c>
      <c r="M51" s="164">
        <f t="array" ref="M51">SUM((M38='Accident &amp; Incident Detail'!$C$2:$C$3433)*($A$38='Accident &amp; Incident Detail'!$I$2:$I$3433)*($A$51='Accident &amp; Incident Detail'!$E$2:$E$3433))</f>
        <v>0</v>
      </c>
      <c r="N51" s="164">
        <f t="array" ref="N51">SUM((N38='Accident &amp; Incident Detail'!$C$2:$C$3433)*($A$38='Accident &amp; Incident Detail'!$I$2:$I$3433)*($A$51='Accident &amp; Incident Detail'!$E$2:$E$3433))</f>
        <v>0</v>
      </c>
      <c r="O51" s="164">
        <f t="array" ref="O51">SUM((O38='Accident &amp; Incident Detail'!$C$2:$C$3433)*($A$38='Accident &amp; Incident Detail'!$I$2:$I$3433)*($A$51='Accident &amp; Incident Detail'!$E$2:$E$3433))</f>
        <v>0</v>
      </c>
      <c r="P51" s="164">
        <f t="array" ref="P51">SUM((P38='Accident &amp; Incident Detail'!$C$2:$C$3433)*($A$38='Accident &amp; Incident Detail'!$I$2:$I$3433)*($A$51='Accident &amp; Incident Detail'!$E$2:$E$3433))</f>
        <v>0</v>
      </c>
      <c r="Q51" s="164">
        <f t="array" ref="Q51">SUM((Q38='Accident &amp; Incident Detail'!$C$2:$C$3433)*($A$38='Accident &amp; Incident Detail'!$I$2:$I$3433)*($A$51='Accident &amp; Incident Detail'!$E$2:$E$3433))</f>
        <v>0</v>
      </c>
      <c r="R51" s="164">
        <f t="array" ref="R51">SUM((R38='Accident &amp; Incident Detail'!$C$2:$C$3433)*($A$38='Accident &amp; Incident Detail'!$I$2:$I$3433)*($A$51='Accident &amp; Incident Detail'!$E$2:$E$3433))</f>
        <v>1</v>
      </c>
      <c r="S51" s="164">
        <f t="array" ref="S51">SUM((S38='Accident &amp; Incident Detail'!$C$2:$C$3433)*($A$38='Accident &amp; Incident Detail'!$I$2:$I$3433)*($A$51='Accident &amp; Incident Detail'!$E$2:$E$3433))</f>
        <v>0</v>
      </c>
      <c r="T51" s="164">
        <f t="array" ref="T51">SUM((T38='Accident &amp; Incident Detail'!$C$2:$C$3433)*($A$38='Accident &amp; Incident Detail'!$I$2:$I$3433)*($A$51='Accident &amp; Incident Detail'!$E$2:$E$3433))</f>
        <v>1</v>
      </c>
      <c r="U51" s="164">
        <f t="array" ref="U51">SUM((U38='Accident &amp; Incident Detail'!$C$2:$C$3433)*($A$38='Accident &amp; Incident Detail'!$I$2:$I$3433)*($A$51='Accident &amp; Incident Detail'!$E$2:$E$3433))</f>
        <v>0</v>
      </c>
      <c r="V51" s="164">
        <f t="array" ref="V51">SUM((V38='Accident &amp; Incident Detail'!$C$2:$C$3433)*($A$38='Accident &amp; Incident Detail'!$I$2:$I$3433)*($A$51='Accident &amp; Incident Detail'!$E$2:$E$3433))</f>
        <v>0</v>
      </c>
      <c r="W51" s="164">
        <f t="array" ref="W51">SUM((W38='Accident &amp; Incident Detail'!$C$2:$C$3433)*($A$38='Accident &amp; Incident Detail'!$I$2:$I$3433)*($A$51='Accident &amp; Incident Detail'!$E$2:$E$3433))</f>
        <v>0</v>
      </c>
      <c r="X51" s="164">
        <f t="array" ref="X51">SUM((X38='Accident &amp; Incident Detail'!$C$2:$C$3433)*($A$38='Accident &amp; Incident Detail'!$I$2:$I$3433)*($A$51='Accident &amp; Incident Detail'!$E$2:$E$3433))</f>
        <v>0</v>
      </c>
      <c r="Y51" s="164">
        <f t="array" ref="Y51">SUM((Y38='Accident &amp; Incident Detail'!$C$2:$C$3433)*($A$38='Accident &amp; Incident Detail'!$I$2:$I$3433)*($A$51='Accident &amp; Incident Detail'!$E$2:$E$3433))</f>
        <v>0</v>
      </c>
      <c r="Z51" s="41">
        <f t="array" ref="Z51">SUM((Z38='Accident &amp; Incident Detail'!$C$2:$C$3433)*($A$38='Accident &amp; Incident Detail'!$I$2:$I$3433)*($A$51='Accident &amp; Incident Detail'!$E$2:$E$3433))</f>
        <v>0</v>
      </c>
      <c r="AA51" s="41">
        <f t="array" ref="AA51">SUM((AA38='Accident &amp; Incident Detail'!$C$2:$C$3433)*($A$38='Accident &amp; Incident Detail'!$I$2:$I$3433)*($A$51='Accident &amp; Incident Detail'!$E$2:$E$3433))</f>
        <v>0</v>
      </c>
      <c r="AB51" s="41">
        <f t="array" ref="AB51">SUM((AB38='Accident &amp; Incident Detail'!$C$2:$C$3433)*($A$38='Accident &amp; Incident Detail'!$I$2:$I$3433)*($A$51='Accident &amp; Incident Detail'!$E$2:$E$3433))</f>
        <v>0</v>
      </c>
      <c r="AC51" s="41">
        <f t="array" ref="AC51">SUM((AC38='Accident &amp; Incident Detail'!$C$2:$C$3433)*($A$38='Accident &amp; Incident Detail'!$I$2:$I$3433)*($A$51='Accident &amp; Incident Detail'!$E$2:$E$3433))</f>
        <v>0</v>
      </c>
      <c r="AD51" s="41">
        <f t="array" ref="AD51">SUM((AD38='Accident &amp; Incident Detail'!$C$2:$C$3433)*($A$38='Accident &amp; Incident Detail'!$I$2:$I$3433)*($A$51='Accident &amp; Incident Detail'!$E$2:$E$3433))</f>
        <v>0</v>
      </c>
      <c r="AE51" s="41">
        <f t="array" ref="AE51">SUM((AE38='Accident &amp; Incident Detail'!$C$2:$C$3433)*($A$38='Accident &amp; Incident Detail'!$I$2:$I$3433)*($A$51='Accident &amp; Incident Detail'!$E$2:$E$3433))</f>
        <v>0</v>
      </c>
      <c r="AF51" s="41">
        <f t="array" ref="AF51">SUM((AF38='Accident &amp; Incident Detail'!$C$2:$C$3433)*($A$38='Accident &amp; Incident Detail'!$I$2:$I$3433)*($A$51='Accident &amp; Incident Detail'!$E$2:$E$3433))</f>
        <v>0</v>
      </c>
      <c r="AG51" s="41">
        <f t="array" ref="AG51">SUM((AG38='Accident &amp; Incident Detail'!$C$2:$C$3433)*($A$38='Accident &amp; Incident Detail'!$I$2:$I$3433)*($A$51='Accident &amp; Incident Detail'!$E$2:$E$3433))</f>
        <v>0</v>
      </c>
      <c r="AH51" s="41">
        <f t="array" ref="AH51">SUM((AH38='Accident &amp; Incident Detail'!$C$2:$C$3433)*($A$38='Accident &amp; Incident Detail'!$I$2:$I$3433)*($A$51='Accident &amp; Incident Detail'!$E$2:$E$3433))</f>
        <v>0</v>
      </c>
      <c r="AI51" s="41">
        <f t="array" ref="AI51">SUM((AI38='Accident &amp; Incident Detail'!$C$2:$C$3433)*($A$38='Accident &amp; Incident Detail'!$I$2:$I$3433)*($A$51='Accident &amp; Incident Detail'!$E$2:$E$3433))</f>
        <v>0</v>
      </c>
      <c r="AJ51" s="41">
        <f t="array" ref="AJ51">SUM((AJ38='Accident &amp; Incident Detail'!$C$2:$C$3433)*($A$38='Accident &amp; Incident Detail'!$I$2:$I$3433)*($A$51='Accident &amp; Incident Detail'!$E$2:$E$3433))</f>
        <v>0</v>
      </c>
      <c r="AK51" s="41">
        <f t="array" ref="AK51">SUM((AK38='Accident &amp; Incident Detail'!$C$2:$C$3433)*($A$38='Accident &amp; Incident Detail'!$I$2:$I$3433)*($A$51='Accident &amp; Incident Detail'!$E$2:$E$3433))</f>
        <v>0</v>
      </c>
      <c r="AL51" s="41">
        <f t="array" ref="AL51">SUM((AL38='Accident &amp; Incident Detail'!$C$2:$C$3433)*($A$38='Accident &amp; Incident Detail'!$I$2:$I$3433)*($A$51='Accident &amp; Incident Detail'!$E$2:$E$3433))</f>
        <v>0</v>
      </c>
      <c r="AM51" s="41">
        <f t="array" ref="AM51">SUM((AM38='Accident &amp; Incident Detail'!$C$2:$C$3433)*($A$38='Accident &amp; Incident Detail'!$I$2:$I$3433)*($A$51='Accident &amp; Incident Detail'!$E$2:$E$3433))</f>
        <v>0</v>
      </c>
      <c r="AN51" s="41">
        <f t="array" ref="AN51">SUM((AN38='Accident &amp; Incident Detail'!$C$2:$C$3433)*($A$38='Accident &amp; Incident Detail'!$I$2:$I$3433)*($A$51='Accident &amp; Incident Detail'!$E$2:$E$3433))</f>
        <v>0</v>
      </c>
    </row>
    <row r="52" spans="1:40" ht="15" thickBot="1" x14ac:dyDescent="0.4">
      <c r="A52" s="189" t="s">
        <v>15</v>
      </c>
      <c r="B52" s="418">
        <f>IF(B$1=1,(SUM(B51:B51)/13),0)</f>
        <v>0</v>
      </c>
      <c r="C52" s="418">
        <f>IF(C$1=1,(SUM(B51:C51)/13),0)</f>
        <v>0</v>
      </c>
      <c r="D52" s="418">
        <f>IF(D$1=1,(SUM(B51:D51)/13),0)</f>
        <v>0</v>
      </c>
      <c r="E52" s="418">
        <f>IF(E$1=1,(SUM(B51:E51)/13),0)</f>
        <v>0</v>
      </c>
      <c r="F52" s="418">
        <f>IF(F$1=1,(SUM(B51:F51)/13),0)</f>
        <v>0</v>
      </c>
      <c r="G52" s="418">
        <f>IF(G$1=1,(SUM(B51:G51)/13),0)</f>
        <v>0</v>
      </c>
      <c r="H52" s="418">
        <f>IF(H$1=1,(SUM(B51:H51)/13),0)</f>
        <v>0</v>
      </c>
      <c r="I52" s="418">
        <f>IF(I$1=1,(SUM(B51:I51)/13),0)</f>
        <v>0</v>
      </c>
      <c r="J52" s="68">
        <f>IF(J$1=1,(SUM(B51:J51)/13),0)</f>
        <v>0</v>
      </c>
      <c r="K52" s="68">
        <f>IF(K$1=1,(SUM(B51:K51)/13),0)</f>
        <v>7.6923076923076927E-2</v>
      </c>
      <c r="L52" s="68">
        <f>IF(L$1=1,(SUM(B51:L51)/13),0)</f>
        <v>7.6923076923076927E-2</v>
      </c>
      <c r="M52" s="68">
        <f>IF(M$1=1,(SUM(B51:M51)/13),0)</f>
        <v>7.6923076923076927E-2</v>
      </c>
      <c r="N52" s="68">
        <f>IF(N$1=1,(SUM(B51:N51)/13),0)</f>
        <v>7.6923076923076927E-2</v>
      </c>
      <c r="O52" s="68">
        <f t="shared" ref="O52:Z52" si="45">IF(O$1=1,(SUM(C51:O51)/13),0)</f>
        <v>7.6923076923076927E-2</v>
      </c>
      <c r="P52" s="68">
        <f t="shared" si="45"/>
        <v>7.6923076923076927E-2</v>
      </c>
      <c r="Q52" s="68">
        <f t="shared" si="45"/>
        <v>7.6923076923076927E-2</v>
      </c>
      <c r="R52" s="68">
        <f t="shared" si="45"/>
        <v>0.15384615384615385</v>
      </c>
      <c r="S52" s="68">
        <f t="shared" si="45"/>
        <v>0.15384615384615385</v>
      </c>
      <c r="T52" s="68">
        <f t="shared" si="45"/>
        <v>0.23076923076923078</v>
      </c>
      <c r="U52" s="68">
        <f t="shared" si="45"/>
        <v>0.23076923076923078</v>
      </c>
      <c r="V52" s="68">
        <f t="shared" si="45"/>
        <v>0.23076923076923078</v>
      </c>
      <c r="W52" s="68">
        <f t="shared" si="45"/>
        <v>0.23076923076923078</v>
      </c>
      <c r="X52" s="68">
        <f t="shared" si="45"/>
        <v>0.15384615384615385</v>
      </c>
      <c r="Y52" s="68">
        <f t="shared" si="45"/>
        <v>0.15384615384615385</v>
      </c>
      <c r="Z52" s="48">
        <f t="shared" si="45"/>
        <v>0.15384615384615385</v>
      </c>
      <c r="AA52" s="48">
        <f t="shared" ref="AA52:AN52" si="46">IF(AA$1=1,(SUM(O51:AA51)/13),0)</f>
        <v>0.15384615384615385</v>
      </c>
      <c r="AB52" s="48">
        <f t="shared" si="46"/>
        <v>0.15384615384615385</v>
      </c>
      <c r="AC52" s="48">
        <f t="shared" si="46"/>
        <v>0.15384615384615385</v>
      </c>
      <c r="AD52" s="48">
        <f t="shared" si="46"/>
        <v>0.15384615384615385</v>
      </c>
      <c r="AE52" s="48">
        <f t="shared" si="46"/>
        <v>7.6923076923076927E-2</v>
      </c>
      <c r="AF52" s="48">
        <f t="shared" si="46"/>
        <v>7.6923076923076927E-2</v>
      </c>
      <c r="AG52" s="48">
        <f t="shared" si="46"/>
        <v>0</v>
      </c>
      <c r="AH52" s="48">
        <f t="shared" si="46"/>
        <v>0</v>
      </c>
      <c r="AI52" s="48">
        <f t="shared" si="46"/>
        <v>0</v>
      </c>
      <c r="AJ52" s="48">
        <f t="shared" si="46"/>
        <v>0</v>
      </c>
      <c r="AK52" s="48">
        <f t="shared" si="46"/>
        <v>0</v>
      </c>
      <c r="AL52" s="48">
        <f t="shared" si="46"/>
        <v>0</v>
      </c>
      <c r="AM52" s="48">
        <f t="shared" si="46"/>
        <v>0</v>
      </c>
      <c r="AN52" s="48">
        <f t="shared" si="46"/>
        <v>0</v>
      </c>
    </row>
    <row r="53" spans="1:40" x14ac:dyDescent="0.35">
      <c r="A53" s="186" t="s">
        <v>14</v>
      </c>
      <c r="B53" s="419">
        <f t="shared" ref="B53:N53" si="47">SUM(B39+B41+B43+B45+B47+B49+B51)</f>
        <v>0</v>
      </c>
      <c r="C53" s="419">
        <f t="shared" si="47"/>
        <v>0</v>
      </c>
      <c r="D53" s="419">
        <f t="shared" si="47"/>
        <v>0</v>
      </c>
      <c r="E53" s="419">
        <f t="shared" si="47"/>
        <v>0</v>
      </c>
      <c r="F53" s="419">
        <f t="shared" si="47"/>
        <v>0</v>
      </c>
      <c r="G53" s="419">
        <f t="shared" si="47"/>
        <v>0</v>
      </c>
      <c r="H53" s="419">
        <f t="shared" si="47"/>
        <v>0</v>
      </c>
      <c r="I53" s="419">
        <f t="shared" si="47"/>
        <v>0</v>
      </c>
      <c r="J53" s="42">
        <f t="shared" si="47"/>
        <v>1</v>
      </c>
      <c r="K53" s="42">
        <f t="shared" si="47"/>
        <v>3</v>
      </c>
      <c r="L53" s="42">
        <f t="shared" si="47"/>
        <v>3</v>
      </c>
      <c r="M53" s="42">
        <f t="shared" si="47"/>
        <v>1</v>
      </c>
      <c r="N53" s="42">
        <f t="shared" si="47"/>
        <v>0</v>
      </c>
      <c r="O53" s="42">
        <f t="shared" ref="O53:Z53" si="48">SUM(O39+O41+O43+O45+O47+O49+O51)</f>
        <v>1</v>
      </c>
      <c r="P53" s="42">
        <f t="shared" si="48"/>
        <v>4</v>
      </c>
      <c r="Q53" s="42">
        <f t="shared" si="48"/>
        <v>0</v>
      </c>
      <c r="R53" s="42">
        <f t="shared" si="48"/>
        <v>3</v>
      </c>
      <c r="S53" s="42">
        <f t="shared" si="48"/>
        <v>2</v>
      </c>
      <c r="T53" s="42">
        <f t="shared" si="48"/>
        <v>2</v>
      </c>
      <c r="U53" s="42">
        <f t="shared" si="48"/>
        <v>3</v>
      </c>
      <c r="V53" s="42">
        <f t="shared" si="48"/>
        <v>2</v>
      </c>
      <c r="W53" s="42">
        <f t="shared" si="48"/>
        <v>1</v>
      </c>
      <c r="X53" s="42">
        <f t="shared" si="48"/>
        <v>2</v>
      </c>
      <c r="Y53" s="42">
        <f t="shared" si="48"/>
        <v>5</v>
      </c>
      <c r="Z53" s="28">
        <f t="shared" si="48"/>
        <v>0</v>
      </c>
      <c r="AA53" s="28">
        <f t="shared" ref="AA53:AN53" si="49">SUM(AA39+AA41+AA43+AA45+AA47+AA49+AA51)</f>
        <v>3</v>
      </c>
      <c r="AB53" s="28">
        <f t="shared" si="49"/>
        <v>2</v>
      </c>
      <c r="AC53" s="28">
        <f t="shared" si="49"/>
        <v>1</v>
      </c>
      <c r="AD53" s="28">
        <f t="shared" si="49"/>
        <v>3</v>
      </c>
      <c r="AE53" s="28">
        <f t="shared" si="49"/>
        <v>2</v>
      </c>
      <c r="AF53" s="28">
        <f t="shared" si="49"/>
        <v>0</v>
      </c>
      <c r="AG53" s="28">
        <f t="shared" si="49"/>
        <v>1</v>
      </c>
      <c r="AH53" s="28">
        <f t="shared" si="49"/>
        <v>4</v>
      </c>
      <c r="AI53" s="28">
        <f t="shared" si="49"/>
        <v>0</v>
      </c>
      <c r="AJ53" s="28">
        <f t="shared" si="49"/>
        <v>4</v>
      </c>
      <c r="AK53" s="28">
        <f t="shared" si="49"/>
        <v>1</v>
      </c>
      <c r="AL53" s="28">
        <f t="shared" si="49"/>
        <v>4</v>
      </c>
      <c r="AM53" s="28">
        <f t="shared" si="49"/>
        <v>0</v>
      </c>
      <c r="AN53" s="28">
        <f t="shared" si="49"/>
        <v>0</v>
      </c>
    </row>
    <row r="54" spans="1:40" ht="15" thickBot="1" x14ac:dyDescent="0.4">
      <c r="A54" s="190" t="s">
        <v>15</v>
      </c>
      <c r="B54" s="420">
        <f>IF(B1,(SUM(B53:B53)/13),0)</f>
        <v>0</v>
      </c>
      <c r="C54" s="420">
        <f>IF(C1,(SUM(B53:C53)/13),0)</f>
        <v>0</v>
      </c>
      <c r="D54" s="420">
        <f>IF(D1,(SUM(B53:D53)/13),0)</f>
        <v>0</v>
      </c>
      <c r="E54" s="420">
        <f>IF(E1,(SUM(B53:E53)/13),0)</f>
        <v>0</v>
      </c>
      <c r="F54" s="420">
        <f>IF(F1,(SUM(B53:F53)/13),0)</f>
        <v>0</v>
      </c>
      <c r="G54" s="420">
        <f>IF(G1,(SUM(B53:G53)/13),0)</f>
        <v>0</v>
      </c>
      <c r="H54" s="420">
        <f>IF(H1,(SUM(B53:H53)/13),0)</f>
        <v>0</v>
      </c>
      <c r="I54" s="420">
        <f>IF(I1,(SUM(B53:I53)/13),0)</f>
        <v>0</v>
      </c>
      <c r="J54" s="43">
        <f>IF(J1,(SUM(B53:J53)/13),0)</f>
        <v>7.6923076923076927E-2</v>
      </c>
      <c r="K54" s="43">
        <f>IF(K1,(SUM(B53:K53)/13),0)</f>
        <v>0.30769230769230771</v>
      </c>
      <c r="L54" s="43">
        <f>IF(L1,(SUM(B53:L53)/13),0)</f>
        <v>0.53846153846153844</v>
      </c>
      <c r="M54" s="43">
        <f>IF(M1,(SUM(B53:M53)/13),0)</f>
        <v>0.61538461538461542</v>
      </c>
      <c r="N54" s="43">
        <f t="shared" ref="N54:AN54" si="50">IF(N1,(SUM(B53:N53)/13),0)</f>
        <v>0.61538461538461542</v>
      </c>
      <c r="O54" s="43">
        <f t="shared" si="50"/>
        <v>0.69230769230769229</v>
      </c>
      <c r="P54" s="43">
        <f t="shared" si="50"/>
        <v>1</v>
      </c>
      <c r="Q54" s="43">
        <f t="shared" si="50"/>
        <v>1</v>
      </c>
      <c r="R54" s="43">
        <f t="shared" si="50"/>
        <v>1.2307692307692308</v>
      </c>
      <c r="S54" s="43">
        <f t="shared" si="50"/>
        <v>1.3846153846153846</v>
      </c>
      <c r="T54" s="43">
        <f t="shared" si="50"/>
        <v>1.5384615384615385</v>
      </c>
      <c r="U54" s="43">
        <f t="shared" si="50"/>
        <v>1.7692307692307692</v>
      </c>
      <c r="V54" s="43">
        <f t="shared" si="50"/>
        <v>1.9230769230769231</v>
      </c>
      <c r="W54" s="43">
        <f t="shared" si="50"/>
        <v>1.9230769230769231</v>
      </c>
      <c r="X54" s="43">
        <f t="shared" si="50"/>
        <v>1.8461538461538463</v>
      </c>
      <c r="Y54" s="43">
        <f t="shared" si="50"/>
        <v>2</v>
      </c>
      <c r="Z54" s="36">
        <f t="shared" si="50"/>
        <v>1.9230769230769231</v>
      </c>
      <c r="AA54" s="36">
        <f t="shared" si="50"/>
        <v>2.1538461538461537</v>
      </c>
      <c r="AB54" s="36">
        <f t="shared" si="50"/>
        <v>2.2307692307692308</v>
      </c>
      <c r="AC54" s="36">
        <f t="shared" si="50"/>
        <v>2</v>
      </c>
      <c r="AD54" s="36">
        <f t="shared" si="50"/>
        <v>2.2307692307692308</v>
      </c>
      <c r="AE54" s="36">
        <f t="shared" si="50"/>
        <v>2.1538461538461537</v>
      </c>
      <c r="AF54" s="36">
        <f t="shared" si="50"/>
        <v>2</v>
      </c>
      <c r="AG54" s="36">
        <f t="shared" si="50"/>
        <v>1.9230769230769231</v>
      </c>
      <c r="AH54" s="36">
        <f t="shared" si="50"/>
        <v>2</v>
      </c>
      <c r="AI54" s="36">
        <f t="shared" si="50"/>
        <v>1.8461538461538463</v>
      </c>
      <c r="AJ54" s="36">
        <f t="shared" si="50"/>
        <v>2.0769230769230771</v>
      </c>
      <c r="AK54" s="36">
        <f t="shared" si="50"/>
        <v>2</v>
      </c>
      <c r="AL54" s="36">
        <f t="shared" si="50"/>
        <v>0</v>
      </c>
      <c r="AM54" s="36">
        <f t="shared" si="50"/>
        <v>0</v>
      </c>
      <c r="AN54" s="36">
        <f t="shared" si="50"/>
        <v>0</v>
      </c>
    </row>
    <row r="55" spans="1:40" ht="15" thickBot="1" x14ac:dyDescent="0.4"/>
    <row r="56" spans="1:40" ht="57.5" thickBot="1" x14ac:dyDescent="0.7">
      <c r="A56" s="385" t="s">
        <v>29</v>
      </c>
    </row>
    <row r="57" spans="1:40" ht="15" thickBot="1" x14ac:dyDescent="0.4">
      <c r="A57" s="22"/>
      <c r="B57" s="396">
        <v>2301</v>
      </c>
      <c r="C57" s="396">
        <v>2302</v>
      </c>
      <c r="D57" s="396">
        <v>2303</v>
      </c>
      <c r="E57" s="396">
        <v>2304</v>
      </c>
      <c r="F57" s="396">
        <v>2305</v>
      </c>
      <c r="G57" s="396">
        <v>2306</v>
      </c>
      <c r="H57" s="396">
        <v>2307</v>
      </c>
      <c r="I57" s="396">
        <v>2308</v>
      </c>
      <c r="J57" s="206">
        <v>2309</v>
      </c>
      <c r="K57" s="206">
        <v>2310</v>
      </c>
      <c r="L57" s="206">
        <v>2311</v>
      </c>
      <c r="M57" s="206">
        <v>2312</v>
      </c>
      <c r="N57" s="210">
        <v>2313</v>
      </c>
      <c r="O57" s="211">
        <v>2401</v>
      </c>
      <c r="P57" s="206">
        <v>2402</v>
      </c>
      <c r="Q57" s="206">
        <v>2403</v>
      </c>
      <c r="R57" s="206">
        <v>2404</v>
      </c>
      <c r="S57" s="206">
        <v>2405</v>
      </c>
      <c r="T57" s="206">
        <v>2406</v>
      </c>
      <c r="U57" s="206">
        <v>2407</v>
      </c>
      <c r="V57" s="206">
        <v>2408</v>
      </c>
      <c r="W57" s="206">
        <v>2409</v>
      </c>
      <c r="X57" s="206">
        <v>2410</v>
      </c>
      <c r="Y57" s="206">
        <v>2411</v>
      </c>
      <c r="Z57" s="206">
        <v>2412</v>
      </c>
      <c r="AA57" s="206">
        <v>2413</v>
      </c>
      <c r="AB57" s="284">
        <v>2501</v>
      </c>
      <c r="AC57" s="284">
        <v>2502</v>
      </c>
      <c r="AD57" s="284">
        <v>2503</v>
      </c>
      <c r="AE57" s="284">
        <v>2504</v>
      </c>
      <c r="AF57" s="284">
        <v>2505</v>
      </c>
      <c r="AG57" s="284">
        <v>2506</v>
      </c>
      <c r="AH57" s="284">
        <v>2507</v>
      </c>
      <c r="AI57" s="284">
        <v>2508</v>
      </c>
      <c r="AJ57" s="284">
        <v>2509</v>
      </c>
      <c r="AK57" s="284">
        <v>2510</v>
      </c>
      <c r="AL57" s="284">
        <v>2511</v>
      </c>
      <c r="AM57" s="284">
        <v>2512</v>
      </c>
      <c r="AN57" s="284">
        <v>2513</v>
      </c>
    </row>
    <row r="58" spans="1:40" x14ac:dyDescent="0.35">
      <c r="A58" s="117" t="s">
        <v>23</v>
      </c>
      <c r="B58" s="421">
        <f t="array" ref="B58">SUM((B$38='Accident &amp; Incident Detail'!$C$2:$C$3433)*("Staff"='Accident &amp; Incident Detail'!$K$2:$K$3433)*($A$58='Accident &amp; Incident Detail'!$E$2:$E$3433)*("CS"='Accident &amp; Incident Detail'!$R$2:$R$3433))</f>
        <v>0</v>
      </c>
      <c r="C58" s="421">
        <f t="array" ref="C58">SUM((C$38='Accident &amp; Incident Detail'!$C$2:$C$3433)*("Staff"='Accident &amp; Incident Detail'!$K$2:$K$3433)*($A$58='Accident &amp; Incident Detail'!$E$2:$E$3433)*("CS"='Accident &amp; Incident Detail'!$R$2:$R$3433))</f>
        <v>0</v>
      </c>
      <c r="D58" s="421">
        <f t="array" ref="D58">SUM((D$38='Accident &amp; Incident Detail'!$C$2:$C$3433)*("Staff"='Accident &amp; Incident Detail'!$K$2:$K$3433)*($A$58='Accident &amp; Incident Detail'!$E$2:$E$3433)*("CS"='Accident &amp; Incident Detail'!$R$2:$R$3433))</f>
        <v>0</v>
      </c>
      <c r="E58" s="421">
        <f t="array" ref="E58">SUM((E$38='Accident &amp; Incident Detail'!$C$2:$C$3433)*("Staff"='Accident &amp; Incident Detail'!$K$2:$K$3433)*($A$58='Accident &amp; Incident Detail'!$E$2:$E$3433)*("CS"='Accident &amp; Incident Detail'!$R$2:$R$3433))</f>
        <v>0</v>
      </c>
      <c r="F58" s="421">
        <f t="array" ref="F58">SUM((F$38='Accident &amp; Incident Detail'!$C$2:$C$3433)*("Staff"='Accident &amp; Incident Detail'!$K$2:$K$3433)*($A$58='Accident &amp; Incident Detail'!$E$2:$E$3433)*("CS"='Accident &amp; Incident Detail'!$R$2:$R$3433))</f>
        <v>0</v>
      </c>
      <c r="G58" s="421">
        <f t="array" ref="G58">SUM((G$38='Accident &amp; Incident Detail'!$C$2:$C$3433)*("Staff"='Accident &amp; Incident Detail'!$K$2:$K$3433)*($A$58='Accident &amp; Incident Detail'!$E$2:$E$3433)*("CS"='Accident &amp; Incident Detail'!$R$2:$R$3433))</f>
        <v>0</v>
      </c>
      <c r="H58" s="421">
        <f t="array" ref="H58">SUM((H$38='Accident &amp; Incident Detail'!$C$2:$C$3433)*("Staff"='Accident &amp; Incident Detail'!$K$2:$K$3433)*($A$58='Accident &amp; Incident Detail'!$E$2:$E$3433)*("CS"='Accident &amp; Incident Detail'!$R$2:$R$3433))</f>
        <v>0</v>
      </c>
      <c r="I58" s="421">
        <f t="array" ref="I58">SUM((I$38='Accident &amp; Incident Detail'!$C$2:$C$3433)*("Staff"='Accident &amp; Incident Detail'!$K$2:$K$3433)*($A$58='Accident &amp; Incident Detail'!$E$2:$E$3433)*("CS"='Accident &amp; Incident Detail'!$R$2:$R$3433))</f>
        <v>0</v>
      </c>
      <c r="J58" s="34">
        <f t="array" ref="J58">SUM((J$38='Accident &amp; Incident Detail'!$C$2:$C$3433)*("Staff"='Accident &amp; Incident Detail'!$K$2:$K$3433)*($A$58='Accident &amp; Incident Detail'!$E$2:$E$3433)*("CS"='Accident &amp; Incident Detail'!$R$2:$R$3433))</f>
        <v>0</v>
      </c>
      <c r="K58" s="34">
        <f t="array" ref="K58">SUM((K$38='Accident &amp; Incident Detail'!$C$2:$C$3433)*("Staff"='Accident &amp; Incident Detail'!$K$2:$K$3433)*($A$58='Accident &amp; Incident Detail'!$E$2:$E$3433)*("CS"='Accident &amp; Incident Detail'!$R$2:$R$3433))</f>
        <v>0</v>
      </c>
      <c r="L58" s="34">
        <f t="array" ref="L58">SUM((L$38='Accident &amp; Incident Detail'!$C$2:$C$3433)*("Staff"='Accident &amp; Incident Detail'!$K$2:$K$3433)*($A$58='Accident &amp; Incident Detail'!$E$2:$E$3433)*("CS"='Accident &amp; Incident Detail'!$R$2:$R$3433))</f>
        <v>0</v>
      </c>
      <c r="M58" s="34">
        <f t="array" ref="M58">SUM((M$38='Accident &amp; Incident Detail'!$C$2:$C$3433)*("Staff"='Accident &amp; Incident Detail'!$K$2:$K$3433)*($A$58='Accident &amp; Incident Detail'!$E$2:$E$3433)*("CS"='Accident &amp; Incident Detail'!$R$2:$R$3433))</f>
        <v>0</v>
      </c>
      <c r="N58" s="34">
        <f t="array" ref="N58">SUM((N$38='Accident &amp; Incident Detail'!$C$2:$C$3433)*("Staff"='Accident &amp; Incident Detail'!$K$2:$K$3433)*($A$58='Accident &amp; Incident Detail'!$E$2:$E$3433)*("CS"='Accident &amp; Incident Detail'!$R$2:$R$3433))</f>
        <v>0</v>
      </c>
      <c r="O58" s="34">
        <f t="array" ref="O58">SUM((O$38='Accident &amp; Incident Detail'!$C$2:$C$3433)*("Staff"='Accident &amp; Incident Detail'!$K$2:$K$3433)*($A$58='Accident &amp; Incident Detail'!$E$2:$E$3433)*("CS"='Accident &amp; Incident Detail'!$R$2:$R$3433))</f>
        <v>0</v>
      </c>
      <c r="P58" s="34">
        <f t="array" ref="P58">SUM((P$38='Accident &amp; Incident Detail'!$C$2:$C$3433)*("Staff"='Accident &amp; Incident Detail'!$K$2:$K$3433)*($A$58='Accident &amp; Incident Detail'!$E$2:$E$3433)*("CS"='Accident &amp; Incident Detail'!$R$2:$R$3433))</f>
        <v>0</v>
      </c>
      <c r="Q58" s="34">
        <f t="array" ref="Q58">SUM((Q$38='Accident &amp; Incident Detail'!$C$2:$C$3433)*("Staff"='Accident &amp; Incident Detail'!$K$2:$K$3433)*($A$58='Accident &amp; Incident Detail'!$E$2:$E$3433)*("CS"='Accident &amp; Incident Detail'!$R$2:$R$3433))</f>
        <v>0</v>
      </c>
      <c r="R58" s="34">
        <f t="array" ref="R58">SUM((R$38='Accident &amp; Incident Detail'!$C$2:$C$3433)*("Staff"='Accident &amp; Incident Detail'!$K$2:$K$3433)*($A$58='Accident &amp; Incident Detail'!$E$2:$E$3433)*("CS"='Accident &amp; Incident Detail'!$R$2:$R$3433))</f>
        <v>0</v>
      </c>
      <c r="S58" s="34">
        <f t="array" ref="S58">SUM((S$38='Accident &amp; Incident Detail'!$C$2:$C$3433)*("Staff"='Accident &amp; Incident Detail'!$K$2:$K$3433)*($A$58='Accident &amp; Incident Detail'!$E$2:$E$3433)*("CS"='Accident &amp; Incident Detail'!$R$2:$R$3433))</f>
        <v>0</v>
      </c>
      <c r="T58" s="34">
        <f t="array" ref="T58">SUM((T$38='Accident &amp; Incident Detail'!$C$2:$C$3433)*("Staff"='Accident &amp; Incident Detail'!$K$2:$K$3433)*($A$58='Accident &amp; Incident Detail'!$E$2:$E$3433)*("CS"='Accident &amp; Incident Detail'!$R$2:$R$3433))</f>
        <v>0</v>
      </c>
      <c r="U58" s="34">
        <f t="array" ref="U58">SUM((U$38='Accident &amp; Incident Detail'!$C$2:$C$3433)*("Staff"='Accident &amp; Incident Detail'!$K$2:$K$3433)*($A$58='Accident &amp; Incident Detail'!$E$2:$E$3433)*("CS"='Accident &amp; Incident Detail'!$R$2:$R$3433))</f>
        <v>0</v>
      </c>
      <c r="V58" s="34">
        <f t="array" ref="V58">SUM((V$38='Accident &amp; Incident Detail'!$C$2:$C$3433)*("Staff"='Accident &amp; Incident Detail'!$K$2:$K$3433)*($A$58='Accident &amp; Incident Detail'!$E$2:$E$3433)*("CS"='Accident &amp; Incident Detail'!$R$2:$R$3433))</f>
        <v>0</v>
      </c>
      <c r="W58" s="34">
        <f t="array" ref="W58">SUM((W$38='Accident &amp; Incident Detail'!$C$2:$C$3433)*("Staff"='Accident &amp; Incident Detail'!$K$2:$K$3433)*($A$58='Accident &amp; Incident Detail'!$E$2:$E$3433)*("CS"='Accident &amp; Incident Detail'!$R$2:$R$3433))</f>
        <v>0</v>
      </c>
      <c r="X58" s="34">
        <f t="array" ref="X58">SUM((X$38='Accident &amp; Incident Detail'!$C$2:$C$3433)*("Staff"='Accident &amp; Incident Detail'!$K$2:$K$3433)*($A$58='Accident &amp; Incident Detail'!$E$2:$E$3433)*("CS"='Accident &amp; Incident Detail'!$R$2:$R$3433))</f>
        <v>0</v>
      </c>
      <c r="Y58" s="34">
        <f t="array" ref="Y58">SUM((Y$38='Accident &amp; Incident Detail'!$C$2:$C$3433)*("Staff"='Accident &amp; Incident Detail'!$K$2:$K$3433)*($A$58='Accident &amp; Incident Detail'!$E$2:$E$3433)*("CS"='Accident &amp; Incident Detail'!$R$2:$R$3433))</f>
        <v>0</v>
      </c>
      <c r="Z58" s="33">
        <f t="array" ref="Z58">SUM((Z$38='Accident &amp; Incident Detail'!$C$2:$C$3433)*("Staff"='Accident &amp; Incident Detail'!$K$2:$K$3433)*($A$58='Accident &amp; Incident Detail'!$E$2:$E$3433)*("CS"='Accident &amp; Incident Detail'!$R$2:$R$3433))</f>
        <v>0</v>
      </c>
      <c r="AA58" s="33">
        <f t="array" ref="AA58">SUM((AA$38='Accident &amp; Incident Detail'!$C$2:$C$3433)*("Staff"='Accident &amp; Incident Detail'!$K$2:$K$3433)*($A$58='Accident &amp; Incident Detail'!$E$2:$E$3433)*("CS"='Accident &amp; Incident Detail'!$R$2:$R$3433))</f>
        <v>0</v>
      </c>
      <c r="AB58" s="33">
        <f t="array" ref="AB58">SUM((AB$38='Accident &amp; Incident Detail'!$C$2:$C$3433)*("Staff"='Accident &amp; Incident Detail'!$K$2:$K$3433)*($A$58='Accident &amp; Incident Detail'!$E$2:$E$3433)*("CS"='Accident &amp; Incident Detail'!$R$2:$R$3433))</f>
        <v>0</v>
      </c>
      <c r="AC58" s="33">
        <f t="array" ref="AC58">SUM((AC$38='Accident &amp; Incident Detail'!$C$2:$C$3433)*("Staff"='Accident &amp; Incident Detail'!$K$2:$K$3433)*($A$58='Accident &amp; Incident Detail'!$E$2:$E$3433)*("CS"='Accident &amp; Incident Detail'!$R$2:$R$3433))</f>
        <v>0</v>
      </c>
      <c r="AD58" s="33">
        <f t="array" ref="AD58">SUM((AD$38='Accident &amp; Incident Detail'!$C$2:$C$3433)*("Staff"='Accident &amp; Incident Detail'!$K$2:$K$3433)*($A$58='Accident &amp; Incident Detail'!$E$2:$E$3433)*("CS"='Accident &amp; Incident Detail'!$R$2:$R$3433))</f>
        <v>0</v>
      </c>
      <c r="AE58" s="33">
        <f t="array" ref="AE58">SUM((AE$38='Accident &amp; Incident Detail'!$C$2:$C$3433)*("Staff"='Accident &amp; Incident Detail'!$K$2:$K$3433)*($A$58='Accident &amp; Incident Detail'!$E$2:$E$3433)*("CS"='Accident &amp; Incident Detail'!$R$2:$R$3433))</f>
        <v>0</v>
      </c>
      <c r="AF58" s="33">
        <f t="array" ref="AF58">SUM((AF$38='Accident &amp; Incident Detail'!$C$2:$C$3433)*("Staff"='Accident &amp; Incident Detail'!$K$2:$K$3433)*($A$58='Accident &amp; Incident Detail'!$E$2:$E$3433)*("CS"='Accident &amp; Incident Detail'!$R$2:$R$3433))</f>
        <v>0</v>
      </c>
      <c r="AG58" s="33">
        <f t="array" ref="AG58">SUM((AG$38='Accident &amp; Incident Detail'!$C$2:$C$3433)*("Staff"='Accident &amp; Incident Detail'!$K$2:$K$3433)*($A$58='Accident &amp; Incident Detail'!$E$2:$E$3433)*("CS"='Accident &amp; Incident Detail'!$R$2:$R$3433))</f>
        <v>0</v>
      </c>
      <c r="AH58" s="33">
        <f t="array" ref="AH58">SUM((AH$38='Accident &amp; Incident Detail'!$C$2:$C$3433)*("Staff"='Accident &amp; Incident Detail'!$K$2:$K$3433)*($A$58='Accident &amp; Incident Detail'!$E$2:$E$3433)*("CS"='Accident &amp; Incident Detail'!$R$2:$R$3433))</f>
        <v>0</v>
      </c>
      <c r="AI58" s="33">
        <f t="array" ref="AI58">SUM((AI$38='Accident &amp; Incident Detail'!$C$2:$C$3433)*("Staff"='Accident &amp; Incident Detail'!$K$2:$K$3433)*($A$58='Accident &amp; Incident Detail'!$E$2:$E$3433)*("CS"='Accident &amp; Incident Detail'!$R$2:$R$3433))</f>
        <v>0</v>
      </c>
      <c r="AJ58" s="33">
        <f t="array" ref="AJ58">SUM((AJ$38='Accident &amp; Incident Detail'!$C$2:$C$3433)*("Staff"='Accident &amp; Incident Detail'!$K$2:$K$3433)*($A$58='Accident &amp; Incident Detail'!$E$2:$E$3433)*("CS"='Accident &amp; Incident Detail'!$R$2:$R$3433))</f>
        <v>0</v>
      </c>
      <c r="AK58" s="33">
        <f t="array" ref="AK58">SUM((AK$38='Accident &amp; Incident Detail'!$C$2:$C$3433)*("Staff"='Accident &amp; Incident Detail'!$K$2:$K$3433)*($A$58='Accident &amp; Incident Detail'!$E$2:$E$3433)*("CS"='Accident &amp; Incident Detail'!$R$2:$R$3433))</f>
        <v>0</v>
      </c>
      <c r="AL58" s="33">
        <f t="array" ref="AL58">SUM((AL$38='Accident &amp; Incident Detail'!$C$2:$C$3433)*("Staff"='Accident &amp; Incident Detail'!$K$2:$K$3433)*($A$58='Accident &amp; Incident Detail'!$E$2:$E$3433)*("CS"='Accident &amp; Incident Detail'!$R$2:$R$3433))</f>
        <v>0</v>
      </c>
      <c r="AM58" s="33">
        <f t="array" ref="AM58">SUM((AM$38='Accident &amp; Incident Detail'!$C$2:$C$3433)*("Staff"='Accident &amp; Incident Detail'!$K$2:$K$3433)*($A$58='Accident &amp; Incident Detail'!$E$2:$E$3433)*("CS"='Accident &amp; Incident Detail'!$R$2:$R$3433))</f>
        <v>0</v>
      </c>
      <c r="AN58" s="33">
        <f t="array" ref="AN58">SUM((AN$38='Accident &amp; Incident Detail'!$C$2:$C$3433)*("Staff"='Accident &amp; Incident Detail'!$K$2:$K$3433)*($A$58='Accident &amp; Incident Detail'!$E$2:$E$3433)*("CS"='Accident &amp; Incident Detail'!$R$2:$R$3433))</f>
        <v>0</v>
      </c>
    </row>
    <row r="59" spans="1:40" x14ac:dyDescent="0.35">
      <c r="A59" s="187" t="s">
        <v>15</v>
      </c>
      <c r="B59" s="422">
        <f>IF(B$1=1,(SUM(B58:B58)/13),0)</f>
        <v>0</v>
      </c>
      <c r="C59" s="422">
        <f>IF(C$1=1,(SUM(B58:C58)/13),0)</f>
        <v>0</v>
      </c>
      <c r="D59" s="422">
        <f>IF(D$1=1,(SUM(B58:D58)/13),0)</f>
        <v>0</v>
      </c>
      <c r="E59" s="422">
        <f>IF(E$1=1,(SUM(B58:E58)/13),0)</f>
        <v>0</v>
      </c>
      <c r="F59" s="422">
        <f>IF(F$1=1,(SUM(B58:F58)/13),0)</f>
        <v>0</v>
      </c>
      <c r="G59" s="422">
        <f>IF(G$1=1,(SUM(B58:G58)/13),0)</f>
        <v>0</v>
      </c>
      <c r="H59" s="422">
        <f>IF(H$1=1,(SUM(B58:H58)/13),0)</f>
        <v>0</v>
      </c>
      <c r="I59" s="422">
        <f>IF(I$1=1,(SUM(B58:I58)/13),0)</f>
        <v>0</v>
      </c>
      <c r="J59" s="46">
        <f>IF(J$1=1,(SUM(B58:J58)/13),0)</f>
        <v>0</v>
      </c>
      <c r="K59" s="46">
        <f>IF(K$1=1,(SUM(B58:K58)/13),0)</f>
        <v>0</v>
      </c>
      <c r="L59" s="46">
        <f>IF(L$1=1,(SUM(B58:L58)/13),0)</f>
        <v>0</v>
      </c>
      <c r="M59" s="46">
        <f>IF(M$1=1,(SUM(B58:M58)/13),0)</f>
        <v>0</v>
      </c>
      <c r="N59" s="46">
        <f>IF(N$1=1,(SUM(B58:N58)/13),0)</f>
        <v>0</v>
      </c>
      <c r="O59" s="46">
        <f t="shared" ref="O59:Z59" si="51">IF(O$1=1,(SUM(C58:O58)/13),0)</f>
        <v>0</v>
      </c>
      <c r="P59" s="46">
        <f t="shared" si="51"/>
        <v>0</v>
      </c>
      <c r="Q59" s="46">
        <f t="shared" si="51"/>
        <v>0</v>
      </c>
      <c r="R59" s="46">
        <f t="shared" si="51"/>
        <v>0</v>
      </c>
      <c r="S59" s="46">
        <f t="shared" si="51"/>
        <v>0</v>
      </c>
      <c r="T59" s="46">
        <f t="shared" si="51"/>
        <v>0</v>
      </c>
      <c r="U59" s="46">
        <f t="shared" si="51"/>
        <v>0</v>
      </c>
      <c r="V59" s="46">
        <f t="shared" si="51"/>
        <v>0</v>
      </c>
      <c r="W59" s="46">
        <f t="shared" si="51"/>
        <v>0</v>
      </c>
      <c r="X59" s="46">
        <f t="shared" si="51"/>
        <v>0</v>
      </c>
      <c r="Y59" s="46">
        <f t="shared" si="51"/>
        <v>0</v>
      </c>
      <c r="Z59" s="45">
        <f t="shared" si="51"/>
        <v>0</v>
      </c>
      <c r="AA59" s="45">
        <f t="shared" ref="AA59:AN59" si="52">IF(AA$1=1,(SUM(O58:AA58)/13),0)</f>
        <v>0</v>
      </c>
      <c r="AB59" s="45">
        <f t="shared" si="52"/>
        <v>0</v>
      </c>
      <c r="AC59" s="45">
        <f t="shared" si="52"/>
        <v>0</v>
      </c>
      <c r="AD59" s="45">
        <f t="shared" si="52"/>
        <v>0</v>
      </c>
      <c r="AE59" s="45">
        <f t="shared" si="52"/>
        <v>0</v>
      </c>
      <c r="AF59" s="45">
        <f t="shared" si="52"/>
        <v>0</v>
      </c>
      <c r="AG59" s="45">
        <f t="shared" si="52"/>
        <v>0</v>
      </c>
      <c r="AH59" s="45">
        <f t="shared" si="52"/>
        <v>0</v>
      </c>
      <c r="AI59" s="45">
        <f t="shared" si="52"/>
        <v>0</v>
      </c>
      <c r="AJ59" s="45">
        <f t="shared" si="52"/>
        <v>0</v>
      </c>
      <c r="AK59" s="45">
        <f t="shared" si="52"/>
        <v>0</v>
      </c>
      <c r="AL59" s="45">
        <f t="shared" si="52"/>
        <v>0</v>
      </c>
      <c r="AM59" s="45">
        <f t="shared" si="52"/>
        <v>0</v>
      </c>
      <c r="AN59" s="45">
        <f t="shared" si="52"/>
        <v>0</v>
      </c>
    </row>
    <row r="60" spans="1:40" x14ac:dyDescent="0.35">
      <c r="A60" s="118" t="s">
        <v>24</v>
      </c>
      <c r="B60" s="423">
        <f t="array" ref="B60">SUM((B$38='Accident &amp; Incident Detail'!$C$2:$C$3433)*("Staff"='Accident &amp; Incident Detail'!$K$2:$K$3433)*($A$60='Accident &amp; Incident Detail'!$E$2:$E$3433)*("CS"='Accident &amp; Incident Detail'!$R$2:$R$3433))</f>
        <v>0</v>
      </c>
      <c r="C60" s="423">
        <f t="array" ref="C60">SUM((C$38='Accident &amp; Incident Detail'!$C$2:$C$3433)*("Staff"='Accident &amp; Incident Detail'!$K$2:$K$3433)*($A$60='Accident &amp; Incident Detail'!$E$2:$E$3433)*("CS"='Accident &amp; Incident Detail'!$R$2:$R$3433))</f>
        <v>0</v>
      </c>
      <c r="D60" s="423">
        <f t="array" ref="D60">SUM((D$38='Accident &amp; Incident Detail'!$C$2:$C$3433)*("Staff"='Accident &amp; Incident Detail'!$K$2:$K$3433)*($A$60='Accident &amp; Incident Detail'!$E$2:$E$3433)*("CS"='Accident &amp; Incident Detail'!$R$2:$R$3433))</f>
        <v>0</v>
      </c>
      <c r="E60" s="423">
        <f t="array" ref="E60">SUM((E$38='Accident &amp; Incident Detail'!$C$2:$C$3433)*("Staff"='Accident &amp; Incident Detail'!$K$2:$K$3433)*($A$60='Accident &amp; Incident Detail'!$E$2:$E$3433)*("CS"='Accident &amp; Incident Detail'!$R$2:$R$3433))</f>
        <v>0</v>
      </c>
      <c r="F60" s="423">
        <f t="array" ref="F60">SUM((F$38='Accident &amp; Incident Detail'!$C$2:$C$3433)*("Staff"='Accident &amp; Incident Detail'!$K$2:$K$3433)*($A$60='Accident &amp; Incident Detail'!$E$2:$E$3433)*("CS"='Accident &amp; Incident Detail'!$R$2:$R$3433))</f>
        <v>0</v>
      </c>
      <c r="G60" s="423">
        <f t="array" ref="G60">SUM((G$38='Accident &amp; Incident Detail'!$C$2:$C$3433)*("Staff"='Accident &amp; Incident Detail'!$K$2:$K$3433)*($A$60='Accident &amp; Incident Detail'!$E$2:$E$3433)*("CS"='Accident &amp; Incident Detail'!$R$2:$R$3433))</f>
        <v>0</v>
      </c>
      <c r="H60" s="423">
        <f t="array" ref="H60">SUM((H$38='Accident &amp; Incident Detail'!$C$2:$C$3433)*("Staff"='Accident &amp; Incident Detail'!$K$2:$K$3433)*($A$60='Accident &amp; Incident Detail'!$E$2:$E$3433)*("CS"='Accident &amp; Incident Detail'!$R$2:$R$3433))</f>
        <v>0</v>
      </c>
      <c r="I60" s="423">
        <f t="array" ref="I60">SUM((I$38='Accident &amp; Incident Detail'!$C$2:$C$3433)*("Staff"='Accident &amp; Incident Detail'!$K$2:$K$3433)*($A$60='Accident &amp; Incident Detail'!$E$2:$E$3433)*("CS"='Accident &amp; Incident Detail'!$R$2:$R$3433))</f>
        <v>0</v>
      </c>
      <c r="J60" s="35">
        <f t="array" ref="J60">SUM((J$38='Accident &amp; Incident Detail'!$C$2:$C$3433)*("Staff"='Accident &amp; Incident Detail'!$K$2:$K$3433)*($A$60='Accident &amp; Incident Detail'!$E$2:$E$3433)*("CS"='Accident &amp; Incident Detail'!$R$2:$R$3433))</f>
        <v>0</v>
      </c>
      <c r="K60" s="35">
        <f t="array" ref="K60">SUM((K$38='Accident &amp; Incident Detail'!$C$2:$C$3433)*("Staff"='Accident &amp; Incident Detail'!$K$2:$K$3433)*($A$60='Accident &amp; Incident Detail'!$E$2:$E$3433)*("CS"='Accident &amp; Incident Detail'!$R$2:$R$3433))</f>
        <v>0</v>
      </c>
      <c r="L60" s="35">
        <f t="array" ref="L60">SUM((L$38='Accident &amp; Incident Detail'!$C$2:$C$3433)*("Staff"='Accident &amp; Incident Detail'!$K$2:$K$3433)*($A$60='Accident &amp; Incident Detail'!$E$2:$E$3433)*("CS"='Accident &amp; Incident Detail'!$R$2:$R$3433))</f>
        <v>0</v>
      </c>
      <c r="M60" s="35">
        <f t="array" ref="M60">SUM((M$38='Accident &amp; Incident Detail'!$C$2:$C$3433)*("Staff"='Accident &amp; Incident Detail'!$K$2:$K$3433)*($A$60='Accident &amp; Incident Detail'!$E$2:$E$3433)*("CS"='Accident &amp; Incident Detail'!$R$2:$R$3433))</f>
        <v>0</v>
      </c>
      <c r="N60" s="35">
        <f t="array" ref="N60">SUM((N$38='Accident &amp; Incident Detail'!$C$2:$C$3433)*("Staff"='Accident &amp; Incident Detail'!$K$2:$K$3433)*($A$60='Accident &amp; Incident Detail'!$E$2:$E$3433)*("CS"='Accident &amp; Incident Detail'!$R$2:$R$3433))</f>
        <v>0</v>
      </c>
      <c r="O60" s="35">
        <f t="array" ref="O60">SUM((O$38='Accident &amp; Incident Detail'!$C$2:$C$3433)*("Staff"='Accident &amp; Incident Detail'!$K$2:$K$3433)*($A$60='Accident &amp; Incident Detail'!$E$2:$E$3433)*("CS"='Accident &amp; Incident Detail'!$R$2:$R$3433))</f>
        <v>0</v>
      </c>
      <c r="P60" s="35">
        <f t="array" ref="P60">SUM((P$38='Accident &amp; Incident Detail'!$C$2:$C$3433)*("Staff"='Accident &amp; Incident Detail'!$K$2:$K$3433)*($A$60='Accident &amp; Incident Detail'!$E$2:$E$3433)*("CS"='Accident &amp; Incident Detail'!$R$2:$R$3433))</f>
        <v>0</v>
      </c>
      <c r="Q60" s="35">
        <f t="array" ref="Q60">SUM((Q$38='Accident &amp; Incident Detail'!$C$2:$C$3433)*("Staff"='Accident &amp; Incident Detail'!$K$2:$K$3433)*($A$60='Accident &amp; Incident Detail'!$E$2:$E$3433)*("CS"='Accident &amp; Incident Detail'!$R$2:$R$3433))</f>
        <v>0</v>
      </c>
      <c r="R60" s="35">
        <f t="array" ref="R60">SUM((R$38='Accident &amp; Incident Detail'!$C$2:$C$3433)*("Staff"='Accident &amp; Incident Detail'!$K$2:$K$3433)*($A$60='Accident &amp; Incident Detail'!$E$2:$E$3433)*("CS"='Accident &amp; Incident Detail'!$R$2:$R$3433))</f>
        <v>0</v>
      </c>
      <c r="S60" s="35">
        <f t="array" ref="S60">SUM((S$38='Accident &amp; Incident Detail'!$C$2:$C$3433)*("Staff"='Accident &amp; Incident Detail'!$K$2:$K$3433)*($A$60='Accident &amp; Incident Detail'!$E$2:$E$3433)*("CS"='Accident &amp; Incident Detail'!$R$2:$R$3433))</f>
        <v>0</v>
      </c>
      <c r="T60" s="35">
        <f t="array" ref="T60">SUM((T$38='Accident &amp; Incident Detail'!$C$2:$C$3433)*("Staff"='Accident &amp; Incident Detail'!$K$2:$K$3433)*($A$60='Accident &amp; Incident Detail'!$E$2:$E$3433)*("CS"='Accident &amp; Incident Detail'!$R$2:$R$3433))</f>
        <v>0</v>
      </c>
      <c r="U60" s="35">
        <f t="array" ref="U60">SUM((U$38='Accident &amp; Incident Detail'!$C$2:$C$3433)*("Staff"='Accident &amp; Incident Detail'!$K$2:$K$3433)*($A$60='Accident &amp; Incident Detail'!$E$2:$E$3433)*("CS"='Accident &amp; Incident Detail'!$R$2:$R$3433))</f>
        <v>0</v>
      </c>
      <c r="V60" s="35">
        <f t="array" ref="V60">SUM((V$38='Accident &amp; Incident Detail'!$C$2:$C$3433)*("Staff"='Accident &amp; Incident Detail'!$K$2:$K$3433)*($A$60='Accident &amp; Incident Detail'!$E$2:$E$3433)*("CS"='Accident &amp; Incident Detail'!$R$2:$R$3433))</f>
        <v>0</v>
      </c>
      <c r="W60" s="35">
        <f t="array" ref="W60">SUM((W$38='Accident &amp; Incident Detail'!$C$2:$C$3433)*("Staff"='Accident &amp; Incident Detail'!$K$2:$K$3433)*($A$60='Accident &amp; Incident Detail'!$E$2:$E$3433)*("CS"='Accident &amp; Incident Detail'!$R$2:$R$3433))</f>
        <v>0</v>
      </c>
      <c r="X60" s="35">
        <f t="array" ref="X60">SUM((X$38='Accident &amp; Incident Detail'!$C$2:$C$3433)*("Staff"='Accident &amp; Incident Detail'!$K$2:$K$3433)*($A$60='Accident &amp; Incident Detail'!$E$2:$E$3433)*("CS"='Accident &amp; Incident Detail'!$R$2:$R$3433))</f>
        <v>0</v>
      </c>
      <c r="Y60" s="35">
        <f t="array" ref="Y60">SUM((Y$38='Accident &amp; Incident Detail'!$C$2:$C$3433)*("Staff"='Accident &amp; Incident Detail'!$K$2:$K$3433)*($A$60='Accident &amp; Incident Detail'!$E$2:$E$3433)*("CS"='Accident &amp; Incident Detail'!$R$2:$R$3433))</f>
        <v>0</v>
      </c>
      <c r="Z60" s="32">
        <f t="array" ref="Z60">SUM((Z$38='Accident &amp; Incident Detail'!$C$2:$C$3433)*("Staff"='Accident &amp; Incident Detail'!$K$2:$K$3433)*($A$60='Accident &amp; Incident Detail'!$E$2:$E$3433)*("CS"='Accident &amp; Incident Detail'!$R$2:$R$3433))</f>
        <v>0</v>
      </c>
      <c r="AA60" s="32">
        <f t="array" ref="AA60">SUM((AA$38='Accident &amp; Incident Detail'!$C$2:$C$3433)*("Staff"='Accident &amp; Incident Detail'!$K$2:$K$3433)*($A$60='Accident &amp; Incident Detail'!$E$2:$E$3433)*("CS"='Accident &amp; Incident Detail'!$R$2:$R$3433))</f>
        <v>0</v>
      </c>
      <c r="AB60" s="32">
        <f t="array" ref="AB60">SUM((AB$38='Accident &amp; Incident Detail'!$C$2:$C$3433)*("Staff"='Accident &amp; Incident Detail'!$K$2:$K$3433)*($A$60='Accident &amp; Incident Detail'!$E$2:$E$3433)*("CS"='Accident &amp; Incident Detail'!$R$2:$R$3433))</f>
        <v>0</v>
      </c>
      <c r="AC60" s="32">
        <f t="array" ref="AC60">SUM((AC$38='Accident &amp; Incident Detail'!$C$2:$C$3433)*("Staff"='Accident &amp; Incident Detail'!$K$2:$K$3433)*($A$60='Accident &amp; Incident Detail'!$E$2:$E$3433)*("CS"='Accident &amp; Incident Detail'!$R$2:$R$3433))</f>
        <v>0</v>
      </c>
      <c r="AD60" s="32">
        <f t="array" ref="AD60">SUM((AD$38='Accident &amp; Incident Detail'!$C$2:$C$3433)*("Staff"='Accident &amp; Incident Detail'!$K$2:$K$3433)*($A$60='Accident &amp; Incident Detail'!$E$2:$E$3433)*("CS"='Accident &amp; Incident Detail'!$R$2:$R$3433))</f>
        <v>0</v>
      </c>
      <c r="AE60" s="32">
        <f t="array" ref="AE60">SUM((AE$38='Accident &amp; Incident Detail'!$C$2:$C$3433)*("Staff"='Accident &amp; Incident Detail'!$K$2:$K$3433)*($A$60='Accident &amp; Incident Detail'!$E$2:$E$3433)*("CS"='Accident &amp; Incident Detail'!$R$2:$R$3433))</f>
        <v>0</v>
      </c>
      <c r="AF60" s="32">
        <f t="array" ref="AF60">SUM((AF$38='Accident &amp; Incident Detail'!$C$2:$C$3433)*("Staff"='Accident &amp; Incident Detail'!$K$2:$K$3433)*($A$60='Accident &amp; Incident Detail'!$E$2:$E$3433)*("CS"='Accident &amp; Incident Detail'!$R$2:$R$3433))</f>
        <v>0</v>
      </c>
      <c r="AG60" s="32">
        <f t="array" ref="AG60">SUM((AG$38='Accident &amp; Incident Detail'!$C$2:$C$3433)*("Staff"='Accident &amp; Incident Detail'!$K$2:$K$3433)*($A$60='Accident &amp; Incident Detail'!$E$2:$E$3433)*("CS"='Accident &amp; Incident Detail'!$R$2:$R$3433))</f>
        <v>0</v>
      </c>
      <c r="AH60" s="32">
        <f t="array" ref="AH60">SUM((AH$38='Accident &amp; Incident Detail'!$C$2:$C$3433)*("Staff"='Accident &amp; Incident Detail'!$K$2:$K$3433)*($A$60='Accident &amp; Incident Detail'!$E$2:$E$3433)*("CS"='Accident &amp; Incident Detail'!$R$2:$R$3433))</f>
        <v>0</v>
      </c>
      <c r="AI60" s="32">
        <f t="array" ref="AI60">SUM((AI$38='Accident &amp; Incident Detail'!$C$2:$C$3433)*("Staff"='Accident &amp; Incident Detail'!$K$2:$K$3433)*($A$60='Accident &amp; Incident Detail'!$E$2:$E$3433)*("CS"='Accident &amp; Incident Detail'!$R$2:$R$3433))</f>
        <v>0</v>
      </c>
      <c r="AJ60" s="32">
        <f t="array" ref="AJ60">SUM((AJ$38='Accident &amp; Incident Detail'!$C$2:$C$3433)*("Staff"='Accident &amp; Incident Detail'!$K$2:$K$3433)*($A$60='Accident &amp; Incident Detail'!$E$2:$E$3433)*("CS"='Accident &amp; Incident Detail'!$R$2:$R$3433))</f>
        <v>0</v>
      </c>
      <c r="AK60" s="32">
        <f t="array" ref="AK60">SUM((AK$38='Accident &amp; Incident Detail'!$C$2:$C$3433)*("Staff"='Accident &amp; Incident Detail'!$K$2:$K$3433)*($A$60='Accident &amp; Incident Detail'!$E$2:$E$3433)*("CS"='Accident &amp; Incident Detail'!$R$2:$R$3433))</f>
        <v>0</v>
      </c>
      <c r="AL60" s="32">
        <f t="array" ref="AL60">SUM((AL$38='Accident &amp; Incident Detail'!$C$2:$C$3433)*("Staff"='Accident &amp; Incident Detail'!$K$2:$K$3433)*($A$60='Accident &amp; Incident Detail'!$E$2:$E$3433)*("CS"='Accident &amp; Incident Detail'!$R$2:$R$3433))</f>
        <v>0</v>
      </c>
      <c r="AM60" s="32">
        <f t="array" ref="AM60">SUM((AM$38='Accident &amp; Incident Detail'!$C$2:$C$3433)*("Staff"='Accident &amp; Incident Detail'!$K$2:$K$3433)*($A$60='Accident &amp; Incident Detail'!$E$2:$E$3433)*("CS"='Accident &amp; Incident Detail'!$R$2:$R$3433))</f>
        <v>0</v>
      </c>
      <c r="AN60" s="32">
        <f t="array" ref="AN60">SUM((AN$38='Accident &amp; Incident Detail'!$C$2:$C$3433)*("Staff"='Accident &amp; Incident Detail'!$K$2:$K$3433)*($A$60='Accident &amp; Incident Detail'!$E$2:$E$3433)*("CS"='Accident &amp; Incident Detail'!$R$2:$R$3433))</f>
        <v>0</v>
      </c>
    </row>
    <row r="61" spans="1:40" x14ac:dyDescent="0.35">
      <c r="A61" s="187" t="s">
        <v>15</v>
      </c>
      <c r="B61" s="422">
        <f>IF(B$1=1,(SUM(B60:B60)/13),0)</f>
        <v>0</v>
      </c>
      <c r="C61" s="422">
        <f>IF(C$1=1,(SUM(B60:C60)/13),0)</f>
        <v>0</v>
      </c>
      <c r="D61" s="422">
        <f>IF(D$1=1,(SUM(B60:D60)/13),0)</f>
        <v>0</v>
      </c>
      <c r="E61" s="422">
        <f>IF(E$1=1,(SUM(B60:E60)/13),0)</f>
        <v>0</v>
      </c>
      <c r="F61" s="422">
        <f>IF(F$1=1,(SUM(B60:F60)/13),0)</f>
        <v>0</v>
      </c>
      <c r="G61" s="422">
        <f>IF(G$1=1,(SUM(B60:G60)/13),0)</f>
        <v>0</v>
      </c>
      <c r="H61" s="422">
        <f>IF(H$1=1,(SUM(B60:H60)/13),0)</f>
        <v>0</v>
      </c>
      <c r="I61" s="422">
        <f>IF(I$1=1,(SUM(B60:I60)/13),0)</f>
        <v>0</v>
      </c>
      <c r="J61" s="46">
        <f>IF(J$1=1,(SUM(B60:J60)/13),0)</f>
        <v>0</v>
      </c>
      <c r="K61" s="46">
        <f>IF(K$1=1,(SUM(B60:K60)/13),0)</f>
        <v>0</v>
      </c>
      <c r="L61" s="46">
        <f>IF(L$1=1,(SUM(B60:L60)/13),0)</f>
        <v>0</v>
      </c>
      <c r="M61" s="46">
        <f>IF(M$1=1,(SUM(B60:M60)/13),0)</f>
        <v>0</v>
      </c>
      <c r="N61" s="46">
        <f>IF(N$1=1,(SUM(B60:N60)/13),0)</f>
        <v>0</v>
      </c>
      <c r="O61" s="46">
        <f t="shared" ref="O61:Z61" si="53">IF(O$1=1,(SUM(C60:O60)/13),0)</f>
        <v>0</v>
      </c>
      <c r="P61" s="46">
        <f t="shared" si="53"/>
        <v>0</v>
      </c>
      <c r="Q61" s="46">
        <f t="shared" si="53"/>
        <v>0</v>
      </c>
      <c r="R61" s="46">
        <f t="shared" si="53"/>
        <v>0</v>
      </c>
      <c r="S61" s="46">
        <f t="shared" si="53"/>
        <v>0</v>
      </c>
      <c r="T61" s="46">
        <f t="shared" si="53"/>
        <v>0</v>
      </c>
      <c r="U61" s="46">
        <f t="shared" si="53"/>
        <v>0</v>
      </c>
      <c r="V61" s="46">
        <f t="shared" si="53"/>
        <v>0</v>
      </c>
      <c r="W61" s="46">
        <f t="shared" si="53"/>
        <v>0</v>
      </c>
      <c r="X61" s="46">
        <f t="shared" si="53"/>
        <v>0</v>
      </c>
      <c r="Y61" s="46">
        <f t="shared" si="53"/>
        <v>0</v>
      </c>
      <c r="Z61" s="45">
        <f t="shared" si="53"/>
        <v>0</v>
      </c>
      <c r="AA61" s="45">
        <f t="shared" ref="AA61:AN61" si="54">IF(AA$1=1,(SUM(O60:AA60)/13),0)</f>
        <v>0</v>
      </c>
      <c r="AB61" s="45">
        <f t="shared" si="54"/>
        <v>0</v>
      </c>
      <c r="AC61" s="45">
        <f t="shared" si="54"/>
        <v>0</v>
      </c>
      <c r="AD61" s="45">
        <f t="shared" si="54"/>
        <v>0</v>
      </c>
      <c r="AE61" s="45">
        <f t="shared" si="54"/>
        <v>0</v>
      </c>
      <c r="AF61" s="45">
        <f t="shared" si="54"/>
        <v>0</v>
      </c>
      <c r="AG61" s="45">
        <f t="shared" si="54"/>
        <v>0</v>
      </c>
      <c r="AH61" s="45">
        <f t="shared" si="54"/>
        <v>0</v>
      </c>
      <c r="AI61" s="45">
        <f t="shared" si="54"/>
        <v>0</v>
      </c>
      <c r="AJ61" s="45">
        <f t="shared" si="54"/>
        <v>0</v>
      </c>
      <c r="AK61" s="45">
        <f t="shared" si="54"/>
        <v>0</v>
      </c>
      <c r="AL61" s="45">
        <f t="shared" si="54"/>
        <v>0</v>
      </c>
      <c r="AM61" s="45">
        <f t="shared" si="54"/>
        <v>0</v>
      </c>
      <c r="AN61" s="45">
        <f t="shared" si="54"/>
        <v>0</v>
      </c>
    </row>
    <row r="62" spans="1:40" x14ac:dyDescent="0.35">
      <c r="A62" s="118" t="s">
        <v>25</v>
      </c>
      <c r="B62" s="423">
        <f t="array" ref="B62">SUM((B$38='Accident &amp; Incident Detail'!$C$2:$C$3433)*("Staff"='Accident &amp; Incident Detail'!$K$2:$K$3433)*($A$62='Accident &amp; Incident Detail'!$E$2:$E$3433)*("CS"='Accident &amp; Incident Detail'!$R$2:$R$3433))</f>
        <v>0</v>
      </c>
      <c r="C62" s="423">
        <f t="array" ref="C62">SUM((C$38='Accident &amp; Incident Detail'!$C$2:$C$3433)*("Staff"='Accident &amp; Incident Detail'!$K$2:$K$3433)*($A$62='Accident &amp; Incident Detail'!$E$2:$E$3433)*("CS"='Accident &amp; Incident Detail'!$R$2:$R$3433))</f>
        <v>0</v>
      </c>
      <c r="D62" s="423">
        <f t="array" ref="D62">SUM((D$38='Accident &amp; Incident Detail'!$C$2:$C$3433)*("Staff"='Accident &amp; Incident Detail'!$K$2:$K$3433)*($A$62='Accident &amp; Incident Detail'!$E$2:$E$3433)*("CS"='Accident &amp; Incident Detail'!$R$2:$R$3433))</f>
        <v>0</v>
      </c>
      <c r="E62" s="423">
        <f t="array" ref="E62">SUM((E$38='Accident &amp; Incident Detail'!$C$2:$C$3433)*("Staff"='Accident &amp; Incident Detail'!$K$2:$K$3433)*($A$62='Accident &amp; Incident Detail'!$E$2:$E$3433)*("CS"='Accident &amp; Incident Detail'!$R$2:$R$3433))</f>
        <v>0</v>
      </c>
      <c r="F62" s="423">
        <f t="array" ref="F62">SUM((F$38='Accident &amp; Incident Detail'!$C$2:$C$3433)*("Staff"='Accident &amp; Incident Detail'!$K$2:$K$3433)*($A$62='Accident &amp; Incident Detail'!$E$2:$E$3433)*("CS"='Accident &amp; Incident Detail'!$R$2:$R$3433))</f>
        <v>0</v>
      </c>
      <c r="G62" s="423">
        <f t="array" ref="G62">SUM((G$38='Accident &amp; Incident Detail'!$C$2:$C$3433)*("Staff"='Accident &amp; Incident Detail'!$K$2:$K$3433)*($A$62='Accident &amp; Incident Detail'!$E$2:$E$3433)*("CS"='Accident &amp; Incident Detail'!$R$2:$R$3433))</f>
        <v>0</v>
      </c>
      <c r="H62" s="423">
        <f t="array" ref="H62">SUM((H$38='Accident &amp; Incident Detail'!$C$2:$C$3433)*("Staff"='Accident &amp; Incident Detail'!$K$2:$K$3433)*($A$62='Accident &amp; Incident Detail'!$E$2:$E$3433)*("CS"='Accident &amp; Incident Detail'!$R$2:$R$3433))</f>
        <v>0</v>
      </c>
      <c r="I62" s="423">
        <f t="array" ref="I62">SUM((I$38='Accident &amp; Incident Detail'!$C$2:$C$3433)*("Staff"='Accident &amp; Incident Detail'!$K$2:$K$3433)*($A$62='Accident &amp; Incident Detail'!$E$2:$E$3433)*("CS"='Accident &amp; Incident Detail'!$R$2:$R$3433))</f>
        <v>0</v>
      </c>
      <c r="J62" s="35">
        <f t="array" ref="J62">SUM((J$38='Accident &amp; Incident Detail'!$C$2:$C$3433)*("Staff"='Accident &amp; Incident Detail'!$K$2:$K$3433)*($A$62='Accident &amp; Incident Detail'!$E$2:$E$3433)*("CS"='Accident &amp; Incident Detail'!$R$2:$R$3433))</f>
        <v>0</v>
      </c>
      <c r="K62" s="35">
        <f t="array" ref="K62">SUM((K$38='Accident &amp; Incident Detail'!$C$2:$C$3433)*("Staff"='Accident &amp; Incident Detail'!$K$2:$K$3433)*($A$62='Accident &amp; Incident Detail'!$E$2:$E$3433)*("CS"='Accident &amp; Incident Detail'!$R$2:$R$3433))</f>
        <v>0</v>
      </c>
      <c r="L62" s="35">
        <f t="array" ref="L62">SUM((L$38='Accident &amp; Incident Detail'!$C$2:$C$3433)*("Staff"='Accident &amp; Incident Detail'!$K$2:$K$3433)*($A$62='Accident &amp; Incident Detail'!$E$2:$E$3433)*("CS"='Accident &amp; Incident Detail'!$R$2:$R$3433))</f>
        <v>0</v>
      </c>
      <c r="M62" s="35">
        <f t="array" ref="M62">SUM((M$38='Accident &amp; Incident Detail'!$C$2:$C$3433)*("Staff"='Accident &amp; Incident Detail'!$K$2:$K$3433)*($A$62='Accident &amp; Incident Detail'!$E$2:$E$3433)*("CS"='Accident &amp; Incident Detail'!$R$2:$R$3433))</f>
        <v>0</v>
      </c>
      <c r="N62" s="35">
        <f t="array" ref="N62">SUM((N$38='Accident &amp; Incident Detail'!$C$2:$C$3433)*("Staff"='Accident &amp; Incident Detail'!$K$2:$K$3433)*($A$62='Accident &amp; Incident Detail'!$E$2:$E$3433)*("CS"='Accident &amp; Incident Detail'!$R$2:$R$3433))</f>
        <v>0</v>
      </c>
      <c r="O62" s="35">
        <f t="array" ref="O62">SUM((O$38='Accident &amp; Incident Detail'!$C$2:$C$3433)*("Staff"='Accident &amp; Incident Detail'!$K$2:$K$3433)*($A$62='Accident &amp; Incident Detail'!$E$2:$E$3433)*("CS"='Accident &amp; Incident Detail'!$R$2:$R$3433))</f>
        <v>0</v>
      </c>
      <c r="P62" s="35">
        <f t="array" ref="P62">SUM((P$38='Accident &amp; Incident Detail'!$C$2:$C$3433)*("Staff"='Accident &amp; Incident Detail'!$K$2:$K$3433)*($A$62='Accident &amp; Incident Detail'!$E$2:$E$3433)*("CS"='Accident &amp; Incident Detail'!$R$2:$R$3433))</f>
        <v>0</v>
      </c>
      <c r="Q62" s="35">
        <f t="array" ref="Q62">SUM((Q$38='Accident &amp; Incident Detail'!$C$2:$C$3433)*("Staff"='Accident &amp; Incident Detail'!$K$2:$K$3433)*($A$62='Accident &amp; Incident Detail'!$E$2:$E$3433)*("CS"='Accident &amp; Incident Detail'!$R$2:$R$3433))</f>
        <v>0</v>
      </c>
      <c r="R62" s="35">
        <f t="array" ref="R62">SUM((R$38='Accident &amp; Incident Detail'!$C$2:$C$3433)*("Staff"='Accident &amp; Incident Detail'!$K$2:$K$3433)*($A$62='Accident &amp; Incident Detail'!$E$2:$E$3433)*("CS"='Accident &amp; Incident Detail'!$R$2:$R$3433))</f>
        <v>0</v>
      </c>
      <c r="S62" s="35">
        <f t="array" ref="S62">SUM((S$38='Accident &amp; Incident Detail'!$C$2:$C$3433)*("Staff"='Accident &amp; Incident Detail'!$K$2:$K$3433)*($A$62='Accident &amp; Incident Detail'!$E$2:$E$3433)*("CS"='Accident &amp; Incident Detail'!$R$2:$R$3433))</f>
        <v>0</v>
      </c>
      <c r="T62" s="35">
        <f t="array" ref="T62">SUM((T$38='Accident &amp; Incident Detail'!$C$2:$C$3433)*("Staff"='Accident &amp; Incident Detail'!$K$2:$K$3433)*($A$62='Accident &amp; Incident Detail'!$E$2:$E$3433)*("CS"='Accident &amp; Incident Detail'!$R$2:$R$3433))</f>
        <v>0</v>
      </c>
      <c r="U62" s="35">
        <f t="array" ref="U62">SUM((U$38='Accident &amp; Incident Detail'!$C$2:$C$3433)*("Staff"='Accident &amp; Incident Detail'!$K$2:$K$3433)*($A$62='Accident &amp; Incident Detail'!$E$2:$E$3433)*("CS"='Accident &amp; Incident Detail'!$R$2:$R$3433))</f>
        <v>0</v>
      </c>
      <c r="V62" s="35">
        <f t="array" ref="V62">SUM((V$38='Accident &amp; Incident Detail'!$C$2:$C$3433)*("Staff"='Accident &amp; Incident Detail'!$K$2:$K$3433)*($A$62='Accident &amp; Incident Detail'!$E$2:$E$3433)*("CS"='Accident &amp; Incident Detail'!$R$2:$R$3433))</f>
        <v>0</v>
      </c>
      <c r="W62" s="35">
        <f t="array" ref="W62">SUM((W$38='Accident &amp; Incident Detail'!$C$2:$C$3433)*("Staff"='Accident &amp; Incident Detail'!$K$2:$K$3433)*($A$62='Accident &amp; Incident Detail'!$E$2:$E$3433)*("CS"='Accident &amp; Incident Detail'!$R$2:$R$3433))</f>
        <v>0</v>
      </c>
      <c r="X62" s="35">
        <f t="array" ref="X62">SUM((X$38='Accident &amp; Incident Detail'!$C$2:$C$3433)*("Staff"='Accident &amp; Incident Detail'!$K$2:$K$3433)*($A$62='Accident &amp; Incident Detail'!$E$2:$E$3433)*("CS"='Accident &amp; Incident Detail'!$R$2:$R$3433))</f>
        <v>0</v>
      </c>
      <c r="Y62" s="35">
        <f t="array" ref="Y62">SUM((Y$38='Accident &amp; Incident Detail'!$C$2:$C$3433)*("Staff"='Accident &amp; Incident Detail'!$K$2:$K$3433)*($A$62='Accident &amp; Incident Detail'!$E$2:$E$3433)*("CS"='Accident &amp; Incident Detail'!$R$2:$R$3433))</f>
        <v>0</v>
      </c>
      <c r="Z62" s="32">
        <f t="array" ref="Z62">SUM((Z$38='Accident &amp; Incident Detail'!$C$2:$C$3433)*("Staff"='Accident &amp; Incident Detail'!$K$2:$K$3433)*($A$62='Accident &amp; Incident Detail'!$E$2:$E$3433)*("CS"='Accident &amp; Incident Detail'!$R$2:$R$3433))</f>
        <v>0</v>
      </c>
      <c r="AA62" s="32">
        <f t="array" ref="AA62">SUM((AA$38='Accident &amp; Incident Detail'!$C$2:$C$3433)*("Staff"='Accident &amp; Incident Detail'!$K$2:$K$3433)*($A$62='Accident &amp; Incident Detail'!$E$2:$E$3433)*("CS"='Accident &amp; Incident Detail'!$R$2:$R$3433))</f>
        <v>0</v>
      </c>
      <c r="AB62" s="32">
        <f t="array" ref="AB62">SUM((AB$38='Accident &amp; Incident Detail'!$C$2:$C$3433)*("Staff"='Accident &amp; Incident Detail'!$K$2:$K$3433)*($A$62='Accident &amp; Incident Detail'!$E$2:$E$3433)*("CS"='Accident &amp; Incident Detail'!$R$2:$R$3433))</f>
        <v>0</v>
      </c>
      <c r="AC62" s="32">
        <f t="array" ref="AC62">SUM((AC$38='Accident &amp; Incident Detail'!$C$2:$C$3433)*("Staff"='Accident &amp; Incident Detail'!$K$2:$K$3433)*($A$62='Accident &amp; Incident Detail'!$E$2:$E$3433)*("CS"='Accident &amp; Incident Detail'!$R$2:$R$3433))</f>
        <v>0</v>
      </c>
      <c r="AD62" s="32">
        <f t="array" ref="AD62">SUM((AD$38='Accident &amp; Incident Detail'!$C$2:$C$3433)*("Staff"='Accident &amp; Incident Detail'!$K$2:$K$3433)*($A$62='Accident &amp; Incident Detail'!$E$2:$E$3433)*("CS"='Accident &amp; Incident Detail'!$R$2:$R$3433))</f>
        <v>0</v>
      </c>
      <c r="AE62" s="32">
        <f t="array" ref="AE62">SUM((AE$38='Accident &amp; Incident Detail'!$C$2:$C$3433)*("Staff"='Accident &amp; Incident Detail'!$K$2:$K$3433)*($A$62='Accident &amp; Incident Detail'!$E$2:$E$3433)*("CS"='Accident &amp; Incident Detail'!$R$2:$R$3433))</f>
        <v>0</v>
      </c>
      <c r="AF62" s="32">
        <f t="array" ref="AF62">SUM((AF$38='Accident &amp; Incident Detail'!$C$2:$C$3433)*("Staff"='Accident &amp; Incident Detail'!$K$2:$K$3433)*($A$62='Accident &amp; Incident Detail'!$E$2:$E$3433)*("CS"='Accident &amp; Incident Detail'!$R$2:$R$3433))</f>
        <v>0</v>
      </c>
      <c r="AG62" s="32">
        <f t="array" ref="AG62">SUM((AG$38='Accident &amp; Incident Detail'!$C$2:$C$3433)*("Staff"='Accident &amp; Incident Detail'!$K$2:$K$3433)*($A$62='Accident &amp; Incident Detail'!$E$2:$E$3433)*("CS"='Accident &amp; Incident Detail'!$R$2:$R$3433))</f>
        <v>0</v>
      </c>
      <c r="AH62" s="32">
        <f t="array" ref="AH62">SUM((AH$38='Accident &amp; Incident Detail'!$C$2:$C$3433)*("Staff"='Accident &amp; Incident Detail'!$K$2:$K$3433)*($A$62='Accident &amp; Incident Detail'!$E$2:$E$3433)*("CS"='Accident &amp; Incident Detail'!$R$2:$R$3433))</f>
        <v>0</v>
      </c>
      <c r="AI62" s="32">
        <f t="array" ref="AI62">SUM((AI$38='Accident &amp; Incident Detail'!$C$2:$C$3433)*("Staff"='Accident &amp; Incident Detail'!$K$2:$K$3433)*($A$62='Accident &amp; Incident Detail'!$E$2:$E$3433)*("CS"='Accident &amp; Incident Detail'!$R$2:$R$3433))</f>
        <v>0</v>
      </c>
      <c r="AJ62" s="32">
        <f t="array" ref="AJ62">SUM((AJ$38='Accident &amp; Incident Detail'!$C$2:$C$3433)*("Staff"='Accident &amp; Incident Detail'!$K$2:$K$3433)*($A$62='Accident &amp; Incident Detail'!$E$2:$E$3433)*("CS"='Accident &amp; Incident Detail'!$R$2:$R$3433))</f>
        <v>0</v>
      </c>
      <c r="AK62" s="32">
        <f t="array" ref="AK62">SUM((AK$38='Accident &amp; Incident Detail'!$C$2:$C$3433)*("Staff"='Accident &amp; Incident Detail'!$K$2:$K$3433)*($A$62='Accident &amp; Incident Detail'!$E$2:$E$3433)*("CS"='Accident &amp; Incident Detail'!$R$2:$R$3433))</f>
        <v>0</v>
      </c>
      <c r="AL62" s="32">
        <f t="array" ref="AL62">SUM((AL$38='Accident &amp; Incident Detail'!$C$2:$C$3433)*("Staff"='Accident &amp; Incident Detail'!$K$2:$K$3433)*($A$62='Accident &amp; Incident Detail'!$E$2:$E$3433)*("CS"='Accident &amp; Incident Detail'!$R$2:$R$3433))</f>
        <v>0</v>
      </c>
      <c r="AM62" s="32">
        <f t="array" ref="AM62">SUM((AM$38='Accident &amp; Incident Detail'!$C$2:$C$3433)*("Staff"='Accident &amp; Incident Detail'!$K$2:$K$3433)*($A$62='Accident &amp; Incident Detail'!$E$2:$E$3433)*("CS"='Accident &amp; Incident Detail'!$R$2:$R$3433))</f>
        <v>0</v>
      </c>
      <c r="AN62" s="32">
        <f t="array" ref="AN62">SUM((AN$38='Accident &amp; Incident Detail'!$C$2:$C$3433)*("Staff"='Accident &amp; Incident Detail'!$K$2:$K$3433)*($A$62='Accident &amp; Incident Detail'!$E$2:$E$3433)*("CS"='Accident &amp; Incident Detail'!$R$2:$R$3433))</f>
        <v>0</v>
      </c>
    </row>
    <row r="63" spans="1:40" x14ac:dyDescent="0.35">
      <c r="A63" s="187" t="s">
        <v>15</v>
      </c>
      <c r="B63" s="422">
        <f>IF(B$1=1,(SUM(B62:B62)/13),0)</f>
        <v>0</v>
      </c>
      <c r="C63" s="422">
        <f>IF(C$1=1,(SUM(B62:C62)/13),0)</f>
        <v>0</v>
      </c>
      <c r="D63" s="422">
        <f>IF(D$1=1,(SUM(B62:D62)/13),0)</f>
        <v>0</v>
      </c>
      <c r="E63" s="422">
        <f>IF(E$1=1,(SUM(B62:E62)/13),0)</f>
        <v>0</v>
      </c>
      <c r="F63" s="422">
        <f>IF(F$1=1,(SUM(B62:F62)/13),0)</f>
        <v>0</v>
      </c>
      <c r="G63" s="422">
        <f>IF(G$1=1,(SUM(B62:G62)/13),0)</f>
        <v>0</v>
      </c>
      <c r="H63" s="422">
        <f>IF(H$1=1,(SUM(B62:H62)/13),0)</f>
        <v>0</v>
      </c>
      <c r="I63" s="422">
        <f>IF(I$1=1,(SUM(B62:I62)/13),0)</f>
        <v>0</v>
      </c>
      <c r="J63" s="46">
        <f>IF(J$1=1,(SUM(B62:J62)/13),0)</f>
        <v>0</v>
      </c>
      <c r="K63" s="46">
        <f>IF(K$1=1,(SUM(B62:K62)/13),0)</f>
        <v>0</v>
      </c>
      <c r="L63" s="46">
        <f>IF(L$1=1,(SUM(B62:L62)/13),0)</f>
        <v>0</v>
      </c>
      <c r="M63" s="46">
        <f>IF(M$1=1,(SUM(B62:M62)/13),0)</f>
        <v>0</v>
      </c>
      <c r="N63" s="46">
        <f>IF(N$1=1,(SUM(B62:N62)/13),0)</f>
        <v>0</v>
      </c>
      <c r="O63" s="46">
        <f t="shared" ref="O63:Z63" si="55">IF(O$1=1,(SUM(C62:O62)/13),0)</f>
        <v>0</v>
      </c>
      <c r="P63" s="46">
        <f t="shared" si="55"/>
        <v>0</v>
      </c>
      <c r="Q63" s="46">
        <f t="shared" si="55"/>
        <v>0</v>
      </c>
      <c r="R63" s="46">
        <f t="shared" si="55"/>
        <v>0</v>
      </c>
      <c r="S63" s="46">
        <f t="shared" si="55"/>
        <v>0</v>
      </c>
      <c r="T63" s="46">
        <f t="shared" si="55"/>
        <v>0</v>
      </c>
      <c r="U63" s="46">
        <f t="shared" si="55"/>
        <v>0</v>
      </c>
      <c r="V63" s="46">
        <f t="shared" si="55"/>
        <v>0</v>
      </c>
      <c r="W63" s="46">
        <f t="shared" si="55"/>
        <v>0</v>
      </c>
      <c r="X63" s="46">
        <f t="shared" si="55"/>
        <v>0</v>
      </c>
      <c r="Y63" s="46">
        <f t="shared" si="55"/>
        <v>0</v>
      </c>
      <c r="Z63" s="45">
        <f t="shared" si="55"/>
        <v>0</v>
      </c>
      <c r="AA63" s="45">
        <f t="shared" ref="AA63:AN63" si="56">IF(AA$1=1,(SUM(O62:AA62)/13),0)</f>
        <v>0</v>
      </c>
      <c r="AB63" s="45">
        <f t="shared" si="56"/>
        <v>0</v>
      </c>
      <c r="AC63" s="45">
        <f t="shared" si="56"/>
        <v>0</v>
      </c>
      <c r="AD63" s="45">
        <f t="shared" si="56"/>
        <v>0</v>
      </c>
      <c r="AE63" s="45">
        <f t="shared" si="56"/>
        <v>0</v>
      </c>
      <c r="AF63" s="45">
        <f t="shared" si="56"/>
        <v>0</v>
      </c>
      <c r="AG63" s="45">
        <f t="shared" si="56"/>
        <v>0</v>
      </c>
      <c r="AH63" s="45">
        <f t="shared" si="56"/>
        <v>0</v>
      </c>
      <c r="AI63" s="45">
        <f t="shared" si="56"/>
        <v>0</v>
      </c>
      <c r="AJ63" s="45">
        <f t="shared" si="56"/>
        <v>0</v>
      </c>
      <c r="AK63" s="45">
        <f t="shared" si="56"/>
        <v>0</v>
      </c>
      <c r="AL63" s="45">
        <f t="shared" si="56"/>
        <v>0</v>
      </c>
      <c r="AM63" s="45">
        <f t="shared" si="56"/>
        <v>0</v>
      </c>
      <c r="AN63" s="45">
        <f t="shared" si="56"/>
        <v>0</v>
      </c>
    </row>
    <row r="64" spans="1:40" x14ac:dyDescent="0.35">
      <c r="A64" s="118" t="s">
        <v>26</v>
      </c>
      <c r="B64" s="423">
        <f t="array" ref="B64">SUM((B$38='Accident &amp; Incident Detail'!$C$2:$C$3433)*("Staff"='Accident &amp; Incident Detail'!$K$2:$K$3433)*($A$64='Accident &amp; Incident Detail'!$E$2:$E$3433)*("CS"='Accident &amp; Incident Detail'!$R$2:$R$3433))</f>
        <v>0</v>
      </c>
      <c r="C64" s="423">
        <f t="array" ref="C64">SUM((C$38='Accident &amp; Incident Detail'!$C$2:$C$3433)*("Staff"='Accident &amp; Incident Detail'!$K$2:$K$3433)*($A$64='Accident &amp; Incident Detail'!$E$2:$E$3433)*("CS"='Accident &amp; Incident Detail'!$R$2:$R$3433))</f>
        <v>0</v>
      </c>
      <c r="D64" s="423">
        <f t="array" ref="D64">SUM((D$38='Accident &amp; Incident Detail'!$C$2:$C$3433)*("Staff"='Accident &amp; Incident Detail'!$K$2:$K$3433)*($A$64='Accident &amp; Incident Detail'!$E$2:$E$3433)*("CS"='Accident &amp; Incident Detail'!$R$2:$R$3433))</f>
        <v>0</v>
      </c>
      <c r="E64" s="423">
        <f t="array" ref="E64">SUM((E$38='Accident &amp; Incident Detail'!$C$2:$C$3433)*("Staff"='Accident &amp; Incident Detail'!$K$2:$K$3433)*($A$64='Accident &amp; Incident Detail'!$E$2:$E$3433)*("CS"='Accident &amp; Incident Detail'!$R$2:$R$3433))</f>
        <v>0</v>
      </c>
      <c r="F64" s="423">
        <f t="array" ref="F64">SUM((F$38='Accident &amp; Incident Detail'!$C$2:$C$3433)*("Staff"='Accident &amp; Incident Detail'!$K$2:$K$3433)*($A$64='Accident &amp; Incident Detail'!$E$2:$E$3433)*("CS"='Accident &amp; Incident Detail'!$R$2:$R$3433))</f>
        <v>0</v>
      </c>
      <c r="G64" s="423">
        <f t="array" ref="G64">SUM((G$38='Accident &amp; Incident Detail'!$C$2:$C$3433)*("Staff"='Accident &amp; Incident Detail'!$K$2:$K$3433)*($A$64='Accident &amp; Incident Detail'!$E$2:$E$3433)*("CS"='Accident &amp; Incident Detail'!$R$2:$R$3433))</f>
        <v>0</v>
      </c>
      <c r="H64" s="423">
        <f t="array" ref="H64">SUM((H$38='Accident &amp; Incident Detail'!$C$2:$C$3433)*("Staff"='Accident &amp; Incident Detail'!$K$2:$K$3433)*($A$64='Accident &amp; Incident Detail'!$E$2:$E$3433)*("CS"='Accident &amp; Incident Detail'!$R$2:$R$3433))</f>
        <v>0</v>
      </c>
      <c r="I64" s="423">
        <f t="array" ref="I64">SUM((I$38='Accident &amp; Incident Detail'!$C$2:$C$3433)*("Staff"='Accident &amp; Incident Detail'!$K$2:$K$3433)*($A$64='Accident &amp; Incident Detail'!$E$2:$E$3433)*("CS"='Accident &amp; Incident Detail'!$R$2:$R$3433))</f>
        <v>0</v>
      </c>
      <c r="J64" s="35">
        <f t="array" ref="J64">SUM((J$38='Accident &amp; Incident Detail'!$C$2:$C$3433)*("Staff"='Accident &amp; Incident Detail'!$K$2:$K$3433)*($A$64='Accident &amp; Incident Detail'!$E$2:$E$3433)*("CS"='Accident &amp; Incident Detail'!$R$2:$R$3433))</f>
        <v>0</v>
      </c>
      <c r="K64" s="35">
        <f t="array" ref="K64">SUM((K$38='Accident &amp; Incident Detail'!$C$2:$C$3433)*("Staff"='Accident &amp; Incident Detail'!$K$2:$K$3433)*($A$64='Accident &amp; Incident Detail'!$E$2:$E$3433)*("CS"='Accident &amp; Incident Detail'!$R$2:$R$3433))</f>
        <v>0</v>
      </c>
      <c r="L64" s="35">
        <f t="array" ref="L64">SUM((L$38='Accident &amp; Incident Detail'!$C$2:$C$3433)*("Staff"='Accident &amp; Incident Detail'!$K$2:$K$3433)*($A$64='Accident &amp; Incident Detail'!$E$2:$E$3433)*("CS"='Accident &amp; Incident Detail'!$R$2:$R$3433))</f>
        <v>0</v>
      </c>
      <c r="M64" s="35">
        <f t="array" ref="M64">SUM((M$38='Accident &amp; Incident Detail'!$C$2:$C$3433)*("Staff"='Accident &amp; Incident Detail'!$K$2:$K$3433)*($A$64='Accident &amp; Incident Detail'!$E$2:$E$3433)*("CS"='Accident &amp; Incident Detail'!$R$2:$R$3433))</f>
        <v>0</v>
      </c>
      <c r="N64" s="35">
        <f t="array" ref="N64">SUM((N$38='Accident &amp; Incident Detail'!$C$2:$C$3433)*("Staff"='Accident &amp; Incident Detail'!$K$2:$K$3433)*($A$64='Accident &amp; Incident Detail'!$E$2:$E$3433)*("CS"='Accident &amp; Incident Detail'!$R$2:$R$3433))</f>
        <v>0</v>
      </c>
      <c r="O64" s="35">
        <f t="array" ref="O64">SUM((O$38='Accident &amp; Incident Detail'!$C$2:$C$3433)*("Staff"='Accident &amp; Incident Detail'!$K$2:$K$3433)*($A$64='Accident &amp; Incident Detail'!$E$2:$E$3433)*("CS"='Accident &amp; Incident Detail'!$R$2:$R$3433))</f>
        <v>0</v>
      </c>
      <c r="P64" s="35">
        <f t="array" ref="P64">SUM((P$38='Accident &amp; Incident Detail'!$C$2:$C$3433)*("Staff"='Accident &amp; Incident Detail'!$K$2:$K$3433)*($A$64='Accident &amp; Incident Detail'!$E$2:$E$3433)*("CS"='Accident &amp; Incident Detail'!$R$2:$R$3433))</f>
        <v>0</v>
      </c>
      <c r="Q64" s="35">
        <f t="array" ref="Q64">SUM((Q$38='Accident &amp; Incident Detail'!$C$2:$C$3433)*("Staff"='Accident &amp; Incident Detail'!$K$2:$K$3433)*($A$64='Accident &amp; Incident Detail'!$E$2:$E$3433)*("CS"='Accident &amp; Incident Detail'!$R$2:$R$3433))</f>
        <v>0</v>
      </c>
      <c r="R64" s="35">
        <f t="array" ref="R64">SUM((R$38='Accident &amp; Incident Detail'!$C$2:$C$3433)*("Staff"='Accident &amp; Incident Detail'!$K$2:$K$3433)*($A$64='Accident &amp; Incident Detail'!$E$2:$E$3433)*("CS"='Accident &amp; Incident Detail'!$R$2:$R$3433))</f>
        <v>0</v>
      </c>
      <c r="S64" s="35">
        <f t="array" ref="S64">SUM((S$38='Accident &amp; Incident Detail'!$C$2:$C$3433)*("Staff"='Accident &amp; Incident Detail'!$K$2:$K$3433)*($A$64='Accident &amp; Incident Detail'!$E$2:$E$3433)*("CS"='Accident &amp; Incident Detail'!$R$2:$R$3433))</f>
        <v>0</v>
      </c>
      <c r="T64" s="35">
        <f t="array" ref="T64">SUM((T$38='Accident &amp; Incident Detail'!$C$2:$C$3433)*("Staff"='Accident &amp; Incident Detail'!$K$2:$K$3433)*($A$64='Accident &amp; Incident Detail'!$E$2:$E$3433)*("CS"='Accident &amp; Incident Detail'!$R$2:$R$3433))</f>
        <v>0</v>
      </c>
      <c r="U64" s="35">
        <f t="array" ref="U64">SUM((U$38='Accident &amp; Incident Detail'!$C$2:$C$3433)*("Staff"='Accident &amp; Incident Detail'!$K$2:$K$3433)*($A$64='Accident &amp; Incident Detail'!$E$2:$E$3433)*("CS"='Accident &amp; Incident Detail'!$R$2:$R$3433))</f>
        <v>0</v>
      </c>
      <c r="V64" s="35">
        <f t="array" ref="V64">SUM((V$38='Accident &amp; Incident Detail'!$C$2:$C$3433)*("Staff"='Accident &amp; Incident Detail'!$K$2:$K$3433)*($A$64='Accident &amp; Incident Detail'!$E$2:$E$3433)*("CS"='Accident &amp; Incident Detail'!$R$2:$R$3433))</f>
        <v>0</v>
      </c>
      <c r="W64" s="35">
        <f t="array" ref="W64">SUM((W$38='Accident &amp; Incident Detail'!$C$2:$C$3433)*("Staff"='Accident &amp; Incident Detail'!$K$2:$K$3433)*($A$64='Accident &amp; Incident Detail'!$E$2:$E$3433)*("CS"='Accident &amp; Incident Detail'!$R$2:$R$3433))</f>
        <v>0</v>
      </c>
      <c r="X64" s="35">
        <f t="array" ref="X64">SUM((X$38='Accident &amp; Incident Detail'!$C$2:$C$3433)*("Staff"='Accident &amp; Incident Detail'!$K$2:$K$3433)*($A$64='Accident &amp; Incident Detail'!$E$2:$E$3433)*("CS"='Accident &amp; Incident Detail'!$R$2:$R$3433))</f>
        <v>0</v>
      </c>
      <c r="Y64" s="35">
        <f t="array" ref="Y64">SUM((Y$38='Accident &amp; Incident Detail'!$C$2:$C$3433)*("Staff"='Accident &amp; Incident Detail'!$K$2:$K$3433)*($A$64='Accident &amp; Incident Detail'!$E$2:$E$3433)*("CS"='Accident &amp; Incident Detail'!$R$2:$R$3433))</f>
        <v>0</v>
      </c>
      <c r="Z64" s="32">
        <f t="array" ref="Z64">SUM((Z$38='Accident &amp; Incident Detail'!$C$2:$C$3433)*("Staff"='Accident &amp; Incident Detail'!$K$2:$K$3433)*($A$64='Accident &amp; Incident Detail'!$E$2:$E$3433)*("CS"='Accident &amp; Incident Detail'!$R$2:$R$3433))</f>
        <v>0</v>
      </c>
      <c r="AA64" s="32">
        <f t="array" ref="AA64">SUM((AA$38='Accident &amp; Incident Detail'!$C$2:$C$3433)*("Staff"='Accident &amp; Incident Detail'!$K$2:$K$3433)*($A$64='Accident &amp; Incident Detail'!$E$2:$E$3433)*("CS"='Accident &amp; Incident Detail'!$R$2:$R$3433))</f>
        <v>0</v>
      </c>
      <c r="AB64" s="32">
        <f t="array" ref="AB64">SUM((AB$38='Accident &amp; Incident Detail'!$C$2:$C$3433)*("Staff"='Accident &amp; Incident Detail'!$K$2:$K$3433)*($A$64='Accident &amp; Incident Detail'!$E$2:$E$3433)*("CS"='Accident &amp; Incident Detail'!$R$2:$R$3433))</f>
        <v>0</v>
      </c>
      <c r="AC64" s="32">
        <f t="array" ref="AC64">SUM((AC$38='Accident &amp; Incident Detail'!$C$2:$C$3433)*("Staff"='Accident &amp; Incident Detail'!$K$2:$K$3433)*($A$64='Accident &amp; Incident Detail'!$E$2:$E$3433)*("CS"='Accident &amp; Incident Detail'!$R$2:$R$3433))</f>
        <v>0</v>
      </c>
      <c r="AD64" s="32">
        <f t="array" ref="AD64">SUM((AD$38='Accident &amp; Incident Detail'!$C$2:$C$3433)*("Staff"='Accident &amp; Incident Detail'!$K$2:$K$3433)*($A$64='Accident &amp; Incident Detail'!$E$2:$E$3433)*("CS"='Accident &amp; Incident Detail'!$R$2:$R$3433))</f>
        <v>0</v>
      </c>
      <c r="AE64" s="32">
        <f t="array" ref="AE64">SUM((AE$38='Accident &amp; Incident Detail'!$C$2:$C$3433)*("Staff"='Accident &amp; Incident Detail'!$K$2:$K$3433)*($A$64='Accident &amp; Incident Detail'!$E$2:$E$3433)*("CS"='Accident &amp; Incident Detail'!$R$2:$R$3433))</f>
        <v>0</v>
      </c>
      <c r="AF64" s="32">
        <f t="array" ref="AF64">SUM((AF$38='Accident &amp; Incident Detail'!$C$2:$C$3433)*("Staff"='Accident &amp; Incident Detail'!$K$2:$K$3433)*($A$64='Accident &amp; Incident Detail'!$E$2:$E$3433)*("CS"='Accident &amp; Incident Detail'!$R$2:$R$3433))</f>
        <v>0</v>
      </c>
      <c r="AG64" s="32">
        <f t="array" ref="AG64">SUM((AG$38='Accident &amp; Incident Detail'!$C$2:$C$3433)*("Staff"='Accident &amp; Incident Detail'!$K$2:$K$3433)*($A$64='Accident &amp; Incident Detail'!$E$2:$E$3433)*("CS"='Accident &amp; Incident Detail'!$R$2:$R$3433))</f>
        <v>0</v>
      </c>
      <c r="AH64" s="32">
        <f t="array" ref="AH64">SUM((AH$38='Accident &amp; Incident Detail'!$C$2:$C$3433)*("Staff"='Accident &amp; Incident Detail'!$K$2:$K$3433)*($A$64='Accident &amp; Incident Detail'!$E$2:$E$3433)*("CS"='Accident &amp; Incident Detail'!$R$2:$R$3433))</f>
        <v>0</v>
      </c>
      <c r="AI64" s="32">
        <f t="array" ref="AI64">SUM((AI$38='Accident &amp; Incident Detail'!$C$2:$C$3433)*("Staff"='Accident &amp; Incident Detail'!$K$2:$K$3433)*($A$64='Accident &amp; Incident Detail'!$E$2:$E$3433)*("CS"='Accident &amp; Incident Detail'!$R$2:$R$3433))</f>
        <v>0</v>
      </c>
      <c r="AJ64" s="32">
        <f t="array" ref="AJ64">SUM((AJ$38='Accident &amp; Incident Detail'!$C$2:$C$3433)*("Staff"='Accident &amp; Incident Detail'!$K$2:$K$3433)*($A$64='Accident &amp; Incident Detail'!$E$2:$E$3433)*("CS"='Accident &amp; Incident Detail'!$R$2:$R$3433))</f>
        <v>0</v>
      </c>
      <c r="AK64" s="32">
        <f t="array" ref="AK64">SUM((AK$38='Accident &amp; Incident Detail'!$C$2:$C$3433)*("Staff"='Accident &amp; Incident Detail'!$K$2:$K$3433)*($A$64='Accident &amp; Incident Detail'!$E$2:$E$3433)*("CS"='Accident &amp; Incident Detail'!$R$2:$R$3433))</f>
        <v>0</v>
      </c>
      <c r="AL64" s="32">
        <f t="array" ref="AL64">SUM((AL$38='Accident &amp; Incident Detail'!$C$2:$C$3433)*("Staff"='Accident &amp; Incident Detail'!$K$2:$K$3433)*($A$64='Accident &amp; Incident Detail'!$E$2:$E$3433)*("CS"='Accident &amp; Incident Detail'!$R$2:$R$3433))</f>
        <v>0</v>
      </c>
      <c r="AM64" s="32">
        <f t="array" ref="AM64">SUM((AM$38='Accident &amp; Incident Detail'!$C$2:$C$3433)*("Staff"='Accident &amp; Incident Detail'!$K$2:$K$3433)*($A$64='Accident &amp; Incident Detail'!$E$2:$E$3433)*("CS"='Accident &amp; Incident Detail'!$R$2:$R$3433))</f>
        <v>0</v>
      </c>
      <c r="AN64" s="32">
        <f t="array" ref="AN64">SUM((AN$38='Accident &amp; Incident Detail'!$C$2:$C$3433)*("Staff"='Accident &amp; Incident Detail'!$K$2:$K$3433)*($A$64='Accident &amp; Incident Detail'!$E$2:$E$3433)*("CS"='Accident &amp; Incident Detail'!$R$2:$R$3433))</f>
        <v>0</v>
      </c>
    </row>
    <row r="65" spans="1:40" x14ac:dyDescent="0.35">
      <c r="A65" s="187" t="s">
        <v>15</v>
      </c>
      <c r="B65" s="422">
        <f>IF(B$1=1,(SUM(B64:B64)/13),0)</f>
        <v>0</v>
      </c>
      <c r="C65" s="422">
        <f>IF(C$1=1,(SUM(B64:C64)/13),0)</f>
        <v>0</v>
      </c>
      <c r="D65" s="422">
        <f>IF(D$1=1,(SUM(B64:D64)/13),0)</f>
        <v>0</v>
      </c>
      <c r="E65" s="422">
        <f>IF(E$1=1,(SUM(B64:E64)/13),0)</f>
        <v>0</v>
      </c>
      <c r="F65" s="422">
        <f>IF(F$1=1,(SUM(B64:F64)/13),0)</f>
        <v>0</v>
      </c>
      <c r="G65" s="422">
        <f>IF(G$1=1,(SUM(B64:G64)/13),0)</f>
        <v>0</v>
      </c>
      <c r="H65" s="422">
        <f>IF(H$1=1,(SUM(B64:H64)/13),0)</f>
        <v>0</v>
      </c>
      <c r="I65" s="422">
        <f>IF(I$1=1,(SUM(B64:I64)/13),0)</f>
        <v>0</v>
      </c>
      <c r="J65" s="46">
        <f>IF(J$1=1,(SUM(B64:J64)/13),0)</f>
        <v>0</v>
      </c>
      <c r="K65" s="46">
        <f>IF(K$1=1,(SUM(B64:K64)/13),0)</f>
        <v>0</v>
      </c>
      <c r="L65" s="46">
        <f>IF(L$1=1,(SUM(B64:L64)/13),0)</f>
        <v>0</v>
      </c>
      <c r="M65" s="46">
        <f>IF(M$1=1,(SUM(B64:M64)/13),0)</f>
        <v>0</v>
      </c>
      <c r="N65" s="46">
        <f>IF(N$1=1,(SUM(B64:N64)/13),0)</f>
        <v>0</v>
      </c>
      <c r="O65" s="46">
        <f t="shared" ref="O65:Z65" si="57">IF(O$1=1,(SUM(C64:O64)/13),0)</f>
        <v>0</v>
      </c>
      <c r="P65" s="46">
        <f t="shared" si="57"/>
        <v>0</v>
      </c>
      <c r="Q65" s="46">
        <f t="shared" si="57"/>
        <v>0</v>
      </c>
      <c r="R65" s="46">
        <f t="shared" si="57"/>
        <v>0</v>
      </c>
      <c r="S65" s="46">
        <f t="shared" si="57"/>
        <v>0</v>
      </c>
      <c r="T65" s="46">
        <f t="shared" si="57"/>
        <v>0</v>
      </c>
      <c r="U65" s="46">
        <f t="shared" si="57"/>
        <v>0</v>
      </c>
      <c r="V65" s="46">
        <f t="shared" si="57"/>
        <v>0</v>
      </c>
      <c r="W65" s="46">
        <f t="shared" si="57"/>
        <v>0</v>
      </c>
      <c r="X65" s="46">
        <f t="shared" si="57"/>
        <v>0</v>
      </c>
      <c r="Y65" s="46">
        <f t="shared" si="57"/>
        <v>0</v>
      </c>
      <c r="Z65" s="45">
        <f t="shared" si="57"/>
        <v>0</v>
      </c>
      <c r="AA65" s="45">
        <f t="shared" ref="AA65:AN65" si="58">IF(AA$1=1,(SUM(O64:AA64)/13),0)</f>
        <v>0</v>
      </c>
      <c r="AB65" s="45">
        <f t="shared" si="58"/>
        <v>0</v>
      </c>
      <c r="AC65" s="45">
        <f t="shared" si="58"/>
        <v>0</v>
      </c>
      <c r="AD65" s="45">
        <f t="shared" si="58"/>
        <v>0</v>
      </c>
      <c r="AE65" s="45">
        <f t="shared" si="58"/>
        <v>0</v>
      </c>
      <c r="AF65" s="45">
        <f t="shared" si="58"/>
        <v>0</v>
      </c>
      <c r="AG65" s="45">
        <f t="shared" si="58"/>
        <v>0</v>
      </c>
      <c r="AH65" s="45">
        <f t="shared" si="58"/>
        <v>0</v>
      </c>
      <c r="AI65" s="45">
        <f t="shared" si="58"/>
        <v>0</v>
      </c>
      <c r="AJ65" s="45">
        <f t="shared" si="58"/>
        <v>0</v>
      </c>
      <c r="AK65" s="45">
        <f t="shared" si="58"/>
        <v>0</v>
      </c>
      <c r="AL65" s="45">
        <f t="shared" si="58"/>
        <v>0</v>
      </c>
      <c r="AM65" s="45">
        <f t="shared" si="58"/>
        <v>0</v>
      </c>
      <c r="AN65" s="45">
        <f t="shared" si="58"/>
        <v>0</v>
      </c>
    </row>
    <row r="66" spans="1:40" x14ac:dyDescent="0.35">
      <c r="A66" s="119" t="s">
        <v>27</v>
      </c>
      <c r="B66" s="423">
        <f t="array" ref="B66">SUM((B$38='Accident &amp; Incident Detail'!$C$2:$C$3433)*("Staff"='Accident &amp; Incident Detail'!$K$2:$K$3433)*($A$66='Accident &amp; Incident Detail'!$E$2:$E$3433)*("CS"='Accident &amp; Incident Detail'!$R$2:$R$3433))</f>
        <v>0</v>
      </c>
      <c r="C66" s="423">
        <f t="array" ref="C66">SUM((C$38='Accident &amp; Incident Detail'!$C$2:$C$3433)*("Staff"='Accident &amp; Incident Detail'!$K$2:$K$3433)*($A$66='Accident &amp; Incident Detail'!$E$2:$E$3433)*("CS"='Accident &amp; Incident Detail'!$R$2:$R$3433))</f>
        <v>0</v>
      </c>
      <c r="D66" s="423">
        <f t="array" ref="D66">SUM((D$38='Accident &amp; Incident Detail'!$C$2:$C$3433)*("Staff"='Accident &amp; Incident Detail'!$K$2:$K$3433)*($A$66='Accident &amp; Incident Detail'!$E$2:$E$3433)*("CS"='Accident &amp; Incident Detail'!$R$2:$R$3433))</f>
        <v>0</v>
      </c>
      <c r="E66" s="423">
        <f t="array" ref="E66">SUM((E$38='Accident &amp; Incident Detail'!$C$2:$C$3433)*("Staff"='Accident &amp; Incident Detail'!$K$2:$K$3433)*($A$66='Accident &amp; Incident Detail'!$E$2:$E$3433)*("CS"='Accident &amp; Incident Detail'!$R$2:$R$3433))</f>
        <v>0</v>
      </c>
      <c r="F66" s="423">
        <f t="array" ref="F66">SUM((F$38='Accident &amp; Incident Detail'!$C$2:$C$3433)*("Staff"='Accident &amp; Incident Detail'!$K$2:$K$3433)*($A$66='Accident &amp; Incident Detail'!$E$2:$E$3433)*("CS"='Accident &amp; Incident Detail'!$R$2:$R$3433))</f>
        <v>0</v>
      </c>
      <c r="G66" s="423">
        <f t="array" ref="G66">SUM((G$38='Accident &amp; Incident Detail'!$C$2:$C$3433)*("Staff"='Accident &amp; Incident Detail'!$K$2:$K$3433)*($A$66='Accident &amp; Incident Detail'!$E$2:$E$3433)*("CS"='Accident &amp; Incident Detail'!$R$2:$R$3433))</f>
        <v>0</v>
      </c>
      <c r="H66" s="423">
        <f t="array" ref="H66">SUM((H$38='Accident &amp; Incident Detail'!$C$2:$C$3433)*("Staff"='Accident &amp; Incident Detail'!$K$2:$K$3433)*($A$66='Accident &amp; Incident Detail'!$E$2:$E$3433)*("CS"='Accident &amp; Incident Detail'!$R$2:$R$3433))</f>
        <v>0</v>
      </c>
      <c r="I66" s="423">
        <f t="array" ref="I66">SUM((I$38='Accident &amp; Incident Detail'!$C$2:$C$3433)*("Staff"='Accident &amp; Incident Detail'!$K$2:$K$3433)*($A$66='Accident &amp; Incident Detail'!$E$2:$E$3433)*("CS"='Accident &amp; Incident Detail'!$R$2:$R$3433))</f>
        <v>0</v>
      </c>
      <c r="J66" s="163">
        <f t="array" ref="J66">SUM((J$38='Accident &amp; Incident Detail'!$C$2:$C$3433)*("Staff"='Accident &amp; Incident Detail'!$K$2:$K$3433)*($A$66='Accident &amp; Incident Detail'!$E$2:$E$3433)*("CS"='Accident &amp; Incident Detail'!$R$2:$R$3433))</f>
        <v>0</v>
      </c>
      <c r="K66" s="163">
        <f t="array" ref="K66">SUM((K$38='Accident &amp; Incident Detail'!$C$2:$C$3433)*("Staff"='Accident &amp; Incident Detail'!$K$2:$K$3433)*($A$66='Accident &amp; Incident Detail'!$E$2:$E$3433)*("CS"='Accident &amp; Incident Detail'!$R$2:$R$3433))</f>
        <v>1</v>
      </c>
      <c r="L66" s="163">
        <f t="array" ref="L66">SUM((L$38='Accident &amp; Incident Detail'!$C$2:$C$3433)*("Staff"='Accident &amp; Incident Detail'!$K$2:$K$3433)*($A$66='Accident &amp; Incident Detail'!$E$2:$E$3433)*("CS"='Accident &amp; Incident Detail'!$R$2:$R$3433))</f>
        <v>0</v>
      </c>
      <c r="M66" s="163">
        <f t="array" ref="M66">SUM((M$38='Accident &amp; Incident Detail'!$C$2:$C$3433)*("Staff"='Accident &amp; Incident Detail'!$K$2:$K$3433)*($A$66='Accident &amp; Incident Detail'!$E$2:$E$3433)*("CS"='Accident &amp; Incident Detail'!$R$2:$R$3433))</f>
        <v>0</v>
      </c>
      <c r="N66" s="163">
        <f t="array" ref="N66">SUM((N$38='Accident &amp; Incident Detail'!$C$2:$C$3433)*("Staff"='Accident &amp; Incident Detail'!$K$2:$K$3433)*($A$66='Accident &amp; Incident Detail'!$E$2:$E$3433)*("CS"='Accident &amp; Incident Detail'!$R$2:$R$3433))</f>
        <v>0</v>
      </c>
      <c r="O66" s="163">
        <f t="array" ref="O66">SUM((O$38='Accident &amp; Incident Detail'!$C$2:$C$3433)*("Staff"='Accident &amp; Incident Detail'!$K$2:$K$3433)*($A$66='Accident &amp; Incident Detail'!$E$2:$E$3433)*("CS"='Accident &amp; Incident Detail'!$R$2:$R$3433))</f>
        <v>0</v>
      </c>
      <c r="P66" s="163">
        <f t="array" ref="P66">SUM((P$38='Accident &amp; Incident Detail'!$C$2:$C$3433)*("Staff"='Accident &amp; Incident Detail'!$K$2:$K$3433)*($A$66='Accident &amp; Incident Detail'!$E$2:$E$3433)*("CS"='Accident &amp; Incident Detail'!$R$2:$R$3433))</f>
        <v>0</v>
      </c>
      <c r="Q66" s="163">
        <f t="array" ref="Q66">SUM((Q$38='Accident &amp; Incident Detail'!$C$2:$C$3433)*("Staff"='Accident &amp; Incident Detail'!$K$2:$K$3433)*($A$66='Accident &amp; Incident Detail'!$E$2:$E$3433)*("CS"='Accident &amp; Incident Detail'!$R$2:$R$3433))</f>
        <v>0</v>
      </c>
      <c r="R66" s="163">
        <f t="array" ref="R66">SUM((R$38='Accident &amp; Incident Detail'!$C$2:$C$3433)*("Staff"='Accident &amp; Incident Detail'!$K$2:$K$3433)*($A$66='Accident &amp; Incident Detail'!$E$2:$E$3433)*("CS"='Accident &amp; Incident Detail'!$R$2:$R$3433))</f>
        <v>1</v>
      </c>
      <c r="S66" s="163">
        <f t="array" ref="S66">SUM((S$38='Accident &amp; Incident Detail'!$C$2:$C$3433)*("Staff"='Accident &amp; Incident Detail'!$K$2:$K$3433)*($A$66='Accident &amp; Incident Detail'!$E$2:$E$3433)*("CS"='Accident &amp; Incident Detail'!$R$2:$R$3433))</f>
        <v>0</v>
      </c>
      <c r="T66" s="163">
        <f t="array" ref="T66">SUM((T$38='Accident &amp; Incident Detail'!$C$2:$C$3433)*("Staff"='Accident &amp; Incident Detail'!$K$2:$K$3433)*($A$66='Accident &amp; Incident Detail'!$E$2:$E$3433)*("CS"='Accident &amp; Incident Detail'!$R$2:$R$3433))</f>
        <v>1</v>
      </c>
      <c r="U66" s="163">
        <f t="array" ref="U66">SUM((U$38='Accident &amp; Incident Detail'!$C$2:$C$3433)*("Staff"='Accident &amp; Incident Detail'!$K$2:$K$3433)*($A$66='Accident &amp; Incident Detail'!$E$2:$E$3433)*("CS"='Accident &amp; Incident Detail'!$R$2:$R$3433))</f>
        <v>0</v>
      </c>
      <c r="V66" s="163">
        <f t="array" ref="V66">SUM((V$38='Accident &amp; Incident Detail'!$C$2:$C$3433)*("Staff"='Accident &amp; Incident Detail'!$K$2:$K$3433)*($A$66='Accident &amp; Incident Detail'!$E$2:$E$3433)*("CS"='Accident &amp; Incident Detail'!$R$2:$R$3433))</f>
        <v>0</v>
      </c>
      <c r="W66" s="163">
        <f t="array" ref="W66">SUM((W$38='Accident &amp; Incident Detail'!$C$2:$C$3433)*("Staff"='Accident &amp; Incident Detail'!$K$2:$K$3433)*($A$66='Accident &amp; Incident Detail'!$E$2:$E$3433)*("CS"='Accident &amp; Incident Detail'!$R$2:$R$3433))</f>
        <v>0</v>
      </c>
      <c r="X66" s="163">
        <f t="array" ref="X66">SUM((X$38='Accident &amp; Incident Detail'!$C$2:$C$3433)*("Staff"='Accident &amp; Incident Detail'!$K$2:$K$3433)*($A$66='Accident &amp; Incident Detail'!$E$2:$E$3433)*("CS"='Accident &amp; Incident Detail'!$R$2:$R$3433))</f>
        <v>0</v>
      </c>
      <c r="Y66" s="163">
        <f t="array" ref="Y66">SUM((Y$38='Accident &amp; Incident Detail'!$C$2:$C$3433)*("Staff"='Accident &amp; Incident Detail'!$K$2:$K$3433)*($A$66='Accident &amp; Incident Detail'!$E$2:$E$3433)*("CS"='Accident &amp; Incident Detail'!$R$2:$R$3433))</f>
        <v>0</v>
      </c>
      <c r="Z66" s="80">
        <f t="array" ref="Z66">SUM((Z$38='Accident &amp; Incident Detail'!$C$2:$C$3433)*("Staff"='Accident &amp; Incident Detail'!$K$2:$K$3433)*($A$66='Accident &amp; Incident Detail'!$E$2:$E$3433)*("CS"='Accident &amp; Incident Detail'!$R$2:$R$3433))</f>
        <v>0</v>
      </c>
      <c r="AA66" s="80">
        <f t="array" ref="AA66">SUM((AA$38='Accident &amp; Incident Detail'!$C$2:$C$3433)*("Staff"='Accident &amp; Incident Detail'!$K$2:$K$3433)*($A$66='Accident &amp; Incident Detail'!$E$2:$E$3433)*("CS"='Accident &amp; Incident Detail'!$R$2:$R$3433))</f>
        <v>0</v>
      </c>
      <c r="AB66" s="80">
        <f t="array" ref="AB66">SUM((AB$38='Accident &amp; Incident Detail'!$C$2:$C$3433)*("Staff"='Accident &amp; Incident Detail'!$K$2:$K$3433)*($A$66='Accident &amp; Incident Detail'!$E$2:$E$3433)*("CS"='Accident &amp; Incident Detail'!$R$2:$R$3433))</f>
        <v>0</v>
      </c>
      <c r="AC66" s="80">
        <f t="array" ref="AC66">SUM((AC$38='Accident &amp; Incident Detail'!$C$2:$C$3433)*("Staff"='Accident &amp; Incident Detail'!$K$2:$K$3433)*($A$66='Accident &amp; Incident Detail'!$E$2:$E$3433)*("CS"='Accident &amp; Incident Detail'!$R$2:$R$3433))</f>
        <v>0</v>
      </c>
      <c r="AD66" s="80">
        <f t="array" ref="AD66">SUM((AD$38='Accident &amp; Incident Detail'!$C$2:$C$3433)*("Staff"='Accident &amp; Incident Detail'!$K$2:$K$3433)*($A$66='Accident &amp; Incident Detail'!$E$2:$E$3433)*("CS"='Accident &amp; Incident Detail'!$R$2:$R$3433))</f>
        <v>0</v>
      </c>
      <c r="AE66" s="80">
        <f t="array" ref="AE66">SUM((AE$38='Accident &amp; Incident Detail'!$C$2:$C$3433)*("Staff"='Accident &amp; Incident Detail'!$K$2:$K$3433)*($A$66='Accident &amp; Incident Detail'!$E$2:$E$3433)*("CS"='Accident &amp; Incident Detail'!$R$2:$R$3433))</f>
        <v>0</v>
      </c>
      <c r="AF66" s="80">
        <f t="array" ref="AF66">SUM((AF$38='Accident &amp; Incident Detail'!$C$2:$C$3433)*("Staff"='Accident &amp; Incident Detail'!$K$2:$K$3433)*($A$66='Accident &amp; Incident Detail'!$E$2:$E$3433)*("CS"='Accident &amp; Incident Detail'!$R$2:$R$3433))</f>
        <v>0</v>
      </c>
      <c r="AG66" s="80">
        <f t="array" ref="AG66">SUM((AG$38='Accident &amp; Incident Detail'!$C$2:$C$3433)*("Staff"='Accident &amp; Incident Detail'!$K$2:$K$3433)*($A$66='Accident &amp; Incident Detail'!$E$2:$E$3433)*("CS"='Accident &amp; Incident Detail'!$R$2:$R$3433))</f>
        <v>0</v>
      </c>
      <c r="AH66" s="32">
        <f t="array" ref="AH66">SUM((AH$38='Accident &amp; Incident Detail'!$C$2:$C$3433)*("Staff"='Accident &amp; Incident Detail'!$K$2:$K$3433)*($A$66='Accident &amp; Incident Detail'!$E$2:$E$3433)*("CS"='Accident &amp; Incident Detail'!$R$2:$R$3433))</f>
        <v>0</v>
      </c>
      <c r="AI66" s="80">
        <f t="array" ref="AI66">SUM((AI$38='Accident &amp; Incident Detail'!$C$2:$C$3433)*("Staff"='Accident &amp; Incident Detail'!$K$2:$K$3433)*($A$66='Accident &amp; Incident Detail'!$E$2:$E$3433)*("CS"='Accident &amp; Incident Detail'!$R$2:$R$3433))</f>
        <v>0</v>
      </c>
      <c r="AJ66" s="80">
        <f t="array" ref="AJ66">SUM((AJ$38='Accident &amp; Incident Detail'!$C$2:$C$3433)*("Staff"='Accident &amp; Incident Detail'!$K$2:$K$3433)*($A$66='Accident &amp; Incident Detail'!$E$2:$E$3433)*("CS"='Accident &amp; Incident Detail'!$R$2:$R$3433))</f>
        <v>0</v>
      </c>
      <c r="AK66" s="80">
        <f t="array" ref="AK66">SUM((AK$38='Accident &amp; Incident Detail'!$C$2:$C$3433)*("Staff"='Accident &amp; Incident Detail'!$K$2:$K$3433)*($A$66='Accident &amp; Incident Detail'!$E$2:$E$3433)*("CS"='Accident &amp; Incident Detail'!$R$2:$R$3433))</f>
        <v>0</v>
      </c>
      <c r="AL66" s="80">
        <f t="array" ref="AL66">SUM((AL$38='Accident &amp; Incident Detail'!$C$2:$C$3433)*("Staff"='Accident &amp; Incident Detail'!$K$2:$K$3433)*($A$66='Accident &amp; Incident Detail'!$E$2:$E$3433)*("CS"='Accident &amp; Incident Detail'!$R$2:$R$3433))</f>
        <v>0</v>
      </c>
      <c r="AM66" s="80">
        <f t="array" ref="AM66">SUM((AM$38='Accident &amp; Incident Detail'!$C$2:$C$3433)*("Staff"='Accident &amp; Incident Detail'!$K$2:$K$3433)*($A$66='Accident &amp; Incident Detail'!$E$2:$E$3433)*("CS"='Accident &amp; Incident Detail'!$R$2:$R$3433))</f>
        <v>0</v>
      </c>
      <c r="AN66" s="80">
        <f t="array" ref="AN66">SUM((AN$38='Accident &amp; Incident Detail'!$C$2:$C$3433)*("Staff"='Accident &amp; Incident Detail'!$K$2:$K$3433)*($A$66='Accident &amp; Incident Detail'!$E$2:$E$3433)*("CS"='Accident &amp; Incident Detail'!$R$2:$R$3433))</f>
        <v>0</v>
      </c>
    </row>
    <row r="67" spans="1:40" x14ac:dyDescent="0.35">
      <c r="A67" s="187" t="s">
        <v>15</v>
      </c>
      <c r="B67" s="422">
        <f>IF(B$1=1,(SUM(B66:B66)/13),0)</f>
        <v>0</v>
      </c>
      <c r="C67" s="422">
        <f>IF(C$1=1,(SUM(B66:C66)/13),0)</f>
        <v>0</v>
      </c>
      <c r="D67" s="422">
        <f>IF(D$1=1,(SUM(B66:D66)/13),0)</f>
        <v>0</v>
      </c>
      <c r="E67" s="422">
        <f>IF(E$1=1,(SUM(B66:E66)/13),0)</f>
        <v>0</v>
      </c>
      <c r="F67" s="422">
        <f>IF(F$1=1,(SUM(B66:F66)/13),0)</f>
        <v>0</v>
      </c>
      <c r="G67" s="422">
        <f>IF(G$1=1,(SUM(B66:G66)/13),0)</f>
        <v>0</v>
      </c>
      <c r="H67" s="422">
        <f>IF(H$1=1,(SUM(B66:H66)/13),0)</f>
        <v>0</v>
      </c>
      <c r="I67" s="422">
        <f>IF(I$1=1,(SUM(B66:I66)/13),0)</f>
        <v>0</v>
      </c>
      <c r="J67" s="46">
        <f>IF(J$1=1,(SUM(B66:J66)/13),0)</f>
        <v>0</v>
      </c>
      <c r="K67" s="46">
        <f>IF(K$1=1,(SUM(B66:K66)/13),0)</f>
        <v>7.6923076923076927E-2</v>
      </c>
      <c r="L67" s="46">
        <f>IF(L$1=1,(SUM(B66:L66)/13),0)</f>
        <v>7.6923076923076927E-2</v>
      </c>
      <c r="M67" s="46">
        <f>IF(M$1=1,(SUM(B66:M66)/13),0)</f>
        <v>7.6923076923076927E-2</v>
      </c>
      <c r="N67" s="46">
        <f>IF(N$1=1,(SUM(B66:N66)/13),0)</f>
        <v>7.6923076923076927E-2</v>
      </c>
      <c r="O67" s="46">
        <f t="shared" ref="O67:Z67" si="59">IF(O$1=1,(SUM(C66:O66)/13),0)</f>
        <v>7.6923076923076927E-2</v>
      </c>
      <c r="P67" s="46">
        <f t="shared" si="59"/>
        <v>7.6923076923076927E-2</v>
      </c>
      <c r="Q67" s="46">
        <f t="shared" si="59"/>
        <v>7.6923076923076927E-2</v>
      </c>
      <c r="R67" s="46">
        <f t="shared" si="59"/>
        <v>0.15384615384615385</v>
      </c>
      <c r="S67" s="46">
        <f t="shared" si="59"/>
        <v>0.15384615384615385</v>
      </c>
      <c r="T67" s="46">
        <f t="shared" si="59"/>
        <v>0.23076923076923078</v>
      </c>
      <c r="U67" s="46">
        <f t="shared" si="59"/>
        <v>0.23076923076923078</v>
      </c>
      <c r="V67" s="46">
        <f t="shared" si="59"/>
        <v>0.23076923076923078</v>
      </c>
      <c r="W67" s="46">
        <f t="shared" si="59"/>
        <v>0.23076923076923078</v>
      </c>
      <c r="X67" s="46">
        <f t="shared" si="59"/>
        <v>0.15384615384615385</v>
      </c>
      <c r="Y67" s="46">
        <f t="shared" si="59"/>
        <v>0.15384615384615385</v>
      </c>
      <c r="Z67" s="45">
        <f t="shared" si="59"/>
        <v>0.15384615384615385</v>
      </c>
      <c r="AA67" s="45">
        <f t="shared" ref="AA67:AN67" si="60">IF(AA$1=1,(SUM(O66:AA66)/13),0)</f>
        <v>0.15384615384615385</v>
      </c>
      <c r="AB67" s="45">
        <f t="shared" si="60"/>
        <v>0.15384615384615385</v>
      </c>
      <c r="AC67" s="45">
        <f t="shared" si="60"/>
        <v>0.15384615384615385</v>
      </c>
      <c r="AD67" s="45">
        <f t="shared" si="60"/>
        <v>0.15384615384615385</v>
      </c>
      <c r="AE67" s="45">
        <f t="shared" si="60"/>
        <v>7.6923076923076927E-2</v>
      </c>
      <c r="AF67" s="45">
        <f t="shared" si="60"/>
        <v>7.6923076923076927E-2</v>
      </c>
      <c r="AG67" s="45">
        <f t="shared" si="60"/>
        <v>0</v>
      </c>
      <c r="AH67" s="45">
        <f t="shared" si="60"/>
        <v>0</v>
      </c>
      <c r="AI67" s="45">
        <f t="shared" si="60"/>
        <v>0</v>
      </c>
      <c r="AJ67" s="45">
        <f t="shared" si="60"/>
        <v>0</v>
      </c>
      <c r="AK67" s="45">
        <f t="shared" si="60"/>
        <v>0</v>
      </c>
      <c r="AL67" s="45">
        <f t="shared" si="60"/>
        <v>0</v>
      </c>
      <c r="AM67" s="45">
        <f t="shared" si="60"/>
        <v>0</v>
      </c>
      <c r="AN67" s="45">
        <f t="shared" si="60"/>
        <v>0</v>
      </c>
    </row>
    <row r="68" spans="1:40" x14ac:dyDescent="0.35">
      <c r="A68" s="118" t="s">
        <v>28</v>
      </c>
      <c r="B68" s="423">
        <f t="array" ref="B68">SUM((B$38='Accident &amp; Incident Detail'!$C$2:$C$3433)*("Staff"='Accident &amp; Incident Detail'!$K$2:$K$3433)*($A$68='Accident &amp; Incident Detail'!$E$2:$E$3433)*("CS"='Accident &amp; Incident Detail'!$R$2:$R$3433))</f>
        <v>0</v>
      </c>
      <c r="C68" s="423">
        <f t="array" ref="C68">SUM((C$38='Accident &amp; Incident Detail'!$C$2:$C$3433)*("Staff"='Accident &amp; Incident Detail'!$K$2:$K$3433)*($A$68='Accident &amp; Incident Detail'!$E$2:$E$3433)*("CS"='Accident &amp; Incident Detail'!$R$2:$R$3433))</f>
        <v>0</v>
      </c>
      <c r="D68" s="423">
        <f t="array" ref="D68">SUM((D$38='Accident &amp; Incident Detail'!$C$2:$C$3433)*("Staff"='Accident &amp; Incident Detail'!$K$2:$K$3433)*($A$68='Accident &amp; Incident Detail'!$E$2:$E$3433)*("CS"='Accident &amp; Incident Detail'!$R$2:$R$3433))</f>
        <v>0</v>
      </c>
      <c r="E68" s="423">
        <f t="array" ref="E68">SUM((E$38='Accident &amp; Incident Detail'!$C$2:$C$3433)*("Staff"='Accident &amp; Incident Detail'!$K$2:$K$3433)*($A$68='Accident &amp; Incident Detail'!$E$2:$E$3433)*("CS"='Accident &amp; Incident Detail'!$R$2:$R$3433))</f>
        <v>0</v>
      </c>
      <c r="F68" s="423">
        <f t="array" ref="F68">SUM((F$38='Accident &amp; Incident Detail'!$C$2:$C$3433)*("Staff"='Accident &amp; Incident Detail'!$K$2:$K$3433)*($A$68='Accident &amp; Incident Detail'!$E$2:$E$3433)*("CS"='Accident &amp; Incident Detail'!$R$2:$R$3433))</f>
        <v>0</v>
      </c>
      <c r="G68" s="423">
        <f t="array" ref="G68">SUM((G$38='Accident &amp; Incident Detail'!$C$2:$C$3433)*("Staff"='Accident &amp; Incident Detail'!$K$2:$K$3433)*($A$68='Accident &amp; Incident Detail'!$E$2:$E$3433)*("CS"='Accident &amp; Incident Detail'!$R$2:$R$3433))</f>
        <v>0</v>
      </c>
      <c r="H68" s="423">
        <f t="array" ref="H68">SUM((H$38='Accident &amp; Incident Detail'!$C$2:$C$3433)*("Staff"='Accident &amp; Incident Detail'!$K$2:$K$3433)*($A$68='Accident &amp; Incident Detail'!$E$2:$E$3433)*("CS"='Accident &amp; Incident Detail'!$R$2:$R$3433))</f>
        <v>0</v>
      </c>
      <c r="I68" s="423">
        <f t="array" ref="I68">SUM((I$38='Accident &amp; Incident Detail'!$C$2:$C$3433)*("Staff"='Accident &amp; Incident Detail'!$K$2:$K$3433)*($A$68='Accident &amp; Incident Detail'!$E$2:$E$3433)*("CS"='Accident &amp; Incident Detail'!$R$2:$R$3433))</f>
        <v>0</v>
      </c>
      <c r="J68" s="35">
        <f t="array" ref="J68">SUM((J$38='Accident &amp; Incident Detail'!$C$2:$C$3433)*("Staff"='Accident &amp; Incident Detail'!$K$2:$K$3433)*($A$68='Accident &amp; Incident Detail'!$E$2:$E$3433)*("CS"='Accident &amp; Incident Detail'!$R$2:$R$3433))</f>
        <v>1</v>
      </c>
      <c r="K68" s="35">
        <f t="array" ref="K68">SUM((K$38='Accident &amp; Incident Detail'!$C$2:$C$3433)*("Staff"='Accident &amp; Incident Detail'!$K$2:$K$3433)*($A$68='Accident &amp; Incident Detail'!$E$2:$E$3433)*("CS"='Accident &amp; Incident Detail'!$R$2:$R$3433))</f>
        <v>0</v>
      </c>
      <c r="L68" s="35">
        <f t="array" ref="L68">SUM((L$38='Accident &amp; Incident Detail'!$C$2:$C$3433)*("Staff"='Accident &amp; Incident Detail'!$K$2:$K$3433)*($A$68='Accident &amp; Incident Detail'!$E$2:$E$3433)*("CS"='Accident &amp; Incident Detail'!$R$2:$R$3433))</f>
        <v>2</v>
      </c>
      <c r="M68" s="35">
        <f t="array" ref="M68">SUM((M$38='Accident &amp; Incident Detail'!$C$2:$C$3433)*("Staff"='Accident &amp; Incident Detail'!$K$2:$K$3433)*($A$68='Accident &amp; Incident Detail'!$E$2:$E$3433)*("CS"='Accident &amp; Incident Detail'!$R$2:$R$3433))</f>
        <v>1</v>
      </c>
      <c r="N68" s="35">
        <f t="array" ref="N68">SUM((N$38='Accident &amp; Incident Detail'!$C$2:$C$3433)*("Staff"='Accident &amp; Incident Detail'!$K$2:$K$3433)*($A$68='Accident &amp; Incident Detail'!$E$2:$E$3433)*("CS"='Accident &amp; Incident Detail'!$R$2:$R$3433))</f>
        <v>0</v>
      </c>
      <c r="O68" s="35">
        <f t="array" ref="O68">SUM((O$38='Accident &amp; Incident Detail'!$C$2:$C$3433)*("Staff"='Accident &amp; Incident Detail'!$K$2:$K$3433)*($A$68='Accident &amp; Incident Detail'!$E$2:$E$3433)*("CS"='Accident &amp; Incident Detail'!$R$2:$R$3433))</f>
        <v>0</v>
      </c>
      <c r="P68" s="35">
        <f t="array" ref="P68">SUM((P$38='Accident &amp; Incident Detail'!$C$2:$C$3433)*("Staff"='Accident &amp; Incident Detail'!$K$2:$K$3433)*($A$68='Accident &amp; Incident Detail'!$E$2:$E$3433)*("CS"='Accident &amp; Incident Detail'!$R$2:$R$3433))</f>
        <v>4</v>
      </c>
      <c r="Q68" s="35">
        <f t="array" ref="Q68">SUM((Q$38='Accident &amp; Incident Detail'!$C$2:$C$3433)*("Staff"='Accident &amp; Incident Detail'!$K$2:$K$3433)*($A$68='Accident &amp; Incident Detail'!$E$2:$E$3433)*("CS"='Accident &amp; Incident Detail'!$R$2:$R$3433))</f>
        <v>0</v>
      </c>
      <c r="R68" s="35">
        <f t="array" ref="R68">SUM((R$38='Accident &amp; Incident Detail'!$C$2:$C$3433)*("Staff"='Accident &amp; Incident Detail'!$K$2:$K$3433)*($A$68='Accident &amp; Incident Detail'!$E$2:$E$3433)*("CS"='Accident &amp; Incident Detail'!$R$2:$R$3433))</f>
        <v>1</v>
      </c>
      <c r="S68" s="35">
        <f t="array" ref="S68">SUM((S$38='Accident &amp; Incident Detail'!$C$2:$C$3433)*("Staff"='Accident &amp; Incident Detail'!$K$2:$K$3433)*($A$68='Accident &amp; Incident Detail'!$E$2:$E$3433)*("CS"='Accident &amp; Incident Detail'!$R$2:$R$3433))</f>
        <v>0</v>
      </c>
      <c r="T68" s="35">
        <f t="array" ref="T68">SUM((T$38='Accident &amp; Incident Detail'!$C$2:$C$3433)*("Staff"='Accident &amp; Incident Detail'!$K$2:$K$3433)*($A$68='Accident &amp; Incident Detail'!$E$2:$E$3433)*("CS"='Accident &amp; Incident Detail'!$R$2:$R$3433))</f>
        <v>0</v>
      </c>
      <c r="U68" s="35">
        <f t="array" ref="U68">SUM((U$38='Accident &amp; Incident Detail'!$C$2:$C$3433)*("Staff"='Accident &amp; Incident Detail'!$K$2:$K$3433)*($A$68='Accident &amp; Incident Detail'!$E$2:$E$3433)*("CS"='Accident &amp; Incident Detail'!$R$2:$R$3433))</f>
        <v>2</v>
      </c>
      <c r="V68" s="35">
        <f t="array" ref="V68">SUM((V$38='Accident &amp; Incident Detail'!$C$2:$C$3433)*("Staff"='Accident &amp; Incident Detail'!$K$2:$K$3433)*($A$68='Accident &amp; Incident Detail'!$E$2:$E$3433)*("CS"='Accident &amp; Incident Detail'!$R$2:$R$3433))</f>
        <v>1</v>
      </c>
      <c r="W68" s="35">
        <f t="array" ref="W68">SUM((W$38='Accident &amp; Incident Detail'!$C$2:$C$3433)*("Staff"='Accident &amp; Incident Detail'!$K$2:$K$3433)*($A$68='Accident &amp; Incident Detail'!$E$2:$E$3433)*("CS"='Accident &amp; Incident Detail'!$R$2:$R$3433))</f>
        <v>1</v>
      </c>
      <c r="X68" s="35">
        <f t="array" ref="X68">SUM((X$38='Accident &amp; Incident Detail'!$C$2:$C$3433)*("Staff"='Accident &amp; Incident Detail'!$K$2:$K$3433)*($A$68='Accident &amp; Incident Detail'!$E$2:$E$3433)*("CS"='Accident &amp; Incident Detail'!$R$2:$R$3433))</f>
        <v>3</v>
      </c>
      <c r="Y68" s="35">
        <f t="array" ref="Y68">SUM((Y$38='Accident &amp; Incident Detail'!$C$2:$C$3433)*("Staff"='Accident &amp; Incident Detail'!$K$2:$K$3433)*($A$68='Accident &amp; Incident Detail'!$E$2:$E$3433)*("CS"='Accident &amp; Incident Detail'!$R$2:$R$3433))</f>
        <v>2</v>
      </c>
      <c r="Z68" s="32">
        <f t="array" ref="Z68">SUM((Z$38='Accident &amp; Incident Detail'!$C$2:$C$3433)*("Staff"='Accident &amp; Incident Detail'!$K$2:$K$3433)*($A$68='Accident &amp; Incident Detail'!$E$2:$E$3433)*("CS"='Accident &amp; Incident Detail'!$R$2:$R$3433))</f>
        <v>0</v>
      </c>
      <c r="AA68" s="32">
        <f t="array" ref="AA68">SUM((AA$38='Accident &amp; Incident Detail'!$C$2:$C$3433)*("Staff"='Accident &amp; Incident Detail'!$K$2:$K$3433)*($A$68='Accident &amp; Incident Detail'!$E$2:$E$3433)*("CS"='Accident &amp; Incident Detail'!$R$2:$R$3433))</f>
        <v>1</v>
      </c>
      <c r="AB68" s="32">
        <f t="array" ref="AB68">SUM((AB$38='Accident &amp; Incident Detail'!$C$2:$C$3433)*("Staff"='Accident &amp; Incident Detail'!$K$2:$K$3433)*($A$68='Accident &amp; Incident Detail'!$E$2:$E$3433)*("CS"='Accident &amp; Incident Detail'!$R$2:$R$3433))</f>
        <v>0</v>
      </c>
      <c r="AC68" s="32">
        <f t="array" ref="AC68">SUM((AC$38='Accident &amp; Incident Detail'!$C$2:$C$3433)*("Staff"='Accident &amp; Incident Detail'!$K$2:$K$3433)*($A$68='Accident &amp; Incident Detail'!$E$2:$E$3433)*("CS"='Accident &amp; Incident Detail'!$R$2:$R$3433))</f>
        <v>1</v>
      </c>
      <c r="AD68" s="32">
        <f t="array" ref="AD68">SUM((AD$38='Accident &amp; Incident Detail'!$C$2:$C$3433)*("Staff"='Accident &amp; Incident Detail'!$K$2:$K$3433)*($A$68='Accident &amp; Incident Detail'!$E$2:$E$3433)*("CS"='Accident &amp; Incident Detail'!$R$2:$R$3433))</f>
        <v>2</v>
      </c>
      <c r="AE68" s="32">
        <f t="array" ref="AE68">SUM((AE$38='Accident &amp; Incident Detail'!$C$2:$C$3433)*("Staff"='Accident &amp; Incident Detail'!$K$2:$K$3433)*($A$68='Accident &amp; Incident Detail'!$E$2:$E$3433)*("CS"='Accident &amp; Incident Detail'!$R$2:$R$3433))</f>
        <v>0</v>
      </c>
      <c r="AF68" s="32">
        <f t="array" ref="AF68">SUM((AF$38='Accident &amp; Incident Detail'!$C$2:$C$3433)*("Staff"='Accident &amp; Incident Detail'!$K$2:$K$3433)*($A$68='Accident &amp; Incident Detail'!$E$2:$E$3433)*("CS"='Accident &amp; Incident Detail'!$R$2:$R$3433))</f>
        <v>0</v>
      </c>
      <c r="AG68" s="32">
        <f t="array" ref="AG68">SUM((AG$38='Accident &amp; Incident Detail'!$C$2:$C$3433)*("Staff"='Accident &amp; Incident Detail'!$K$2:$K$3433)*($A$68='Accident &amp; Incident Detail'!$E$2:$E$3433)*("CS"='Accident &amp; Incident Detail'!$R$2:$R$3433))</f>
        <v>0</v>
      </c>
      <c r="AH68" s="32">
        <f t="array" ref="AH68">SUM((AH$38='Accident &amp; Incident Detail'!$C$2:$C$3433)*("Staff"='Accident &amp; Incident Detail'!$K$2:$K$3433)*($A$68='Accident &amp; Incident Detail'!$E$2:$E$3433)*("CS"='Accident &amp; Incident Detail'!$R$2:$R$3433))</f>
        <v>1</v>
      </c>
      <c r="AI68" s="32">
        <f t="array" ref="AI68">SUM((AI$38='Accident &amp; Incident Detail'!$C$2:$C$3433)*("Staff"='Accident &amp; Incident Detail'!$K$2:$K$3433)*($A$68='Accident &amp; Incident Detail'!$E$2:$E$3433)*("CS"='Accident &amp; Incident Detail'!$R$2:$R$3433))</f>
        <v>0</v>
      </c>
      <c r="AJ68" s="32">
        <f t="array" ref="AJ68">SUM((AJ$38='Accident &amp; Incident Detail'!$C$2:$C$3433)*("Staff"='Accident &amp; Incident Detail'!$K$2:$K$3433)*($A$68='Accident &amp; Incident Detail'!$E$2:$E$3433)*("CS"='Accident &amp; Incident Detail'!$R$2:$R$3433))</f>
        <v>2</v>
      </c>
      <c r="AK68" s="32">
        <f t="array" ref="AK68">SUM((AK$38='Accident &amp; Incident Detail'!$C$2:$C$3433)*("Staff"='Accident &amp; Incident Detail'!$K$2:$K$3433)*($A$68='Accident &amp; Incident Detail'!$E$2:$E$3433)*("CS"='Accident &amp; Incident Detail'!$R$2:$R$3433))</f>
        <v>0</v>
      </c>
      <c r="AL68" s="32">
        <f t="array" ref="AL68">SUM((AL$38='Accident &amp; Incident Detail'!$C$2:$C$3433)*("Staff"='Accident &amp; Incident Detail'!$K$2:$K$3433)*($A$68='Accident &amp; Incident Detail'!$E$2:$E$3433)*("CS"='Accident &amp; Incident Detail'!$R$2:$R$3433))</f>
        <v>3</v>
      </c>
      <c r="AM68" s="32">
        <f t="array" ref="AM68">SUM((AM$38='Accident &amp; Incident Detail'!$C$2:$C$3433)*("Staff"='Accident &amp; Incident Detail'!$K$2:$K$3433)*($A$68='Accident &amp; Incident Detail'!$E$2:$E$3433)*("CS"='Accident &amp; Incident Detail'!$R$2:$R$3433))</f>
        <v>0</v>
      </c>
      <c r="AN68" s="32">
        <f t="array" ref="AN68">SUM((AN$38='Accident &amp; Incident Detail'!$C$2:$C$3433)*("Staff"='Accident &amp; Incident Detail'!$K$2:$K$3433)*($A$68='Accident &amp; Incident Detail'!$E$2:$E$3433)*("CS"='Accident &amp; Incident Detail'!$R$2:$R$3433))</f>
        <v>0</v>
      </c>
    </row>
    <row r="69" spans="1:40" x14ac:dyDescent="0.35">
      <c r="A69" s="187" t="s">
        <v>15</v>
      </c>
      <c r="B69" s="422">
        <f>IF(B$1=1,(SUM(B68:B68)/13),0)</f>
        <v>0</v>
      </c>
      <c r="C69" s="422">
        <f>IF(C$1=1,(SUM(B68:C68)/13),0)</f>
        <v>0</v>
      </c>
      <c r="D69" s="422">
        <f>IF(D$1=1,(SUM(B68:D68)/13),0)</f>
        <v>0</v>
      </c>
      <c r="E69" s="422">
        <f>IF(E$1=1,(SUM(B68:E68)/13),0)</f>
        <v>0</v>
      </c>
      <c r="F69" s="422">
        <f>IF(F$1=1,(SUM(B68:F68)/13),0)</f>
        <v>0</v>
      </c>
      <c r="G69" s="422">
        <f>IF(G$1=1,(SUM(B68:G68)/13),0)</f>
        <v>0</v>
      </c>
      <c r="H69" s="422">
        <f>IF(H$1=1,(SUM(B68:H68)/13),0)</f>
        <v>0</v>
      </c>
      <c r="I69" s="422">
        <f>IF(I$1=1,(SUM(B68:I68)/13),0)</f>
        <v>0</v>
      </c>
      <c r="J69" s="46">
        <f>IF(J$1=1,(SUM(B68:J68)/13),0)</f>
        <v>7.6923076923076927E-2</v>
      </c>
      <c r="K69" s="46">
        <f>IF(K$1=1,(SUM(B68:K68)/13),0)</f>
        <v>7.6923076923076927E-2</v>
      </c>
      <c r="L69" s="46">
        <f>IF(L$1=1,(SUM(B68:L68)/13),0)</f>
        <v>0.23076923076923078</v>
      </c>
      <c r="M69" s="46">
        <f>IF(M$1=1,(SUM(B68:M68)/13),0)</f>
        <v>0.30769230769230771</v>
      </c>
      <c r="N69" s="46">
        <f>IF(N$1=1,(SUM(B68:N68)/13),0)</f>
        <v>0.30769230769230771</v>
      </c>
      <c r="O69" s="46">
        <f t="shared" ref="O69:Z69" si="61">IF(O$1=1,(SUM(C68:O68)/13),0)</f>
        <v>0.30769230769230771</v>
      </c>
      <c r="P69" s="46">
        <f t="shared" si="61"/>
        <v>0.61538461538461542</v>
      </c>
      <c r="Q69" s="46">
        <f t="shared" si="61"/>
        <v>0.61538461538461542</v>
      </c>
      <c r="R69" s="46">
        <f t="shared" si="61"/>
        <v>0.69230769230769229</v>
      </c>
      <c r="S69" s="46">
        <f t="shared" si="61"/>
        <v>0.69230769230769229</v>
      </c>
      <c r="T69" s="46">
        <f t="shared" si="61"/>
        <v>0.69230769230769229</v>
      </c>
      <c r="U69" s="46">
        <f t="shared" si="61"/>
        <v>0.84615384615384615</v>
      </c>
      <c r="V69" s="46">
        <f t="shared" si="61"/>
        <v>0.92307692307692313</v>
      </c>
      <c r="W69" s="46">
        <f t="shared" si="61"/>
        <v>0.92307692307692313</v>
      </c>
      <c r="X69" s="46">
        <f t="shared" si="61"/>
        <v>1.1538461538461537</v>
      </c>
      <c r="Y69" s="46">
        <f t="shared" si="61"/>
        <v>1.1538461538461537</v>
      </c>
      <c r="Z69" s="45">
        <f t="shared" si="61"/>
        <v>1.0769230769230769</v>
      </c>
      <c r="AA69" s="45">
        <f t="shared" ref="AA69:AN69" si="62">IF(AA$1=1,(SUM(O68:AA68)/13),0)</f>
        <v>1.1538461538461537</v>
      </c>
      <c r="AB69" s="45">
        <f t="shared" si="62"/>
        <v>1.1538461538461537</v>
      </c>
      <c r="AC69" s="45">
        <f t="shared" si="62"/>
        <v>0.92307692307692313</v>
      </c>
      <c r="AD69" s="45">
        <f t="shared" si="62"/>
        <v>1.0769230769230769</v>
      </c>
      <c r="AE69" s="45">
        <f t="shared" si="62"/>
        <v>1</v>
      </c>
      <c r="AF69" s="45">
        <f t="shared" si="62"/>
        <v>1</v>
      </c>
      <c r="AG69" s="45">
        <f t="shared" si="62"/>
        <v>1</v>
      </c>
      <c r="AH69" s="45">
        <f t="shared" si="62"/>
        <v>0.92307692307692313</v>
      </c>
      <c r="AI69" s="45">
        <f t="shared" si="62"/>
        <v>0.84615384615384615</v>
      </c>
      <c r="AJ69" s="45">
        <f t="shared" si="62"/>
        <v>0.92307692307692313</v>
      </c>
      <c r="AK69" s="45">
        <f t="shared" si="62"/>
        <v>0.69230769230769229</v>
      </c>
      <c r="AL69" s="45">
        <f t="shared" si="62"/>
        <v>0</v>
      </c>
      <c r="AM69" s="45">
        <f t="shared" si="62"/>
        <v>0</v>
      </c>
      <c r="AN69" s="45">
        <f t="shared" si="62"/>
        <v>0</v>
      </c>
    </row>
    <row r="70" spans="1:40" x14ac:dyDescent="0.35">
      <c r="A70" s="120" t="s">
        <v>30</v>
      </c>
      <c r="B70" s="423">
        <f t="array" ref="B70">SUM((B$38='Accident &amp; Incident Detail'!$C$2:$C$3433)*("Staff"='Accident &amp; Incident Detail'!$K$2:$K$3433)*($A$70='Accident &amp; Incident Detail'!$E$2:$E$3433)*("CS"='Accident &amp; Incident Detail'!$R$2:$R$3433))</f>
        <v>0</v>
      </c>
      <c r="C70" s="423">
        <f t="array" ref="C70">SUM((C$38='Accident &amp; Incident Detail'!$C$2:$C$3433)*("Staff"='Accident &amp; Incident Detail'!$K$2:$K$3433)*($A$70='Accident &amp; Incident Detail'!$E$2:$E$3433)*("CS"='Accident &amp; Incident Detail'!$R$2:$R$3433))</f>
        <v>0</v>
      </c>
      <c r="D70" s="423">
        <f t="array" ref="D70">SUM((D$38='Accident &amp; Incident Detail'!$C$2:$C$3433)*("Staff"='Accident &amp; Incident Detail'!$K$2:$K$3433)*($A$70='Accident &amp; Incident Detail'!$E$2:$E$3433)*("CS"='Accident &amp; Incident Detail'!$R$2:$R$3433))</f>
        <v>0</v>
      </c>
      <c r="E70" s="423">
        <f t="array" ref="E70">SUM((E$38='Accident &amp; Incident Detail'!$C$2:$C$3433)*("Staff"='Accident &amp; Incident Detail'!$K$2:$K$3433)*($A$70='Accident &amp; Incident Detail'!$E$2:$E$3433)*("CS"='Accident &amp; Incident Detail'!$R$2:$R$3433))</f>
        <v>0</v>
      </c>
      <c r="F70" s="423">
        <f t="array" ref="F70">SUM((F$38='Accident &amp; Incident Detail'!$C$2:$C$3433)*("Staff"='Accident &amp; Incident Detail'!$K$2:$K$3433)*($A$70='Accident &amp; Incident Detail'!$E$2:$E$3433)*("CS"='Accident &amp; Incident Detail'!$R$2:$R$3433))</f>
        <v>0</v>
      </c>
      <c r="G70" s="423">
        <f t="array" ref="G70">SUM((G$38='Accident &amp; Incident Detail'!$C$2:$C$3433)*("Staff"='Accident &amp; Incident Detail'!$K$2:$K$3433)*($A$70='Accident &amp; Incident Detail'!$E$2:$E$3433)*("CS"='Accident &amp; Incident Detail'!$R$2:$R$3433))</f>
        <v>0</v>
      </c>
      <c r="H70" s="423">
        <f t="array" ref="H70">SUM((H$38='Accident &amp; Incident Detail'!$C$2:$C$3433)*("Staff"='Accident &amp; Incident Detail'!$K$2:$K$3433)*($A$70='Accident &amp; Incident Detail'!$E$2:$E$3433)*("CS"='Accident &amp; Incident Detail'!$R$2:$R$3433))</f>
        <v>0</v>
      </c>
      <c r="I70" s="423">
        <f t="array" ref="I70">SUM((I$38='Accident &amp; Incident Detail'!$C$2:$C$3433)*("Staff"='Accident &amp; Incident Detail'!$K$2:$K$3433)*($A$70='Accident &amp; Incident Detail'!$E$2:$E$3433)*("CS"='Accident &amp; Incident Detail'!$R$2:$R$3433))</f>
        <v>0</v>
      </c>
      <c r="J70" s="35">
        <f t="array" ref="J70">SUM((J$38='Accident &amp; Incident Detail'!$C$2:$C$3433)*("Staff"='Accident &amp; Incident Detail'!$K$2:$K$3433)*($A$70='Accident &amp; Incident Detail'!$E$2:$E$3433)*("CS"='Accident &amp; Incident Detail'!$R$2:$R$3433))</f>
        <v>0</v>
      </c>
      <c r="K70" s="35">
        <f t="array" ref="K70">SUM((K$38='Accident &amp; Incident Detail'!$C$2:$C$3433)*("Staff"='Accident &amp; Incident Detail'!$K$2:$K$3433)*($A$70='Accident &amp; Incident Detail'!$E$2:$E$3433)*("CS"='Accident &amp; Incident Detail'!$R$2:$R$3433))</f>
        <v>0</v>
      </c>
      <c r="L70" s="35">
        <f t="array" ref="L70">SUM((L$38='Accident &amp; Incident Detail'!$C$2:$C$3433)*("Staff"='Accident &amp; Incident Detail'!$K$2:$K$3433)*($A$70='Accident &amp; Incident Detail'!$E$2:$E$3433)*("CS"='Accident &amp; Incident Detail'!$R$2:$R$3433))</f>
        <v>0</v>
      </c>
      <c r="M70" s="35">
        <f t="array" ref="M70">SUM((M$38='Accident &amp; Incident Detail'!$C$2:$C$3433)*("Staff"='Accident &amp; Incident Detail'!$K$2:$K$3433)*($A$70='Accident &amp; Incident Detail'!$E$2:$E$3433)*("CS"='Accident &amp; Incident Detail'!$R$2:$R$3433))</f>
        <v>0</v>
      </c>
      <c r="N70" s="35">
        <f t="array" ref="N70">SUM((N$38='Accident &amp; Incident Detail'!$C$2:$C$3433)*("Staff"='Accident &amp; Incident Detail'!$K$2:$K$3433)*($A$70='Accident &amp; Incident Detail'!$E$2:$E$3433)*("CS"='Accident &amp; Incident Detail'!$R$2:$R$3433))</f>
        <v>0</v>
      </c>
      <c r="O70" s="35">
        <f t="array" ref="O70">SUM((O$38='Accident &amp; Incident Detail'!$C$2:$C$3433)*("Staff"='Accident &amp; Incident Detail'!$K$2:$K$3433)*($A$70='Accident &amp; Incident Detail'!$E$2:$E$3433)*("CS"='Accident &amp; Incident Detail'!$R$2:$R$3433))</f>
        <v>0</v>
      </c>
      <c r="P70" s="35">
        <f t="array" ref="P70">SUM((P$38='Accident &amp; Incident Detail'!$C$2:$C$3433)*("Staff"='Accident &amp; Incident Detail'!$K$2:$K$3433)*($A$70='Accident &amp; Incident Detail'!$E$2:$E$3433)*("CS"='Accident &amp; Incident Detail'!$R$2:$R$3433))</f>
        <v>0</v>
      </c>
      <c r="Q70" s="35">
        <f t="array" ref="Q70">SUM((Q$38='Accident &amp; Incident Detail'!$C$2:$C$3433)*("Staff"='Accident &amp; Incident Detail'!$K$2:$K$3433)*($A$70='Accident &amp; Incident Detail'!$E$2:$E$3433)*("CS"='Accident &amp; Incident Detail'!$R$2:$R$3433))</f>
        <v>0</v>
      </c>
      <c r="R70" s="35">
        <f t="array" ref="R70">SUM((R$38='Accident &amp; Incident Detail'!$C$2:$C$3433)*("Staff"='Accident &amp; Incident Detail'!$K$2:$K$3433)*($A$70='Accident &amp; Incident Detail'!$E$2:$E$3433)*("CS"='Accident &amp; Incident Detail'!$R$2:$R$3433))</f>
        <v>0</v>
      </c>
      <c r="S70" s="35">
        <f t="array" ref="S70">SUM((S$38='Accident &amp; Incident Detail'!$C$2:$C$3433)*("Staff"='Accident &amp; Incident Detail'!$K$2:$K$3433)*($A$70='Accident &amp; Incident Detail'!$E$2:$E$3433)*("CS"='Accident &amp; Incident Detail'!$R$2:$R$3433))</f>
        <v>0</v>
      </c>
      <c r="T70" s="35">
        <f t="array" ref="T70">SUM((T$38='Accident &amp; Incident Detail'!$C$2:$C$3433)*("Staff"='Accident &amp; Incident Detail'!$K$2:$K$3433)*($A$70='Accident &amp; Incident Detail'!$E$2:$E$3433)*("CS"='Accident &amp; Incident Detail'!$R$2:$R$3433))</f>
        <v>0</v>
      </c>
      <c r="U70" s="35">
        <f t="array" ref="U70">SUM((U$38='Accident &amp; Incident Detail'!$C$2:$C$3433)*("Staff"='Accident &amp; Incident Detail'!$K$2:$K$3433)*($A$70='Accident &amp; Incident Detail'!$E$2:$E$3433)*("CS"='Accident &amp; Incident Detail'!$R$2:$R$3433))</f>
        <v>0</v>
      </c>
      <c r="V70" s="35">
        <f t="array" ref="V70">SUM((V$38='Accident &amp; Incident Detail'!$C$2:$C$3433)*("Staff"='Accident &amp; Incident Detail'!$K$2:$K$3433)*($A$70='Accident &amp; Incident Detail'!$E$2:$E$3433)*("CS"='Accident &amp; Incident Detail'!$R$2:$R$3433))</f>
        <v>0</v>
      </c>
      <c r="W70" s="35">
        <f t="array" ref="W70">SUM((W$38='Accident &amp; Incident Detail'!$C$2:$C$3433)*("Staff"='Accident &amp; Incident Detail'!$K$2:$K$3433)*($A$70='Accident &amp; Incident Detail'!$E$2:$E$3433)*("CS"='Accident &amp; Incident Detail'!$R$2:$R$3433))</f>
        <v>0</v>
      </c>
      <c r="X70" s="35">
        <f t="array" ref="X70">SUM((X$38='Accident &amp; Incident Detail'!$C$2:$C$3433)*("Staff"='Accident &amp; Incident Detail'!$K$2:$K$3433)*($A$70='Accident &amp; Incident Detail'!$E$2:$E$3433)*("CS"='Accident &amp; Incident Detail'!$R$2:$R$3433))</f>
        <v>0</v>
      </c>
      <c r="Y70" s="35">
        <f t="array" ref="Y70">SUM((Y$38='Accident &amp; Incident Detail'!$C$2:$C$3433)*("Staff"='Accident &amp; Incident Detail'!$K$2:$K$3433)*($A$70='Accident &amp; Incident Detail'!$E$2:$E$3433)*("CS"='Accident &amp; Incident Detail'!$R$2:$R$3433))</f>
        <v>0</v>
      </c>
      <c r="Z70" s="32">
        <f t="array" ref="Z70">SUM((Z$38='Accident &amp; Incident Detail'!$C$2:$C$3433)*("Staff"='Accident &amp; Incident Detail'!$K$2:$K$3433)*($A$70='Accident &amp; Incident Detail'!$E$2:$E$3433)*("CS"='Accident &amp; Incident Detail'!$R$2:$R$3433))</f>
        <v>0</v>
      </c>
      <c r="AA70" s="32">
        <f t="array" ref="AA70">SUM((AA$38='Accident &amp; Incident Detail'!$C$2:$C$3433)*("Staff"='Accident &amp; Incident Detail'!$K$2:$K$3433)*($A$70='Accident &amp; Incident Detail'!$E$2:$E$3433)*("CS"='Accident &amp; Incident Detail'!$R$2:$R$3433))</f>
        <v>0</v>
      </c>
      <c r="AB70" s="32">
        <f t="array" ref="AB70">SUM((AB$38='Accident &amp; Incident Detail'!$C$2:$C$3433)*("Staff"='Accident &amp; Incident Detail'!$K$2:$K$3433)*($A$70='Accident &amp; Incident Detail'!$E$2:$E$3433)*("CS"='Accident &amp; Incident Detail'!$R$2:$R$3433))</f>
        <v>0</v>
      </c>
      <c r="AC70" s="32">
        <f t="array" ref="AC70">SUM((AC$38='Accident &amp; Incident Detail'!$C$2:$C$3433)*("Staff"='Accident &amp; Incident Detail'!$K$2:$K$3433)*($A$70='Accident &amp; Incident Detail'!$E$2:$E$3433)*("CS"='Accident &amp; Incident Detail'!$R$2:$R$3433))</f>
        <v>0</v>
      </c>
      <c r="AD70" s="32">
        <f t="array" ref="AD70">SUM((AD$38='Accident &amp; Incident Detail'!$C$2:$C$3433)*("Staff"='Accident &amp; Incident Detail'!$K$2:$K$3433)*($A$70='Accident &amp; Incident Detail'!$E$2:$E$3433)*("CS"='Accident &amp; Incident Detail'!$R$2:$R$3433))</f>
        <v>0</v>
      </c>
      <c r="AE70" s="32">
        <f t="array" ref="AE70">SUM((AE$38='Accident &amp; Incident Detail'!$C$2:$C$3433)*("Staff"='Accident &amp; Incident Detail'!$K$2:$K$3433)*($A$70='Accident &amp; Incident Detail'!$E$2:$E$3433)*("CS"='Accident &amp; Incident Detail'!$R$2:$R$3433))</f>
        <v>0</v>
      </c>
      <c r="AF70" s="32">
        <f t="array" ref="AF70">SUM((AF$38='Accident &amp; Incident Detail'!$C$2:$C$3433)*("Staff"='Accident &amp; Incident Detail'!$K$2:$K$3433)*($A$70='Accident &amp; Incident Detail'!$E$2:$E$3433)*("CS"='Accident &amp; Incident Detail'!$R$2:$R$3433))</f>
        <v>0</v>
      </c>
      <c r="AG70" s="32">
        <f t="array" ref="AG70">SUM((AG$38='Accident &amp; Incident Detail'!$C$2:$C$3433)*("Staff"='Accident &amp; Incident Detail'!$K$2:$K$3433)*($A$70='Accident &amp; Incident Detail'!$E$2:$E$3433)*("CS"='Accident &amp; Incident Detail'!$R$2:$R$3433))</f>
        <v>0</v>
      </c>
      <c r="AH70" s="32">
        <f t="array" ref="AH70">SUM((AH$38='Accident &amp; Incident Detail'!$C$2:$C$3433)*("Staff"='Accident &amp; Incident Detail'!$K$2:$K$3433)*($A$70='Accident &amp; Incident Detail'!$E$2:$E$3433)*("CS"='Accident &amp; Incident Detail'!$R$2:$R$3433))</f>
        <v>0</v>
      </c>
      <c r="AI70" s="32">
        <f t="array" ref="AI70">SUM((AI$38='Accident &amp; Incident Detail'!$C$2:$C$3433)*("Staff"='Accident &amp; Incident Detail'!$K$2:$K$3433)*($A$70='Accident &amp; Incident Detail'!$E$2:$E$3433)*("CS"='Accident &amp; Incident Detail'!$R$2:$R$3433))</f>
        <v>0</v>
      </c>
      <c r="AJ70" s="32">
        <f t="array" ref="AJ70">SUM((AJ$38='Accident &amp; Incident Detail'!$C$2:$C$3433)*("Staff"='Accident &amp; Incident Detail'!$K$2:$K$3433)*($A$70='Accident &amp; Incident Detail'!$E$2:$E$3433)*("CS"='Accident &amp; Incident Detail'!$R$2:$R$3433))</f>
        <v>0</v>
      </c>
      <c r="AK70" s="32">
        <f t="array" ref="AK70">SUM((AK$38='Accident &amp; Incident Detail'!$C$2:$C$3433)*("Staff"='Accident &amp; Incident Detail'!$K$2:$K$3433)*($A$70='Accident &amp; Incident Detail'!$E$2:$E$3433)*("CS"='Accident &amp; Incident Detail'!$R$2:$R$3433))</f>
        <v>0</v>
      </c>
      <c r="AL70" s="32">
        <f t="array" ref="AL70">SUM((AL$38='Accident &amp; Incident Detail'!$C$2:$C$3433)*("Staff"='Accident &amp; Incident Detail'!$K$2:$K$3433)*($A$70='Accident &amp; Incident Detail'!$E$2:$E$3433)*("CS"='Accident &amp; Incident Detail'!$R$2:$R$3433))</f>
        <v>0</v>
      </c>
      <c r="AM70" s="32">
        <f t="array" ref="AM70">SUM((AM$38='Accident &amp; Incident Detail'!$C$2:$C$3433)*("Staff"='Accident &amp; Incident Detail'!$K$2:$K$3433)*($A$70='Accident &amp; Incident Detail'!$E$2:$E$3433)*("CS"='Accident &amp; Incident Detail'!$R$2:$R$3433))</f>
        <v>0</v>
      </c>
      <c r="AN70" s="32">
        <f t="array" ref="AN70">SUM((AN$38='Accident &amp; Incident Detail'!$C$2:$C$3433)*("Staff"='Accident &amp; Incident Detail'!$K$2:$K$3433)*($A$70='Accident &amp; Incident Detail'!$E$2:$E$3433)*("CS"='Accident &amp; Incident Detail'!$R$2:$R$3433))</f>
        <v>0</v>
      </c>
    </row>
    <row r="71" spans="1:40" x14ac:dyDescent="0.35">
      <c r="A71" s="189" t="s">
        <v>15</v>
      </c>
      <c r="B71" s="422">
        <f>IF(B$1=1,(SUM(B70:B70)/13),0)</f>
        <v>0</v>
      </c>
      <c r="C71" s="422">
        <f>IF(C$1=1,(SUM(B70:C70)/13),0)</f>
        <v>0</v>
      </c>
      <c r="D71" s="422">
        <f>IF(D$1=1,(SUM(B70:D70)/13),0)</f>
        <v>0</v>
      </c>
      <c r="E71" s="422">
        <f>IF(E$1=1,(SUM(B70:E70)/13),0)</f>
        <v>0</v>
      </c>
      <c r="F71" s="422">
        <f>IF(F$1=1,(SUM(B70:F70)/13),0)</f>
        <v>0</v>
      </c>
      <c r="G71" s="422">
        <f>IF(G$1=1,(SUM(B70:G70)/13),0)</f>
        <v>0</v>
      </c>
      <c r="H71" s="422">
        <f>IF(H$1=1,(SUM(B70:H70)/13),0)</f>
        <v>0</v>
      </c>
      <c r="I71" s="422">
        <f>IF(I$1=1,(SUM(B70:I70)/13),0)</f>
        <v>0</v>
      </c>
      <c r="J71" s="46">
        <f>IF(J$1=1,(SUM(B70:J70)/13),0)</f>
        <v>0</v>
      </c>
      <c r="K71" s="46">
        <f>IF(K$1=1,(SUM(B70:K70)/13),0)</f>
        <v>0</v>
      </c>
      <c r="L71" s="46">
        <f>IF(L$1=1,(SUM(B70:L70)/13),0)</f>
        <v>0</v>
      </c>
      <c r="M71" s="46">
        <f>IF(M$1=1,(SUM(B70:M70)/13),0)</f>
        <v>0</v>
      </c>
      <c r="N71" s="46">
        <f>IF(N$1=1,(SUM(B70:N70)/13),0)</f>
        <v>0</v>
      </c>
      <c r="O71" s="46">
        <f t="shared" ref="O71:Z71" si="63">IF(O$1=1,(SUM(C70:O70)/13),0)</f>
        <v>0</v>
      </c>
      <c r="P71" s="46">
        <f t="shared" si="63"/>
        <v>0</v>
      </c>
      <c r="Q71" s="46">
        <f t="shared" si="63"/>
        <v>0</v>
      </c>
      <c r="R71" s="46">
        <f t="shared" si="63"/>
        <v>0</v>
      </c>
      <c r="S71" s="46">
        <f t="shared" si="63"/>
        <v>0</v>
      </c>
      <c r="T71" s="46">
        <f t="shared" si="63"/>
        <v>0</v>
      </c>
      <c r="U71" s="46">
        <f t="shared" si="63"/>
        <v>0</v>
      </c>
      <c r="V71" s="46">
        <f t="shared" si="63"/>
        <v>0</v>
      </c>
      <c r="W71" s="46">
        <f t="shared" si="63"/>
        <v>0</v>
      </c>
      <c r="X71" s="46">
        <f t="shared" si="63"/>
        <v>0</v>
      </c>
      <c r="Y71" s="46">
        <f t="shared" si="63"/>
        <v>0</v>
      </c>
      <c r="Z71" s="45">
        <f t="shared" si="63"/>
        <v>0</v>
      </c>
      <c r="AA71" s="45">
        <f t="shared" ref="AA71:AN71" si="64">IF(AA$1=1,(SUM(O70:AA70)/13),0)</f>
        <v>0</v>
      </c>
      <c r="AB71" s="45">
        <f t="shared" si="64"/>
        <v>0</v>
      </c>
      <c r="AC71" s="45">
        <f t="shared" si="64"/>
        <v>0</v>
      </c>
      <c r="AD71" s="45">
        <f t="shared" si="64"/>
        <v>0</v>
      </c>
      <c r="AE71" s="45">
        <f t="shared" si="64"/>
        <v>0</v>
      </c>
      <c r="AF71" s="45">
        <f t="shared" si="64"/>
        <v>0</v>
      </c>
      <c r="AG71" s="45">
        <f t="shared" si="64"/>
        <v>0</v>
      </c>
      <c r="AH71" s="45">
        <f t="shared" si="64"/>
        <v>0</v>
      </c>
      <c r="AI71" s="45">
        <f t="shared" si="64"/>
        <v>0</v>
      </c>
      <c r="AJ71" s="45">
        <f t="shared" si="64"/>
        <v>0</v>
      </c>
      <c r="AK71" s="45">
        <f t="shared" si="64"/>
        <v>0</v>
      </c>
      <c r="AL71" s="45">
        <f t="shared" si="64"/>
        <v>0</v>
      </c>
      <c r="AM71" s="45">
        <f t="shared" si="64"/>
        <v>0</v>
      </c>
      <c r="AN71" s="45">
        <f t="shared" si="64"/>
        <v>0</v>
      </c>
    </row>
    <row r="72" spans="1:40" x14ac:dyDescent="0.35">
      <c r="A72" s="120" t="s">
        <v>31</v>
      </c>
      <c r="B72" s="423">
        <f t="array" ref="B72">SUM((B$38='Accident &amp; Incident Detail'!$C$2:$C$3433)*("Staff"='Accident &amp; Incident Detail'!$K$2:$K$3433)*($A$72='Accident &amp; Incident Detail'!$E$2:$E$3433)*("CS"='Accident &amp; Incident Detail'!$R$2:$R$3433))</f>
        <v>0</v>
      </c>
      <c r="C72" s="423">
        <f t="array" ref="C72">SUM((C$38='Accident &amp; Incident Detail'!$C$2:$C$3433)*("Staff"='Accident &amp; Incident Detail'!$K$2:$K$3433)*($A$72='Accident &amp; Incident Detail'!$E$2:$E$3433)*("CS"='Accident &amp; Incident Detail'!$R$2:$R$3433))</f>
        <v>0</v>
      </c>
      <c r="D72" s="423">
        <f t="array" ref="D72">SUM((D$38='Accident &amp; Incident Detail'!$C$2:$C$3433)*("Staff"='Accident &amp; Incident Detail'!$K$2:$K$3433)*($A$72='Accident &amp; Incident Detail'!$E$2:$E$3433)*("CS"='Accident &amp; Incident Detail'!$R$2:$R$3433))</f>
        <v>0</v>
      </c>
      <c r="E72" s="423">
        <f t="array" ref="E72">SUM((E$38='Accident &amp; Incident Detail'!$C$2:$C$3433)*("Staff"='Accident &amp; Incident Detail'!$K$2:$K$3433)*($A$72='Accident &amp; Incident Detail'!$E$2:$E$3433)*("CS"='Accident &amp; Incident Detail'!$R$2:$R$3433))</f>
        <v>0</v>
      </c>
      <c r="F72" s="423">
        <f t="array" ref="F72">SUM((F$38='Accident &amp; Incident Detail'!$C$2:$C$3433)*("Staff"='Accident &amp; Incident Detail'!$K$2:$K$3433)*($A$72='Accident &amp; Incident Detail'!$E$2:$E$3433)*("CS"='Accident &amp; Incident Detail'!$R$2:$R$3433))</f>
        <v>0</v>
      </c>
      <c r="G72" s="423">
        <f t="array" ref="G72">SUM((G$38='Accident &amp; Incident Detail'!$C$2:$C$3433)*("Staff"='Accident &amp; Incident Detail'!$K$2:$K$3433)*($A$72='Accident &amp; Incident Detail'!$E$2:$E$3433)*("CS"='Accident &amp; Incident Detail'!$R$2:$R$3433))</f>
        <v>0</v>
      </c>
      <c r="H72" s="423">
        <f t="array" ref="H72">SUM((H$38='Accident &amp; Incident Detail'!$C$2:$C$3433)*("Staff"='Accident &amp; Incident Detail'!$K$2:$K$3433)*($A$72='Accident &amp; Incident Detail'!$E$2:$E$3433)*("CS"='Accident &amp; Incident Detail'!$R$2:$R$3433))</f>
        <v>0</v>
      </c>
      <c r="I72" s="423">
        <f t="array" ref="I72">SUM((I$38='Accident &amp; Incident Detail'!$C$2:$C$3433)*("Staff"='Accident &amp; Incident Detail'!$K$2:$K$3433)*($A$72='Accident &amp; Incident Detail'!$E$2:$E$3433)*("CS"='Accident &amp; Incident Detail'!$R$2:$R$3433))</f>
        <v>0</v>
      </c>
      <c r="J72" s="35">
        <f t="array" ref="J72">SUM((J$38='Accident &amp; Incident Detail'!$C$2:$C$3433)*("Staff"='Accident &amp; Incident Detail'!$K$2:$K$3433)*($A$72='Accident &amp; Incident Detail'!$E$2:$E$3433)*("CS"='Accident &amp; Incident Detail'!$R$2:$R$3433))</f>
        <v>0</v>
      </c>
      <c r="K72" s="35">
        <f t="array" ref="K72">SUM((K$38='Accident &amp; Incident Detail'!$C$2:$C$3433)*("Staff"='Accident &amp; Incident Detail'!$K$2:$K$3433)*($A$72='Accident &amp; Incident Detail'!$E$2:$E$3433)*("CS"='Accident &amp; Incident Detail'!$R$2:$R$3433))</f>
        <v>0</v>
      </c>
      <c r="L72" s="35">
        <f t="array" ref="L72">SUM((L$38='Accident &amp; Incident Detail'!$C$2:$C$3433)*("Staff"='Accident &amp; Incident Detail'!$K$2:$K$3433)*($A$72='Accident &amp; Incident Detail'!$E$2:$E$3433)*("CS"='Accident &amp; Incident Detail'!$R$2:$R$3433))</f>
        <v>0</v>
      </c>
      <c r="M72" s="35">
        <f t="array" ref="M72">SUM((M$38='Accident &amp; Incident Detail'!$C$2:$C$3433)*("Staff"='Accident &amp; Incident Detail'!$K$2:$K$3433)*($A$72='Accident &amp; Incident Detail'!$E$2:$E$3433)*("CS"='Accident &amp; Incident Detail'!$R$2:$R$3433))</f>
        <v>0</v>
      </c>
      <c r="N72" s="35">
        <f t="array" ref="N72">SUM((N$38='Accident &amp; Incident Detail'!$C$2:$C$3433)*("Staff"='Accident &amp; Incident Detail'!$K$2:$K$3433)*($A$72='Accident &amp; Incident Detail'!$E$2:$E$3433)*("CS"='Accident &amp; Incident Detail'!$R$2:$R$3433))</f>
        <v>0</v>
      </c>
      <c r="O72" s="35">
        <f t="array" ref="O72">SUM((O$38='Accident &amp; Incident Detail'!$C$2:$C$3433)*("Staff"='Accident &amp; Incident Detail'!$K$2:$K$3433)*($A$72='Accident &amp; Incident Detail'!$E$2:$E$3433)*("CS"='Accident &amp; Incident Detail'!$R$2:$R$3433))</f>
        <v>0</v>
      </c>
      <c r="P72" s="35">
        <f t="array" ref="P72">SUM((P$38='Accident &amp; Incident Detail'!$C$2:$C$3433)*("Staff"='Accident &amp; Incident Detail'!$K$2:$K$3433)*($A$72='Accident &amp; Incident Detail'!$E$2:$E$3433)*("CS"='Accident &amp; Incident Detail'!$R$2:$R$3433))</f>
        <v>0</v>
      </c>
      <c r="Q72" s="35">
        <f t="array" ref="Q72">SUM((Q$38='Accident &amp; Incident Detail'!$C$2:$C$3433)*("Staff"='Accident &amp; Incident Detail'!$K$2:$K$3433)*($A$72='Accident &amp; Incident Detail'!$E$2:$E$3433)*("CS"='Accident &amp; Incident Detail'!$R$2:$R$3433))</f>
        <v>0</v>
      </c>
      <c r="R72" s="35">
        <f t="array" ref="R72">SUM((R$38='Accident &amp; Incident Detail'!$C$2:$C$3433)*("Staff"='Accident &amp; Incident Detail'!$K$2:$K$3433)*($A$72='Accident &amp; Incident Detail'!$E$2:$E$3433)*("CS"='Accident &amp; Incident Detail'!$R$2:$R$3433))</f>
        <v>0</v>
      </c>
      <c r="S72" s="35">
        <f t="array" ref="S72">SUM((S$38='Accident &amp; Incident Detail'!$C$2:$C$3433)*("Staff"='Accident &amp; Incident Detail'!$K$2:$K$3433)*($A$72='Accident &amp; Incident Detail'!$E$2:$E$3433)*("CS"='Accident &amp; Incident Detail'!$R$2:$R$3433))</f>
        <v>0</v>
      </c>
      <c r="T72" s="35">
        <f t="array" ref="T72">SUM((T$38='Accident &amp; Incident Detail'!$C$2:$C$3433)*("Staff"='Accident &amp; Incident Detail'!$K$2:$K$3433)*($A$72='Accident &amp; Incident Detail'!$E$2:$E$3433)*("CS"='Accident &amp; Incident Detail'!$R$2:$R$3433))</f>
        <v>0</v>
      </c>
      <c r="U72" s="35">
        <f t="array" ref="U72">SUM((U$38='Accident &amp; Incident Detail'!$C$2:$C$3433)*("Staff"='Accident &amp; Incident Detail'!$K$2:$K$3433)*($A$72='Accident &amp; Incident Detail'!$E$2:$E$3433)*("CS"='Accident &amp; Incident Detail'!$R$2:$R$3433))</f>
        <v>0</v>
      </c>
      <c r="V72" s="35">
        <f t="array" ref="V72">SUM((V$38='Accident &amp; Incident Detail'!$C$2:$C$3433)*("Staff"='Accident &amp; Incident Detail'!$K$2:$K$3433)*($A$72='Accident &amp; Incident Detail'!$E$2:$E$3433)*("CS"='Accident &amp; Incident Detail'!$R$2:$R$3433))</f>
        <v>0</v>
      </c>
      <c r="W72" s="35">
        <f t="array" ref="W72">SUM((W$38='Accident &amp; Incident Detail'!$C$2:$C$3433)*("Staff"='Accident &amp; Incident Detail'!$K$2:$K$3433)*($A$72='Accident &amp; Incident Detail'!$E$2:$E$3433)*("CS"='Accident &amp; Incident Detail'!$R$2:$R$3433))</f>
        <v>0</v>
      </c>
      <c r="X72" s="35">
        <f t="array" ref="X72">SUM((X$38='Accident &amp; Incident Detail'!$C$2:$C$3433)*("Staff"='Accident &amp; Incident Detail'!$K$2:$K$3433)*($A$72='Accident &amp; Incident Detail'!$E$2:$E$3433)*("CS"='Accident &amp; Incident Detail'!$R$2:$R$3433))</f>
        <v>1</v>
      </c>
      <c r="Y72" s="35">
        <f t="array" ref="Y72">SUM((Y$38='Accident &amp; Incident Detail'!$C$2:$C$3433)*("Staff"='Accident &amp; Incident Detail'!$K$2:$K$3433)*($A$72='Accident &amp; Incident Detail'!$E$2:$E$3433)*("CS"='Accident &amp; Incident Detail'!$R$2:$R$3433))</f>
        <v>0</v>
      </c>
      <c r="Z72" s="32">
        <f t="array" ref="Z72">SUM((Z$38='Accident &amp; Incident Detail'!$C$2:$C$3433)*("Staff"='Accident &amp; Incident Detail'!$K$2:$K$3433)*($A$72='Accident &amp; Incident Detail'!$E$2:$E$3433)*("CS"='Accident &amp; Incident Detail'!$R$2:$R$3433))</f>
        <v>0</v>
      </c>
      <c r="AA72" s="32">
        <f t="array" ref="AA72">SUM((AA$38='Accident &amp; Incident Detail'!$C$2:$C$3433)*("Staff"='Accident &amp; Incident Detail'!$K$2:$K$3433)*($A$72='Accident &amp; Incident Detail'!$E$2:$E$3433)*("CS"='Accident &amp; Incident Detail'!$R$2:$R$3433))</f>
        <v>0</v>
      </c>
      <c r="AB72" s="32">
        <f t="array" ref="AB72">SUM((AB$38='Accident &amp; Incident Detail'!$C$2:$C$3433)*("Staff"='Accident &amp; Incident Detail'!$K$2:$K$3433)*($A$72='Accident &amp; Incident Detail'!$E$2:$E$3433)*("CS"='Accident &amp; Incident Detail'!$R$2:$R$3433))</f>
        <v>1</v>
      </c>
      <c r="AC72" s="32">
        <f t="array" ref="AC72">SUM((AC$38='Accident &amp; Incident Detail'!$C$2:$C$3433)*("Staff"='Accident &amp; Incident Detail'!$K$2:$K$3433)*($A$72='Accident &amp; Incident Detail'!$E$2:$E$3433)*("CS"='Accident &amp; Incident Detail'!$R$2:$R$3433))</f>
        <v>0</v>
      </c>
      <c r="AD72" s="32">
        <f t="array" ref="AD72">SUM((AD$38='Accident &amp; Incident Detail'!$C$2:$C$3433)*("Staff"='Accident &amp; Incident Detail'!$K$2:$K$3433)*($A$72='Accident &amp; Incident Detail'!$E$2:$E$3433)*("CS"='Accident &amp; Incident Detail'!$R$2:$R$3433))</f>
        <v>0</v>
      </c>
      <c r="AE72" s="32">
        <f t="array" ref="AE72">SUM((AE$38='Accident &amp; Incident Detail'!$C$2:$C$3433)*("Staff"='Accident &amp; Incident Detail'!$K$2:$K$3433)*($A$72='Accident &amp; Incident Detail'!$E$2:$E$3433)*("CS"='Accident &amp; Incident Detail'!$R$2:$R$3433))</f>
        <v>0</v>
      </c>
      <c r="AF72" s="32">
        <f t="array" ref="AF72">SUM((AF$38='Accident &amp; Incident Detail'!$C$2:$C$3433)*("Staff"='Accident &amp; Incident Detail'!$K$2:$K$3433)*($A$72='Accident &amp; Incident Detail'!$E$2:$E$3433)*("CS"='Accident &amp; Incident Detail'!$R$2:$R$3433))</f>
        <v>0</v>
      </c>
      <c r="AG72" s="32">
        <f t="array" ref="AG72">SUM((AG$38='Accident &amp; Incident Detail'!$C$2:$C$3433)*("Staff"='Accident &amp; Incident Detail'!$K$2:$K$3433)*($A$72='Accident &amp; Incident Detail'!$E$2:$E$3433)*("CS"='Accident &amp; Incident Detail'!$R$2:$R$3433))</f>
        <v>0</v>
      </c>
      <c r="AH72" s="32">
        <f t="array" ref="AH72">SUM((AH$38='Accident &amp; Incident Detail'!$C$2:$C$3433)*("Staff"='Accident &amp; Incident Detail'!$K$2:$K$3433)*($A$72='Accident &amp; Incident Detail'!$E$2:$E$3433)*("CS"='Accident &amp; Incident Detail'!$R$2:$R$3433))</f>
        <v>0</v>
      </c>
      <c r="AI72" s="32">
        <f t="array" ref="AI72">SUM((AI$38='Accident &amp; Incident Detail'!$C$2:$C$3433)*("Staff"='Accident &amp; Incident Detail'!$K$2:$K$3433)*($A$72='Accident &amp; Incident Detail'!$E$2:$E$3433)*("CS"='Accident &amp; Incident Detail'!$R$2:$R$3433))</f>
        <v>0</v>
      </c>
      <c r="AJ72" s="32">
        <f t="array" ref="AJ72">SUM((AJ$38='Accident &amp; Incident Detail'!$C$2:$C$3433)*("Staff"='Accident &amp; Incident Detail'!$K$2:$K$3433)*($A$72='Accident &amp; Incident Detail'!$E$2:$E$3433)*("CS"='Accident &amp; Incident Detail'!$R$2:$R$3433))</f>
        <v>0</v>
      </c>
      <c r="AK72" s="32">
        <f t="array" ref="AK72">SUM((AK$38='Accident &amp; Incident Detail'!$C$2:$C$3433)*("Staff"='Accident &amp; Incident Detail'!$K$2:$K$3433)*($A$72='Accident &amp; Incident Detail'!$E$2:$E$3433)*("CS"='Accident &amp; Incident Detail'!$R$2:$R$3433))</f>
        <v>0</v>
      </c>
      <c r="AL72" s="32">
        <f t="array" ref="AL72">SUM((AL$38='Accident &amp; Incident Detail'!$C$2:$C$3433)*("Staff"='Accident &amp; Incident Detail'!$K$2:$K$3433)*($A$72='Accident &amp; Incident Detail'!$E$2:$E$3433)*("CS"='Accident &amp; Incident Detail'!$R$2:$R$3433))</f>
        <v>0</v>
      </c>
      <c r="AM72" s="32">
        <f t="array" ref="AM72">SUM((AM$38='Accident &amp; Incident Detail'!$C$2:$C$3433)*("Staff"='Accident &amp; Incident Detail'!$K$2:$K$3433)*($A$72='Accident &amp; Incident Detail'!$E$2:$E$3433)*("CS"='Accident &amp; Incident Detail'!$R$2:$R$3433))</f>
        <v>0</v>
      </c>
      <c r="AN72" s="32">
        <f t="array" ref="AN72">SUM((AN$38='Accident &amp; Incident Detail'!$C$2:$C$3433)*("Staff"='Accident &amp; Incident Detail'!$K$2:$K$3433)*($A$72='Accident &amp; Incident Detail'!$E$2:$E$3433)*("CS"='Accident &amp; Incident Detail'!$R$2:$R$3433))</f>
        <v>0</v>
      </c>
    </row>
    <row r="73" spans="1:40" ht="15" thickBot="1" x14ac:dyDescent="0.4">
      <c r="A73" s="189" t="s">
        <v>15</v>
      </c>
      <c r="B73" s="424">
        <f>IF(B$1=1,(SUM(B72:B72)/13),0)</f>
        <v>0</v>
      </c>
      <c r="C73" s="424">
        <f>IF(C$1=1,(SUM(B72:C72)/13),0)</f>
        <v>0</v>
      </c>
      <c r="D73" s="424">
        <f>IF(D$1=1,(SUM(B72:D72)/13),0)</f>
        <v>0</v>
      </c>
      <c r="E73" s="424">
        <f>IF(E$1=1,(SUM(B72:E72)/13),0)</f>
        <v>0</v>
      </c>
      <c r="F73" s="424">
        <f>IF(F$1=1,(SUM(B72:F72)/13),0)</f>
        <v>0</v>
      </c>
      <c r="G73" s="424">
        <f>IF(G$1=1,(SUM(B72:G72)/13),0)</f>
        <v>0</v>
      </c>
      <c r="H73" s="424">
        <f>IF(H$1=1,(SUM(B72:H72)/13),0)</f>
        <v>0</v>
      </c>
      <c r="I73" s="424">
        <f>IF(I$1=1,(SUM(B72:I72)/13),0)</f>
        <v>0</v>
      </c>
      <c r="J73" s="49">
        <f>IF(J$1=1,(SUM(B72:J72)/13),0)</f>
        <v>0</v>
      </c>
      <c r="K73" s="49">
        <f>IF(K$1=1,(SUM(B72:K72)/13),0)</f>
        <v>0</v>
      </c>
      <c r="L73" s="49">
        <f>IF(L$1=1,(SUM(B72:L72)/13),0)</f>
        <v>0</v>
      </c>
      <c r="M73" s="49">
        <f>IF(M$1=1,(SUM(B72:M72)/13),0)</f>
        <v>0</v>
      </c>
      <c r="N73" s="49">
        <f>IF(N$1=1,(SUM(B72:N72)/13),0)</f>
        <v>0</v>
      </c>
      <c r="O73" s="49">
        <f t="shared" ref="O73:Z73" si="65">IF(O$1=1,(SUM(C72:O72)/13),0)</f>
        <v>0</v>
      </c>
      <c r="P73" s="49">
        <f t="shared" si="65"/>
        <v>0</v>
      </c>
      <c r="Q73" s="49">
        <f t="shared" si="65"/>
        <v>0</v>
      </c>
      <c r="R73" s="49">
        <f t="shared" si="65"/>
        <v>0</v>
      </c>
      <c r="S73" s="49">
        <f t="shared" si="65"/>
        <v>0</v>
      </c>
      <c r="T73" s="49">
        <f t="shared" si="65"/>
        <v>0</v>
      </c>
      <c r="U73" s="49">
        <f t="shared" si="65"/>
        <v>0</v>
      </c>
      <c r="V73" s="49">
        <f t="shared" si="65"/>
        <v>0</v>
      </c>
      <c r="W73" s="49">
        <f t="shared" si="65"/>
        <v>0</v>
      </c>
      <c r="X73" s="49">
        <f t="shared" si="65"/>
        <v>7.6923076923076927E-2</v>
      </c>
      <c r="Y73" s="49">
        <f t="shared" si="65"/>
        <v>7.6923076923076927E-2</v>
      </c>
      <c r="Z73" s="48">
        <f t="shared" si="65"/>
        <v>7.6923076923076927E-2</v>
      </c>
      <c r="AA73" s="48">
        <f t="shared" ref="AA73:AN73" si="66">IF(AA$1=1,(SUM(O72:AA72)/13),0)</f>
        <v>7.6923076923076927E-2</v>
      </c>
      <c r="AB73" s="48">
        <f t="shared" si="66"/>
        <v>0.15384615384615385</v>
      </c>
      <c r="AC73" s="48">
        <f t="shared" si="66"/>
        <v>0.15384615384615385</v>
      </c>
      <c r="AD73" s="48">
        <f t="shared" si="66"/>
        <v>0.15384615384615385</v>
      </c>
      <c r="AE73" s="48">
        <f t="shared" si="66"/>
        <v>0.15384615384615385</v>
      </c>
      <c r="AF73" s="48">
        <f t="shared" si="66"/>
        <v>0.15384615384615385</v>
      </c>
      <c r="AG73" s="48">
        <f t="shared" si="66"/>
        <v>0.15384615384615385</v>
      </c>
      <c r="AH73" s="48">
        <f t="shared" si="66"/>
        <v>0.15384615384615385</v>
      </c>
      <c r="AI73" s="48">
        <f t="shared" si="66"/>
        <v>0.15384615384615385</v>
      </c>
      <c r="AJ73" s="48">
        <f t="shared" si="66"/>
        <v>0.15384615384615385</v>
      </c>
      <c r="AK73" s="48">
        <f t="shared" si="66"/>
        <v>7.6923076923076927E-2</v>
      </c>
      <c r="AL73" s="48">
        <f t="shared" si="66"/>
        <v>0</v>
      </c>
      <c r="AM73" s="48">
        <f t="shared" si="66"/>
        <v>0</v>
      </c>
      <c r="AN73" s="48">
        <f t="shared" si="66"/>
        <v>0</v>
      </c>
    </row>
    <row r="74" spans="1:40" x14ac:dyDescent="0.35">
      <c r="A74" s="117" t="s">
        <v>14</v>
      </c>
      <c r="B74" s="425">
        <f t="shared" ref="B74:N74" si="67">SUM(B58+B60+B62+B64+B66+B68+B70+B72)</f>
        <v>0</v>
      </c>
      <c r="C74" s="425">
        <f t="shared" si="67"/>
        <v>0</v>
      </c>
      <c r="D74" s="425">
        <f t="shared" si="67"/>
        <v>0</v>
      </c>
      <c r="E74" s="425">
        <f t="shared" si="67"/>
        <v>0</v>
      </c>
      <c r="F74" s="425">
        <f t="shared" si="67"/>
        <v>0</v>
      </c>
      <c r="G74" s="425">
        <f t="shared" si="67"/>
        <v>0</v>
      </c>
      <c r="H74" s="425">
        <f t="shared" si="67"/>
        <v>0</v>
      </c>
      <c r="I74" s="425">
        <f t="shared" si="67"/>
        <v>0</v>
      </c>
      <c r="J74" s="54">
        <f t="shared" si="67"/>
        <v>1</v>
      </c>
      <c r="K74" s="54">
        <f t="shared" si="67"/>
        <v>1</v>
      </c>
      <c r="L74" s="54">
        <f t="shared" si="67"/>
        <v>2</v>
      </c>
      <c r="M74" s="54">
        <f t="shared" si="67"/>
        <v>1</v>
      </c>
      <c r="N74" s="54">
        <f t="shared" si="67"/>
        <v>0</v>
      </c>
      <c r="O74" s="54">
        <f t="shared" ref="O74:Z74" si="68">SUM(O58+O60+O62+O64+O66+O68+O70+O72)</f>
        <v>0</v>
      </c>
      <c r="P74" s="54">
        <f t="shared" si="68"/>
        <v>4</v>
      </c>
      <c r="Q74" s="54">
        <f t="shared" si="68"/>
        <v>0</v>
      </c>
      <c r="R74" s="54">
        <f t="shared" si="68"/>
        <v>2</v>
      </c>
      <c r="S74" s="54">
        <f t="shared" si="68"/>
        <v>0</v>
      </c>
      <c r="T74" s="54">
        <f t="shared" si="68"/>
        <v>1</v>
      </c>
      <c r="U74" s="54">
        <f t="shared" si="68"/>
        <v>2</v>
      </c>
      <c r="V74" s="54">
        <f t="shared" si="68"/>
        <v>1</v>
      </c>
      <c r="W74" s="54">
        <f t="shared" si="68"/>
        <v>1</v>
      </c>
      <c r="X74" s="54">
        <f t="shared" si="68"/>
        <v>4</v>
      </c>
      <c r="Y74" s="54">
        <f t="shared" si="68"/>
        <v>2</v>
      </c>
      <c r="Z74" s="47">
        <f t="shared" si="68"/>
        <v>0</v>
      </c>
      <c r="AA74" s="47">
        <f t="shared" ref="AA74:AN74" si="69">SUM(AA58+AA60+AA62+AA64+AA66+AA68+AA70+AA72)</f>
        <v>1</v>
      </c>
      <c r="AB74" s="47">
        <f t="shared" si="69"/>
        <v>1</v>
      </c>
      <c r="AC74" s="47">
        <f t="shared" si="69"/>
        <v>1</v>
      </c>
      <c r="AD74" s="47">
        <f t="shared" si="69"/>
        <v>2</v>
      </c>
      <c r="AE74" s="47">
        <f t="shared" si="69"/>
        <v>0</v>
      </c>
      <c r="AF74" s="47">
        <f t="shared" si="69"/>
        <v>0</v>
      </c>
      <c r="AG74" s="47">
        <f t="shared" si="69"/>
        <v>0</v>
      </c>
      <c r="AH74" s="47">
        <f t="shared" si="69"/>
        <v>1</v>
      </c>
      <c r="AI74" s="47">
        <f t="shared" si="69"/>
        <v>0</v>
      </c>
      <c r="AJ74" s="47">
        <f t="shared" si="69"/>
        <v>2</v>
      </c>
      <c r="AK74" s="47">
        <f t="shared" si="69"/>
        <v>0</v>
      </c>
      <c r="AL74" s="47">
        <f t="shared" si="69"/>
        <v>3</v>
      </c>
      <c r="AM74" s="47">
        <f t="shared" si="69"/>
        <v>0</v>
      </c>
      <c r="AN74" s="47">
        <f t="shared" si="69"/>
        <v>0</v>
      </c>
    </row>
    <row r="75" spans="1:40" ht="15" thickBot="1" x14ac:dyDescent="0.4">
      <c r="A75" s="190" t="s">
        <v>15</v>
      </c>
      <c r="B75" s="420">
        <f>IF(B31,(SUM(B74:B74)/13),0)</f>
        <v>0</v>
      </c>
      <c r="C75" s="420">
        <f>IF(C31,(SUM(B74:C74)/13),0)</f>
        <v>0</v>
      </c>
      <c r="D75" s="420">
        <f>IF(D31,(SUM(B74:D74)/13),0)</f>
        <v>0</v>
      </c>
      <c r="E75" s="420">
        <f>IF(E31,(SUM(B74:E74)/13),0)</f>
        <v>0</v>
      </c>
      <c r="F75" s="420">
        <f>IF(F31,(SUM(B74:F74)/13),0)</f>
        <v>0</v>
      </c>
      <c r="G75" s="420">
        <f>IF(G31,(SUM(B74:G74)/13),0)</f>
        <v>0</v>
      </c>
      <c r="H75" s="420">
        <f>IF(H31,(SUM(B74:H74)/13),0)</f>
        <v>0</v>
      </c>
      <c r="I75" s="420">
        <f>IF(I31,(SUM(B74:I74)/13),0)</f>
        <v>0</v>
      </c>
      <c r="J75" s="43">
        <f>IF(J31,(SUM(B74:J74)/13),0)</f>
        <v>7.6923076923076927E-2</v>
      </c>
      <c r="K75" s="43">
        <f>IF(K31,(SUM(B74:K74)/13),0)</f>
        <v>0.15384615384615385</v>
      </c>
      <c r="L75" s="43">
        <f>IF(L31,(SUM(B74:L74)/13),0)</f>
        <v>0.30769230769230771</v>
      </c>
      <c r="M75" s="43">
        <f>IF(M31,(SUM(B74:M74)/13),0)</f>
        <v>0.38461538461538464</v>
      </c>
      <c r="N75" s="43">
        <f>IF(N31,(SUM(B74:N74)/13),0)</f>
        <v>0.38461538461538464</v>
      </c>
      <c r="O75" s="43">
        <f t="shared" ref="O75:Z75" si="70">IF(O31,(SUM(C74:O74)/13),0)</f>
        <v>0.38461538461538464</v>
      </c>
      <c r="P75" s="43">
        <f t="shared" si="70"/>
        <v>0.69230769230769229</v>
      </c>
      <c r="Q75" s="43">
        <f t="shared" si="70"/>
        <v>0.69230769230769229</v>
      </c>
      <c r="R75" s="43">
        <f t="shared" si="70"/>
        <v>0.84615384615384615</v>
      </c>
      <c r="S75" s="43">
        <f t="shared" si="70"/>
        <v>0.84615384615384615</v>
      </c>
      <c r="T75" s="43">
        <f t="shared" si="70"/>
        <v>0.92307692307692313</v>
      </c>
      <c r="U75" s="43">
        <f t="shared" si="70"/>
        <v>1.0769230769230769</v>
      </c>
      <c r="V75" s="43">
        <f t="shared" si="70"/>
        <v>1.1538461538461537</v>
      </c>
      <c r="W75" s="43">
        <f t="shared" si="70"/>
        <v>1.1538461538461537</v>
      </c>
      <c r="X75" s="43">
        <f t="shared" si="70"/>
        <v>1.3846153846153846</v>
      </c>
      <c r="Y75" s="43">
        <f t="shared" si="70"/>
        <v>1.3846153846153846</v>
      </c>
      <c r="Z75" s="36">
        <f t="shared" si="70"/>
        <v>1.3076923076923077</v>
      </c>
      <c r="AA75" s="36">
        <f t="shared" ref="AA75:AN75" si="71">IF(AA31,(SUM(O74:AA74)/13),0)</f>
        <v>1.3846153846153846</v>
      </c>
      <c r="AB75" s="36">
        <f t="shared" si="71"/>
        <v>1.4615384615384615</v>
      </c>
      <c r="AC75" s="36">
        <f t="shared" si="71"/>
        <v>1.2307692307692308</v>
      </c>
      <c r="AD75" s="36">
        <f t="shared" si="71"/>
        <v>1.3846153846153846</v>
      </c>
      <c r="AE75" s="36">
        <f t="shared" si="71"/>
        <v>1.2307692307692308</v>
      </c>
      <c r="AF75" s="36">
        <f t="shared" si="71"/>
        <v>1.2307692307692308</v>
      </c>
      <c r="AG75" s="36">
        <f t="shared" si="71"/>
        <v>1.1538461538461537</v>
      </c>
      <c r="AH75" s="36">
        <f t="shared" si="71"/>
        <v>1.0769230769230769</v>
      </c>
      <c r="AI75" s="36">
        <f t="shared" si="71"/>
        <v>1</v>
      </c>
      <c r="AJ75" s="36">
        <f t="shared" si="71"/>
        <v>1.0769230769230769</v>
      </c>
      <c r="AK75" s="36">
        <f t="shared" si="71"/>
        <v>0.76923076923076927</v>
      </c>
      <c r="AL75" s="36" t="e">
        <f t="shared" si="71"/>
        <v>#N/A</v>
      </c>
      <c r="AM75" s="36" t="e">
        <f t="shared" si="71"/>
        <v>#N/A</v>
      </c>
      <c r="AN75" s="36" t="e">
        <f t="shared" si="71"/>
        <v>#N/A</v>
      </c>
    </row>
    <row r="77" spans="1:40" ht="57.5" hidden="1" thickBot="1" x14ac:dyDescent="0.7">
      <c r="A77" s="385" t="s">
        <v>32</v>
      </c>
    </row>
    <row r="78" spans="1:40" hidden="1" x14ac:dyDescent="0.35">
      <c r="A78" s="31"/>
    </row>
    <row r="79" spans="1:40" hidden="1" x14ac:dyDescent="0.35">
      <c r="A79" s="122" t="s">
        <v>23</v>
      </c>
    </row>
    <row r="80" spans="1:40" hidden="1" x14ac:dyDescent="0.35">
      <c r="A80" s="123" t="s">
        <v>15</v>
      </c>
    </row>
    <row r="81" spans="1:1" hidden="1" x14ac:dyDescent="0.35">
      <c r="A81" s="123" t="s">
        <v>24</v>
      </c>
    </row>
    <row r="82" spans="1:1" hidden="1" x14ac:dyDescent="0.35">
      <c r="A82" s="123" t="s">
        <v>15</v>
      </c>
    </row>
    <row r="83" spans="1:1" hidden="1" x14ac:dyDescent="0.35">
      <c r="A83" s="123" t="s">
        <v>25</v>
      </c>
    </row>
    <row r="84" spans="1:1" hidden="1" x14ac:dyDescent="0.35">
      <c r="A84" s="123" t="s">
        <v>15</v>
      </c>
    </row>
    <row r="85" spans="1:1" hidden="1" x14ac:dyDescent="0.35">
      <c r="A85" s="123" t="s">
        <v>26</v>
      </c>
    </row>
    <row r="86" spans="1:1" hidden="1" x14ac:dyDescent="0.35">
      <c r="A86" s="123" t="s">
        <v>15</v>
      </c>
    </row>
    <row r="87" spans="1:1" hidden="1" x14ac:dyDescent="0.35">
      <c r="A87" s="119" t="s">
        <v>27</v>
      </c>
    </row>
    <row r="88" spans="1:1" hidden="1" x14ac:dyDescent="0.35">
      <c r="A88" s="123" t="s">
        <v>15</v>
      </c>
    </row>
    <row r="89" spans="1:1" hidden="1" x14ac:dyDescent="0.35">
      <c r="A89" s="123" t="s">
        <v>28</v>
      </c>
    </row>
    <row r="90" spans="1:1" hidden="1" x14ac:dyDescent="0.35">
      <c r="A90" s="123" t="s">
        <v>15</v>
      </c>
    </row>
    <row r="91" spans="1:1" hidden="1" x14ac:dyDescent="0.35">
      <c r="A91" s="123" t="s">
        <v>33</v>
      </c>
    </row>
    <row r="92" spans="1:1" hidden="1" x14ac:dyDescent="0.35">
      <c r="A92" s="124" t="s">
        <v>15</v>
      </c>
    </row>
    <row r="93" spans="1:1" hidden="1" x14ac:dyDescent="0.35">
      <c r="A93" s="122" t="s">
        <v>14</v>
      </c>
    </row>
    <row r="94" spans="1:1" ht="15" hidden="1" thickBot="1" x14ac:dyDescent="0.4">
      <c r="A94" s="125" t="s">
        <v>15</v>
      </c>
    </row>
    <row r="95" spans="1:1" ht="15" thickBot="1" x14ac:dyDescent="0.4"/>
    <row r="96" spans="1:1" ht="29" thickBot="1" x14ac:dyDescent="0.7">
      <c r="A96" s="385" t="s">
        <v>34</v>
      </c>
    </row>
    <row r="97" spans="1:40" ht="15" thickBot="1" x14ac:dyDescent="0.4">
      <c r="A97" s="22"/>
      <c r="B97" s="396">
        <v>2301</v>
      </c>
      <c r="C97" s="396">
        <v>2302</v>
      </c>
      <c r="D97" s="396">
        <v>2303</v>
      </c>
      <c r="E97" s="396">
        <v>2304</v>
      </c>
      <c r="F97" s="396">
        <v>2305</v>
      </c>
      <c r="G97" s="396">
        <v>2306</v>
      </c>
      <c r="H97" s="396">
        <v>2307</v>
      </c>
      <c r="I97" s="396">
        <v>2308</v>
      </c>
      <c r="J97" s="206">
        <v>2309</v>
      </c>
      <c r="K97" s="206">
        <v>2310</v>
      </c>
      <c r="L97" s="206">
        <v>2311</v>
      </c>
      <c r="M97" s="206">
        <v>2312</v>
      </c>
      <c r="N97" s="210">
        <v>2313</v>
      </c>
      <c r="O97" s="211">
        <v>2401</v>
      </c>
      <c r="P97" s="206">
        <v>2402</v>
      </c>
      <c r="Q97" s="206">
        <v>2403</v>
      </c>
      <c r="R97" s="206">
        <v>2404</v>
      </c>
      <c r="S97" s="206">
        <v>2405</v>
      </c>
      <c r="T97" s="206">
        <v>2406</v>
      </c>
      <c r="U97" s="206">
        <v>2407</v>
      </c>
      <c r="V97" s="206">
        <v>2408</v>
      </c>
      <c r="W97" s="206">
        <v>2409</v>
      </c>
      <c r="X97" s="206">
        <v>2410</v>
      </c>
      <c r="Y97" s="206">
        <v>2411</v>
      </c>
      <c r="Z97" s="212">
        <v>2412</v>
      </c>
      <c r="AA97" s="281">
        <v>2413</v>
      </c>
      <c r="AB97" s="284">
        <v>2501</v>
      </c>
      <c r="AC97" s="284">
        <v>2502</v>
      </c>
      <c r="AD97" s="284">
        <v>2503</v>
      </c>
      <c r="AE97" s="284">
        <v>2504</v>
      </c>
      <c r="AF97" s="284">
        <v>2505</v>
      </c>
      <c r="AG97" s="284">
        <v>2506</v>
      </c>
      <c r="AH97" s="284">
        <v>2507</v>
      </c>
      <c r="AI97" s="284">
        <v>2508</v>
      </c>
      <c r="AJ97" s="284">
        <v>2509</v>
      </c>
      <c r="AK97" s="284">
        <v>2510</v>
      </c>
      <c r="AL97" s="284">
        <v>2511</v>
      </c>
      <c r="AM97" s="284">
        <v>2512</v>
      </c>
      <c r="AN97" s="284">
        <v>2513</v>
      </c>
    </row>
    <row r="98" spans="1:40" x14ac:dyDescent="0.35">
      <c r="A98" s="126" t="s">
        <v>23</v>
      </c>
      <c r="B98" s="421">
        <f t="array" ref="B98">SUM((B$97='Accident &amp; Incident Detail'!$C$2:$C$3433)*(Data!$A$98='Accident &amp; Incident Detail'!$E$2:$E$3433)*("Movement"='Accident &amp; Incident Detail'!$I$2:$I$3433))</f>
        <v>0</v>
      </c>
      <c r="C98" s="421">
        <f t="array" ref="C98">SUM((C$97='Accident &amp; Incident Detail'!$C$2:$C$3433)*(Data!$A$98='Accident &amp; Incident Detail'!$E$2:$E$3433)*("Movement"='Accident &amp; Incident Detail'!$I$2:$I$3433))</f>
        <v>0</v>
      </c>
      <c r="D98" s="421">
        <f t="array" ref="D98">SUM((D$97='Accident &amp; Incident Detail'!$C$2:$C$3433)*(Data!$A$98='Accident &amp; Incident Detail'!$E$2:$E$3433)*("Movement"='Accident &amp; Incident Detail'!$I$2:$I$3433))</f>
        <v>0</v>
      </c>
      <c r="E98" s="421">
        <f t="array" ref="E98">SUM((E$97='Accident &amp; Incident Detail'!$C$2:$C$3433)*(Data!$A$98='Accident &amp; Incident Detail'!$E$2:$E$3433)*("Movement"='Accident &amp; Incident Detail'!$I$2:$I$3433))</f>
        <v>0</v>
      </c>
      <c r="F98" s="421">
        <f t="array" ref="F98">SUM((F$97='Accident &amp; Incident Detail'!$C$2:$C$3433)*(Data!$A$98='Accident &amp; Incident Detail'!$E$2:$E$3433)*("Movement"='Accident &amp; Incident Detail'!$I$2:$I$3433))</f>
        <v>0</v>
      </c>
      <c r="G98" s="421">
        <f t="array" ref="G98">SUM((G$97='Accident &amp; Incident Detail'!$C$2:$C$3433)*(Data!$A$98='Accident &amp; Incident Detail'!$E$2:$E$3433)*("Movement"='Accident &amp; Incident Detail'!$I$2:$I$3433))</f>
        <v>0</v>
      </c>
      <c r="H98" s="421">
        <f t="array" ref="H98">SUM((H$97='Accident &amp; Incident Detail'!$C$2:$C$3433)*(Data!$A$98='Accident &amp; Incident Detail'!$E$2:$E$3433)*("Movement"='Accident &amp; Incident Detail'!$I$2:$I$3433))</f>
        <v>0</v>
      </c>
      <c r="I98" s="421">
        <f t="array" ref="I98">SUM((I$97='Accident &amp; Incident Detail'!$C$2:$C$3433)*(Data!$A$98='Accident &amp; Incident Detail'!$E$2:$E$3433)*("Movement"='Accident &amp; Incident Detail'!$I$2:$I$3433))</f>
        <v>0</v>
      </c>
      <c r="J98" s="34">
        <f t="array" ref="J98">SUM((J$97='Accident &amp; Incident Detail'!$C$2:$C$3433)*(Data!$A$98='Accident &amp; Incident Detail'!$E$2:$E$3433)*("Movement"='Accident &amp; Incident Detail'!$I$2:$I$3433))</f>
        <v>0</v>
      </c>
      <c r="K98" s="34">
        <f t="array" ref="K98">SUM((K$97='Accident &amp; Incident Detail'!$C$2:$C$3433)*(Data!$A$98='Accident &amp; Incident Detail'!$E$2:$E$3433)*("Movement"='Accident &amp; Incident Detail'!$I$2:$I$3433))</f>
        <v>0</v>
      </c>
      <c r="L98" s="34">
        <f t="array" ref="L98">SUM((L$97='Accident &amp; Incident Detail'!$C$2:$C$3433)*(Data!$A$98='Accident &amp; Incident Detail'!$E$2:$E$3433)*("Movement"='Accident &amp; Incident Detail'!$I$2:$I$3433))</f>
        <v>0</v>
      </c>
      <c r="M98" s="34">
        <f t="array" ref="M98">SUM((M$97='Accident &amp; Incident Detail'!$C$2:$C$3433)*(Data!$A$98='Accident &amp; Incident Detail'!$E$2:$E$3433)*("Movement"='Accident &amp; Incident Detail'!$I$2:$I$3433))</f>
        <v>0</v>
      </c>
      <c r="N98" s="34">
        <f t="array" ref="N98">SUM((N$97='Accident &amp; Incident Detail'!$C$2:$C$3433)*(Data!$A$98='Accident &amp; Incident Detail'!$E$2:$E$3433)*("Movement"='Accident &amp; Incident Detail'!$I$2:$I$3433))</f>
        <v>0</v>
      </c>
      <c r="O98" s="34">
        <f t="array" ref="O98">SUM((O$97='Accident &amp; Incident Detail'!$C$2:$C$3433)*(Data!$A$98='Accident &amp; Incident Detail'!$E$2:$E$3433)*("Movement"='Accident &amp; Incident Detail'!$I$2:$I$3433))</f>
        <v>0</v>
      </c>
      <c r="P98" s="34">
        <f t="array" ref="P98">SUM((P$97='Accident &amp; Incident Detail'!$C$2:$C$3433)*(Data!$A$98='Accident &amp; Incident Detail'!$E$2:$E$3433)*("Movement"='Accident &amp; Incident Detail'!$I$2:$I$3433))</f>
        <v>0</v>
      </c>
      <c r="Q98" s="34">
        <f t="array" ref="Q98">SUM((Q$97='Accident &amp; Incident Detail'!$C$2:$C$3433)*(Data!$A$98='Accident &amp; Incident Detail'!$E$2:$E$3433)*("Movement"='Accident &amp; Incident Detail'!$I$2:$I$3433))</f>
        <v>0</v>
      </c>
      <c r="R98" s="34">
        <f t="array" ref="R98">SUM((R$97='Accident &amp; Incident Detail'!$C$2:$C$3433)*(Data!$A$98='Accident &amp; Incident Detail'!$E$2:$E$3433)*("Movement"='Accident &amp; Incident Detail'!$I$2:$I$3433))</f>
        <v>0</v>
      </c>
      <c r="S98" s="34">
        <f t="array" ref="S98">SUM((S$97='Accident &amp; Incident Detail'!$C$2:$C$3433)*(Data!$A$98='Accident &amp; Incident Detail'!$E$2:$E$3433)*("Movement"='Accident &amp; Incident Detail'!$I$2:$I$3433))</f>
        <v>0</v>
      </c>
      <c r="T98" s="34">
        <f t="array" ref="T98">SUM((T$97='Accident &amp; Incident Detail'!$C$2:$C$3433)*(Data!$A$98='Accident &amp; Incident Detail'!$E$2:$E$3433)*("Movement"='Accident &amp; Incident Detail'!$I$2:$I$3433))</f>
        <v>0</v>
      </c>
      <c r="U98" s="34">
        <f t="array" ref="U98">SUM((U$97='Accident &amp; Incident Detail'!$C$2:$C$3433)*(Data!$A$98='Accident &amp; Incident Detail'!$E$2:$E$3433)*("Movement"='Accident &amp; Incident Detail'!$I$2:$I$3433))</f>
        <v>0</v>
      </c>
      <c r="V98" s="34">
        <f t="array" ref="V98">SUM((V$97='Accident &amp; Incident Detail'!$C$2:$C$3433)*(Data!$A$98='Accident &amp; Incident Detail'!$E$2:$E$3433)*("Movement"='Accident &amp; Incident Detail'!$I$2:$I$3433))</f>
        <v>0</v>
      </c>
      <c r="W98" s="34">
        <f t="array" ref="W98">SUM((W$97='Accident &amp; Incident Detail'!$C$2:$C$3433)*(Data!$A$98='Accident &amp; Incident Detail'!$E$2:$E$3433)*("Movement"='Accident &amp; Incident Detail'!$I$2:$I$3433))</f>
        <v>0</v>
      </c>
      <c r="X98" s="34">
        <f t="array" ref="X98">SUM((X$97='Accident &amp; Incident Detail'!$C$2:$C$3433)*(Data!$A$98='Accident &amp; Incident Detail'!$E$2:$E$3433)*("Movement"='Accident &amp; Incident Detail'!$I$2:$I$3433))</f>
        <v>0</v>
      </c>
      <c r="Y98" s="34">
        <f t="array" ref="Y98">SUM((Y$97='Accident &amp; Incident Detail'!$C$2:$C$3433)*(Data!$A$98='Accident &amp; Incident Detail'!$E$2:$E$3433)*("Movement"='Accident &amp; Incident Detail'!$I$2:$I$3433))</f>
        <v>0</v>
      </c>
      <c r="Z98" s="34">
        <f t="array" ref="Z98">SUM((Z$97='Accident &amp; Incident Detail'!$C$2:$C$3433)*(Data!$A$98='Accident &amp; Incident Detail'!$E$2:$E$3433)*("Movement"='Accident &amp; Incident Detail'!$I$2:$I$3433))</f>
        <v>0</v>
      </c>
      <c r="AA98" s="34">
        <f t="array" ref="AA98">SUM((AA$97='Accident &amp; Incident Detail'!$C$2:$C$3433)*(Data!$A$98='Accident &amp; Incident Detail'!$E$2:$E$3433)*("Movement"='Accident &amp; Incident Detail'!$I$2:$I$3433))</f>
        <v>0</v>
      </c>
      <c r="AB98" s="34">
        <f t="array" ref="AB98">SUM((AB$97='Accident &amp; Incident Detail'!$C$2:$C$3433)*(Data!$A$98='Accident &amp; Incident Detail'!$E$2:$E$3433)*("Movement"='Accident &amp; Incident Detail'!$I$2:$I$3433))</f>
        <v>0</v>
      </c>
      <c r="AC98" s="34">
        <f t="array" ref="AC98">SUM((AC$97='Accident &amp; Incident Detail'!$C$2:$C$3433)*(Data!$A$98='Accident &amp; Incident Detail'!$E$2:$E$3433)*("Movement"='Accident &amp; Incident Detail'!$I$2:$I$3433))</f>
        <v>0</v>
      </c>
      <c r="AD98" s="34">
        <f t="array" ref="AD98">SUM((AD$97='Accident &amp; Incident Detail'!$C$2:$C$3433)*(Data!$A$98='Accident &amp; Incident Detail'!$E$2:$E$3433)*("Movement"='Accident &amp; Incident Detail'!$I$2:$I$3433))</f>
        <v>0</v>
      </c>
      <c r="AE98" s="34">
        <f t="array" ref="AE98">SUM((AE$97='Accident &amp; Incident Detail'!$C$2:$C$3433)*(Data!$A$98='Accident &amp; Incident Detail'!$E$2:$E$3433)*("Movement"='Accident &amp; Incident Detail'!$I$2:$I$3433))</f>
        <v>0</v>
      </c>
      <c r="AF98" s="34">
        <f t="array" ref="AF98">SUM((AF$97='Accident &amp; Incident Detail'!$C$2:$C$3433)*(Data!$A$98='Accident &amp; Incident Detail'!$E$2:$E$3433)*("Movement"='Accident &amp; Incident Detail'!$I$2:$I$3433))</f>
        <v>0</v>
      </c>
      <c r="AG98" s="34">
        <f t="array" ref="AG98">SUM((AG$97='Accident &amp; Incident Detail'!$C$2:$C$3433)*(Data!$A$98='Accident &amp; Incident Detail'!$E$2:$E$3433)*("Movement"='Accident &amp; Incident Detail'!$I$2:$I$3433))</f>
        <v>0</v>
      </c>
      <c r="AH98" s="34">
        <f t="array" ref="AH98">SUM((AH$97='Accident &amp; Incident Detail'!$C$2:$C$3433)*(Data!$A$98='Accident &amp; Incident Detail'!$E$2:$E$3433)*("Movement"='Accident &amp; Incident Detail'!$I$2:$I$3433))</f>
        <v>0</v>
      </c>
      <c r="AI98" s="34">
        <f t="array" ref="AI98">SUM((AI$97='Accident &amp; Incident Detail'!$C$2:$C$3433)*(Data!$A$98='Accident &amp; Incident Detail'!$E$2:$E$3433)*("Movement"='Accident &amp; Incident Detail'!$I$2:$I$3433))</f>
        <v>0</v>
      </c>
      <c r="AJ98" s="34">
        <f t="array" ref="AJ98">SUM((AJ$97='Accident &amp; Incident Detail'!$C$2:$C$3433)*(Data!$A$98='Accident &amp; Incident Detail'!$E$2:$E$3433)*("Movement"='Accident &amp; Incident Detail'!$I$2:$I$3433))</f>
        <v>0</v>
      </c>
      <c r="AK98" s="34">
        <f t="array" ref="AK98">SUM((AK$97='Accident &amp; Incident Detail'!$C$2:$C$3433)*(Data!$A$98='Accident &amp; Incident Detail'!$E$2:$E$3433)*("Movement"='Accident &amp; Incident Detail'!$I$2:$I$3433))</f>
        <v>0</v>
      </c>
      <c r="AL98" s="34">
        <f t="array" ref="AL98">SUM((AL$97='Accident &amp; Incident Detail'!$C$2:$C$3433)*(Data!$A$98='Accident &amp; Incident Detail'!$E$2:$E$3433)*("Movement"='Accident &amp; Incident Detail'!$I$2:$I$3433))</f>
        <v>0</v>
      </c>
      <c r="AM98" s="34">
        <f t="array" ref="AM98">SUM((AM$97='Accident &amp; Incident Detail'!$C$2:$C$3433)*(Data!$A$98='Accident &amp; Incident Detail'!$E$2:$E$3433)*("Movement"='Accident &amp; Incident Detail'!$I$2:$I$3433))</f>
        <v>0</v>
      </c>
      <c r="AN98" s="34">
        <f t="array" ref="AN98">SUM((AN$97='Accident &amp; Incident Detail'!$C$2:$C$3433)*(Data!$A$98='Accident &amp; Incident Detail'!$E$2:$E$3433)*("Movement"='Accident &amp; Incident Detail'!$I$2:$I$3433))</f>
        <v>0</v>
      </c>
    </row>
    <row r="99" spans="1:40" x14ac:dyDescent="0.35">
      <c r="A99" s="188" t="s">
        <v>15</v>
      </c>
      <c r="B99" s="422">
        <f>IF(B$1=1,(SUM(B98:B98)/13),0)</f>
        <v>0</v>
      </c>
      <c r="C99" s="422">
        <f>IF(C$1=1,(SUM(B98:C98)/13),0)</f>
        <v>0</v>
      </c>
      <c r="D99" s="422">
        <f>IF(D$1=1,(SUM(B98:D98)/13),0)</f>
        <v>0</v>
      </c>
      <c r="E99" s="422">
        <f>IF(E$1=1,(SUM(B98:E98)/13),0)</f>
        <v>0</v>
      </c>
      <c r="F99" s="422">
        <f>IF(F$1=1,(SUM(B98:F98)/13),0)</f>
        <v>0</v>
      </c>
      <c r="G99" s="422">
        <f>IF(G$1=1,(SUM(B98:G98)/13),0)</f>
        <v>0</v>
      </c>
      <c r="H99" s="422">
        <f>IF(H$1=1,(SUM(B98:H98)/13),0)</f>
        <v>0</v>
      </c>
      <c r="I99" s="422">
        <f>IF(I$1=1,(SUM(B98:I98)/13),0)</f>
        <v>0</v>
      </c>
      <c r="J99" s="46">
        <f>IF(J$1=1,(SUM(B98:J98)/13),0)</f>
        <v>0</v>
      </c>
      <c r="K99" s="46">
        <f>IF(K$1=1,(SUM(B98:K98)/13),0)</f>
        <v>0</v>
      </c>
      <c r="L99" s="46">
        <f>IF(L$1=1,(SUM(B98:L98)/13),0)</f>
        <v>0</v>
      </c>
      <c r="M99" s="46">
        <f>IF(M$1=1,(SUM(B98:M98)/13),0)</f>
        <v>0</v>
      </c>
      <c r="N99" s="46">
        <f>IF(N$1=1,(SUM(B98:N98)/13),0)</f>
        <v>0</v>
      </c>
      <c r="O99" s="46">
        <f t="shared" ref="O99:Z99" si="72">IF(O$1=1,(SUM(C98:O98)/13),0)</f>
        <v>0</v>
      </c>
      <c r="P99" s="46">
        <f t="shared" si="72"/>
        <v>0</v>
      </c>
      <c r="Q99" s="46">
        <f t="shared" si="72"/>
        <v>0</v>
      </c>
      <c r="R99" s="46">
        <f t="shared" si="72"/>
        <v>0</v>
      </c>
      <c r="S99" s="46">
        <f t="shared" si="72"/>
        <v>0</v>
      </c>
      <c r="T99" s="46">
        <f t="shared" si="72"/>
        <v>0</v>
      </c>
      <c r="U99" s="46">
        <f t="shared" si="72"/>
        <v>0</v>
      </c>
      <c r="V99" s="46">
        <f t="shared" si="72"/>
        <v>0</v>
      </c>
      <c r="W99" s="46">
        <f t="shared" si="72"/>
        <v>0</v>
      </c>
      <c r="X99" s="46">
        <f t="shared" si="72"/>
        <v>0</v>
      </c>
      <c r="Y99" s="46">
        <f t="shared" si="72"/>
        <v>0</v>
      </c>
      <c r="Z99" s="46">
        <f t="shared" si="72"/>
        <v>0</v>
      </c>
      <c r="AA99" s="46">
        <f t="shared" ref="AA99:AN99" si="73">IF(AA$1=1,(SUM(O98:AA98)/13),0)</f>
        <v>0</v>
      </c>
      <c r="AB99" s="46">
        <f t="shared" si="73"/>
        <v>0</v>
      </c>
      <c r="AC99" s="46">
        <f t="shared" si="73"/>
        <v>0</v>
      </c>
      <c r="AD99" s="46">
        <f t="shared" si="73"/>
        <v>0</v>
      </c>
      <c r="AE99" s="46">
        <f t="shared" si="73"/>
        <v>0</v>
      </c>
      <c r="AF99" s="46">
        <f t="shared" si="73"/>
        <v>0</v>
      </c>
      <c r="AG99" s="46">
        <f t="shared" si="73"/>
        <v>0</v>
      </c>
      <c r="AH99" s="46">
        <f t="shared" si="73"/>
        <v>0</v>
      </c>
      <c r="AI99" s="46">
        <f t="shared" si="73"/>
        <v>0</v>
      </c>
      <c r="AJ99" s="46">
        <f t="shared" si="73"/>
        <v>0</v>
      </c>
      <c r="AK99" s="46">
        <f t="shared" si="73"/>
        <v>0</v>
      </c>
      <c r="AL99" s="46">
        <f t="shared" si="73"/>
        <v>0</v>
      </c>
      <c r="AM99" s="46">
        <f t="shared" si="73"/>
        <v>0</v>
      </c>
      <c r="AN99" s="46">
        <f t="shared" si="73"/>
        <v>0</v>
      </c>
    </row>
    <row r="100" spans="1:40" x14ac:dyDescent="0.35">
      <c r="A100" s="119" t="s">
        <v>24</v>
      </c>
      <c r="B100" s="423">
        <f t="array" ref="B100">SUM((B$97='Accident &amp; Incident Detail'!$C$2:$C$3433)*(Data!$A$100='Accident &amp; Incident Detail'!$E$2:$E$3433)*("Movement"='Accident &amp; Incident Detail'!$I$2:$I$3433))</f>
        <v>0</v>
      </c>
      <c r="C100" s="423">
        <f t="array" ref="C100">SUM((C$97='Accident &amp; Incident Detail'!$C$2:$C$3433)*(Data!$A$100='Accident &amp; Incident Detail'!$E$2:$E$3433)*("Movement"='Accident &amp; Incident Detail'!$I$2:$I$3433))</f>
        <v>0</v>
      </c>
      <c r="D100" s="423">
        <f t="array" ref="D100">SUM((D$97='Accident &amp; Incident Detail'!$C$2:$C$3433)*(Data!$A$100='Accident &amp; Incident Detail'!$E$2:$E$3433)*("Movement"='Accident &amp; Incident Detail'!$I$2:$I$3433))</f>
        <v>0</v>
      </c>
      <c r="E100" s="423">
        <f t="array" ref="E100">SUM((E$97='Accident &amp; Incident Detail'!$C$2:$C$3433)*(Data!$A$100='Accident &amp; Incident Detail'!$E$2:$E$3433)*("Movement"='Accident &amp; Incident Detail'!$I$2:$I$3433))</f>
        <v>0</v>
      </c>
      <c r="F100" s="423">
        <f t="array" ref="F100">SUM((F$97='Accident &amp; Incident Detail'!$C$2:$C$3433)*(Data!$A$100='Accident &amp; Incident Detail'!$E$2:$E$3433)*("Movement"='Accident &amp; Incident Detail'!$I$2:$I$3433))</f>
        <v>0</v>
      </c>
      <c r="G100" s="423">
        <f t="array" ref="G100">SUM((G$97='Accident &amp; Incident Detail'!$C$2:$C$3433)*(Data!$A$100='Accident &amp; Incident Detail'!$E$2:$E$3433)*("Movement"='Accident &amp; Incident Detail'!$I$2:$I$3433))</f>
        <v>0</v>
      </c>
      <c r="H100" s="423">
        <f t="array" ref="H100">SUM((H$97='Accident &amp; Incident Detail'!$C$2:$C$3433)*(Data!$A$100='Accident &amp; Incident Detail'!$E$2:$E$3433)*("Movement"='Accident &amp; Incident Detail'!$I$2:$I$3433))</f>
        <v>0</v>
      </c>
      <c r="I100" s="423">
        <f t="array" ref="I100">SUM((I$97='Accident &amp; Incident Detail'!$C$2:$C$3433)*(Data!$A$100='Accident &amp; Incident Detail'!$E$2:$E$3433)*("Movement"='Accident &amp; Incident Detail'!$I$2:$I$3433))</f>
        <v>0</v>
      </c>
      <c r="J100" s="35">
        <f t="array" ref="J100">SUM((J$97='Accident &amp; Incident Detail'!$C$2:$C$3433)*(Data!$A$100='Accident &amp; Incident Detail'!$E$2:$E$3433)*("Movement"='Accident &amp; Incident Detail'!$I$2:$I$3433))</f>
        <v>0</v>
      </c>
      <c r="K100" s="35">
        <f t="array" ref="K100">SUM((K$97='Accident &amp; Incident Detail'!$C$2:$C$3433)*(Data!$A$100='Accident &amp; Incident Detail'!$E$2:$E$3433)*("Movement"='Accident &amp; Incident Detail'!$I$2:$I$3433))</f>
        <v>0</v>
      </c>
      <c r="L100" s="35">
        <f t="array" ref="L100">SUM((L$97='Accident &amp; Incident Detail'!$C$2:$C$3433)*(Data!$A$100='Accident &amp; Incident Detail'!$E$2:$E$3433)*("Movement"='Accident &amp; Incident Detail'!$I$2:$I$3433))</f>
        <v>0</v>
      </c>
      <c r="M100" s="35">
        <f t="array" ref="M100">SUM((M$97='Accident &amp; Incident Detail'!$C$2:$C$3433)*(Data!$A$100='Accident &amp; Incident Detail'!$E$2:$E$3433)*("Movement"='Accident &amp; Incident Detail'!$I$2:$I$3433))</f>
        <v>0</v>
      </c>
      <c r="N100" s="35">
        <f t="array" ref="N100">SUM((N$97='Accident &amp; Incident Detail'!$C$2:$C$3433)*(Data!$A$100='Accident &amp; Incident Detail'!$E$2:$E$3433)*("Movement"='Accident &amp; Incident Detail'!$I$2:$I$3433))</f>
        <v>0</v>
      </c>
      <c r="O100" s="35">
        <f t="array" ref="O100">SUM((O$97='Accident &amp; Incident Detail'!$C$2:$C$3433)*(Data!$A$100='Accident &amp; Incident Detail'!$E$2:$E$3433)*("Movement"='Accident &amp; Incident Detail'!$I$2:$I$3433))</f>
        <v>0</v>
      </c>
      <c r="P100" s="35">
        <f t="array" ref="P100">SUM((P$97='Accident &amp; Incident Detail'!$C$2:$C$3433)*(Data!$A$100='Accident &amp; Incident Detail'!$E$2:$E$3433)*("Movement"='Accident &amp; Incident Detail'!$I$2:$I$3433))</f>
        <v>0</v>
      </c>
      <c r="Q100" s="35">
        <f t="array" ref="Q100">SUM((Q$97='Accident &amp; Incident Detail'!$C$2:$C$3433)*(Data!$A$100='Accident &amp; Incident Detail'!$E$2:$E$3433)*("Movement"='Accident &amp; Incident Detail'!$I$2:$I$3433))</f>
        <v>0</v>
      </c>
      <c r="R100" s="35">
        <f t="array" ref="R100">SUM((R$97='Accident &amp; Incident Detail'!$C$2:$C$3433)*(Data!$A$100='Accident &amp; Incident Detail'!$E$2:$E$3433)*("Movement"='Accident &amp; Incident Detail'!$I$2:$I$3433))</f>
        <v>0</v>
      </c>
      <c r="S100" s="35">
        <f t="array" ref="S100">SUM((S$97='Accident &amp; Incident Detail'!$C$2:$C$3433)*(Data!$A$100='Accident &amp; Incident Detail'!$E$2:$E$3433)*("Movement"='Accident &amp; Incident Detail'!$I$2:$I$3433))</f>
        <v>0</v>
      </c>
      <c r="T100" s="35">
        <f t="array" ref="T100">SUM((T$97='Accident &amp; Incident Detail'!$C$2:$C$3433)*(Data!$A$100='Accident &amp; Incident Detail'!$E$2:$E$3433)*("Movement"='Accident &amp; Incident Detail'!$I$2:$I$3433))</f>
        <v>0</v>
      </c>
      <c r="U100" s="35">
        <f t="array" ref="U100">SUM((U$97='Accident &amp; Incident Detail'!$C$2:$C$3433)*(Data!$A$100='Accident &amp; Incident Detail'!$E$2:$E$3433)*("Movement"='Accident &amp; Incident Detail'!$I$2:$I$3433))</f>
        <v>0</v>
      </c>
      <c r="V100" s="35">
        <f t="array" ref="V100">SUM((V$97='Accident &amp; Incident Detail'!$C$2:$C$3433)*(Data!$A$100='Accident &amp; Incident Detail'!$E$2:$E$3433)*("Movement"='Accident &amp; Incident Detail'!$I$2:$I$3433))</f>
        <v>0</v>
      </c>
      <c r="W100" s="35">
        <f t="array" ref="W100">SUM((W$97='Accident &amp; Incident Detail'!$C$2:$C$3433)*(Data!$A$100='Accident &amp; Incident Detail'!$E$2:$E$3433)*("Movement"='Accident &amp; Incident Detail'!$I$2:$I$3433))</f>
        <v>0</v>
      </c>
      <c r="X100" s="35">
        <f t="array" ref="X100">SUM((X$97='Accident &amp; Incident Detail'!$C$2:$C$3433)*(Data!$A$100='Accident &amp; Incident Detail'!$E$2:$E$3433)*("Movement"='Accident &amp; Incident Detail'!$I$2:$I$3433))</f>
        <v>0</v>
      </c>
      <c r="Y100" s="35">
        <f t="array" ref="Y100">SUM((Y$97='Accident &amp; Incident Detail'!$C$2:$C$3433)*(Data!$A$100='Accident &amp; Incident Detail'!$E$2:$E$3433)*("Movement"='Accident &amp; Incident Detail'!$I$2:$I$3433))</f>
        <v>0</v>
      </c>
      <c r="Z100" s="35">
        <f t="array" ref="Z100">SUM((Z$97='Accident &amp; Incident Detail'!$C$2:$C$3433)*(Data!$A$100='Accident &amp; Incident Detail'!$E$2:$E$3433)*("Movement"='Accident &amp; Incident Detail'!$I$2:$I$3433))</f>
        <v>0</v>
      </c>
      <c r="AA100" s="35">
        <f t="array" ref="AA100">SUM((AA$97='Accident &amp; Incident Detail'!$C$2:$C$3433)*(Data!$A$100='Accident &amp; Incident Detail'!$E$2:$E$3433)*("Movement"='Accident &amp; Incident Detail'!$I$2:$I$3433))</f>
        <v>0</v>
      </c>
      <c r="AB100" s="35">
        <f t="array" ref="AB100">SUM((AB$97='Accident &amp; Incident Detail'!$C$2:$C$3433)*(Data!$A$100='Accident &amp; Incident Detail'!$E$2:$E$3433)*("Movement"='Accident &amp; Incident Detail'!$I$2:$I$3433))</f>
        <v>0</v>
      </c>
      <c r="AC100" s="35">
        <f t="array" ref="AC100">SUM((AC$97='Accident &amp; Incident Detail'!$C$2:$C$3433)*(Data!$A$100='Accident &amp; Incident Detail'!$E$2:$E$3433)*("Movement"='Accident &amp; Incident Detail'!$I$2:$I$3433))</f>
        <v>0</v>
      </c>
      <c r="AD100" s="35">
        <f t="array" ref="AD100">SUM((AD$97='Accident &amp; Incident Detail'!$C$2:$C$3433)*(Data!$A$100='Accident &amp; Incident Detail'!$E$2:$E$3433)*("Movement"='Accident &amp; Incident Detail'!$I$2:$I$3433))</f>
        <v>0</v>
      </c>
      <c r="AE100" s="35">
        <f t="array" ref="AE100">SUM((AE$97='Accident &amp; Incident Detail'!$C$2:$C$3433)*(Data!$A$100='Accident &amp; Incident Detail'!$E$2:$E$3433)*("Movement"='Accident &amp; Incident Detail'!$I$2:$I$3433))</f>
        <v>0</v>
      </c>
      <c r="AF100" s="35">
        <f t="array" ref="AF100">SUM((AF$97='Accident &amp; Incident Detail'!$C$2:$C$3433)*(Data!$A$100='Accident &amp; Incident Detail'!$E$2:$E$3433)*("Movement"='Accident &amp; Incident Detail'!$I$2:$I$3433))</f>
        <v>0</v>
      </c>
      <c r="AG100" s="35">
        <f t="array" ref="AG100">SUM((AG$97='Accident &amp; Incident Detail'!$C$2:$C$3433)*(Data!$A$100='Accident &amp; Incident Detail'!$E$2:$E$3433)*("Movement"='Accident &amp; Incident Detail'!$I$2:$I$3433))</f>
        <v>0</v>
      </c>
      <c r="AH100" s="35">
        <f t="array" ref="AH100">SUM((AH$97='Accident &amp; Incident Detail'!$C$2:$C$3433)*(Data!$A$100='Accident &amp; Incident Detail'!$E$2:$E$3433)*("Movement"='Accident &amp; Incident Detail'!$I$2:$I$3433))</f>
        <v>0</v>
      </c>
      <c r="AI100" s="35">
        <f t="array" ref="AI100">SUM((AI$97='Accident &amp; Incident Detail'!$C$2:$C$3433)*(Data!$A$100='Accident &amp; Incident Detail'!$E$2:$E$3433)*("Movement"='Accident &amp; Incident Detail'!$I$2:$I$3433))</f>
        <v>0</v>
      </c>
      <c r="AJ100" s="35">
        <f t="array" ref="AJ100">SUM((AJ$97='Accident &amp; Incident Detail'!$C$2:$C$3433)*(Data!$A$100='Accident &amp; Incident Detail'!$E$2:$E$3433)*("Movement"='Accident &amp; Incident Detail'!$I$2:$I$3433))</f>
        <v>0</v>
      </c>
      <c r="AK100" s="35">
        <f t="array" ref="AK100">SUM((AK$97='Accident &amp; Incident Detail'!$C$2:$C$3433)*(Data!$A$100='Accident &amp; Incident Detail'!$E$2:$E$3433)*("Movement"='Accident &amp; Incident Detail'!$I$2:$I$3433))</f>
        <v>0</v>
      </c>
      <c r="AL100" s="35">
        <f t="array" ref="AL100">SUM((AL$97='Accident &amp; Incident Detail'!$C$2:$C$3433)*(Data!$A$100='Accident &amp; Incident Detail'!$E$2:$E$3433)*("Movement"='Accident &amp; Incident Detail'!$I$2:$I$3433))</f>
        <v>0</v>
      </c>
      <c r="AM100" s="35">
        <f t="array" ref="AM100">SUM((AM$97='Accident &amp; Incident Detail'!$C$2:$C$3433)*(Data!$A$100='Accident &amp; Incident Detail'!$E$2:$E$3433)*("Movement"='Accident &amp; Incident Detail'!$I$2:$I$3433))</f>
        <v>0</v>
      </c>
      <c r="AN100" s="35">
        <f t="array" ref="AN100">SUM((AN$97='Accident &amp; Incident Detail'!$C$2:$C$3433)*(Data!$A$100='Accident &amp; Incident Detail'!$E$2:$E$3433)*("Movement"='Accident &amp; Incident Detail'!$I$2:$I$3433))</f>
        <v>0</v>
      </c>
    </row>
    <row r="101" spans="1:40" x14ac:dyDescent="0.35">
      <c r="A101" s="188" t="s">
        <v>15</v>
      </c>
      <c r="B101" s="422">
        <f>IF(B$1=1,(SUM(B100:B100)/13),0)</f>
        <v>0</v>
      </c>
      <c r="C101" s="422">
        <f>IF(C$1=1,(SUM(B100:C100)/13),0)</f>
        <v>0</v>
      </c>
      <c r="D101" s="422">
        <f>IF(D$1=1,(SUM(B100:D100)/13),0)</f>
        <v>0</v>
      </c>
      <c r="E101" s="422">
        <f>IF(E$1=1,(SUM(B100:E100)/13),0)</f>
        <v>0</v>
      </c>
      <c r="F101" s="422">
        <f>IF(F$1=1,(SUM(B100:F100)/13),0)</f>
        <v>0</v>
      </c>
      <c r="G101" s="422">
        <f>IF(G$1=1,(SUM(B100:G100)/13),0)</f>
        <v>0</v>
      </c>
      <c r="H101" s="422">
        <f>IF(H$1=1,(SUM(B100:H100)/13),0)</f>
        <v>0</v>
      </c>
      <c r="I101" s="422">
        <f>IF(I$1=1,(SUM(B100:I100)/13),0)</f>
        <v>0</v>
      </c>
      <c r="J101" s="46">
        <f>IF(J$1=1,(SUM(B100:J100)/13),0)</f>
        <v>0</v>
      </c>
      <c r="K101" s="46">
        <f>IF(K$1=1,(SUM(B100:K100)/13),0)</f>
        <v>0</v>
      </c>
      <c r="L101" s="46">
        <f>IF(L$1=1,(SUM(B100:L100)/13),0)</f>
        <v>0</v>
      </c>
      <c r="M101" s="46">
        <f>IF(M$1=1,(SUM(B100:M100)/13),0)</f>
        <v>0</v>
      </c>
      <c r="N101" s="46">
        <f>IF(N$1=1,(SUM(B100:N100)/13),0)</f>
        <v>0</v>
      </c>
      <c r="O101" s="46">
        <f t="shared" ref="O101:Z101" si="74">IF(O$1=1,(SUM(C100:O100)/13),0)</f>
        <v>0</v>
      </c>
      <c r="P101" s="46">
        <f t="shared" si="74"/>
        <v>0</v>
      </c>
      <c r="Q101" s="46">
        <f t="shared" si="74"/>
        <v>0</v>
      </c>
      <c r="R101" s="46">
        <f t="shared" si="74"/>
        <v>0</v>
      </c>
      <c r="S101" s="46">
        <f t="shared" si="74"/>
        <v>0</v>
      </c>
      <c r="T101" s="46">
        <f t="shared" si="74"/>
        <v>0</v>
      </c>
      <c r="U101" s="46">
        <f t="shared" si="74"/>
        <v>0</v>
      </c>
      <c r="V101" s="46">
        <f t="shared" si="74"/>
        <v>0</v>
      </c>
      <c r="W101" s="46">
        <f t="shared" si="74"/>
        <v>0</v>
      </c>
      <c r="X101" s="46">
        <f t="shared" si="74"/>
        <v>0</v>
      </c>
      <c r="Y101" s="46">
        <f t="shared" si="74"/>
        <v>0</v>
      </c>
      <c r="Z101" s="46">
        <f t="shared" si="74"/>
        <v>0</v>
      </c>
      <c r="AA101" s="46">
        <f t="shared" ref="AA101:AN101" si="75">IF(AA$1=1,(SUM(O100:AA100)/13),0)</f>
        <v>0</v>
      </c>
      <c r="AB101" s="46">
        <f t="shared" si="75"/>
        <v>0</v>
      </c>
      <c r="AC101" s="46">
        <f t="shared" si="75"/>
        <v>0</v>
      </c>
      <c r="AD101" s="46">
        <f t="shared" si="75"/>
        <v>0</v>
      </c>
      <c r="AE101" s="46">
        <f t="shared" si="75"/>
        <v>0</v>
      </c>
      <c r="AF101" s="46">
        <f t="shared" si="75"/>
        <v>0</v>
      </c>
      <c r="AG101" s="46">
        <f t="shared" si="75"/>
        <v>0</v>
      </c>
      <c r="AH101" s="46">
        <f t="shared" si="75"/>
        <v>0</v>
      </c>
      <c r="AI101" s="46">
        <f t="shared" si="75"/>
        <v>0</v>
      </c>
      <c r="AJ101" s="46">
        <f t="shared" si="75"/>
        <v>0</v>
      </c>
      <c r="AK101" s="46">
        <f t="shared" si="75"/>
        <v>0</v>
      </c>
      <c r="AL101" s="46">
        <f t="shared" si="75"/>
        <v>0</v>
      </c>
      <c r="AM101" s="46">
        <f t="shared" si="75"/>
        <v>0</v>
      </c>
      <c r="AN101" s="46">
        <f t="shared" si="75"/>
        <v>0</v>
      </c>
    </row>
    <row r="102" spans="1:40" x14ac:dyDescent="0.35">
      <c r="A102" s="119" t="s">
        <v>25</v>
      </c>
      <c r="B102" s="423">
        <f t="array" ref="B102">SUM((B$97='Accident &amp; Incident Detail'!$C$2:$C$3433)*(Data!$A$102='Accident &amp; Incident Detail'!$E$2:$E$3433)*("Movement"='Accident &amp; Incident Detail'!$I$2:$I$3433))</f>
        <v>0</v>
      </c>
      <c r="C102" s="423">
        <f t="array" ref="C102">SUM((C$97='Accident &amp; Incident Detail'!$C$2:$C$3433)*(Data!$A$102='Accident &amp; Incident Detail'!$E$2:$E$3433)*("Movement"='Accident &amp; Incident Detail'!$I$2:$I$3433))</f>
        <v>0</v>
      </c>
      <c r="D102" s="423">
        <f t="array" ref="D102">SUM((D$97='Accident &amp; Incident Detail'!$C$2:$C$3433)*(Data!$A$102='Accident &amp; Incident Detail'!$E$2:$E$3433)*("Movement"='Accident &amp; Incident Detail'!$I$2:$I$3433))</f>
        <v>0</v>
      </c>
      <c r="E102" s="423">
        <f t="array" ref="E102">SUM((E$97='Accident &amp; Incident Detail'!$C$2:$C$3433)*(Data!$A$102='Accident &amp; Incident Detail'!$E$2:$E$3433)*("Movement"='Accident &amp; Incident Detail'!$I$2:$I$3433))</f>
        <v>0</v>
      </c>
      <c r="F102" s="423">
        <f t="array" ref="F102">SUM((F$97='Accident &amp; Incident Detail'!$C$2:$C$3433)*(Data!$A$102='Accident &amp; Incident Detail'!$E$2:$E$3433)*("Movement"='Accident &amp; Incident Detail'!$I$2:$I$3433))</f>
        <v>0</v>
      </c>
      <c r="G102" s="423">
        <f t="array" ref="G102">SUM((G$97='Accident &amp; Incident Detail'!$C$2:$C$3433)*(Data!$A$102='Accident &amp; Incident Detail'!$E$2:$E$3433)*("Movement"='Accident &amp; Incident Detail'!$I$2:$I$3433))</f>
        <v>0</v>
      </c>
      <c r="H102" s="423">
        <f t="array" ref="H102">SUM((H$97='Accident &amp; Incident Detail'!$C$2:$C$3433)*(Data!$A$102='Accident &amp; Incident Detail'!$E$2:$E$3433)*("Movement"='Accident &amp; Incident Detail'!$I$2:$I$3433))</f>
        <v>0</v>
      </c>
      <c r="I102" s="423">
        <f t="array" ref="I102">SUM((I$97='Accident &amp; Incident Detail'!$C$2:$C$3433)*(Data!$A$102='Accident &amp; Incident Detail'!$E$2:$E$3433)*("Movement"='Accident &amp; Incident Detail'!$I$2:$I$3433))</f>
        <v>0</v>
      </c>
      <c r="J102" s="35">
        <f t="array" ref="J102">SUM((J$97='Accident &amp; Incident Detail'!$C$2:$C$3433)*(Data!$A$102='Accident &amp; Incident Detail'!$E$2:$E$3433)*("Movement"='Accident &amp; Incident Detail'!$I$2:$I$3433))</f>
        <v>0</v>
      </c>
      <c r="K102" s="35">
        <f t="array" ref="K102">SUM((K$97='Accident &amp; Incident Detail'!$C$2:$C$3433)*(Data!$A$102='Accident &amp; Incident Detail'!$E$2:$E$3433)*("Movement"='Accident &amp; Incident Detail'!$I$2:$I$3433))</f>
        <v>0</v>
      </c>
      <c r="L102" s="35">
        <f t="array" ref="L102">SUM((L$97='Accident &amp; Incident Detail'!$C$2:$C$3433)*(Data!$A$102='Accident &amp; Incident Detail'!$E$2:$E$3433)*("Movement"='Accident &amp; Incident Detail'!$I$2:$I$3433))</f>
        <v>0</v>
      </c>
      <c r="M102" s="35">
        <f t="array" ref="M102">SUM((M$97='Accident &amp; Incident Detail'!$C$2:$C$3433)*(Data!$A$102='Accident &amp; Incident Detail'!$E$2:$E$3433)*("Movement"='Accident &amp; Incident Detail'!$I$2:$I$3433))</f>
        <v>0</v>
      </c>
      <c r="N102" s="35">
        <f t="array" ref="N102">SUM((N$97='Accident &amp; Incident Detail'!$C$2:$C$3433)*(Data!$A$102='Accident &amp; Incident Detail'!$E$2:$E$3433)*("Movement"='Accident &amp; Incident Detail'!$I$2:$I$3433))</f>
        <v>0</v>
      </c>
      <c r="O102" s="35">
        <f t="array" ref="O102">SUM((O$97='Accident &amp; Incident Detail'!$C$2:$C$3433)*(Data!$A$102='Accident &amp; Incident Detail'!$E$2:$E$3433)*("Movement"='Accident &amp; Incident Detail'!$I$2:$I$3433))</f>
        <v>1</v>
      </c>
      <c r="P102" s="35">
        <f t="array" ref="P102">SUM((P$97='Accident &amp; Incident Detail'!$C$2:$C$3433)*(Data!$A$102='Accident &amp; Incident Detail'!$E$2:$E$3433)*("Movement"='Accident &amp; Incident Detail'!$I$2:$I$3433))</f>
        <v>1</v>
      </c>
      <c r="Q102" s="35">
        <f t="array" ref="Q102">SUM((Q$97='Accident &amp; Incident Detail'!$C$2:$C$3433)*(Data!$A$102='Accident &amp; Incident Detail'!$E$2:$E$3433)*("Movement"='Accident &amp; Incident Detail'!$I$2:$I$3433))</f>
        <v>2</v>
      </c>
      <c r="R102" s="35">
        <f t="array" ref="R102">SUM((R$97='Accident &amp; Incident Detail'!$C$2:$C$3433)*(Data!$A$102='Accident &amp; Incident Detail'!$E$2:$E$3433)*("Movement"='Accident &amp; Incident Detail'!$I$2:$I$3433))</f>
        <v>2</v>
      </c>
      <c r="S102" s="35">
        <f t="array" ref="S102">SUM((S$97='Accident &amp; Incident Detail'!$C$2:$C$3433)*(Data!$A$102='Accident &amp; Incident Detail'!$E$2:$E$3433)*("Movement"='Accident &amp; Incident Detail'!$I$2:$I$3433))</f>
        <v>1</v>
      </c>
      <c r="T102" s="35">
        <f t="array" ref="T102">SUM((T$97='Accident &amp; Incident Detail'!$C$2:$C$3433)*(Data!$A$102='Accident &amp; Incident Detail'!$E$2:$E$3433)*("Movement"='Accident &amp; Incident Detail'!$I$2:$I$3433))</f>
        <v>2</v>
      </c>
      <c r="U102" s="35">
        <f t="array" ref="U102">SUM((U$97='Accident &amp; Incident Detail'!$C$2:$C$3433)*(Data!$A$102='Accident &amp; Incident Detail'!$E$2:$E$3433)*("Movement"='Accident &amp; Incident Detail'!$I$2:$I$3433))</f>
        <v>0</v>
      </c>
      <c r="V102" s="35">
        <f t="array" ref="V102">SUM((V$97='Accident &amp; Incident Detail'!$C$2:$C$3433)*(Data!$A$102='Accident &amp; Incident Detail'!$E$2:$E$3433)*("Movement"='Accident &amp; Incident Detail'!$I$2:$I$3433))</f>
        <v>1</v>
      </c>
      <c r="W102" s="35">
        <f t="array" ref="W102">SUM((W$97='Accident &amp; Incident Detail'!$C$2:$C$3433)*(Data!$A$102='Accident &amp; Incident Detail'!$E$2:$E$3433)*("Movement"='Accident &amp; Incident Detail'!$I$2:$I$3433))</f>
        <v>0</v>
      </c>
      <c r="X102" s="35">
        <f t="array" ref="X102">SUM((X$97='Accident &amp; Incident Detail'!$C$2:$C$3433)*(Data!$A$102='Accident &amp; Incident Detail'!$E$2:$E$3433)*("Movement"='Accident &amp; Incident Detail'!$I$2:$I$3433))</f>
        <v>3</v>
      </c>
      <c r="Y102" s="35">
        <f t="array" ref="Y102">SUM((Y$97='Accident &amp; Incident Detail'!$C$2:$C$3433)*(Data!$A$102='Accident &amp; Incident Detail'!$E$2:$E$3433)*("Movement"='Accident &amp; Incident Detail'!$I$2:$I$3433))</f>
        <v>3</v>
      </c>
      <c r="Z102" s="35">
        <f t="array" ref="Z102">SUM((Z$97='Accident &amp; Incident Detail'!$C$2:$C$3433)*(Data!$A$102='Accident &amp; Incident Detail'!$E$2:$E$3433)*("Movement"='Accident &amp; Incident Detail'!$I$2:$I$3433))</f>
        <v>0</v>
      </c>
      <c r="AA102" s="35">
        <f t="array" ref="AA102">SUM((AA$97='Accident &amp; Incident Detail'!$C$2:$C$3433)*(Data!$A$102='Accident &amp; Incident Detail'!$E$2:$E$3433)*("Movement"='Accident &amp; Incident Detail'!$I$2:$I$3433))</f>
        <v>2</v>
      </c>
      <c r="AB102" s="35">
        <f t="array" ref="AB102">SUM((AB$97='Accident &amp; Incident Detail'!$C$2:$C$3433)*(Data!$A$102='Accident &amp; Incident Detail'!$E$2:$E$3433)*("Movement"='Accident &amp; Incident Detail'!$I$2:$I$3433))</f>
        <v>1</v>
      </c>
      <c r="AC102" s="35">
        <f t="array" ref="AC102">SUM((AC$97='Accident &amp; Incident Detail'!$C$2:$C$3433)*(Data!$A$102='Accident &amp; Incident Detail'!$E$2:$E$3433)*("Movement"='Accident &amp; Incident Detail'!$I$2:$I$3433))</f>
        <v>0</v>
      </c>
      <c r="AD102" s="35">
        <f t="array" ref="AD102">SUM((AD$97='Accident &amp; Incident Detail'!$C$2:$C$3433)*(Data!$A$102='Accident &amp; Incident Detail'!$E$2:$E$3433)*("Movement"='Accident &amp; Incident Detail'!$I$2:$I$3433))</f>
        <v>0</v>
      </c>
      <c r="AE102" s="35">
        <f t="array" ref="AE102">SUM((AE$97='Accident &amp; Incident Detail'!$C$2:$C$3433)*(Data!$A$102='Accident &amp; Incident Detail'!$E$2:$E$3433)*("Movement"='Accident &amp; Incident Detail'!$I$2:$I$3433))</f>
        <v>3</v>
      </c>
      <c r="AF102" s="35">
        <f t="array" ref="AF102">SUM((AF$97='Accident &amp; Incident Detail'!$C$2:$C$3433)*(Data!$A$102='Accident &amp; Incident Detail'!$E$2:$E$3433)*("Movement"='Accident &amp; Incident Detail'!$I$2:$I$3433))</f>
        <v>0</v>
      </c>
      <c r="AG102" s="35">
        <f t="array" ref="AG102">SUM((AG$97='Accident &amp; Incident Detail'!$C$2:$C$3433)*(Data!$A$102='Accident &amp; Incident Detail'!$E$2:$E$3433)*("Movement"='Accident &amp; Incident Detail'!$I$2:$I$3433))</f>
        <v>1</v>
      </c>
      <c r="AH102" s="35">
        <f t="array" ref="AH102">SUM((AH$97='Accident &amp; Incident Detail'!$C$2:$C$3433)*(Data!$A$102='Accident &amp; Incident Detail'!$E$2:$E$3433)*("Movement"='Accident &amp; Incident Detail'!$I$2:$I$3433))</f>
        <v>0</v>
      </c>
      <c r="AI102" s="35">
        <f t="array" ref="AI102">SUM((AI$97='Accident &amp; Incident Detail'!$C$2:$C$3433)*(Data!$A$102='Accident &amp; Incident Detail'!$E$2:$E$3433)*("Movement"='Accident &amp; Incident Detail'!$I$2:$I$3433))</f>
        <v>2</v>
      </c>
      <c r="AJ102" s="35">
        <f t="array" ref="AJ102">SUM((AJ$97='Accident &amp; Incident Detail'!$C$2:$C$3433)*(Data!$A$102='Accident &amp; Incident Detail'!$E$2:$E$3433)*("Movement"='Accident &amp; Incident Detail'!$I$2:$I$3433))</f>
        <v>3</v>
      </c>
      <c r="AK102" s="35">
        <f t="array" ref="AK102">SUM((AK$97='Accident &amp; Incident Detail'!$C$2:$C$3433)*(Data!$A$102='Accident &amp; Incident Detail'!$E$2:$E$3433)*("Movement"='Accident &amp; Incident Detail'!$I$2:$I$3433))</f>
        <v>0</v>
      </c>
      <c r="AL102" s="35">
        <f t="array" ref="AL102">SUM((AL$97='Accident &amp; Incident Detail'!$C$2:$C$3433)*(Data!$A$102='Accident &amp; Incident Detail'!$E$2:$E$3433)*("Movement"='Accident &amp; Incident Detail'!$I$2:$I$3433))</f>
        <v>1</v>
      </c>
      <c r="AM102" s="35">
        <f t="array" ref="AM102">SUM((AM$97='Accident &amp; Incident Detail'!$C$2:$C$3433)*(Data!$A$102='Accident &amp; Incident Detail'!$E$2:$E$3433)*("Movement"='Accident &amp; Incident Detail'!$I$2:$I$3433))</f>
        <v>0</v>
      </c>
      <c r="AN102" s="35">
        <f t="array" ref="AN102">SUM((AN$97='Accident &amp; Incident Detail'!$C$2:$C$3433)*(Data!$A$102='Accident &amp; Incident Detail'!$E$2:$E$3433)*("Movement"='Accident &amp; Incident Detail'!$I$2:$I$3433))</f>
        <v>0</v>
      </c>
    </row>
    <row r="103" spans="1:40" x14ac:dyDescent="0.35">
      <c r="A103" s="188" t="s">
        <v>15</v>
      </c>
      <c r="B103" s="422">
        <f>IF(B$1=1,(SUM(B102:B102)/13),0)</f>
        <v>0</v>
      </c>
      <c r="C103" s="422">
        <f>IF(C$1=1,(SUM(B102:C102)/13),0)</f>
        <v>0</v>
      </c>
      <c r="D103" s="422">
        <f>IF(D$1=1,(SUM(B102:D102)/13),0)</f>
        <v>0</v>
      </c>
      <c r="E103" s="422">
        <f>IF(E$1=1,(SUM(B102:E102)/13),0)</f>
        <v>0</v>
      </c>
      <c r="F103" s="422">
        <f>IF(F$1=1,(SUM(B102:F102)/13),0)</f>
        <v>0</v>
      </c>
      <c r="G103" s="422">
        <f>IF(G$1=1,(SUM(B102:G102)/13),0)</f>
        <v>0</v>
      </c>
      <c r="H103" s="422">
        <f>IF(H$1=1,(SUM(B102:H102)/13),0)</f>
        <v>0</v>
      </c>
      <c r="I103" s="422">
        <f>IF(I$1=1,(SUM(B102:I102)/13),0)</f>
        <v>0</v>
      </c>
      <c r="J103" s="46">
        <f>IF(J$1=1,(SUM(B102:J102)/13),0)</f>
        <v>0</v>
      </c>
      <c r="K103" s="46">
        <f>IF(K$1=1,(SUM(B102:K102)/13),0)</f>
        <v>0</v>
      </c>
      <c r="L103" s="46">
        <f>IF(L$1=1,(SUM(B102:L102)/13),0)</f>
        <v>0</v>
      </c>
      <c r="M103" s="46">
        <f>IF(M$1=1,(SUM(B102:M102)/13),0)</f>
        <v>0</v>
      </c>
      <c r="N103" s="46">
        <f>IF(N$1=1,(SUM(B102:N102)/13),0)</f>
        <v>0</v>
      </c>
      <c r="O103" s="46">
        <f t="shared" ref="O103:Z103" si="76">IF(O$1=1,(SUM(C102:O102)/13),0)</f>
        <v>7.6923076923076927E-2</v>
      </c>
      <c r="P103" s="46">
        <f t="shared" si="76"/>
        <v>0.15384615384615385</v>
      </c>
      <c r="Q103" s="46">
        <f t="shared" si="76"/>
        <v>0.30769230769230771</v>
      </c>
      <c r="R103" s="46">
        <f t="shared" si="76"/>
        <v>0.46153846153846156</v>
      </c>
      <c r="S103" s="46">
        <f t="shared" si="76"/>
        <v>0.53846153846153844</v>
      </c>
      <c r="T103" s="46">
        <f t="shared" si="76"/>
        <v>0.69230769230769229</v>
      </c>
      <c r="U103" s="46">
        <f t="shared" si="76"/>
        <v>0.69230769230769229</v>
      </c>
      <c r="V103" s="46">
        <f t="shared" si="76"/>
        <v>0.76923076923076927</v>
      </c>
      <c r="W103" s="46">
        <f t="shared" si="76"/>
        <v>0.76923076923076927</v>
      </c>
      <c r="X103" s="46">
        <f t="shared" si="76"/>
        <v>1</v>
      </c>
      <c r="Y103" s="46">
        <f t="shared" si="76"/>
        <v>1.2307692307692308</v>
      </c>
      <c r="Z103" s="46">
        <f t="shared" si="76"/>
        <v>1.2307692307692308</v>
      </c>
      <c r="AA103" s="46">
        <f t="shared" ref="AA103:AN103" si="77">IF(AA$1=1,(SUM(O102:AA102)/13),0)</f>
        <v>1.3846153846153846</v>
      </c>
      <c r="AB103" s="46">
        <f t="shared" si="77"/>
        <v>1.3846153846153846</v>
      </c>
      <c r="AC103" s="46">
        <f t="shared" si="77"/>
        <v>1.3076923076923077</v>
      </c>
      <c r="AD103" s="46">
        <f t="shared" si="77"/>
        <v>1.1538461538461537</v>
      </c>
      <c r="AE103" s="46">
        <f t="shared" si="77"/>
        <v>1.2307692307692308</v>
      </c>
      <c r="AF103" s="46">
        <f t="shared" si="77"/>
        <v>1.1538461538461537</v>
      </c>
      <c r="AG103" s="46">
        <f t="shared" si="77"/>
        <v>1.0769230769230769</v>
      </c>
      <c r="AH103" s="46">
        <f t="shared" si="77"/>
        <v>1.0769230769230769</v>
      </c>
      <c r="AI103" s="46">
        <f t="shared" si="77"/>
        <v>1.1538461538461537</v>
      </c>
      <c r="AJ103" s="46">
        <f t="shared" si="77"/>
        <v>1.3846153846153846</v>
      </c>
      <c r="AK103" s="46">
        <f t="shared" si="77"/>
        <v>1.1538461538461537</v>
      </c>
      <c r="AL103" s="46">
        <f t="shared" si="77"/>
        <v>0</v>
      </c>
      <c r="AM103" s="46">
        <f t="shared" si="77"/>
        <v>0</v>
      </c>
      <c r="AN103" s="46">
        <f t="shared" si="77"/>
        <v>0</v>
      </c>
    </row>
    <row r="104" spans="1:40" x14ac:dyDescent="0.35">
      <c r="A104" s="119" t="s">
        <v>26</v>
      </c>
      <c r="B104" s="423">
        <f t="array" ref="B104">SUM((B$97='Accident &amp; Incident Detail'!$C$2:$C$3433)*(Data!$A$104='Accident &amp; Incident Detail'!$E$2:$E$3433)*("Movement"='Accident &amp; Incident Detail'!$I$2:$I$3433))</f>
        <v>0</v>
      </c>
      <c r="C104" s="423">
        <f t="array" ref="C104">SUM((C$97='Accident &amp; Incident Detail'!$C$2:$C$3433)*(Data!$A$104='Accident &amp; Incident Detail'!$E$2:$E$3433)*("Movement"='Accident &amp; Incident Detail'!$I$2:$I$3433))</f>
        <v>0</v>
      </c>
      <c r="D104" s="423">
        <f t="array" ref="D104">SUM((D$97='Accident &amp; Incident Detail'!$C$2:$C$3433)*(Data!$A$104='Accident &amp; Incident Detail'!$E$2:$E$3433)*("Movement"='Accident &amp; Incident Detail'!$I$2:$I$3433))</f>
        <v>0</v>
      </c>
      <c r="E104" s="423">
        <f t="array" ref="E104">SUM((E$97='Accident &amp; Incident Detail'!$C$2:$C$3433)*(Data!$A$104='Accident &amp; Incident Detail'!$E$2:$E$3433)*("Movement"='Accident &amp; Incident Detail'!$I$2:$I$3433))</f>
        <v>0</v>
      </c>
      <c r="F104" s="423">
        <f t="array" ref="F104">SUM((F$97='Accident &amp; Incident Detail'!$C$2:$C$3433)*(Data!$A$104='Accident &amp; Incident Detail'!$E$2:$E$3433)*("Movement"='Accident &amp; Incident Detail'!$I$2:$I$3433))</f>
        <v>0</v>
      </c>
      <c r="G104" s="423">
        <f t="array" ref="G104">SUM((G$97='Accident &amp; Incident Detail'!$C$2:$C$3433)*(Data!$A$104='Accident &amp; Incident Detail'!$E$2:$E$3433)*("Movement"='Accident &amp; Incident Detail'!$I$2:$I$3433))</f>
        <v>0</v>
      </c>
      <c r="H104" s="423">
        <f t="array" ref="H104">SUM((H$97='Accident &amp; Incident Detail'!$C$2:$C$3433)*(Data!$A$104='Accident &amp; Incident Detail'!$E$2:$E$3433)*("Movement"='Accident &amp; Incident Detail'!$I$2:$I$3433))</f>
        <v>0</v>
      </c>
      <c r="I104" s="423">
        <f t="array" ref="I104">SUM((I$97='Accident &amp; Incident Detail'!$C$2:$C$3433)*(Data!$A$104='Accident &amp; Incident Detail'!$E$2:$E$3433)*("Movement"='Accident &amp; Incident Detail'!$I$2:$I$3433))</f>
        <v>0</v>
      </c>
      <c r="J104" s="35">
        <f t="array" ref="J104">SUM((J$97='Accident &amp; Incident Detail'!$C$2:$C$3433)*(Data!$A$104='Accident &amp; Incident Detail'!$E$2:$E$3433)*("Movement"='Accident &amp; Incident Detail'!$I$2:$I$3433))</f>
        <v>0</v>
      </c>
      <c r="K104" s="35">
        <f t="array" ref="K104">SUM((K$97='Accident &amp; Incident Detail'!$C$2:$C$3433)*(Data!$A$104='Accident &amp; Incident Detail'!$E$2:$E$3433)*("Movement"='Accident &amp; Incident Detail'!$I$2:$I$3433))</f>
        <v>0</v>
      </c>
      <c r="L104" s="35">
        <f t="array" ref="L104">SUM((L$97='Accident &amp; Incident Detail'!$C$2:$C$3433)*(Data!$A$104='Accident &amp; Incident Detail'!$E$2:$E$3433)*("Movement"='Accident &amp; Incident Detail'!$I$2:$I$3433))</f>
        <v>0</v>
      </c>
      <c r="M104" s="35">
        <f t="array" ref="M104">SUM((M$97='Accident &amp; Incident Detail'!$C$2:$C$3433)*(Data!$A$104='Accident &amp; Incident Detail'!$E$2:$E$3433)*("Movement"='Accident &amp; Incident Detail'!$I$2:$I$3433))</f>
        <v>0</v>
      </c>
      <c r="N104" s="35">
        <f t="array" ref="N104">SUM((N$97='Accident &amp; Incident Detail'!$C$2:$C$3433)*(Data!$A$104='Accident &amp; Incident Detail'!$E$2:$E$3433)*("Movement"='Accident &amp; Incident Detail'!$I$2:$I$3433))</f>
        <v>0</v>
      </c>
      <c r="O104" s="35">
        <f t="array" ref="O104">SUM((O$97='Accident &amp; Incident Detail'!$C$2:$C$3433)*(Data!$A$104='Accident &amp; Incident Detail'!$E$2:$E$3433)*("Movement"='Accident &amp; Incident Detail'!$I$2:$I$3433))</f>
        <v>0</v>
      </c>
      <c r="P104" s="35">
        <f t="array" ref="P104">SUM((P$97='Accident &amp; Incident Detail'!$C$2:$C$3433)*(Data!$A$104='Accident &amp; Incident Detail'!$E$2:$E$3433)*("Movement"='Accident &amp; Incident Detail'!$I$2:$I$3433))</f>
        <v>0</v>
      </c>
      <c r="Q104" s="35">
        <f t="array" ref="Q104">SUM((Q$97='Accident &amp; Incident Detail'!$C$2:$C$3433)*(Data!$A$104='Accident &amp; Incident Detail'!$E$2:$E$3433)*("Movement"='Accident &amp; Incident Detail'!$I$2:$I$3433))</f>
        <v>0</v>
      </c>
      <c r="R104" s="35">
        <f t="array" ref="R104">SUM((R$97='Accident &amp; Incident Detail'!$C$2:$C$3433)*(Data!$A$104='Accident &amp; Incident Detail'!$E$2:$E$3433)*("Movement"='Accident &amp; Incident Detail'!$I$2:$I$3433))</f>
        <v>0</v>
      </c>
      <c r="S104" s="35">
        <f t="array" ref="S104">SUM((S$97='Accident &amp; Incident Detail'!$C$2:$C$3433)*(Data!$A$104='Accident &amp; Incident Detail'!$E$2:$E$3433)*("Movement"='Accident &amp; Incident Detail'!$I$2:$I$3433))</f>
        <v>0</v>
      </c>
      <c r="T104" s="35">
        <f t="array" ref="T104">SUM((T$97='Accident &amp; Incident Detail'!$C$2:$C$3433)*(Data!$A$104='Accident &amp; Incident Detail'!$E$2:$E$3433)*("Movement"='Accident &amp; Incident Detail'!$I$2:$I$3433))</f>
        <v>0</v>
      </c>
      <c r="U104" s="35">
        <f t="array" ref="U104">SUM((U$97='Accident &amp; Incident Detail'!$C$2:$C$3433)*(Data!$A$104='Accident &amp; Incident Detail'!$E$2:$E$3433)*("Movement"='Accident &amp; Incident Detail'!$I$2:$I$3433))</f>
        <v>0</v>
      </c>
      <c r="V104" s="35">
        <f t="array" ref="V104">SUM((V$97='Accident &amp; Incident Detail'!$C$2:$C$3433)*(Data!$A$104='Accident &amp; Incident Detail'!$E$2:$E$3433)*("Movement"='Accident &amp; Incident Detail'!$I$2:$I$3433))</f>
        <v>0</v>
      </c>
      <c r="W104" s="35">
        <f t="array" ref="W104">SUM((W$97='Accident &amp; Incident Detail'!$C$2:$C$3433)*(Data!$A$104='Accident &amp; Incident Detail'!$E$2:$E$3433)*("Movement"='Accident &amp; Incident Detail'!$I$2:$I$3433))</f>
        <v>0</v>
      </c>
      <c r="X104" s="35">
        <f t="array" ref="X104">SUM((X$97='Accident &amp; Incident Detail'!$C$2:$C$3433)*(Data!$A$104='Accident &amp; Incident Detail'!$E$2:$E$3433)*("Movement"='Accident &amp; Incident Detail'!$I$2:$I$3433))</f>
        <v>0</v>
      </c>
      <c r="Y104" s="35">
        <f t="array" ref="Y104">SUM((Y$97='Accident &amp; Incident Detail'!$C$2:$C$3433)*(Data!$A$104='Accident &amp; Incident Detail'!$E$2:$E$3433)*("Movement"='Accident &amp; Incident Detail'!$I$2:$I$3433))</f>
        <v>0</v>
      </c>
      <c r="Z104" s="35">
        <f t="array" ref="Z104">SUM((Z$97='Accident &amp; Incident Detail'!$C$2:$C$3433)*(Data!$A$104='Accident &amp; Incident Detail'!$E$2:$E$3433)*("Movement"='Accident &amp; Incident Detail'!$I$2:$I$3433))</f>
        <v>0</v>
      </c>
      <c r="AA104" s="35">
        <f t="array" ref="AA104">SUM((AA$97='Accident &amp; Incident Detail'!$C$2:$C$3433)*(Data!$A$104='Accident &amp; Incident Detail'!$E$2:$E$3433)*("Movement"='Accident &amp; Incident Detail'!$I$2:$I$3433))</f>
        <v>0</v>
      </c>
      <c r="AB104" s="35">
        <f t="array" ref="AB104">SUM((AB$97='Accident &amp; Incident Detail'!$C$2:$C$3433)*(Data!$A$104='Accident &amp; Incident Detail'!$E$2:$E$3433)*("Movement"='Accident &amp; Incident Detail'!$I$2:$I$3433))</f>
        <v>0</v>
      </c>
      <c r="AC104" s="35">
        <f t="array" ref="AC104">SUM((AC$97='Accident &amp; Incident Detail'!$C$2:$C$3433)*(Data!$A$104='Accident &amp; Incident Detail'!$E$2:$E$3433)*("Movement"='Accident &amp; Incident Detail'!$I$2:$I$3433))</f>
        <v>0</v>
      </c>
      <c r="AD104" s="35">
        <f t="array" ref="AD104">SUM((AD$97='Accident &amp; Incident Detail'!$C$2:$C$3433)*(Data!$A$104='Accident &amp; Incident Detail'!$E$2:$E$3433)*("Movement"='Accident &amp; Incident Detail'!$I$2:$I$3433))</f>
        <v>0</v>
      </c>
      <c r="AE104" s="35">
        <f t="array" ref="AE104">SUM((AE$97='Accident &amp; Incident Detail'!$C$2:$C$3433)*(Data!$A$104='Accident &amp; Incident Detail'!$E$2:$E$3433)*("Movement"='Accident &amp; Incident Detail'!$I$2:$I$3433))</f>
        <v>0</v>
      </c>
      <c r="AF104" s="35">
        <f t="array" ref="AF104">SUM((AF$97='Accident &amp; Incident Detail'!$C$2:$C$3433)*(Data!$A$104='Accident &amp; Incident Detail'!$E$2:$E$3433)*("Movement"='Accident &amp; Incident Detail'!$I$2:$I$3433))</f>
        <v>0</v>
      </c>
      <c r="AG104" s="35">
        <f t="array" ref="AG104">SUM((AG$97='Accident &amp; Incident Detail'!$C$2:$C$3433)*(Data!$A$104='Accident &amp; Incident Detail'!$E$2:$E$3433)*("Movement"='Accident &amp; Incident Detail'!$I$2:$I$3433))</f>
        <v>0</v>
      </c>
      <c r="AH104" s="35">
        <f t="array" ref="AH104">SUM((AH$97='Accident &amp; Incident Detail'!$C$2:$C$3433)*(Data!$A$104='Accident &amp; Incident Detail'!$E$2:$E$3433)*("Movement"='Accident &amp; Incident Detail'!$I$2:$I$3433))</f>
        <v>0</v>
      </c>
      <c r="AI104" s="35">
        <f t="array" ref="AI104">SUM((AI$97='Accident &amp; Incident Detail'!$C$2:$C$3433)*(Data!$A$104='Accident &amp; Incident Detail'!$E$2:$E$3433)*("Movement"='Accident &amp; Incident Detail'!$I$2:$I$3433))</f>
        <v>0</v>
      </c>
      <c r="AJ104" s="35">
        <f t="array" ref="AJ104">SUM((AJ$97='Accident &amp; Incident Detail'!$C$2:$C$3433)*(Data!$A$104='Accident &amp; Incident Detail'!$E$2:$E$3433)*("Movement"='Accident &amp; Incident Detail'!$I$2:$I$3433))</f>
        <v>0</v>
      </c>
      <c r="AK104" s="35">
        <f t="array" ref="AK104">SUM((AK$97='Accident &amp; Incident Detail'!$C$2:$C$3433)*(Data!$A$104='Accident &amp; Incident Detail'!$E$2:$E$3433)*("Movement"='Accident &amp; Incident Detail'!$I$2:$I$3433))</f>
        <v>0</v>
      </c>
      <c r="AL104" s="35">
        <f t="array" ref="AL104">SUM((AL$97='Accident &amp; Incident Detail'!$C$2:$C$3433)*(Data!$A$104='Accident &amp; Incident Detail'!$E$2:$E$3433)*("Movement"='Accident &amp; Incident Detail'!$I$2:$I$3433))</f>
        <v>0</v>
      </c>
      <c r="AM104" s="35">
        <f t="array" ref="AM104">SUM((AM$97='Accident &amp; Incident Detail'!$C$2:$C$3433)*(Data!$A$104='Accident &amp; Incident Detail'!$E$2:$E$3433)*("Movement"='Accident &amp; Incident Detail'!$I$2:$I$3433))</f>
        <v>0</v>
      </c>
      <c r="AN104" s="35">
        <f t="array" ref="AN104">SUM((AN$97='Accident &amp; Incident Detail'!$C$2:$C$3433)*(Data!$A$104='Accident &amp; Incident Detail'!$E$2:$E$3433)*("Movement"='Accident &amp; Incident Detail'!$I$2:$I$3433))</f>
        <v>0</v>
      </c>
    </row>
    <row r="105" spans="1:40" x14ac:dyDescent="0.35">
      <c r="A105" s="188" t="s">
        <v>15</v>
      </c>
      <c r="B105" s="422">
        <f>IF(B$1=1,(SUM(B104:B104)/13),0)</f>
        <v>0</v>
      </c>
      <c r="C105" s="422">
        <f>IF(C$1=1,(SUM(B104:C104)/13),0)</f>
        <v>0</v>
      </c>
      <c r="D105" s="422">
        <f>IF(D$1=1,(SUM(B104:D104)/13),0)</f>
        <v>0</v>
      </c>
      <c r="E105" s="422">
        <f>IF(E$1=1,(SUM(B104:E104)/13),0)</f>
        <v>0</v>
      </c>
      <c r="F105" s="422">
        <f>IF(F$1=1,(SUM(B104:F104)/13),0)</f>
        <v>0</v>
      </c>
      <c r="G105" s="422">
        <f>IF(G$1=1,(SUM(B104:G104)/13),0)</f>
        <v>0</v>
      </c>
      <c r="H105" s="422">
        <f>IF(H$1=1,(SUM(B104:H104)/13),0)</f>
        <v>0</v>
      </c>
      <c r="I105" s="422">
        <f>IF(I$1=1,(SUM(B104:I104)/13),0)</f>
        <v>0</v>
      </c>
      <c r="J105" s="46">
        <f>IF(J$1=1,(SUM(B104:J104)/13),0)</f>
        <v>0</v>
      </c>
      <c r="K105" s="46">
        <f>IF(K$1=1,(SUM(B104:K104)/13),0)</f>
        <v>0</v>
      </c>
      <c r="L105" s="46">
        <f>IF(L$1=1,(SUM(B104:L104)/13),0)</f>
        <v>0</v>
      </c>
      <c r="M105" s="46">
        <f>IF(M$1=1,(SUM(B104:M104)/13),0)</f>
        <v>0</v>
      </c>
      <c r="N105" s="46">
        <f>IF(N$1=1,(SUM(B104:N104)/13),0)</f>
        <v>0</v>
      </c>
      <c r="O105" s="46">
        <f t="shared" ref="O105:Z105" si="78">IF(O$1=1,(SUM(C104:O104)/13),0)</f>
        <v>0</v>
      </c>
      <c r="P105" s="46">
        <f t="shared" si="78"/>
        <v>0</v>
      </c>
      <c r="Q105" s="46">
        <f t="shared" si="78"/>
        <v>0</v>
      </c>
      <c r="R105" s="46">
        <f t="shared" si="78"/>
        <v>0</v>
      </c>
      <c r="S105" s="46">
        <f t="shared" si="78"/>
        <v>0</v>
      </c>
      <c r="T105" s="46">
        <f t="shared" si="78"/>
        <v>0</v>
      </c>
      <c r="U105" s="46">
        <f t="shared" si="78"/>
        <v>0</v>
      </c>
      <c r="V105" s="46">
        <f t="shared" si="78"/>
        <v>0</v>
      </c>
      <c r="W105" s="46">
        <f t="shared" si="78"/>
        <v>0</v>
      </c>
      <c r="X105" s="46">
        <f t="shared" si="78"/>
        <v>0</v>
      </c>
      <c r="Y105" s="46">
        <f t="shared" si="78"/>
        <v>0</v>
      </c>
      <c r="Z105" s="46">
        <f t="shared" si="78"/>
        <v>0</v>
      </c>
      <c r="AA105" s="46">
        <f t="shared" ref="AA105:AN105" si="79">IF(AA$1=1,(SUM(O104:AA104)/13),0)</f>
        <v>0</v>
      </c>
      <c r="AB105" s="46">
        <f t="shared" si="79"/>
        <v>0</v>
      </c>
      <c r="AC105" s="46">
        <f t="shared" si="79"/>
        <v>0</v>
      </c>
      <c r="AD105" s="46">
        <f t="shared" si="79"/>
        <v>0</v>
      </c>
      <c r="AE105" s="46">
        <f t="shared" si="79"/>
        <v>0</v>
      </c>
      <c r="AF105" s="46">
        <f t="shared" si="79"/>
        <v>0</v>
      </c>
      <c r="AG105" s="46">
        <f t="shared" si="79"/>
        <v>0</v>
      </c>
      <c r="AH105" s="46">
        <f t="shared" si="79"/>
        <v>0</v>
      </c>
      <c r="AI105" s="46">
        <f t="shared" si="79"/>
        <v>0</v>
      </c>
      <c r="AJ105" s="46">
        <f t="shared" si="79"/>
        <v>0</v>
      </c>
      <c r="AK105" s="46">
        <f t="shared" si="79"/>
        <v>0</v>
      </c>
      <c r="AL105" s="46">
        <f t="shared" si="79"/>
        <v>0</v>
      </c>
      <c r="AM105" s="46">
        <f t="shared" si="79"/>
        <v>0</v>
      </c>
      <c r="AN105" s="46">
        <f t="shared" si="79"/>
        <v>0</v>
      </c>
    </row>
    <row r="106" spans="1:40" x14ac:dyDescent="0.35">
      <c r="A106" s="119" t="s">
        <v>27</v>
      </c>
      <c r="B106" s="423">
        <f t="array" ref="B106">SUM((B$97='Accident &amp; Incident Detail'!$C$2:$C$3433)*(Data!$A$106='Accident &amp; Incident Detail'!$E$2:$E$3433)*("Movement"='Accident &amp; Incident Detail'!$I$2:$I$3433))</f>
        <v>0</v>
      </c>
      <c r="C106" s="423">
        <f t="array" ref="C106">SUM((C$97='Accident &amp; Incident Detail'!$C$2:$C$3433)*(Data!$A$106='Accident &amp; Incident Detail'!$E$2:$E$3433)*("Movement"='Accident &amp; Incident Detail'!$I$2:$I$3433))</f>
        <v>0</v>
      </c>
      <c r="D106" s="423">
        <f t="array" ref="D106">SUM((D$97='Accident &amp; Incident Detail'!$C$2:$C$3433)*(Data!$A$106='Accident &amp; Incident Detail'!$E$2:$E$3433)*("Movement"='Accident &amp; Incident Detail'!$I$2:$I$3433))</f>
        <v>0</v>
      </c>
      <c r="E106" s="423">
        <f t="array" ref="E106">SUM((E$97='Accident &amp; Incident Detail'!$C$2:$C$3433)*(Data!$A$106='Accident &amp; Incident Detail'!$E$2:$E$3433)*("Movement"='Accident &amp; Incident Detail'!$I$2:$I$3433))</f>
        <v>0</v>
      </c>
      <c r="F106" s="423">
        <f t="array" ref="F106">SUM((F$97='Accident &amp; Incident Detail'!$C$2:$C$3433)*(Data!$A$106='Accident &amp; Incident Detail'!$E$2:$E$3433)*("Movement"='Accident &amp; Incident Detail'!$I$2:$I$3433))</f>
        <v>0</v>
      </c>
      <c r="G106" s="423">
        <f t="array" ref="G106">SUM((G$97='Accident &amp; Incident Detail'!$C$2:$C$3433)*(Data!$A$106='Accident &amp; Incident Detail'!$E$2:$E$3433)*("Movement"='Accident &amp; Incident Detail'!$I$2:$I$3433))</f>
        <v>0</v>
      </c>
      <c r="H106" s="423">
        <f t="array" ref="H106">SUM((H$97='Accident &amp; Incident Detail'!$C$2:$C$3433)*(Data!$A$106='Accident &amp; Incident Detail'!$E$2:$E$3433)*("Movement"='Accident &amp; Incident Detail'!$I$2:$I$3433))</f>
        <v>0</v>
      </c>
      <c r="I106" s="423">
        <f t="array" ref="I106">SUM((I$97='Accident &amp; Incident Detail'!$C$2:$C$3433)*(Data!$A$106='Accident &amp; Incident Detail'!$E$2:$E$3433)*("Movement"='Accident &amp; Incident Detail'!$I$2:$I$3433))</f>
        <v>0</v>
      </c>
      <c r="J106" s="35">
        <f t="array" ref="J106">SUM((J$97='Accident &amp; Incident Detail'!$C$2:$C$3433)*(Data!$A$106='Accident &amp; Incident Detail'!$E$2:$E$3433)*("Movement"='Accident &amp; Incident Detail'!$I$2:$I$3433))</f>
        <v>1</v>
      </c>
      <c r="K106" s="35">
        <f t="array" ref="K106">SUM((K$97='Accident &amp; Incident Detail'!$C$2:$C$3433)*(Data!$A$106='Accident &amp; Incident Detail'!$E$2:$E$3433)*("Movement"='Accident &amp; Incident Detail'!$I$2:$I$3433))</f>
        <v>3</v>
      </c>
      <c r="L106" s="35">
        <f t="array" ref="L106">SUM((L$97='Accident &amp; Incident Detail'!$C$2:$C$3433)*(Data!$A$106='Accident &amp; Incident Detail'!$E$2:$E$3433)*("Movement"='Accident &amp; Incident Detail'!$I$2:$I$3433))</f>
        <v>7</v>
      </c>
      <c r="M106" s="35">
        <f t="array" ref="M106">SUM((M$97='Accident &amp; Incident Detail'!$C$2:$C$3433)*(Data!$A$106='Accident &amp; Incident Detail'!$E$2:$E$3433)*("Movement"='Accident &amp; Incident Detail'!$I$2:$I$3433))</f>
        <v>7</v>
      </c>
      <c r="N106" s="35">
        <f t="array" ref="N106">SUM((N$97='Accident &amp; Incident Detail'!$C$2:$C$3433)*(Data!$A$106='Accident &amp; Incident Detail'!$E$2:$E$3433)*("Movement"='Accident &amp; Incident Detail'!$I$2:$I$3433))</f>
        <v>0</v>
      </c>
      <c r="O106" s="35">
        <f t="array" ref="O106">SUM((O$97='Accident &amp; Incident Detail'!$C$2:$C$3433)*(Data!$A$106='Accident &amp; Incident Detail'!$E$2:$E$3433)*("Movement"='Accident &amp; Incident Detail'!$I$2:$I$3433))</f>
        <v>8</v>
      </c>
      <c r="P106" s="35">
        <f t="array" ref="P106">SUM((P$97='Accident &amp; Incident Detail'!$C$2:$C$3433)*(Data!$A$106='Accident &amp; Incident Detail'!$E$2:$E$3433)*("Movement"='Accident &amp; Incident Detail'!$I$2:$I$3433))</f>
        <v>5</v>
      </c>
      <c r="Q106" s="35">
        <f t="array" ref="Q106">SUM((Q$97='Accident &amp; Incident Detail'!$C$2:$C$3433)*(Data!$A$106='Accident &amp; Incident Detail'!$E$2:$E$3433)*("Movement"='Accident &amp; Incident Detail'!$I$2:$I$3433))</f>
        <v>7</v>
      </c>
      <c r="R106" s="35">
        <f t="array" ref="R106">SUM((R$97='Accident &amp; Incident Detail'!$C$2:$C$3433)*(Data!$A$106='Accident &amp; Incident Detail'!$E$2:$E$3433)*("Movement"='Accident &amp; Incident Detail'!$I$2:$I$3433))</f>
        <v>4</v>
      </c>
      <c r="S106" s="35">
        <f t="array" ref="S106">SUM((S$97='Accident &amp; Incident Detail'!$C$2:$C$3433)*(Data!$A$106='Accident &amp; Incident Detail'!$E$2:$E$3433)*("Movement"='Accident &amp; Incident Detail'!$I$2:$I$3433))</f>
        <v>2</v>
      </c>
      <c r="T106" s="35">
        <f t="array" ref="T106">SUM((T$97='Accident &amp; Incident Detail'!$C$2:$C$3433)*(Data!$A$106='Accident &amp; Incident Detail'!$E$2:$E$3433)*("Movement"='Accident &amp; Incident Detail'!$I$2:$I$3433))</f>
        <v>5</v>
      </c>
      <c r="U106" s="35">
        <f t="array" ref="U106">SUM((U$97='Accident &amp; Incident Detail'!$C$2:$C$3433)*(Data!$A$106='Accident &amp; Incident Detail'!$E$2:$E$3433)*("Movement"='Accident &amp; Incident Detail'!$I$2:$I$3433))</f>
        <v>6</v>
      </c>
      <c r="V106" s="35">
        <f t="array" ref="V106">SUM((V$97='Accident &amp; Incident Detail'!$C$2:$C$3433)*(Data!$A$106='Accident &amp; Incident Detail'!$E$2:$E$3433)*("Movement"='Accident &amp; Incident Detail'!$I$2:$I$3433))</f>
        <v>3</v>
      </c>
      <c r="W106" s="35">
        <f t="array" ref="W106">SUM((W$97='Accident &amp; Incident Detail'!$C$2:$C$3433)*(Data!$A$106='Accident &amp; Incident Detail'!$E$2:$E$3433)*("Movement"='Accident &amp; Incident Detail'!$I$2:$I$3433))</f>
        <v>7</v>
      </c>
      <c r="X106" s="35">
        <f t="array" ref="X106">SUM((X$97='Accident &amp; Incident Detail'!$C$2:$C$3433)*(Data!$A$106='Accident &amp; Incident Detail'!$E$2:$E$3433)*("Movement"='Accident &amp; Incident Detail'!$I$2:$I$3433))</f>
        <v>4</v>
      </c>
      <c r="Y106" s="35">
        <f t="array" ref="Y106">SUM((Y$97='Accident &amp; Incident Detail'!$C$2:$C$3433)*(Data!$A$106='Accident &amp; Incident Detail'!$E$2:$E$3433)*("Movement"='Accident &amp; Incident Detail'!$I$2:$I$3433))</f>
        <v>1</v>
      </c>
      <c r="Z106" s="35">
        <f t="array" ref="Z106">SUM((Z$97='Accident &amp; Incident Detail'!$C$2:$C$3433)*(Data!$A$106='Accident &amp; Incident Detail'!$E$2:$E$3433)*("Movement"='Accident &amp; Incident Detail'!$I$2:$I$3433))</f>
        <v>4</v>
      </c>
      <c r="AA106" s="35">
        <f t="array" ref="AA106">SUM((AA$97='Accident &amp; Incident Detail'!$C$2:$C$3433)*(Data!$A$106='Accident &amp; Incident Detail'!$E$2:$E$3433)*("Movement"='Accident &amp; Incident Detail'!$I$2:$I$3433))</f>
        <v>4</v>
      </c>
      <c r="AB106" s="35">
        <f t="array" ref="AB106">SUM((AB$97='Accident &amp; Incident Detail'!$C$2:$C$3433)*(Data!$A$106='Accident &amp; Incident Detail'!$E$2:$E$3433)*("Movement"='Accident &amp; Incident Detail'!$I$2:$I$3433))</f>
        <v>2</v>
      </c>
      <c r="AC106" s="35">
        <f t="array" ref="AC106">SUM((AC$97='Accident &amp; Incident Detail'!$C$2:$C$3433)*(Data!$A$106='Accident &amp; Incident Detail'!$E$2:$E$3433)*("Movement"='Accident &amp; Incident Detail'!$I$2:$I$3433))</f>
        <v>1</v>
      </c>
      <c r="AD106" s="35">
        <f t="array" ref="AD106">SUM((AD$97='Accident &amp; Incident Detail'!$C$2:$C$3433)*(Data!$A$106='Accident &amp; Incident Detail'!$E$2:$E$3433)*("Movement"='Accident &amp; Incident Detail'!$I$2:$I$3433))</f>
        <v>4</v>
      </c>
      <c r="AE106" s="35">
        <f t="array" ref="AE106">SUM((AE$97='Accident &amp; Incident Detail'!$C$2:$C$3433)*(Data!$A$106='Accident &amp; Incident Detail'!$E$2:$E$3433)*("Movement"='Accident &amp; Incident Detail'!$I$2:$I$3433))</f>
        <v>3</v>
      </c>
      <c r="AF106" s="35">
        <f t="array" ref="AF106">SUM((AF$97='Accident &amp; Incident Detail'!$C$2:$C$3433)*(Data!$A$106='Accident &amp; Incident Detail'!$E$2:$E$3433)*("Movement"='Accident &amp; Incident Detail'!$I$2:$I$3433))</f>
        <v>1</v>
      </c>
      <c r="AG106" s="35">
        <f t="array" ref="AG106">SUM((AG$97='Accident &amp; Incident Detail'!$C$2:$C$3433)*(Data!$A$106='Accident &amp; Incident Detail'!$E$2:$E$3433)*("Movement"='Accident &amp; Incident Detail'!$I$2:$I$3433))</f>
        <v>5</v>
      </c>
      <c r="AH106" s="35">
        <f t="array" ref="AH106">SUM((AH$97='Accident &amp; Incident Detail'!$C$2:$C$3433)*(Data!$A$106='Accident &amp; Incident Detail'!$E$2:$E$3433)*("Movement"='Accident &amp; Incident Detail'!$I$2:$I$3433))</f>
        <v>5</v>
      </c>
      <c r="AI106" s="35">
        <f t="array" ref="AI106">SUM((AI$97='Accident &amp; Incident Detail'!$C$2:$C$3433)*(Data!$A$106='Accident &amp; Incident Detail'!$E$2:$E$3433)*("Movement"='Accident &amp; Incident Detail'!$I$2:$I$3433))</f>
        <v>5</v>
      </c>
      <c r="AJ106" s="35">
        <f t="array" ref="AJ106">SUM((AJ$97='Accident &amp; Incident Detail'!$C$2:$C$3433)*(Data!$A$106='Accident &amp; Incident Detail'!$E$2:$E$3433)*("Movement"='Accident &amp; Incident Detail'!$I$2:$I$3433))</f>
        <v>6</v>
      </c>
      <c r="AK106" s="35">
        <f t="array" ref="AK106">SUM((AK$97='Accident &amp; Incident Detail'!$C$2:$C$3433)*(Data!$A$106='Accident &amp; Incident Detail'!$E$2:$E$3433)*("Movement"='Accident &amp; Incident Detail'!$I$2:$I$3433))</f>
        <v>3</v>
      </c>
      <c r="AL106" s="35">
        <f t="array" ref="AL106">SUM((AL$97='Accident &amp; Incident Detail'!$C$2:$C$3433)*(Data!$A$106='Accident &amp; Incident Detail'!$E$2:$E$3433)*("Movement"='Accident &amp; Incident Detail'!$I$2:$I$3433))</f>
        <v>2</v>
      </c>
      <c r="AM106" s="35">
        <f t="array" ref="AM106">SUM((AM$97='Accident &amp; Incident Detail'!$C$2:$C$3433)*(Data!$A$106='Accident &amp; Incident Detail'!$E$2:$E$3433)*("Movement"='Accident &amp; Incident Detail'!$I$2:$I$3433))</f>
        <v>0</v>
      </c>
      <c r="AN106" s="35">
        <f t="array" ref="AN106">SUM((AN$97='Accident &amp; Incident Detail'!$C$2:$C$3433)*(Data!$A$106='Accident &amp; Incident Detail'!$E$2:$E$3433)*("Movement"='Accident &amp; Incident Detail'!$I$2:$I$3433))</f>
        <v>0</v>
      </c>
    </row>
    <row r="107" spans="1:40" x14ac:dyDescent="0.35">
      <c r="A107" s="188" t="s">
        <v>15</v>
      </c>
      <c r="B107" s="422">
        <f>IF(B$1=1,(SUM(B106:B106)/13),0)</f>
        <v>0</v>
      </c>
      <c r="C107" s="422">
        <f>IF(C$1=1,(SUM(B106:C106)/13),0)</f>
        <v>0</v>
      </c>
      <c r="D107" s="422">
        <f>IF(D$1=1,(SUM(B106:D106)/13),0)</f>
        <v>0</v>
      </c>
      <c r="E107" s="422">
        <f>IF(E$1=1,(SUM(B106:E106)/13),0)</f>
        <v>0</v>
      </c>
      <c r="F107" s="422">
        <f>IF(F$1=1,(SUM(B106:F106)/13),0)</f>
        <v>0</v>
      </c>
      <c r="G107" s="422">
        <f>IF(G$1=1,(SUM(B106:G106)/13),0)</f>
        <v>0</v>
      </c>
      <c r="H107" s="422">
        <f>IF(H$1=1,(SUM(B106:H106)/13),0)</f>
        <v>0</v>
      </c>
      <c r="I107" s="422">
        <f>IF(I$1=1,(SUM(B106:I106)/13),0)</f>
        <v>0</v>
      </c>
      <c r="J107" s="46">
        <f>IF(J$1=1,(SUM(B106:J106)/13),0)</f>
        <v>7.6923076923076927E-2</v>
      </c>
      <c r="K107" s="46">
        <f>IF(K$1=1,(SUM(B106:K106)/13),0)</f>
        <v>0.30769230769230771</v>
      </c>
      <c r="L107" s="46">
        <f>IF(L$1=1,(SUM(B106:L106)/13),0)</f>
        <v>0.84615384615384615</v>
      </c>
      <c r="M107" s="46">
        <f>IF(M$1=1,(SUM(B106:M106)/13),0)</f>
        <v>1.3846153846153846</v>
      </c>
      <c r="N107" s="46">
        <f>IF(N$1=1,(SUM(B106:N106)/13),0)</f>
        <v>1.3846153846153846</v>
      </c>
      <c r="O107" s="46">
        <f t="shared" ref="O107:Z107" si="80">IF(O$1=1,(SUM(C106:O106)/13),0)</f>
        <v>2</v>
      </c>
      <c r="P107" s="46">
        <f t="shared" si="80"/>
        <v>2.3846153846153846</v>
      </c>
      <c r="Q107" s="46">
        <f t="shared" si="80"/>
        <v>2.9230769230769229</v>
      </c>
      <c r="R107" s="46">
        <f t="shared" si="80"/>
        <v>3.2307692307692308</v>
      </c>
      <c r="S107" s="46">
        <f t="shared" si="80"/>
        <v>3.3846153846153846</v>
      </c>
      <c r="T107" s="46">
        <f t="shared" si="80"/>
        <v>3.7692307692307692</v>
      </c>
      <c r="U107" s="46">
        <f t="shared" si="80"/>
        <v>4.2307692307692308</v>
      </c>
      <c r="V107" s="46">
        <f t="shared" si="80"/>
        <v>4.4615384615384617</v>
      </c>
      <c r="W107" s="46">
        <f t="shared" si="80"/>
        <v>4.9230769230769234</v>
      </c>
      <c r="X107" s="46">
        <f t="shared" si="80"/>
        <v>5</v>
      </c>
      <c r="Y107" s="46">
        <f t="shared" si="80"/>
        <v>4.5384615384615383</v>
      </c>
      <c r="Z107" s="46">
        <f t="shared" si="80"/>
        <v>4.3076923076923075</v>
      </c>
      <c r="AA107" s="46">
        <f t="shared" ref="AA107:AN107" si="81">IF(AA$1=1,(SUM(O106:AA106)/13),0)</f>
        <v>4.615384615384615</v>
      </c>
      <c r="AB107" s="46">
        <f t="shared" si="81"/>
        <v>4.1538461538461542</v>
      </c>
      <c r="AC107" s="46">
        <f t="shared" si="81"/>
        <v>3.8461538461538463</v>
      </c>
      <c r="AD107" s="46">
        <f t="shared" si="81"/>
        <v>3.6153846153846154</v>
      </c>
      <c r="AE107" s="46">
        <f t="shared" si="81"/>
        <v>3.5384615384615383</v>
      </c>
      <c r="AF107" s="46">
        <f t="shared" si="81"/>
        <v>3.4615384615384617</v>
      </c>
      <c r="AG107" s="46">
        <f t="shared" si="81"/>
        <v>3.4615384615384617</v>
      </c>
      <c r="AH107" s="46">
        <f t="shared" si="81"/>
        <v>3.3846153846153846</v>
      </c>
      <c r="AI107" s="46">
        <f t="shared" si="81"/>
        <v>3.5384615384615383</v>
      </c>
      <c r="AJ107" s="46">
        <f t="shared" si="81"/>
        <v>3.4615384615384617</v>
      </c>
      <c r="AK107" s="46">
        <f t="shared" si="81"/>
        <v>3.3846153846153846</v>
      </c>
      <c r="AL107" s="46">
        <f t="shared" si="81"/>
        <v>0</v>
      </c>
      <c r="AM107" s="46">
        <f t="shared" si="81"/>
        <v>0</v>
      </c>
      <c r="AN107" s="46">
        <f t="shared" si="81"/>
        <v>0</v>
      </c>
    </row>
    <row r="108" spans="1:40" x14ac:dyDescent="0.35">
      <c r="A108" s="119" t="s">
        <v>28</v>
      </c>
      <c r="B108" s="423">
        <f t="array" ref="B108">SUM((B$97='Accident &amp; Incident Detail'!$C$2:$C$3433)*(Data!$A$108='Accident &amp; Incident Detail'!$E$2:$E$3433)*("Movement"='Accident &amp; Incident Detail'!$I$2:$I$3433))</f>
        <v>0</v>
      </c>
      <c r="C108" s="423">
        <f t="array" ref="C108">SUM((C$97='Accident &amp; Incident Detail'!$C$2:$C$3433)*(Data!$A$108='Accident &amp; Incident Detail'!$E$2:$E$3433)*("Movement"='Accident &amp; Incident Detail'!$I$2:$I$3433))</f>
        <v>0</v>
      </c>
      <c r="D108" s="423">
        <f t="array" ref="D108">SUM((D$97='Accident &amp; Incident Detail'!$C$2:$C$3433)*(Data!$A$108='Accident &amp; Incident Detail'!$E$2:$E$3433)*("Movement"='Accident &amp; Incident Detail'!$I$2:$I$3433))</f>
        <v>0</v>
      </c>
      <c r="E108" s="423">
        <f t="array" ref="E108">SUM((E$97='Accident &amp; Incident Detail'!$C$2:$C$3433)*(Data!$A$108='Accident &amp; Incident Detail'!$E$2:$E$3433)*("Movement"='Accident &amp; Incident Detail'!$I$2:$I$3433))</f>
        <v>0</v>
      </c>
      <c r="F108" s="423">
        <f t="array" ref="F108">SUM((F$97='Accident &amp; Incident Detail'!$C$2:$C$3433)*(Data!$A$108='Accident &amp; Incident Detail'!$E$2:$E$3433)*("Movement"='Accident &amp; Incident Detail'!$I$2:$I$3433))</f>
        <v>0</v>
      </c>
      <c r="G108" s="423">
        <f t="array" ref="G108">SUM((G$97='Accident &amp; Incident Detail'!$C$2:$C$3433)*(Data!$A$108='Accident &amp; Incident Detail'!$E$2:$E$3433)*("Movement"='Accident &amp; Incident Detail'!$I$2:$I$3433))</f>
        <v>0</v>
      </c>
      <c r="H108" s="423">
        <f t="array" ref="H108">SUM((H$97='Accident &amp; Incident Detail'!$C$2:$C$3433)*(Data!$A$108='Accident &amp; Incident Detail'!$E$2:$E$3433)*("Movement"='Accident &amp; Incident Detail'!$I$2:$I$3433))</f>
        <v>0</v>
      </c>
      <c r="I108" s="423">
        <f t="array" ref="I108">SUM((I$97='Accident &amp; Incident Detail'!$C$2:$C$3433)*(Data!$A$108='Accident &amp; Incident Detail'!$E$2:$E$3433)*("Movement"='Accident &amp; Incident Detail'!$I$2:$I$3433))</f>
        <v>0</v>
      </c>
      <c r="J108" s="35">
        <f t="array" ref="J108">SUM((J$97='Accident &amp; Incident Detail'!$C$2:$C$3433)*(Data!$A$108='Accident &amp; Incident Detail'!$E$2:$E$3433)*("Movement"='Accident &amp; Incident Detail'!$I$2:$I$3433))</f>
        <v>0</v>
      </c>
      <c r="K108" s="35">
        <f t="array" ref="K108">SUM((K$97='Accident &amp; Incident Detail'!$C$2:$C$3433)*(Data!$A$108='Accident &amp; Incident Detail'!$E$2:$E$3433)*("Movement"='Accident &amp; Incident Detail'!$I$2:$I$3433))</f>
        <v>0</v>
      </c>
      <c r="L108" s="35">
        <f t="array" ref="L108">SUM((L$97='Accident &amp; Incident Detail'!$C$2:$C$3433)*(Data!$A$108='Accident &amp; Incident Detail'!$E$2:$E$3433)*("Movement"='Accident &amp; Incident Detail'!$I$2:$I$3433))</f>
        <v>0</v>
      </c>
      <c r="M108" s="35">
        <f t="array" ref="M108">SUM((M$97='Accident &amp; Incident Detail'!$C$2:$C$3433)*(Data!$A$108='Accident &amp; Incident Detail'!$E$2:$E$3433)*("Movement"='Accident &amp; Incident Detail'!$I$2:$I$3433))</f>
        <v>0</v>
      </c>
      <c r="N108" s="35">
        <f t="array" ref="N108">SUM((N$97='Accident &amp; Incident Detail'!$C$2:$C$3433)*(Data!$A$108='Accident &amp; Incident Detail'!$E$2:$E$3433)*("Movement"='Accident &amp; Incident Detail'!$I$2:$I$3433))</f>
        <v>0</v>
      </c>
      <c r="O108" s="35">
        <f t="array" ref="O108">SUM((O$97='Accident &amp; Incident Detail'!$C$2:$C$3433)*(Data!$A$108='Accident &amp; Incident Detail'!$E$2:$E$3433)*("Movement"='Accident &amp; Incident Detail'!$I$2:$I$3433))</f>
        <v>0</v>
      </c>
      <c r="P108" s="35">
        <f t="array" ref="P108">SUM((P$97='Accident &amp; Incident Detail'!$C$2:$C$3433)*(Data!$A$108='Accident &amp; Incident Detail'!$E$2:$E$3433)*("Movement"='Accident &amp; Incident Detail'!$I$2:$I$3433))</f>
        <v>0</v>
      </c>
      <c r="Q108" s="35">
        <f t="array" ref="Q108">SUM((Q$97='Accident &amp; Incident Detail'!$C$2:$C$3433)*(Data!$A$108='Accident &amp; Incident Detail'!$E$2:$E$3433)*("Movement"='Accident &amp; Incident Detail'!$I$2:$I$3433))</f>
        <v>0</v>
      </c>
      <c r="R108" s="35">
        <f t="array" ref="R108">SUM((R$97='Accident &amp; Incident Detail'!$C$2:$C$3433)*(Data!$A$108='Accident &amp; Incident Detail'!$E$2:$E$3433)*("Movement"='Accident &amp; Incident Detail'!$I$2:$I$3433))</f>
        <v>0</v>
      </c>
      <c r="S108" s="35">
        <f t="array" ref="S108">SUM((S$97='Accident &amp; Incident Detail'!$C$2:$C$3433)*(Data!$A$108='Accident &amp; Incident Detail'!$E$2:$E$3433)*("Movement"='Accident &amp; Incident Detail'!$I$2:$I$3433))</f>
        <v>0</v>
      </c>
      <c r="T108" s="35">
        <f t="array" ref="T108">SUM((T$97='Accident &amp; Incident Detail'!$C$2:$C$3433)*(Data!$A$108='Accident &amp; Incident Detail'!$E$2:$E$3433)*("Movement"='Accident &amp; Incident Detail'!$I$2:$I$3433))</f>
        <v>0</v>
      </c>
      <c r="U108" s="35">
        <f t="array" ref="U108">SUM((U$97='Accident &amp; Incident Detail'!$C$2:$C$3433)*(Data!$A$108='Accident &amp; Incident Detail'!$E$2:$E$3433)*("Movement"='Accident &amp; Incident Detail'!$I$2:$I$3433))</f>
        <v>0</v>
      </c>
      <c r="V108" s="35">
        <f t="array" ref="V108">SUM((V$97='Accident &amp; Incident Detail'!$C$2:$C$3433)*(Data!$A$108='Accident &amp; Incident Detail'!$E$2:$E$3433)*("Movement"='Accident &amp; Incident Detail'!$I$2:$I$3433))</f>
        <v>0</v>
      </c>
      <c r="W108" s="35">
        <f t="array" ref="W108">SUM((W$97='Accident &amp; Incident Detail'!$C$2:$C$3433)*(Data!$A$108='Accident &amp; Incident Detail'!$E$2:$E$3433)*("Movement"='Accident &amp; Incident Detail'!$I$2:$I$3433))</f>
        <v>0</v>
      </c>
      <c r="X108" s="35">
        <f t="array" ref="X108">SUM((X$97='Accident &amp; Incident Detail'!$C$2:$C$3433)*(Data!$A$108='Accident &amp; Incident Detail'!$E$2:$E$3433)*("Movement"='Accident &amp; Incident Detail'!$I$2:$I$3433))</f>
        <v>1</v>
      </c>
      <c r="Y108" s="35">
        <f t="array" ref="Y108">SUM((Y$97='Accident &amp; Incident Detail'!$C$2:$C$3433)*(Data!$A$108='Accident &amp; Incident Detail'!$E$2:$E$3433)*("Movement"='Accident &amp; Incident Detail'!$I$2:$I$3433))</f>
        <v>0</v>
      </c>
      <c r="Z108" s="35">
        <f t="array" ref="Z108">SUM((Z$97='Accident &amp; Incident Detail'!$C$2:$C$3433)*(Data!$A$108='Accident &amp; Incident Detail'!$E$2:$E$3433)*("Movement"='Accident &amp; Incident Detail'!$I$2:$I$3433))</f>
        <v>0</v>
      </c>
      <c r="AA108" s="35">
        <f t="array" ref="AA108">SUM((AA$97='Accident &amp; Incident Detail'!$C$2:$C$3433)*(Data!$A$108='Accident &amp; Incident Detail'!$E$2:$E$3433)*("Movement"='Accident &amp; Incident Detail'!$I$2:$I$3433))</f>
        <v>0</v>
      </c>
      <c r="AB108" s="35">
        <f t="array" ref="AB108">SUM((AB$97='Accident &amp; Incident Detail'!$C$2:$C$3433)*(Data!$A$108='Accident &amp; Incident Detail'!$E$2:$E$3433)*("Movement"='Accident &amp; Incident Detail'!$I$2:$I$3433))</f>
        <v>0</v>
      </c>
      <c r="AC108" s="35">
        <f t="array" ref="AC108">SUM((AC$97='Accident &amp; Incident Detail'!$C$2:$C$3433)*(Data!$A$108='Accident &amp; Incident Detail'!$E$2:$E$3433)*("Movement"='Accident &amp; Incident Detail'!$I$2:$I$3433))</f>
        <v>0</v>
      </c>
      <c r="AD108" s="35">
        <f t="array" ref="AD108">SUM((AD$97='Accident &amp; Incident Detail'!$C$2:$C$3433)*(Data!$A$108='Accident &amp; Incident Detail'!$E$2:$E$3433)*("Movement"='Accident &amp; Incident Detail'!$I$2:$I$3433))</f>
        <v>0</v>
      </c>
      <c r="AE108" s="35">
        <f t="array" ref="AE108">SUM((AE$97='Accident &amp; Incident Detail'!$C$2:$C$3433)*(Data!$A$108='Accident &amp; Incident Detail'!$E$2:$E$3433)*("Movement"='Accident &amp; Incident Detail'!$I$2:$I$3433))</f>
        <v>0</v>
      </c>
      <c r="AF108" s="35">
        <f t="array" ref="AF108">SUM((AF$97='Accident &amp; Incident Detail'!$C$2:$C$3433)*(Data!$A$108='Accident &amp; Incident Detail'!$E$2:$E$3433)*("Movement"='Accident &amp; Incident Detail'!$I$2:$I$3433))</f>
        <v>0</v>
      </c>
      <c r="AG108" s="35">
        <f t="array" ref="AG108">SUM((AG$97='Accident &amp; Incident Detail'!$C$2:$C$3433)*(Data!$A$108='Accident &amp; Incident Detail'!$E$2:$E$3433)*("Movement"='Accident &amp; Incident Detail'!$I$2:$I$3433))</f>
        <v>0</v>
      </c>
      <c r="AH108" s="35">
        <f t="array" ref="AH108">SUM((AH$97='Accident &amp; Incident Detail'!$C$2:$C$3433)*(Data!$A$108='Accident &amp; Incident Detail'!$E$2:$E$3433)*("Movement"='Accident &amp; Incident Detail'!$I$2:$I$3433))</f>
        <v>0</v>
      </c>
      <c r="AI108" s="35">
        <f t="array" ref="AI108">SUM((AI$97='Accident &amp; Incident Detail'!$C$2:$C$3433)*(Data!$A$108='Accident &amp; Incident Detail'!$E$2:$E$3433)*("Movement"='Accident &amp; Incident Detail'!$I$2:$I$3433))</f>
        <v>1</v>
      </c>
      <c r="AJ108" s="35">
        <f t="array" ref="AJ108">SUM((AJ$97='Accident &amp; Incident Detail'!$C$2:$C$3433)*(Data!$A$108='Accident &amp; Incident Detail'!$E$2:$E$3433)*("Movement"='Accident &amp; Incident Detail'!$I$2:$I$3433))</f>
        <v>0</v>
      </c>
      <c r="AK108" s="35">
        <f t="array" ref="AK108">SUM((AK$97='Accident &amp; Incident Detail'!$C$2:$C$3433)*(Data!$A$108='Accident &amp; Incident Detail'!$E$2:$E$3433)*("Movement"='Accident &amp; Incident Detail'!$I$2:$I$3433))</f>
        <v>0</v>
      </c>
      <c r="AL108" s="35">
        <f t="array" ref="AL108">SUM((AL$97='Accident &amp; Incident Detail'!$C$2:$C$3433)*(Data!$A$108='Accident &amp; Incident Detail'!$E$2:$E$3433)*("Movement"='Accident &amp; Incident Detail'!$I$2:$I$3433))</f>
        <v>0</v>
      </c>
      <c r="AM108" s="35">
        <f t="array" ref="AM108">SUM((AM$97='Accident &amp; Incident Detail'!$C$2:$C$3433)*(Data!$A$108='Accident &amp; Incident Detail'!$E$2:$E$3433)*("Movement"='Accident &amp; Incident Detail'!$I$2:$I$3433))</f>
        <v>0</v>
      </c>
      <c r="AN108" s="35">
        <f t="array" ref="AN108">SUM((AN$97='Accident &amp; Incident Detail'!$C$2:$C$3433)*(Data!$A$108='Accident &amp; Incident Detail'!$E$2:$E$3433)*("Movement"='Accident &amp; Incident Detail'!$I$2:$I$3433))</f>
        <v>0</v>
      </c>
    </row>
    <row r="109" spans="1:40" x14ac:dyDescent="0.35">
      <c r="A109" s="188" t="s">
        <v>15</v>
      </c>
      <c r="B109" s="422">
        <f>IF(B$1=1,(SUM(B108:B108)/13),0)</f>
        <v>0</v>
      </c>
      <c r="C109" s="422">
        <f>IF(C$1=1,(SUM(B108:C108)/13),0)</f>
        <v>0</v>
      </c>
      <c r="D109" s="422">
        <f>IF(D$1=1,(SUM(B108:D108)/13),0)</f>
        <v>0</v>
      </c>
      <c r="E109" s="422">
        <f>IF(E$1=1,(SUM(B108:E108)/13),0)</f>
        <v>0</v>
      </c>
      <c r="F109" s="422">
        <f>IF(F$1=1,(SUM(B108:F108)/13),0)</f>
        <v>0</v>
      </c>
      <c r="G109" s="422">
        <f>IF(G$1=1,(SUM(B108:G108)/13),0)</f>
        <v>0</v>
      </c>
      <c r="H109" s="422">
        <f>IF(H$1=1,(SUM(B108:H108)/13),0)</f>
        <v>0</v>
      </c>
      <c r="I109" s="422">
        <f>IF(I$1=1,(SUM(B108:I108)/13),0)</f>
        <v>0</v>
      </c>
      <c r="J109" s="46">
        <f>IF(J$1=1,(SUM(B108:J108)/13),0)</f>
        <v>0</v>
      </c>
      <c r="K109" s="46">
        <f>IF(K$1=1,(SUM(B108:K108)/13),0)</f>
        <v>0</v>
      </c>
      <c r="L109" s="46">
        <f>IF(L$1=1,(SUM(B108:L108)/13),0)</f>
        <v>0</v>
      </c>
      <c r="M109" s="46">
        <f>IF(M$1=1,(SUM(B108:M108)/13),0)</f>
        <v>0</v>
      </c>
      <c r="N109" s="46">
        <f>IF(N$1=1,(SUM(B108:N108)/13),0)</f>
        <v>0</v>
      </c>
      <c r="O109" s="46">
        <f t="shared" ref="O109:Z109" si="82">IF(O$1=1,(SUM(C108:O108)/13),0)</f>
        <v>0</v>
      </c>
      <c r="P109" s="46">
        <f t="shared" si="82"/>
        <v>0</v>
      </c>
      <c r="Q109" s="46">
        <f t="shared" si="82"/>
        <v>0</v>
      </c>
      <c r="R109" s="46">
        <f t="shared" si="82"/>
        <v>0</v>
      </c>
      <c r="S109" s="46">
        <f t="shared" si="82"/>
        <v>0</v>
      </c>
      <c r="T109" s="46">
        <f t="shared" si="82"/>
        <v>0</v>
      </c>
      <c r="U109" s="46">
        <f t="shared" si="82"/>
        <v>0</v>
      </c>
      <c r="V109" s="46">
        <f t="shared" si="82"/>
        <v>0</v>
      </c>
      <c r="W109" s="46">
        <f t="shared" si="82"/>
        <v>0</v>
      </c>
      <c r="X109" s="46">
        <f t="shared" si="82"/>
        <v>7.6923076923076927E-2</v>
      </c>
      <c r="Y109" s="46">
        <f t="shared" si="82"/>
        <v>7.6923076923076927E-2</v>
      </c>
      <c r="Z109" s="46">
        <f t="shared" si="82"/>
        <v>7.6923076923076927E-2</v>
      </c>
      <c r="AA109" s="46">
        <f t="shared" ref="AA109:AN109" si="83">IF(AA$1=1,(SUM(O108:AA108)/13),0)</f>
        <v>7.6923076923076927E-2</v>
      </c>
      <c r="AB109" s="46">
        <f t="shared" si="83"/>
        <v>7.6923076923076927E-2</v>
      </c>
      <c r="AC109" s="46">
        <f t="shared" si="83"/>
        <v>7.6923076923076927E-2</v>
      </c>
      <c r="AD109" s="46">
        <f t="shared" si="83"/>
        <v>7.6923076923076927E-2</v>
      </c>
      <c r="AE109" s="46">
        <f t="shared" si="83"/>
        <v>7.6923076923076927E-2</v>
      </c>
      <c r="AF109" s="46">
        <f t="shared" si="83"/>
        <v>7.6923076923076927E-2</v>
      </c>
      <c r="AG109" s="46">
        <f t="shared" si="83"/>
        <v>7.6923076923076927E-2</v>
      </c>
      <c r="AH109" s="46">
        <f t="shared" si="83"/>
        <v>7.6923076923076927E-2</v>
      </c>
      <c r="AI109" s="46">
        <f t="shared" si="83"/>
        <v>0.15384615384615385</v>
      </c>
      <c r="AJ109" s="46">
        <f t="shared" si="83"/>
        <v>0.15384615384615385</v>
      </c>
      <c r="AK109" s="46">
        <f t="shared" si="83"/>
        <v>7.6923076923076927E-2</v>
      </c>
      <c r="AL109" s="46">
        <f t="shared" si="83"/>
        <v>0</v>
      </c>
      <c r="AM109" s="46">
        <f t="shared" si="83"/>
        <v>0</v>
      </c>
      <c r="AN109" s="46">
        <f t="shared" si="83"/>
        <v>0</v>
      </c>
    </row>
    <row r="110" spans="1:40" x14ac:dyDescent="0.35">
      <c r="A110" s="119" t="s">
        <v>35</v>
      </c>
      <c r="B110" s="423">
        <f t="array" ref="B110">SUM((B$97='Accident &amp; Incident Detail'!$C$2:$C$3433)*(Data!$A$110='Accident &amp; Incident Detail'!$E$2:$E$3433)*("Movement"='Accident &amp; Incident Detail'!$I$2:$I$3433))</f>
        <v>0</v>
      </c>
      <c r="C110" s="423">
        <f t="array" ref="C110">SUM((C$97='Accident &amp; Incident Detail'!$C$2:$C$3433)*(Data!$A$110='Accident &amp; Incident Detail'!$E$2:$E$3433)*("Movement"='Accident &amp; Incident Detail'!$I$2:$I$3433))</f>
        <v>0</v>
      </c>
      <c r="D110" s="423">
        <f t="array" ref="D110">SUM((D$97='Accident &amp; Incident Detail'!$C$2:$C$3433)*(Data!$A$110='Accident &amp; Incident Detail'!$E$2:$E$3433)*("Movement"='Accident &amp; Incident Detail'!$I$2:$I$3433))</f>
        <v>0</v>
      </c>
      <c r="E110" s="423">
        <f t="array" ref="E110">SUM((E$97='Accident &amp; Incident Detail'!$C$2:$C$3433)*(Data!$A$110='Accident &amp; Incident Detail'!$E$2:$E$3433)*("Movement"='Accident &amp; Incident Detail'!$I$2:$I$3433))</f>
        <v>0</v>
      </c>
      <c r="F110" s="423">
        <f t="array" ref="F110">SUM((F$97='Accident &amp; Incident Detail'!$C$2:$C$3433)*(Data!$A$110='Accident &amp; Incident Detail'!$E$2:$E$3433)*("Movement"='Accident &amp; Incident Detail'!$I$2:$I$3433))</f>
        <v>0</v>
      </c>
      <c r="G110" s="423">
        <f t="array" ref="G110">SUM((G$97='Accident &amp; Incident Detail'!$C$2:$C$3433)*(Data!$A$110='Accident &amp; Incident Detail'!$E$2:$E$3433)*("Movement"='Accident &amp; Incident Detail'!$I$2:$I$3433))</f>
        <v>0</v>
      </c>
      <c r="H110" s="423">
        <f t="array" ref="H110">SUM((H$97='Accident &amp; Incident Detail'!$C$2:$C$3433)*(Data!$A$110='Accident &amp; Incident Detail'!$E$2:$E$3433)*("Movement"='Accident &amp; Incident Detail'!$I$2:$I$3433))</f>
        <v>0</v>
      </c>
      <c r="I110" s="423">
        <f t="array" ref="I110">SUM((I$97='Accident &amp; Incident Detail'!$C$2:$C$3433)*(Data!$A$110='Accident &amp; Incident Detail'!$E$2:$E$3433)*("Movement"='Accident &amp; Incident Detail'!$I$2:$I$3433))</f>
        <v>0</v>
      </c>
      <c r="J110" s="35">
        <f t="array" ref="J110">SUM((J$97='Accident &amp; Incident Detail'!$C$2:$C$3433)*(Data!$A$110='Accident &amp; Incident Detail'!$E$2:$E$3433)*("Movement"='Accident &amp; Incident Detail'!$I$2:$I$3433))</f>
        <v>0</v>
      </c>
      <c r="K110" s="35">
        <f t="array" ref="K110">SUM((K$97='Accident &amp; Incident Detail'!$C$2:$C$3433)*(Data!$A$110='Accident &amp; Incident Detail'!$E$2:$E$3433)*("Movement"='Accident &amp; Incident Detail'!$I$2:$I$3433))</f>
        <v>0</v>
      </c>
      <c r="L110" s="35">
        <f t="array" ref="L110">SUM((L$97='Accident &amp; Incident Detail'!$C$2:$C$3433)*(Data!$A$110='Accident &amp; Incident Detail'!$E$2:$E$3433)*("Movement"='Accident &amp; Incident Detail'!$I$2:$I$3433))</f>
        <v>0</v>
      </c>
      <c r="M110" s="35">
        <f t="array" ref="M110">SUM((M$97='Accident &amp; Incident Detail'!$C$2:$C$3433)*(Data!$A$110='Accident &amp; Incident Detail'!$E$2:$E$3433)*("Movement"='Accident &amp; Incident Detail'!$I$2:$I$3433))</f>
        <v>0</v>
      </c>
      <c r="N110" s="35">
        <f t="array" ref="N110">SUM((N$97='Accident &amp; Incident Detail'!$C$2:$C$3433)*(Data!$A$110='Accident &amp; Incident Detail'!$E$2:$E$3433)*("Movement"='Accident &amp; Incident Detail'!$I$2:$I$3433))</f>
        <v>0</v>
      </c>
      <c r="O110" s="35">
        <f t="array" ref="O110">SUM((O$97='Accident &amp; Incident Detail'!$C$2:$C$3433)*(Data!$A$110='Accident &amp; Incident Detail'!$E$2:$E$3433)*("Movement"='Accident &amp; Incident Detail'!$I$2:$I$3433))</f>
        <v>0</v>
      </c>
      <c r="P110" s="35">
        <f t="array" ref="P110">SUM((P$97='Accident &amp; Incident Detail'!$C$2:$C$3433)*(Data!$A$110='Accident &amp; Incident Detail'!$E$2:$E$3433)*("Movement"='Accident &amp; Incident Detail'!$I$2:$I$3433))</f>
        <v>0</v>
      </c>
      <c r="Q110" s="35">
        <f t="array" ref="Q110">SUM((Q$97='Accident &amp; Incident Detail'!$C$2:$C$3433)*(Data!$A$110='Accident &amp; Incident Detail'!$E$2:$E$3433)*("Movement"='Accident &amp; Incident Detail'!$I$2:$I$3433))</f>
        <v>0</v>
      </c>
      <c r="R110" s="35">
        <f t="array" ref="R110">SUM((R$97='Accident &amp; Incident Detail'!$C$2:$C$3433)*(Data!$A$110='Accident &amp; Incident Detail'!$E$2:$E$3433)*("Movement"='Accident &amp; Incident Detail'!$I$2:$I$3433))</f>
        <v>0</v>
      </c>
      <c r="S110" s="35">
        <f t="array" ref="S110">SUM((S$97='Accident &amp; Incident Detail'!$C$2:$C$3433)*(Data!$A$110='Accident &amp; Incident Detail'!$E$2:$E$3433)*("Movement"='Accident &amp; Incident Detail'!$I$2:$I$3433))</f>
        <v>0</v>
      </c>
      <c r="T110" s="35">
        <f t="array" ref="T110">SUM((T$97='Accident &amp; Incident Detail'!$C$2:$C$3433)*(Data!$A$110='Accident &amp; Incident Detail'!$E$2:$E$3433)*("Movement"='Accident &amp; Incident Detail'!$I$2:$I$3433))</f>
        <v>0</v>
      </c>
      <c r="U110" s="35">
        <f t="array" ref="U110">SUM((U$97='Accident &amp; Incident Detail'!$C$2:$C$3433)*(Data!$A$110='Accident &amp; Incident Detail'!$E$2:$E$3433)*("Movement"='Accident &amp; Incident Detail'!$I$2:$I$3433))</f>
        <v>0</v>
      </c>
      <c r="V110" s="35">
        <f t="array" ref="V110">SUM((V$97='Accident &amp; Incident Detail'!$C$2:$C$3433)*(Data!$A$110='Accident &amp; Incident Detail'!$E$2:$E$3433)*("Movement"='Accident &amp; Incident Detail'!$I$2:$I$3433))</f>
        <v>0</v>
      </c>
      <c r="W110" s="35">
        <f t="array" ref="W110">SUM((W$97='Accident &amp; Incident Detail'!$C$2:$C$3433)*(Data!$A$110='Accident &amp; Incident Detail'!$E$2:$E$3433)*("Movement"='Accident &amp; Incident Detail'!$I$2:$I$3433))</f>
        <v>0</v>
      </c>
      <c r="X110" s="35">
        <f t="array" ref="X110">SUM((X$97='Accident &amp; Incident Detail'!$C$2:$C$3433)*(Data!$A$110='Accident &amp; Incident Detail'!$E$2:$E$3433)*("Movement"='Accident &amp; Incident Detail'!$I$2:$I$3433))</f>
        <v>0</v>
      </c>
      <c r="Y110" s="35">
        <f t="array" ref="Y110">SUM((Y$97='Accident &amp; Incident Detail'!$C$2:$C$3433)*(Data!$A$110='Accident &amp; Incident Detail'!$E$2:$E$3433)*("Movement"='Accident &amp; Incident Detail'!$I$2:$I$3433))</f>
        <v>0</v>
      </c>
      <c r="Z110" s="35">
        <f t="array" ref="Z110">SUM((Z$97='Accident &amp; Incident Detail'!$C$2:$C$3433)*(Data!$A$110='Accident &amp; Incident Detail'!$E$2:$E$3433)*("Movement"='Accident &amp; Incident Detail'!$I$2:$I$3433))</f>
        <v>0</v>
      </c>
      <c r="AA110" s="35">
        <f t="array" ref="AA110">SUM((AA$97='Accident &amp; Incident Detail'!$C$2:$C$3433)*(Data!$A$110='Accident &amp; Incident Detail'!$E$2:$E$3433)*("Movement"='Accident &amp; Incident Detail'!$I$2:$I$3433))</f>
        <v>0</v>
      </c>
      <c r="AB110" s="35">
        <f t="array" ref="AB110">SUM((AB$97='Accident &amp; Incident Detail'!$C$2:$C$3433)*(Data!$A$110='Accident &amp; Incident Detail'!$E$2:$E$3433)*("Movement"='Accident &amp; Incident Detail'!$I$2:$I$3433))</f>
        <v>0</v>
      </c>
      <c r="AC110" s="35">
        <f t="array" ref="AC110">SUM((AC$97='Accident &amp; Incident Detail'!$C$2:$C$3433)*(Data!$A$110='Accident &amp; Incident Detail'!$E$2:$E$3433)*("Movement"='Accident &amp; Incident Detail'!$I$2:$I$3433))</f>
        <v>0</v>
      </c>
      <c r="AD110" s="35">
        <f t="array" ref="AD110">SUM((AD$97='Accident &amp; Incident Detail'!$C$2:$C$3433)*(Data!$A$110='Accident &amp; Incident Detail'!$E$2:$E$3433)*("Movement"='Accident &amp; Incident Detail'!$I$2:$I$3433))</f>
        <v>0</v>
      </c>
      <c r="AE110" s="35">
        <f t="array" ref="AE110">SUM((AE$97='Accident &amp; Incident Detail'!$C$2:$C$3433)*(Data!$A$110='Accident &amp; Incident Detail'!$E$2:$E$3433)*("Movement"='Accident &amp; Incident Detail'!$I$2:$I$3433))</f>
        <v>0</v>
      </c>
      <c r="AF110" s="35">
        <f t="array" ref="AF110">SUM((AF$97='Accident &amp; Incident Detail'!$C$2:$C$3433)*(Data!$A$110='Accident &amp; Incident Detail'!$E$2:$E$3433)*("Movement"='Accident &amp; Incident Detail'!$I$2:$I$3433))</f>
        <v>0</v>
      </c>
      <c r="AG110" s="35">
        <f t="array" ref="AG110">SUM((AG$97='Accident &amp; Incident Detail'!$C$2:$C$3433)*(Data!$A$110='Accident &amp; Incident Detail'!$E$2:$E$3433)*("Movement"='Accident &amp; Incident Detail'!$I$2:$I$3433))</f>
        <v>0</v>
      </c>
      <c r="AH110" s="35">
        <f t="array" ref="AH110">SUM((AH$97='Accident &amp; Incident Detail'!$C$2:$C$3433)*(Data!$A$110='Accident &amp; Incident Detail'!$E$2:$E$3433)*("Movement"='Accident &amp; Incident Detail'!$I$2:$I$3433))</f>
        <v>0</v>
      </c>
      <c r="AI110" s="35">
        <f t="array" ref="AI110">SUM((AI$97='Accident &amp; Incident Detail'!$C$2:$C$3433)*(Data!$A$110='Accident &amp; Incident Detail'!$E$2:$E$3433)*("Movement"='Accident &amp; Incident Detail'!$I$2:$I$3433))</f>
        <v>0</v>
      </c>
      <c r="AJ110" s="35">
        <f t="array" ref="AJ110">SUM((AJ$97='Accident &amp; Incident Detail'!$C$2:$C$3433)*(Data!$A$110='Accident &amp; Incident Detail'!$E$2:$E$3433)*("Movement"='Accident &amp; Incident Detail'!$I$2:$I$3433))</f>
        <v>0</v>
      </c>
      <c r="AK110" s="35">
        <f t="array" ref="AK110">SUM((AK$97='Accident &amp; Incident Detail'!$C$2:$C$3433)*(Data!$A$110='Accident &amp; Incident Detail'!$E$2:$E$3433)*("Movement"='Accident &amp; Incident Detail'!$I$2:$I$3433))</f>
        <v>0</v>
      </c>
      <c r="AL110" s="35">
        <f t="array" ref="AL110">SUM((AL$97='Accident &amp; Incident Detail'!$C$2:$C$3433)*(Data!$A$110='Accident &amp; Incident Detail'!$E$2:$E$3433)*("Movement"='Accident &amp; Incident Detail'!$I$2:$I$3433))</f>
        <v>0</v>
      </c>
      <c r="AM110" s="35">
        <f t="array" ref="AM110">SUM((AM$97='Accident &amp; Incident Detail'!$C$2:$C$3433)*(Data!$A$110='Accident &amp; Incident Detail'!$E$2:$E$3433)*("Movement"='Accident &amp; Incident Detail'!$I$2:$I$3433))</f>
        <v>0</v>
      </c>
      <c r="AN110" s="35">
        <f t="array" ref="AN110">SUM((AN$97='Accident &amp; Incident Detail'!$C$2:$C$3433)*(Data!$A$110='Accident &amp; Incident Detail'!$E$2:$E$3433)*("Movement"='Accident &amp; Incident Detail'!$I$2:$I$3433))</f>
        <v>0</v>
      </c>
    </row>
    <row r="111" spans="1:40" x14ac:dyDescent="0.35">
      <c r="A111" s="191" t="s">
        <v>15</v>
      </c>
      <c r="B111" s="422">
        <f>IF(B$1=1,(SUM(B110:B110)/13),0)</f>
        <v>0</v>
      </c>
      <c r="C111" s="422">
        <f>IF(C$1=1,(SUM(B110:C110)/13),0)</f>
        <v>0</v>
      </c>
      <c r="D111" s="422">
        <f>IF(D$1=1,(SUM(B110:D110)/13),0)</f>
        <v>0</v>
      </c>
      <c r="E111" s="422">
        <f>IF(E$1=1,(SUM(B110:E110)/13),0)</f>
        <v>0</v>
      </c>
      <c r="F111" s="422">
        <f>IF(F$1=1,(SUM(B110:F110)/13),0)</f>
        <v>0</v>
      </c>
      <c r="G111" s="422">
        <f>IF(G$1=1,(SUM(B110:G110)/13),0)</f>
        <v>0</v>
      </c>
      <c r="H111" s="422">
        <f>IF(H$1=1,(SUM(B110:H110)/13),0)</f>
        <v>0</v>
      </c>
      <c r="I111" s="422">
        <f>IF(I$1=1,(SUM(B110:I110)/13),0)</f>
        <v>0</v>
      </c>
      <c r="J111" s="46">
        <f>IF(J$1=1,(SUM(B110:J110)/13),0)</f>
        <v>0</v>
      </c>
      <c r="K111" s="46">
        <f>IF(K$1=1,(SUM(B110:K110)/13),0)</f>
        <v>0</v>
      </c>
      <c r="L111" s="46">
        <f>IF(L$1=1,(SUM(B110:L110)/13),0)</f>
        <v>0</v>
      </c>
      <c r="M111" s="46">
        <f>IF(M$1=1,(SUM(B110:M110)/13),0)</f>
        <v>0</v>
      </c>
      <c r="N111" s="46">
        <f>IF(N$1=1,(SUM(B110:N110)/13),0)</f>
        <v>0</v>
      </c>
      <c r="O111" s="46">
        <f t="shared" ref="O111:Z111" si="84">IF(O$1=1,(SUM(C110:O110)/13),0)</f>
        <v>0</v>
      </c>
      <c r="P111" s="46">
        <f t="shared" si="84"/>
        <v>0</v>
      </c>
      <c r="Q111" s="46">
        <f t="shared" si="84"/>
        <v>0</v>
      </c>
      <c r="R111" s="46">
        <f t="shared" si="84"/>
        <v>0</v>
      </c>
      <c r="S111" s="46">
        <f t="shared" si="84"/>
        <v>0</v>
      </c>
      <c r="T111" s="46">
        <f t="shared" si="84"/>
        <v>0</v>
      </c>
      <c r="U111" s="46">
        <f t="shared" si="84"/>
        <v>0</v>
      </c>
      <c r="V111" s="46">
        <f t="shared" si="84"/>
        <v>0</v>
      </c>
      <c r="W111" s="46">
        <f t="shared" si="84"/>
        <v>0</v>
      </c>
      <c r="X111" s="46">
        <f t="shared" si="84"/>
        <v>0</v>
      </c>
      <c r="Y111" s="46">
        <f t="shared" si="84"/>
        <v>0</v>
      </c>
      <c r="Z111" s="46">
        <f t="shared" si="84"/>
        <v>0</v>
      </c>
      <c r="AA111" s="46">
        <f t="shared" ref="AA111:AN111" si="85">IF(AA$1=1,(SUM(O110:AA110)/13),0)</f>
        <v>0</v>
      </c>
      <c r="AB111" s="46">
        <f t="shared" si="85"/>
        <v>0</v>
      </c>
      <c r="AC111" s="46">
        <f t="shared" si="85"/>
        <v>0</v>
      </c>
      <c r="AD111" s="46">
        <f t="shared" si="85"/>
        <v>0</v>
      </c>
      <c r="AE111" s="46">
        <f t="shared" si="85"/>
        <v>0</v>
      </c>
      <c r="AF111" s="46">
        <f t="shared" si="85"/>
        <v>0</v>
      </c>
      <c r="AG111" s="46">
        <f t="shared" si="85"/>
        <v>0</v>
      </c>
      <c r="AH111" s="46">
        <f t="shared" si="85"/>
        <v>0</v>
      </c>
      <c r="AI111" s="46">
        <f t="shared" si="85"/>
        <v>0</v>
      </c>
      <c r="AJ111" s="46">
        <f t="shared" si="85"/>
        <v>0</v>
      </c>
      <c r="AK111" s="46">
        <f t="shared" si="85"/>
        <v>0</v>
      </c>
      <c r="AL111" s="46">
        <f t="shared" si="85"/>
        <v>0</v>
      </c>
      <c r="AM111" s="46">
        <f t="shared" si="85"/>
        <v>0</v>
      </c>
      <c r="AN111" s="46">
        <f t="shared" si="85"/>
        <v>0</v>
      </c>
    </row>
    <row r="112" spans="1:40" x14ac:dyDescent="0.35">
      <c r="A112" s="127" t="s">
        <v>36</v>
      </c>
      <c r="B112" s="423">
        <f t="array" ref="B112">SUM((B$97='Accident &amp; Incident Detail'!$C$2:$C$3433)*(Data!$A$112='Accident &amp; Incident Detail'!$E$2:$E$3433)*("Movement"='Accident &amp; Incident Detail'!$I$2:$I$3433))</f>
        <v>0</v>
      </c>
      <c r="C112" s="423">
        <f t="array" ref="C112">SUM((C$97='Accident &amp; Incident Detail'!$C$2:$C$3433)*(Data!$A$112='Accident &amp; Incident Detail'!$E$2:$E$3433)*("Movement"='Accident &amp; Incident Detail'!$I$2:$I$3433))</f>
        <v>0</v>
      </c>
      <c r="D112" s="423">
        <f t="array" ref="D112">SUM((D$97='Accident &amp; Incident Detail'!$C$2:$C$3433)*(Data!$A$112='Accident &amp; Incident Detail'!$E$2:$E$3433)*("Movement"='Accident &amp; Incident Detail'!$I$2:$I$3433))</f>
        <v>0</v>
      </c>
      <c r="E112" s="423">
        <f t="array" ref="E112">SUM((E$97='Accident &amp; Incident Detail'!$C$2:$C$3433)*(Data!$A$112='Accident &amp; Incident Detail'!$E$2:$E$3433)*("Movement"='Accident &amp; Incident Detail'!$I$2:$I$3433))</f>
        <v>0</v>
      </c>
      <c r="F112" s="423">
        <f t="array" ref="F112">SUM((F$97='Accident &amp; Incident Detail'!$C$2:$C$3433)*(Data!$A$112='Accident &amp; Incident Detail'!$E$2:$E$3433)*("Movement"='Accident &amp; Incident Detail'!$I$2:$I$3433))</f>
        <v>0</v>
      </c>
      <c r="G112" s="423">
        <f t="array" ref="G112">SUM((G$97='Accident &amp; Incident Detail'!$C$2:$C$3433)*(Data!$A$112='Accident &amp; Incident Detail'!$E$2:$E$3433)*("Movement"='Accident &amp; Incident Detail'!$I$2:$I$3433))</f>
        <v>0</v>
      </c>
      <c r="H112" s="423">
        <f t="array" ref="H112">SUM((H$97='Accident &amp; Incident Detail'!$C$2:$C$3433)*(Data!$A$112='Accident &amp; Incident Detail'!$E$2:$E$3433)*("Movement"='Accident &amp; Incident Detail'!$I$2:$I$3433))</f>
        <v>0</v>
      </c>
      <c r="I112" s="423">
        <f t="array" ref="I112">SUM((I$97='Accident &amp; Incident Detail'!$C$2:$C$3433)*(Data!$A$112='Accident &amp; Incident Detail'!$E$2:$E$3433)*("Movement"='Accident &amp; Incident Detail'!$I$2:$I$3433))</f>
        <v>0</v>
      </c>
      <c r="J112" s="35">
        <f t="array" ref="J112">SUM((J$97='Accident &amp; Incident Detail'!$C$2:$C$3433)*(Data!$A$112='Accident &amp; Incident Detail'!$E$2:$E$3433)*("Movement"='Accident &amp; Incident Detail'!$I$2:$I$3433))</f>
        <v>0</v>
      </c>
      <c r="K112" s="35">
        <f t="array" ref="K112">SUM((K$97='Accident &amp; Incident Detail'!$C$2:$C$3433)*(Data!$A$112='Accident &amp; Incident Detail'!$E$2:$E$3433)*("Movement"='Accident &amp; Incident Detail'!$I$2:$I$3433))</f>
        <v>0</v>
      </c>
      <c r="L112" s="35">
        <f t="array" ref="L112">SUM((L$97='Accident &amp; Incident Detail'!$C$2:$C$3433)*(Data!$A$112='Accident &amp; Incident Detail'!$E$2:$E$3433)*("Movement"='Accident &amp; Incident Detail'!$I$2:$I$3433))</f>
        <v>0</v>
      </c>
      <c r="M112" s="35">
        <f t="array" ref="M112">SUM((M$97='Accident &amp; Incident Detail'!$C$2:$C$3433)*(Data!$A$112='Accident &amp; Incident Detail'!$E$2:$E$3433)*("Movement"='Accident &amp; Incident Detail'!$I$2:$I$3433))</f>
        <v>0</v>
      </c>
      <c r="N112" s="35">
        <f t="array" ref="N112">SUM((N$97='Accident &amp; Incident Detail'!$C$2:$C$3433)*(Data!$A$112='Accident &amp; Incident Detail'!$E$2:$E$3433)*("Movement"='Accident &amp; Incident Detail'!$I$2:$I$3433))</f>
        <v>0</v>
      </c>
      <c r="O112" s="35">
        <f t="array" ref="O112">SUM((O$97='Accident &amp; Incident Detail'!$C$2:$C$3433)*(Data!$A$112='Accident &amp; Incident Detail'!$E$2:$E$3433)*("Movement"='Accident &amp; Incident Detail'!$I$2:$I$3433))</f>
        <v>0</v>
      </c>
      <c r="P112" s="35">
        <f t="array" ref="P112">SUM((P$97='Accident &amp; Incident Detail'!$C$2:$C$3433)*(Data!$A$112='Accident &amp; Incident Detail'!$E$2:$E$3433)*("Movement"='Accident &amp; Incident Detail'!$I$2:$I$3433))</f>
        <v>0</v>
      </c>
      <c r="Q112" s="35">
        <f t="array" ref="Q112">SUM((Q$97='Accident &amp; Incident Detail'!$C$2:$C$3433)*(Data!$A$112='Accident &amp; Incident Detail'!$E$2:$E$3433)*("Movement"='Accident &amp; Incident Detail'!$I$2:$I$3433))</f>
        <v>0</v>
      </c>
      <c r="R112" s="35">
        <f t="array" ref="R112">SUM((R$97='Accident &amp; Incident Detail'!$C$2:$C$3433)*(Data!$A$112='Accident &amp; Incident Detail'!$E$2:$E$3433)*("Movement"='Accident &amp; Incident Detail'!$I$2:$I$3433))</f>
        <v>0</v>
      </c>
      <c r="S112" s="35">
        <f t="array" ref="S112">SUM((S$97='Accident &amp; Incident Detail'!$C$2:$C$3433)*(Data!$A$112='Accident &amp; Incident Detail'!$E$2:$E$3433)*("Movement"='Accident &amp; Incident Detail'!$I$2:$I$3433))</f>
        <v>0</v>
      </c>
      <c r="T112" s="35">
        <f t="array" ref="T112">SUM((T$97='Accident &amp; Incident Detail'!$C$2:$C$3433)*(Data!$A$112='Accident &amp; Incident Detail'!$E$2:$E$3433)*("Movement"='Accident &amp; Incident Detail'!$I$2:$I$3433))</f>
        <v>0</v>
      </c>
      <c r="U112" s="35">
        <f t="array" ref="U112">SUM((U$97='Accident &amp; Incident Detail'!$C$2:$C$3433)*(Data!$A$112='Accident &amp; Incident Detail'!$E$2:$E$3433)*("Movement"='Accident &amp; Incident Detail'!$I$2:$I$3433))</f>
        <v>0</v>
      </c>
      <c r="V112" s="35">
        <f t="array" ref="V112">SUM((V$97='Accident &amp; Incident Detail'!$C$2:$C$3433)*(Data!$A$112='Accident &amp; Incident Detail'!$E$2:$E$3433)*("Movement"='Accident &amp; Incident Detail'!$I$2:$I$3433))</f>
        <v>0</v>
      </c>
      <c r="W112" s="35">
        <f t="array" ref="W112">SUM((W$97='Accident &amp; Incident Detail'!$C$2:$C$3433)*(Data!$A$112='Accident &amp; Incident Detail'!$E$2:$E$3433)*("Movement"='Accident &amp; Incident Detail'!$I$2:$I$3433))</f>
        <v>0</v>
      </c>
      <c r="X112" s="35">
        <f t="array" ref="X112">SUM((X$97='Accident &amp; Incident Detail'!$C$2:$C$3433)*(Data!$A$112='Accident &amp; Incident Detail'!$E$2:$E$3433)*("Movement"='Accident &amp; Incident Detail'!$I$2:$I$3433))</f>
        <v>0</v>
      </c>
      <c r="Y112" s="35">
        <f t="array" ref="Y112">SUM((Y$97='Accident &amp; Incident Detail'!$C$2:$C$3433)*(Data!$A$112='Accident &amp; Incident Detail'!$E$2:$E$3433)*("Movement"='Accident &amp; Incident Detail'!$I$2:$I$3433))</f>
        <v>0</v>
      </c>
      <c r="Z112" s="35">
        <f t="array" ref="Z112">SUM((Z$97='Accident &amp; Incident Detail'!$C$2:$C$3433)*(Data!$A$112='Accident &amp; Incident Detail'!$E$2:$E$3433)*("Movement"='Accident &amp; Incident Detail'!$I$2:$I$3433))</f>
        <v>0</v>
      </c>
      <c r="AA112" s="35">
        <f t="array" ref="AA112">SUM((AA$97='Accident &amp; Incident Detail'!$C$2:$C$3433)*(Data!$A$112='Accident &amp; Incident Detail'!$E$2:$E$3433)*("Movement"='Accident &amp; Incident Detail'!$I$2:$I$3433))</f>
        <v>0</v>
      </c>
      <c r="AB112" s="35">
        <f t="array" ref="AB112">SUM((AB$97='Accident &amp; Incident Detail'!$C$2:$C$3433)*(Data!$A$112='Accident &amp; Incident Detail'!$E$2:$E$3433)*("Movement"='Accident &amp; Incident Detail'!$I$2:$I$3433))</f>
        <v>0</v>
      </c>
      <c r="AC112" s="35">
        <f t="array" ref="AC112">SUM((AC$97='Accident &amp; Incident Detail'!$C$2:$C$3433)*(Data!$A$112='Accident &amp; Incident Detail'!$E$2:$E$3433)*("Movement"='Accident &amp; Incident Detail'!$I$2:$I$3433))</f>
        <v>0</v>
      </c>
      <c r="AD112" s="35">
        <f t="array" ref="AD112">SUM((AD$97='Accident &amp; Incident Detail'!$C$2:$C$3433)*(Data!$A$112='Accident &amp; Incident Detail'!$E$2:$E$3433)*("Movement"='Accident &amp; Incident Detail'!$I$2:$I$3433))</f>
        <v>0</v>
      </c>
      <c r="AE112" s="35">
        <f t="array" ref="AE112">SUM((AE$97='Accident &amp; Incident Detail'!$C$2:$C$3433)*(Data!$A$112='Accident &amp; Incident Detail'!$E$2:$E$3433)*("Movement"='Accident &amp; Incident Detail'!$I$2:$I$3433))</f>
        <v>0</v>
      </c>
      <c r="AF112" s="35">
        <f t="array" ref="AF112">SUM((AF$97='Accident &amp; Incident Detail'!$C$2:$C$3433)*(Data!$A$112='Accident &amp; Incident Detail'!$E$2:$E$3433)*("Movement"='Accident &amp; Incident Detail'!$I$2:$I$3433))</f>
        <v>0</v>
      </c>
      <c r="AG112" s="35">
        <f t="array" ref="AG112">SUM((AG$97='Accident &amp; Incident Detail'!$C$2:$C$3433)*(Data!$A$112='Accident &amp; Incident Detail'!$E$2:$E$3433)*("Movement"='Accident &amp; Incident Detail'!$I$2:$I$3433))</f>
        <v>0</v>
      </c>
      <c r="AH112" s="35">
        <f t="array" ref="AH112">SUM((AH$97='Accident &amp; Incident Detail'!$C$2:$C$3433)*(Data!$A$112='Accident &amp; Incident Detail'!$E$2:$E$3433)*("Movement"='Accident &amp; Incident Detail'!$I$2:$I$3433))</f>
        <v>0</v>
      </c>
      <c r="AI112" s="35">
        <f t="array" ref="AI112">SUM((AI$97='Accident &amp; Incident Detail'!$C$2:$C$3433)*(Data!$A$112='Accident &amp; Incident Detail'!$E$2:$E$3433)*("Movement"='Accident &amp; Incident Detail'!$I$2:$I$3433))</f>
        <v>0</v>
      </c>
      <c r="AJ112" s="35">
        <f t="array" ref="AJ112">SUM((AJ$97='Accident &amp; Incident Detail'!$C$2:$C$3433)*(Data!$A$112='Accident &amp; Incident Detail'!$E$2:$E$3433)*("Movement"='Accident &amp; Incident Detail'!$I$2:$I$3433))</f>
        <v>0</v>
      </c>
      <c r="AK112" s="35">
        <f t="array" ref="AK112">SUM((AK$97='Accident &amp; Incident Detail'!$C$2:$C$3433)*(Data!$A$112='Accident &amp; Incident Detail'!$E$2:$E$3433)*("Movement"='Accident &amp; Incident Detail'!$I$2:$I$3433))</f>
        <v>0</v>
      </c>
      <c r="AL112" s="35">
        <f t="array" ref="AL112">SUM((AL$97='Accident &amp; Incident Detail'!$C$2:$C$3433)*(Data!$A$112='Accident &amp; Incident Detail'!$E$2:$E$3433)*("Movement"='Accident &amp; Incident Detail'!$I$2:$I$3433))</f>
        <v>0</v>
      </c>
      <c r="AM112" s="35">
        <f t="array" ref="AM112">SUM((AM$97='Accident &amp; Incident Detail'!$C$2:$C$3433)*(Data!$A$112='Accident &amp; Incident Detail'!$E$2:$E$3433)*("Movement"='Accident &amp; Incident Detail'!$I$2:$I$3433))</f>
        <v>0</v>
      </c>
      <c r="AN112" s="35">
        <f t="array" ref="AN112">SUM((AN$97='Accident &amp; Incident Detail'!$C$2:$C$3433)*(Data!$A$112='Accident &amp; Incident Detail'!$E$2:$E$3433)*("Movement"='Accident &amp; Incident Detail'!$I$2:$I$3433))</f>
        <v>0</v>
      </c>
    </row>
    <row r="113" spans="1:40" ht="15" thickBot="1" x14ac:dyDescent="0.4">
      <c r="A113" s="192" t="s">
        <v>15</v>
      </c>
      <c r="B113" s="424">
        <f>IF(B$1=1,(SUM(B112:B112)/13),0)</f>
        <v>0</v>
      </c>
      <c r="C113" s="424">
        <f>IF(C$1=1,(SUM(B112:C112)/13),0)</f>
        <v>0</v>
      </c>
      <c r="D113" s="424">
        <f>IF(D$1=1,(SUM(B112:D112)/13),0)</f>
        <v>0</v>
      </c>
      <c r="E113" s="424">
        <f>IF(E$1=1,(SUM(B112:E112)/13),0)</f>
        <v>0</v>
      </c>
      <c r="F113" s="424">
        <f>IF(F$1=1,(SUM(B112:F112)/13),0)</f>
        <v>0</v>
      </c>
      <c r="G113" s="424">
        <f>IF(G$1=1,(SUM(B112:G112)/13),0)</f>
        <v>0</v>
      </c>
      <c r="H113" s="424">
        <f>IF(H$1=1,(SUM(B112:H112)/13),0)</f>
        <v>0</v>
      </c>
      <c r="I113" s="424">
        <f>IF(I$1=1,(SUM(B112:I112)/13),0)</f>
        <v>0</v>
      </c>
      <c r="J113" s="49">
        <f>IF(J$1=1,(SUM(B112:J112)/13),0)</f>
        <v>0</v>
      </c>
      <c r="K113" s="49">
        <f>IF(K$1=1,(SUM(B112:K112)/13),0)</f>
        <v>0</v>
      </c>
      <c r="L113" s="49">
        <f>IF(L$1=1,(SUM(B112:L112)/13),0)</f>
        <v>0</v>
      </c>
      <c r="M113" s="49">
        <f>IF(M$1=1,(SUM(B112:M112)/13),0)</f>
        <v>0</v>
      </c>
      <c r="N113" s="49">
        <f>IF(N$1=1,(SUM(B112:N112)/13),0)</f>
        <v>0</v>
      </c>
      <c r="O113" s="49">
        <f t="shared" ref="O113:Z113" si="86">IF(O$1=1,(SUM(C112:O112)/13),0)</f>
        <v>0</v>
      </c>
      <c r="P113" s="49">
        <f t="shared" si="86"/>
        <v>0</v>
      </c>
      <c r="Q113" s="49">
        <f t="shared" si="86"/>
        <v>0</v>
      </c>
      <c r="R113" s="49">
        <f t="shared" si="86"/>
        <v>0</v>
      </c>
      <c r="S113" s="49">
        <f t="shared" si="86"/>
        <v>0</v>
      </c>
      <c r="T113" s="49">
        <f t="shared" si="86"/>
        <v>0</v>
      </c>
      <c r="U113" s="49">
        <f t="shared" si="86"/>
        <v>0</v>
      </c>
      <c r="V113" s="49">
        <f t="shared" si="86"/>
        <v>0</v>
      </c>
      <c r="W113" s="49">
        <f t="shared" si="86"/>
        <v>0</v>
      </c>
      <c r="X113" s="49">
        <f t="shared" si="86"/>
        <v>0</v>
      </c>
      <c r="Y113" s="49">
        <f t="shared" si="86"/>
        <v>0</v>
      </c>
      <c r="Z113" s="49">
        <f t="shared" si="86"/>
        <v>0</v>
      </c>
      <c r="AA113" s="49">
        <f t="shared" ref="AA113:AN113" si="87">IF(AA$1=1,(SUM(O112:AA112)/13),0)</f>
        <v>0</v>
      </c>
      <c r="AB113" s="49">
        <f t="shared" si="87"/>
        <v>0</v>
      </c>
      <c r="AC113" s="49">
        <f t="shared" si="87"/>
        <v>0</v>
      </c>
      <c r="AD113" s="49">
        <f t="shared" si="87"/>
        <v>0</v>
      </c>
      <c r="AE113" s="49">
        <f t="shared" si="87"/>
        <v>0</v>
      </c>
      <c r="AF113" s="49">
        <f t="shared" si="87"/>
        <v>0</v>
      </c>
      <c r="AG113" s="49">
        <f t="shared" si="87"/>
        <v>0</v>
      </c>
      <c r="AH113" s="49">
        <f t="shared" si="87"/>
        <v>0</v>
      </c>
      <c r="AI113" s="49">
        <f t="shared" si="87"/>
        <v>0</v>
      </c>
      <c r="AJ113" s="49">
        <f t="shared" si="87"/>
        <v>0</v>
      </c>
      <c r="AK113" s="49">
        <f t="shared" si="87"/>
        <v>0</v>
      </c>
      <c r="AL113" s="49">
        <f t="shared" si="87"/>
        <v>0</v>
      </c>
      <c r="AM113" s="49">
        <f t="shared" si="87"/>
        <v>0</v>
      </c>
      <c r="AN113" s="49">
        <f t="shared" si="87"/>
        <v>0</v>
      </c>
    </row>
    <row r="114" spans="1:40" x14ac:dyDescent="0.35">
      <c r="A114" s="117" t="s">
        <v>14</v>
      </c>
      <c r="B114" s="419">
        <f t="shared" ref="B114:N114" si="88">SUM(B98+B100+B102+B104+B106+B108+B110)</f>
        <v>0</v>
      </c>
      <c r="C114" s="419">
        <f t="shared" si="88"/>
        <v>0</v>
      </c>
      <c r="D114" s="419">
        <f t="shared" si="88"/>
        <v>0</v>
      </c>
      <c r="E114" s="419">
        <f t="shared" si="88"/>
        <v>0</v>
      </c>
      <c r="F114" s="419">
        <f t="shared" si="88"/>
        <v>0</v>
      </c>
      <c r="G114" s="419">
        <f t="shared" si="88"/>
        <v>0</v>
      </c>
      <c r="H114" s="419">
        <f t="shared" si="88"/>
        <v>0</v>
      </c>
      <c r="I114" s="419">
        <f t="shared" si="88"/>
        <v>0</v>
      </c>
      <c r="J114" s="42">
        <f t="shared" si="88"/>
        <v>1</v>
      </c>
      <c r="K114" s="42">
        <f t="shared" si="88"/>
        <v>3</v>
      </c>
      <c r="L114" s="42">
        <f t="shared" si="88"/>
        <v>7</v>
      </c>
      <c r="M114" s="42">
        <f t="shared" si="88"/>
        <v>7</v>
      </c>
      <c r="N114" s="42">
        <f t="shared" si="88"/>
        <v>0</v>
      </c>
      <c r="O114" s="42">
        <f t="shared" ref="O114:Z114" si="89">SUM(O98+O100+O102+O104+O106+O108+O110)</f>
        <v>9</v>
      </c>
      <c r="P114" s="42">
        <f t="shared" si="89"/>
        <v>6</v>
      </c>
      <c r="Q114" s="42">
        <f t="shared" si="89"/>
        <v>9</v>
      </c>
      <c r="R114" s="42">
        <f t="shared" si="89"/>
        <v>6</v>
      </c>
      <c r="S114" s="42">
        <f t="shared" si="89"/>
        <v>3</v>
      </c>
      <c r="T114" s="42">
        <f t="shared" si="89"/>
        <v>7</v>
      </c>
      <c r="U114" s="42">
        <f t="shared" si="89"/>
        <v>6</v>
      </c>
      <c r="V114" s="42">
        <f t="shared" si="89"/>
        <v>4</v>
      </c>
      <c r="W114" s="42">
        <f t="shared" si="89"/>
        <v>7</v>
      </c>
      <c r="X114" s="42">
        <f t="shared" si="89"/>
        <v>8</v>
      </c>
      <c r="Y114" s="42">
        <f t="shared" si="89"/>
        <v>4</v>
      </c>
      <c r="Z114" s="42">
        <f t="shared" si="89"/>
        <v>4</v>
      </c>
      <c r="AA114" s="42">
        <f t="shared" ref="AA114:AN114" si="90">SUM(AA98+AA100+AA102+AA104+AA106+AA108+AA110)</f>
        <v>6</v>
      </c>
      <c r="AB114" s="42">
        <f t="shared" si="90"/>
        <v>3</v>
      </c>
      <c r="AC114" s="42">
        <f t="shared" si="90"/>
        <v>1</v>
      </c>
      <c r="AD114" s="42">
        <f t="shared" si="90"/>
        <v>4</v>
      </c>
      <c r="AE114" s="42">
        <f t="shared" si="90"/>
        <v>6</v>
      </c>
      <c r="AF114" s="42">
        <f t="shared" si="90"/>
        <v>1</v>
      </c>
      <c r="AG114" s="42">
        <f t="shared" si="90"/>
        <v>6</v>
      </c>
      <c r="AH114" s="42">
        <f t="shared" si="90"/>
        <v>5</v>
      </c>
      <c r="AI114" s="42">
        <f t="shared" si="90"/>
        <v>8</v>
      </c>
      <c r="AJ114" s="42">
        <f t="shared" si="90"/>
        <v>9</v>
      </c>
      <c r="AK114" s="42">
        <f t="shared" si="90"/>
        <v>3</v>
      </c>
      <c r="AL114" s="42">
        <f t="shared" si="90"/>
        <v>3</v>
      </c>
      <c r="AM114" s="42">
        <f t="shared" si="90"/>
        <v>0</v>
      </c>
      <c r="AN114" s="42">
        <f t="shared" si="90"/>
        <v>0</v>
      </c>
    </row>
    <row r="115" spans="1:40" ht="15" thickBot="1" x14ac:dyDescent="0.4">
      <c r="A115" s="190" t="s">
        <v>15</v>
      </c>
      <c r="B115" s="426">
        <f>IF(B1,(SUM(B114:B114)/13),0)</f>
        <v>0</v>
      </c>
      <c r="C115" s="426">
        <f>IF(C1,(SUM(B114:C114)/13),0)</f>
        <v>0</v>
      </c>
      <c r="D115" s="426">
        <f>IF(D1,(SUM(B114:D114)/13),0)</f>
        <v>0</v>
      </c>
      <c r="E115" s="426">
        <f>IF(E1,(SUM(B114:E114)/13),0)</f>
        <v>0</v>
      </c>
      <c r="F115" s="426">
        <f>IF(F1,(SUM(B114:F114)/13),0)</f>
        <v>0</v>
      </c>
      <c r="G115" s="426">
        <f>IF(G1,(SUM(B114:G114)/13),0)</f>
        <v>0</v>
      </c>
      <c r="H115" s="426">
        <f>IF(H1,(SUM(B114:H114)/13),0)</f>
        <v>0</v>
      </c>
      <c r="I115" s="426">
        <f>IF(I1,(SUM(B114:I114)/13),0)</f>
        <v>0</v>
      </c>
      <c r="J115" s="36">
        <f>IF(J1,(SUM(B114:J114)/13),0)</f>
        <v>7.6923076923076927E-2</v>
      </c>
      <c r="K115" s="36">
        <f>IF(K1,(SUM(B114:K114)/13),0)</f>
        <v>0.30769230769230771</v>
      </c>
      <c r="L115" s="36">
        <f>IF(L1,(SUM(B114:L114)/13),0)</f>
        <v>0.84615384615384615</v>
      </c>
      <c r="M115" s="36">
        <f>IF(M1,(SUM(B114:M114)/13),0)</f>
        <v>1.3846153846153846</v>
      </c>
      <c r="N115" s="36">
        <f>IF(N1,(SUM(B114:N114)/13),0)</f>
        <v>1.3846153846153846</v>
      </c>
      <c r="O115" s="36">
        <f>IF(O1,(SUM(C114:O114)/13),0)</f>
        <v>2.0769230769230771</v>
      </c>
      <c r="P115" s="36">
        <f t="shared" ref="P115:AN115" si="91">IF(P1,(SUM(D114:P114)/13),0)</f>
        <v>2.5384615384615383</v>
      </c>
      <c r="Q115" s="36">
        <f t="shared" si="91"/>
        <v>3.2307692307692308</v>
      </c>
      <c r="R115" s="36">
        <f t="shared" si="91"/>
        <v>3.6923076923076925</v>
      </c>
      <c r="S115" s="36">
        <f t="shared" si="91"/>
        <v>3.9230769230769229</v>
      </c>
      <c r="T115" s="36">
        <f t="shared" si="91"/>
        <v>4.4615384615384617</v>
      </c>
      <c r="U115" s="36">
        <f t="shared" si="91"/>
        <v>4.9230769230769234</v>
      </c>
      <c r="V115" s="36">
        <f t="shared" si="91"/>
        <v>5.2307692307692308</v>
      </c>
      <c r="W115" s="36">
        <f t="shared" si="91"/>
        <v>5.6923076923076925</v>
      </c>
      <c r="X115" s="36">
        <f t="shared" si="91"/>
        <v>6.0769230769230766</v>
      </c>
      <c r="Y115" s="36">
        <f t="shared" si="91"/>
        <v>5.8461538461538458</v>
      </c>
      <c r="Z115" s="36">
        <f t="shared" si="91"/>
        <v>5.615384615384615</v>
      </c>
      <c r="AA115" s="36">
        <f t="shared" si="91"/>
        <v>6.0769230769230766</v>
      </c>
      <c r="AB115" s="36">
        <f t="shared" si="91"/>
        <v>5.615384615384615</v>
      </c>
      <c r="AC115" s="36">
        <f t="shared" si="91"/>
        <v>5.2307692307692308</v>
      </c>
      <c r="AD115" s="36">
        <f t="shared" si="91"/>
        <v>4.8461538461538458</v>
      </c>
      <c r="AE115" s="36">
        <f t="shared" si="91"/>
        <v>4.8461538461538458</v>
      </c>
      <c r="AF115" s="36">
        <f t="shared" si="91"/>
        <v>4.6923076923076925</v>
      </c>
      <c r="AG115" s="36">
        <f t="shared" si="91"/>
        <v>4.615384615384615</v>
      </c>
      <c r="AH115" s="36">
        <f t="shared" si="91"/>
        <v>4.5384615384615383</v>
      </c>
      <c r="AI115" s="36">
        <f t="shared" si="91"/>
        <v>4.8461538461538458</v>
      </c>
      <c r="AJ115" s="36">
        <f t="shared" si="91"/>
        <v>5</v>
      </c>
      <c r="AK115" s="36">
        <f t="shared" si="91"/>
        <v>4.615384615384615</v>
      </c>
      <c r="AL115" s="36">
        <f t="shared" si="91"/>
        <v>0</v>
      </c>
      <c r="AM115" s="36">
        <f t="shared" si="91"/>
        <v>0</v>
      </c>
      <c r="AN115" s="36">
        <f t="shared" si="91"/>
        <v>0</v>
      </c>
    </row>
    <row r="116" spans="1:40" ht="15" thickBot="1" x14ac:dyDescent="0.4"/>
    <row r="117" spans="1:40" ht="29" thickBot="1" x14ac:dyDescent="0.7">
      <c r="A117" s="385" t="s">
        <v>6</v>
      </c>
    </row>
    <row r="118" spans="1:40" ht="15" thickBot="1" x14ac:dyDescent="0.4">
      <c r="A118" s="22"/>
      <c r="B118" s="396">
        <v>2301</v>
      </c>
      <c r="C118" s="396">
        <v>2302</v>
      </c>
      <c r="D118" s="396">
        <v>2303</v>
      </c>
      <c r="E118" s="396">
        <v>2304</v>
      </c>
      <c r="F118" s="396">
        <v>2305</v>
      </c>
      <c r="G118" s="396">
        <v>2306</v>
      </c>
      <c r="H118" s="396">
        <v>2307</v>
      </c>
      <c r="I118" s="396">
        <v>2308</v>
      </c>
      <c r="J118" s="206">
        <v>2309</v>
      </c>
      <c r="K118" s="206">
        <v>2310</v>
      </c>
      <c r="L118" s="206">
        <v>2311</v>
      </c>
      <c r="M118" s="206">
        <v>2312</v>
      </c>
      <c r="N118" s="206">
        <v>2313</v>
      </c>
      <c r="O118" s="211">
        <v>2401</v>
      </c>
      <c r="P118" s="206">
        <v>2402</v>
      </c>
      <c r="Q118" s="206">
        <v>2403</v>
      </c>
      <c r="R118" s="206">
        <v>2404</v>
      </c>
      <c r="S118" s="206">
        <v>2405</v>
      </c>
      <c r="T118" s="206">
        <v>2406</v>
      </c>
      <c r="U118" s="206">
        <v>2407</v>
      </c>
      <c r="V118" s="206">
        <v>2408</v>
      </c>
      <c r="W118" s="206">
        <v>2409</v>
      </c>
      <c r="X118" s="206">
        <v>2410</v>
      </c>
      <c r="Y118" s="206">
        <v>2411</v>
      </c>
      <c r="Z118" s="212">
        <v>2412</v>
      </c>
      <c r="AA118" s="208">
        <v>2413</v>
      </c>
      <c r="AB118" s="284">
        <v>2501</v>
      </c>
      <c r="AC118" s="284">
        <v>2502</v>
      </c>
      <c r="AD118" s="284">
        <v>2503</v>
      </c>
      <c r="AE118" s="284">
        <v>2504</v>
      </c>
      <c r="AF118" s="284">
        <v>2505</v>
      </c>
      <c r="AG118" s="284">
        <v>2506</v>
      </c>
      <c r="AH118" s="284">
        <v>2507</v>
      </c>
      <c r="AI118" s="284">
        <v>2508</v>
      </c>
      <c r="AJ118" s="284">
        <v>2509</v>
      </c>
      <c r="AK118" s="284">
        <v>2510</v>
      </c>
      <c r="AL118" s="284">
        <v>2511</v>
      </c>
      <c r="AM118" s="284">
        <v>2512</v>
      </c>
      <c r="AN118" s="284">
        <v>2513</v>
      </c>
    </row>
    <row r="119" spans="1:40" x14ac:dyDescent="0.35">
      <c r="A119" s="126" t="s">
        <v>23</v>
      </c>
      <c r="B119" s="415">
        <f t="array" ref="B119">SUM((B$97='Accident &amp; Incident Detail'!$C$2:$C$3433)*(Data!$A$98='Accident &amp; Incident Detail'!$E$2:$E$3433)*("Non-Movement"='Accident &amp; Incident Detail'!$I$2:$I$3433))</f>
        <v>0</v>
      </c>
      <c r="C119" s="415">
        <f t="array" ref="C119">SUM((C$97='Accident &amp; Incident Detail'!$C$2:$C$3433)*(Data!$A$98='Accident &amp; Incident Detail'!$E$2:$E$3433)*("Non-Movement"='Accident &amp; Incident Detail'!$I$2:$I$3433))</f>
        <v>0</v>
      </c>
      <c r="D119" s="415">
        <f t="array" ref="D119">SUM((D$97='Accident &amp; Incident Detail'!$C$2:$C$3433)*(Data!$A$98='Accident &amp; Incident Detail'!$E$2:$E$3433)*("Non-Movement"='Accident &amp; Incident Detail'!$I$2:$I$3433))</f>
        <v>0</v>
      </c>
      <c r="E119" s="415">
        <f t="array" ref="E119">SUM((E$97='Accident &amp; Incident Detail'!$C$2:$C$3433)*(Data!$A$98='Accident &amp; Incident Detail'!$E$2:$E$3433)*("Non-Movement"='Accident &amp; Incident Detail'!$I$2:$I$3433))</f>
        <v>0</v>
      </c>
      <c r="F119" s="415">
        <f t="array" ref="F119">SUM((F$97='Accident &amp; Incident Detail'!$C$2:$C$3433)*(Data!$A$98='Accident &amp; Incident Detail'!$E$2:$E$3433)*("Non-Movement"='Accident &amp; Incident Detail'!$I$2:$I$3433))</f>
        <v>0</v>
      </c>
      <c r="G119" s="415">
        <f t="array" ref="G119">SUM((G$97='Accident &amp; Incident Detail'!$C$2:$C$3433)*(Data!$A$98='Accident &amp; Incident Detail'!$E$2:$E$3433)*("Non-Movement"='Accident &amp; Incident Detail'!$I$2:$I$3433))</f>
        <v>0</v>
      </c>
      <c r="H119" s="415">
        <f t="array" ref="H119">SUM((H$97='Accident &amp; Incident Detail'!$C$2:$C$3433)*(Data!$A$98='Accident &amp; Incident Detail'!$E$2:$E$3433)*("Non-Movement"='Accident &amp; Incident Detail'!$I$2:$I$3433))</f>
        <v>0</v>
      </c>
      <c r="I119" s="415">
        <f t="array" ref="I119">SUM((I$97='Accident &amp; Incident Detail'!$C$2:$C$3433)*(Data!$A$98='Accident &amp; Incident Detail'!$E$2:$E$3433)*("Non-Movement"='Accident &amp; Incident Detail'!$I$2:$I$3433))</f>
        <v>0</v>
      </c>
      <c r="J119" s="50">
        <f t="array" ref="J119">SUM((J$97='Accident &amp; Incident Detail'!$C$2:$C$3433)*(Data!$A$98='Accident &amp; Incident Detail'!$E$2:$E$3433)*("Non-Movement"='Accident &amp; Incident Detail'!$I$2:$I$3433))</f>
        <v>0</v>
      </c>
      <c r="K119" s="50">
        <f t="array" ref="K119">SUM((K$97='Accident &amp; Incident Detail'!$C$2:$C$3433)*(Data!$A$98='Accident &amp; Incident Detail'!$E$2:$E$3433)*("Non-Movement"='Accident &amp; Incident Detail'!$I$2:$I$3433))</f>
        <v>0</v>
      </c>
      <c r="L119" s="50">
        <f t="array" ref="L119">SUM((L$97='Accident &amp; Incident Detail'!$C$2:$C$3433)*(Data!$A$98='Accident &amp; Incident Detail'!$E$2:$E$3433)*("Non-Movement"='Accident &amp; Incident Detail'!$I$2:$I$3433))</f>
        <v>0</v>
      </c>
      <c r="M119" s="50">
        <f t="array" ref="M119">SUM((M$97='Accident &amp; Incident Detail'!$C$2:$C$3433)*(Data!$A$98='Accident &amp; Incident Detail'!$E$2:$E$3433)*("Non-Movement"='Accident &amp; Incident Detail'!$I$2:$I$3433))</f>
        <v>0</v>
      </c>
      <c r="N119" s="50">
        <f t="array" ref="N119">SUM((N$97='Accident &amp; Incident Detail'!$C$2:$C$3433)*(Data!$A$98='Accident &amp; Incident Detail'!$E$2:$E$3433)*("Non-Movement"='Accident &amp; Incident Detail'!$I$2:$I$3433))</f>
        <v>0</v>
      </c>
      <c r="O119" s="50">
        <f t="array" ref="O119">SUM((O$97='Accident &amp; Incident Detail'!$C$2:$C$3433)*(Data!$A$98='Accident &amp; Incident Detail'!$E$2:$E$3433)*("Non-Movement"='Accident &amp; Incident Detail'!$I$2:$I$3433))</f>
        <v>0</v>
      </c>
      <c r="P119" s="50">
        <f t="array" ref="P119">SUM((P$97='Accident &amp; Incident Detail'!$C$2:$C$3433)*(Data!$A$98='Accident &amp; Incident Detail'!$E$2:$E$3433)*("Non-Movement"='Accident &amp; Incident Detail'!$I$2:$I$3433))</f>
        <v>0</v>
      </c>
      <c r="Q119" s="50">
        <f t="array" ref="Q119">SUM((Q$97='Accident &amp; Incident Detail'!$C$2:$C$3433)*(Data!$A$98='Accident &amp; Incident Detail'!$E$2:$E$3433)*("Non-Movement"='Accident &amp; Incident Detail'!$I$2:$I$3433))</f>
        <v>0</v>
      </c>
      <c r="R119" s="50">
        <f t="array" ref="R119">SUM((R$97='Accident &amp; Incident Detail'!$C$2:$C$3433)*(Data!$A$98='Accident &amp; Incident Detail'!$E$2:$E$3433)*("Non-Movement"='Accident &amp; Incident Detail'!$I$2:$I$3433))</f>
        <v>0</v>
      </c>
      <c r="S119" s="50">
        <f t="array" ref="S119">SUM((S$97='Accident &amp; Incident Detail'!$C$2:$C$3433)*(Data!$A$98='Accident &amp; Incident Detail'!$E$2:$E$3433)*("Non-Movement"='Accident &amp; Incident Detail'!$I$2:$I$3433))</f>
        <v>0</v>
      </c>
      <c r="T119" s="50">
        <f t="array" ref="T119">SUM((T$97='Accident &amp; Incident Detail'!$C$2:$C$3433)*(Data!$A$98='Accident &amp; Incident Detail'!$E$2:$E$3433)*("Non-Movement"='Accident &amp; Incident Detail'!$I$2:$I$3433))</f>
        <v>0</v>
      </c>
      <c r="U119" s="50">
        <f t="array" ref="U119">SUM((U$97='Accident &amp; Incident Detail'!$C$2:$C$3433)*(Data!$A$98='Accident &amp; Incident Detail'!$E$2:$E$3433)*("Non-Movement"='Accident &amp; Incident Detail'!$I$2:$I$3433))</f>
        <v>0</v>
      </c>
      <c r="V119" s="50">
        <f t="array" ref="V119">SUM((V$97='Accident &amp; Incident Detail'!$C$2:$C$3433)*(Data!$A$98='Accident &amp; Incident Detail'!$E$2:$E$3433)*("Non-Movement"='Accident &amp; Incident Detail'!$I$2:$I$3433))</f>
        <v>0</v>
      </c>
      <c r="W119" s="50">
        <f t="array" ref="W119">SUM((W$97='Accident &amp; Incident Detail'!$C$2:$C$3433)*(Data!$A$98='Accident &amp; Incident Detail'!$E$2:$E$3433)*("Non-Movement"='Accident &amp; Incident Detail'!$I$2:$I$3433))</f>
        <v>0</v>
      </c>
      <c r="X119" s="50">
        <f t="array" ref="X119">SUM((X$97='Accident &amp; Incident Detail'!$C$2:$C$3433)*(Data!$A$98='Accident &amp; Incident Detail'!$E$2:$E$3433)*("Non-Movement"='Accident &amp; Incident Detail'!$I$2:$I$3433))</f>
        <v>0</v>
      </c>
      <c r="Y119" s="50">
        <f t="array" ref="Y119">SUM((Y$97='Accident &amp; Incident Detail'!$C$2:$C$3433)*(Data!$A$98='Accident &amp; Incident Detail'!$E$2:$E$3433)*("Non-Movement"='Accident &amp; Incident Detail'!$I$2:$I$3433))</f>
        <v>0</v>
      </c>
      <c r="Z119" s="40">
        <f t="array" ref="Z119">SUM((Z$97='Accident &amp; Incident Detail'!$C$2:$C$3433)*(Data!$A$98='Accident &amp; Incident Detail'!$E$2:$E$3433)*("Non-Movement"='Accident &amp; Incident Detail'!$I$2:$I$3433))</f>
        <v>0</v>
      </c>
      <c r="AA119" s="40">
        <f t="array" ref="AA119">SUM((AA$97='Accident &amp; Incident Detail'!$C$2:$C$3433)*(Data!$A$98='Accident &amp; Incident Detail'!$E$2:$E$3433)*("Non-Movement"='Accident &amp; Incident Detail'!$I$2:$I$3433))</f>
        <v>0</v>
      </c>
      <c r="AB119" s="40">
        <f t="array" ref="AB119">SUM((AB$97='Accident &amp; Incident Detail'!$C$2:$C$3433)*(Data!$A$98='Accident &amp; Incident Detail'!$E$2:$E$3433)*("Non-Movement"='Accident &amp; Incident Detail'!$I$2:$I$3433))</f>
        <v>0</v>
      </c>
      <c r="AC119" s="40">
        <f t="array" ref="AC119">SUM((AC$97='Accident &amp; Incident Detail'!$C$2:$C$3433)*(Data!$A$98='Accident &amp; Incident Detail'!$E$2:$E$3433)*("Non-Movement"='Accident &amp; Incident Detail'!$I$2:$I$3433))</f>
        <v>0</v>
      </c>
      <c r="AD119" s="40">
        <f t="array" ref="AD119">SUM((AD$97='Accident &amp; Incident Detail'!$C$2:$C$3433)*(Data!$A$98='Accident &amp; Incident Detail'!$E$2:$E$3433)*("Non-Movement"='Accident &amp; Incident Detail'!$I$2:$I$3433))</f>
        <v>0</v>
      </c>
      <c r="AE119" s="40">
        <f t="array" ref="AE119">SUM((AE$97='Accident &amp; Incident Detail'!$C$2:$C$3433)*(Data!$A$98='Accident &amp; Incident Detail'!$E$2:$E$3433)*("Non-Movement"='Accident &amp; Incident Detail'!$I$2:$I$3433))</f>
        <v>0</v>
      </c>
      <c r="AF119" s="40">
        <f t="array" ref="AF119">SUM((AF$97='Accident &amp; Incident Detail'!$C$2:$C$3433)*(Data!$A$98='Accident &amp; Incident Detail'!$E$2:$E$3433)*("Non-Movement"='Accident &amp; Incident Detail'!$I$2:$I$3433))</f>
        <v>0</v>
      </c>
      <c r="AG119" s="40">
        <f t="array" ref="AG119">SUM((AG$97='Accident &amp; Incident Detail'!$C$2:$C$3433)*(Data!$A$98='Accident &amp; Incident Detail'!$E$2:$E$3433)*("Non-Movement"='Accident &amp; Incident Detail'!$I$2:$I$3433))</f>
        <v>0</v>
      </c>
      <c r="AH119" s="40">
        <f t="array" ref="AH119">SUM((AH$97='Accident &amp; Incident Detail'!$C$2:$C$3433)*(Data!$A$98='Accident &amp; Incident Detail'!$E$2:$E$3433)*("Non-Movement"='Accident &amp; Incident Detail'!$I$2:$I$3433))</f>
        <v>0</v>
      </c>
      <c r="AI119" s="40">
        <f t="array" ref="AI119">SUM((AI$97='Accident &amp; Incident Detail'!$C$2:$C$3433)*(Data!$A$98='Accident &amp; Incident Detail'!$E$2:$E$3433)*("Non-Movement"='Accident &amp; Incident Detail'!$I$2:$I$3433))</f>
        <v>0</v>
      </c>
      <c r="AJ119" s="40">
        <f t="array" ref="AJ119">SUM((AJ$97='Accident &amp; Incident Detail'!$C$2:$C$3433)*(Data!$A$98='Accident &amp; Incident Detail'!$E$2:$E$3433)*("Non-Movement"='Accident &amp; Incident Detail'!$I$2:$I$3433))</f>
        <v>0</v>
      </c>
      <c r="AK119" s="40">
        <f t="array" ref="AK119">SUM((AK$97='Accident &amp; Incident Detail'!$C$2:$C$3433)*(Data!$A$98='Accident &amp; Incident Detail'!$E$2:$E$3433)*("Non-Movement"='Accident &amp; Incident Detail'!$I$2:$I$3433))</f>
        <v>0</v>
      </c>
      <c r="AL119" s="40">
        <f t="array" ref="AL119">SUM((AL$97='Accident &amp; Incident Detail'!$C$2:$C$3433)*(Data!$A$98='Accident &amp; Incident Detail'!$E$2:$E$3433)*("Non-Movement"='Accident &amp; Incident Detail'!$I$2:$I$3433))</f>
        <v>0</v>
      </c>
      <c r="AM119" s="40">
        <f t="array" ref="AM119">SUM((AM$97='Accident &amp; Incident Detail'!$C$2:$C$3433)*(Data!$A$98='Accident &amp; Incident Detail'!$E$2:$E$3433)*("Non-Movement"='Accident &amp; Incident Detail'!$I$2:$I$3433))</f>
        <v>0</v>
      </c>
      <c r="AN119" s="40">
        <f t="array" ref="AN119">SUM((AN$97='Accident &amp; Incident Detail'!$C$2:$C$3433)*(Data!$A$98='Accident &amp; Incident Detail'!$E$2:$E$3433)*("Non-Movement"='Accident &amp; Incident Detail'!$I$2:$I$3433))</f>
        <v>0</v>
      </c>
    </row>
    <row r="120" spans="1:40" x14ac:dyDescent="0.35">
      <c r="A120" s="188" t="s">
        <v>15</v>
      </c>
      <c r="B120" s="422">
        <f>IF(B$1=1,(SUM(B119:B119)/13),0)</f>
        <v>0</v>
      </c>
      <c r="C120" s="422">
        <f>IF(C$1=1,(SUM(B119:C119)/13),0)</f>
        <v>0</v>
      </c>
      <c r="D120" s="422">
        <f>IF(D$1=1,(SUM(B119:D119)/13),0)</f>
        <v>0</v>
      </c>
      <c r="E120" s="422">
        <f>IF(E$1=1,(SUM(B119:E119)/13),0)</f>
        <v>0</v>
      </c>
      <c r="F120" s="422">
        <f>IF(F$1=1,(SUM(B119:F119)/13),0)</f>
        <v>0</v>
      </c>
      <c r="G120" s="422">
        <f>IF(G$1=1,(SUM(B119:G119)/13),0)</f>
        <v>0</v>
      </c>
      <c r="H120" s="422">
        <f>IF(H$1=1,(SUM(B119:H119)/13),0)</f>
        <v>0</v>
      </c>
      <c r="I120" s="422">
        <f>IF(I$1=1,(SUM(B119:I119)/13),0)</f>
        <v>0</v>
      </c>
      <c r="J120" s="46">
        <f>IF(J$1=1,(SUM(B119:J119)/13),0)</f>
        <v>0</v>
      </c>
      <c r="K120" s="46">
        <f>IF(K$1=1,(SUM(B119:K119)/13),0)</f>
        <v>0</v>
      </c>
      <c r="L120" s="46">
        <f>IF(L$1=1,(SUM(B119:L119)/13),0)</f>
        <v>0</v>
      </c>
      <c r="M120" s="46">
        <f>IF(M$1=1,(SUM(B119:M119)/13),0)</f>
        <v>0</v>
      </c>
      <c r="N120" s="46">
        <f>IF(N$1=1,(SUM(B119:N119)/13),0)</f>
        <v>0</v>
      </c>
      <c r="O120" s="46">
        <f t="shared" ref="O120:Z120" si="92">IF(O$1=1,(SUM(C119:O119)/13),0)</f>
        <v>0</v>
      </c>
      <c r="P120" s="46">
        <f t="shared" si="92"/>
        <v>0</v>
      </c>
      <c r="Q120" s="46">
        <f t="shared" si="92"/>
        <v>0</v>
      </c>
      <c r="R120" s="46">
        <f t="shared" si="92"/>
        <v>0</v>
      </c>
      <c r="S120" s="46">
        <f t="shared" si="92"/>
        <v>0</v>
      </c>
      <c r="T120" s="46">
        <f t="shared" si="92"/>
        <v>0</v>
      </c>
      <c r="U120" s="46">
        <f t="shared" si="92"/>
        <v>0</v>
      </c>
      <c r="V120" s="46">
        <f t="shared" si="92"/>
        <v>0</v>
      </c>
      <c r="W120" s="46">
        <f t="shared" si="92"/>
        <v>0</v>
      </c>
      <c r="X120" s="46">
        <f t="shared" si="92"/>
        <v>0</v>
      </c>
      <c r="Y120" s="46">
        <f t="shared" si="92"/>
        <v>0</v>
      </c>
      <c r="Z120" s="45">
        <f t="shared" si="92"/>
        <v>0</v>
      </c>
      <c r="AA120" s="45">
        <f t="shared" ref="AA120:AN120" si="93">IF(AA$1=1,(SUM(O119:AA119)/13),0)</f>
        <v>0</v>
      </c>
      <c r="AB120" s="45">
        <f t="shared" si="93"/>
        <v>0</v>
      </c>
      <c r="AC120" s="45">
        <f t="shared" si="93"/>
        <v>0</v>
      </c>
      <c r="AD120" s="45">
        <f t="shared" si="93"/>
        <v>0</v>
      </c>
      <c r="AE120" s="45">
        <f t="shared" si="93"/>
        <v>0</v>
      </c>
      <c r="AF120" s="45">
        <f t="shared" si="93"/>
        <v>0</v>
      </c>
      <c r="AG120" s="45">
        <f t="shared" si="93"/>
        <v>0</v>
      </c>
      <c r="AH120" s="45">
        <f t="shared" si="93"/>
        <v>0</v>
      </c>
      <c r="AI120" s="45">
        <f t="shared" si="93"/>
        <v>0</v>
      </c>
      <c r="AJ120" s="45">
        <f t="shared" si="93"/>
        <v>0</v>
      </c>
      <c r="AK120" s="45">
        <f t="shared" si="93"/>
        <v>0</v>
      </c>
      <c r="AL120" s="45">
        <f t="shared" si="93"/>
        <v>0</v>
      </c>
      <c r="AM120" s="45">
        <f t="shared" si="93"/>
        <v>0</v>
      </c>
      <c r="AN120" s="45">
        <f t="shared" si="93"/>
        <v>0</v>
      </c>
    </row>
    <row r="121" spans="1:40" x14ac:dyDescent="0.35">
      <c r="A121" s="119" t="s">
        <v>24</v>
      </c>
      <c r="B121" s="422">
        <f t="shared" ref="B121:B122" si="94">IF(B$1=1,(SUM(B120:B120)/13),0)</f>
        <v>0</v>
      </c>
      <c r="C121" s="422">
        <f t="shared" ref="C121:C122" si="95">IF(C$1=1,(SUM(C120:C120)/13),0)</f>
        <v>0</v>
      </c>
      <c r="D121" s="422">
        <f t="shared" ref="D121:D122" si="96">IF(D$1=1,(SUM(D120:D120)/13),0)</f>
        <v>0</v>
      </c>
      <c r="E121" s="422">
        <f t="shared" ref="E121:E122" si="97">IF(E$1=1,(SUM(E120:E120)/13),0)</f>
        <v>0</v>
      </c>
      <c r="F121" s="422">
        <f t="shared" ref="F121:F122" si="98">IF(F$1=1,(SUM(F120:F120)/13),0)</f>
        <v>0</v>
      </c>
      <c r="G121" s="422">
        <f t="shared" ref="G121:G122" si="99">IF(G$1=1,(SUM(G120:G120)/13),0)</f>
        <v>0</v>
      </c>
      <c r="H121" s="422">
        <f t="shared" ref="H121:H122" si="100">IF(H$1=1,(SUM(H120:H120)/13),0)</f>
        <v>0</v>
      </c>
      <c r="I121" s="422">
        <f t="shared" ref="I121:I122" si="101">IF(I$1=1,(SUM(I120:I120)/13),0)</f>
        <v>0</v>
      </c>
      <c r="J121" s="46">
        <f t="shared" ref="J121:J122" si="102">IF(J$1=1,(SUM(J120:J120)/13),0)</f>
        <v>0</v>
      </c>
      <c r="K121" s="46">
        <f t="shared" ref="K121:K122" si="103">IF(K$1=1,(SUM(K120:K120)/13),0)</f>
        <v>0</v>
      </c>
      <c r="L121" s="46">
        <f t="shared" ref="L121:L122" si="104">IF(L$1=1,(SUM(L120:L120)/13),0)</f>
        <v>0</v>
      </c>
      <c r="M121" s="46">
        <f t="shared" ref="M121:M122" si="105">IF(M$1=1,(SUM(M120:M120)/13),0)</f>
        <v>0</v>
      </c>
      <c r="N121" s="46">
        <f t="shared" ref="N121:N122" si="106">IF(N$1=1,(SUM(N120:N120)/13),0)</f>
        <v>0</v>
      </c>
      <c r="O121" s="46">
        <f t="shared" ref="O121:O122" si="107">IF(O$1=1,(SUM(O120:O120)/13),0)</f>
        <v>0</v>
      </c>
      <c r="P121" s="46">
        <f t="shared" ref="P121:P122" si="108">IF(P$1=1,(SUM(P120:P120)/13),0)</f>
        <v>0</v>
      </c>
      <c r="Q121" s="46">
        <f t="shared" ref="Q121:Q122" si="109">IF(Q$1=1,(SUM(Q120:Q120)/13),0)</f>
        <v>0</v>
      </c>
      <c r="R121" s="46">
        <f t="shared" ref="R121:R122" si="110">IF(R$1=1,(SUM(R120:R120)/13),0)</f>
        <v>0</v>
      </c>
      <c r="S121" s="46">
        <f t="shared" ref="S121:S122" si="111">IF(S$1=1,(SUM(S120:S120)/13),0)</f>
        <v>0</v>
      </c>
      <c r="T121" s="46">
        <f t="shared" ref="T121:T122" si="112">IF(T$1=1,(SUM(T120:T120)/13),0)</f>
        <v>0</v>
      </c>
      <c r="U121" s="46">
        <f t="shared" ref="U121:U122" si="113">IF(U$1=1,(SUM(U120:U120)/13),0)</f>
        <v>0</v>
      </c>
      <c r="V121" s="46">
        <f t="shared" ref="V121:V122" si="114">IF(V$1=1,(SUM(V120:V120)/13),0)</f>
        <v>0</v>
      </c>
      <c r="W121" s="46">
        <f t="shared" ref="W121:W122" si="115">IF(W$1=1,(SUM(W120:W120)/13),0)</f>
        <v>0</v>
      </c>
      <c r="X121" s="46">
        <f t="shared" ref="X121:X122" si="116">IF(X$1=1,(SUM(X120:X120)/13),0)</f>
        <v>0</v>
      </c>
      <c r="Y121" s="46">
        <f t="shared" ref="Y121:Y122" si="117">IF(Y$1=1,(SUM(Y120:Y120)/13),0)</f>
        <v>0</v>
      </c>
      <c r="Z121" s="46">
        <f t="shared" ref="Z121:Z122" si="118">IF(Z$1=1,(SUM(Z120:Z120)/13),0)</f>
        <v>0</v>
      </c>
      <c r="AA121" s="46">
        <f t="shared" ref="AA121:AA122" si="119">IF(AA$1=1,(SUM(AA120:AA120)/13),0)</f>
        <v>0</v>
      </c>
      <c r="AB121" s="46">
        <f t="shared" ref="AB121:AB122" si="120">IF(AB$1=1,(SUM(AB120:AB120)/13),0)</f>
        <v>0</v>
      </c>
      <c r="AC121" s="46">
        <f t="shared" ref="AC121:AC122" si="121">IF(AC$1=1,(SUM(AC120:AC120)/13),0)</f>
        <v>0</v>
      </c>
      <c r="AD121" s="46">
        <f t="shared" ref="AD121:AD122" si="122">IF(AD$1=1,(SUM(AD120:AD120)/13),0)</f>
        <v>0</v>
      </c>
      <c r="AE121" s="46">
        <f t="shared" ref="AE121:AE122" si="123">IF(AE$1=1,(SUM(AE120:AE120)/13),0)</f>
        <v>0</v>
      </c>
      <c r="AF121" s="46">
        <f t="shared" ref="AF121:AF122" si="124">IF(AF$1=1,(SUM(AF120:AF120)/13),0)</f>
        <v>0</v>
      </c>
      <c r="AG121" s="46">
        <f t="shared" ref="AG121:AG122" si="125">IF(AG$1=1,(SUM(AG120:AG120)/13),0)</f>
        <v>0</v>
      </c>
      <c r="AH121" s="46">
        <f t="shared" ref="AH121:AH122" si="126">IF(AH$1=1,(SUM(AH120:AH120)/13),0)</f>
        <v>0</v>
      </c>
      <c r="AI121" s="46">
        <f t="shared" ref="AI121:AI122" si="127">IF(AI$1=1,(SUM(AI120:AI120)/13),0)</f>
        <v>0</v>
      </c>
      <c r="AJ121" s="46">
        <f t="shared" ref="AJ121:AJ122" si="128">IF(AJ$1=1,(SUM(AJ120:AJ120)/13),0)</f>
        <v>0</v>
      </c>
      <c r="AK121" s="46">
        <f t="shared" ref="AK121:AK122" si="129">IF(AK$1=1,(SUM(AK120:AK120)/13),0)</f>
        <v>0</v>
      </c>
      <c r="AL121" s="46">
        <f t="shared" ref="AL121:AL122" si="130">IF(AL$1=1,(SUM(AL120:AL120)/13),0)</f>
        <v>0</v>
      </c>
      <c r="AM121" s="46">
        <f t="shared" ref="AM121:AM122" si="131">IF(AM$1=1,(SUM(AM120:AM120)/13),0)</f>
        <v>0</v>
      </c>
      <c r="AN121" s="46">
        <f t="shared" ref="AN121:AN122" si="132">IF(AN$1=1,(SUM(AN120:AN120)/13),0)</f>
        <v>0</v>
      </c>
    </row>
    <row r="122" spans="1:40" x14ac:dyDescent="0.35">
      <c r="A122" s="188" t="s">
        <v>15</v>
      </c>
      <c r="B122" s="422">
        <f t="shared" si="94"/>
        <v>0</v>
      </c>
      <c r="C122" s="422">
        <f t="shared" si="95"/>
        <v>0</v>
      </c>
      <c r="D122" s="422">
        <f t="shared" si="96"/>
        <v>0</v>
      </c>
      <c r="E122" s="422">
        <f t="shared" si="97"/>
        <v>0</v>
      </c>
      <c r="F122" s="422">
        <f t="shared" si="98"/>
        <v>0</v>
      </c>
      <c r="G122" s="422">
        <f t="shared" si="99"/>
        <v>0</v>
      </c>
      <c r="H122" s="422">
        <f t="shared" si="100"/>
        <v>0</v>
      </c>
      <c r="I122" s="422">
        <f t="shared" si="101"/>
        <v>0</v>
      </c>
      <c r="J122" s="46">
        <f t="shared" si="102"/>
        <v>0</v>
      </c>
      <c r="K122" s="46">
        <f t="shared" si="103"/>
        <v>0</v>
      </c>
      <c r="L122" s="46">
        <f t="shared" si="104"/>
        <v>0</v>
      </c>
      <c r="M122" s="46">
        <f t="shared" si="105"/>
        <v>0</v>
      </c>
      <c r="N122" s="46">
        <f t="shared" si="106"/>
        <v>0</v>
      </c>
      <c r="O122" s="46">
        <f t="shared" si="107"/>
        <v>0</v>
      </c>
      <c r="P122" s="46">
        <f t="shared" si="108"/>
        <v>0</v>
      </c>
      <c r="Q122" s="46">
        <f t="shared" si="109"/>
        <v>0</v>
      </c>
      <c r="R122" s="46">
        <f t="shared" si="110"/>
        <v>0</v>
      </c>
      <c r="S122" s="46">
        <f t="shared" si="111"/>
        <v>0</v>
      </c>
      <c r="T122" s="46">
        <f t="shared" si="112"/>
        <v>0</v>
      </c>
      <c r="U122" s="46">
        <f t="shared" si="113"/>
        <v>0</v>
      </c>
      <c r="V122" s="46">
        <f t="shared" si="114"/>
        <v>0</v>
      </c>
      <c r="W122" s="46">
        <f t="shared" si="115"/>
        <v>0</v>
      </c>
      <c r="X122" s="46">
        <f t="shared" si="116"/>
        <v>0</v>
      </c>
      <c r="Y122" s="46">
        <f t="shared" si="117"/>
        <v>0</v>
      </c>
      <c r="Z122" s="46">
        <f t="shared" si="118"/>
        <v>0</v>
      </c>
      <c r="AA122" s="46">
        <f t="shared" si="119"/>
        <v>0</v>
      </c>
      <c r="AB122" s="46">
        <f t="shared" si="120"/>
        <v>0</v>
      </c>
      <c r="AC122" s="46">
        <f t="shared" si="121"/>
        <v>0</v>
      </c>
      <c r="AD122" s="46">
        <f t="shared" si="122"/>
        <v>0</v>
      </c>
      <c r="AE122" s="46">
        <f t="shared" si="123"/>
        <v>0</v>
      </c>
      <c r="AF122" s="46">
        <f t="shared" si="124"/>
        <v>0</v>
      </c>
      <c r="AG122" s="46">
        <f t="shared" si="125"/>
        <v>0</v>
      </c>
      <c r="AH122" s="46">
        <f t="shared" si="126"/>
        <v>0</v>
      </c>
      <c r="AI122" s="46">
        <f t="shared" si="127"/>
        <v>0</v>
      </c>
      <c r="AJ122" s="46">
        <f t="shared" si="128"/>
        <v>0</v>
      </c>
      <c r="AK122" s="46">
        <f t="shared" si="129"/>
        <v>0</v>
      </c>
      <c r="AL122" s="46">
        <f t="shared" si="130"/>
        <v>0</v>
      </c>
      <c r="AM122" s="46">
        <f t="shared" si="131"/>
        <v>0</v>
      </c>
      <c r="AN122" s="46">
        <f t="shared" si="132"/>
        <v>0</v>
      </c>
    </row>
    <row r="123" spans="1:40" x14ac:dyDescent="0.35">
      <c r="A123" s="119" t="s">
        <v>37</v>
      </c>
      <c r="B123" s="417">
        <f t="array" ref="B123">SUM((B$97='Accident &amp; Incident Detail'!$C$2:$C$3433)*(Data!$A$102='Accident &amp; Incident Detail'!$E$2:$E$3433)*("Non-Movement"='Accident &amp; Incident Detail'!$I$2:$I$3433))</f>
        <v>0</v>
      </c>
      <c r="C123" s="417">
        <f t="array" ref="C123">SUM((C$97='Accident &amp; Incident Detail'!$C$2:$C$3433)*(Data!$A$102='Accident &amp; Incident Detail'!$E$2:$E$3433)*("Non-Movement"='Accident &amp; Incident Detail'!$I$2:$I$3433))</f>
        <v>0</v>
      </c>
      <c r="D123" s="417">
        <f t="array" ref="D123">SUM((D$97='Accident &amp; Incident Detail'!$C$2:$C$3433)*(Data!$A$102='Accident &amp; Incident Detail'!$E$2:$E$3433)*("Non-Movement"='Accident &amp; Incident Detail'!$I$2:$I$3433))</f>
        <v>0</v>
      </c>
      <c r="E123" s="417">
        <f t="array" ref="E123">SUM((E$97='Accident &amp; Incident Detail'!$C$2:$C$3433)*(Data!$A$102='Accident &amp; Incident Detail'!$E$2:$E$3433)*("Non-Movement"='Accident &amp; Incident Detail'!$I$2:$I$3433))</f>
        <v>0</v>
      </c>
      <c r="F123" s="417">
        <f t="array" ref="F123">SUM((F$97='Accident &amp; Incident Detail'!$C$2:$C$3433)*(Data!$A$102='Accident &amp; Incident Detail'!$E$2:$E$3433)*("Non-Movement"='Accident &amp; Incident Detail'!$I$2:$I$3433))</f>
        <v>0</v>
      </c>
      <c r="G123" s="417">
        <f t="array" ref="G123">SUM((G$97='Accident &amp; Incident Detail'!$C$2:$C$3433)*(Data!$A$102='Accident &amp; Incident Detail'!$E$2:$E$3433)*("Non-Movement"='Accident &amp; Incident Detail'!$I$2:$I$3433))</f>
        <v>0</v>
      </c>
      <c r="H123" s="417">
        <f t="array" ref="H123">SUM((H$97='Accident &amp; Incident Detail'!$C$2:$C$3433)*(Data!$A$102='Accident &amp; Incident Detail'!$E$2:$E$3433)*("Non-Movement"='Accident &amp; Incident Detail'!$I$2:$I$3433))</f>
        <v>0</v>
      </c>
      <c r="I123" s="417">
        <f t="array" ref="I123">SUM((I$97='Accident &amp; Incident Detail'!$C$2:$C$3433)*(Data!$A$102='Accident &amp; Incident Detail'!$E$2:$E$3433)*("Non-Movement"='Accident &amp; Incident Detail'!$I$2:$I$3433))</f>
        <v>0</v>
      </c>
      <c r="J123" s="164">
        <f t="array" ref="J123">SUM((J$97='Accident &amp; Incident Detail'!$C$2:$C$3433)*(Data!$A$102='Accident &amp; Incident Detail'!$E$2:$E$3433)*("Non-Movement"='Accident &amp; Incident Detail'!$I$2:$I$3433))</f>
        <v>0</v>
      </c>
      <c r="K123" s="164">
        <f t="array" ref="K123">SUM((K$97='Accident &amp; Incident Detail'!$C$2:$C$3433)*(Data!$A$102='Accident &amp; Incident Detail'!$E$2:$E$3433)*("Non-Movement"='Accident &amp; Incident Detail'!$I$2:$I$3433))</f>
        <v>0</v>
      </c>
      <c r="L123" s="164">
        <f t="array" ref="L123">SUM((L$97='Accident &amp; Incident Detail'!$C$2:$C$3433)*(Data!$A$102='Accident &amp; Incident Detail'!$E$2:$E$3433)*("Non-Movement"='Accident &amp; Incident Detail'!$I$2:$I$3433))</f>
        <v>0</v>
      </c>
      <c r="M123" s="164">
        <f t="array" ref="M123">SUM((M$97='Accident &amp; Incident Detail'!$C$2:$C$3433)*(Data!$A$102='Accident &amp; Incident Detail'!$E$2:$E$3433)*("Non-Movement"='Accident &amp; Incident Detail'!$I$2:$I$3433))</f>
        <v>0</v>
      </c>
      <c r="N123" s="164">
        <f t="array" ref="N123">SUM((N$97='Accident &amp; Incident Detail'!$C$2:$C$3433)*(Data!$A$102='Accident &amp; Incident Detail'!$E$2:$E$3433)*("Non-Movement"='Accident &amp; Incident Detail'!$I$2:$I$3433))</f>
        <v>0</v>
      </c>
      <c r="O123" s="164">
        <f t="array" ref="O123">SUM((O$97='Accident &amp; Incident Detail'!$C$2:$C$3433)*(Data!$A$102='Accident &amp; Incident Detail'!$E$2:$E$3433)*("Non-Movement"='Accident &amp; Incident Detail'!$I$2:$I$3433))</f>
        <v>0</v>
      </c>
      <c r="P123" s="164">
        <f t="array" ref="P123">SUM((P$97='Accident &amp; Incident Detail'!$C$2:$C$3433)*(Data!$A$102='Accident &amp; Incident Detail'!$E$2:$E$3433)*("Non-Movement"='Accident &amp; Incident Detail'!$I$2:$I$3433))</f>
        <v>0</v>
      </c>
      <c r="Q123" s="164">
        <f t="array" ref="Q123">SUM((Q$97='Accident &amp; Incident Detail'!$C$2:$C$3433)*(Data!$A$102='Accident &amp; Incident Detail'!$E$2:$E$3433)*("Non-Movement"='Accident &amp; Incident Detail'!$I$2:$I$3433))</f>
        <v>0</v>
      </c>
      <c r="R123" s="164">
        <f t="array" ref="R123">SUM((R$97='Accident &amp; Incident Detail'!$C$2:$C$3433)*(Data!$A$102='Accident &amp; Incident Detail'!$E$2:$E$3433)*("Non-Movement"='Accident &amp; Incident Detail'!$I$2:$I$3433))</f>
        <v>0</v>
      </c>
      <c r="S123" s="164">
        <f t="array" ref="S123">SUM((S$97='Accident &amp; Incident Detail'!$C$2:$C$3433)*(Data!$A$102='Accident &amp; Incident Detail'!$E$2:$E$3433)*("Non-Movement"='Accident &amp; Incident Detail'!$I$2:$I$3433))</f>
        <v>0</v>
      </c>
      <c r="T123" s="164">
        <f t="array" ref="T123">SUM((T$97='Accident &amp; Incident Detail'!$C$2:$C$3433)*(Data!$A$102='Accident &amp; Incident Detail'!$E$2:$E$3433)*("Non-Movement"='Accident &amp; Incident Detail'!$I$2:$I$3433))</f>
        <v>0</v>
      </c>
      <c r="U123" s="164">
        <f t="array" ref="U123">SUM((U$97='Accident &amp; Incident Detail'!$C$2:$C$3433)*(Data!$A$102='Accident &amp; Incident Detail'!$E$2:$E$3433)*("Non-Movement"='Accident &amp; Incident Detail'!$I$2:$I$3433))</f>
        <v>0</v>
      </c>
      <c r="V123" s="164">
        <f t="array" ref="V123">SUM((V$97='Accident &amp; Incident Detail'!$C$2:$C$3433)*(Data!$A$102='Accident &amp; Incident Detail'!$E$2:$E$3433)*("Non-Movement"='Accident &amp; Incident Detail'!$I$2:$I$3433))</f>
        <v>0</v>
      </c>
      <c r="W123" s="164">
        <f t="array" ref="W123">SUM((W$97='Accident &amp; Incident Detail'!$C$2:$C$3433)*(Data!$A$102='Accident &amp; Incident Detail'!$E$2:$E$3433)*("Non-Movement"='Accident &amp; Incident Detail'!$I$2:$I$3433))</f>
        <v>0</v>
      </c>
      <c r="X123" s="164">
        <f t="array" ref="X123">SUM((X$97='Accident &amp; Incident Detail'!$C$2:$C$3433)*(Data!$A$102='Accident &amp; Incident Detail'!$E$2:$E$3433)*("Non-Movement"='Accident &amp; Incident Detail'!$I$2:$I$3433))</f>
        <v>0</v>
      </c>
      <c r="Y123" s="164">
        <f t="array" ref="Y123">SUM((Y$97='Accident &amp; Incident Detail'!$C$2:$C$3433)*(Data!$A$102='Accident &amp; Incident Detail'!$E$2:$E$3433)*("Non-Movement"='Accident &amp; Incident Detail'!$I$2:$I$3433))</f>
        <v>0</v>
      </c>
      <c r="Z123" s="41">
        <f t="array" ref="Z123">SUM((Z$97='Accident &amp; Incident Detail'!$C$2:$C$3433)*(Data!$A$102='Accident &amp; Incident Detail'!$E$2:$E$3433)*("Non-Movement"='Accident &amp; Incident Detail'!$I$2:$I$3433))</f>
        <v>0</v>
      </c>
      <c r="AA123" s="41">
        <f t="array" ref="AA123">SUM((AA$97='Accident &amp; Incident Detail'!$C$2:$C$3433)*(Data!$A$102='Accident &amp; Incident Detail'!$E$2:$E$3433)*("Non-Movement"='Accident &amp; Incident Detail'!$I$2:$I$3433))</f>
        <v>0</v>
      </c>
      <c r="AB123" s="41">
        <f t="array" ref="AB123">SUM((AB$97='Accident &amp; Incident Detail'!$C$2:$C$3433)*(Data!$A$102='Accident &amp; Incident Detail'!$E$2:$E$3433)*("Non-Movement"='Accident &amp; Incident Detail'!$I$2:$I$3433))</f>
        <v>0</v>
      </c>
      <c r="AC123" s="41">
        <f t="array" ref="AC123">SUM((AC$97='Accident &amp; Incident Detail'!$C$2:$C$3433)*(Data!$A$102='Accident &amp; Incident Detail'!$E$2:$E$3433)*("Non-Movement"='Accident &amp; Incident Detail'!$I$2:$I$3433))</f>
        <v>0</v>
      </c>
      <c r="AD123" s="41">
        <f t="array" ref="AD123">SUM((AD$97='Accident &amp; Incident Detail'!$C$2:$C$3433)*(Data!$A$102='Accident &amp; Incident Detail'!$E$2:$E$3433)*("Non-Movement"='Accident &amp; Incident Detail'!$I$2:$I$3433))</f>
        <v>0</v>
      </c>
      <c r="AE123" s="41">
        <f t="array" ref="AE123">SUM((AE$97='Accident &amp; Incident Detail'!$C$2:$C$3433)*(Data!$A$102='Accident &amp; Incident Detail'!$E$2:$E$3433)*("Non-Movement"='Accident &amp; Incident Detail'!$I$2:$I$3433))</f>
        <v>0</v>
      </c>
      <c r="AF123" s="41">
        <f t="array" ref="AF123">SUM((AF$97='Accident &amp; Incident Detail'!$C$2:$C$3433)*(Data!$A$102='Accident &amp; Incident Detail'!$E$2:$E$3433)*("Non-Movement"='Accident &amp; Incident Detail'!$I$2:$I$3433))</f>
        <v>0</v>
      </c>
      <c r="AG123" s="41">
        <f t="array" ref="AG123">SUM((AG$97='Accident &amp; Incident Detail'!$C$2:$C$3433)*(Data!$A$102='Accident &amp; Incident Detail'!$E$2:$E$3433)*("Non-Movement"='Accident &amp; Incident Detail'!$I$2:$I$3433))</f>
        <v>0</v>
      </c>
      <c r="AH123" s="41">
        <f t="array" ref="AH123">SUM((AH$97='Accident &amp; Incident Detail'!$C$2:$C$3433)*(Data!$A$102='Accident &amp; Incident Detail'!$E$2:$E$3433)*("Non-Movement"='Accident &amp; Incident Detail'!$I$2:$I$3433))</f>
        <v>0</v>
      </c>
      <c r="AI123" s="41">
        <f t="array" ref="AI123">SUM((AI$97='Accident &amp; Incident Detail'!$C$2:$C$3433)*(Data!$A$102='Accident &amp; Incident Detail'!$E$2:$E$3433)*("Non-Movement"='Accident &amp; Incident Detail'!$I$2:$I$3433))</f>
        <v>0</v>
      </c>
      <c r="AJ123" s="41">
        <f t="array" ref="AJ123">SUM((AJ$97='Accident &amp; Incident Detail'!$C$2:$C$3433)*(Data!$A$102='Accident &amp; Incident Detail'!$E$2:$E$3433)*("Non-Movement"='Accident &amp; Incident Detail'!$I$2:$I$3433))</f>
        <v>0</v>
      </c>
      <c r="AK123" s="41">
        <f t="array" ref="AK123">SUM((AK$97='Accident &amp; Incident Detail'!$C$2:$C$3433)*(Data!$A$102='Accident &amp; Incident Detail'!$E$2:$E$3433)*("Non-Movement"='Accident &amp; Incident Detail'!$I$2:$I$3433))</f>
        <v>0</v>
      </c>
      <c r="AL123" s="41">
        <f t="array" ref="AL123">SUM((AL$97='Accident &amp; Incident Detail'!$C$2:$C$3433)*(Data!$A$102='Accident &amp; Incident Detail'!$E$2:$E$3433)*("Non-Movement"='Accident &amp; Incident Detail'!$I$2:$I$3433))</f>
        <v>0</v>
      </c>
      <c r="AM123" s="41">
        <f t="array" ref="AM123">SUM((AM$97='Accident &amp; Incident Detail'!$C$2:$C$3433)*(Data!$A$102='Accident &amp; Incident Detail'!$E$2:$E$3433)*("Non-Movement"='Accident &amp; Incident Detail'!$I$2:$I$3433))</f>
        <v>0</v>
      </c>
      <c r="AN123" s="41">
        <f t="array" ref="AN123">SUM((AN$97='Accident &amp; Incident Detail'!$C$2:$C$3433)*(Data!$A$102='Accident &amp; Incident Detail'!$E$2:$E$3433)*("Non-Movement"='Accident &amp; Incident Detail'!$I$2:$I$3433))</f>
        <v>0</v>
      </c>
    </row>
    <row r="124" spans="1:40" x14ac:dyDescent="0.35">
      <c r="A124" s="188" t="s">
        <v>15</v>
      </c>
      <c r="B124" s="422">
        <f>IF(B$1=1,(SUM(B123:B123)/13),0)</f>
        <v>0</v>
      </c>
      <c r="C124" s="422">
        <f>IF(C$1=1,(SUM(B123:C123)/13),0)</f>
        <v>0</v>
      </c>
      <c r="D124" s="422">
        <f>IF(D$1=1,(SUM(B123:D123)/13),0)</f>
        <v>0</v>
      </c>
      <c r="E124" s="422">
        <f>IF(E$1=1,(SUM(B123:E123)/13),0)</f>
        <v>0</v>
      </c>
      <c r="F124" s="422">
        <f>IF(F$1=1,(SUM(B123:F123)/13),0)</f>
        <v>0</v>
      </c>
      <c r="G124" s="422">
        <f>IF(G$1=1,(SUM(B123:G123)/13),0)</f>
        <v>0</v>
      </c>
      <c r="H124" s="422">
        <f>IF(H$1=1,(SUM(B123:H123)/13),0)</f>
        <v>0</v>
      </c>
      <c r="I124" s="422">
        <f>IF(I$1=1,(SUM(B123:I123)/13),0)</f>
        <v>0</v>
      </c>
      <c r="J124" s="46">
        <f>IF(J$1=1,(SUM(B123:J123)/13),0)</f>
        <v>0</v>
      </c>
      <c r="K124" s="46">
        <f>IF(K$1=1,(SUM(B123:K123)/13),0)</f>
        <v>0</v>
      </c>
      <c r="L124" s="46">
        <f>IF(L$1=1,(SUM(B123:L123)/13),0)</f>
        <v>0</v>
      </c>
      <c r="M124" s="46">
        <f>IF(M$1=1,(SUM(B123:M123)/13),0)</f>
        <v>0</v>
      </c>
      <c r="N124" s="46">
        <f>IF(N$1=1,(SUM(B123:N123)/13),0)</f>
        <v>0</v>
      </c>
      <c r="O124" s="46">
        <f t="shared" ref="O124:Z124" si="133">IF(O$1=1,(SUM(C123:O123)/13),0)</f>
        <v>0</v>
      </c>
      <c r="P124" s="46">
        <f t="shared" si="133"/>
        <v>0</v>
      </c>
      <c r="Q124" s="46">
        <f t="shared" si="133"/>
        <v>0</v>
      </c>
      <c r="R124" s="46">
        <f t="shared" si="133"/>
        <v>0</v>
      </c>
      <c r="S124" s="46">
        <f t="shared" si="133"/>
        <v>0</v>
      </c>
      <c r="T124" s="46">
        <f t="shared" si="133"/>
        <v>0</v>
      </c>
      <c r="U124" s="46">
        <f t="shared" si="133"/>
        <v>0</v>
      </c>
      <c r="V124" s="46">
        <f t="shared" si="133"/>
        <v>0</v>
      </c>
      <c r="W124" s="46">
        <f t="shared" si="133"/>
        <v>0</v>
      </c>
      <c r="X124" s="46">
        <f t="shared" si="133"/>
        <v>0</v>
      </c>
      <c r="Y124" s="46">
        <f t="shared" si="133"/>
        <v>0</v>
      </c>
      <c r="Z124" s="45">
        <f t="shared" si="133"/>
        <v>0</v>
      </c>
      <c r="AA124" s="45">
        <f t="shared" ref="AA124:AN124" si="134">IF(AA$1=1,(SUM(O123:AA123)/13),0)</f>
        <v>0</v>
      </c>
      <c r="AB124" s="45">
        <f t="shared" si="134"/>
        <v>0</v>
      </c>
      <c r="AC124" s="45">
        <f t="shared" si="134"/>
        <v>0</v>
      </c>
      <c r="AD124" s="45">
        <f t="shared" si="134"/>
        <v>0</v>
      </c>
      <c r="AE124" s="45">
        <f t="shared" si="134"/>
        <v>0</v>
      </c>
      <c r="AF124" s="45">
        <f t="shared" si="134"/>
        <v>0</v>
      </c>
      <c r="AG124" s="45">
        <f t="shared" si="134"/>
        <v>0</v>
      </c>
      <c r="AH124" s="45">
        <f t="shared" si="134"/>
        <v>0</v>
      </c>
      <c r="AI124" s="45">
        <f t="shared" si="134"/>
        <v>0</v>
      </c>
      <c r="AJ124" s="45">
        <f t="shared" si="134"/>
        <v>0</v>
      </c>
      <c r="AK124" s="45">
        <f t="shared" si="134"/>
        <v>0</v>
      </c>
      <c r="AL124" s="45">
        <f t="shared" si="134"/>
        <v>0</v>
      </c>
      <c r="AM124" s="45">
        <f t="shared" si="134"/>
        <v>0</v>
      </c>
      <c r="AN124" s="45">
        <f t="shared" si="134"/>
        <v>0</v>
      </c>
    </row>
    <row r="125" spans="1:40" x14ac:dyDescent="0.35">
      <c r="A125" s="119" t="s">
        <v>26</v>
      </c>
      <c r="B125" s="417">
        <f t="array" ref="B125">SUM((B$97='Accident &amp; Incident Detail'!$C$2:$C$3433)*(Data!$A$104='Accident &amp; Incident Detail'!$E$2:$E$3433)*("Non-Movement"='Accident &amp; Incident Detail'!$I$2:$I$3433))</f>
        <v>0</v>
      </c>
      <c r="C125" s="417">
        <f t="array" ref="C125">SUM((C$97='Accident &amp; Incident Detail'!$C$2:$C$3433)*(Data!$A$104='Accident &amp; Incident Detail'!$E$2:$E$3433)*("Non-Movement"='Accident &amp; Incident Detail'!$I$2:$I$3433))</f>
        <v>0</v>
      </c>
      <c r="D125" s="417">
        <f t="array" ref="D125">SUM((D$97='Accident &amp; Incident Detail'!$C$2:$C$3433)*(Data!$A$104='Accident &amp; Incident Detail'!$E$2:$E$3433)*("Non-Movement"='Accident &amp; Incident Detail'!$I$2:$I$3433))</f>
        <v>0</v>
      </c>
      <c r="E125" s="417">
        <f t="array" ref="E125">SUM((E$97='Accident &amp; Incident Detail'!$C$2:$C$3433)*(Data!$A$104='Accident &amp; Incident Detail'!$E$2:$E$3433)*("Non-Movement"='Accident &amp; Incident Detail'!$I$2:$I$3433))</f>
        <v>0</v>
      </c>
      <c r="F125" s="417">
        <f t="array" ref="F125">SUM((F$97='Accident &amp; Incident Detail'!$C$2:$C$3433)*(Data!$A$104='Accident &amp; Incident Detail'!$E$2:$E$3433)*("Non-Movement"='Accident &amp; Incident Detail'!$I$2:$I$3433))</f>
        <v>0</v>
      </c>
      <c r="G125" s="417">
        <f t="array" ref="G125">SUM((G$97='Accident &amp; Incident Detail'!$C$2:$C$3433)*(Data!$A$104='Accident &amp; Incident Detail'!$E$2:$E$3433)*("Non-Movement"='Accident &amp; Incident Detail'!$I$2:$I$3433))</f>
        <v>0</v>
      </c>
      <c r="H125" s="417">
        <f t="array" ref="H125">SUM((H$97='Accident &amp; Incident Detail'!$C$2:$C$3433)*(Data!$A$104='Accident &amp; Incident Detail'!$E$2:$E$3433)*("Non-Movement"='Accident &amp; Incident Detail'!$I$2:$I$3433))</f>
        <v>0</v>
      </c>
      <c r="I125" s="417">
        <f t="array" ref="I125">SUM((I$97='Accident &amp; Incident Detail'!$C$2:$C$3433)*(Data!$A$104='Accident &amp; Incident Detail'!$E$2:$E$3433)*("Non-Movement"='Accident &amp; Incident Detail'!$I$2:$I$3433))</f>
        <v>0</v>
      </c>
      <c r="J125" s="164">
        <f t="array" ref="J125">SUM((J$97='Accident &amp; Incident Detail'!$C$2:$C$3433)*(Data!$A$104='Accident &amp; Incident Detail'!$E$2:$E$3433)*("Non-Movement"='Accident &amp; Incident Detail'!$I$2:$I$3433))</f>
        <v>0</v>
      </c>
      <c r="K125" s="164">
        <f t="array" ref="K125">SUM((K$97='Accident &amp; Incident Detail'!$C$2:$C$3433)*(Data!$A$104='Accident &amp; Incident Detail'!$E$2:$E$3433)*("Non-Movement"='Accident &amp; Incident Detail'!$I$2:$I$3433))</f>
        <v>0</v>
      </c>
      <c r="L125" s="164">
        <f t="array" ref="L125">SUM((L$97='Accident &amp; Incident Detail'!$C$2:$C$3433)*(Data!$A$104='Accident &amp; Incident Detail'!$E$2:$E$3433)*("Non-Movement"='Accident &amp; Incident Detail'!$I$2:$I$3433))</f>
        <v>0</v>
      </c>
      <c r="M125" s="164">
        <f t="array" ref="M125">SUM((M$97='Accident &amp; Incident Detail'!$C$2:$C$3433)*(Data!$A$104='Accident &amp; Incident Detail'!$E$2:$E$3433)*("Non-Movement"='Accident &amp; Incident Detail'!$I$2:$I$3433))</f>
        <v>0</v>
      </c>
      <c r="N125" s="164">
        <f t="array" ref="N125">SUM((N$97='Accident &amp; Incident Detail'!$C$2:$C$3433)*(Data!$A$104='Accident &amp; Incident Detail'!$E$2:$E$3433)*("Non-Movement"='Accident &amp; Incident Detail'!$I$2:$I$3433))</f>
        <v>0</v>
      </c>
      <c r="O125" s="164">
        <f t="array" ref="O125">SUM((O$97='Accident &amp; Incident Detail'!$C$2:$C$3433)*(Data!$A$104='Accident &amp; Incident Detail'!$E$2:$E$3433)*("Non-Movement"='Accident &amp; Incident Detail'!$I$2:$I$3433))</f>
        <v>0</v>
      </c>
      <c r="P125" s="164">
        <f t="array" ref="P125">SUM((P$97='Accident &amp; Incident Detail'!$C$2:$C$3433)*(Data!$A$104='Accident &amp; Incident Detail'!$E$2:$E$3433)*("Non-Movement"='Accident &amp; Incident Detail'!$I$2:$I$3433))</f>
        <v>0</v>
      </c>
      <c r="Q125" s="164">
        <f t="array" ref="Q125">SUM((Q$97='Accident &amp; Incident Detail'!$C$2:$C$3433)*(Data!$A$104='Accident &amp; Incident Detail'!$E$2:$E$3433)*("Non-Movement"='Accident &amp; Incident Detail'!$I$2:$I$3433))</f>
        <v>0</v>
      </c>
      <c r="R125" s="164">
        <f t="array" ref="R125">SUM((R$97='Accident &amp; Incident Detail'!$C$2:$C$3433)*(Data!$A$104='Accident &amp; Incident Detail'!$E$2:$E$3433)*("Non-Movement"='Accident &amp; Incident Detail'!$I$2:$I$3433))</f>
        <v>0</v>
      </c>
      <c r="S125" s="164">
        <f t="array" ref="S125">SUM((S$97='Accident &amp; Incident Detail'!$C$2:$C$3433)*(Data!$A$104='Accident &amp; Incident Detail'!$E$2:$E$3433)*("Non-Movement"='Accident &amp; Incident Detail'!$I$2:$I$3433))</f>
        <v>0</v>
      </c>
      <c r="T125" s="164">
        <f t="array" ref="T125">SUM((T$97='Accident &amp; Incident Detail'!$C$2:$C$3433)*(Data!$A$104='Accident &amp; Incident Detail'!$E$2:$E$3433)*("Non-Movement"='Accident &amp; Incident Detail'!$I$2:$I$3433))</f>
        <v>0</v>
      </c>
      <c r="U125" s="164">
        <f t="array" ref="U125">SUM((U$97='Accident &amp; Incident Detail'!$C$2:$C$3433)*(Data!$A$104='Accident &amp; Incident Detail'!$E$2:$E$3433)*("Non-Movement"='Accident &amp; Incident Detail'!$I$2:$I$3433))</f>
        <v>0</v>
      </c>
      <c r="V125" s="164">
        <f t="array" ref="V125">SUM((V$97='Accident &amp; Incident Detail'!$C$2:$C$3433)*(Data!$A$104='Accident &amp; Incident Detail'!$E$2:$E$3433)*("Non-Movement"='Accident &amp; Incident Detail'!$I$2:$I$3433))</f>
        <v>0</v>
      </c>
      <c r="W125" s="164">
        <f t="array" ref="W125">SUM((W$97='Accident &amp; Incident Detail'!$C$2:$C$3433)*(Data!$A$104='Accident &amp; Incident Detail'!$E$2:$E$3433)*("Non-Movement"='Accident &amp; Incident Detail'!$I$2:$I$3433))</f>
        <v>0</v>
      </c>
      <c r="X125" s="164">
        <f t="array" ref="X125">SUM((X$97='Accident &amp; Incident Detail'!$C$2:$C$3433)*(Data!$A$104='Accident &amp; Incident Detail'!$E$2:$E$3433)*("Non-Movement"='Accident &amp; Incident Detail'!$I$2:$I$3433))</f>
        <v>0</v>
      </c>
      <c r="Y125" s="164">
        <f t="array" ref="Y125">SUM((Y$97='Accident &amp; Incident Detail'!$C$2:$C$3433)*(Data!$A$104='Accident &amp; Incident Detail'!$E$2:$E$3433)*("Non-Movement"='Accident &amp; Incident Detail'!$I$2:$I$3433))</f>
        <v>0</v>
      </c>
      <c r="Z125" s="41">
        <f t="array" ref="Z125">SUM((Z$97='Accident &amp; Incident Detail'!$C$2:$C$3433)*(Data!$A$104='Accident &amp; Incident Detail'!$E$2:$E$3433)*("Non-Movement"='Accident &amp; Incident Detail'!$I$2:$I$3433))</f>
        <v>0</v>
      </c>
      <c r="AA125" s="41">
        <f t="array" ref="AA125">SUM((AA$97='Accident &amp; Incident Detail'!$C$2:$C$3433)*(Data!$A$104='Accident &amp; Incident Detail'!$E$2:$E$3433)*("Non-Movement"='Accident &amp; Incident Detail'!$I$2:$I$3433))</f>
        <v>0</v>
      </c>
      <c r="AB125" s="41">
        <f t="array" ref="AB125">SUM((AB$97='Accident &amp; Incident Detail'!$C$2:$C$3433)*(Data!$A$104='Accident &amp; Incident Detail'!$E$2:$E$3433)*("Non-Movement"='Accident &amp; Incident Detail'!$I$2:$I$3433))</f>
        <v>0</v>
      </c>
      <c r="AC125" s="41">
        <f t="array" ref="AC125">SUM((AC$97='Accident &amp; Incident Detail'!$C$2:$C$3433)*(Data!$A$104='Accident &amp; Incident Detail'!$E$2:$E$3433)*("Non-Movement"='Accident &amp; Incident Detail'!$I$2:$I$3433))</f>
        <v>0</v>
      </c>
      <c r="AD125" s="41">
        <f t="array" ref="AD125">SUM((AD$97='Accident &amp; Incident Detail'!$C$2:$C$3433)*(Data!$A$104='Accident &amp; Incident Detail'!$E$2:$E$3433)*("Non-Movement"='Accident &amp; Incident Detail'!$I$2:$I$3433))</f>
        <v>0</v>
      </c>
      <c r="AE125" s="41">
        <f t="array" ref="AE125">SUM((AE$97='Accident &amp; Incident Detail'!$C$2:$C$3433)*(Data!$A$104='Accident &amp; Incident Detail'!$E$2:$E$3433)*("Non-Movement"='Accident &amp; Incident Detail'!$I$2:$I$3433))</f>
        <v>0</v>
      </c>
      <c r="AF125" s="41">
        <f t="array" ref="AF125">SUM((AF$97='Accident &amp; Incident Detail'!$C$2:$C$3433)*(Data!$A$104='Accident &amp; Incident Detail'!$E$2:$E$3433)*("Non-Movement"='Accident &amp; Incident Detail'!$I$2:$I$3433))</f>
        <v>0</v>
      </c>
      <c r="AG125" s="41">
        <f t="array" ref="AG125">SUM((AG$97='Accident &amp; Incident Detail'!$C$2:$C$3433)*(Data!$A$104='Accident &amp; Incident Detail'!$E$2:$E$3433)*("Non-Movement"='Accident &amp; Incident Detail'!$I$2:$I$3433))</f>
        <v>0</v>
      </c>
      <c r="AH125" s="41">
        <f t="array" ref="AH125">SUM((AH$97='Accident &amp; Incident Detail'!$C$2:$C$3433)*(Data!$A$104='Accident &amp; Incident Detail'!$E$2:$E$3433)*("Non-Movement"='Accident &amp; Incident Detail'!$I$2:$I$3433))</f>
        <v>0</v>
      </c>
      <c r="AI125" s="41">
        <f t="array" ref="AI125">SUM((AI$97='Accident &amp; Incident Detail'!$C$2:$C$3433)*(Data!$A$104='Accident &amp; Incident Detail'!$E$2:$E$3433)*("Non-Movement"='Accident &amp; Incident Detail'!$I$2:$I$3433))</f>
        <v>0</v>
      </c>
      <c r="AJ125" s="41">
        <f t="array" ref="AJ125">SUM((AJ$97='Accident &amp; Incident Detail'!$C$2:$C$3433)*(Data!$A$104='Accident &amp; Incident Detail'!$E$2:$E$3433)*("Non-Movement"='Accident &amp; Incident Detail'!$I$2:$I$3433))</f>
        <v>0</v>
      </c>
      <c r="AK125" s="41">
        <f t="array" ref="AK125">SUM((AK$97='Accident &amp; Incident Detail'!$C$2:$C$3433)*(Data!$A$104='Accident &amp; Incident Detail'!$E$2:$E$3433)*("Non-Movement"='Accident &amp; Incident Detail'!$I$2:$I$3433))</f>
        <v>0</v>
      </c>
      <c r="AL125" s="41">
        <f t="array" ref="AL125">SUM((AL$97='Accident &amp; Incident Detail'!$C$2:$C$3433)*(Data!$A$104='Accident &amp; Incident Detail'!$E$2:$E$3433)*("Non-Movement"='Accident &amp; Incident Detail'!$I$2:$I$3433))</f>
        <v>0</v>
      </c>
      <c r="AM125" s="41">
        <f t="array" ref="AM125">SUM((AM$97='Accident &amp; Incident Detail'!$C$2:$C$3433)*(Data!$A$104='Accident &amp; Incident Detail'!$E$2:$E$3433)*("Non-Movement"='Accident &amp; Incident Detail'!$I$2:$I$3433))</f>
        <v>0</v>
      </c>
      <c r="AN125" s="41">
        <f t="array" ref="AN125">SUM((AN$97='Accident &amp; Incident Detail'!$C$2:$C$3433)*(Data!$A$104='Accident &amp; Incident Detail'!$E$2:$E$3433)*("Non-Movement"='Accident &amp; Incident Detail'!$I$2:$I$3433))</f>
        <v>0</v>
      </c>
    </row>
    <row r="126" spans="1:40" x14ac:dyDescent="0.35">
      <c r="A126" s="188" t="s">
        <v>15</v>
      </c>
      <c r="B126" s="422">
        <f>IF(B$1=1,(SUM(B125:B125)/13),0)</f>
        <v>0</v>
      </c>
      <c r="C126" s="422">
        <f>IF(C$1=1,(SUM(B125:C125)/13),0)</f>
        <v>0</v>
      </c>
      <c r="D126" s="422">
        <f>IF(D$1=1,(SUM(B125:D125)/13),0)</f>
        <v>0</v>
      </c>
      <c r="E126" s="422">
        <f>IF(E$1=1,(SUM(B125:E125)/13),0)</f>
        <v>0</v>
      </c>
      <c r="F126" s="422">
        <f>IF(F$1=1,(SUM(B125:F125)/13),0)</f>
        <v>0</v>
      </c>
      <c r="G126" s="422">
        <f>IF(G$1=1,(SUM(B125:G125)/13),0)</f>
        <v>0</v>
      </c>
      <c r="H126" s="422">
        <f>IF(H$1=1,(SUM(B125:H125)/13),0)</f>
        <v>0</v>
      </c>
      <c r="I126" s="422">
        <f>IF(I$1=1,(SUM(B125:I125)/13),0)</f>
        <v>0</v>
      </c>
      <c r="J126" s="46">
        <f>IF(J$1=1,(SUM(B125:J125)/13),0)</f>
        <v>0</v>
      </c>
      <c r="K126" s="46">
        <f>IF(K$1=1,(SUM(B125:K125)/13),0)</f>
        <v>0</v>
      </c>
      <c r="L126" s="46">
        <f>IF(L$1=1,(SUM(B125:L125)/13),0)</f>
        <v>0</v>
      </c>
      <c r="M126" s="46">
        <f>IF(M$1=1,(SUM(B125:M125)/13),0)</f>
        <v>0</v>
      </c>
      <c r="N126" s="46">
        <f>IF(N$1=1,(SUM(B125:N125)/13),0)</f>
        <v>0</v>
      </c>
      <c r="O126" s="46">
        <f t="shared" ref="O126:Z126" si="135">IF(O$1=1,(SUM(C125:O125)/13),0)</f>
        <v>0</v>
      </c>
      <c r="P126" s="46">
        <f t="shared" si="135"/>
        <v>0</v>
      </c>
      <c r="Q126" s="46">
        <f t="shared" si="135"/>
        <v>0</v>
      </c>
      <c r="R126" s="46">
        <f t="shared" si="135"/>
        <v>0</v>
      </c>
      <c r="S126" s="46">
        <f t="shared" si="135"/>
        <v>0</v>
      </c>
      <c r="T126" s="46">
        <f t="shared" si="135"/>
        <v>0</v>
      </c>
      <c r="U126" s="46">
        <f t="shared" si="135"/>
        <v>0</v>
      </c>
      <c r="V126" s="46">
        <f t="shared" si="135"/>
        <v>0</v>
      </c>
      <c r="W126" s="46">
        <f t="shared" si="135"/>
        <v>0</v>
      </c>
      <c r="X126" s="46">
        <f t="shared" si="135"/>
        <v>0</v>
      </c>
      <c r="Y126" s="46">
        <f t="shared" si="135"/>
        <v>0</v>
      </c>
      <c r="Z126" s="45">
        <f t="shared" si="135"/>
        <v>0</v>
      </c>
      <c r="AA126" s="45">
        <f t="shared" ref="AA126:AN126" si="136">IF(AA$1=1,(SUM(O125:AA125)/13),0)</f>
        <v>0</v>
      </c>
      <c r="AB126" s="45">
        <f t="shared" si="136"/>
        <v>0</v>
      </c>
      <c r="AC126" s="45">
        <f t="shared" si="136"/>
        <v>0</v>
      </c>
      <c r="AD126" s="45">
        <f t="shared" si="136"/>
        <v>0</v>
      </c>
      <c r="AE126" s="45">
        <f t="shared" si="136"/>
        <v>0</v>
      </c>
      <c r="AF126" s="45">
        <f t="shared" si="136"/>
        <v>0</v>
      </c>
      <c r="AG126" s="45">
        <f t="shared" si="136"/>
        <v>0</v>
      </c>
      <c r="AH126" s="45">
        <f t="shared" si="136"/>
        <v>0</v>
      </c>
      <c r="AI126" s="45">
        <f t="shared" si="136"/>
        <v>0</v>
      </c>
      <c r="AJ126" s="45">
        <f t="shared" si="136"/>
        <v>0</v>
      </c>
      <c r="AK126" s="45">
        <f t="shared" si="136"/>
        <v>0</v>
      </c>
      <c r="AL126" s="45">
        <f t="shared" si="136"/>
        <v>0</v>
      </c>
      <c r="AM126" s="45">
        <f t="shared" si="136"/>
        <v>0</v>
      </c>
      <c r="AN126" s="45">
        <f t="shared" si="136"/>
        <v>0</v>
      </c>
    </row>
    <row r="127" spans="1:40" x14ac:dyDescent="0.35">
      <c r="A127" s="119" t="s">
        <v>38</v>
      </c>
      <c r="B127" s="417">
        <f t="array" ref="B127">SUM((B$97='Accident &amp; Incident Detail'!$C$2:$C$3433)*(Data!$A$108='Accident &amp; Incident Detail'!$E$2:$E$3433)*("Non-Movement"='Accident &amp; Incident Detail'!$I$2:$I$3433))</f>
        <v>0</v>
      </c>
      <c r="C127" s="417">
        <f t="array" ref="C127">SUM((C$97='Accident &amp; Incident Detail'!$C$2:$C$3433)*(Data!$A$108='Accident &amp; Incident Detail'!$E$2:$E$3433)*("Non-Movement"='Accident &amp; Incident Detail'!$I$2:$I$3433))</f>
        <v>0</v>
      </c>
      <c r="D127" s="417">
        <f t="array" ref="D127">SUM((D$97='Accident &amp; Incident Detail'!$C$2:$C$3433)*(Data!$A$108='Accident &amp; Incident Detail'!$E$2:$E$3433)*("Non-Movement"='Accident &amp; Incident Detail'!$I$2:$I$3433))</f>
        <v>0</v>
      </c>
      <c r="E127" s="417">
        <f t="array" ref="E127">SUM((E$97='Accident &amp; Incident Detail'!$C$2:$C$3433)*(Data!$A$108='Accident &amp; Incident Detail'!$E$2:$E$3433)*("Non-Movement"='Accident &amp; Incident Detail'!$I$2:$I$3433))</f>
        <v>0</v>
      </c>
      <c r="F127" s="417">
        <f t="array" ref="F127">SUM((F$97='Accident &amp; Incident Detail'!$C$2:$C$3433)*(Data!$A$108='Accident &amp; Incident Detail'!$E$2:$E$3433)*("Non-Movement"='Accident &amp; Incident Detail'!$I$2:$I$3433))</f>
        <v>0</v>
      </c>
      <c r="G127" s="417">
        <f t="array" ref="G127">SUM((G$97='Accident &amp; Incident Detail'!$C$2:$C$3433)*(Data!$A$108='Accident &amp; Incident Detail'!$E$2:$E$3433)*("Non-Movement"='Accident &amp; Incident Detail'!$I$2:$I$3433))</f>
        <v>0</v>
      </c>
      <c r="H127" s="417">
        <f t="array" ref="H127">SUM((H$97='Accident &amp; Incident Detail'!$C$2:$C$3433)*(Data!$A$108='Accident &amp; Incident Detail'!$E$2:$E$3433)*("Non-Movement"='Accident &amp; Incident Detail'!$I$2:$I$3433))</f>
        <v>0</v>
      </c>
      <c r="I127" s="417">
        <f t="array" ref="I127">SUM((I$97='Accident &amp; Incident Detail'!$C$2:$C$3433)*(Data!$A$108='Accident &amp; Incident Detail'!$E$2:$E$3433)*("Non-Movement"='Accident &amp; Incident Detail'!$I$2:$I$3433))</f>
        <v>0</v>
      </c>
      <c r="J127" s="164">
        <f t="array" ref="J127">SUM((J$97='Accident &amp; Incident Detail'!$C$2:$C$3433)*(Data!$A$108='Accident &amp; Incident Detail'!$E$2:$E$3433)*("Non-Movement"='Accident &amp; Incident Detail'!$I$2:$I$3433))</f>
        <v>0</v>
      </c>
      <c r="K127" s="164">
        <f t="array" ref="K127">SUM((K$97='Accident &amp; Incident Detail'!$C$2:$C$3433)*(Data!$A$108='Accident &amp; Incident Detail'!$E$2:$E$3433)*("Non-Movement"='Accident &amp; Incident Detail'!$I$2:$I$3433))</f>
        <v>0</v>
      </c>
      <c r="L127" s="164">
        <f t="array" ref="L127">SUM((L$97='Accident &amp; Incident Detail'!$C$2:$C$3433)*(Data!$A$108='Accident &amp; Incident Detail'!$E$2:$E$3433)*("Non-Movement"='Accident &amp; Incident Detail'!$I$2:$I$3433))</f>
        <v>0</v>
      </c>
      <c r="M127" s="164">
        <f t="array" ref="M127">SUM((M$97='Accident &amp; Incident Detail'!$C$2:$C$3433)*(Data!$A$108='Accident &amp; Incident Detail'!$E$2:$E$3433)*("Non-Movement"='Accident &amp; Incident Detail'!$I$2:$I$3433))</f>
        <v>1</v>
      </c>
      <c r="N127" s="164">
        <f t="array" ref="N127">SUM((N$97='Accident &amp; Incident Detail'!$C$2:$C$3433)*(Data!$A$108='Accident &amp; Incident Detail'!$E$2:$E$3433)*("Non-Movement"='Accident &amp; Incident Detail'!$I$2:$I$3433))</f>
        <v>0</v>
      </c>
      <c r="O127" s="164">
        <f t="array" ref="O127">SUM((O$97='Accident &amp; Incident Detail'!$C$2:$C$3433)*(Data!$A$108='Accident &amp; Incident Detail'!$E$2:$E$3433)*("Non-Movement"='Accident &amp; Incident Detail'!$I$2:$I$3433))</f>
        <v>1</v>
      </c>
      <c r="P127" s="164">
        <f t="array" ref="P127">SUM((P$97='Accident &amp; Incident Detail'!$C$2:$C$3433)*(Data!$A$108='Accident &amp; Incident Detail'!$E$2:$E$3433)*("Non-Movement"='Accident &amp; Incident Detail'!$I$2:$I$3433))</f>
        <v>1</v>
      </c>
      <c r="Q127" s="164">
        <f t="array" ref="Q127">SUM((Q$97='Accident &amp; Incident Detail'!$C$2:$C$3433)*(Data!$A$108='Accident &amp; Incident Detail'!$E$2:$E$3433)*("Non-Movement"='Accident &amp; Incident Detail'!$I$2:$I$3433))</f>
        <v>0</v>
      </c>
      <c r="R127" s="164">
        <f t="array" ref="R127">SUM((R$97='Accident &amp; Incident Detail'!$C$2:$C$3433)*(Data!$A$108='Accident &amp; Incident Detail'!$E$2:$E$3433)*("Non-Movement"='Accident &amp; Incident Detail'!$I$2:$I$3433))</f>
        <v>2</v>
      </c>
      <c r="S127" s="164">
        <f t="array" ref="S127">SUM((S$97='Accident &amp; Incident Detail'!$C$2:$C$3433)*(Data!$A$108='Accident &amp; Incident Detail'!$E$2:$E$3433)*("Non-Movement"='Accident &amp; Incident Detail'!$I$2:$I$3433))</f>
        <v>0</v>
      </c>
      <c r="T127" s="164">
        <f t="array" ref="T127">SUM((T$97='Accident &amp; Incident Detail'!$C$2:$C$3433)*(Data!$A$108='Accident &amp; Incident Detail'!$E$2:$E$3433)*("Non-Movement"='Accident &amp; Incident Detail'!$I$2:$I$3433))</f>
        <v>0</v>
      </c>
      <c r="U127" s="164">
        <f t="array" ref="U127">SUM((U$97='Accident &amp; Incident Detail'!$C$2:$C$3433)*(Data!$A$108='Accident &amp; Incident Detail'!$E$2:$E$3433)*("Non-Movement"='Accident &amp; Incident Detail'!$I$2:$I$3433))</f>
        <v>1</v>
      </c>
      <c r="V127" s="164">
        <f t="array" ref="V127">SUM((V$97='Accident &amp; Incident Detail'!$C$2:$C$3433)*(Data!$A$108='Accident &amp; Incident Detail'!$E$2:$E$3433)*("Non-Movement"='Accident &amp; Incident Detail'!$I$2:$I$3433))</f>
        <v>0</v>
      </c>
      <c r="W127" s="164">
        <f t="array" ref="W127">SUM((W$97='Accident &amp; Incident Detail'!$C$2:$C$3433)*(Data!$A$108='Accident &amp; Incident Detail'!$E$2:$E$3433)*("Non-Movement"='Accident &amp; Incident Detail'!$I$2:$I$3433))</f>
        <v>1</v>
      </c>
      <c r="X127" s="164">
        <f t="array" ref="X127">SUM((X$97='Accident &amp; Incident Detail'!$C$2:$C$3433)*(Data!$A$108='Accident &amp; Incident Detail'!$E$2:$E$3433)*("Non-Movement"='Accident &amp; Incident Detail'!$I$2:$I$3433))</f>
        <v>1</v>
      </c>
      <c r="Y127" s="164">
        <f t="array" ref="Y127">SUM((Y$97='Accident &amp; Incident Detail'!$C$2:$C$3433)*(Data!$A$108='Accident &amp; Incident Detail'!$E$2:$E$3433)*("Non-Movement"='Accident &amp; Incident Detail'!$I$2:$I$3433))</f>
        <v>0</v>
      </c>
      <c r="Z127" s="41">
        <f t="array" ref="Z127">SUM((Z$97='Accident &amp; Incident Detail'!$C$2:$C$3433)*(Data!$A$108='Accident &amp; Incident Detail'!$E$2:$E$3433)*("Non-Movement"='Accident &amp; Incident Detail'!$I$2:$I$3433))</f>
        <v>1</v>
      </c>
      <c r="AA127" s="41">
        <f t="array" ref="AA127">SUM((AA$97='Accident &amp; Incident Detail'!$C$2:$C$3433)*(Data!$A$108='Accident &amp; Incident Detail'!$E$2:$E$3433)*("Non-Movement"='Accident &amp; Incident Detail'!$I$2:$I$3433))</f>
        <v>0</v>
      </c>
      <c r="AB127" s="41">
        <f t="array" ref="AB127">SUM((AB$97='Accident &amp; Incident Detail'!$C$2:$C$3433)*(Data!$A$108='Accident &amp; Incident Detail'!$E$2:$E$3433)*("Non-Movement"='Accident &amp; Incident Detail'!$I$2:$I$3433))</f>
        <v>0</v>
      </c>
      <c r="AC127" s="41">
        <f t="array" ref="AC127">SUM((AC$97='Accident &amp; Incident Detail'!$C$2:$C$3433)*(Data!$A$108='Accident &amp; Incident Detail'!$E$2:$E$3433)*("Non-Movement"='Accident &amp; Incident Detail'!$I$2:$I$3433))</f>
        <v>0</v>
      </c>
      <c r="AD127" s="41">
        <f t="array" ref="AD127">SUM((AD$97='Accident &amp; Incident Detail'!$C$2:$C$3433)*(Data!$A$108='Accident &amp; Incident Detail'!$E$2:$E$3433)*("Non-Movement"='Accident &amp; Incident Detail'!$I$2:$I$3433))</f>
        <v>0</v>
      </c>
      <c r="AE127" s="41">
        <f t="array" ref="AE127">SUM((AE$97='Accident &amp; Incident Detail'!$C$2:$C$3433)*(Data!$A$108='Accident &amp; Incident Detail'!$E$2:$E$3433)*("Non-Movement"='Accident &amp; Incident Detail'!$I$2:$I$3433))</f>
        <v>3</v>
      </c>
      <c r="AF127" s="41">
        <f t="array" ref="AF127">SUM((AF$97='Accident &amp; Incident Detail'!$C$2:$C$3433)*(Data!$A$108='Accident &amp; Incident Detail'!$E$2:$E$3433)*("Non-Movement"='Accident &amp; Incident Detail'!$I$2:$I$3433))</f>
        <v>0</v>
      </c>
      <c r="AG127" s="41">
        <f t="array" ref="AG127">SUM((AG$97='Accident &amp; Incident Detail'!$C$2:$C$3433)*(Data!$A$108='Accident &amp; Incident Detail'!$E$2:$E$3433)*("Non-Movement"='Accident &amp; Incident Detail'!$I$2:$I$3433))</f>
        <v>0</v>
      </c>
      <c r="AH127" s="41">
        <f t="array" ref="AH127">SUM((AH$97='Accident &amp; Incident Detail'!$C$2:$C$3433)*(Data!$A$108='Accident &amp; Incident Detail'!$E$2:$E$3433)*("Non-Movement"='Accident &amp; Incident Detail'!$I$2:$I$3433))</f>
        <v>1</v>
      </c>
      <c r="AI127" s="41">
        <f t="array" ref="AI127">SUM((AI$97='Accident &amp; Incident Detail'!$C$2:$C$3433)*(Data!$A$108='Accident &amp; Incident Detail'!$E$2:$E$3433)*("Non-Movement"='Accident &amp; Incident Detail'!$I$2:$I$3433))</f>
        <v>0</v>
      </c>
      <c r="AJ127" s="41">
        <f t="array" ref="AJ127">SUM((AJ$97='Accident &amp; Incident Detail'!$C$2:$C$3433)*(Data!$A$108='Accident &amp; Incident Detail'!$E$2:$E$3433)*("Non-Movement"='Accident &amp; Incident Detail'!$I$2:$I$3433))</f>
        <v>0</v>
      </c>
      <c r="AK127" s="41">
        <f t="array" ref="AK127">SUM((AK$97='Accident &amp; Incident Detail'!$C$2:$C$3433)*(Data!$A$108='Accident &amp; Incident Detail'!$E$2:$E$3433)*("Non-Movement"='Accident &amp; Incident Detail'!$I$2:$I$3433))</f>
        <v>0</v>
      </c>
      <c r="AL127" s="41">
        <f t="array" ref="AL127">SUM((AL$97='Accident &amp; Incident Detail'!$C$2:$C$3433)*(Data!$A$108='Accident &amp; Incident Detail'!$E$2:$E$3433)*("Non-Movement"='Accident &amp; Incident Detail'!$I$2:$I$3433))</f>
        <v>0</v>
      </c>
      <c r="AM127" s="41">
        <f t="array" ref="AM127">SUM((AM$97='Accident &amp; Incident Detail'!$C$2:$C$3433)*(Data!$A$108='Accident &amp; Incident Detail'!$E$2:$E$3433)*("Non-Movement"='Accident &amp; Incident Detail'!$I$2:$I$3433))</f>
        <v>0</v>
      </c>
      <c r="AN127" s="41">
        <f t="array" ref="AN127">SUM((AN$97='Accident &amp; Incident Detail'!$C$2:$C$3433)*(Data!$A$108='Accident &amp; Incident Detail'!$E$2:$E$3433)*("Non-Movement"='Accident &amp; Incident Detail'!$I$2:$I$3433))</f>
        <v>0</v>
      </c>
    </row>
    <row r="128" spans="1:40" x14ac:dyDescent="0.35">
      <c r="A128" s="188" t="s">
        <v>15</v>
      </c>
      <c r="B128" s="422">
        <f>IF(B$1=1,(SUM(B127:B127)/13),0)</f>
        <v>0</v>
      </c>
      <c r="C128" s="422">
        <f>IF(C$1=1,(SUM(B127:C127)/13),0)</f>
        <v>0</v>
      </c>
      <c r="D128" s="422">
        <f>IF(D$1=1,(SUM(B127:D127)/13),0)</f>
        <v>0</v>
      </c>
      <c r="E128" s="422">
        <f>IF(E$1=1,(SUM(B127:E127)/13),0)</f>
        <v>0</v>
      </c>
      <c r="F128" s="422">
        <f>IF(F$1=1,(SUM(B127:F127)/13),0)</f>
        <v>0</v>
      </c>
      <c r="G128" s="422">
        <f>IF(G$1=1,(SUM(B127:G127)/13),0)</f>
        <v>0</v>
      </c>
      <c r="H128" s="422">
        <f>IF(H$1=1,(SUM(B127:H127)/13),0)</f>
        <v>0</v>
      </c>
      <c r="I128" s="422">
        <f>IF(I$1=1,(SUM(B127:I127)/13),0)</f>
        <v>0</v>
      </c>
      <c r="J128" s="46">
        <f>IF(J$1=1,(SUM(B127:J127)/13),0)</f>
        <v>0</v>
      </c>
      <c r="K128" s="46">
        <f>IF(K$1=1,(SUM(B127:K127)/13),0)</f>
        <v>0</v>
      </c>
      <c r="L128" s="46">
        <f>IF(L$1=1,(SUM(B127:L127)/13),0)</f>
        <v>0</v>
      </c>
      <c r="M128" s="46">
        <f>IF(M$1=1,(SUM(B127:M127)/13),0)</f>
        <v>7.6923076923076927E-2</v>
      </c>
      <c r="N128" s="46">
        <f>IF(N$1=1,(SUM(B127:N127)/13),0)</f>
        <v>7.6923076923076927E-2</v>
      </c>
      <c r="O128" s="46">
        <f t="shared" ref="O128:Z128" si="137">IF(O$1=1,(SUM(C127:O127)/13),0)</f>
        <v>0.15384615384615385</v>
      </c>
      <c r="P128" s="46">
        <f t="shared" si="137"/>
        <v>0.23076923076923078</v>
      </c>
      <c r="Q128" s="46">
        <f t="shared" si="137"/>
        <v>0.23076923076923078</v>
      </c>
      <c r="R128" s="46">
        <f t="shared" si="137"/>
        <v>0.38461538461538464</v>
      </c>
      <c r="S128" s="46">
        <f t="shared" si="137"/>
        <v>0.38461538461538464</v>
      </c>
      <c r="T128" s="46">
        <f t="shared" si="137"/>
        <v>0.38461538461538464</v>
      </c>
      <c r="U128" s="46">
        <f t="shared" si="137"/>
        <v>0.46153846153846156</v>
      </c>
      <c r="V128" s="46">
        <f t="shared" si="137"/>
        <v>0.46153846153846156</v>
      </c>
      <c r="W128" s="46">
        <f t="shared" si="137"/>
        <v>0.53846153846153844</v>
      </c>
      <c r="X128" s="46">
        <f t="shared" si="137"/>
        <v>0.61538461538461542</v>
      </c>
      <c r="Y128" s="46">
        <f t="shared" si="137"/>
        <v>0.61538461538461542</v>
      </c>
      <c r="Z128" s="45">
        <f t="shared" si="137"/>
        <v>0.61538461538461542</v>
      </c>
      <c r="AA128" s="45">
        <f t="shared" ref="AA128:AN128" si="138">IF(AA$1=1,(SUM(O127:AA127)/13),0)</f>
        <v>0.61538461538461542</v>
      </c>
      <c r="AB128" s="45">
        <f t="shared" si="138"/>
        <v>0.53846153846153844</v>
      </c>
      <c r="AC128" s="45">
        <f t="shared" si="138"/>
        <v>0.46153846153846156</v>
      </c>
      <c r="AD128" s="45">
        <f t="shared" si="138"/>
        <v>0.46153846153846156</v>
      </c>
      <c r="AE128" s="45">
        <f t="shared" si="138"/>
        <v>0.53846153846153844</v>
      </c>
      <c r="AF128" s="45">
        <f t="shared" si="138"/>
        <v>0.53846153846153844</v>
      </c>
      <c r="AG128" s="45">
        <f t="shared" si="138"/>
        <v>0.53846153846153844</v>
      </c>
      <c r="AH128" s="45">
        <f t="shared" si="138"/>
        <v>0.53846153846153844</v>
      </c>
      <c r="AI128" s="45">
        <f t="shared" si="138"/>
        <v>0.53846153846153844</v>
      </c>
      <c r="AJ128" s="45">
        <f t="shared" si="138"/>
        <v>0.46153846153846156</v>
      </c>
      <c r="AK128" s="45">
        <f t="shared" si="138"/>
        <v>0.38461538461538464</v>
      </c>
      <c r="AL128" s="45">
        <f t="shared" si="138"/>
        <v>0</v>
      </c>
      <c r="AM128" s="45">
        <f t="shared" si="138"/>
        <v>0</v>
      </c>
      <c r="AN128" s="45">
        <f t="shared" si="138"/>
        <v>0</v>
      </c>
    </row>
    <row r="129" spans="1:40" x14ac:dyDescent="0.35">
      <c r="A129" s="119" t="s">
        <v>30</v>
      </c>
      <c r="B129" s="417">
        <f t="array" ref="B129">SUM((B$97='Accident &amp; Incident Detail'!$C$2:$C$3433)*(Data!$A$129='Accident &amp; Incident Detail'!$E$2:$E$3433)*("Non-Movement"='Accident &amp; Incident Detail'!$I$2:$I$3433))</f>
        <v>0</v>
      </c>
      <c r="C129" s="417">
        <f t="array" ref="C129">SUM((C$97='Accident &amp; Incident Detail'!$C$2:$C$3433)*(Data!$A$129='Accident &amp; Incident Detail'!$E$2:$E$3433)*("Non-Movement"='Accident &amp; Incident Detail'!$I$2:$I$3433))</f>
        <v>0</v>
      </c>
      <c r="D129" s="417">
        <f t="array" ref="D129">SUM((D$97='Accident &amp; Incident Detail'!$C$2:$C$3433)*(Data!$A$129='Accident &amp; Incident Detail'!$E$2:$E$3433)*("Non-Movement"='Accident &amp; Incident Detail'!$I$2:$I$3433))</f>
        <v>0</v>
      </c>
      <c r="E129" s="417">
        <f t="array" ref="E129">SUM((E$97='Accident &amp; Incident Detail'!$C$2:$C$3433)*(Data!$A$129='Accident &amp; Incident Detail'!$E$2:$E$3433)*("Non-Movement"='Accident &amp; Incident Detail'!$I$2:$I$3433))</f>
        <v>0</v>
      </c>
      <c r="F129" s="417">
        <f t="array" ref="F129">SUM((F$97='Accident &amp; Incident Detail'!$C$2:$C$3433)*(Data!$A$129='Accident &amp; Incident Detail'!$E$2:$E$3433)*("Non-Movement"='Accident &amp; Incident Detail'!$I$2:$I$3433))</f>
        <v>0</v>
      </c>
      <c r="G129" s="417">
        <f t="array" ref="G129">SUM((G$97='Accident &amp; Incident Detail'!$C$2:$C$3433)*(Data!$A$129='Accident &amp; Incident Detail'!$E$2:$E$3433)*("Non-Movement"='Accident &amp; Incident Detail'!$I$2:$I$3433))</f>
        <v>0</v>
      </c>
      <c r="H129" s="417">
        <f t="array" ref="H129">SUM((H$97='Accident &amp; Incident Detail'!$C$2:$C$3433)*(Data!$A$129='Accident &amp; Incident Detail'!$E$2:$E$3433)*("Non-Movement"='Accident &amp; Incident Detail'!$I$2:$I$3433))</f>
        <v>0</v>
      </c>
      <c r="I129" s="417">
        <f t="array" ref="I129">SUM((I$97='Accident &amp; Incident Detail'!$C$2:$C$3433)*(Data!$A$129='Accident &amp; Incident Detail'!$E$2:$E$3433)*("Non-Movement"='Accident &amp; Incident Detail'!$I$2:$I$3433))</f>
        <v>0</v>
      </c>
      <c r="J129" s="164">
        <f t="array" ref="J129">SUM((J$97='Accident &amp; Incident Detail'!$C$2:$C$3433)*(Data!$A$129='Accident &amp; Incident Detail'!$E$2:$E$3433)*("Non-Movement"='Accident &amp; Incident Detail'!$I$2:$I$3433))</f>
        <v>0</v>
      </c>
      <c r="K129" s="164">
        <f t="array" ref="K129">SUM((K$97='Accident &amp; Incident Detail'!$C$2:$C$3433)*(Data!$A$129='Accident &amp; Incident Detail'!$E$2:$E$3433)*("Non-Movement"='Accident &amp; Incident Detail'!$I$2:$I$3433))</f>
        <v>0</v>
      </c>
      <c r="L129" s="164">
        <f t="array" ref="L129">SUM((L$97='Accident &amp; Incident Detail'!$C$2:$C$3433)*(Data!$A$129='Accident &amp; Incident Detail'!$E$2:$E$3433)*("Non-Movement"='Accident &amp; Incident Detail'!$I$2:$I$3433))</f>
        <v>0</v>
      </c>
      <c r="M129" s="164">
        <f t="array" ref="M129">SUM((M$97='Accident &amp; Incident Detail'!$C$2:$C$3433)*(Data!$A$129='Accident &amp; Incident Detail'!$E$2:$E$3433)*("Non-Movement"='Accident &amp; Incident Detail'!$I$2:$I$3433))</f>
        <v>0</v>
      </c>
      <c r="N129" s="164">
        <f t="array" ref="N129">SUM((N$97='Accident &amp; Incident Detail'!$C$2:$C$3433)*(Data!$A$129='Accident &amp; Incident Detail'!$E$2:$E$3433)*("Non-Movement"='Accident &amp; Incident Detail'!$I$2:$I$3433))</f>
        <v>0</v>
      </c>
      <c r="O129" s="164">
        <f t="array" ref="O129">SUM((O$97='Accident &amp; Incident Detail'!$C$2:$C$3433)*(Data!$A$129='Accident &amp; Incident Detail'!$E$2:$E$3433)*("Non-Movement"='Accident &amp; Incident Detail'!$I$2:$I$3433))</f>
        <v>0</v>
      </c>
      <c r="P129" s="164">
        <f t="array" ref="P129">SUM((P$97='Accident &amp; Incident Detail'!$C$2:$C$3433)*(Data!$A$129='Accident &amp; Incident Detail'!$E$2:$E$3433)*("Non-Movement"='Accident &amp; Incident Detail'!$I$2:$I$3433))</f>
        <v>0</v>
      </c>
      <c r="Q129" s="164">
        <f t="array" ref="Q129">SUM((Q$97='Accident &amp; Incident Detail'!$C$2:$C$3433)*(Data!$A$129='Accident &amp; Incident Detail'!$E$2:$E$3433)*("Non-Movement"='Accident &amp; Incident Detail'!$I$2:$I$3433))</f>
        <v>0</v>
      </c>
      <c r="R129" s="164">
        <f t="array" ref="R129">SUM((R$97='Accident &amp; Incident Detail'!$C$2:$C$3433)*(Data!$A$129='Accident &amp; Incident Detail'!$E$2:$E$3433)*("Non-Movement"='Accident &amp; Incident Detail'!$I$2:$I$3433))</f>
        <v>0</v>
      </c>
      <c r="S129" s="164">
        <f t="array" ref="S129">SUM((S$97='Accident &amp; Incident Detail'!$C$2:$C$3433)*(Data!$A$129='Accident &amp; Incident Detail'!$E$2:$E$3433)*("Non-Movement"='Accident &amp; Incident Detail'!$I$2:$I$3433))</f>
        <v>0</v>
      </c>
      <c r="T129" s="164">
        <f t="array" ref="T129">SUM((T$97='Accident &amp; Incident Detail'!$C$2:$C$3433)*(Data!$A$129='Accident &amp; Incident Detail'!$E$2:$E$3433)*("Non-Movement"='Accident &amp; Incident Detail'!$I$2:$I$3433))</f>
        <v>0</v>
      </c>
      <c r="U129" s="164">
        <f t="array" ref="U129">SUM((U$97='Accident &amp; Incident Detail'!$C$2:$C$3433)*(Data!$A$129='Accident &amp; Incident Detail'!$E$2:$E$3433)*("Non-Movement"='Accident &amp; Incident Detail'!$I$2:$I$3433))</f>
        <v>0</v>
      </c>
      <c r="V129" s="164">
        <f t="array" ref="V129">SUM((V$97='Accident &amp; Incident Detail'!$C$2:$C$3433)*(Data!$A$129='Accident &amp; Incident Detail'!$E$2:$E$3433)*("Non-Movement"='Accident &amp; Incident Detail'!$I$2:$I$3433))</f>
        <v>0</v>
      </c>
      <c r="W129" s="164">
        <f t="array" ref="W129">SUM((W$97='Accident &amp; Incident Detail'!$C$2:$C$3433)*(Data!$A$129='Accident &amp; Incident Detail'!$E$2:$E$3433)*("Non-Movement"='Accident &amp; Incident Detail'!$I$2:$I$3433))</f>
        <v>0</v>
      </c>
      <c r="X129" s="164">
        <f t="array" ref="X129">SUM((X$97='Accident &amp; Incident Detail'!$C$2:$C$3433)*(Data!$A$129='Accident &amp; Incident Detail'!$E$2:$E$3433)*("Non-Movement"='Accident &amp; Incident Detail'!$I$2:$I$3433))</f>
        <v>0</v>
      </c>
      <c r="Y129" s="164">
        <f t="array" ref="Y129">SUM((Y$97='Accident &amp; Incident Detail'!$C$2:$C$3433)*(Data!$A$129='Accident &amp; Incident Detail'!$E$2:$E$3433)*("Non-Movement"='Accident &amp; Incident Detail'!$I$2:$I$3433))</f>
        <v>0</v>
      </c>
      <c r="Z129" s="41">
        <f t="array" ref="Z129">SUM((Z$97='Accident &amp; Incident Detail'!$C$2:$C$3433)*(Data!$A$129='Accident &amp; Incident Detail'!$E$2:$E$3433)*("Non-Movement"='Accident &amp; Incident Detail'!$I$2:$I$3433))</f>
        <v>0</v>
      </c>
      <c r="AA129" s="41">
        <f t="array" ref="AA129">SUM((AA$97='Accident &amp; Incident Detail'!$C$2:$C$3433)*(Data!$A$129='Accident &amp; Incident Detail'!$E$2:$E$3433)*("Non-Movement"='Accident &amp; Incident Detail'!$I$2:$I$3433))</f>
        <v>0</v>
      </c>
      <c r="AB129" s="41">
        <f t="array" ref="AB129">SUM((AB$97='Accident &amp; Incident Detail'!$C$2:$C$3433)*(Data!$A$129='Accident &amp; Incident Detail'!$E$2:$E$3433)*("Non-Movement"='Accident &amp; Incident Detail'!$I$2:$I$3433))</f>
        <v>0</v>
      </c>
      <c r="AC129" s="41">
        <f t="array" ref="AC129">SUM((AC$97='Accident &amp; Incident Detail'!$C$2:$C$3433)*(Data!$A$129='Accident &amp; Incident Detail'!$E$2:$E$3433)*("Non-Movement"='Accident &amp; Incident Detail'!$I$2:$I$3433))</f>
        <v>0</v>
      </c>
      <c r="AD129" s="41">
        <f t="array" ref="AD129">SUM((AD$97='Accident &amp; Incident Detail'!$C$2:$C$3433)*(Data!$A$129='Accident &amp; Incident Detail'!$E$2:$E$3433)*("Non-Movement"='Accident &amp; Incident Detail'!$I$2:$I$3433))</f>
        <v>0</v>
      </c>
      <c r="AE129" s="41">
        <f t="array" ref="AE129">SUM((AE$97='Accident &amp; Incident Detail'!$C$2:$C$3433)*(Data!$A$129='Accident &amp; Incident Detail'!$E$2:$E$3433)*("Non-Movement"='Accident &amp; Incident Detail'!$I$2:$I$3433))</f>
        <v>0</v>
      </c>
      <c r="AF129" s="41">
        <f t="array" ref="AF129">SUM((AF$97='Accident &amp; Incident Detail'!$C$2:$C$3433)*(Data!$A$129='Accident &amp; Incident Detail'!$E$2:$E$3433)*("Non-Movement"='Accident &amp; Incident Detail'!$I$2:$I$3433))</f>
        <v>0</v>
      </c>
      <c r="AG129" s="41">
        <f t="array" ref="AG129">SUM((AG$97='Accident &amp; Incident Detail'!$C$2:$C$3433)*(Data!$A$129='Accident &amp; Incident Detail'!$E$2:$E$3433)*("Non-Movement"='Accident &amp; Incident Detail'!$I$2:$I$3433))</f>
        <v>0</v>
      </c>
      <c r="AH129" s="41">
        <f t="array" ref="AH129">SUM((AH$97='Accident &amp; Incident Detail'!$C$2:$C$3433)*(Data!$A$129='Accident &amp; Incident Detail'!$E$2:$E$3433)*("Non-Movement"='Accident &amp; Incident Detail'!$I$2:$I$3433))</f>
        <v>0</v>
      </c>
      <c r="AI129" s="41">
        <f t="array" ref="AI129">SUM((AI$97='Accident &amp; Incident Detail'!$C$2:$C$3433)*(Data!$A$129='Accident &amp; Incident Detail'!$E$2:$E$3433)*("Non-Movement"='Accident &amp; Incident Detail'!$I$2:$I$3433))</f>
        <v>0</v>
      </c>
      <c r="AJ129" s="41">
        <f t="array" ref="AJ129">SUM((AJ$97='Accident &amp; Incident Detail'!$C$2:$C$3433)*(Data!$A$129='Accident &amp; Incident Detail'!$E$2:$E$3433)*("Non-Movement"='Accident &amp; Incident Detail'!$I$2:$I$3433))</f>
        <v>0</v>
      </c>
      <c r="AK129" s="41">
        <f t="array" ref="AK129">SUM((AK$97='Accident &amp; Incident Detail'!$C$2:$C$3433)*(Data!$A$129='Accident &amp; Incident Detail'!$E$2:$E$3433)*("Non-Movement"='Accident &amp; Incident Detail'!$I$2:$I$3433))</f>
        <v>0</v>
      </c>
      <c r="AL129" s="41">
        <f t="array" ref="AL129">SUM((AL$97='Accident &amp; Incident Detail'!$C$2:$C$3433)*(Data!$A$129='Accident &amp; Incident Detail'!$E$2:$E$3433)*("Non-Movement"='Accident &amp; Incident Detail'!$I$2:$I$3433))</f>
        <v>0</v>
      </c>
      <c r="AM129" s="41">
        <f t="array" ref="AM129">SUM((AM$97='Accident &amp; Incident Detail'!$C$2:$C$3433)*(Data!$A$129='Accident &amp; Incident Detail'!$E$2:$E$3433)*("Non-Movement"='Accident &amp; Incident Detail'!$I$2:$I$3433))</f>
        <v>0</v>
      </c>
      <c r="AN129" s="41">
        <f t="array" ref="AN129">SUM((AN$97='Accident &amp; Incident Detail'!$C$2:$C$3433)*(Data!$A$129='Accident &amp; Incident Detail'!$E$2:$E$3433)*("Non-Movement"='Accident &amp; Incident Detail'!$I$2:$I$3433))</f>
        <v>0</v>
      </c>
    </row>
    <row r="130" spans="1:40" ht="15" thickBot="1" x14ac:dyDescent="0.4">
      <c r="A130" s="188" t="s">
        <v>15</v>
      </c>
      <c r="B130" s="424">
        <f>IF(B$1=1,(SUM(B129:B129)/13),0)</f>
        <v>0</v>
      </c>
      <c r="C130" s="424">
        <f>IF(C$1=1,(SUM(B129:C129)/13),0)</f>
        <v>0</v>
      </c>
      <c r="D130" s="424">
        <f>IF(D$1=1,(SUM(B129:D129)/13),0)</f>
        <v>0</v>
      </c>
      <c r="E130" s="424">
        <f>IF(E$1=1,(SUM(B129:E129)/13),0)</f>
        <v>0</v>
      </c>
      <c r="F130" s="424">
        <f>IF(F$1=1,(SUM(B129:F129)/13),0)</f>
        <v>0</v>
      </c>
      <c r="G130" s="424">
        <f>IF(G$1=1,(SUM(B129:G129)/13),0)</f>
        <v>0</v>
      </c>
      <c r="H130" s="424">
        <f>IF(H$1=1,(SUM(B129:H129)/13),0)</f>
        <v>0</v>
      </c>
      <c r="I130" s="424">
        <f>IF(I$1=1,(SUM(B129:I129)/13),0)</f>
        <v>0</v>
      </c>
      <c r="J130" s="49">
        <f>IF(J$1=1,(SUM(B129:J129)/13),0)</f>
        <v>0</v>
      </c>
      <c r="K130" s="49">
        <f>IF(K$1=1,(SUM(B129:K129)/13),0)</f>
        <v>0</v>
      </c>
      <c r="L130" s="49">
        <f>IF(L$1=1,(SUM(B129:L129)/13),0)</f>
        <v>0</v>
      </c>
      <c r="M130" s="49">
        <f>IF(M$1=1,(SUM(B129:M129)/13),0)</f>
        <v>0</v>
      </c>
      <c r="N130" s="49">
        <f>IF(N$1=1,(SUM(B129:N129)/13),0)</f>
        <v>0</v>
      </c>
      <c r="O130" s="49">
        <f t="shared" ref="O130:Z130" si="139">IF(O$1=1,(SUM(C129:O129)/13),0)</f>
        <v>0</v>
      </c>
      <c r="P130" s="49">
        <f t="shared" si="139"/>
        <v>0</v>
      </c>
      <c r="Q130" s="49">
        <f t="shared" si="139"/>
        <v>0</v>
      </c>
      <c r="R130" s="49">
        <f t="shared" si="139"/>
        <v>0</v>
      </c>
      <c r="S130" s="49">
        <f t="shared" si="139"/>
        <v>0</v>
      </c>
      <c r="T130" s="49">
        <f t="shared" si="139"/>
        <v>0</v>
      </c>
      <c r="U130" s="49">
        <f t="shared" si="139"/>
        <v>0</v>
      </c>
      <c r="V130" s="49">
        <f t="shared" si="139"/>
        <v>0</v>
      </c>
      <c r="W130" s="49">
        <f t="shared" si="139"/>
        <v>0</v>
      </c>
      <c r="X130" s="49">
        <f t="shared" si="139"/>
        <v>0</v>
      </c>
      <c r="Y130" s="49">
        <f>IF(Y$1=1,(SUM(M129:Y129)/13),0)</f>
        <v>0</v>
      </c>
      <c r="Z130" s="48">
        <f t="shared" si="139"/>
        <v>0</v>
      </c>
      <c r="AA130" s="48">
        <f t="shared" ref="AA130:AN130" si="140">IF(AA$1=1,(SUM(O129:AA129)/13),0)</f>
        <v>0</v>
      </c>
      <c r="AB130" s="48">
        <f t="shared" si="140"/>
        <v>0</v>
      </c>
      <c r="AC130" s="48">
        <f t="shared" si="140"/>
        <v>0</v>
      </c>
      <c r="AD130" s="48">
        <f t="shared" si="140"/>
        <v>0</v>
      </c>
      <c r="AE130" s="48">
        <f t="shared" si="140"/>
        <v>0</v>
      </c>
      <c r="AF130" s="48">
        <f t="shared" si="140"/>
        <v>0</v>
      </c>
      <c r="AG130" s="48">
        <f t="shared" si="140"/>
        <v>0</v>
      </c>
      <c r="AH130" s="48">
        <f t="shared" si="140"/>
        <v>0</v>
      </c>
      <c r="AI130" s="48">
        <f t="shared" si="140"/>
        <v>0</v>
      </c>
      <c r="AJ130" s="48">
        <f t="shared" si="140"/>
        <v>0</v>
      </c>
      <c r="AK130" s="48">
        <f t="shared" si="140"/>
        <v>0</v>
      </c>
      <c r="AL130" s="48">
        <f t="shared" si="140"/>
        <v>0</v>
      </c>
      <c r="AM130" s="48">
        <f t="shared" si="140"/>
        <v>0</v>
      </c>
      <c r="AN130" s="48">
        <f t="shared" si="140"/>
        <v>0</v>
      </c>
    </row>
    <row r="131" spans="1:40" x14ac:dyDescent="0.35">
      <c r="A131" s="117" t="s">
        <v>14</v>
      </c>
      <c r="B131" s="427">
        <f t="shared" ref="B131:N131" si="141">SUM(B119+B121+B123+B125+B127+B129)</f>
        <v>0</v>
      </c>
      <c r="C131" s="427">
        <f t="shared" si="141"/>
        <v>0</v>
      </c>
      <c r="D131" s="427">
        <f t="shared" si="141"/>
        <v>0</v>
      </c>
      <c r="E131" s="427">
        <f t="shared" si="141"/>
        <v>0</v>
      </c>
      <c r="F131" s="427">
        <f t="shared" si="141"/>
        <v>0</v>
      </c>
      <c r="G131" s="427">
        <f t="shared" si="141"/>
        <v>0</v>
      </c>
      <c r="H131" s="427">
        <f t="shared" si="141"/>
        <v>0</v>
      </c>
      <c r="I131" s="427">
        <f t="shared" si="141"/>
        <v>0</v>
      </c>
      <c r="J131" s="74">
        <f t="shared" si="141"/>
        <v>0</v>
      </c>
      <c r="K131" s="74">
        <f t="shared" si="141"/>
        <v>0</v>
      </c>
      <c r="L131" s="74">
        <f t="shared" si="141"/>
        <v>0</v>
      </c>
      <c r="M131" s="74">
        <f t="shared" si="141"/>
        <v>1</v>
      </c>
      <c r="N131" s="74">
        <f t="shared" si="141"/>
        <v>0</v>
      </c>
      <c r="O131" s="74">
        <f t="shared" ref="O131:Z131" si="142">SUM(O119+O121+O123+O125+O127+O129)</f>
        <v>1</v>
      </c>
      <c r="P131" s="74">
        <f t="shared" si="142"/>
        <v>1</v>
      </c>
      <c r="Q131" s="74">
        <f t="shared" si="142"/>
        <v>0</v>
      </c>
      <c r="R131" s="74">
        <f t="shared" si="142"/>
        <v>2</v>
      </c>
      <c r="S131" s="74">
        <f t="shared" si="142"/>
        <v>0</v>
      </c>
      <c r="T131" s="74">
        <f t="shared" si="142"/>
        <v>0</v>
      </c>
      <c r="U131" s="74">
        <f t="shared" si="142"/>
        <v>1</v>
      </c>
      <c r="V131" s="74">
        <f t="shared" si="142"/>
        <v>0</v>
      </c>
      <c r="W131" s="74">
        <f t="shared" si="142"/>
        <v>1</v>
      </c>
      <c r="X131" s="74">
        <f t="shared" si="142"/>
        <v>1</v>
      </c>
      <c r="Y131" s="74">
        <f t="shared" si="142"/>
        <v>0</v>
      </c>
      <c r="Z131" s="37">
        <f t="shared" si="142"/>
        <v>1</v>
      </c>
      <c r="AA131" s="37">
        <f t="shared" ref="AA131:AN131" si="143">SUM(AA119+AA121+AA123+AA125+AA127+AA129)</f>
        <v>0</v>
      </c>
      <c r="AB131" s="37">
        <f t="shared" si="143"/>
        <v>0</v>
      </c>
      <c r="AC131" s="37">
        <f t="shared" si="143"/>
        <v>0</v>
      </c>
      <c r="AD131" s="37">
        <f t="shared" si="143"/>
        <v>0</v>
      </c>
      <c r="AE131" s="37">
        <f t="shared" si="143"/>
        <v>3</v>
      </c>
      <c r="AF131" s="37">
        <f t="shared" si="143"/>
        <v>0</v>
      </c>
      <c r="AG131" s="37">
        <f t="shared" si="143"/>
        <v>0</v>
      </c>
      <c r="AH131" s="37">
        <f t="shared" si="143"/>
        <v>1</v>
      </c>
      <c r="AI131" s="37">
        <f t="shared" si="143"/>
        <v>0</v>
      </c>
      <c r="AJ131" s="37">
        <f t="shared" si="143"/>
        <v>0</v>
      </c>
      <c r="AK131" s="37">
        <f t="shared" si="143"/>
        <v>0</v>
      </c>
      <c r="AL131" s="37">
        <f t="shared" si="143"/>
        <v>0</v>
      </c>
      <c r="AM131" s="37">
        <f t="shared" si="143"/>
        <v>0</v>
      </c>
      <c r="AN131" s="37">
        <f t="shared" si="143"/>
        <v>0</v>
      </c>
    </row>
    <row r="132" spans="1:40" ht="15" thickBot="1" x14ac:dyDescent="0.4">
      <c r="A132" s="190" t="s">
        <v>15</v>
      </c>
      <c r="B132" s="428">
        <f>IF(B1,(SUM(B131:B131)/13),0)</f>
        <v>0</v>
      </c>
      <c r="C132" s="428">
        <f>IF(C1,(SUM(B131:C131)/13),0)</f>
        <v>0</v>
      </c>
      <c r="D132" s="428">
        <f>IF(D1,(SUM(B131:D131)/13),0)</f>
        <v>0</v>
      </c>
      <c r="E132" s="428">
        <f>IF(E1,(SUM(B131:E131)/13),0)</f>
        <v>0</v>
      </c>
      <c r="F132" s="428">
        <f>IF(F1,(SUM(B131:F131)/13),0)</f>
        <v>0</v>
      </c>
      <c r="G132" s="428">
        <f>IF(G1,(SUM(B131:G131)/13),0)</f>
        <v>0</v>
      </c>
      <c r="H132" s="428">
        <f>IF(H1,(SUM(B131:H131)/13),0)</f>
        <v>0</v>
      </c>
      <c r="I132" s="428">
        <f>IF(I1,(SUM(B131:I131)/13),0)</f>
        <v>0</v>
      </c>
      <c r="J132" s="38">
        <f>IF(J1,(SUM(B131:J131)/13),0)</f>
        <v>0</v>
      </c>
      <c r="K132" s="38">
        <f>IF(K1,(SUM(B131:K131)/13),0)</f>
        <v>0</v>
      </c>
      <c r="L132" s="38">
        <f>IF(L1,(SUM(B131:L131)/13),0)</f>
        <v>0</v>
      </c>
      <c r="M132" s="38">
        <f>IF(M1,(SUM(B131:M131)/13),0)</f>
        <v>7.6923076923076927E-2</v>
      </c>
      <c r="N132" s="38">
        <f t="shared" ref="N132:S132" si="144">IF(N1,(SUM(B131:N131)/13),0)</f>
        <v>7.6923076923076927E-2</v>
      </c>
      <c r="O132" s="38">
        <f t="shared" si="144"/>
        <v>0.15384615384615385</v>
      </c>
      <c r="P132" s="38">
        <f t="shared" si="144"/>
        <v>0.23076923076923078</v>
      </c>
      <c r="Q132" s="38">
        <f t="shared" si="144"/>
        <v>0.23076923076923078</v>
      </c>
      <c r="R132" s="38">
        <f t="shared" si="144"/>
        <v>0.38461538461538464</v>
      </c>
      <c r="S132" s="38">
        <f t="shared" si="144"/>
        <v>0.38461538461538464</v>
      </c>
      <c r="T132" s="38">
        <f t="shared" ref="T132:AN132" si="145">IF(T1,(SUM(H131:T131)/13),0)</f>
        <v>0.38461538461538464</v>
      </c>
      <c r="U132" s="38">
        <f t="shared" si="145"/>
        <v>0.46153846153846156</v>
      </c>
      <c r="V132" s="38">
        <f t="shared" si="145"/>
        <v>0.46153846153846156</v>
      </c>
      <c r="W132" s="38">
        <f t="shared" si="145"/>
        <v>0.53846153846153844</v>
      </c>
      <c r="X132" s="38">
        <f t="shared" si="145"/>
        <v>0.61538461538461542</v>
      </c>
      <c r="Y132" s="38">
        <f t="shared" si="145"/>
        <v>0.61538461538461542</v>
      </c>
      <c r="Z132" s="36">
        <f t="shared" si="145"/>
        <v>0.61538461538461542</v>
      </c>
      <c r="AA132" s="36">
        <f t="shared" si="145"/>
        <v>0.61538461538461542</v>
      </c>
      <c r="AB132" s="36">
        <f t="shared" si="145"/>
        <v>0.53846153846153844</v>
      </c>
      <c r="AC132" s="36">
        <f t="shared" si="145"/>
        <v>0.46153846153846156</v>
      </c>
      <c r="AD132" s="36">
        <f t="shared" si="145"/>
        <v>0.46153846153846156</v>
      </c>
      <c r="AE132" s="36">
        <f t="shared" si="145"/>
        <v>0.53846153846153844</v>
      </c>
      <c r="AF132" s="36">
        <f t="shared" si="145"/>
        <v>0.53846153846153844</v>
      </c>
      <c r="AG132" s="36">
        <f t="shared" si="145"/>
        <v>0.53846153846153844</v>
      </c>
      <c r="AH132" s="36">
        <f t="shared" si="145"/>
        <v>0.53846153846153844</v>
      </c>
      <c r="AI132" s="36">
        <f t="shared" si="145"/>
        <v>0.53846153846153844</v>
      </c>
      <c r="AJ132" s="36">
        <f t="shared" si="145"/>
        <v>0.46153846153846156</v>
      </c>
      <c r="AK132" s="36">
        <f t="shared" si="145"/>
        <v>0.38461538461538464</v>
      </c>
      <c r="AL132" s="36">
        <f t="shared" si="145"/>
        <v>0</v>
      </c>
      <c r="AM132" s="36">
        <f t="shared" si="145"/>
        <v>0</v>
      </c>
      <c r="AN132" s="36">
        <f t="shared" si="145"/>
        <v>0</v>
      </c>
    </row>
    <row r="133" spans="1:40" ht="15" thickBot="1" x14ac:dyDescent="0.4"/>
    <row r="134" spans="1:40" ht="29" thickBot="1" x14ac:dyDescent="0.7">
      <c r="A134" s="385" t="s">
        <v>39</v>
      </c>
    </row>
    <row r="135" spans="1:40" ht="15" thickBot="1" x14ac:dyDescent="0.4">
      <c r="A135" s="19"/>
      <c r="B135" s="396">
        <v>2301</v>
      </c>
      <c r="C135" s="396">
        <v>2302</v>
      </c>
      <c r="D135" s="396">
        <v>2303</v>
      </c>
      <c r="E135" s="396">
        <v>2304</v>
      </c>
      <c r="F135" s="396">
        <v>2305</v>
      </c>
      <c r="G135" s="396">
        <v>2306</v>
      </c>
      <c r="H135" s="396">
        <v>2307</v>
      </c>
      <c r="I135" s="396">
        <v>2308</v>
      </c>
      <c r="J135" s="206">
        <v>2309</v>
      </c>
      <c r="K135" s="206">
        <v>2310</v>
      </c>
      <c r="L135" s="206">
        <v>2311</v>
      </c>
      <c r="M135" s="206">
        <v>2312</v>
      </c>
      <c r="N135" s="210">
        <v>2313</v>
      </c>
      <c r="O135" s="211">
        <v>2401</v>
      </c>
      <c r="P135" s="206">
        <v>2402</v>
      </c>
      <c r="Q135" s="206">
        <v>2403</v>
      </c>
      <c r="R135" s="206">
        <v>2404</v>
      </c>
      <c r="S135" s="206">
        <v>2405</v>
      </c>
      <c r="T135" s="206">
        <v>2406</v>
      </c>
      <c r="U135" s="206">
        <v>2407</v>
      </c>
      <c r="V135" s="206">
        <v>2408</v>
      </c>
      <c r="W135" s="206">
        <v>2409</v>
      </c>
      <c r="X135" s="206">
        <v>2410</v>
      </c>
      <c r="Y135" s="206">
        <v>2411</v>
      </c>
      <c r="Z135" s="212">
        <v>2412</v>
      </c>
      <c r="AA135" s="208">
        <v>2413</v>
      </c>
      <c r="AB135" s="284">
        <v>2501</v>
      </c>
      <c r="AC135" s="284">
        <v>2502</v>
      </c>
      <c r="AD135" s="284">
        <v>2503</v>
      </c>
      <c r="AE135" s="284">
        <v>2504</v>
      </c>
      <c r="AF135" s="284">
        <v>2505</v>
      </c>
      <c r="AG135" s="284">
        <v>2506</v>
      </c>
      <c r="AH135" s="284">
        <v>2507</v>
      </c>
      <c r="AI135" s="284">
        <v>2508</v>
      </c>
      <c r="AJ135" s="284">
        <v>2509</v>
      </c>
      <c r="AK135" s="284">
        <v>2510</v>
      </c>
      <c r="AL135" s="284">
        <v>2511</v>
      </c>
      <c r="AM135" s="284">
        <v>2512</v>
      </c>
      <c r="AN135" s="284">
        <v>2513</v>
      </c>
    </row>
    <row r="136" spans="1:40" x14ac:dyDescent="0.35">
      <c r="A136" s="129" t="s">
        <v>40</v>
      </c>
      <c r="B136" s="429">
        <f t="array" ref="B136">SUM((B135='Accident &amp; Incident Detail'!$C$2:$C$3433)*(Data!$A$136='Accident &amp; Incident Detail'!$E$2:$E$3433)*("Staff"='Accident &amp; Incident Detail'!$K$2:$K$3433))</f>
        <v>0</v>
      </c>
      <c r="C136" s="429">
        <f t="array" ref="C136">SUM((C135='Accident &amp; Incident Detail'!$C$2:$C$3433)*(Data!$A$136='Accident &amp; Incident Detail'!$E$2:$E$3433)*("Staff"='Accident &amp; Incident Detail'!$K$2:$K$3433))</f>
        <v>0</v>
      </c>
      <c r="D136" s="429">
        <f t="array" ref="D136">SUM((D135='Accident &amp; Incident Detail'!$C$2:$C$3433)*(Data!$A$136='Accident &amp; Incident Detail'!$E$2:$E$3433)*("Staff"='Accident &amp; Incident Detail'!$K$2:$K$3433))</f>
        <v>0</v>
      </c>
      <c r="E136" s="429">
        <f t="array" ref="E136">SUM((E135='Accident &amp; Incident Detail'!$C$2:$C$3433)*(Data!$A$136='Accident &amp; Incident Detail'!$E$2:$E$3433)*("Staff"='Accident &amp; Incident Detail'!$K$2:$K$3433))</f>
        <v>0</v>
      </c>
      <c r="F136" s="429">
        <f t="array" ref="F136">SUM((F135='Accident &amp; Incident Detail'!$C$2:$C$3433)*(Data!$A$136='Accident &amp; Incident Detail'!$E$2:$E$3433)*("Staff"='Accident &amp; Incident Detail'!$K$2:$K$3433))</f>
        <v>0</v>
      </c>
      <c r="G136" s="429">
        <f t="array" ref="G136">SUM((G135='Accident &amp; Incident Detail'!$C$2:$C$3433)*(Data!$A$136='Accident &amp; Incident Detail'!$E$2:$E$3433)*("Staff"='Accident &amp; Incident Detail'!$K$2:$K$3433))</f>
        <v>0</v>
      </c>
      <c r="H136" s="429">
        <f t="array" ref="H136">SUM((H135='Accident &amp; Incident Detail'!$C$2:$C$3433)*(Data!$A$136='Accident &amp; Incident Detail'!$E$2:$E$3433)*("Staff"='Accident &amp; Incident Detail'!$K$2:$K$3433))</f>
        <v>0</v>
      </c>
      <c r="I136" s="429">
        <f t="array" ref="I136">SUM((I135='Accident &amp; Incident Detail'!$C$2:$C$3433)*(Data!$A$136='Accident &amp; Incident Detail'!$E$2:$E$3433)*("Staff"='Accident &amp; Incident Detail'!$K$2:$K$3433))</f>
        <v>0</v>
      </c>
      <c r="J136" s="180">
        <f t="array" ref="J136">SUM((J135='Accident &amp; Incident Detail'!$C$2:$C$3433)*(Data!$A$136='Accident &amp; Incident Detail'!$E$2:$E$3433)*("Staff"='Accident &amp; Incident Detail'!$K$2:$K$3433))</f>
        <v>0</v>
      </c>
      <c r="K136" s="180">
        <f t="array" ref="K136">SUM((K135='Accident &amp; Incident Detail'!$C$2:$C$3433)*(Data!$A$136='Accident &amp; Incident Detail'!$E$2:$E$3433)*("Staff"='Accident &amp; Incident Detail'!$K$2:$K$3433))</f>
        <v>1</v>
      </c>
      <c r="L136" s="180">
        <f t="array" ref="L136">SUM((L135='Accident &amp; Incident Detail'!$C$2:$C$3433)*(Data!$A$136='Accident &amp; Incident Detail'!$E$2:$E$3433)*("Staff"='Accident &amp; Incident Detail'!$K$2:$K$3433))</f>
        <v>2</v>
      </c>
      <c r="M136" s="180">
        <f t="array" ref="M136">SUM((M135='Accident &amp; Incident Detail'!$C$2:$C$3433)*(Data!$A$136='Accident &amp; Incident Detail'!$E$2:$E$3433)*("Staff"='Accident &amp; Incident Detail'!$K$2:$K$3433))</f>
        <v>1</v>
      </c>
      <c r="N136" s="180">
        <f t="array" ref="N136">SUM((N135='Accident &amp; Incident Detail'!$C$2:$C$3433)*(Data!$A$136='Accident &amp; Incident Detail'!$E$2:$E$3433)*("Staff"='Accident &amp; Incident Detail'!$K$2:$K$3433))</f>
        <v>0</v>
      </c>
      <c r="O136" s="180">
        <f t="array" ref="O136">SUM((O135='Accident &amp; Incident Detail'!$C$2:$C$3433)*(Data!$A$136='Accident &amp; Incident Detail'!$E$2:$E$3433)*("Staff"='Accident &amp; Incident Detail'!$K$2:$K$3433))</f>
        <v>2</v>
      </c>
      <c r="P136" s="180">
        <f t="array" ref="P136">SUM((P135='Accident &amp; Incident Detail'!$C$2:$C$3433)*(Data!$A$136='Accident &amp; Incident Detail'!$E$2:$E$3433)*("Staff"='Accident &amp; Incident Detail'!$K$2:$K$3433))</f>
        <v>0</v>
      </c>
      <c r="Q136" s="180">
        <f t="array" ref="Q136">SUM((Q135='Accident &amp; Incident Detail'!$C$2:$C$3433)*(Data!$A$136='Accident &amp; Incident Detail'!$E$2:$E$3433)*("Staff"='Accident &amp; Incident Detail'!$K$2:$K$3433))</f>
        <v>3</v>
      </c>
      <c r="R136" s="180">
        <f t="array" ref="R136">SUM((R135='Accident &amp; Incident Detail'!$C$2:$C$3433)*(Data!$A$136='Accident &amp; Incident Detail'!$E$2:$E$3433)*("Staff"='Accident &amp; Incident Detail'!$K$2:$K$3433))</f>
        <v>1</v>
      </c>
      <c r="S136" s="180">
        <f t="array" ref="S136">SUM((S135='Accident &amp; Incident Detail'!$C$2:$C$3433)*(Data!$A$136='Accident &amp; Incident Detail'!$E$2:$E$3433)*("Staff"='Accident &amp; Incident Detail'!$K$2:$K$3433))</f>
        <v>0</v>
      </c>
      <c r="T136" s="180">
        <f t="array" ref="T136">SUM((T135='Accident &amp; Incident Detail'!$C$2:$C$3433)*(Data!$A$136='Accident &amp; Incident Detail'!$E$2:$E$3433)*("Staff"='Accident &amp; Incident Detail'!$K$2:$K$3433))</f>
        <v>1</v>
      </c>
      <c r="U136" s="180">
        <f t="array" ref="U136">SUM((U135='Accident &amp; Incident Detail'!$C$2:$C$3433)*(Data!$A$136='Accident &amp; Incident Detail'!$E$2:$E$3433)*("Staff"='Accident &amp; Incident Detail'!$K$2:$K$3433))</f>
        <v>3</v>
      </c>
      <c r="V136" s="180">
        <f t="array" ref="V136">SUM((V135='Accident &amp; Incident Detail'!$C$2:$C$3433)*(Data!$A$136='Accident &amp; Incident Detail'!$E$2:$E$3433)*("Staff"='Accident &amp; Incident Detail'!$K$2:$K$3433))</f>
        <v>2</v>
      </c>
      <c r="W136" s="180">
        <f t="array" ref="W136">SUM((W135='Accident &amp; Incident Detail'!$C$2:$C$3433)*(Data!$A$136='Accident &amp; Incident Detail'!$E$2:$E$3433)*("Staff"='Accident &amp; Incident Detail'!$K$2:$K$3433))</f>
        <v>0</v>
      </c>
      <c r="X136" s="180">
        <f t="array" ref="X136">SUM((X135='Accident &amp; Incident Detail'!$C$2:$C$3433)*(Data!$A$136='Accident &amp; Incident Detail'!$E$2:$E$3433)*("Staff"='Accident &amp; Incident Detail'!$K$2:$K$3433))</f>
        <v>1</v>
      </c>
      <c r="Y136" s="180">
        <f t="array" ref="Y136">SUM((Y135='Accident &amp; Incident Detail'!$C$2:$C$3433)*(Data!$A$136='Accident &amp; Incident Detail'!$E$2:$E$3433)*("Staff"='Accident &amp; Incident Detail'!$K$2:$K$3433))</f>
        <v>1</v>
      </c>
      <c r="Z136" s="180">
        <f t="array" ref="Z136">SUM((Z135='Accident &amp; Incident Detail'!$C$2:$C$3433)*(Data!$A$136='Accident &amp; Incident Detail'!$E$2:$E$3433)*("Staff"='Accident &amp; Incident Detail'!$K$2:$K$3433))</f>
        <v>0</v>
      </c>
      <c r="AA136" s="180">
        <f t="array" ref="AA136">SUM((AA135='Accident &amp; Incident Detail'!$C$2:$C$3433)*(Data!$A$136='Accident &amp; Incident Detail'!$E$2:$E$3433)*("Staff"='Accident &amp; Incident Detail'!$K$2:$K$3433))</f>
        <v>1</v>
      </c>
      <c r="AB136" s="180">
        <f t="array" ref="AB136">SUM((AB135='Accident &amp; Incident Detail'!$C$2:$C$3433)*(Data!$A$136='Accident &amp; Incident Detail'!$E$2:$E$3433)*("Staff"='Accident &amp; Incident Detail'!$K$2:$K$3433))</f>
        <v>2</v>
      </c>
      <c r="AC136" s="180">
        <f t="array" ref="AC136">SUM((AC135='Accident &amp; Incident Detail'!$C$2:$C$3433)*(Data!$A$136='Accident &amp; Incident Detail'!$E$2:$E$3433)*("Staff"='Accident &amp; Incident Detail'!$K$2:$K$3433))</f>
        <v>2</v>
      </c>
      <c r="AD136" s="180">
        <f t="array" ref="AD136">SUM((AD135='Accident &amp; Incident Detail'!$C$2:$C$3433)*(Data!$A$136='Accident &amp; Incident Detail'!$E$2:$E$3433)*("Staff"='Accident &amp; Incident Detail'!$K$2:$K$3433))</f>
        <v>3</v>
      </c>
      <c r="AE136" s="180">
        <f t="array" ref="AE136">SUM((AE135='Accident &amp; Incident Detail'!$C$2:$C$3433)*(Data!$A$136='Accident &amp; Incident Detail'!$E$2:$E$3433)*("Staff"='Accident &amp; Incident Detail'!$K$2:$K$3433))</f>
        <v>0</v>
      </c>
      <c r="AF136" s="180">
        <f t="array" ref="AF136">SUM((AF135='Accident &amp; Incident Detail'!$C$2:$C$3433)*(Data!$A$136='Accident &amp; Incident Detail'!$E$2:$E$3433)*("Staff"='Accident &amp; Incident Detail'!$K$2:$K$3433))</f>
        <v>1</v>
      </c>
      <c r="AG136" s="180">
        <f t="array" ref="AG136">SUM((AG135='Accident &amp; Incident Detail'!$C$2:$C$3433)*(Data!$A$136='Accident &amp; Incident Detail'!$E$2:$E$3433)*("Staff"='Accident &amp; Incident Detail'!$K$2:$K$3433))</f>
        <v>1</v>
      </c>
      <c r="AH136" s="180">
        <f t="array" ref="AH136">SUM((AH135='Accident &amp; Incident Detail'!$C$2:$C$3433)*(Data!$A$136='Accident &amp; Incident Detail'!$E$2:$E$3433)*("Staff"='Accident &amp; Incident Detail'!$K$2:$K$3433))</f>
        <v>1</v>
      </c>
      <c r="AI136" s="180">
        <f t="array" ref="AI136">SUM((AI135='Accident &amp; Incident Detail'!$C$2:$C$3433)*(Data!$A$136='Accident &amp; Incident Detail'!$E$2:$E$3433)*("Staff"='Accident &amp; Incident Detail'!$K$2:$K$3433))</f>
        <v>1</v>
      </c>
      <c r="AJ136" s="180">
        <f t="array" ref="AJ136">SUM((AJ135='Accident &amp; Incident Detail'!$C$2:$C$3433)*(Data!$A$136='Accident &amp; Incident Detail'!$E$2:$E$3433)*("Staff"='Accident &amp; Incident Detail'!$K$2:$K$3433))</f>
        <v>0</v>
      </c>
      <c r="AK136" s="180">
        <f t="array" ref="AK136">SUM((AK135='Accident &amp; Incident Detail'!$C$2:$C$3433)*(Data!$A$136='Accident &amp; Incident Detail'!$E$2:$E$3433)*("Staff"='Accident &amp; Incident Detail'!$K$2:$K$3433))</f>
        <v>1</v>
      </c>
      <c r="AL136" s="180">
        <f t="array" ref="AL136">SUM((AL135='Accident &amp; Incident Detail'!$C$2:$C$3433)*(Data!$A$136='Accident &amp; Incident Detail'!$E$2:$E$3433)*("Staff"='Accident &amp; Incident Detail'!$K$2:$K$3433))</f>
        <v>1</v>
      </c>
      <c r="AM136" s="180">
        <f t="array" ref="AM136">SUM((AM135='Accident &amp; Incident Detail'!$C$2:$C$3433)*(Data!$A$136='Accident &amp; Incident Detail'!$E$2:$E$3433)*("Staff"='Accident &amp; Incident Detail'!$K$2:$K$3433))</f>
        <v>0</v>
      </c>
      <c r="AN136" s="180">
        <f t="array" ref="AN136">SUM((AN135='Accident &amp; Incident Detail'!$C$2:$C$3433)*(Data!$A$136='Accident &amp; Incident Detail'!$E$2:$E$3433)*("Staff"='Accident &amp; Incident Detail'!$K$2:$K$3433))</f>
        <v>0</v>
      </c>
    </row>
    <row r="137" spans="1:40" ht="15" thickBot="1" x14ac:dyDescent="0.4">
      <c r="A137" s="193" t="s">
        <v>15</v>
      </c>
      <c r="B137" s="422">
        <f>IF(B$1=1,(SUM(B136:B136)/13),0)</f>
        <v>0</v>
      </c>
      <c r="C137" s="422">
        <f>IF(C$1=1,(SUM(B136:C136)/13),0)</f>
        <v>0</v>
      </c>
      <c r="D137" s="422">
        <f>IF(D$1=1,(SUM(B136:D136)/13),0)</f>
        <v>0</v>
      </c>
      <c r="E137" s="422">
        <f>IF(E$1=1,(SUM(B136:E136)/13),0)</f>
        <v>0</v>
      </c>
      <c r="F137" s="422">
        <f>IF(F$1=1,(SUM(B136:F136)/13),0)</f>
        <v>0</v>
      </c>
      <c r="G137" s="422">
        <f>IF(G$1=1,(SUM(B136:G136)/13),0)</f>
        <v>0</v>
      </c>
      <c r="H137" s="422">
        <f>IF(H$1=1,(SUM(B136:H136)/13),0)</f>
        <v>0</v>
      </c>
      <c r="I137" s="422">
        <f>IF(I$1=1,(SUM(B136:I136)/13),0)</f>
        <v>0</v>
      </c>
      <c r="J137" s="46">
        <f>IF(J$1=1,(SUM(B136:J136)/13),0)</f>
        <v>0</v>
      </c>
      <c r="K137" s="46">
        <f>IF(K$1=1,(SUM(B136:K136)/13),0)</f>
        <v>7.6923076923076927E-2</v>
      </c>
      <c r="L137" s="46">
        <f>IF(L$1=1,(SUM(B136:L136)/13),0)</f>
        <v>0.23076923076923078</v>
      </c>
      <c r="M137" s="46">
        <f>IF(M$1=1,(SUM(B136:M136)/13),0)</f>
        <v>0.30769230769230771</v>
      </c>
      <c r="N137" s="46">
        <f>IF(N$1=1,(SUM(B136:N136)/13),0)</f>
        <v>0.30769230769230771</v>
      </c>
      <c r="O137" s="46">
        <f t="shared" ref="O137:Z137" si="146">IF(O$1=1,(SUM(C136:O136)/13),0)</f>
        <v>0.46153846153846156</v>
      </c>
      <c r="P137" s="46">
        <f t="shared" si="146"/>
        <v>0.46153846153846156</v>
      </c>
      <c r="Q137" s="46">
        <f t="shared" si="146"/>
        <v>0.69230769230769229</v>
      </c>
      <c r="R137" s="46">
        <f t="shared" si="146"/>
        <v>0.76923076923076927</v>
      </c>
      <c r="S137" s="46">
        <f t="shared" si="146"/>
        <v>0.76923076923076927</v>
      </c>
      <c r="T137" s="46">
        <f t="shared" si="146"/>
        <v>0.84615384615384615</v>
      </c>
      <c r="U137" s="46">
        <f t="shared" si="146"/>
        <v>1.0769230769230769</v>
      </c>
      <c r="V137" s="46">
        <f t="shared" si="146"/>
        <v>1.2307692307692308</v>
      </c>
      <c r="W137" s="46">
        <f t="shared" si="146"/>
        <v>1.2307692307692308</v>
      </c>
      <c r="X137" s="46">
        <f t="shared" si="146"/>
        <v>1.2307692307692308</v>
      </c>
      <c r="Y137" s="46">
        <f t="shared" si="146"/>
        <v>1.1538461538461537</v>
      </c>
      <c r="Z137" s="46">
        <f t="shared" si="146"/>
        <v>1.0769230769230769</v>
      </c>
      <c r="AA137" s="46">
        <f t="shared" ref="AA137:AN137" si="147">IF(AA$1=1,(SUM(O136:AA136)/13),0)</f>
        <v>1.1538461538461537</v>
      </c>
      <c r="AB137" s="46">
        <f t="shared" si="147"/>
        <v>1.1538461538461537</v>
      </c>
      <c r="AC137" s="46">
        <f t="shared" si="147"/>
        <v>1.3076923076923077</v>
      </c>
      <c r="AD137" s="46">
        <f t="shared" si="147"/>
        <v>1.3076923076923077</v>
      </c>
      <c r="AE137" s="46">
        <f t="shared" si="147"/>
        <v>1.2307692307692308</v>
      </c>
      <c r="AF137" s="46">
        <f t="shared" si="147"/>
        <v>1.3076923076923077</v>
      </c>
      <c r="AG137" s="46">
        <f t="shared" si="147"/>
        <v>1.3076923076923077</v>
      </c>
      <c r="AH137" s="46">
        <f t="shared" si="147"/>
        <v>1.1538461538461537</v>
      </c>
      <c r="AI137" s="46">
        <f t="shared" si="147"/>
        <v>1.0769230769230769</v>
      </c>
      <c r="AJ137" s="46">
        <f t="shared" si="147"/>
        <v>1.0769230769230769</v>
      </c>
      <c r="AK137" s="46">
        <f t="shared" si="147"/>
        <v>1.0769230769230769</v>
      </c>
      <c r="AL137" s="46">
        <f t="shared" si="147"/>
        <v>0</v>
      </c>
      <c r="AM137" s="46">
        <f t="shared" si="147"/>
        <v>0</v>
      </c>
      <c r="AN137" s="46">
        <f t="shared" si="147"/>
        <v>0</v>
      </c>
    </row>
    <row r="138" spans="1:40" x14ac:dyDescent="0.35">
      <c r="A138" s="130" t="s">
        <v>41</v>
      </c>
      <c r="B138" s="429">
        <f t="array" ref="B138">SUM((B135='Accident &amp; Incident Detail'!$C$2:$C$3433)*(Data!$A$138='Accident &amp; Incident Detail'!$E$2:$E$3433)*("Staff"='Accident &amp; Incident Detail'!$K$2:$K$3433))</f>
        <v>0</v>
      </c>
      <c r="C138" s="429">
        <f t="array" ref="C138">SUM((C135='Accident &amp; Incident Detail'!$C$2:$C$3433)*(Data!$A$138='Accident &amp; Incident Detail'!$E$2:$E$3433)*("Staff"='Accident &amp; Incident Detail'!$K$2:$K$3433))</f>
        <v>0</v>
      </c>
      <c r="D138" s="429">
        <f t="array" ref="D138">SUM((D135='Accident &amp; Incident Detail'!$C$2:$C$3433)*(Data!$A$138='Accident &amp; Incident Detail'!$E$2:$E$3433)*("Staff"='Accident &amp; Incident Detail'!$K$2:$K$3433))</f>
        <v>0</v>
      </c>
      <c r="E138" s="429">
        <f t="array" ref="E138">SUM((E135='Accident &amp; Incident Detail'!$C$2:$C$3433)*(Data!$A$138='Accident &amp; Incident Detail'!$E$2:$E$3433)*("Staff"='Accident &amp; Incident Detail'!$K$2:$K$3433))</f>
        <v>0</v>
      </c>
      <c r="F138" s="429">
        <f t="array" ref="F138">SUM((F135='Accident &amp; Incident Detail'!$C$2:$C$3433)*(Data!$A$138='Accident &amp; Incident Detail'!$E$2:$E$3433)*("Staff"='Accident &amp; Incident Detail'!$K$2:$K$3433))</f>
        <v>0</v>
      </c>
      <c r="G138" s="429">
        <f t="array" ref="G138">SUM((G135='Accident &amp; Incident Detail'!$C$2:$C$3433)*(Data!$A$138='Accident &amp; Incident Detail'!$E$2:$E$3433)*("Staff"='Accident &amp; Incident Detail'!$K$2:$K$3433))</f>
        <v>0</v>
      </c>
      <c r="H138" s="429">
        <f t="array" ref="H138">SUM((H135='Accident &amp; Incident Detail'!$C$2:$C$3433)*(Data!$A$138='Accident &amp; Incident Detail'!$E$2:$E$3433)*("Staff"='Accident &amp; Incident Detail'!$K$2:$K$3433))</f>
        <v>0</v>
      </c>
      <c r="I138" s="429">
        <f t="array" ref="I138">SUM((I135='Accident &amp; Incident Detail'!$C$2:$C$3433)*(Data!$A$138='Accident &amp; Incident Detail'!$E$2:$E$3433)*("Staff"='Accident &amp; Incident Detail'!$K$2:$K$3433))</f>
        <v>0</v>
      </c>
      <c r="J138" s="180">
        <f t="array" ref="J138">SUM((J135='Accident &amp; Incident Detail'!$C$2:$C$3433)*(Data!$A$138='Accident &amp; Incident Detail'!$E$2:$E$3433)*("Staff"='Accident &amp; Incident Detail'!$K$2:$K$3433))</f>
        <v>1</v>
      </c>
      <c r="K138" s="180">
        <f t="array" ref="K138">SUM((K135='Accident &amp; Incident Detail'!$C$2:$C$3433)*(Data!$A$138='Accident &amp; Incident Detail'!$E$2:$E$3433)*("Staff"='Accident &amp; Incident Detail'!$K$2:$K$3433))</f>
        <v>1</v>
      </c>
      <c r="L138" s="180">
        <f t="array" ref="L138">SUM((L135='Accident &amp; Incident Detail'!$C$2:$C$3433)*(Data!$A$138='Accident &amp; Incident Detail'!$E$2:$E$3433)*("Staff"='Accident &amp; Incident Detail'!$K$2:$K$3433))</f>
        <v>1</v>
      </c>
      <c r="M138" s="180">
        <f t="array" ref="M138">SUM((M135='Accident &amp; Incident Detail'!$C$2:$C$3433)*(Data!$A$138='Accident &amp; Incident Detail'!$E$2:$E$3433)*("Staff"='Accident &amp; Incident Detail'!$K$2:$K$3433))</f>
        <v>2</v>
      </c>
      <c r="N138" s="180">
        <f t="array" ref="N138">SUM((N135='Accident &amp; Incident Detail'!$C$2:$C$3433)*(Data!$A$138='Accident &amp; Incident Detail'!$E$2:$E$3433)*("Staff"='Accident &amp; Incident Detail'!$K$2:$K$3433))</f>
        <v>0</v>
      </c>
      <c r="O138" s="180">
        <f t="array" ref="O138">SUM((O135='Accident &amp; Incident Detail'!$C$2:$C$3433)*(Data!$A$138='Accident &amp; Incident Detail'!$E$2:$E$3433)*("Staff"='Accident &amp; Incident Detail'!$K$2:$K$3433))</f>
        <v>1</v>
      </c>
      <c r="P138" s="180">
        <f t="array" ref="P138">SUM((P135='Accident &amp; Incident Detail'!$C$2:$C$3433)*(Data!$A$138='Accident &amp; Incident Detail'!$E$2:$E$3433)*("Staff"='Accident &amp; Incident Detail'!$K$2:$K$3433))</f>
        <v>2</v>
      </c>
      <c r="Q138" s="180">
        <f t="array" ref="Q138">SUM((Q135='Accident &amp; Incident Detail'!$C$2:$C$3433)*(Data!$A$138='Accident &amp; Incident Detail'!$E$2:$E$3433)*("Staff"='Accident &amp; Incident Detail'!$K$2:$K$3433))</f>
        <v>0</v>
      </c>
      <c r="R138" s="180">
        <f t="array" ref="R138">SUM((R135='Accident &amp; Incident Detail'!$C$2:$C$3433)*(Data!$A$138='Accident &amp; Incident Detail'!$E$2:$E$3433)*("Staff"='Accident &amp; Incident Detail'!$K$2:$K$3433))</f>
        <v>0</v>
      </c>
      <c r="S138" s="180">
        <f t="array" ref="S138">SUM((S135='Accident &amp; Incident Detail'!$C$2:$C$3433)*(Data!$A$138='Accident &amp; Incident Detail'!$E$2:$E$3433)*("Staff"='Accident &amp; Incident Detail'!$K$2:$K$3433))</f>
        <v>1</v>
      </c>
      <c r="T138" s="180">
        <f t="array" ref="T138">SUM((T135='Accident &amp; Incident Detail'!$C$2:$C$3433)*(Data!$A$138='Accident &amp; Incident Detail'!$E$2:$E$3433)*("Staff"='Accident &amp; Incident Detail'!$K$2:$K$3433))</f>
        <v>0</v>
      </c>
      <c r="U138" s="180">
        <f t="array" ref="U138">SUM((U135='Accident &amp; Incident Detail'!$C$2:$C$3433)*(Data!$A$138='Accident &amp; Incident Detail'!$E$2:$E$3433)*("Staff"='Accident &amp; Incident Detail'!$K$2:$K$3433))</f>
        <v>1</v>
      </c>
      <c r="V138" s="180">
        <f t="array" ref="V138">SUM((V135='Accident &amp; Incident Detail'!$C$2:$C$3433)*(Data!$A$138='Accident &amp; Incident Detail'!$E$2:$E$3433)*("Staff"='Accident &amp; Incident Detail'!$K$2:$K$3433))</f>
        <v>3</v>
      </c>
      <c r="W138" s="180">
        <f t="array" ref="W138">SUM((W135='Accident &amp; Incident Detail'!$C$2:$C$3433)*(Data!$A$138='Accident &amp; Incident Detail'!$E$2:$E$3433)*("Staff"='Accident &amp; Incident Detail'!$K$2:$K$3433))</f>
        <v>0</v>
      </c>
      <c r="X138" s="180">
        <f t="array" ref="X138">SUM((X135='Accident &amp; Incident Detail'!$C$2:$C$3433)*(Data!$A$138='Accident &amp; Incident Detail'!$E$2:$E$3433)*("Staff"='Accident &amp; Incident Detail'!$K$2:$K$3433))</f>
        <v>1</v>
      </c>
      <c r="Y138" s="180">
        <f t="array" ref="Y138">SUM((Y135='Accident &amp; Incident Detail'!$C$2:$C$3433)*(Data!$A$138='Accident &amp; Incident Detail'!$E$2:$E$3433)*("Staff"='Accident &amp; Incident Detail'!$K$2:$K$3433))</f>
        <v>0</v>
      </c>
      <c r="Z138" s="180">
        <f t="array" ref="Z138">SUM((Z135='Accident &amp; Incident Detail'!$C$2:$C$3433)*(Data!$A$138='Accident &amp; Incident Detail'!$E$2:$E$3433)*("Staff"='Accident &amp; Incident Detail'!$K$2:$K$3433))</f>
        <v>0</v>
      </c>
      <c r="AA138" s="180">
        <f t="array" ref="AA138">SUM((AA135='Accident &amp; Incident Detail'!$C$2:$C$3433)*(Data!$A$138='Accident &amp; Incident Detail'!$E$2:$E$3433)*("Staff"='Accident &amp; Incident Detail'!$K$2:$K$3433))</f>
        <v>0</v>
      </c>
      <c r="AB138" s="180">
        <f t="array" ref="AB138">SUM((AB135='Accident &amp; Incident Detail'!$C$2:$C$3433)*(Data!$A$138='Accident &amp; Incident Detail'!$E$2:$E$3433)*("Staff"='Accident &amp; Incident Detail'!$K$2:$K$3433))</f>
        <v>0</v>
      </c>
      <c r="AC138" s="180">
        <f t="array" ref="AC138">SUM((AC135='Accident &amp; Incident Detail'!$C$2:$C$3433)*(Data!$A$138='Accident &amp; Incident Detail'!$E$2:$E$3433)*("Staff"='Accident &amp; Incident Detail'!$K$2:$K$3433))</f>
        <v>0</v>
      </c>
      <c r="AD138" s="180">
        <f t="array" ref="AD138">SUM((AD135='Accident &amp; Incident Detail'!$C$2:$C$3433)*(Data!$A$138='Accident &amp; Incident Detail'!$E$2:$E$3433)*("Staff"='Accident &amp; Incident Detail'!$K$2:$K$3433))</f>
        <v>1</v>
      </c>
      <c r="AE138" s="180">
        <f t="array" ref="AE138">SUM((AE135='Accident &amp; Incident Detail'!$C$2:$C$3433)*(Data!$A$138='Accident &amp; Incident Detail'!$E$2:$E$3433)*("Staff"='Accident &amp; Incident Detail'!$K$2:$K$3433))</f>
        <v>0</v>
      </c>
      <c r="AF138" s="180">
        <f t="array" ref="AF138">SUM((AF135='Accident &amp; Incident Detail'!$C$2:$C$3433)*(Data!$A$138='Accident &amp; Incident Detail'!$E$2:$E$3433)*("Staff"='Accident &amp; Incident Detail'!$K$2:$K$3433))</f>
        <v>0</v>
      </c>
      <c r="AG138" s="180">
        <f t="array" ref="AG138">SUM((AG135='Accident &amp; Incident Detail'!$C$2:$C$3433)*(Data!$A$138='Accident &amp; Incident Detail'!$E$2:$E$3433)*("Staff"='Accident &amp; Incident Detail'!$K$2:$K$3433))</f>
        <v>0</v>
      </c>
      <c r="AH138" s="180">
        <f t="array" ref="AH138">SUM((AH135='Accident &amp; Incident Detail'!$C$2:$C$3433)*(Data!$A$138='Accident &amp; Incident Detail'!$E$2:$E$3433)*("Staff"='Accident &amp; Incident Detail'!$K$2:$K$3433))</f>
        <v>0</v>
      </c>
      <c r="AI138" s="180">
        <f t="array" ref="AI138">SUM((AI135='Accident &amp; Incident Detail'!$C$2:$C$3433)*(Data!$A$138='Accident &amp; Incident Detail'!$E$2:$E$3433)*("Staff"='Accident &amp; Incident Detail'!$K$2:$K$3433))</f>
        <v>0</v>
      </c>
      <c r="AJ138" s="180">
        <f t="array" ref="AJ138">SUM((AJ135='Accident &amp; Incident Detail'!$C$2:$C$3433)*(Data!$A$138='Accident &amp; Incident Detail'!$E$2:$E$3433)*("Staff"='Accident &amp; Incident Detail'!$K$2:$K$3433))</f>
        <v>0</v>
      </c>
      <c r="AK138" s="180">
        <f t="array" ref="AK138">SUM((AK135='Accident &amp; Incident Detail'!$C$2:$C$3433)*(Data!$A$138='Accident &amp; Incident Detail'!$E$2:$E$3433)*("Staff"='Accident &amp; Incident Detail'!$K$2:$K$3433))</f>
        <v>0</v>
      </c>
      <c r="AL138" s="180">
        <f t="array" ref="AL138">SUM((AL135='Accident &amp; Incident Detail'!$C$2:$C$3433)*(Data!$A$138='Accident &amp; Incident Detail'!$E$2:$E$3433)*("Staff"='Accident &amp; Incident Detail'!$K$2:$K$3433))</f>
        <v>0</v>
      </c>
      <c r="AM138" s="180">
        <f t="array" ref="AM138">SUM((AM135='Accident &amp; Incident Detail'!$C$2:$C$3433)*(Data!$A$138='Accident &amp; Incident Detail'!$E$2:$E$3433)*("Staff"='Accident &amp; Incident Detail'!$K$2:$K$3433))</f>
        <v>0</v>
      </c>
      <c r="AN138" s="180">
        <f t="array" ref="AN138">SUM((AN135='Accident &amp; Incident Detail'!$C$2:$C$3433)*(Data!$A$138='Accident &amp; Incident Detail'!$E$2:$E$3433)*("Staff"='Accident &amp; Incident Detail'!$K$2:$K$3433))</f>
        <v>0</v>
      </c>
    </row>
    <row r="139" spans="1:40" ht="15" thickBot="1" x14ac:dyDescent="0.4">
      <c r="A139" s="193" t="s">
        <v>15</v>
      </c>
      <c r="B139" s="422">
        <f>IF(B$1=1,(SUM(B138:B138)/13),0)</f>
        <v>0</v>
      </c>
      <c r="C139" s="422">
        <f>IF(C$1=1,(SUM(B138:C138)/13),0)</f>
        <v>0</v>
      </c>
      <c r="D139" s="422">
        <f>IF(D$1=1,(SUM(B138:D138)/13),0)</f>
        <v>0</v>
      </c>
      <c r="E139" s="422">
        <f>IF(E$1=1,(SUM(B138:E138)/13),0)</f>
        <v>0</v>
      </c>
      <c r="F139" s="422">
        <f>IF(F$1=1,(SUM(B138:F138)/13),0)</f>
        <v>0</v>
      </c>
      <c r="G139" s="422">
        <f>IF(G$1=1,(SUM(B138:G138)/13),0)</f>
        <v>0</v>
      </c>
      <c r="H139" s="422">
        <f>IF(H$1=1,(SUM(B138:H138)/13),0)</f>
        <v>0</v>
      </c>
      <c r="I139" s="422">
        <f>IF(I$1=1,(SUM(B138:I138)/13),0)</f>
        <v>0</v>
      </c>
      <c r="J139" s="46">
        <f>IF(J$1=1,(SUM(B138:J138)/13),0)</f>
        <v>7.6923076923076927E-2</v>
      </c>
      <c r="K139" s="46">
        <f>IF(K$1=1,(SUM(B138:K138)/13),0)</f>
        <v>0.15384615384615385</v>
      </c>
      <c r="L139" s="46">
        <f>IF(L$1=1,(SUM(B138:L138)/13),0)</f>
        <v>0.23076923076923078</v>
      </c>
      <c r="M139" s="46">
        <f>IF(M$1=1,(SUM(B138:M138)/13),0)</f>
        <v>0.38461538461538464</v>
      </c>
      <c r="N139" s="46">
        <f>IF(N$1=1,(SUM(B138:N138)/13),0)</f>
        <v>0.38461538461538464</v>
      </c>
      <c r="O139" s="46">
        <f t="shared" ref="O139:Z139" si="148">IF(O$1=1,(SUM(C138:O138)/13),0)</f>
        <v>0.46153846153846156</v>
      </c>
      <c r="P139" s="46">
        <f t="shared" si="148"/>
        <v>0.61538461538461542</v>
      </c>
      <c r="Q139" s="46">
        <f t="shared" si="148"/>
        <v>0.61538461538461542</v>
      </c>
      <c r="R139" s="46">
        <f t="shared" si="148"/>
        <v>0.61538461538461542</v>
      </c>
      <c r="S139" s="46">
        <f t="shared" si="148"/>
        <v>0.69230769230769229</v>
      </c>
      <c r="T139" s="46">
        <f t="shared" si="148"/>
        <v>0.69230769230769229</v>
      </c>
      <c r="U139" s="46">
        <f t="shared" si="148"/>
        <v>0.76923076923076927</v>
      </c>
      <c r="V139" s="46">
        <f t="shared" si="148"/>
        <v>1</v>
      </c>
      <c r="W139" s="46">
        <f t="shared" si="148"/>
        <v>0.92307692307692313</v>
      </c>
      <c r="X139" s="46">
        <f t="shared" si="148"/>
        <v>0.92307692307692313</v>
      </c>
      <c r="Y139" s="46">
        <f t="shared" si="148"/>
        <v>0.84615384615384615</v>
      </c>
      <c r="Z139" s="46">
        <f t="shared" si="148"/>
        <v>0.69230769230769229</v>
      </c>
      <c r="AA139" s="46">
        <f t="shared" ref="AA139:AN139" si="149">IF(AA$1=1,(SUM(O138:AA138)/13),0)</f>
        <v>0.69230769230769229</v>
      </c>
      <c r="AB139" s="46">
        <f t="shared" si="149"/>
        <v>0.61538461538461542</v>
      </c>
      <c r="AC139" s="46">
        <f t="shared" si="149"/>
        <v>0.46153846153846156</v>
      </c>
      <c r="AD139" s="46">
        <f t="shared" si="149"/>
        <v>0.53846153846153844</v>
      </c>
      <c r="AE139" s="46">
        <f t="shared" si="149"/>
        <v>0.53846153846153844</v>
      </c>
      <c r="AF139" s="46">
        <f t="shared" si="149"/>
        <v>0.46153846153846156</v>
      </c>
      <c r="AG139" s="46">
        <f t="shared" si="149"/>
        <v>0.46153846153846156</v>
      </c>
      <c r="AH139" s="46">
        <f t="shared" si="149"/>
        <v>0.38461538461538464</v>
      </c>
      <c r="AI139" s="46">
        <f t="shared" si="149"/>
        <v>0.15384615384615385</v>
      </c>
      <c r="AJ139" s="46">
        <f t="shared" si="149"/>
        <v>0.15384615384615385</v>
      </c>
      <c r="AK139" s="46">
        <f t="shared" si="149"/>
        <v>7.6923076923076927E-2</v>
      </c>
      <c r="AL139" s="46">
        <f t="shared" si="149"/>
        <v>0</v>
      </c>
      <c r="AM139" s="46">
        <f t="shared" si="149"/>
        <v>0</v>
      </c>
      <c r="AN139" s="46">
        <f t="shared" si="149"/>
        <v>0</v>
      </c>
    </row>
    <row r="140" spans="1:40" x14ac:dyDescent="0.35">
      <c r="A140" s="130" t="s">
        <v>42</v>
      </c>
      <c r="B140" s="429">
        <f t="array" ref="B140">SUM((B135='Accident &amp; Incident Detail'!$C$2:$C$3433)*(Data!$A$140='Accident &amp; Incident Detail'!$E$2:$E$3433)*("Staff"='Accident &amp; Incident Detail'!$K$2:$K$3433))</f>
        <v>0</v>
      </c>
      <c r="C140" s="429">
        <f t="array" ref="C140">SUM((C135='Accident &amp; Incident Detail'!$C$2:$C$3433)*(Data!$A$140='Accident &amp; Incident Detail'!$E$2:$E$3433)*("Staff"='Accident &amp; Incident Detail'!$K$2:$K$3433))</f>
        <v>0</v>
      </c>
      <c r="D140" s="429">
        <f t="array" ref="D140">SUM((D135='Accident &amp; Incident Detail'!$C$2:$C$3433)*(Data!$A$140='Accident &amp; Incident Detail'!$E$2:$E$3433)*("Staff"='Accident &amp; Incident Detail'!$K$2:$K$3433))</f>
        <v>0</v>
      </c>
      <c r="E140" s="429">
        <f t="array" ref="E140">SUM((E135='Accident &amp; Incident Detail'!$C$2:$C$3433)*(Data!$A$140='Accident &amp; Incident Detail'!$E$2:$E$3433)*("Staff"='Accident &amp; Incident Detail'!$K$2:$K$3433))</f>
        <v>0</v>
      </c>
      <c r="F140" s="429">
        <f t="array" ref="F140">SUM((F135='Accident &amp; Incident Detail'!$C$2:$C$3433)*(Data!$A$140='Accident &amp; Incident Detail'!$E$2:$E$3433)*("Staff"='Accident &amp; Incident Detail'!$K$2:$K$3433))</f>
        <v>0</v>
      </c>
      <c r="G140" s="429">
        <f t="array" ref="G140">SUM((G135='Accident &amp; Incident Detail'!$C$2:$C$3433)*(Data!$A$140='Accident &amp; Incident Detail'!$E$2:$E$3433)*("Staff"='Accident &amp; Incident Detail'!$K$2:$K$3433))</f>
        <v>0</v>
      </c>
      <c r="H140" s="429">
        <f t="array" ref="H140">SUM((H135='Accident &amp; Incident Detail'!$C$2:$C$3433)*(Data!$A$140='Accident &amp; Incident Detail'!$E$2:$E$3433)*("Staff"='Accident &amp; Incident Detail'!$K$2:$K$3433))</f>
        <v>0</v>
      </c>
      <c r="I140" s="429">
        <f t="array" ref="I140">SUM((I135='Accident &amp; Incident Detail'!$C$2:$C$3433)*(Data!$A$140='Accident &amp; Incident Detail'!$E$2:$E$3433)*("Staff"='Accident &amp; Incident Detail'!$K$2:$K$3433))</f>
        <v>0</v>
      </c>
      <c r="J140" s="180">
        <f t="array" ref="J140">SUM((J135='Accident &amp; Incident Detail'!$C$2:$C$3433)*(Data!$A$140='Accident &amp; Incident Detail'!$E$2:$E$3433)*("Staff"='Accident &amp; Incident Detail'!$K$2:$K$3433))</f>
        <v>1</v>
      </c>
      <c r="K140" s="180">
        <f t="array" ref="K140">SUM((K135='Accident &amp; Incident Detail'!$C$2:$C$3433)*(Data!$A$140='Accident &amp; Incident Detail'!$E$2:$E$3433)*("Staff"='Accident &amp; Incident Detail'!$K$2:$K$3433))</f>
        <v>3</v>
      </c>
      <c r="L140" s="180">
        <f t="array" ref="L140">SUM((L135='Accident &amp; Incident Detail'!$C$2:$C$3433)*(Data!$A$140='Accident &amp; Incident Detail'!$E$2:$E$3433)*("Staff"='Accident &amp; Incident Detail'!$K$2:$K$3433))</f>
        <v>1</v>
      </c>
      <c r="M140" s="180">
        <f t="array" ref="M140">SUM((M135='Accident &amp; Incident Detail'!$C$2:$C$3433)*(Data!$A$140='Accident &amp; Incident Detail'!$E$2:$E$3433)*("Staff"='Accident &amp; Incident Detail'!$K$2:$K$3433))</f>
        <v>3</v>
      </c>
      <c r="N140" s="180">
        <f t="array" ref="N140">SUM((N135='Accident &amp; Incident Detail'!$C$2:$C$3433)*(Data!$A$140='Accident &amp; Incident Detail'!$E$2:$E$3433)*("Staff"='Accident &amp; Incident Detail'!$K$2:$K$3433))</f>
        <v>0</v>
      </c>
      <c r="O140" s="180">
        <f t="array" ref="O140">SUM((O135='Accident &amp; Incident Detail'!$C$2:$C$3433)*(Data!$A$140='Accident &amp; Incident Detail'!$E$2:$E$3433)*("Staff"='Accident &amp; Incident Detail'!$K$2:$K$3433))</f>
        <v>6</v>
      </c>
      <c r="P140" s="180">
        <f t="array" ref="P140">SUM((P135='Accident &amp; Incident Detail'!$C$2:$C$3433)*(Data!$A$140='Accident &amp; Incident Detail'!$E$2:$E$3433)*("Staff"='Accident &amp; Incident Detail'!$K$2:$K$3433))</f>
        <v>3</v>
      </c>
      <c r="Q140" s="180">
        <f t="array" ref="Q140">SUM((Q135='Accident &amp; Incident Detail'!$C$2:$C$3433)*(Data!$A$140='Accident &amp; Incident Detail'!$E$2:$E$3433)*("Staff"='Accident &amp; Incident Detail'!$K$2:$K$3433))</f>
        <v>2</v>
      </c>
      <c r="R140" s="180">
        <f t="array" ref="R140">SUM((R135='Accident &amp; Incident Detail'!$C$2:$C$3433)*(Data!$A$140='Accident &amp; Incident Detail'!$E$2:$E$3433)*("Staff"='Accident &amp; Incident Detail'!$K$2:$K$3433))</f>
        <v>3</v>
      </c>
      <c r="S140" s="180">
        <f t="array" ref="S140">SUM((S135='Accident &amp; Incident Detail'!$C$2:$C$3433)*(Data!$A$140='Accident &amp; Incident Detail'!$E$2:$E$3433)*("Staff"='Accident &amp; Incident Detail'!$K$2:$K$3433))</f>
        <v>2</v>
      </c>
      <c r="T140" s="180">
        <f t="array" ref="T140">SUM((T135='Accident &amp; Incident Detail'!$C$2:$C$3433)*(Data!$A$140='Accident &amp; Incident Detail'!$E$2:$E$3433)*("Staff"='Accident &amp; Incident Detail'!$K$2:$K$3433))</f>
        <v>4</v>
      </c>
      <c r="U140" s="180">
        <f t="array" ref="U140">SUM((U135='Accident &amp; Incident Detail'!$C$2:$C$3433)*(Data!$A$140='Accident &amp; Incident Detail'!$E$2:$E$3433)*("Staff"='Accident &amp; Incident Detail'!$K$2:$K$3433))</f>
        <v>4</v>
      </c>
      <c r="V140" s="180">
        <f t="array" ref="V140">SUM((V135='Accident &amp; Incident Detail'!$C$2:$C$3433)*(Data!$A$140='Accident &amp; Incident Detail'!$E$2:$E$3433)*("Staff"='Accident &amp; Incident Detail'!$K$2:$K$3433))</f>
        <v>5</v>
      </c>
      <c r="W140" s="180">
        <f t="array" ref="W140">SUM((W135='Accident &amp; Incident Detail'!$C$2:$C$3433)*(Data!$A$140='Accident &amp; Incident Detail'!$E$2:$E$3433)*("Staff"='Accident &amp; Incident Detail'!$K$2:$K$3433))</f>
        <v>4</v>
      </c>
      <c r="X140" s="180">
        <f t="array" ref="X140">SUM((X135='Accident &amp; Incident Detail'!$C$2:$C$3433)*(Data!$A$140='Accident &amp; Incident Detail'!$E$2:$E$3433)*("Staff"='Accident &amp; Incident Detail'!$K$2:$K$3433))</f>
        <v>0</v>
      </c>
      <c r="Y140" s="180">
        <f t="array" ref="Y140">SUM((Y135='Accident &amp; Incident Detail'!$C$2:$C$3433)*(Data!$A$140='Accident &amp; Incident Detail'!$E$2:$E$3433)*("Staff"='Accident &amp; Incident Detail'!$K$2:$K$3433))</f>
        <v>0</v>
      </c>
      <c r="Z140" s="180">
        <f t="array" ref="Z140">SUM((Z135='Accident &amp; Incident Detail'!$C$2:$C$3433)*(Data!$A$140='Accident &amp; Incident Detail'!$E$2:$E$3433)*("Staff"='Accident &amp; Incident Detail'!$K$2:$K$3433))</f>
        <v>2</v>
      </c>
      <c r="AA140" s="180">
        <f t="array" ref="AA140">SUM((AA135='Accident &amp; Incident Detail'!$C$2:$C$3433)*(Data!$A$140='Accident &amp; Incident Detail'!$E$2:$E$3433)*("Staff"='Accident &amp; Incident Detail'!$K$2:$K$3433))</f>
        <v>0</v>
      </c>
      <c r="AB140" s="180">
        <f t="array" ref="AB140">SUM((AB135='Accident &amp; Incident Detail'!$C$2:$C$3433)*(Data!$A$140='Accident &amp; Incident Detail'!$E$2:$E$3433)*("Staff"='Accident &amp; Incident Detail'!$K$2:$K$3433))</f>
        <v>1</v>
      </c>
      <c r="AC140" s="180">
        <f t="array" ref="AC140">SUM((AC135='Accident &amp; Incident Detail'!$C$2:$C$3433)*(Data!$A$140='Accident &amp; Incident Detail'!$E$2:$E$3433)*("Staff"='Accident &amp; Incident Detail'!$K$2:$K$3433))</f>
        <v>3</v>
      </c>
      <c r="AD140" s="180">
        <f t="array" ref="AD140">SUM((AD135='Accident &amp; Incident Detail'!$C$2:$C$3433)*(Data!$A$140='Accident &amp; Incident Detail'!$E$2:$E$3433)*("Staff"='Accident &amp; Incident Detail'!$K$2:$K$3433))</f>
        <v>4</v>
      </c>
      <c r="AE140" s="180">
        <f t="array" ref="AE140">SUM((AE135='Accident &amp; Incident Detail'!$C$2:$C$3433)*(Data!$A$140='Accident &amp; Incident Detail'!$E$2:$E$3433)*("Staff"='Accident &amp; Incident Detail'!$K$2:$K$3433))</f>
        <v>2</v>
      </c>
      <c r="AF140" s="180">
        <f t="array" ref="AF140">SUM((AF135='Accident &amp; Incident Detail'!$C$2:$C$3433)*(Data!$A$140='Accident &amp; Incident Detail'!$E$2:$E$3433)*("Staff"='Accident &amp; Incident Detail'!$K$2:$K$3433))</f>
        <v>0</v>
      </c>
      <c r="AG140" s="180">
        <f t="array" ref="AG140">SUM((AG135='Accident &amp; Incident Detail'!$C$2:$C$3433)*(Data!$A$140='Accident &amp; Incident Detail'!$E$2:$E$3433)*("Staff"='Accident &amp; Incident Detail'!$K$2:$K$3433))</f>
        <v>0</v>
      </c>
      <c r="AH140" s="180">
        <f t="array" ref="AH140">SUM((AH135='Accident &amp; Incident Detail'!$C$2:$C$3433)*(Data!$A$140='Accident &amp; Incident Detail'!$E$2:$E$3433)*("Staff"='Accident &amp; Incident Detail'!$K$2:$K$3433))</f>
        <v>3</v>
      </c>
      <c r="AI140" s="180">
        <f t="array" ref="AI140">SUM((AI135='Accident &amp; Incident Detail'!$C$2:$C$3433)*(Data!$A$140='Accident &amp; Incident Detail'!$E$2:$E$3433)*("Staff"='Accident &amp; Incident Detail'!$K$2:$K$3433))</f>
        <v>1</v>
      </c>
      <c r="AJ140" s="180">
        <f t="array" ref="AJ140">SUM((AJ135='Accident &amp; Incident Detail'!$C$2:$C$3433)*(Data!$A$140='Accident &amp; Incident Detail'!$E$2:$E$3433)*("Staff"='Accident &amp; Incident Detail'!$K$2:$K$3433))</f>
        <v>0</v>
      </c>
      <c r="AK140" s="180">
        <f t="array" ref="AK140">SUM((AK135='Accident &amp; Incident Detail'!$C$2:$C$3433)*(Data!$A$140='Accident &amp; Incident Detail'!$E$2:$E$3433)*("Staff"='Accident &amp; Incident Detail'!$K$2:$K$3433))</f>
        <v>1</v>
      </c>
      <c r="AL140" s="180">
        <f t="array" ref="AL140">SUM((AL135='Accident &amp; Incident Detail'!$C$2:$C$3433)*(Data!$A$140='Accident &amp; Incident Detail'!$E$2:$E$3433)*("Staff"='Accident &amp; Incident Detail'!$K$2:$K$3433))</f>
        <v>0</v>
      </c>
      <c r="AM140" s="180">
        <f t="array" ref="AM140">SUM((AM135='Accident &amp; Incident Detail'!$C$2:$C$3433)*(Data!$A$140='Accident &amp; Incident Detail'!$E$2:$E$3433)*("Staff"='Accident &amp; Incident Detail'!$K$2:$K$3433))</f>
        <v>0</v>
      </c>
      <c r="AN140" s="180">
        <f t="array" ref="AN140">SUM((AN135='Accident &amp; Incident Detail'!$C$2:$C$3433)*(Data!$A$140='Accident &amp; Incident Detail'!$E$2:$E$3433)*("Staff"='Accident &amp; Incident Detail'!$K$2:$K$3433))</f>
        <v>0</v>
      </c>
    </row>
    <row r="141" spans="1:40" ht="15" thickBot="1" x14ac:dyDescent="0.4">
      <c r="A141" s="194" t="s">
        <v>15</v>
      </c>
      <c r="B141" s="422">
        <f>IF(B$1=1,(SUM(B140:B140)/13),0)</f>
        <v>0</v>
      </c>
      <c r="C141" s="422">
        <f>IF(C$1=1,(SUM(B140:C140)/13),0)</f>
        <v>0</v>
      </c>
      <c r="D141" s="422">
        <f>IF(D$1=1,(SUM(B140:D140)/13),0)</f>
        <v>0</v>
      </c>
      <c r="E141" s="422">
        <f>IF(E$1=1,(SUM(B140:E140)/13),0)</f>
        <v>0</v>
      </c>
      <c r="F141" s="422">
        <f>IF(F$1=1,(SUM(B140:F140)/13),0)</f>
        <v>0</v>
      </c>
      <c r="G141" s="422">
        <f>IF(G$1=1,(SUM(B140:G140)/13),0)</f>
        <v>0</v>
      </c>
      <c r="H141" s="422">
        <f>IF(H$1=1,(SUM(B140:H140)/13),0)</f>
        <v>0</v>
      </c>
      <c r="I141" s="422">
        <f>IF(I$1=1,(SUM(B140:I140)/13),0)</f>
        <v>0</v>
      </c>
      <c r="J141" s="46">
        <f>IF(J$1=1,(SUM(B140:J140)/13),0)</f>
        <v>7.6923076923076927E-2</v>
      </c>
      <c r="K141" s="46">
        <f>IF(K$1=1,(SUM(B140:K140)/13),0)</f>
        <v>0.30769230769230771</v>
      </c>
      <c r="L141" s="46">
        <f>IF(L$1=1,(SUM(B140:L140)/13),0)</f>
        <v>0.38461538461538464</v>
      </c>
      <c r="M141" s="46">
        <f>IF(M$1=1,(SUM(B140:M140)/13),0)</f>
        <v>0.61538461538461542</v>
      </c>
      <c r="N141" s="46">
        <f>IF(N$1=1,(SUM(B140:N140)/13),0)</f>
        <v>0.61538461538461542</v>
      </c>
      <c r="O141" s="46">
        <f t="shared" ref="O141:Z141" si="150">IF(O$1=1,(SUM(C140:O140)/13),0)</f>
        <v>1.0769230769230769</v>
      </c>
      <c r="P141" s="46">
        <f t="shared" si="150"/>
        <v>1.3076923076923077</v>
      </c>
      <c r="Q141" s="46">
        <f t="shared" si="150"/>
        <v>1.4615384615384615</v>
      </c>
      <c r="R141" s="46">
        <f t="shared" si="150"/>
        <v>1.6923076923076923</v>
      </c>
      <c r="S141" s="46">
        <f t="shared" si="150"/>
        <v>1.8461538461538463</v>
      </c>
      <c r="T141" s="46">
        <f t="shared" si="150"/>
        <v>2.1538461538461537</v>
      </c>
      <c r="U141" s="46">
        <f t="shared" si="150"/>
        <v>2.4615384615384617</v>
      </c>
      <c r="V141" s="46">
        <f t="shared" si="150"/>
        <v>2.8461538461538463</v>
      </c>
      <c r="W141" s="46">
        <f t="shared" si="150"/>
        <v>3.0769230769230771</v>
      </c>
      <c r="X141" s="46">
        <f t="shared" si="150"/>
        <v>2.8461538461538463</v>
      </c>
      <c r="Y141" s="46">
        <f t="shared" si="150"/>
        <v>2.7692307692307692</v>
      </c>
      <c r="Z141" s="46">
        <f t="shared" si="150"/>
        <v>2.6923076923076925</v>
      </c>
      <c r="AA141" s="46">
        <f t="shared" ref="AA141:AN141" si="151">IF(AA$1=1,(SUM(O140:AA140)/13),0)</f>
        <v>2.6923076923076925</v>
      </c>
      <c r="AB141" s="46">
        <f t="shared" si="151"/>
        <v>2.3076923076923075</v>
      </c>
      <c r="AC141" s="46">
        <f t="shared" si="151"/>
        <v>2.3076923076923075</v>
      </c>
      <c r="AD141" s="46">
        <f t="shared" si="151"/>
        <v>2.4615384615384617</v>
      </c>
      <c r="AE141" s="46">
        <f t="shared" si="151"/>
        <v>2.3846153846153846</v>
      </c>
      <c r="AF141" s="46">
        <f t="shared" si="151"/>
        <v>2.2307692307692308</v>
      </c>
      <c r="AG141" s="46">
        <f t="shared" si="151"/>
        <v>1.9230769230769231</v>
      </c>
      <c r="AH141" s="46">
        <f t="shared" si="151"/>
        <v>1.8461538461538463</v>
      </c>
      <c r="AI141" s="46">
        <f t="shared" si="151"/>
        <v>1.5384615384615385</v>
      </c>
      <c r="AJ141" s="46">
        <f t="shared" si="151"/>
        <v>1.2307692307692308</v>
      </c>
      <c r="AK141" s="46">
        <f t="shared" si="151"/>
        <v>1.3076923076923077</v>
      </c>
      <c r="AL141" s="46">
        <f t="shared" si="151"/>
        <v>0</v>
      </c>
      <c r="AM141" s="46">
        <f t="shared" si="151"/>
        <v>0</v>
      </c>
      <c r="AN141" s="46">
        <f t="shared" si="151"/>
        <v>0</v>
      </c>
    </row>
    <row r="142" spans="1:40" ht="15" thickBot="1" x14ac:dyDescent="0.4">
      <c r="A142" s="132" t="s">
        <v>14</v>
      </c>
      <c r="B142" s="430">
        <f t="shared" ref="B142:N142" si="152">SUM(B136+B138+B140)</f>
        <v>0</v>
      </c>
      <c r="C142" s="430">
        <f t="shared" si="152"/>
        <v>0</v>
      </c>
      <c r="D142" s="430">
        <f t="shared" si="152"/>
        <v>0</v>
      </c>
      <c r="E142" s="430">
        <f t="shared" si="152"/>
        <v>0</v>
      </c>
      <c r="F142" s="430">
        <f t="shared" si="152"/>
        <v>0</v>
      </c>
      <c r="G142" s="430">
        <f t="shared" si="152"/>
        <v>0</v>
      </c>
      <c r="H142" s="430">
        <f t="shared" si="152"/>
        <v>0</v>
      </c>
      <c r="I142" s="430">
        <f t="shared" si="152"/>
        <v>0</v>
      </c>
      <c r="J142" s="61">
        <f t="shared" si="152"/>
        <v>2</v>
      </c>
      <c r="K142" s="61">
        <f t="shared" si="152"/>
        <v>5</v>
      </c>
      <c r="L142" s="61">
        <f t="shared" si="152"/>
        <v>4</v>
      </c>
      <c r="M142" s="61">
        <f t="shared" si="152"/>
        <v>6</v>
      </c>
      <c r="N142" s="61">
        <f t="shared" si="152"/>
        <v>0</v>
      </c>
      <c r="O142" s="61">
        <f t="shared" ref="O142:Z142" si="153">SUM(O136+O138+O140)</f>
        <v>9</v>
      </c>
      <c r="P142" s="61">
        <f t="shared" si="153"/>
        <v>5</v>
      </c>
      <c r="Q142" s="61">
        <f t="shared" si="153"/>
        <v>5</v>
      </c>
      <c r="R142" s="61">
        <f t="shared" si="153"/>
        <v>4</v>
      </c>
      <c r="S142" s="61">
        <f t="shared" si="153"/>
        <v>3</v>
      </c>
      <c r="T142" s="61">
        <f t="shared" si="153"/>
        <v>5</v>
      </c>
      <c r="U142" s="61">
        <f t="shared" si="153"/>
        <v>8</v>
      </c>
      <c r="V142" s="61">
        <f t="shared" si="153"/>
        <v>10</v>
      </c>
      <c r="W142" s="61">
        <f t="shared" si="153"/>
        <v>4</v>
      </c>
      <c r="X142" s="61">
        <f t="shared" si="153"/>
        <v>2</v>
      </c>
      <c r="Y142" s="61">
        <f t="shared" si="153"/>
        <v>1</v>
      </c>
      <c r="Z142" s="61">
        <f t="shared" si="153"/>
        <v>2</v>
      </c>
      <c r="AA142" s="61">
        <f t="shared" ref="AA142:AN142" si="154">SUM(AA136+AA138+AA140)</f>
        <v>1</v>
      </c>
      <c r="AB142" s="61">
        <f t="shared" si="154"/>
        <v>3</v>
      </c>
      <c r="AC142" s="61">
        <f t="shared" si="154"/>
        <v>5</v>
      </c>
      <c r="AD142" s="61">
        <f t="shared" si="154"/>
        <v>8</v>
      </c>
      <c r="AE142" s="61">
        <f t="shared" si="154"/>
        <v>2</v>
      </c>
      <c r="AF142" s="61">
        <f t="shared" si="154"/>
        <v>1</v>
      </c>
      <c r="AG142" s="61">
        <f t="shared" si="154"/>
        <v>1</v>
      </c>
      <c r="AH142" s="61">
        <f t="shared" si="154"/>
        <v>4</v>
      </c>
      <c r="AI142" s="61">
        <f t="shared" si="154"/>
        <v>2</v>
      </c>
      <c r="AJ142" s="61">
        <f t="shared" si="154"/>
        <v>0</v>
      </c>
      <c r="AK142" s="61">
        <f t="shared" si="154"/>
        <v>2</v>
      </c>
      <c r="AL142" s="61">
        <f t="shared" si="154"/>
        <v>1</v>
      </c>
      <c r="AM142" s="61">
        <f t="shared" si="154"/>
        <v>0</v>
      </c>
      <c r="AN142" s="61">
        <f t="shared" si="154"/>
        <v>0</v>
      </c>
    </row>
    <row r="143" spans="1:40" ht="15" thickBot="1" x14ac:dyDescent="0.4">
      <c r="A143" s="195" t="s">
        <v>15</v>
      </c>
      <c r="B143" s="422">
        <f>IF(B$1=1,(SUM(B142:B142)/13),0)</f>
        <v>0</v>
      </c>
      <c r="C143" s="422">
        <f>IF(C$1=1,(SUM(B142:C142)/13),0)</f>
        <v>0</v>
      </c>
      <c r="D143" s="422">
        <f>IF(D$1=1,(SUM(B142:D142)/13),0)</f>
        <v>0</v>
      </c>
      <c r="E143" s="422">
        <f>IF(E$1=1,(SUM(B142:E142)/13),0)</f>
        <v>0</v>
      </c>
      <c r="F143" s="422">
        <f>IF(F$1=1,(SUM(B142:F142)/13),0)</f>
        <v>0</v>
      </c>
      <c r="G143" s="422">
        <f>IF(G$1=1,(SUM(B142:G142)/13),0)</f>
        <v>0</v>
      </c>
      <c r="H143" s="422">
        <f>IF(H$1=1,(SUM(B142:H142)/13),0)</f>
        <v>0</v>
      </c>
      <c r="I143" s="422">
        <f>IF(I$1=1,(SUM(B142:I142)/13),0)</f>
        <v>0</v>
      </c>
      <c r="J143" s="46">
        <f>IF(J$1=1,(SUM(B142:J142)/13),0)</f>
        <v>0.15384615384615385</v>
      </c>
      <c r="K143" s="46">
        <f>IF(K$1=1,(SUM(B142:K142)/13),0)</f>
        <v>0.53846153846153844</v>
      </c>
      <c r="L143" s="46">
        <f>IF(L$1=1,(SUM(B142:L142)/13),0)</f>
        <v>0.84615384615384615</v>
      </c>
      <c r="M143" s="46">
        <f>IF(M$1=1,(SUM(B142:M142)/13),0)</f>
        <v>1.3076923076923077</v>
      </c>
      <c r="N143" s="46">
        <f>IF(N$1=1,(SUM(B142:N142)/13),0)</f>
        <v>1.3076923076923077</v>
      </c>
      <c r="O143" s="46">
        <f t="shared" ref="O143:Z143" si="155">IF(O$1=1,(SUM(C142:O142)/13),0)</f>
        <v>2</v>
      </c>
      <c r="P143" s="46">
        <f t="shared" si="155"/>
        <v>2.3846153846153846</v>
      </c>
      <c r="Q143" s="46">
        <f t="shared" si="155"/>
        <v>2.7692307692307692</v>
      </c>
      <c r="R143" s="46">
        <f t="shared" si="155"/>
        <v>3.0769230769230771</v>
      </c>
      <c r="S143" s="46">
        <f t="shared" si="155"/>
        <v>3.3076923076923075</v>
      </c>
      <c r="T143" s="46">
        <f t="shared" si="155"/>
        <v>3.6923076923076925</v>
      </c>
      <c r="U143" s="46">
        <f t="shared" si="155"/>
        <v>4.3076923076923075</v>
      </c>
      <c r="V143" s="46">
        <f t="shared" si="155"/>
        <v>5.0769230769230766</v>
      </c>
      <c r="W143" s="46">
        <f t="shared" si="155"/>
        <v>5.2307692307692308</v>
      </c>
      <c r="X143" s="46">
        <f t="shared" si="155"/>
        <v>5</v>
      </c>
      <c r="Y143" s="46">
        <f t="shared" si="155"/>
        <v>4.7692307692307692</v>
      </c>
      <c r="Z143" s="46">
        <f t="shared" si="155"/>
        <v>4.4615384615384617</v>
      </c>
      <c r="AA143" s="46">
        <f t="shared" ref="AA143:AN143" si="156">IF(AA$1=1,(SUM(O142:AA142)/13),0)</f>
        <v>4.5384615384615383</v>
      </c>
      <c r="AB143" s="46">
        <f t="shared" si="156"/>
        <v>4.0769230769230766</v>
      </c>
      <c r="AC143" s="46">
        <f t="shared" si="156"/>
        <v>4.0769230769230766</v>
      </c>
      <c r="AD143" s="46">
        <f t="shared" si="156"/>
        <v>4.3076923076923075</v>
      </c>
      <c r="AE143" s="46">
        <f t="shared" si="156"/>
        <v>4.1538461538461542</v>
      </c>
      <c r="AF143" s="46">
        <f t="shared" si="156"/>
        <v>4</v>
      </c>
      <c r="AG143" s="46">
        <f t="shared" si="156"/>
        <v>3.6923076923076925</v>
      </c>
      <c r="AH143" s="46">
        <f t="shared" si="156"/>
        <v>3.3846153846153846</v>
      </c>
      <c r="AI143" s="46">
        <f t="shared" si="156"/>
        <v>2.7692307692307692</v>
      </c>
      <c r="AJ143" s="46">
        <f t="shared" si="156"/>
        <v>2.4615384615384617</v>
      </c>
      <c r="AK143" s="46">
        <f t="shared" si="156"/>
        <v>2.4615384615384617</v>
      </c>
      <c r="AL143" s="46">
        <f t="shared" si="156"/>
        <v>0</v>
      </c>
      <c r="AM143" s="46">
        <f t="shared" si="156"/>
        <v>0</v>
      </c>
      <c r="AN143" s="46">
        <f t="shared" si="156"/>
        <v>0</v>
      </c>
    </row>
    <row r="144" spans="1:40" ht="15" thickBot="1" x14ac:dyDescent="0.4"/>
    <row r="145" spans="1:40" ht="29" thickBot="1" x14ac:dyDescent="0.7">
      <c r="A145" s="387" t="s">
        <v>43</v>
      </c>
    </row>
    <row r="146" spans="1:40" ht="15" thickBot="1" x14ac:dyDescent="0.4">
      <c r="A146" s="19"/>
      <c r="B146" s="396">
        <v>2301</v>
      </c>
      <c r="C146" s="396">
        <v>2302</v>
      </c>
      <c r="D146" s="396">
        <v>2303</v>
      </c>
      <c r="E146" s="396">
        <v>2304</v>
      </c>
      <c r="F146" s="396">
        <v>2305</v>
      </c>
      <c r="G146" s="396">
        <v>2306</v>
      </c>
      <c r="H146" s="396">
        <v>2307</v>
      </c>
      <c r="I146" s="396">
        <v>2308</v>
      </c>
      <c r="J146" s="206">
        <v>2309</v>
      </c>
      <c r="K146" s="206">
        <v>2310</v>
      </c>
      <c r="L146" s="206">
        <v>2311</v>
      </c>
      <c r="M146" s="206">
        <v>2312</v>
      </c>
      <c r="N146" s="210">
        <v>2313</v>
      </c>
      <c r="O146" s="211">
        <v>2401</v>
      </c>
      <c r="P146" s="206">
        <v>2402</v>
      </c>
      <c r="Q146" s="206">
        <v>2403</v>
      </c>
      <c r="R146" s="206">
        <v>2404</v>
      </c>
      <c r="S146" s="206">
        <v>2405</v>
      </c>
      <c r="T146" s="206">
        <v>2406</v>
      </c>
      <c r="U146" s="206">
        <v>2407</v>
      </c>
      <c r="V146" s="206">
        <v>2408</v>
      </c>
      <c r="W146" s="206">
        <v>2409</v>
      </c>
      <c r="X146" s="206">
        <v>2410</v>
      </c>
      <c r="Y146" s="206">
        <v>2411</v>
      </c>
      <c r="Z146" s="212">
        <v>2412</v>
      </c>
      <c r="AA146" s="208">
        <v>2413</v>
      </c>
      <c r="AB146" s="284">
        <v>2501</v>
      </c>
      <c r="AC146" s="284">
        <v>2502</v>
      </c>
      <c r="AD146" s="284">
        <v>2503</v>
      </c>
      <c r="AE146" s="284">
        <v>2504</v>
      </c>
      <c r="AF146" s="284">
        <v>2505</v>
      </c>
      <c r="AG146" s="284">
        <v>2506</v>
      </c>
      <c r="AH146" s="284">
        <v>2507</v>
      </c>
      <c r="AI146" s="284">
        <v>2508</v>
      </c>
      <c r="AJ146" s="284">
        <v>2509</v>
      </c>
      <c r="AK146" s="284">
        <v>2510</v>
      </c>
      <c r="AL146" s="284">
        <v>2511</v>
      </c>
      <c r="AM146" s="284">
        <v>2512</v>
      </c>
      <c r="AN146" s="284">
        <v>2513</v>
      </c>
    </row>
    <row r="147" spans="1:40" x14ac:dyDescent="0.35">
      <c r="A147" s="133" t="s">
        <v>40</v>
      </c>
      <c r="B147" s="431">
        <f t="array" ref="B147">SUM((B146='Accident &amp; Incident Detail'!$C$2:$C$3433)*(Data!$A$136='Accident &amp; Incident Detail'!$E$2:$E$3433)*("Passenger"='Accident &amp; Incident Detail'!$K$2:$K$3433))</f>
        <v>0</v>
      </c>
      <c r="C147" s="431">
        <f t="array" ref="C147">SUM((C146='Accident &amp; Incident Detail'!$C$2:$C$3433)*(Data!$A$136='Accident &amp; Incident Detail'!$E$2:$E$3433)*("Passenger"='Accident &amp; Incident Detail'!$K$2:$K$3433))</f>
        <v>0</v>
      </c>
      <c r="D147" s="431">
        <f t="array" ref="D147">SUM((D146='Accident &amp; Incident Detail'!$C$2:$C$3433)*(Data!$A$136='Accident &amp; Incident Detail'!$E$2:$E$3433)*("Passenger"='Accident &amp; Incident Detail'!$K$2:$K$3433))</f>
        <v>0</v>
      </c>
      <c r="E147" s="431">
        <f t="array" ref="E147">SUM((E146='Accident &amp; Incident Detail'!$C$2:$C$3433)*(Data!$A$136='Accident &amp; Incident Detail'!$E$2:$E$3433)*("Passenger"='Accident &amp; Incident Detail'!$K$2:$K$3433))</f>
        <v>0</v>
      </c>
      <c r="F147" s="431">
        <f t="array" ref="F147">SUM((F146='Accident &amp; Incident Detail'!$C$2:$C$3433)*(Data!$A$136='Accident &amp; Incident Detail'!$E$2:$E$3433)*("Passenger"='Accident &amp; Incident Detail'!$K$2:$K$3433))</f>
        <v>0</v>
      </c>
      <c r="G147" s="431">
        <f t="array" ref="G147">SUM((G146='Accident &amp; Incident Detail'!$C$2:$C$3433)*(Data!$A$136='Accident &amp; Incident Detail'!$E$2:$E$3433)*("Passenger"='Accident &amp; Incident Detail'!$K$2:$K$3433))</f>
        <v>0</v>
      </c>
      <c r="H147" s="431">
        <f t="array" ref="H147">SUM((H146='Accident &amp; Incident Detail'!$C$2:$C$3433)*(Data!$A$136='Accident &amp; Incident Detail'!$E$2:$E$3433)*("Passenger"='Accident &amp; Incident Detail'!$K$2:$K$3433))</f>
        <v>0</v>
      </c>
      <c r="I147" s="431">
        <f t="array" ref="I147">SUM((I146='Accident &amp; Incident Detail'!$C$2:$C$3433)*(Data!$A$136='Accident &amp; Incident Detail'!$E$2:$E$3433)*("Passenger"='Accident &amp; Incident Detail'!$K$2:$K$3433))</f>
        <v>0</v>
      </c>
      <c r="J147" s="60">
        <f t="array" ref="J147">SUM((J146='Accident &amp; Incident Detail'!$C$2:$C$3433)*(Data!$A$136='Accident &amp; Incident Detail'!$E$2:$E$3433)*("Passenger"='Accident &amp; Incident Detail'!$K$2:$K$3433))</f>
        <v>0</v>
      </c>
      <c r="K147" s="60">
        <f t="array" ref="K147">SUM((K146='Accident &amp; Incident Detail'!$C$2:$C$3433)*(Data!$A$136='Accident &amp; Incident Detail'!$E$2:$E$3433)*("Passenger"='Accident &amp; Incident Detail'!$K$2:$K$3433))</f>
        <v>0</v>
      </c>
      <c r="L147" s="60">
        <f t="array" ref="L147">SUM((L146='Accident &amp; Incident Detail'!$C$2:$C$3433)*(Data!$A$136='Accident &amp; Incident Detail'!$E$2:$E$3433)*("Passenger"='Accident &amp; Incident Detail'!$K$2:$K$3433))</f>
        <v>0</v>
      </c>
      <c r="M147" s="60">
        <f t="array" ref="M147">SUM((M146='Accident &amp; Incident Detail'!$C$2:$C$3433)*(Data!$A$136='Accident &amp; Incident Detail'!$E$2:$E$3433)*("Passenger"='Accident &amp; Incident Detail'!$K$2:$K$3433))</f>
        <v>0</v>
      </c>
      <c r="N147" s="60">
        <f t="array" ref="N147">SUM((N146='Accident &amp; Incident Detail'!$C$2:$C$3433)*(Data!$A$136='Accident &amp; Incident Detail'!$E$2:$E$3433)*("Passenger"='Accident &amp; Incident Detail'!$K$2:$K$3433))</f>
        <v>0</v>
      </c>
      <c r="O147" s="60">
        <f t="array" ref="O147">SUM((O146='Accident &amp; Incident Detail'!$C$2:$C$3433)*(Data!$A$136='Accident &amp; Incident Detail'!$E$2:$E$3433)*("Passenger"='Accident &amp; Incident Detail'!$K$2:$K$3433))</f>
        <v>0</v>
      </c>
      <c r="P147" s="60">
        <f t="array" ref="P147">SUM((P146='Accident &amp; Incident Detail'!$C$2:$C$3433)*(Data!$A$136='Accident &amp; Incident Detail'!$E$2:$E$3433)*("Passenger"='Accident &amp; Incident Detail'!$K$2:$K$3433))</f>
        <v>0</v>
      </c>
      <c r="Q147" s="60">
        <f t="array" ref="Q147">SUM((Q146='Accident &amp; Incident Detail'!$C$2:$C$3433)*(Data!$A$136='Accident &amp; Incident Detail'!$E$2:$E$3433)*("Passenger"='Accident &amp; Incident Detail'!$K$2:$K$3433))</f>
        <v>0</v>
      </c>
      <c r="R147" s="60">
        <f t="array" ref="R147">SUM((R146='Accident &amp; Incident Detail'!$C$2:$C$3433)*(Data!$A$136='Accident &amp; Incident Detail'!$E$2:$E$3433)*("Passenger"='Accident &amp; Incident Detail'!$K$2:$K$3433))</f>
        <v>0</v>
      </c>
      <c r="S147" s="60">
        <f t="array" ref="S147">SUM((S146='Accident &amp; Incident Detail'!$C$2:$C$3433)*(Data!$A$136='Accident &amp; Incident Detail'!$E$2:$E$3433)*("Passenger"='Accident &amp; Incident Detail'!$K$2:$K$3433))</f>
        <v>0</v>
      </c>
      <c r="T147" s="60">
        <f t="array" ref="T147">SUM((T146='Accident &amp; Incident Detail'!$C$2:$C$3433)*(Data!$A$136='Accident &amp; Incident Detail'!$E$2:$E$3433)*("Passenger"='Accident &amp; Incident Detail'!$K$2:$K$3433))</f>
        <v>0</v>
      </c>
      <c r="U147" s="60">
        <f t="array" ref="U147">SUM((U146='Accident &amp; Incident Detail'!$C$2:$C$3433)*(Data!$A$136='Accident &amp; Incident Detail'!$E$2:$E$3433)*("Passenger"='Accident &amp; Incident Detail'!$K$2:$K$3433))</f>
        <v>0</v>
      </c>
      <c r="V147" s="60">
        <f t="array" ref="V147">SUM((V146='Accident &amp; Incident Detail'!$C$2:$C$3433)*(Data!$A$136='Accident &amp; Incident Detail'!$E$2:$E$3433)*("Passenger"='Accident &amp; Incident Detail'!$K$2:$K$3433))</f>
        <v>0</v>
      </c>
      <c r="W147" s="60">
        <f t="array" ref="W147">SUM((W146='Accident &amp; Incident Detail'!$C$2:$C$3433)*(Data!$A$136='Accident &amp; Incident Detail'!$E$2:$E$3433)*("Passenger"='Accident &amp; Incident Detail'!$K$2:$K$3433))</f>
        <v>0</v>
      </c>
      <c r="X147" s="60">
        <f t="array" ref="X147">SUM((X146='Accident &amp; Incident Detail'!$C$2:$C$3433)*(Data!$A$136='Accident &amp; Incident Detail'!$E$2:$E$3433)*("Passenger"='Accident &amp; Incident Detail'!$K$2:$K$3433))</f>
        <v>0</v>
      </c>
      <c r="Y147" s="60">
        <f t="array" ref="Y147">SUM((Y146='Accident &amp; Incident Detail'!$C$2:$C$3433)*(Data!$A$136='Accident &amp; Incident Detail'!$E$2:$E$3433)*("Passenger"='Accident &amp; Incident Detail'!$K$2:$K$3433))</f>
        <v>0</v>
      </c>
      <c r="Z147" s="60">
        <f t="array" ref="Z147">SUM((Z146='Accident &amp; Incident Detail'!$C$2:$C$3433)*(Data!$A$136='Accident &amp; Incident Detail'!$E$2:$E$3433)*("Passenger"='Accident &amp; Incident Detail'!$K$2:$K$3433))</f>
        <v>0</v>
      </c>
      <c r="AA147" s="60">
        <f t="array" ref="AA147">SUM((AA146='Accident &amp; Incident Detail'!$C$2:$C$3433)*(Data!$A$136='Accident &amp; Incident Detail'!$E$2:$E$3433)*("Passenger"='Accident &amp; Incident Detail'!$K$2:$K$3433))</f>
        <v>0</v>
      </c>
      <c r="AB147" s="60">
        <f t="array" ref="AB147">SUM((AB146='Accident &amp; Incident Detail'!$C$2:$C$3433)*(Data!$A$136='Accident &amp; Incident Detail'!$E$2:$E$3433)*("Passenger"='Accident &amp; Incident Detail'!$K$2:$K$3433))</f>
        <v>0</v>
      </c>
      <c r="AC147" s="60">
        <f t="array" ref="AC147">SUM((AC146='Accident &amp; Incident Detail'!$C$2:$C$3433)*(Data!$A$136='Accident &amp; Incident Detail'!$E$2:$E$3433)*("Passenger"='Accident &amp; Incident Detail'!$K$2:$K$3433))</f>
        <v>0</v>
      </c>
      <c r="AD147" s="60">
        <f t="array" ref="AD147">SUM((AD146='Accident &amp; Incident Detail'!$C$2:$C$3433)*(Data!$A$136='Accident &amp; Incident Detail'!$E$2:$E$3433)*("Passenger"='Accident &amp; Incident Detail'!$K$2:$K$3433))</f>
        <v>0</v>
      </c>
      <c r="AE147" s="60">
        <f t="array" ref="AE147">SUM((AE146='Accident &amp; Incident Detail'!$C$2:$C$3433)*(Data!$A$136='Accident &amp; Incident Detail'!$E$2:$E$3433)*("Passenger"='Accident &amp; Incident Detail'!$K$2:$K$3433))</f>
        <v>0</v>
      </c>
      <c r="AF147" s="60">
        <f t="array" ref="AF147">SUM((AF146='Accident &amp; Incident Detail'!$C$2:$C$3433)*(Data!$A$136='Accident &amp; Incident Detail'!$E$2:$E$3433)*("Passenger"='Accident &amp; Incident Detail'!$K$2:$K$3433))</f>
        <v>0</v>
      </c>
      <c r="AG147" s="60">
        <f t="array" ref="AG147">SUM((AG146='Accident &amp; Incident Detail'!$C$2:$C$3433)*(Data!$A$136='Accident &amp; Incident Detail'!$E$2:$E$3433)*("Passenger"='Accident &amp; Incident Detail'!$K$2:$K$3433))</f>
        <v>0</v>
      </c>
      <c r="AH147" s="60">
        <f t="array" ref="AH147">SUM((AH146='Accident &amp; Incident Detail'!$C$2:$C$3433)*(Data!$A$136='Accident &amp; Incident Detail'!$E$2:$E$3433)*("Passenger"='Accident &amp; Incident Detail'!$K$2:$K$3433))</f>
        <v>0</v>
      </c>
      <c r="AI147" s="60">
        <f t="array" ref="AI147">SUM((AI146='Accident &amp; Incident Detail'!$C$2:$C$3433)*(Data!$A$136='Accident &amp; Incident Detail'!$E$2:$E$3433)*("Passenger"='Accident &amp; Incident Detail'!$K$2:$K$3433))</f>
        <v>0</v>
      </c>
      <c r="AJ147" s="60">
        <f t="array" ref="AJ147">SUM((AJ146='Accident &amp; Incident Detail'!$C$2:$C$3433)*(Data!$A$136='Accident &amp; Incident Detail'!$E$2:$E$3433)*("Passenger"='Accident &amp; Incident Detail'!$K$2:$K$3433))</f>
        <v>0</v>
      </c>
      <c r="AK147" s="60">
        <f t="array" ref="AK147">SUM((AK146='Accident &amp; Incident Detail'!$C$2:$C$3433)*(Data!$A$136='Accident &amp; Incident Detail'!$E$2:$E$3433)*("Passenger"='Accident &amp; Incident Detail'!$K$2:$K$3433))</f>
        <v>0</v>
      </c>
      <c r="AL147" s="60">
        <f t="array" ref="AL147">SUM((AL146='Accident &amp; Incident Detail'!$C$2:$C$3433)*(Data!$A$136='Accident &amp; Incident Detail'!$E$2:$E$3433)*("Passenger"='Accident &amp; Incident Detail'!$K$2:$K$3433))</f>
        <v>0</v>
      </c>
      <c r="AM147" s="60">
        <f t="array" ref="AM147">SUM((AM146='Accident &amp; Incident Detail'!$C$2:$C$3433)*(Data!$A$136='Accident &amp; Incident Detail'!$E$2:$E$3433)*("Passenger"='Accident &amp; Incident Detail'!$K$2:$K$3433))</f>
        <v>0</v>
      </c>
      <c r="AN147" s="60">
        <f t="array" ref="AN147">SUM((AN146='Accident &amp; Incident Detail'!$C$2:$C$3433)*(Data!$A$136='Accident &amp; Incident Detail'!$E$2:$E$3433)*("Passenger"='Accident &amp; Incident Detail'!$K$2:$K$3433))</f>
        <v>0</v>
      </c>
    </row>
    <row r="148" spans="1:40" ht="15" thickBot="1" x14ac:dyDescent="0.4">
      <c r="A148" s="123" t="s">
        <v>15</v>
      </c>
      <c r="B148" s="432">
        <f>IF(B$1=1,(SUM(B147:B147)/13),0)</f>
        <v>0</v>
      </c>
      <c r="C148" s="432">
        <f t="shared" ref="C148:AN148" si="157">IF(C$1=1,(SUM(C147:C147)/13),0)</f>
        <v>0</v>
      </c>
      <c r="D148" s="432">
        <f t="shared" si="157"/>
        <v>0</v>
      </c>
      <c r="E148" s="432">
        <f t="shared" si="157"/>
        <v>0</v>
      </c>
      <c r="F148" s="432">
        <f t="shared" si="157"/>
        <v>0</v>
      </c>
      <c r="G148" s="432">
        <f t="shared" si="157"/>
        <v>0</v>
      </c>
      <c r="H148" s="432">
        <f t="shared" si="157"/>
        <v>0</v>
      </c>
      <c r="I148" s="432">
        <f t="shared" si="157"/>
        <v>0</v>
      </c>
      <c r="J148" s="44">
        <f t="shared" si="157"/>
        <v>0</v>
      </c>
      <c r="K148" s="44">
        <f t="shared" si="157"/>
        <v>0</v>
      </c>
      <c r="L148" s="44">
        <f t="shared" si="157"/>
        <v>0</v>
      </c>
      <c r="M148" s="44">
        <f t="shared" si="157"/>
        <v>0</v>
      </c>
      <c r="N148" s="44">
        <f t="shared" si="157"/>
        <v>0</v>
      </c>
      <c r="O148" s="44">
        <f t="shared" si="157"/>
        <v>0</v>
      </c>
      <c r="P148" s="44">
        <f t="shared" si="157"/>
        <v>0</v>
      </c>
      <c r="Q148" s="44">
        <f t="shared" si="157"/>
        <v>0</v>
      </c>
      <c r="R148" s="44">
        <f t="shared" si="157"/>
        <v>0</v>
      </c>
      <c r="S148" s="44">
        <f t="shared" si="157"/>
        <v>0</v>
      </c>
      <c r="T148" s="44">
        <f t="shared" si="157"/>
        <v>0</v>
      </c>
      <c r="U148" s="44">
        <f t="shared" si="157"/>
        <v>0</v>
      </c>
      <c r="V148" s="44">
        <f t="shared" si="157"/>
        <v>0</v>
      </c>
      <c r="W148" s="44">
        <f t="shared" si="157"/>
        <v>0</v>
      </c>
      <c r="X148" s="44">
        <f t="shared" si="157"/>
        <v>0</v>
      </c>
      <c r="Y148" s="44">
        <f t="shared" si="157"/>
        <v>0</v>
      </c>
      <c r="Z148" s="44">
        <f t="shared" si="157"/>
        <v>0</v>
      </c>
      <c r="AA148" s="44">
        <f t="shared" si="157"/>
        <v>0</v>
      </c>
      <c r="AB148" s="44">
        <f t="shared" si="157"/>
        <v>0</v>
      </c>
      <c r="AC148" s="44">
        <f t="shared" si="157"/>
        <v>0</v>
      </c>
      <c r="AD148" s="44">
        <f t="shared" si="157"/>
        <v>0</v>
      </c>
      <c r="AE148" s="44">
        <f t="shared" si="157"/>
        <v>0</v>
      </c>
      <c r="AF148" s="44">
        <f t="shared" si="157"/>
        <v>0</v>
      </c>
      <c r="AG148" s="44">
        <f t="shared" si="157"/>
        <v>0</v>
      </c>
      <c r="AH148" s="44">
        <f t="shared" si="157"/>
        <v>0</v>
      </c>
      <c r="AI148" s="44">
        <f t="shared" si="157"/>
        <v>0</v>
      </c>
      <c r="AJ148" s="44">
        <f t="shared" si="157"/>
        <v>0</v>
      </c>
      <c r="AK148" s="44">
        <f t="shared" si="157"/>
        <v>0</v>
      </c>
      <c r="AL148" s="44">
        <f t="shared" si="157"/>
        <v>0</v>
      </c>
      <c r="AM148" s="44">
        <f t="shared" si="157"/>
        <v>0</v>
      </c>
      <c r="AN148" s="44">
        <f t="shared" si="157"/>
        <v>0</v>
      </c>
    </row>
    <row r="149" spans="1:40" x14ac:dyDescent="0.35">
      <c r="A149" s="123" t="s">
        <v>41</v>
      </c>
      <c r="B149" s="431">
        <f t="array" ref="B149">SUM((B146='Accident &amp; Incident Detail'!$C$2:$C$3433)*(Data!$A$138='Accident &amp; Incident Detail'!$E$2:$E$3433)*("Passenger"='Accident &amp; Incident Detail'!$K$2:$K$3433))</f>
        <v>0</v>
      </c>
      <c r="C149" s="431">
        <f t="array" ref="C149">SUM((C146='Accident &amp; Incident Detail'!$C$2:$C$3433)*(Data!$A$138='Accident &amp; Incident Detail'!$E$2:$E$3433)*("Passenger"='Accident &amp; Incident Detail'!$K$2:$K$3433))</f>
        <v>0</v>
      </c>
      <c r="D149" s="431">
        <f t="array" ref="D149">SUM((D146='Accident &amp; Incident Detail'!$C$2:$C$3433)*(Data!$A$138='Accident &amp; Incident Detail'!$E$2:$E$3433)*("Passenger"='Accident &amp; Incident Detail'!$K$2:$K$3433))</f>
        <v>0</v>
      </c>
      <c r="E149" s="431">
        <f t="array" ref="E149">SUM((E146='Accident &amp; Incident Detail'!$C$2:$C$3433)*(Data!$A$138='Accident &amp; Incident Detail'!$E$2:$E$3433)*("Passenger"='Accident &amp; Incident Detail'!$K$2:$K$3433))</f>
        <v>0</v>
      </c>
      <c r="F149" s="431">
        <f t="array" ref="F149">SUM((F146='Accident &amp; Incident Detail'!$C$2:$C$3433)*(Data!$A$138='Accident &amp; Incident Detail'!$E$2:$E$3433)*("Passenger"='Accident &amp; Incident Detail'!$K$2:$K$3433))</f>
        <v>0</v>
      </c>
      <c r="G149" s="431">
        <f t="array" ref="G149">SUM((G146='Accident &amp; Incident Detail'!$C$2:$C$3433)*(Data!$A$138='Accident &amp; Incident Detail'!$E$2:$E$3433)*("Passenger"='Accident &amp; Incident Detail'!$K$2:$K$3433))</f>
        <v>0</v>
      </c>
      <c r="H149" s="431">
        <f t="array" ref="H149">SUM((H146='Accident &amp; Incident Detail'!$C$2:$C$3433)*(Data!$A$138='Accident &amp; Incident Detail'!$E$2:$E$3433)*("Passenger"='Accident &amp; Incident Detail'!$K$2:$K$3433))</f>
        <v>0</v>
      </c>
      <c r="I149" s="431">
        <f t="array" ref="I149">SUM((I146='Accident &amp; Incident Detail'!$C$2:$C$3433)*(Data!$A$138='Accident &amp; Incident Detail'!$E$2:$E$3433)*("Passenger"='Accident &amp; Incident Detail'!$K$2:$K$3433))</f>
        <v>0</v>
      </c>
      <c r="J149" s="60">
        <f t="array" ref="J149">SUM((J146='Accident &amp; Incident Detail'!$C$2:$C$3433)*(Data!$A$138='Accident &amp; Incident Detail'!$E$2:$E$3433)*("Passenger"='Accident &amp; Incident Detail'!$K$2:$K$3433))</f>
        <v>0</v>
      </c>
      <c r="K149" s="60">
        <f t="array" ref="K149">SUM((K146='Accident &amp; Incident Detail'!$C$2:$C$3433)*(Data!$A$138='Accident &amp; Incident Detail'!$E$2:$E$3433)*("Passenger"='Accident &amp; Incident Detail'!$K$2:$K$3433))</f>
        <v>0</v>
      </c>
      <c r="L149" s="60">
        <f t="array" ref="L149">SUM((L146='Accident &amp; Incident Detail'!$C$2:$C$3433)*(Data!$A$138='Accident &amp; Incident Detail'!$E$2:$E$3433)*("Passenger"='Accident &amp; Incident Detail'!$K$2:$K$3433))</f>
        <v>0</v>
      </c>
      <c r="M149" s="60">
        <f t="array" ref="M149">SUM((M146='Accident &amp; Incident Detail'!$C$2:$C$3433)*(Data!$A$138='Accident &amp; Incident Detail'!$E$2:$E$3433)*("Passenger"='Accident &amp; Incident Detail'!$K$2:$K$3433))</f>
        <v>0</v>
      </c>
      <c r="N149" s="60">
        <f t="array" ref="N149">SUM((N146='Accident &amp; Incident Detail'!$C$2:$C$3433)*(Data!$A$138='Accident &amp; Incident Detail'!$E$2:$E$3433)*("Passenger"='Accident &amp; Incident Detail'!$K$2:$K$3433))</f>
        <v>0</v>
      </c>
      <c r="O149" s="60">
        <f t="array" ref="O149">SUM((O146='Accident &amp; Incident Detail'!$C$2:$C$3433)*(Data!$A$138='Accident &amp; Incident Detail'!$E$2:$E$3433)*("Passenger"='Accident &amp; Incident Detail'!$K$2:$K$3433))</f>
        <v>0</v>
      </c>
      <c r="P149" s="60">
        <f t="array" ref="P149">SUM((P146='Accident &amp; Incident Detail'!$C$2:$C$3433)*(Data!$A$138='Accident &amp; Incident Detail'!$E$2:$E$3433)*("Passenger"='Accident &amp; Incident Detail'!$K$2:$K$3433))</f>
        <v>0</v>
      </c>
      <c r="Q149" s="60">
        <f t="array" ref="Q149">SUM((Q146='Accident &amp; Incident Detail'!$C$2:$C$3433)*(Data!$A$138='Accident &amp; Incident Detail'!$E$2:$E$3433)*("Passenger"='Accident &amp; Incident Detail'!$K$2:$K$3433))</f>
        <v>0</v>
      </c>
      <c r="R149" s="60">
        <f t="array" ref="R149">SUM((R146='Accident &amp; Incident Detail'!$C$2:$C$3433)*(Data!$A$138='Accident &amp; Incident Detail'!$E$2:$E$3433)*("Passenger"='Accident &amp; Incident Detail'!$K$2:$K$3433))</f>
        <v>0</v>
      </c>
      <c r="S149" s="60">
        <f t="array" ref="S149">SUM((S146='Accident &amp; Incident Detail'!$C$2:$C$3433)*(Data!$A$138='Accident &amp; Incident Detail'!$E$2:$E$3433)*("Passenger"='Accident &amp; Incident Detail'!$K$2:$K$3433))</f>
        <v>0</v>
      </c>
      <c r="T149" s="60">
        <f t="array" ref="T149">SUM((T146='Accident &amp; Incident Detail'!$C$2:$C$3433)*(Data!$A$138='Accident &amp; Incident Detail'!$E$2:$E$3433)*("Passenger"='Accident &amp; Incident Detail'!$K$2:$K$3433))</f>
        <v>0</v>
      </c>
      <c r="U149" s="60">
        <f t="array" ref="U149">SUM((U146='Accident &amp; Incident Detail'!$C$2:$C$3433)*(Data!$A$138='Accident &amp; Incident Detail'!$E$2:$E$3433)*("Passenger"='Accident &amp; Incident Detail'!$K$2:$K$3433))</f>
        <v>0</v>
      </c>
      <c r="V149" s="60">
        <f t="array" ref="V149">SUM((V146='Accident &amp; Incident Detail'!$C$2:$C$3433)*(Data!$A$138='Accident &amp; Incident Detail'!$E$2:$E$3433)*("Passenger"='Accident &amp; Incident Detail'!$K$2:$K$3433))</f>
        <v>0</v>
      </c>
      <c r="W149" s="60">
        <f t="array" ref="W149">SUM((W146='Accident &amp; Incident Detail'!$C$2:$C$3433)*(Data!$A$138='Accident &amp; Incident Detail'!$E$2:$E$3433)*("Passenger"='Accident &amp; Incident Detail'!$K$2:$K$3433))</f>
        <v>0</v>
      </c>
      <c r="X149" s="60">
        <f t="array" ref="X149">SUM((X146='Accident &amp; Incident Detail'!$C$2:$C$3433)*(Data!$A$138='Accident &amp; Incident Detail'!$E$2:$E$3433)*("Passenger"='Accident &amp; Incident Detail'!$K$2:$K$3433))</f>
        <v>0</v>
      </c>
      <c r="Y149" s="60">
        <f t="array" ref="Y149">SUM((Y146='Accident &amp; Incident Detail'!$C$2:$C$3433)*(Data!$A$138='Accident &amp; Incident Detail'!$E$2:$E$3433)*("Passenger"='Accident &amp; Incident Detail'!$K$2:$K$3433))</f>
        <v>0</v>
      </c>
      <c r="Z149" s="60">
        <f t="array" ref="Z149">SUM((Z146='Accident &amp; Incident Detail'!$C$2:$C$3433)*(Data!$A$138='Accident &amp; Incident Detail'!$E$2:$E$3433)*("Passenger"='Accident &amp; Incident Detail'!$K$2:$K$3433))</f>
        <v>0</v>
      </c>
      <c r="AA149" s="60">
        <f t="array" ref="AA149">SUM((AA146='Accident &amp; Incident Detail'!$C$2:$C$3433)*(Data!$A$138='Accident &amp; Incident Detail'!$E$2:$E$3433)*("Passenger"='Accident &amp; Incident Detail'!$K$2:$K$3433))</f>
        <v>0</v>
      </c>
      <c r="AB149" s="60">
        <f t="array" ref="AB149">SUM((AB146='Accident &amp; Incident Detail'!$C$2:$C$3433)*(Data!$A$138='Accident &amp; Incident Detail'!$E$2:$E$3433)*("Passenger"='Accident &amp; Incident Detail'!$K$2:$K$3433))</f>
        <v>0</v>
      </c>
      <c r="AC149" s="60">
        <f t="array" ref="AC149">SUM((AC146='Accident &amp; Incident Detail'!$C$2:$C$3433)*(Data!$A$138='Accident &amp; Incident Detail'!$E$2:$E$3433)*("Passenger"='Accident &amp; Incident Detail'!$K$2:$K$3433))</f>
        <v>0</v>
      </c>
      <c r="AD149" s="60">
        <f t="array" ref="AD149">SUM((AD146='Accident &amp; Incident Detail'!$C$2:$C$3433)*(Data!$A$138='Accident &amp; Incident Detail'!$E$2:$E$3433)*("Passenger"='Accident &amp; Incident Detail'!$K$2:$K$3433))</f>
        <v>0</v>
      </c>
      <c r="AE149" s="60">
        <f t="array" ref="AE149">SUM((AE146='Accident &amp; Incident Detail'!$C$2:$C$3433)*(Data!$A$138='Accident &amp; Incident Detail'!$E$2:$E$3433)*("Passenger"='Accident &amp; Incident Detail'!$K$2:$K$3433))</f>
        <v>0</v>
      </c>
      <c r="AF149" s="60">
        <f t="array" ref="AF149">SUM((AF146='Accident &amp; Incident Detail'!$C$2:$C$3433)*(Data!$A$138='Accident &amp; Incident Detail'!$E$2:$E$3433)*("Passenger"='Accident &amp; Incident Detail'!$K$2:$K$3433))</f>
        <v>0</v>
      </c>
      <c r="AG149" s="60">
        <f t="array" ref="AG149">SUM((AG146='Accident &amp; Incident Detail'!$C$2:$C$3433)*(Data!$A$138='Accident &amp; Incident Detail'!$E$2:$E$3433)*("Passenger"='Accident &amp; Incident Detail'!$K$2:$K$3433))</f>
        <v>0</v>
      </c>
      <c r="AH149" s="60">
        <f t="array" ref="AH149">SUM((AH146='Accident &amp; Incident Detail'!$C$2:$C$3433)*(Data!$A$138='Accident &amp; Incident Detail'!$E$2:$E$3433)*("Passenger"='Accident &amp; Incident Detail'!$K$2:$K$3433))</f>
        <v>0</v>
      </c>
      <c r="AI149" s="60">
        <f t="array" ref="AI149">SUM((AI146='Accident &amp; Incident Detail'!$C$2:$C$3433)*(Data!$A$138='Accident &amp; Incident Detail'!$E$2:$E$3433)*("Passenger"='Accident &amp; Incident Detail'!$K$2:$K$3433))</f>
        <v>0</v>
      </c>
      <c r="AJ149" s="60">
        <f t="array" ref="AJ149">SUM((AJ146='Accident &amp; Incident Detail'!$C$2:$C$3433)*(Data!$A$138='Accident &amp; Incident Detail'!$E$2:$E$3433)*("Passenger"='Accident &amp; Incident Detail'!$K$2:$K$3433))</f>
        <v>0</v>
      </c>
      <c r="AK149" s="60">
        <f t="array" ref="AK149">SUM((AK146='Accident &amp; Incident Detail'!$C$2:$C$3433)*(Data!$A$138='Accident &amp; Incident Detail'!$E$2:$E$3433)*("Passenger"='Accident &amp; Incident Detail'!$K$2:$K$3433))</f>
        <v>0</v>
      </c>
      <c r="AL149" s="60">
        <f t="array" ref="AL149">SUM((AL146='Accident &amp; Incident Detail'!$C$2:$C$3433)*(Data!$A$138='Accident &amp; Incident Detail'!$E$2:$E$3433)*("Passenger"='Accident &amp; Incident Detail'!$K$2:$K$3433))</f>
        <v>0</v>
      </c>
      <c r="AM149" s="60">
        <f t="array" ref="AM149">SUM((AM146='Accident &amp; Incident Detail'!$C$2:$C$3433)*(Data!$A$138='Accident &amp; Incident Detail'!$E$2:$E$3433)*("Passenger"='Accident &amp; Incident Detail'!$K$2:$K$3433))</f>
        <v>0</v>
      </c>
      <c r="AN149" s="60">
        <f t="array" ref="AN149">SUM((AN146='Accident &amp; Incident Detail'!$C$2:$C$3433)*(Data!$A$138='Accident &amp; Incident Detail'!$E$2:$E$3433)*("Passenger"='Accident &amp; Incident Detail'!$K$2:$K$3433))</f>
        <v>0</v>
      </c>
    </row>
    <row r="150" spans="1:40" ht="15" thickBot="1" x14ac:dyDescent="0.4">
      <c r="A150" s="123" t="s">
        <v>15</v>
      </c>
      <c r="B150" s="432">
        <f>IF(B$1=1,(SUM(B149:B149)/13),0)</f>
        <v>0</v>
      </c>
      <c r="C150" s="432">
        <f t="shared" ref="C150:AN150" si="158">IF(C$1=1,(SUM(C149:C149)/13),0)</f>
        <v>0</v>
      </c>
      <c r="D150" s="432">
        <f t="shared" si="158"/>
        <v>0</v>
      </c>
      <c r="E150" s="432">
        <f t="shared" si="158"/>
        <v>0</v>
      </c>
      <c r="F150" s="432">
        <f t="shared" si="158"/>
        <v>0</v>
      </c>
      <c r="G150" s="432">
        <f t="shared" si="158"/>
        <v>0</v>
      </c>
      <c r="H150" s="432">
        <f t="shared" si="158"/>
        <v>0</v>
      </c>
      <c r="I150" s="432">
        <f t="shared" si="158"/>
        <v>0</v>
      </c>
      <c r="J150" s="44">
        <f t="shared" si="158"/>
        <v>0</v>
      </c>
      <c r="K150" s="44">
        <f t="shared" si="158"/>
        <v>0</v>
      </c>
      <c r="L150" s="44">
        <f t="shared" si="158"/>
        <v>0</v>
      </c>
      <c r="M150" s="44">
        <f t="shared" si="158"/>
        <v>0</v>
      </c>
      <c r="N150" s="44">
        <f t="shared" si="158"/>
        <v>0</v>
      </c>
      <c r="O150" s="44">
        <f t="shared" si="158"/>
        <v>0</v>
      </c>
      <c r="P150" s="44">
        <f t="shared" si="158"/>
        <v>0</v>
      </c>
      <c r="Q150" s="44">
        <f t="shared" si="158"/>
        <v>0</v>
      </c>
      <c r="R150" s="44">
        <f t="shared" si="158"/>
        <v>0</v>
      </c>
      <c r="S150" s="44">
        <f t="shared" si="158"/>
        <v>0</v>
      </c>
      <c r="T150" s="44">
        <f t="shared" si="158"/>
        <v>0</v>
      </c>
      <c r="U150" s="44">
        <f t="shared" si="158"/>
        <v>0</v>
      </c>
      <c r="V150" s="44">
        <f t="shared" si="158"/>
        <v>0</v>
      </c>
      <c r="W150" s="44">
        <f t="shared" si="158"/>
        <v>0</v>
      </c>
      <c r="X150" s="44">
        <f t="shared" si="158"/>
        <v>0</v>
      </c>
      <c r="Y150" s="44">
        <f t="shared" si="158"/>
        <v>0</v>
      </c>
      <c r="Z150" s="44">
        <f t="shared" si="158"/>
        <v>0</v>
      </c>
      <c r="AA150" s="44">
        <f t="shared" si="158"/>
        <v>0</v>
      </c>
      <c r="AB150" s="44">
        <f t="shared" si="158"/>
        <v>0</v>
      </c>
      <c r="AC150" s="44">
        <f t="shared" si="158"/>
        <v>0</v>
      </c>
      <c r="AD150" s="44">
        <f t="shared" si="158"/>
        <v>0</v>
      </c>
      <c r="AE150" s="44">
        <f t="shared" si="158"/>
        <v>0</v>
      </c>
      <c r="AF150" s="44">
        <f t="shared" si="158"/>
        <v>0</v>
      </c>
      <c r="AG150" s="44">
        <f t="shared" si="158"/>
        <v>0</v>
      </c>
      <c r="AH150" s="44">
        <f t="shared" si="158"/>
        <v>0</v>
      </c>
      <c r="AI150" s="44">
        <f t="shared" si="158"/>
        <v>0</v>
      </c>
      <c r="AJ150" s="44">
        <f t="shared" si="158"/>
        <v>0</v>
      </c>
      <c r="AK150" s="44">
        <f t="shared" si="158"/>
        <v>0</v>
      </c>
      <c r="AL150" s="44">
        <f t="shared" si="158"/>
        <v>0</v>
      </c>
      <c r="AM150" s="44">
        <f t="shared" si="158"/>
        <v>0</v>
      </c>
      <c r="AN150" s="44">
        <f t="shared" si="158"/>
        <v>0</v>
      </c>
    </row>
    <row r="151" spans="1:40" x14ac:dyDescent="0.35">
      <c r="A151" s="123" t="s">
        <v>42</v>
      </c>
      <c r="B151" s="431">
        <f t="array" ref="B151">SUM((B146='Accident &amp; Incident Detail'!$C$2:$C$3433)*(Data!$A$140='Accident &amp; Incident Detail'!$E$2:$E$3433)*("Passenger"='Accident &amp; Incident Detail'!$K$2:$K$3433))</f>
        <v>0</v>
      </c>
      <c r="C151" s="431">
        <f t="array" ref="C151">SUM((C146='Accident &amp; Incident Detail'!$C$2:$C$3433)*(Data!$A$140='Accident &amp; Incident Detail'!$E$2:$E$3433)*("Passenger"='Accident &amp; Incident Detail'!$K$2:$K$3433))</f>
        <v>0</v>
      </c>
      <c r="D151" s="431">
        <f t="array" ref="D151">SUM((D146='Accident &amp; Incident Detail'!$C$2:$C$3433)*(Data!$A$140='Accident &amp; Incident Detail'!$E$2:$E$3433)*("Passenger"='Accident &amp; Incident Detail'!$K$2:$K$3433))</f>
        <v>0</v>
      </c>
      <c r="E151" s="431">
        <f t="array" ref="E151">SUM((E146='Accident &amp; Incident Detail'!$C$2:$C$3433)*(Data!$A$140='Accident &amp; Incident Detail'!$E$2:$E$3433)*("Passenger"='Accident &amp; Incident Detail'!$K$2:$K$3433))</f>
        <v>0</v>
      </c>
      <c r="F151" s="431">
        <f t="array" ref="F151">SUM((F146='Accident &amp; Incident Detail'!$C$2:$C$3433)*(Data!$A$140='Accident &amp; Incident Detail'!$E$2:$E$3433)*("Passenger"='Accident &amp; Incident Detail'!$K$2:$K$3433))</f>
        <v>0</v>
      </c>
      <c r="G151" s="431">
        <f t="array" ref="G151">SUM((G146='Accident &amp; Incident Detail'!$C$2:$C$3433)*(Data!$A$140='Accident &amp; Incident Detail'!$E$2:$E$3433)*("Passenger"='Accident &amp; Incident Detail'!$K$2:$K$3433))</f>
        <v>0</v>
      </c>
      <c r="H151" s="431">
        <f t="array" ref="H151">SUM((H146='Accident &amp; Incident Detail'!$C$2:$C$3433)*(Data!$A$140='Accident &amp; Incident Detail'!$E$2:$E$3433)*("Passenger"='Accident &amp; Incident Detail'!$K$2:$K$3433))</f>
        <v>0</v>
      </c>
      <c r="I151" s="431">
        <f t="array" ref="I151">SUM((I146='Accident &amp; Incident Detail'!$C$2:$C$3433)*(Data!$A$140='Accident &amp; Incident Detail'!$E$2:$E$3433)*("Passenger"='Accident &amp; Incident Detail'!$K$2:$K$3433))</f>
        <v>0</v>
      </c>
      <c r="J151" s="60">
        <f t="array" ref="J151">SUM((J146='Accident &amp; Incident Detail'!$C$2:$C$3433)*(Data!$A$140='Accident &amp; Incident Detail'!$E$2:$E$3433)*("Passenger"='Accident &amp; Incident Detail'!$K$2:$K$3433))</f>
        <v>0</v>
      </c>
      <c r="K151" s="60">
        <f t="array" ref="K151">SUM((K146='Accident &amp; Incident Detail'!$C$2:$C$3433)*(Data!$A$140='Accident &amp; Incident Detail'!$E$2:$E$3433)*("Passenger"='Accident &amp; Incident Detail'!$K$2:$K$3433))</f>
        <v>0</v>
      </c>
      <c r="L151" s="60">
        <f t="array" ref="L151">SUM((L146='Accident &amp; Incident Detail'!$C$2:$C$3433)*(Data!$A$140='Accident &amp; Incident Detail'!$E$2:$E$3433)*("Passenger"='Accident &amp; Incident Detail'!$K$2:$K$3433))</f>
        <v>0</v>
      </c>
      <c r="M151" s="60">
        <f t="array" ref="M151">SUM((M146='Accident &amp; Incident Detail'!$C$2:$C$3433)*(Data!$A$140='Accident &amp; Incident Detail'!$E$2:$E$3433)*("Passenger"='Accident &amp; Incident Detail'!$K$2:$K$3433))</f>
        <v>0</v>
      </c>
      <c r="N151" s="60">
        <f t="array" ref="N151">SUM((N146='Accident &amp; Incident Detail'!$C$2:$C$3433)*(Data!$A$140='Accident &amp; Incident Detail'!$E$2:$E$3433)*("Passenger"='Accident &amp; Incident Detail'!$K$2:$K$3433))</f>
        <v>0</v>
      </c>
      <c r="O151" s="60">
        <f t="array" ref="O151">SUM((O146='Accident &amp; Incident Detail'!$C$2:$C$3433)*(Data!$A$140='Accident &amp; Incident Detail'!$E$2:$E$3433)*("Passenger"='Accident &amp; Incident Detail'!$K$2:$K$3433))</f>
        <v>0</v>
      </c>
      <c r="P151" s="60">
        <f t="array" ref="P151">SUM((P146='Accident &amp; Incident Detail'!$C$2:$C$3433)*(Data!$A$140='Accident &amp; Incident Detail'!$E$2:$E$3433)*("Passenger"='Accident &amp; Incident Detail'!$K$2:$K$3433))</f>
        <v>0</v>
      </c>
      <c r="Q151" s="60">
        <f t="array" ref="Q151">SUM((Q146='Accident &amp; Incident Detail'!$C$2:$C$3433)*(Data!$A$140='Accident &amp; Incident Detail'!$E$2:$E$3433)*("Passenger"='Accident &amp; Incident Detail'!$K$2:$K$3433))</f>
        <v>0</v>
      </c>
      <c r="R151" s="60">
        <f t="array" ref="R151">SUM((R146='Accident &amp; Incident Detail'!$C$2:$C$3433)*(Data!$A$140='Accident &amp; Incident Detail'!$E$2:$E$3433)*("Passenger"='Accident &amp; Incident Detail'!$K$2:$K$3433))</f>
        <v>0</v>
      </c>
      <c r="S151" s="60">
        <f t="array" ref="S151">SUM((S146='Accident &amp; Incident Detail'!$C$2:$C$3433)*(Data!$A$140='Accident &amp; Incident Detail'!$E$2:$E$3433)*("Passenger"='Accident &amp; Incident Detail'!$K$2:$K$3433))</f>
        <v>0</v>
      </c>
      <c r="T151" s="60">
        <f t="array" ref="T151">SUM((T146='Accident &amp; Incident Detail'!$C$2:$C$3433)*(Data!$A$140='Accident &amp; Incident Detail'!$E$2:$E$3433)*("Passenger"='Accident &amp; Incident Detail'!$K$2:$K$3433))</f>
        <v>0</v>
      </c>
      <c r="U151" s="60">
        <f t="array" ref="U151">SUM((U146='Accident &amp; Incident Detail'!$C$2:$C$3433)*(Data!$A$140='Accident &amp; Incident Detail'!$E$2:$E$3433)*("Passenger"='Accident &amp; Incident Detail'!$K$2:$K$3433))</f>
        <v>0</v>
      </c>
      <c r="V151" s="60">
        <f t="array" ref="V151">SUM((V146='Accident &amp; Incident Detail'!$C$2:$C$3433)*(Data!$A$140='Accident &amp; Incident Detail'!$E$2:$E$3433)*("Passenger"='Accident &amp; Incident Detail'!$K$2:$K$3433))</f>
        <v>0</v>
      </c>
      <c r="W151" s="60">
        <f t="array" ref="W151">SUM((W146='Accident &amp; Incident Detail'!$C$2:$C$3433)*(Data!$A$140='Accident &amp; Incident Detail'!$E$2:$E$3433)*("Passenger"='Accident &amp; Incident Detail'!$K$2:$K$3433))</f>
        <v>0</v>
      </c>
      <c r="X151" s="60">
        <f t="array" ref="X151">SUM((X146='Accident &amp; Incident Detail'!$C$2:$C$3433)*(Data!$A$140='Accident &amp; Incident Detail'!$E$2:$E$3433)*("Passenger"='Accident &amp; Incident Detail'!$K$2:$K$3433))</f>
        <v>0</v>
      </c>
      <c r="Y151" s="60">
        <f t="array" ref="Y151">SUM((Y146='Accident &amp; Incident Detail'!$C$2:$C$3433)*(Data!$A$140='Accident &amp; Incident Detail'!$E$2:$E$3433)*("Passenger"='Accident &amp; Incident Detail'!$K$2:$K$3433))</f>
        <v>0</v>
      </c>
      <c r="Z151" s="60">
        <f t="array" ref="Z151">SUM((Z146='Accident &amp; Incident Detail'!$C$2:$C$3433)*(Data!$A$140='Accident &amp; Incident Detail'!$E$2:$E$3433)*("Passenger"='Accident &amp; Incident Detail'!$K$2:$K$3433))</f>
        <v>0</v>
      </c>
      <c r="AA151" s="60">
        <f t="array" ref="AA151">SUM((AA146='Accident &amp; Incident Detail'!$C$2:$C$3433)*(Data!$A$140='Accident &amp; Incident Detail'!$E$2:$E$3433)*("Passenger"='Accident &amp; Incident Detail'!$K$2:$K$3433))</f>
        <v>0</v>
      </c>
      <c r="AB151" s="60">
        <f t="array" ref="AB151">SUM((AB146='Accident &amp; Incident Detail'!$C$2:$C$3433)*(Data!$A$140='Accident &amp; Incident Detail'!$E$2:$E$3433)*("Passenger"='Accident &amp; Incident Detail'!$K$2:$K$3433))</f>
        <v>0</v>
      </c>
      <c r="AC151" s="60">
        <f t="array" ref="AC151">SUM((AC146='Accident &amp; Incident Detail'!$C$2:$C$3433)*(Data!$A$140='Accident &amp; Incident Detail'!$E$2:$E$3433)*("Passenger"='Accident &amp; Incident Detail'!$K$2:$K$3433))</f>
        <v>0</v>
      </c>
      <c r="AD151" s="60">
        <f t="array" ref="AD151">SUM((AD146='Accident &amp; Incident Detail'!$C$2:$C$3433)*(Data!$A$140='Accident &amp; Incident Detail'!$E$2:$E$3433)*("Passenger"='Accident &amp; Incident Detail'!$K$2:$K$3433))</f>
        <v>0</v>
      </c>
      <c r="AE151" s="60">
        <f t="array" ref="AE151">SUM((AE146='Accident &amp; Incident Detail'!$C$2:$C$3433)*(Data!$A$140='Accident &amp; Incident Detail'!$E$2:$E$3433)*("Passenger"='Accident &amp; Incident Detail'!$K$2:$K$3433))</f>
        <v>0</v>
      </c>
      <c r="AF151" s="60">
        <f t="array" ref="AF151">SUM((AF146='Accident &amp; Incident Detail'!$C$2:$C$3433)*(Data!$A$140='Accident &amp; Incident Detail'!$E$2:$E$3433)*("Passenger"='Accident &amp; Incident Detail'!$K$2:$K$3433))</f>
        <v>0</v>
      </c>
      <c r="AG151" s="60">
        <f t="array" ref="AG151">SUM((AG146='Accident &amp; Incident Detail'!$C$2:$C$3433)*(Data!$A$140='Accident &amp; Incident Detail'!$E$2:$E$3433)*("Passenger"='Accident &amp; Incident Detail'!$K$2:$K$3433))</f>
        <v>0</v>
      </c>
      <c r="AH151" s="60">
        <f t="array" ref="AH151">SUM((AH146='Accident &amp; Incident Detail'!$C$2:$C$3433)*(Data!$A$140='Accident &amp; Incident Detail'!$E$2:$E$3433)*("Passenger"='Accident &amp; Incident Detail'!$K$2:$K$3433))</f>
        <v>0</v>
      </c>
      <c r="AI151" s="60">
        <f t="array" ref="AI151">SUM((AI146='Accident &amp; Incident Detail'!$C$2:$C$3433)*(Data!$A$140='Accident &amp; Incident Detail'!$E$2:$E$3433)*("Passenger"='Accident &amp; Incident Detail'!$K$2:$K$3433))</f>
        <v>0</v>
      </c>
      <c r="AJ151" s="60">
        <f t="array" ref="AJ151">SUM((AJ146='Accident &amp; Incident Detail'!$C$2:$C$3433)*(Data!$A$140='Accident &amp; Incident Detail'!$E$2:$E$3433)*("Passenger"='Accident &amp; Incident Detail'!$K$2:$K$3433))</f>
        <v>0</v>
      </c>
      <c r="AK151" s="60">
        <f t="array" ref="AK151">SUM((AK146='Accident &amp; Incident Detail'!$C$2:$C$3433)*(Data!$A$140='Accident &amp; Incident Detail'!$E$2:$E$3433)*("Passenger"='Accident &amp; Incident Detail'!$K$2:$K$3433))</f>
        <v>0</v>
      </c>
      <c r="AL151" s="60">
        <f t="array" ref="AL151">SUM((AL146='Accident &amp; Incident Detail'!$C$2:$C$3433)*(Data!$A$140='Accident &amp; Incident Detail'!$E$2:$E$3433)*("Passenger"='Accident &amp; Incident Detail'!$K$2:$K$3433))</f>
        <v>0</v>
      </c>
      <c r="AM151" s="60">
        <f t="array" ref="AM151">SUM((AM146='Accident &amp; Incident Detail'!$C$2:$C$3433)*(Data!$A$140='Accident &amp; Incident Detail'!$E$2:$E$3433)*("Passenger"='Accident &amp; Incident Detail'!$K$2:$K$3433))</f>
        <v>0</v>
      </c>
      <c r="AN151" s="60">
        <f t="array" ref="AN151">SUM((AN146='Accident &amp; Incident Detail'!$C$2:$C$3433)*(Data!$A$140='Accident &amp; Incident Detail'!$E$2:$E$3433)*("Passenger"='Accident &amp; Incident Detail'!$K$2:$K$3433))</f>
        <v>0</v>
      </c>
    </row>
    <row r="152" spans="1:40" ht="15" thickBot="1" x14ac:dyDescent="0.4">
      <c r="A152" s="125" t="s">
        <v>15</v>
      </c>
      <c r="B152" s="433">
        <f>IF(B$1=1,(SUM(B151:B151)/13),0)</f>
        <v>0</v>
      </c>
      <c r="C152" s="433">
        <f t="shared" ref="C152:AN152" si="159">IF(C$1=1,(SUM(C151:C151)/13),0)</f>
        <v>0</v>
      </c>
      <c r="D152" s="433">
        <f t="shared" si="159"/>
        <v>0</v>
      </c>
      <c r="E152" s="433">
        <f t="shared" si="159"/>
        <v>0</v>
      </c>
      <c r="F152" s="433">
        <f t="shared" si="159"/>
        <v>0</v>
      </c>
      <c r="G152" s="433">
        <f t="shared" si="159"/>
        <v>0</v>
      </c>
      <c r="H152" s="433">
        <f t="shared" si="159"/>
        <v>0</v>
      </c>
      <c r="I152" s="433">
        <f t="shared" si="159"/>
        <v>0</v>
      </c>
      <c r="J152" s="75">
        <f t="shared" si="159"/>
        <v>0</v>
      </c>
      <c r="K152" s="75">
        <f t="shared" si="159"/>
        <v>0</v>
      </c>
      <c r="L152" s="75">
        <f t="shared" si="159"/>
        <v>0</v>
      </c>
      <c r="M152" s="75">
        <f t="shared" si="159"/>
        <v>0</v>
      </c>
      <c r="N152" s="75">
        <f t="shared" si="159"/>
        <v>0</v>
      </c>
      <c r="O152" s="75">
        <f t="shared" si="159"/>
        <v>0</v>
      </c>
      <c r="P152" s="75">
        <f t="shared" si="159"/>
        <v>0</v>
      </c>
      <c r="Q152" s="75">
        <f t="shared" si="159"/>
        <v>0</v>
      </c>
      <c r="R152" s="75">
        <f t="shared" si="159"/>
        <v>0</v>
      </c>
      <c r="S152" s="75">
        <f t="shared" si="159"/>
        <v>0</v>
      </c>
      <c r="T152" s="75">
        <f t="shared" si="159"/>
        <v>0</v>
      </c>
      <c r="U152" s="75">
        <f t="shared" si="159"/>
        <v>0</v>
      </c>
      <c r="V152" s="75">
        <f t="shared" si="159"/>
        <v>0</v>
      </c>
      <c r="W152" s="75">
        <f t="shared" si="159"/>
        <v>0</v>
      </c>
      <c r="X152" s="75">
        <f t="shared" si="159"/>
        <v>0</v>
      </c>
      <c r="Y152" s="75">
        <f t="shared" si="159"/>
        <v>0</v>
      </c>
      <c r="Z152" s="75">
        <f t="shared" si="159"/>
        <v>0</v>
      </c>
      <c r="AA152" s="75">
        <f t="shared" si="159"/>
        <v>0</v>
      </c>
      <c r="AB152" s="75">
        <f t="shared" si="159"/>
        <v>0</v>
      </c>
      <c r="AC152" s="75">
        <f t="shared" si="159"/>
        <v>0</v>
      </c>
      <c r="AD152" s="75">
        <f t="shared" si="159"/>
        <v>0</v>
      </c>
      <c r="AE152" s="75">
        <f t="shared" si="159"/>
        <v>0</v>
      </c>
      <c r="AF152" s="75">
        <f t="shared" si="159"/>
        <v>0</v>
      </c>
      <c r="AG152" s="75">
        <f t="shared" si="159"/>
        <v>0</v>
      </c>
      <c r="AH152" s="75">
        <f t="shared" si="159"/>
        <v>0</v>
      </c>
      <c r="AI152" s="75">
        <f t="shared" si="159"/>
        <v>0</v>
      </c>
      <c r="AJ152" s="75">
        <f t="shared" si="159"/>
        <v>0</v>
      </c>
      <c r="AK152" s="75">
        <f t="shared" si="159"/>
        <v>0</v>
      </c>
      <c r="AL152" s="75">
        <f t="shared" si="159"/>
        <v>0</v>
      </c>
      <c r="AM152" s="75">
        <f t="shared" si="159"/>
        <v>0</v>
      </c>
      <c r="AN152" s="75">
        <f t="shared" si="159"/>
        <v>0</v>
      </c>
    </row>
    <row r="153" spans="1:40" ht="15" thickBot="1" x14ac:dyDescent="0.4">
      <c r="A153" s="134" t="s">
        <v>14</v>
      </c>
      <c r="B153" s="434">
        <f t="shared" ref="B153:N153" si="160">SUM(B147+B149+B151)</f>
        <v>0</v>
      </c>
      <c r="C153" s="434">
        <f t="shared" si="160"/>
        <v>0</v>
      </c>
      <c r="D153" s="434">
        <f t="shared" si="160"/>
        <v>0</v>
      </c>
      <c r="E153" s="434">
        <f t="shared" si="160"/>
        <v>0</v>
      </c>
      <c r="F153" s="434">
        <f t="shared" si="160"/>
        <v>0</v>
      </c>
      <c r="G153" s="434">
        <f t="shared" si="160"/>
        <v>0</v>
      </c>
      <c r="H153" s="434">
        <f t="shared" si="160"/>
        <v>0</v>
      </c>
      <c r="I153" s="434">
        <f t="shared" si="160"/>
        <v>0</v>
      </c>
      <c r="J153" s="165">
        <f t="shared" si="160"/>
        <v>0</v>
      </c>
      <c r="K153" s="165">
        <f t="shared" si="160"/>
        <v>0</v>
      </c>
      <c r="L153" s="165">
        <f t="shared" si="160"/>
        <v>0</v>
      </c>
      <c r="M153" s="165">
        <f t="shared" si="160"/>
        <v>0</v>
      </c>
      <c r="N153" s="165">
        <f t="shared" si="160"/>
        <v>0</v>
      </c>
      <c r="O153" s="165">
        <f t="shared" ref="O153:Z153" si="161">SUM(O147+O149+O151)</f>
        <v>0</v>
      </c>
      <c r="P153" s="165">
        <f t="shared" si="161"/>
        <v>0</v>
      </c>
      <c r="Q153" s="165">
        <f t="shared" si="161"/>
        <v>0</v>
      </c>
      <c r="R153" s="165">
        <f t="shared" si="161"/>
        <v>0</v>
      </c>
      <c r="S153" s="165">
        <f t="shared" si="161"/>
        <v>0</v>
      </c>
      <c r="T153" s="165">
        <f t="shared" si="161"/>
        <v>0</v>
      </c>
      <c r="U153" s="165">
        <f t="shared" si="161"/>
        <v>0</v>
      </c>
      <c r="V153" s="165">
        <f t="shared" si="161"/>
        <v>0</v>
      </c>
      <c r="W153" s="165">
        <f t="shared" si="161"/>
        <v>0</v>
      </c>
      <c r="X153" s="165">
        <f t="shared" si="161"/>
        <v>0</v>
      </c>
      <c r="Y153" s="165">
        <f t="shared" si="161"/>
        <v>0</v>
      </c>
      <c r="Z153" s="165">
        <f t="shared" si="161"/>
        <v>0</v>
      </c>
      <c r="AA153" s="165">
        <f t="shared" ref="AA153:AN153" si="162">SUM(AA147+AA149+AA151)</f>
        <v>0</v>
      </c>
      <c r="AB153" s="165">
        <f t="shared" si="162"/>
        <v>0</v>
      </c>
      <c r="AC153" s="165">
        <f t="shared" si="162"/>
        <v>0</v>
      </c>
      <c r="AD153" s="165">
        <f t="shared" si="162"/>
        <v>0</v>
      </c>
      <c r="AE153" s="165">
        <f t="shared" si="162"/>
        <v>0</v>
      </c>
      <c r="AF153" s="165">
        <f t="shared" si="162"/>
        <v>0</v>
      </c>
      <c r="AG153" s="165">
        <f t="shared" si="162"/>
        <v>0</v>
      </c>
      <c r="AH153" s="165">
        <f t="shared" si="162"/>
        <v>0</v>
      </c>
      <c r="AI153" s="165">
        <f t="shared" si="162"/>
        <v>0</v>
      </c>
      <c r="AJ153" s="165">
        <f t="shared" si="162"/>
        <v>0</v>
      </c>
      <c r="AK153" s="165">
        <f t="shared" si="162"/>
        <v>0</v>
      </c>
      <c r="AL153" s="165">
        <f t="shared" si="162"/>
        <v>0</v>
      </c>
      <c r="AM153" s="165">
        <f t="shared" si="162"/>
        <v>0</v>
      </c>
      <c r="AN153" s="165">
        <f t="shared" si="162"/>
        <v>0</v>
      </c>
    </row>
    <row r="154" spans="1:40" ht="15" thickBot="1" x14ac:dyDescent="0.4">
      <c r="A154" s="121" t="s">
        <v>15</v>
      </c>
      <c r="B154" s="435">
        <f>IF(B1,(SUM(B153:B153)/13),0)</f>
        <v>0</v>
      </c>
      <c r="C154" s="435">
        <f>IF(C1,(SUM(B153:C153)/13),0)</f>
        <v>0</v>
      </c>
      <c r="D154" s="435">
        <f>IF(D1,(SUM(B153:D153)/13),0)</f>
        <v>0</v>
      </c>
      <c r="E154" s="435">
        <f>IF(E1,(SUM(B153:E153)/13),0)</f>
        <v>0</v>
      </c>
      <c r="F154" s="435">
        <f>IF(F1,(SUM(B153:F153)/13),0)</f>
        <v>0</v>
      </c>
      <c r="G154" s="435">
        <f>IF(G1,(SUM(B153:G153)/13),0)</f>
        <v>0</v>
      </c>
      <c r="H154" s="435">
        <f>IF(H1,(SUM(B153:H153)/13),0)</f>
        <v>0</v>
      </c>
      <c r="I154" s="435">
        <f>IF(I1,(SUM(B153:I153)/13),0)</f>
        <v>0</v>
      </c>
      <c r="J154" s="59">
        <f>IF(J1,(SUM(B153:J153)/13),0)</f>
        <v>0</v>
      </c>
      <c r="K154" s="59">
        <f>IF(K1,(SUM(B153:K153)/13),0)</f>
        <v>0</v>
      </c>
      <c r="L154" s="59">
        <f>IF(L1,(SUM(B153:L153)/13),0)</f>
        <v>0</v>
      </c>
      <c r="M154" s="59">
        <f>IF(M1,(SUM(B153:M153)/13),0)</f>
        <v>0</v>
      </c>
      <c r="N154" s="59">
        <f t="shared" ref="N154:S154" si="163">IF(N1,(SUM(B153:N153)/13),0)</f>
        <v>0</v>
      </c>
      <c r="O154" s="59">
        <f t="shared" si="163"/>
        <v>0</v>
      </c>
      <c r="P154" s="59">
        <f t="shared" si="163"/>
        <v>0</v>
      </c>
      <c r="Q154" s="59">
        <f t="shared" si="163"/>
        <v>0</v>
      </c>
      <c r="R154" s="59">
        <f t="shared" si="163"/>
        <v>0</v>
      </c>
      <c r="S154" s="59">
        <f t="shared" si="163"/>
        <v>0</v>
      </c>
      <c r="T154" s="59">
        <f t="shared" ref="T154:AN154" si="164">IF(T1,(SUM(H153:T153)/13),0)</f>
        <v>0</v>
      </c>
      <c r="U154" s="59">
        <f t="shared" si="164"/>
        <v>0</v>
      </c>
      <c r="V154" s="59">
        <f t="shared" si="164"/>
        <v>0</v>
      </c>
      <c r="W154" s="59">
        <f t="shared" si="164"/>
        <v>0</v>
      </c>
      <c r="X154" s="59">
        <f t="shared" si="164"/>
        <v>0</v>
      </c>
      <c r="Y154" s="59">
        <f t="shared" si="164"/>
        <v>0</v>
      </c>
      <c r="Z154" s="59">
        <f t="shared" si="164"/>
        <v>0</v>
      </c>
      <c r="AA154" s="59">
        <f t="shared" si="164"/>
        <v>0</v>
      </c>
      <c r="AB154" s="59">
        <f t="shared" si="164"/>
        <v>0</v>
      </c>
      <c r="AC154" s="59">
        <f t="shared" si="164"/>
        <v>0</v>
      </c>
      <c r="AD154" s="59">
        <f t="shared" si="164"/>
        <v>0</v>
      </c>
      <c r="AE154" s="59">
        <f t="shared" si="164"/>
        <v>0</v>
      </c>
      <c r="AF154" s="59">
        <f t="shared" si="164"/>
        <v>0</v>
      </c>
      <c r="AG154" s="59">
        <f t="shared" si="164"/>
        <v>0</v>
      </c>
      <c r="AH154" s="59">
        <f t="shared" si="164"/>
        <v>0</v>
      </c>
      <c r="AI154" s="59">
        <f t="shared" si="164"/>
        <v>0</v>
      </c>
      <c r="AJ154" s="59">
        <f t="shared" si="164"/>
        <v>0</v>
      </c>
      <c r="AK154" s="59">
        <f t="shared" si="164"/>
        <v>0</v>
      </c>
      <c r="AL154" s="59">
        <f t="shared" si="164"/>
        <v>0</v>
      </c>
      <c r="AM154" s="59">
        <f t="shared" si="164"/>
        <v>0</v>
      </c>
      <c r="AN154" s="59">
        <f t="shared" si="164"/>
        <v>0</v>
      </c>
    </row>
    <row r="156" spans="1:40" ht="28.5" hidden="1" x14ac:dyDescent="0.65">
      <c r="A156" s="387" t="s">
        <v>44</v>
      </c>
    </row>
    <row r="157" spans="1:40" ht="15" hidden="1" thickBot="1" x14ac:dyDescent="0.4">
      <c r="A157" s="19"/>
    </row>
    <row r="158" spans="1:40" hidden="1" x14ac:dyDescent="0.35">
      <c r="A158" s="135" t="s">
        <v>45</v>
      </c>
    </row>
    <row r="159" spans="1:40" hidden="1" x14ac:dyDescent="0.35">
      <c r="A159" s="130" t="s">
        <v>15</v>
      </c>
    </row>
    <row r="160" spans="1:40" hidden="1" x14ac:dyDescent="0.35">
      <c r="A160" s="130" t="s">
        <v>46</v>
      </c>
    </row>
    <row r="161" spans="1:1" hidden="1" x14ac:dyDescent="0.35">
      <c r="A161" s="130" t="s">
        <v>15</v>
      </c>
    </row>
    <row r="162" spans="1:1" hidden="1" x14ac:dyDescent="0.35">
      <c r="A162" s="130" t="s">
        <v>47</v>
      </c>
    </row>
    <row r="163" spans="1:1" hidden="1" x14ac:dyDescent="0.35">
      <c r="A163" s="130" t="s">
        <v>15</v>
      </c>
    </row>
    <row r="164" spans="1:1" hidden="1" x14ac:dyDescent="0.35">
      <c r="A164" s="130" t="s">
        <v>48</v>
      </c>
    </row>
    <row r="165" spans="1:1" hidden="1" x14ac:dyDescent="0.35">
      <c r="A165" s="130" t="s">
        <v>15</v>
      </c>
    </row>
    <row r="166" spans="1:1" hidden="1" x14ac:dyDescent="0.35">
      <c r="A166" s="130" t="s">
        <v>49</v>
      </c>
    </row>
    <row r="167" spans="1:1" hidden="1" x14ac:dyDescent="0.35">
      <c r="A167" s="130" t="s">
        <v>15</v>
      </c>
    </row>
    <row r="168" spans="1:1" hidden="1" x14ac:dyDescent="0.35">
      <c r="A168" s="130" t="s">
        <v>50</v>
      </c>
    </row>
    <row r="169" spans="1:1" hidden="1" x14ac:dyDescent="0.35">
      <c r="A169" s="130" t="s">
        <v>15</v>
      </c>
    </row>
    <row r="170" spans="1:1" hidden="1" x14ac:dyDescent="0.35">
      <c r="A170" s="130" t="s">
        <v>51</v>
      </c>
    </row>
    <row r="171" spans="1:1" hidden="1" x14ac:dyDescent="0.35">
      <c r="A171" s="130" t="s">
        <v>15</v>
      </c>
    </row>
    <row r="172" spans="1:1" hidden="1" x14ac:dyDescent="0.35">
      <c r="A172" s="130" t="s">
        <v>52</v>
      </c>
    </row>
    <row r="173" spans="1:1" hidden="1" x14ac:dyDescent="0.35">
      <c r="A173" s="130" t="s">
        <v>15</v>
      </c>
    </row>
    <row r="174" spans="1:1" hidden="1" x14ac:dyDescent="0.35">
      <c r="A174" s="130" t="s">
        <v>53</v>
      </c>
    </row>
    <row r="175" spans="1:1" hidden="1" x14ac:dyDescent="0.35">
      <c r="A175" s="130" t="s">
        <v>15</v>
      </c>
    </row>
    <row r="176" spans="1:1" hidden="1" x14ac:dyDescent="0.35">
      <c r="A176" s="130" t="s">
        <v>54</v>
      </c>
    </row>
    <row r="177" spans="1:1" hidden="1" x14ac:dyDescent="0.35">
      <c r="A177" s="130" t="s">
        <v>15</v>
      </c>
    </row>
    <row r="178" spans="1:1" hidden="1" x14ac:dyDescent="0.35">
      <c r="A178" s="130" t="s">
        <v>55</v>
      </c>
    </row>
    <row r="179" spans="1:1" hidden="1" x14ac:dyDescent="0.35">
      <c r="A179" s="130" t="s">
        <v>15</v>
      </c>
    </row>
    <row r="180" spans="1:1" hidden="1" x14ac:dyDescent="0.35">
      <c r="A180" s="130" t="s">
        <v>56</v>
      </c>
    </row>
    <row r="181" spans="1:1" hidden="1" x14ac:dyDescent="0.35">
      <c r="A181" s="130" t="s">
        <v>15</v>
      </c>
    </row>
    <row r="182" spans="1:1" hidden="1" x14ac:dyDescent="0.35">
      <c r="A182" s="130" t="s">
        <v>57</v>
      </c>
    </row>
    <row r="183" spans="1:1" hidden="1" x14ac:dyDescent="0.35">
      <c r="A183" s="130" t="s">
        <v>15</v>
      </c>
    </row>
    <row r="184" spans="1:1" hidden="1" x14ac:dyDescent="0.35">
      <c r="A184" s="130" t="s">
        <v>58</v>
      </c>
    </row>
    <row r="185" spans="1:1" hidden="1" x14ac:dyDescent="0.35">
      <c r="A185" s="130" t="s">
        <v>15</v>
      </c>
    </row>
    <row r="186" spans="1:1" hidden="1" x14ac:dyDescent="0.35">
      <c r="A186" s="130" t="s">
        <v>59</v>
      </c>
    </row>
    <row r="187" spans="1:1" hidden="1" x14ac:dyDescent="0.35">
      <c r="A187" s="130" t="s">
        <v>15</v>
      </c>
    </row>
    <row r="188" spans="1:1" hidden="1" x14ac:dyDescent="0.35">
      <c r="A188" s="130" t="s">
        <v>60</v>
      </c>
    </row>
    <row r="189" spans="1:1" hidden="1" x14ac:dyDescent="0.35">
      <c r="A189" s="130" t="s">
        <v>15</v>
      </c>
    </row>
    <row r="190" spans="1:1" hidden="1" x14ac:dyDescent="0.35">
      <c r="A190" s="130" t="s">
        <v>61</v>
      </c>
    </row>
    <row r="191" spans="1:1" hidden="1" x14ac:dyDescent="0.35">
      <c r="A191" s="130" t="s">
        <v>15</v>
      </c>
    </row>
    <row r="192" spans="1:1" hidden="1" x14ac:dyDescent="0.35">
      <c r="A192" s="130" t="s">
        <v>62</v>
      </c>
    </row>
    <row r="193" spans="1:1" hidden="1" x14ac:dyDescent="0.35">
      <c r="A193" s="130" t="s">
        <v>15</v>
      </c>
    </row>
    <row r="194" spans="1:1" hidden="1" x14ac:dyDescent="0.35">
      <c r="A194" s="130" t="s">
        <v>63</v>
      </c>
    </row>
    <row r="195" spans="1:1" hidden="1" x14ac:dyDescent="0.35">
      <c r="A195" s="130" t="s">
        <v>15</v>
      </c>
    </row>
    <row r="196" spans="1:1" hidden="1" x14ac:dyDescent="0.35">
      <c r="A196" s="130" t="s">
        <v>64</v>
      </c>
    </row>
    <row r="197" spans="1:1" hidden="1" x14ac:dyDescent="0.35">
      <c r="A197" s="130" t="s">
        <v>15</v>
      </c>
    </row>
    <row r="198" spans="1:1" hidden="1" x14ac:dyDescent="0.35">
      <c r="A198" s="130" t="s">
        <v>65</v>
      </c>
    </row>
    <row r="199" spans="1:1" hidden="1" x14ac:dyDescent="0.35">
      <c r="A199" s="130" t="s">
        <v>15</v>
      </c>
    </row>
    <row r="200" spans="1:1" hidden="1" x14ac:dyDescent="0.35">
      <c r="A200" s="130" t="s">
        <v>66</v>
      </c>
    </row>
    <row r="201" spans="1:1" hidden="1" x14ac:dyDescent="0.35">
      <c r="A201" s="130" t="s">
        <v>15</v>
      </c>
    </row>
    <row r="202" spans="1:1" hidden="1" x14ac:dyDescent="0.35">
      <c r="A202" s="130" t="s">
        <v>67</v>
      </c>
    </row>
    <row r="203" spans="1:1" hidden="1" x14ac:dyDescent="0.35">
      <c r="A203" s="130" t="s">
        <v>15</v>
      </c>
    </row>
    <row r="204" spans="1:1" hidden="1" x14ac:dyDescent="0.35">
      <c r="A204" s="130" t="s">
        <v>68</v>
      </c>
    </row>
    <row r="205" spans="1:1" hidden="1" x14ac:dyDescent="0.35">
      <c r="A205" s="131" t="s">
        <v>15</v>
      </c>
    </row>
    <row r="206" spans="1:1" hidden="1" x14ac:dyDescent="0.35">
      <c r="A206" s="136" t="s">
        <v>69</v>
      </c>
    </row>
    <row r="207" spans="1:1" hidden="1" x14ac:dyDescent="0.35">
      <c r="A207" s="136" t="s">
        <v>15</v>
      </c>
    </row>
    <row r="208" spans="1:1" hidden="1" x14ac:dyDescent="0.35">
      <c r="A208" s="122" t="s">
        <v>14</v>
      </c>
    </row>
    <row r="209" spans="1:41" ht="15" hidden="1" thickBot="1" x14ac:dyDescent="0.4">
      <c r="A209" s="121" t="s">
        <v>15</v>
      </c>
    </row>
    <row r="210" spans="1:41" ht="15" thickBot="1" x14ac:dyDescent="0.4"/>
    <row r="211" spans="1:41" ht="29" thickBot="1" x14ac:dyDescent="0.7">
      <c r="A211" s="385" t="s">
        <v>70</v>
      </c>
    </row>
    <row r="212" spans="1:41" ht="15" thickBot="1" x14ac:dyDescent="0.4">
      <c r="A212" s="39"/>
      <c r="B212" s="396">
        <v>2301</v>
      </c>
      <c r="C212" s="396">
        <v>2302</v>
      </c>
      <c r="D212" s="396">
        <v>2303</v>
      </c>
      <c r="E212" s="396">
        <v>2304</v>
      </c>
      <c r="F212" s="396">
        <v>2305</v>
      </c>
      <c r="G212" s="396">
        <v>2306</v>
      </c>
      <c r="H212" s="396">
        <v>2307</v>
      </c>
      <c r="I212" s="396">
        <v>2308</v>
      </c>
      <c r="J212" s="206">
        <v>2309</v>
      </c>
      <c r="K212" s="206">
        <v>2310</v>
      </c>
      <c r="L212" s="206">
        <v>2311</v>
      </c>
      <c r="M212" s="206">
        <v>2312</v>
      </c>
      <c r="N212" s="210">
        <v>2313</v>
      </c>
      <c r="O212" s="211">
        <v>2401</v>
      </c>
      <c r="P212" s="206">
        <v>2402</v>
      </c>
      <c r="Q212" s="206">
        <v>2403</v>
      </c>
      <c r="R212" s="206">
        <v>2404</v>
      </c>
      <c r="S212" s="206">
        <v>2405</v>
      </c>
      <c r="T212" s="206">
        <v>2406</v>
      </c>
      <c r="U212" s="206">
        <v>2407</v>
      </c>
      <c r="V212" s="206">
        <v>2408</v>
      </c>
      <c r="W212" s="206">
        <v>2409</v>
      </c>
      <c r="X212" s="206">
        <v>2410</v>
      </c>
      <c r="Y212" s="206">
        <v>2411</v>
      </c>
      <c r="Z212" s="212">
        <v>2412</v>
      </c>
      <c r="AA212" s="208">
        <v>2413</v>
      </c>
      <c r="AB212" s="284">
        <v>2501</v>
      </c>
      <c r="AC212" s="284">
        <v>2502</v>
      </c>
      <c r="AD212" s="284">
        <v>2503</v>
      </c>
      <c r="AE212" s="284">
        <v>2504</v>
      </c>
      <c r="AF212" s="284">
        <v>2505</v>
      </c>
      <c r="AG212" s="284">
        <v>2506</v>
      </c>
      <c r="AH212" s="284">
        <v>2507</v>
      </c>
      <c r="AI212" s="284">
        <v>2508</v>
      </c>
      <c r="AJ212" s="284">
        <v>2509</v>
      </c>
      <c r="AK212" s="284">
        <v>2510</v>
      </c>
      <c r="AL212" s="284">
        <v>2511</v>
      </c>
      <c r="AM212" s="284">
        <v>2512</v>
      </c>
      <c r="AN212" s="284">
        <v>2513</v>
      </c>
    </row>
    <row r="213" spans="1:41" ht="15" thickBot="1" x14ac:dyDescent="0.4">
      <c r="A213" s="70" t="s">
        <v>71</v>
      </c>
    </row>
    <row r="214" spans="1:41" x14ac:dyDescent="0.35">
      <c r="A214" s="149" t="s">
        <v>72</v>
      </c>
      <c r="B214" s="436">
        <f t="array" ref="B214">SUM(($A214='Accident &amp; Incident Detail'!$E$2:$E$3433)*(B$212='Accident &amp; Incident Detail'!$C$2:$C$3433))</f>
        <v>0</v>
      </c>
      <c r="C214" s="436">
        <f t="array" ref="C214">SUM(($A214='Accident &amp; Incident Detail'!$E$2:$E$3433)*(C$212='Accident &amp; Incident Detail'!$C$2:$C$3433))</f>
        <v>0</v>
      </c>
      <c r="D214" s="436">
        <f t="array" ref="D214">SUM(($A214='Accident &amp; Incident Detail'!$E$2:$E$3433)*(D$212='Accident &amp; Incident Detail'!$C$2:$C$3433))</f>
        <v>0</v>
      </c>
      <c r="E214" s="436">
        <f t="array" ref="E214">SUM(($A214='Accident &amp; Incident Detail'!$E$2:$E$3433)*(E$212='Accident &amp; Incident Detail'!$C$2:$C$3433))</f>
        <v>0</v>
      </c>
      <c r="F214" s="436">
        <f t="array" ref="F214">SUM(($A214='Accident &amp; Incident Detail'!$E$2:$E$3433)*(F$212='Accident &amp; Incident Detail'!$C$2:$C$3433))</f>
        <v>0</v>
      </c>
      <c r="G214" s="436">
        <f t="array" ref="G214">SUM(($A214='Accident &amp; Incident Detail'!$E$2:$E$3433)*(G$212='Accident &amp; Incident Detail'!$C$2:$C$3433))</f>
        <v>0</v>
      </c>
      <c r="H214" s="436">
        <f t="array" ref="H214">SUM(($A214='Accident &amp; Incident Detail'!$E$2:$E$3433)*(H$212='Accident &amp; Incident Detail'!$C$2:$C$3433))</f>
        <v>0</v>
      </c>
      <c r="I214" s="436">
        <f t="array" ref="I214">SUM(($A214='Accident &amp; Incident Detail'!$E$2:$E$3433)*(I$212='Accident &amp; Incident Detail'!$C$2:$C$3433))</f>
        <v>0</v>
      </c>
      <c r="J214" s="55">
        <f t="array" ref="J214">SUM(($A214='Accident &amp; Incident Detail'!$E$2:$E$3433)*(J$212='Accident &amp; Incident Detail'!$C$2:$C$3433))</f>
        <v>1</v>
      </c>
      <c r="K214" s="55">
        <f t="array" ref="K214">SUM(($A214='Accident &amp; Incident Detail'!$E$2:$E$3433)*(K$212='Accident &amp; Incident Detail'!$C$2:$C$3433))</f>
        <v>2</v>
      </c>
      <c r="L214" s="55">
        <f t="array" ref="L214">SUM(($A214='Accident &amp; Incident Detail'!$E$2:$E$3433)*(L$212='Accident &amp; Incident Detail'!$C$2:$C$3433))</f>
        <v>2</v>
      </c>
      <c r="M214" s="55">
        <f t="array" ref="M214">SUM(($A214='Accident &amp; Incident Detail'!$E$2:$E$3433)*(M$212='Accident &amp; Incident Detail'!$C$2:$C$3433))</f>
        <v>4</v>
      </c>
      <c r="N214" s="55">
        <f t="array" ref="N214">SUM(($A214='Accident &amp; Incident Detail'!$E$2:$E$3433)*(N$212='Accident &amp; Incident Detail'!$C$2:$C$3433))</f>
        <v>0</v>
      </c>
      <c r="O214" s="55">
        <f t="array" ref="O214">SUM(($A214='Accident &amp; Incident Detail'!$E$2:$E$3433)*(O$212='Accident &amp; Incident Detail'!$C$2:$C$3433))</f>
        <v>2</v>
      </c>
      <c r="P214" s="55">
        <f t="array" ref="P214">SUM(($A214='Accident &amp; Incident Detail'!$E$2:$E$3433)*(P$212='Accident &amp; Incident Detail'!$C$2:$C$3433))</f>
        <v>1</v>
      </c>
      <c r="Q214" s="55">
        <f t="array" ref="Q214">SUM(($A214='Accident &amp; Incident Detail'!$E$2:$E$3433)*(Q$212='Accident &amp; Incident Detail'!$C$2:$C$3433))</f>
        <v>4</v>
      </c>
      <c r="R214" s="55">
        <f t="array" ref="R214">SUM(($A214='Accident &amp; Incident Detail'!$E$2:$E$3433)*(R$212='Accident &amp; Incident Detail'!$C$2:$C$3433))</f>
        <v>1</v>
      </c>
      <c r="S214" s="55">
        <f t="array" ref="S214">SUM(($A214='Accident &amp; Incident Detail'!$E$2:$E$3433)*(S$212='Accident &amp; Incident Detail'!$C$2:$C$3433))</f>
        <v>1</v>
      </c>
      <c r="T214" s="55">
        <f t="array" ref="T214">SUM(($A214='Accident &amp; Incident Detail'!$E$2:$E$3433)*(T$212='Accident &amp; Incident Detail'!$C$2:$C$3433))</f>
        <v>0</v>
      </c>
      <c r="U214" s="55">
        <f t="array" ref="U214">SUM(($A214='Accident &amp; Incident Detail'!$E$2:$E$3433)*(U$212='Accident &amp; Incident Detail'!$C$2:$C$3433))</f>
        <v>1</v>
      </c>
      <c r="V214" s="55">
        <f t="array" ref="V214">SUM(($A214='Accident &amp; Incident Detail'!$E$2:$E$3433)*(V$212='Accident &amp; Incident Detail'!$C$2:$C$3433))</f>
        <v>1</v>
      </c>
      <c r="W214" s="55">
        <f t="array" ref="W214">SUM(($A214='Accident &amp; Incident Detail'!$E$2:$E$3433)*(W$212='Accident &amp; Incident Detail'!$C$2:$C$3433))</f>
        <v>3</v>
      </c>
      <c r="X214" s="55">
        <f t="array" ref="X214">SUM(($A214='Accident &amp; Incident Detail'!$E$2:$E$3433)*(X$212='Accident &amp; Incident Detail'!$C$2:$C$3433))</f>
        <v>1</v>
      </c>
      <c r="Y214" s="55">
        <f t="array" ref="Y214">SUM(($A214='Accident &amp; Incident Detail'!$E$2:$E$3433)*(Y$212='Accident &amp; Incident Detail'!$C$2:$C$3433))</f>
        <v>3</v>
      </c>
      <c r="Z214" s="55">
        <f t="array" ref="Z214">SUM(($A214='Accident &amp; Incident Detail'!$E$2:$E$3433)*(Z$212='Accident &amp; Incident Detail'!$C$2:$C$3433))</f>
        <v>2</v>
      </c>
      <c r="AA214" s="55">
        <f t="array" ref="AA214">SUM(($A214='Accident &amp; Incident Detail'!$E$2:$E$3433)*(AA$212='Accident &amp; Incident Detail'!$C$2:$C$3433))</f>
        <v>0</v>
      </c>
      <c r="AB214" s="55">
        <f t="array" ref="AB214">SUM(($A214='Accident &amp; Incident Detail'!$E$2:$E$3433)*(AB$212='Accident &amp; Incident Detail'!$C$2:$C$3433))</f>
        <v>2</v>
      </c>
      <c r="AC214" s="55">
        <f t="array" ref="AC214">SUM(($A214='Accident &amp; Incident Detail'!$E$2:$E$3433)*(AC$212='Accident &amp; Incident Detail'!$C$2:$C$3433))</f>
        <v>2</v>
      </c>
      <c r="AD214" s="55">
        <f t="array" ref="AD214">SUM(($A214='Accident &amp; Incident Detail'!$E$2:$E$3433)*(AD$212='Accident &amp; Incident Detail'!$C$2:$C$3433))</f>
        <v>1</v>
      </c>
      <c r="AE214" s="55">
        <f t="array" ref="AE214">SUM(($A214='Accident &amp; Incident Detail'!$E$2:$E$3433)*(AE$212='Accident &amp; Incident Detail'!$C$2:$C$3433))</f>
        <v>3</v>
      </c>
      <c r="AF214" s="55">
        <f t="array" ref="AF214">SUM(($A214='Accident &amp; Incident Detail'!$E$2:$E$3433)*(AF$212='Accident &amp; Incident Detail'!$C$2:$C$3433))</f>
        <v>4</v>
      </c>
      <c r="AG214" s="55">
        <f t="array" ref="AG214">SUM(($A214='Accident &amp; Incident Detail'!$E$2:$E$3433)*(AG$212='Accident &amp; Incident Detail'!$C$2:$C$3433))</f>
        <v>2</v>
      </c>
      <c r="AH214" s="55">
        <f t="array" ref="AH214">SUM(($A214='Accident &amp; Incident Detail'!$E$2:$E$3433)*(AH$212='Accident &amp; Incident Detail'!$C$2:$C$3433))</f>
        <v>2</v>
      </c>
      <c r="AI214" s="55">
        <f t="array" ref="AI214">SUM(($A214='Accident &amp; Incident Detail'!$E$2:$E$3433)*(AI$212='Accident &amp; Incident Detail'!$C$2:$C$3433))</f>
        <v>2</v>
      </c>
      <c r="AJ214" s="55">
        <f t="array" ref="AJ214">SUM(($A214='Accident &amp; Incident Detail'!$E$2:$E$3433)*(AJ$212='Accident &amp; Incident Detail'!$C$2:$C$3433))</f>
        <v>0</v>
      </c>
      <c r="AK214" s="55">
        <f t="array" ref="AK214">SUM(($A214='Accident &amp; Incident Detail'!$E$2:$E$3433)*(AK$212='Accident &amp; Incident Detail'!$C$2:$C$3433))</f>
        <v>2</v>
      </c>
      <c r="AL214" s="55">
        <f t="array" ref="AL214">SUM(($A214='Accident &amp; Incident Detail'!$E$2:$E$3433)*(AL$212='Accident &amp; Incident Detail'!$C$2:$C$3433))</f>
        <v>1</v>
      </c>
      <c r="AM214" s="55">
        <f t="array" ref="AM214">SUM(($A214='Accident &amp; Incident Detail'!$E$2:$E$3433)*(AM$212='Accident &amp; Incident Detail'!$C$2:$C$3433))</f>
        <v>0</v>
      </c>
      <c r="AN214" s="55">
        <f t="array" ref="AN214">SUM(($A214='Accident &amp; Incident Detail'!$E$2:$E$3433)*(AN$212='Accident &amp; Incident Detail'!$C$2:$C$3433))</f>
        <v>0</v>
      </c>
    </row>
    <row r="215" spans="1:41" ht="15" thickBot="1" x14ac:dyDescent="0.4">
      <c r="A215" s="182" t="s">
        <v>15</v>
      </c>
      <c r="B215" s="422">
        <f>IF(B$1=1,(SUM(B214:B214)/13),0)</f>
        <v>0</v>
      </c>
      <c r="C215" s="422">
        <f>IF(C$1=1,(SUM(B214:C214)/13),0)</f>
        <v>0</v>
      </c>
      <c r="D215" s="422">
        <f>IF(D$1=1,(SUM(B214:D214)/13),0)</f>
        <v>0</v>
      </c>
      <c r="E215" s="422">
        <f>IF(E$1=1,(SUM(B214:E214)/13),0)</f>
        <v>0</v>
      </c>
      <c r="F215" s="422">
        <f>IF(F$1=1,(SUM(B214:F214)/13),0)</f>
        <v>0</v>
      </c>
      <c r="G215" s="422">
        <f>IF(G$1=1,(SUM(B214:G214)/13),0)</f>
        <v>0</v>
      </c>
      <c r="H215" s="422">
        <f>IF(H$1=1,(SUM(B214:H214)/13),0)</f>
        <v>0</v>
      </c>
      <c r="I215" s="422">
        <f>IF(I$1=1,(SUM(B214:I214)/13),0)</f>
        <v>0</v>
      </c>
      <c r="J215" s="46">
        <f>IF(J$1=1,(SUM(B214:J214)/13),0)</f>
        <v>7.6923076923076927E-2</v>
      </c>
      <c r="K215" s="46">
        <f>IF(K$1=1,(SUM(B214:K214)/13),0)</f>
        <v>0.23076923076923078</v>
      </c>
      <c r="L215" s="46">
        <f>IF(L$1=1,(SUM(B214:L214)/13),0)</f>
        <v>0.38461538461538464</v>
      </c>
      <c r="M215" s="46">
        <f>IF(M$1=1,(SUM(B214:M214)/13),0)</f>
        <v>0.69230769230769229</v>
      </c>
      <c r="N215" s="46">
        <f>IF(N$1=1,(SUM(B214:N214)/13),0)</f>
        <v>0.69230769230769229</v>
      </c>
      <c r="O215" s="46">
        <f t="shared" ref="O215:Z215" si="165">IF(O$1=1,(SUM(C214:O214)/13),0)</f>
        <v>0.84615384615384615</v>
      </c>
      <c r="P215" s="46">
        <f t="shared" si="165"/>
        <v>0.92307692307692313</v>
      </c>
      <c r="Q215" s="46">
        <f t="shared" si="165"/>
        <v>1.2307692307692308</v>
      </c>
      <c r="R215" s="46">
        <f t="shared" si="165"/>
        <v>1.3076923076923077</v>
      </c>
      <c r="S215" s="46">
        <f t="shared" si="165"/>
        <v>1.3846153846153846</v>
      </c>
      <c r="T215" s="46">
        <f t="shared" si="165"/>
        <v>1.3846153846153846</v>
      </c>
      <c r="U215" s="46">
        <f t="shared" si="165"/>
        <v>1.4615384615384615</v>
      </c>
      <c r="V215" s="46">
        <f t="shared" si="165"/>
        <v>1.5384615384615385</v>
      </c>
      <c r="W215" s="46">
        <f t="shared" si="165"/>
        <v>1.6923076923076923</v>
      </c>
      <c r="X215" s="46">
        <f t="shared" si="165"/>
        <v>1.6153846153846154</v>
      </c>
      <c r="Y215" s="46">
        <f t="shared" si="165"/>
        <v>1.6923076923076923</v>
      </c>
      <c r="Z215" s="46">
        <f t="shared" si="165"/>
        <v>1.5384615384615385</v>
      </c>
      <c r="AA215" s="46">
        <f t="shared" ref="AA215:AN215" si="166">IF(AA$1=1,(SUM(O214:AA214)/13),0)</f>
        <v>1.5384615384615385</v>
      </c>
      <c r="AB215" s="46">
        <f t="shared" si="166"/>
        <v>1.5384615384615385</v>
      </c>
      <c r="AC215" s="46">
        <f t="shared" si="166"/>
        <v>1.6153846153846154</v>
      </c>
      <c r="AD215" s="46">
        <f t="shared" si="166"/>
        <v>1.3846153846153846</v>
      </c>
      <c r="AE215" s="46">
        <f t="shared" si="166"/>
        <v>1.5384615384615385</v>
      </c>
      <c r="AF215" s="46">
        <f t="shared" si="166"/>
        <v>1.7692307692307692</v>
      </c>
      <c r="AG215" s="300">
        <f t="shared" si="166"/>
        <v>1.9230769230769231</v>
      </c>
      <c r="AH215" s="46">
        <f t="shared" si="166"/>
        <v>2</v>
      </c>
      <c r="AI215" s="46">
        <f t="shared" si="166"/>
        <v>2.0769230769230771</v>
      </c>
      <c r="AJ215" s="46">
        <f t="shared" si="166"/>
        <v>1.8461538461538463</v>
      </c>
      <c r="AK215" s="46">
        <f t="shared" si="166"/>
        <v>1.9230769230769231</v>
      </c>
      <c r="AL215" s="46">
        <f t="shared" si="166"/>
        <v>0</v>
      </c>
      <c r="AM215" s="46">
        <f t="shared" si="166"/>
        <v>0</v>
      </c>
      <c r="AN215" s="46">
        <f t="shared" si="166"/>
        <v>0</v>
      </c>
    </row>
    <row r="216" spans="1:41" x14ac:dyDescent="0.35">
      <c r="A216" s="150" t="s">
        <v>61</v>
      </c>
      <c r="B216" s="436">
        <f t="array" ref="B216">SUM(($A216='Accident &amp; Incident Detail'!$E$2:$E$3433)*(B$212='Accident &amp; Incident Detail'!$C$2:$C$3433))</f>
        <v>0</v>
      </c>
      <c r="C216" s="436">
        <f t="array" ref="C216">SUM(($A216='Accident &amp; Incident Detail'!$E$2:$E$3433)*(C$212='Accident &amp; Incident Detail'!$C$2:$C$3433))</f>
        <v>0</v>
      </c>
      <c r="D216" s="436">
        <f t="array" ref="D216">SUM(($A216='Accident &amp; Incident Detail'!$E$2:$E$3433)*(D$212='Accident &amp; Incident Detail'!$C$2:$C$3433))</f>
        <v>0</v>
      </c>
      <c r="E216" s="436">
        <f t="array" ref="E216">SUM(($A216='Accident &amp; Incident Detail'!$E$2:$E$3433)*(E$212='Accident &amp; Incident Detail'!$C$2:$C$3433))</f>
        <v>0</v>
      </c>
      <c r="F216" s="436">
        <f t="array" ref="F216">SUM(($A216='Accident &amp; Incident Detail'!$E$2:$E$3433)*(F$212='Accident &amp; Incident Detail'!$C$2:$C$3433))</f>
        <v>0</v>
      </c>
      <c r="G216" s="436">
        <f t="array" ref="G216">SUM(($A216='Accident &amp; Incident Detail'!$E$2:$E$3433)*(G$212='Accident &amp; Incident Detail'!$C$2:$C$3433))</f>
        <v>0</v>
      </c>
      <c r="H216" s="436">
        <f t="array" ref="H216">SUM(($A216='Accident &amp; Incident Detail'!$E$2:$E$3433)*(H$212='Accident &amp; Incident Detail'!$C$2:$C$3433))</f>
        <v>0</v>
      </c>
      <c r="I216" s="436">
        <f t="array" ref="I216">SUM(($A216='Accident &amp; Incident Detail'!$E$2:$E$3433)*(I$212='Accident &amp; Incident Detail'!$C$2:$C$3433))</f>
        <v>0</v>
      </c>
      <c r="J216" s="55">
        <f t="array" ref="J216">SUM(($A216='Accident &amp; Incident Detail'!$E$2:$E$3433)*(J$212='Accident &amp; Incident Detail'!$C$2:$C$3433))</f>
        <v>0</v>
      </c>
      <c r="K216" s="55">
        <f t="array" ref="K216">SUM(($A216='Accident &amp; Incident Detail'!$E$2:$E$3433)*(K$212='Accident &amp; Incident Detail'!$C$2:$C$3433))</f>
        <v>1</v>
      </c>
      <c r="L216" s="55">
        <f t="array" ref="L216">SUM(($A216='Accident &amp; Incident Detail'!$E$2:$E$3433)*(L$212='Accident &amp; Incident Detail'!$C$2:$C$3433))</f>
        <v>3</v>
      </c>
      <c r="M216" s="55">
        <f t="array" ref="M216">SUM(($A216='Accident &amp; Incident Detail'!$E$2:$E$3433)*(M$212='Accident &amp; Incident Detail'!$C$2:$C$3433))</f>
        <v>0</v>
      </c>
      <c r="N216" s="55">
        <f t="array" ref="N216">SUM(($A216='Accident &amp; Incident Detail'!$E$2:$E$3433)*(N$212='Accident &amp; Incident Detail'!$C$2:$C$3433))</f>
        <v>0</v>
      </c>
      <c r="O216" s="55">
        <f t="array" ref="O216">SUM(($A216='Accident &amp; Incident Detail'!$E$2:$E$3433)*(O$212='Accident &amp; Incident Detail'!$C$2:$C$3433))</f>
        <v>0</v>
      </c>
      <c r="P216" s="55">
        <f t="array" ref="P216">SUM(($A216='Accident &amp; Incident Detail'!$E$2:$E$3433)*(P$212='Accident &amp; Incident Detail'!$C$2:$C$3433))</f>
        <v>0</v>
      </c>
      <c r="Q216" s="55">
        <f t="array" ref="Q216">SUM(($A216='Accident &amp; Incident Detail'!$E$2:$E$3433)*(Q$212='Accident &amp; Incident Detail'!$C$2:$C$3433))</f>
        <v>2</v>
      </c>
      <c r="R216" s="55">
        <f t="array" ref="R216">SUM(($A216='Accident &amp; Incident Detail'!$E$2:$E$3433)*(R$212='Accident &amp; Incident Detail'!$C$2:$C$3433))</f>
        <v>0</v>
      </c>
      <c r="S216" s="55">
        <f t="array" ref="S216">SUM(($A216='Accident &amp; Incident Detail'!$E$2:$E$3433)*(S$212='Accident &amp; Incident Detail'!$C$2:$C$3433))</f>
        <v>0</v>
      </c>
      <c r="T216" s="55">
        <f t="array" ref="T216">SUM(($A216='Accident &amp; Incident Detail'!$E$2:$E$3433)*(T$212='Accident &amp; Incident Detail'!$C$2:$C$3433))</f>
        <v>0</v>
      </c>
      <c r="U216" s="55">
        <f t="array" ref="U216">SUM(($A216='Accident &amp; Incident Detail'!$E$2:$E$3433)*(U$212='Accident &amp; Incident Detail'!$C$2:$C$3433))</f>
        <v>0</v>
      </c>
      <c r="V216" s="55">
        <f t="array" ref="V216">SUM(($A216='Accident &amp; Incident Detail'!$E$2:$E$3433)*(V$212='Accident &amp; Incident Detail'!$C$2:$C$3433))</f>
        <v>2</v>
      </c>
      <c r="W216" s="55">
        <f t="array" ref="W216">SUM(($A216='Accident &amp; Incident Detail'!$E$2:$E$3433)*(W$212='Accident &amp; Incident Detail'!$C$2:$C$3433))</f>
        <v>0</v>
      </c>
      <c r="X216" s="55">
        <f t="array" ref="X216">SUM(($A216='Accident &amp; Incident Detail'!$E$2:$E$3433)*(X$212='Accident &amp; Incident Detail'!$C$2:$C$3433))</f>
        <v>0</v>
      </c>
      <c r="Y216" s="55">
        <f t="array" ref="Y216">SUM(($A216='Accident &amp; Incident Detail'!$E$2:$E$3433)*(Y$212='Accident &amp; Incident Detail'!$C$2:$C$3433))</f>
        <v>0</v>
      </c>
      <c r="Z216" s="55">
        <f t="array" ref="Z216">SUM(($A216='Accident &amp; Incident Detail'!$E$2:$E$3433)*(Z$212='Accident &amp; Incident Detail'!$C$2:$C$3433))</f>
        <v>1</v>
      </c>
      <c r="AA216" s="55">
        <f t="array" ref="AA216">SUM(($A216='Accident &amp; Incident Detail'!$E$2:$E$3433)*(AA$212='Accident &amp; Incident Detail'!$C$2:$C$3433))</f>
        <v>1</v>
      </c>
      <c r="AB216" s="55">
        <f t="array" ref="AB216">SUM(($A216='Accident &amp; Incident Detail'!$E$2:$E$3433)*(AB$212='Accident &amp; Incident Detail'!$C$2:$C$3433))</f>
        <v>0</v>
      </c>
      <c r="AC216" s="55">
        <f t="array" ref="AC216">SUM(($A216='Accident &amp; Incident Detail'!$E$2:$E$3433)*(AC$212='Accident &amp; Incident Detail'!$C$2:$C$3433))</f>
        <v>1</v>
      </c>
      <c r="AD216" s="55">
        <f t="array" ref="AD216">SUM(($A216='Accident &amp; Incident Detail'!$E$2:$E$3433)*(AD$212='Accident &amp; Incident Detail'!$C$2:$C$3433))</f>
        <v>1</v>
      </c>
      <c r="AE216" s="55">
        <f t="array" ref="AE216">SUM(($A216='Accident &amp; Incident Detail'!$E$2:$E$3433)*(AE$212='Accident &amp; Incident Detail'!$C$2:$C$3433))</f>
        <v>0</v>
      </c>
      <c r="AF216" s="55">
        <f t="array" ref="AF216">SUM(($A216='Accident &amp; Incident Detail'!$E$2:$E$3433)*(AF$212='Accident &amp; Incident Detail'!$C$2:$C$3433))</f>
        <v>2</v>
      </c>
      <c r="AG216" s="55">
        <f t="array" ref="AG216">SUM(($A216='Accident &amp; Incident Detail'!$E$2:$E$3433)*(AG$212='Accident &amp; Incident Detail'!$C$2:$C$3433))</f>
        <v>0</v>
      </c>
      <c r="AH216" s="55">
        <f t="array" ref="AH216">SUM(($A216='Accident &amp; Incident Detail'!$E$2:$E$3433)*(AH$212='Accident &amp; Incident Detail'!$C$2:$C$3433))</f>
        <v>2</v>
      </c>
      <c r="AI216" s="55">
        <f t="array" ref="AI216">SUM(($A216='Accident &amp; Incident Detail'!$E$2:$E$3433)*(AI$212='Accident &amp; Incident Detail'!$C$2:$C$3433))</f>
        <v>0</v>
      </c>
      <c r="AJ216" s="55">
        <f t="array" ref="AJ216">SUM(($A216='Accident &amp; Incident Detail'!$E$2:$E$3433)*(AJ$212='Accident &amp; Incident Detail'!$C$2:$C$3433))</f>
        <v>1</v>
      </c>
      <c r="AK216" s="55">
        <f t="array" ref="AK216">SUM(($A216='Accident &amp; Incident Detail'!$E$2:$E$3433)*(AK$212='Accident &amp; Incident Detail'!$C$2:$C$3433))</f>
        <v>1</v>
      </c>
      <c r="AL216" s="55">
        <f t="array" ref="AL216">SUM(($A216='Accident &amp; Incident Detail'!$E$2:$E$3433)*(AL$212='Accident &amp; Incident Detail'!$C$2:$C$3433))</f>
        <v>0</v>
      </c>
      <c r="AM216" s="55">
        <f t="array" ref="AM216">SUM(($A216='Accident &amp; Incident Detail'!$E$2:$E$3433)*(AM$212='Accident &amp; Incident Detail'!$C$2:$C$3433))</f>
        <v>0</v>
      </c>
      <c r="AN216" s="55">
        <f t="array" ref="AN216">SUM(($A216='Accident &amp; Incident Detail'!$E$2:$E$3433)*(AN$212='Accident &amp; Incident Detail'!$C$2:$C$3433))</f>
        <v>0</v>
      </c>
    </row>
    <row r="217" spans="1:41" ht="15" thickBot="1" x14ac:dyDescent="0.4">
      <c r="A217" s="182" t="s">
        <v>15</v>
      </c>
      <c r="B217" s="422">
        <f>IF(B$1=1,(SUM(B216:B216)/13),0)</f>
        <v>0</v>
      </c>
      <c r="C217" s="422">
        <f>IF(C$1=1,(SUM(B216:C216)/13),0)</f>
        <v>0</v>
      </c>
      <c r="D217" s="422">
        <f>IF(D$1=1,(SUM(B216:D216)/13),0)</f>
        <v>0</v>
      </c>
      <c r="E217" s="422">
        <f>IF(E$1=1,(SUM(B216:E216)/13),0)</f>
        <v>0</v>
      </c>
      <c r="F217" s="422">
        <f>IF(F$1=1,(SUM(B216:F216)/13),0)</f>
        <v>0</v>
      </c>
      <c r="G217" s="422">
        <f>IF(G$1=1,(SUM(B216:G216)/13),0)</f>
        <v>0</v>
      </c>
      <c r="H217" s="422">
        <f>IF(H$1=1,(SUM(B216:H216)/13),0)</f>
        <v>0</v>
      </c>
      <c r="I217" s="422">
        <f>IF(I$1=1,(SUM(B216:I216)/13),0)</f>
        <v>0</v>
      </c>
      <c r="J217" s="46">
        <f>IF(J$1=1,(SUM(B216:J216)/13),0)</f>
        <v>0</v>
      </c>
      <c r="K217" s="46">
        <f>IF(K$1=1,(SUM(B216:K216)/13),0)</f>
        <v>7.6923076923076927E-2</v>
      </c>
      <c r="L217" s="46">
        <f>IF(L$1=1,(SUM(B216:L216)/13),0)</f>
        <v>0.30769230769230771</v>
      </c>
      <c r="M217" s="46">
        <f>IF(M$1=1,(SUM(B216:M216)/13),0)</f>
        <v>0.30769230769230771</v>
      </c>
      <c r="N217" s="46">
        <f>IF(N$1=1,(SUM(B216:N216)/13),0)</f>
        <v>0.30769230769230771</v>
      </c>
      <c r="O217" s="46">
        <f t="shared" ref="O217:Z217" si="167">IF(O$1=1,(SUM(C216:O216)/13),0)</f>
        <v>0.30769230769230771</v>
      </c>
      <c r="P217" s="46">
        <f t="shared" si="167"/>
        <v>0.30769230769230771</v>
      </c>
      <c r="Q217" s="46">
        <f t="shared" si="167"/>
        <v>0.46153846153846156</v>
      </c>
      <c r="R217" s="46">
        <f t="shared" si="167"/>
        <v>0.46153846153846156</v>
      </c>
      <c r="S217" s="46">
        <f t="shared" si="167"/>
        <v>0.46153846153846156</v>
      </c>
      <c r="T217" s="46">
        <f t="shared" si="167"/>
        <v>0.46153846153846156</v>
      </c>
      <c r="U217" s="46">
        <f t="shared" si="167"/>
        <v>0.46153846153846156</v>
      </c>
      <c r="V217" s="46">
        <f t="shared" si="167"/>
        <v>0.61538461538461542</v>
      </c>
      <c r="W217" s="46">
        <f t="shared" si="167"/>
        <v>0.61538461538461542</v>
      </c>
      <c r="X217" s="46">
        <f t="shared" si="167"/>
        <v>0.53846153846153844</v>
      </c>
      <c r="Y217" s="46">
        <f t="shared" si="167"/>
        <v>0.30769230769230771</v>
      </c>
      <c r="Z217" s="46">
        <f t="shared" si="167"/>
        <v>0.38461538461538464</v>
      </c>
      <c r="AA217" s="46">
        <f t="shared" ref="AA217:AN217" si="168">IF(AA$1=1,(SUM(O216:AA216)/13),0)</f>
        <v>0.46153846153846156</v>
      </c>
      <c r="AB217" s="46">
        <f t="shared" si="168"/>
        <v>0.46153846153846156</v>
      </c>
      <c r="AC217" s="46">
        <f t="shared" si="168"/>
        <v>0.53846153846153844</v>
      </c>
      <c r="AD217" s="46">
        <f t="shared" si="168"/>
        <v>0.46153846153846156</v>
      </c>
      <c r="AE217" s="46">
        <f t="shared" si="168"/>
        <v>0.46153846153846156</v>
      </c>
      <c r="AF217" s="46">
        <f t="shared" si="168"/>
        <v>0.61538461538461542</v>
      </c>
      <c r="AG217" s="46">
        <f t="shared" si="168"/>
        <v>0.61538461538461542</v>
      </c>
      <c r="AH217" s="46">
        <f t="shared" si="168"/>
        <v>0.76923076923076927</v>
      </c>
      <c r="AI217" s="46">
        <f t="shared" si="168"/>
        <v>0.61538461538461542</v>
      </c>
      <c r="AJ217" s="46">
        <f t="shared" si="168"/>
        <v>0.69230769230769229</v>
      </c>
      <c r="AK217" s="46">
        <f t="shared" si="168"/>
        <v>0.76923076923076927</v>
      </c>
      <c r="AL217" s="46">
        <f t="shared" si="168"/>
        <v>0</v>
      </c>
      <c r="AM217" s="46">
        <f t="shared" si="168"/>
        <v>0</v>
      </c>
      <c r="AN217" s="46">
        <f t="shared" si="168"/>
        <v>0</v>
      </c>
    </row>
    <row r="218" spans="1:41" x14ac:dyDescent="0.35">
      <c r="A218" s="150" t="s">
        <v>31</v>
      </c>
      <c r="B218" s="436">
        <f t="array" ref="B218">SUM(($A218='Accident &amp; Incident Detail'!$E$2:$E$3433)*(B$212='Accident &amp; Incident Detail'!$C$2:$C$3433))</f>
        <v>0</v>
      </c>
      <c r="C218" s="436">
        <f t="array" ref="C218">SUM(($A218='Accident &amp; Incident Detail'!$E$2:$E$3433)*(C$212='Accident &amp; Incident Detail'!$C$2:$C$3433))</f>
        <v>0</v>
      </c>
      <c r="D218" s="436">
        <f t="array" ref="D218">SUM(($A218='Accident &amp; Incident Detail'!$E$2:$E$3433)*(D$212='Accident &amp; Incident Detail'!$C$2:$C$3433))</f>
        <v>0</v>
      </c>
      <c r="E218" s="436">
        <f t="array" ref="E218">SUM(($A218='Accident &amp; Incident Detail'!$E$2:$E$3433)*(E$212='Accident &amp; Incident Detail'!$C$2:$C$3433))</f>
        <v>0</v>
      </c>
      <c r="F218" s="436">
        <f t="array" ref="F218">SUM(($A218='Accident &amp; Incident Detail'!$E$2:$E$3433)*(F$212='Accident &amp; Incident Detail'!$C$2:$C$3433))</f>
        <v>0</v>
      </c>
      <c r="G218" s="436">
        <f t="array" ref="G218">SUM(($A218='Accident &amp; Incident Detail'!$E$2:$E$3433)*(G$212='Accident &amp; Incident Detail'!$C$2:$C$3433))</f>
        <v>0</v>
      </c>
      <c r="H218" s="436">
        <f t="array" ref="H218">SUM(($A218='Accident &amp; Incident Detail'!$E$2:$E$3433)*(H$212='Accident &amp; Incident Detail'!$C$2:$C$3433))</f>
        <v>0</v>
      </c>
      <c r="I218" s="436">
        <f t="array" ref="I218">SUM(($A218='Accident &amp; Incident Detail'!$E$2:$E$3433)*(I$212='Accident &amp; Incident Detail'!$C$2:$C$3433))</f>
        <v>0</v>
      </c>
      <c r="J218" s="55">
        <f t="array" ref="J218">SUM(($A218='Accident &amp; Incident Detail'!$E$2:$E$3433)*(J$212='Accident &amp; Incident Detail'!$C$2:$C$3433))</f>
        <v>2</v>
      </c>
      <c r="K218" s="55">
        <f t="array" ref="K218">SUM(($A218='Accident &amp; Incident Detail'!$E$2:$E$3433)*(K$212='Accident &amp; Incident Detail'!$C$2:$C$3433))</f>
        <v>8</v>
      </c>
      <c r="L218" s="55">
        <f t="array" ref="L218">SUM(($A218='Accident &amp; Incident Detail'!$E$2:$E$3433)*(L$212='Accident &amp; Incident Detail'!$C$2:$C$3433))</f>
        <v>6</v>
      </c>
      <c r="M218" s="55">
        <f t="array" ref="M218">SUM(($A218='Accident &amp; Incident Detail'!$E$2:$E$3433)*(M$212='Accident &amp; Incident Detail'!$C$2:$C$3433))</f>
        <v>6</v>
      </c>
      <c r="N218" s="55">
        <f t="array" ref="N218">SUM(($A218='Accident &amp; Incident Detail'!$E$2:$E$3433)*(N$212='Accident &amp; Incident Detail'!$C$2:$C$3433))</f>
        <v>0</v>
      </c>
      <c r="O218" s="55">
        <f t="array" ref="O218">SUM(($A218='Accident &amp; Incident Detail'!$E$2:$E$3433)*(O$212='Accident &amp; Incident Detail'!$C$2:$C$3433))</f>
        <v>6</v>
      </c>
      <c r="P218" s="55">
        <f t="array" ref="P218">SUM(($A218='Accident &amp; Incident Detail'!$E$2:$E$3433)*(P$212='Accident &amp; Incident Detail'!$C$2:$C$3433))</f>
        <v>6</v>
      </c>
      <c r="Q218" s="55">
        <f t="array" ref="Q218">SUM(($A218='Accident &amp; Incident Detail'!$E$2:$E$3433)*(Q$212='Accident &amp; Incident Detail'!$C$2:$C$3433))</f>
        <v>7</v>
      </c>
      <c r="R218" s="55">
        <f t="array" ref="R218">SUM(($A218='Accident &amp; Incident Detail'!$E$2:$E$3433)*(R$212='Accident &amp; Incident Detail'!$C$2:$C$3433))</f>
        <v>5</v>
      </c>
      <c r="S218" s="55">
        <f t="array" ref="S218">SUM(($A218='Accident &amp; Incident Detail'!$E$2:$E$3433)*(S$212='Accident &amp; Incident Detail'!$C$2:$C$3433))</f>
        <v>6</v>
      </c>
      <c r="T218" s="55">
        <f t="array" ref="T218">SUM(($A218='Accident &amp; Incident Detail'!$E$2:$E$3433)*(T$212='Accident &amp; Incident Detail'!$C$2:$C$3433))</f>
        <v>6</v>
      </c>
      <c r="U218" s="55">
        <f t="array" ref="U218">SUM(($A218='Accident &amp; Incident Detail'!$E$2:$E$3433)*(U$212='Accident &amp; Incident Detail'!$C$2:$C$3433))</f>
        <v>7</v>
      </c>
      <c r="V218" s="55">
        <f t="array" ref="V218">SUM(($A218='Accident &amp; Incident Detail'!$E$2:$E$3433)*(V$212='Accident &amp; Incident Detail'!$C$2:$C$3433))</f>
        <v>4</v>
      </c>
      <c r="W218" s="55">
        <f t="array" ref="W218">SUM(($A218='Accident &amp; Incident Detail'!$E$2:$E$3433)*(W$212='Accident &amp; Incident Detail'!$C$2:$C$3433))</f>
        <v>12</v>
      </c>
      <c r="X218" s="55">
        <f t="array" ref="X218">SUM(($A218='Accident &amp; Incident Detail'!$E$2:$E$3433)*(X$212='Accident &amp; Incident Detail'!$C$2:$C$3433))</f>
        <v>5</v>
      </c>
      <c r="Y218" s="55">
        <f t="array" ref="Y218">SUM(($A218='Accident &amp; Incident Detail'!$E$2:$E$3433)*(Y$212='Accident &amp; Incident Detail'!$C$2:$C$3433))</f>
        <v>11</v>
      </c>
      <c r="Z218" s="55">
        <f t="array" ref="Z218">SUM(($A218='Accident &amp; Incident Detail'!$E$2:$E$3433)*(Z$212='Accident &amp; Incident Detail'!$C$2:$C$3433))</f>
        <v>4</v>
      </c>
      <c r="AA218" s="55">
        <f t="array" ref="AA218">SUM(($A218='Accident &amp; Incident Detail'!$E$2:$E$3433)*(AA$212='Accident &amp; Incident Detail'!$C$2:$C$3433))</f>
        <v>5</v>
      </c>
      <c r="AB218" s="55">
        <f t="array" ref="AB218">SUM(($A218='Accident &amp; Incident Detail'!$E$2:$E$3433)*(AB$212='Accident &amp; Incident Detail'!$C$2:$C$3433))</f>
        <v>11</v>
      </c>
      <c r="AC218" s="55">
        <f t="array" ref="AC218">SUM(($A218='Accident &amp; Incident Detail'!$E$2:$E$3433)*(AC$212='Accident &amp; Incident Detail'!$C$2:$C$3433))</f>
        <v>6</v>
      </c>
      <c r="AD218" s="55">
        <f t="array" ref="AD218">SUM(($A218='Accident &amp; Incident Detail'!$E$2:$E$3433)*(AD$212='Accident &amp; Incident Detail'!$C$2:$C$3433))</f>
        <v>4</v>
      </c>
      <c r="AE218" s="55">
        <f t="array" ref="AE218">SUM(($A218='Accident &amp; Incident Detail'!$E$2:$E$3433)*(AE$212='Accident &amp; Incident Detail'!$C$2:$C$3433))</f>
        <v>2</v>
      </c>
      <c r="AF218" s="55">
        <f t="array" ref="AF218">SUM(($A218='Accident &amp; Incident Detail'!$E$2:$E$3433)*(AF$212='Accident &amp; Incident Detail'!$C$2:$C$3433))</f>
        <v>2</v>
      </c>
      <c r="AG218" s="55">
        <f t="array" ref="AG218">SUM(($A218='Accident &amp; Incident Detail'!$E$2:$E$3433)*(AG$212='Accident &amp; Incident Detail'!$C$2:$C$3433))</f>
        <v>3</v>
      </c>
      <c r="AH218" s="55">
        <f t="array" ref="AH218">SUM(($A218='Accident &amp; Incident Detail'!$E$2:$E$3433)*(AH$212='Accident &amp; Incident Detail'!$C$2:$C$3433))</f>
        <v>4</v>
      </c>
      <c r="AI218" s="55">
        <f t="array" ref="AI218">SUM(($A218='Accident &amp; Incident Detail'!$E$2:$E$3433)*(AI$212='Accident &amp; Incident Detail'!$C$2:$C$3433))</f>
        <v>3</v>
      </c>
      <c r="AJ218" s="55">
        <f t="array" ref="AJ218">SUM(($A218='Accident &amp; Incident Detail'!$E$2:$E$3433)*(AJ$212='Accident &amp; Incident Detail'!$C$2:$C$3433))</f>
        <v>7</v>
      </c>
      <c r="AK218" s="55">
        <f t="array" ref="AK218">SUM(($A218='Accident &amp; Incident Detail'!$E$2:$E$3433)*(AK$212='Accident &amp; Incident Detail'!$C$2:$C$3433))</f>
        <v>0</v>
      </c>
      <c r="AL218" s="55">
        <f t="array" ref="AL218">SUM(($A218='Accident &amp; Incident Detail'!$E$2:$E$3433)*(AL$212='Accident &amp; Incident Detail'!$C$2:$C$3433))</f>
        <v>2</v>
      </c>
      <c r="AM218" s="55">
        <f t="array" ref="AM218">SUM(($A218='Accident &amp; Incident Detail'!$E$2:$E$3433)*(AM$212='Accident &amp; Incident Detail'!$C$2:$C$3433))</f>
        <v>1</v>
      </c>
      <c r="AN218" s="55">
        <f t="array" ref="AN218">SUM(($A218='Accident &amp; Incident Detail'!$E$2:$E$3433)*(AN$212='Accident &amp; Incident Detail'!$C$2:$C$3433))</f>
        <v>0</v>
      </c>
      <c r="AO218" s="55">
        <f>SUM(AB218:AN218)</f>
        <v>45</v>
      </c>
    </row>
    <row r="219" spans="1:41" ht="15" thickBot="1" x14ac:dyDescent="0.4">
      <c r="A219" s="182" t="s">
        <v>15</v>
      </c>
      <c r="B219" s="422">
        <f>IF(B$1=1,(SUM(B218:B218)/13),0)</f>
        <v>0</v>
      </c>
      <c r="C219" s="422">
        <f>IF(C$1=1,(SUM(B218:C218)/13),0)</f>
        <v>0</v>
      </c>
      <c r="D219" s="422">
        <f>IF(D$1=1,(SUM(B218:D218)/13),0)</f>
        <v>0</v>
      </c>
      <c r="E219" s="422">
        <f>IF(E$1=1,(SUM(B218:E218)/13),0)</f>
        <v>0</v>
      </c>
      <c r="F219" s="422">
        <f>IF(F$1=1,(SUM(B218:F218)/13),0)</f>
        <v>0</v>
      </c>
      <c r="G219" s="422">
        <f>IF(G$1=1,(SUM(B218:G218)/13),0)</f>
        <v>0</v>
      </c>
      <c r="H219" s="422">
        <f>IF(H$1=1,(SUM(B218:H218)/13),0)</f>
        <v>0</v>
      </c>
      <c r="I219" s="422">
        <f>IF(I$1=1,(SUM(B218:I218)/13),0)</f>
        <v>0</v>
      </c>
      <c r="J219" s="46">
        <f>IF(J$1=1,(SUM(B218:J218)/13),0)</f>
        <v>0.15384615384615385</v>
      </c>
      <c r="K219" s="46">
        <f>IF(K$1=1,(SUM(B218:K218)/13),0)</f>
        <v>0.76923076923076927</v>
      </c>
      <c r="L219" s="46">
        <f>IF(L$1=1,(SUM(B218:L218)/13),0)</f>
        <v>1.2307692307692308</v>
      </c>
      <c r="M219" s="46">
        <f>IF(M$1=1,(SUM(B218:M218)/13),0)</f>
        <v>1.6923076923076923</v>
      </c>
      <c r="N219" s="46">
        <f>IF(N$1=1,(SUM(B218:N218)/13),0)</f>
        <v>1.6923076923076923</v>
      </c>
      <c r="O219" s="46">
        <f t="shared" ref="O219:Z219" si="169">IF(O$1=1,(SUM(C218:O218)/13),0)</f>
        <v>2.1538461538461537</v>
      </c>
      <c r="P219" s="46">
        <f t="shared" si="169"/>
        <v>2.6153846153846154</v>
      </c>
      <c r="Q219" s="46">
        <f t="shared" si="169"/>
        <v>3.1538461538461537</v>
      </c>
      <c r="R219" s="46">
        <f t="shared" si="169"/>
        <v>3.5384615384615383</v>
      </c>
      <c r="S219" s="46">
        <f t="shared" si="169"/>
        <v>4</v>
      </c>
      <c r="T219" s="46">
        <f t="shared" si="169"/>
        <v>4.4615384615384617</v>
      </c>
      <c r="U219" s="46">
        <f t="shared" si="169"/>
        <v>5</v>
      </c>
      <c r="V219" s="46">
        <f t="shared" si="169"/>
        <v>5.3076923076923075</v>
      </c>
      <c r="W219" s="46">
        <f t="shared" si="169"/>
        <v>6.0769230769230766</v>
      </c>
      <c r="X219" s="46">
        <f t="shared" si="169"/>
        <v>5.8461538461538458</v>
      </c>
      <c r="Y219" s="46">
        <f t="shared" si="169"/>
        <v>6.2307692307692308</v>
      </c>
      <c r="Z219" s="46">
        <f t="shared" si="169"/>
        <v>6.0769230769230766</v>
      </c>
      <c r="AA219" s="46">
        <f t="shared" ref="AA219:AN219" si="170">IF(AA$1=1,(SUM(O218:AA218)/13),0)</f>
        <v>6.4615384615384617</v>
      </c>
      <c r="AB219" s="46">
        <f t="shared" si="170"/>
        <v>6.8461538461538458</v>
      </c>
      <c r="AC219" s="46">
        <f t="shared" si="170"/>
        <v>6.8461538461538458</v>
      </c>
      <c r="AD219" s="46">
        <f t="shared" si="170"/>
        <v>6.615384615384615</v>
      </c>
      <c r="AE219" s="46">
        <f t="shared" si="170"/>
        <v>6.384615384615385</v>
      </c>
      <c r="AF219" s="46">
        <f t="shared" si="170"/>
        <v>6.0769230769230766</v>
      </c>
      <c r="AG219" s="46">
        <f t="shared" si="170"/>
        <v>5.8461538461538458</v>
      </c>
      <c r="AH219" s="46">
        <f t="shared" si="170"/>
        <v>5.615384615384615</v>
      </c>
      <c r="AI219" s="46">
        <f t="shared" si="170"/>
        <v>5.5384615384615383</v>
      </c>
      <c r="AJ219" s="46">
        <f t="shared" si="170"/>
        <v>5.1538461538461542</v>
      </c>
      <c r="AK219" s="46">
        <f t="shared" si="170"/>
        <v>4.7692307692307692</v>
      </c>
      <c r="AL219" s="46">
        <f t="shared" si="170"/>
        <v>0</v>
      </c>
      <c r="AM219" s="46">
        <f t="shared" si="170"/>
        <v>0</v>
      </c>
      <c r="AN219" s="46">
        <f t="shared" si="170"/>
        <v>0</v>
      </c>
    </row>
    <row r="220" spans="1:41" x14ac:dyDescent="0.35">
      <c r="A220" s="123" t="s">
        <v>8</v>
      </c>
      <c r="B220" s="436">
        <f t="array" ref="B220">SUM(($A220='Accident &amp; Incident Detail'!$E$2:$E$3433)*(B$212='Accident &amp; Incident Detail'!$C$2:$C$3433))</f>
        <v>0</v>
      </c>
      <c r="C220" s="436">
        <f t="array" ref="C220">SUM(($A220='Accident &amp; Incident Detail'!$E$2:$E$3433)*(C$212='Accident &amp; Incident Detail'!$C$2:$C$3433))</f>
        <v>0</v>
      </c>
      <c r="D220" s="436">
        <f t="array" ref="D220">SUM(($A220='Accident &amp; Incident Detail'!$E$2:$E$3433)*(D$212='Accident &amp; Incident Detail'!$C$2:$C$3433))</f>
        <v>0</v>
      </c>
      <c r="E220" s="436">
        <f t="array" ref="E220">SUM(($A220='Accident &amp; Incident Detail'!$E$2:$E$3433)*(E$212='Accident &amp; Incident Detail'!$C$2:$C$3433))</f>
        <v>0</v>
      </c>
      <c r="F220" s="436">
        <f t="array" ref="F220">SUM(($A220='Accident &amp; Incident Detail'!$E$2:$E$3433)*(F$212='Accident &amp; Incident Detail'!$C$2:$C$3433))</f>
        <v>0</v>
      </c>
      <c r="G220" s="436">
        <f t="array" ref="G220">SUM(($A220='Accident &amp; Incident Detail'!$E$2:$E$3433)*(G$212='Accident &amp; Incident Detail'!$C$2:$C$3433))</f>
        <v>0</v>
      </c>
      <c r="H220" s="436">
        <f t="array" ref="H220">SUM(($A220='Accident &amp; Incident Detail'!$E$2:$E$3433)*(H$212='Accident &amp; Incident Detail'!$C$2:$C$3433))</f>
        <v>0</v>
      </c>
      <c r="I220" s="436">
        <f t="array" ref="I220">SUM(($A220='Accident &amp; Incident Detail'!$E$2:$E$3433)*(I$212='Accident &amp; Incident Detail'!$C$2:$C$3433))</f>
        <v>0</v>
      </c>
      <c r="J220" s="55">
        <f t="array" ref="J220">SUM(($A220='Accident &amp; Incident Detail'!$E$2:$E$3433)*(J$212='Accident &amp; Incident Detail'!$C$2:$C$3433))</f>
        <v>1</v>
      </c>
      <c r="K220" s="55">
        <f t="array" ref="K220">SUM(($A220='Accident &amp; Incident Detail'!$E$2:$E$3433)*(K$212='Accident &amp; Incident Detail'!$C$2:$C$3433))</f>
        <v>9</v>
      </c>
      <c r="L220" s="55">
        <f t="array" ref="L220">SUM(($A220='Accident &amp; Incident Detail'!$E$2:$E$3433)*(L$212='Accident &amp; Incident Detail'!$C$2:$C$3433))</f>
        <v>4</v>
      </c>
      <c r="M220" s="55">
        <f t="array" ref="M220">SUM(($A220='Accident &amp; Incident Detail'!$E$2:$E$3433)*(M$212='Accident &amp; Incident Detail'!$C$2:$C$3433))</f>
        <v>6</v>
      </c>
      <c r="N220" s="55">
        <f t="array" ref="N220">SUM(($A220='Accident &amp; Incident Detail'!$E$2:$E$3433)*(N$212='Accident &amp; Incident Detail'!$C$2:$C$3433))</f>
        <v>0</v>
      </c>
      <c r="O220" s="55">
        <f t="array" ref="O220">SUM(($A220='Accident &amp; Incident Detail'!$E$2:$E$3433)*(O$212='Accident &amp; Incident Detail'!$C$2:$C$3433))</f>
        <v>7</v>
      </c>
      <c r="P220" s="55">
        <f t="array" ref="P220">SUM(($A220='Accident &amp; Incident Detail'!$E$2:$E$3433)*(P$212='Accident &amp; Incident Detail'!$C$2:$C$3433))</f>
        <v>4</v>
      </c>
      <c r="Q220" s="55">
        <f t="array" ref="Q220">SUM(($A220='Accident &amp; Incident Detail'!$E$2:$E$3433)*(Q$212='Accident &amp; Incident Detail'!$C$2:$C$3433))</f>
        <v>7</v>
      </c>
      <c r="R220" s="55">
        <f t="array" ref="R220">SUM(($A220='Accident &amp; Incident Detail'!$E$2:$E$3433)*(R$212='Accident &amp; Incident Detail'!$C$2:$C$3433))</f>
        <v>5</v>
      </c>
      <c r="S220" s="55">
        <f t="array" ref="S220">SUM(($A220='Accident &amp; Incident Detail'!$E$2:$E$3433)*(S$212='Accident &amp; Incident Detail'!$C$2:$C$3433))</f>
        <v>3</v>
      </c>
      <c r="T220" s="55">
        <f t="array" ref="T220">SUM(($A220='Accident &amp; Incident Detail'!$E$2:$E$3433)*(T$212='Accident &amp; Incident Detail'!$C$2:$C$3433))</f>
        <v>5</v>
      </c>
      <c r="U220" s="55">
        <f t="array" ref="U220">SUM(($A220='Accident &amp; Incident Detail'!$E$2:$E$3433)*(U$212='Accident &amp; Incident Detail'!$C$2:$C$3433))</f>
        <v>6</v>
      </c>
      <c r="V220" s="55">
        <f t="array" ref="V220">SUM(($A220='Accident &amp; Incident Detail'!$E$2:$E$3433)*(V$212='Accident &amp; Incident Detail'!$C$2:$C$3433))</f>
        <v>10</v>
      </c>
      <c r="W220" s="55">
        <f t="array" ref="W220">SUM(($A220='Accident &amp; Incident Detail'!$E$2:$E$3433)*(W$212='Accident &amp; Incident Detail'!$C$2:$C$3433))</f>
        <v>4</v>
      </c>
      <c r="X220" s="55">
        <f t="array" ref="X220">SUM(($A220='Accident &amp; Incident Detail'!$E$2:$E$3433)*(X$212='Accident &amp; Incident Detail'!$C$2:$C$3433))</f>
        <v>8</v>
      </c>
      <c r="Y220" s="55">
        <f t="array" ref="Y220">SUM(($A220='Accident &amp; Incident Detail'!$E$2:$E$3433)*(Y$212='Accident &amp; Incident Detail'!$C$2:$C$3433))</f>
        <v>3</v>
      </c>
      <c r="Z220" s="55">
        <f t="array" ref="Z220">SUM(($A220='Accident &amp; Incident Detail'!$E$2:$E$3433)*(Z$212='Accident &amp; Incident Detail'!$C$2:$C$3433))</f>
        <v>7</v>
      </c>
      <c r="AA220" s="55">
        <f t="array" ref="AA220">SUM(($A220='Accident &amp; Incident Detail'!$E$2:$E$3433)*(AA$212='Accident &amp; Incident Detail'!$C$2:$C$3433))</f>
        <v>12</v>
      </c>
      <c r="AB220" s="55">
        <f t="array" ref="AB220">SUM(($A220='Accident &amp; Incident Detail'!$E$2:$E$3433)*(AB$212='Accident &amp; Incident Detail'!$C$2:$C$3433))</f>
        <v>11</v>
      </c>
      <c r="AC220" s="55">
        <f t="array" ref="AC220">SUM(($A220='Accident &amp; Incident Detail'!$E$2:$E$3433)*(AC$212='Accident &amp; Incident Detail'!$C$2:$C$3433))</f>
        <v>10</v>
      </c>
      <c r="AD220" s="55">
        <f t="array" ref="AD220">SUM(($A220='Accident &amp; Incident Detail'!$E$2:$E$3433)*(AD$212='Accident &amp; Incident Detail'!$C$2:$C$3433))</f>
        <v>14</v>
      </c>
      <c r="AE220" s="55">
        <f t="array" ref="AE220">SUM(($A220='Accident &amp; Incident Detail'!$E$2:$E$3433)*(AE$212='Accident &amp; Incident Detail'!$C$2:$C$3433))</f>
        <v>5</v>
      </c>
      <c r="AF220" s="55">
        <f t="array" ref="AF220">SUM(($A220='Accident &amp; Incident Detail'!$E$2:$E$3433)*(AF$212='Accident &amp; Incident Detail'!$C$2:$C$3433))</f>
        <v>11</v>
      </c>
      <c r="AG220" s="55">
        <f t="array" ref="AG220">SUM(($A220='Accident &amp; Incident Detail'!$E$2:$E$3433)*(AG$212='Accident &amp; Incident Detail'!$C$2:$C$3433))</f>
        <v>20</v>
      </c>
      <c r="AH220" s="55">
        <f t="array" ref="AH220">SUM(($A220='Accident &amp; Incident Detail'!$E$2:$E$3433)*(AH$212='Accident &amp; Incident Detail'!$C$2:$C$3433))</f>
        <v>16</v>
      </c>
      <c r="AI220" s="55">
        <f t="array" ref="AI220">SUM(($A220='Accident &amp; Incident Detail'!$E$2:$E$3433)*(AI$212='Accident &amp; Incident Detail'!$C$2:$C$3433))</f>
        <v>4</v>
      </c>
      <c r="AJ220" s="55">
        <f t="array" ref="AJ220">SUM(($A220='Accident &amp; Incident Detail'!$E$2:$E$3433)*(AJ$212='Accident &amp; Incident Detail'!$C$2:$C$3433))</f>
        <v>7</v>
      </c>
      <c r="AK220" s="55">
        <f t="array" ref="AK220">SUM(($A220='Accident &amp; Incident Detail'!$E$2:$E$3433)*(AK$212='Accident &amp; Incident Detail'!$C$2:$C$3433))</f>
        <v>11</v>
      </c>
      <c r="AL220" s="55">
        <f t="array" ref="AL220">SUM(($A220='Accident &amp; Incident Detail'!$E$2:$E$3433)*(AL$212='Accident &amp; Incident Detail'!$C$2:$C$3433))</f>
        <v>4</v>
      </c>
      <c r="AM220" s="55">
        <f t="array" ref="AM220">SUM(($A220='Accident &amp; Incident Detail'!$E$2:$E$3433)*(AM$212='Accident &amp; Incident Detail'!$C$2:$C$3433))</f>
        <v>0</v>
      </c>
      <c r="AN220" s="55">
        <f t="array" ref="AN220">SUM(($A220='Accident &amp; Incident Detail'!$E$2:$E$3433)*(AN$212='Accident &amp; Incident Detail'!$C$2:$C$3433))</f>
        <v>0</v>
      </c>
    </row>
    <row r="221" spans="1:41" ht="15" thickBot="1" x14ac:dyDescent="0.4">
      <c r="A221" s="182" t="s">
        <v>15</v>
      </c>
      <c r="B221" s="422">
        <f>IF(B$1=1,(SUM(B220:B220)/13),0)</f>
        <v>0</v>
      </c>
      <c r="C221" s="422">
        <f>IF(C$1=1,(SUM(B220:C220)/13),0)</f>
        <v>0</v>
      </c>
      <c r="D221" s="422">
        <f>IF(D$1=1,(SUM(B220:D220)/13),0)</f>
        <v>0</v>
      </c>
      <c r="E221" s="422">
        <f>IF(E$1=1,(SUM(B220:E220)/13),0)</f>
        <v>0</v>
      </c>
      <c r="F221" s="422">
        <f>IF(F$1=1,(SUM(B220:F220)/13),0)</f>
        <v>0</v>
      </c>
      <c r="G221" s="422">
        <f>IF(G$1=1,(SUM(B220:G220)/13),0)</f>
        <v>0</v>
      </c>
      <c r="H221" s="422">
        <f>IF(H$1=1,(SUM(B220:H220)/13),0)</f>
        <v>0</v>
      </c>
      <c r="I221" s="422">
        <f>IF(I$1=1,(SUM(B220:I220)/13),0)</f>
        <v>0</v>
      </c>
      <c r="J221" s="46">
        <f>IF(J$1=1,(SUM(B220:J220)/13),0)</f>
        <v>7.6923076923076927E-2</v>
      </c>
      <c r="K221" s="46">
        <f>IF(K$1=1,(SUM(B220:K220)/13),0)</f>
        <v>0.76923076923076927</v>
      </c>
      <c r="L221" s="46">
        <f>IF(L$1=1,(SUM(B220:L220)/13),0)</f>
        <v>1.0769230769230769</v>
      </c>
      <c r="M221" s="46">
        <f>IF(M$1=1,(SUM(B220:M220)/13),0)</f>
        <v>1.5384615384615385</v>
      </c>
      <c r="N221" s="46">
        <f>IF(N$1=1,(SUM(B220:N220)/13),0)</f>
        <v>1.5384615384615385</v>
      </c>
      <c r="O221" s="46">
        <f t="shared" ref="O221:Z221" si="171">IF(O$1=1,(SUM(C220:O220)/13),0)</f>
        <v>2.0769230769230771</v>
      </c>
      <c r="P221" s="46">
        <f t="shared" si="171"/>
        <v>2.3846153846153846</v>
      </c>
      <c r="Q221" s="46">
        <f t="shared" si="171"/>
        <v>2.9230769230769229</v>
      </c>
      <c r="R221" s="46">
        <f t="shared" si="171"/>
        <v>3.3076923076923075</v>
      </c>
      <c r="S221" s="46">
        <f t="shared" si="171"/>
        <v>3.5384615384615383</v>
      </c>
      <c r="T221" s="46">
        <f t="shared" si="171"/>
        <v>3.9230769230769229</v>
      </c>
      <c r="U221" s="46">
        <f t="shared" si="171"/>
        <v>4.384615384615385</v>
      </c>
      <c r="V221" s="46">
        <f t="shared" si="171"/>
        <v>5.1538461538461542</v>
      </c>
      <c r="W221" s="46">
        <f t="shared" si="171"/>
        <v>5.384615384615385</v>
      </c>
      <c r="X221" s="46">
        <f t="shared" si="171"/>
        <v>5.3076923076923075</v>
      </c>
      <c r="Y221" s="46">
        <f t="shared" si="171"/>
        <v>5.2307692307692308</v>
      </c>
      <c r="Z221" s="46">
        <f t="shared" si="171"/>
        <v>5.3076923076923075</v>
      </c>
      <c r="AA221" s="46">
        <f t="shared" ref="AA221:AN221" si="172">IF(AA$1=1,(SUM(O220:AA220)/13),0)</f>
        <v>6.2307692307692308</v>
      </c>
      <c r="AB221" s="46">
        <f t="shared" si="172"/>
        <v>6.5384615384615383</v>
      </c>
      <c r="AC221" s="46">
        <f t="shared" si="172"/>
        <v>7</v>
      </c>
      <c r="AD221" s="46">
        <f t="shared" si="172"/>
        <v>7.5384615384615383</v>
      </c>
      <c r="AE221" s="46">
        <f t="shared" si="172"/>
        <v>7.5384615384615383</v>
      </c>
      <c r="AF221" s="46">
        <f t="shared" si="172"/>
        <v>8.1538461538461533</v>
      </c>
      <c r="AG221" s="46">
        <f t="shared" si="172"/>
        <v>9.3076923076923084</v>
      </c>
      <c r="AH221" s="46">
        <f t="shared" si="172"/>
        <v>10.076923076923077</v>
      </c>
      <c r="AI221" s="46">
        <f t="shared" si="172"/>
        <v>9.615384615384615</v>
      </c>
      <c r="AJ221" s="46">
        <f t="shared" si="172"/>
        <v>9.8461538461538467</v>
      </c>
      <c r="AK221" s="46">
        <f t="shared" si="172"/>
        <v>10.076923076923077</v>
      </c>
      <c r="AL221" s="46">
        <f t="shared" si="172"/>
        <v>0</v>
      </c>
      <c r="AM221" s="46">
        <f t="shared" si="172"/>
        <v>0</v>
      </c>
      <c r="AN221" s="46">
        <f t="shared" si="172"/>
        <v>0</v>
      </c>
    </row>
    <row r="222" spans="1:41" x14ac:dyDescent="0.35">
      <c r="A222" s="123" t="s">
        <v>73</v>
      </c>
      <c r="B222" s="436">
        <f t="array" ref="B222">SUM(($A222='Accident &amp; Incident Detail'!$E$2:$E$3433)*(B$212='Accident &amp; Incident Detail'!$C$2:$C$3433))</f>
        <v>0</v>
      </c>
      <c r="C222" s="436">
        <f t="array" ref="C222">SUM(($A222='Accident &amp; Incident Detail'!$E$2:$E$3433)*(C$212='Accident &amp; Incident Detail'!$C$2:$C$3433))</f>
        <v>0</v>
      </c>
      <c r="D222" s="436">
        <f t="array" ref="D222">SUM(($A222='Accident &amp; Incident Detail'!$E$2:$E$3433)*(D$212='Accident &amp; Incident Detail'!$C$2:$C$3433))</f>
        <v>0</v>
      </c>
      <c r="E222" s="436">
        <f t="array" ref="E222">SUM(($A222='Accident &amp; Incident Detail'!$E$2:$E$3433)*(E$212='Accident &amp; Incident Detail'!$C$2:$C$3433))</f>
        <v>0</v>
      </c>
      <c r="F222" s="436">
        <f t="array" ref="F222">SUM(($A222='Accident &amp; Incident Detail'!$E$2:$E$3433)*(F$212='Accident &amp; Incident Detail'!$C$2:$C$3433))</f>
        <v>0</v>
      </c>
      <c r="G222" s="436">
        <f t="array" ref="G222">SUM(($A222='Accident &amp; Incident Detail'!$E$2:$E$3433)*(G$212='Accident &amp; Incident Detail'!$C$2:$C$3433))</f>
        <v>0</v>
      </c>
      <c r="H222" s="436">
        <f t="array" ref="H222">SUM(($A222='Accident &amp; Incident Detail'!$E$2:$E$3433)*(H$212='Accident &amp; Incident Detail'!$C$2:$C$3433))</f>
        <v>0</v>
      </c>
      <c r="I222" s="436">
        <f t="array" ref="I222">SUM(($A222='Accident &amp; Incident Detail'!$E$2:$E$3433)*(I$212='Accident &amp; Incident Detail'!$C$2:$C$3433))</f>
        <v>0</v>
      </c>
      <c r="J222" s="55">
        <f t="array" ref="J222">SUM(($A222='Accident &amp; Incident Detail'!$E$2:$E$3433)*(J$212='Accident &amp; Incident Detail'!$C$2:$C$3433))</f>
        <v>0</v>
      </c>
      <c r="K222" s="55">
        <f t="array" ref="K222">SUM(($A222='Accident &amp; Incident Detail'!$E$2:$E$3433)*(K$212='Accident &amp; Incident Detail'!$C$2:$C$3433))</f>
        <v>2</v>
      </c>
      <c r="L222" s="55">
        <f t="array" ref="L222">SUM(($A222='Accident &amp; Incident Detail'!$E$2:$E$3433)*(L$212='Accident &amp; Incident Detail'!$C$2:$C$3433))</f>
        <v>3</v>
      </c>
      <c r="M222" s="55">
        <f t="array" ref="M222">SUM(($A222='Accident &amp; Incident Detail'!$E$2:$E$3433)*(M$212='Accident &amp; Incident Detail'!$C$2:$C$3433))</f>
        <v>1</v>
      </c>
      <c r="N222" s="55">
        <f t="array" ref="N222">SUM(($A222='Accident &amp; Incident Detail'!$E$2:$E$3433)*(N$212='Accident &amp; Incident Detail'!$C$2:$C$3433))</f>
        <v>0</v>
      </c>
      <c r="O222" s="55">
        <f t="array" ref="O222">SUM(($A222='Accident &amp; Incident Detail'!$E$2:$E$3433)*(O$212='Accident &amp; Incident Detail'!$C$2:$C$3433))</f>
        <v>2</v>
      </c>
      <c r="P222" s="55">
        <f t="array" ref="P222">SUM(($A222='Accident &amp; Incident Detail'!$E$2:$E$3433)*(P$212='Accident &amp; Incident Detail'!$C$2:$C$3433))</f>
        <v>0</v>
      </c>
      <c r="Q222" s="55">
        <f t="array" ref="Q222">SUM(($A222='Accident &amp; Incident Detail'!$E$2:$E$3433)*(Q$212='Accident &amp; Incident Detail'!$C$2:$C$3433))</f>
        <v>1</v>
      </c>
      <c r="R222" s="55">
        <f t="array" ref="R222">SUM(($A222='Accident &amp; Incident Detail'!$E$2:$E$3433)*(R$212='Accident &amp; Incident Detail'!$C$2:$C$3433))</f>
        <v>0</v>
      </c>
      <c r="S222" s="55">
        <f t="array" ref="S222">SUM(($A222='Accident &amp; Incident Detail'!$E$2:$E$3433)*(S$212='Accident &amp; Incident Detail'!$C$2:$C$3433))</f>
        <v>2</v>
      </c>
      <c r="T222" s="55">
        <f t="array" ref="T222">SUM(($A222='Accident &amp; Incident Detail'!$E$2:$E$3433)*(T$212='Accident &amp; Incident Detail'!$C$2:$C$3433))</f>
        <v>1</v>
      </c>
      <c r="U222" s="55">
        <f t="array" ref="U222">SUM(($A222='Accident &amp; Incident Detail'!$E$2:$E$3433)*(U$212='Accident &amp; Incident Detail'!$C$2:$C$3433))</f>
        <v>0</v>
      </c>
      <c r="V222" s="55">
        <f t="array" ref="V222">SUM(($A222='Accident &amp; Incident Detail'!$E$2:$E$3433)*(V$212='Accident &amp; Incident Detail'!$C$2:$C$3433))</f>
        <v>0</v>
      </c>
      <c r="W222" s="55">
        <f t="array" ref="W222">SUM(($A222='Accident &amp; Incident Detail'!$E$2:$E$3433)*(W$212='Accident &amp; Incident Detail'!$C$2:$C$3433))</f>
        <v>1</v>
      </c>
      <c r="X222" s="55">
        <f t="array" ref="X222">SUM(($A222='Accident &amp; Incident Detail'!$E$2:$E$3433)*(X$212='Accident &amp; Incident Detail'!$C$2:$C$3433))</f>
        <v>0</v>
      </c>
      <c r="Y222" s="55">
        <f t="array" ref="Y222">SUM(($A222='Accident &amp; Incident Detail'!$E$2:$E$3433)*(Y$212='Accident &amp; Incident Detail'!$C$2:$C$3433))</f>
        <v>0</v>
      </c>
      <c r="Z222" s="55">
        <f t="array" ref="Z222">SUM(($A222='Accident &amp; Incident Detail'!$E$2:$E$3433)*(Z$212='Accident &amp; Incident Detail'!$C$2:$C$3433))</f>
        <v>0</v>
      </c>
      <c r="AA222" s="55">
        <f t="array" ref="AA222">SUM(($A222='Accident &amp; Incident Detail'!$E$2:$E$3433)*(AA$212='Accident &amp; Incident Detail'!$C$2:$C$3433))</f>
        <v>1</v>
      </c>
      <c r="AB222" s="55">
        <f t="array" ref="AB222">SUM(($A222='Accident &amp; Incident Detail'!$E$2:$E$3433)*(AB$212='Accident &amp; Incident Detail'!$C$2:$C$3433))</f>
        <v>1</v>
      </c>
      <c r="AC222" s="55">
        <f t="array" ref="AC222">SUM(($A222='Accident &amp; Incident Detail'!$E$2:$E$3433)*(AC$212='Accident &amp; Incident Detail'!$C$2:$C$3433))</f>
        <v>0</v>
      </c>
      <c r="AD222" s="55">
        <f t="array" ref="AD222">SUM(($A222='Accident &amp; Incident Detail'!$E$2:$E$3433)*(AD$212='Accident &amp; Incident Detail'!$C$2:$C$3433))</f>
        <v>0</v>
      </c>
      <c r="AE222" s="55">
        <f t="array" ref="AE222">SUM(($A222='Accident &amp; Incident Detail'!$E$2:$E$3433)*(AE$212='Accident &amp; Incident Detail'!$C$2:$C$3433))</f>
        <v>1</v>
      </c>
      <c r="AF222" s="55">
        <f t="array" ref="AF222">SUM(($A222='Accident &amp; Incident Detail'!$E$2:$E$3433)*(AF$212='Accident &amp; Incident Detail'!$C$2:$C$3433))</f>
        <v>0</v>
      </c>
      <c r="AG222" s="55">
        <f t="array" ref="AG222">SUM(($A222='Accident &amp; Incident Detail'!$E$2:$E$3433)*(AG$212='Accident &amp; Incident Detail'!$C$2:$C$3433))</f>
        <v>0</v>
      </c>
      <c r="AH222" s="55">
        <f t="array" ref="AH222">SUM(($A222='Accident &amp; Incident Detail'!$E$2:$E$3433)*(AH$212='Accident &amp; Incident Detail'!$C$2:$C$3433))</f>
        <v>0</v>
      </c>
      <c r="AI222" s="55">
        <f t="array" ref="AI222">SUM(($A222='Accident &amp; Incident Detail'!$E$2:$E$3433)*(AI$212='Accident &amp; Incident Detail'!$C$2:$C$3433))</f>
        <v>3</v>
      </c>
      <c r="AJ222" s="55">
        <f t="array" ref="AJ222">SUM(($A222='Accident &amp; Incident Detail'!$E$2:$E$3433)*(AJ$212='Accident &amp; Incident Detail'!$C$2:$C$3433))</f>
        <v>1</v>
      </c>
      <c r="AK222" s="55">
        <f t="array" ref="AK222">SUM(($A222='Accident &amp; Incident Detail'!$E$2:$E$3433)*(AK$212='Accident &amp; Incident Detail'!$C$2:$C$3433))</f>
        <v>0</v>
      </c>
      <c r="AL222" s="55">
        <f t="array" ref="AL222">SUM(($A222='Accident &amp; Incident Detail'!$E$2:$E$3433)*(AL$212='Accident &amp; Incident Detail'!$C$2:$C$3433))</f>
        <v>1</v>
      </c>
      <c r="AM222" s="55">
        <f t="array" ref="AM222">SUM(($A222='Accident &amp; Incident Detail'!$E$2:$E$3433)*(AM$212='Accident &amp; Incident Detail'!$C$2:$C$3433))</f>
        <v>0</v>
      </c>
      <c r="AN222" s="55">
        <f t="array" ref="AN222">SUM(($A222='Accident &amp; Incident Detail'!$E$2:$E$3433)*(AN$212='Accident &amp; Incident Detail'!$C$2:$C$3433))</f>
        <v>0</v>
      </c>
    </row>
    <row r="223" spans="1:41" ht="15" thickBot="1" x14ac:dyDescent="0.4">
      <c r="A223" s="182" t="s">
        <v>15</v>
      </c>
      <c r="B223" s="422">
        <f>IF(B$1=1,(SUM(B222:B222)/13),0)</f>
        <v>0</v>
      </c>
      <c r="C223" s="422">
        <f>IF(C$1=1,(SUM(B222:C222)/13),0)</f>
        <v>0</v>
      </c>
      <c r="D223" s="422">
        <f>IF(D$1=1,(SUM(B222:D222)/13),0)</f>
        <v>0</v>
      </c>
      <c r="E223" s="422">
        <f>IF(E$1=1,(SUM(B222:E222)/13),0)</f>
        <v>0</v>
      </c>
      <c r="F223" s="422">
        <f>IF(F$1=1,(SUM(B222:F222)/13),0)</f>
        <v>0</v>
      </c>
      <c r="G223" s="422">
        <f>IF(G$1=1,(SUM(B222:G222)/13),0)</f>
        <v>0</v>
      </c>
      <c r="H223" s="422">
        <f>IF(H$1=1,(SUM(B222:H222)/13),0)</f>
        <v>0</v>
      </c>
      <c r="I223" s="422">
        <f>IF(I$1=1,(SUM(B222:I222)/13),0)</f>
        <v>0</v>
      </c>
      <c r="J223" s="46">
        <f>IF(J$1=1,(SUM(B222:J222)/13),0)</f>
        <v>0</v>
      </c>
      <c r="K223" s="46">
        <f>IF(K$1=1,(SUM(B222:K222)/13),0)</f>
        <v>0.15384615384615385</v>
      </c>
      <c r="L223" s="46">
        <f>IF(L$1=1,(SUM(B222:L222)/13),0)</f>
        <v>0.38461538461538464</v>
      </c>
      <c r="M223" s="46">
        <f>IF(M$1=1,(SUM(B222:M222)/13),0)</f>
        <v>0.46153846153846156</v>
      </c>
      <c r="N223" s="46">
        <f>IF(N$1=1,(SUM(B222:N222)/13),0)</f>
        <v>0.46153846153846156</v>
      </c>
      <c r="O223" s="46">
        <f t="shared" ref="O223:Z223" si="173">IF(O$1=1,(SUM(C222:O222)/13),0)</f>
        <v>0.61538461538461542</v>
      </c>
      <c r="P223" s="46">
        <f t="shared" si="173"/>
        <v>0.61538461538461542</v>
      </c>
      <c r="Q223" s="46">
        <f t="shared" si="173"/>
        <v>0.69230769230769229</v>
      </c>
      <c r="R223" s="46">
        <f t="shared" si="173"/>
        <v>0.69230769230769229</v>
      </c>
      <c r="S223" s="46">
        <f t="shared" si="173"/>
        <v>0.84615384615384615</v>
      </c>
      <c r="T223" s="46">
        <f t="shared" si="173"/>
        <v>0.92307692307692313</v>
      </c>
      <c r="U223" s="46">
        <f t="shared" si="173"/>
        <v>0.92307692307692313</v>
      </c>
      <c r="V223" s="46">
        <f t="shared" si="173"/>
        <v>0.92307692307692313</v>
      </c>
      <c r="W223" s="46">
        <f t="shared" si="173"/>
        <v>1</v>
      </c>
      <c r="X223" s="46">
        <f t="shared" si="173"/>
        <v>0.84615384615384615</v>
      </c>
      <c r="Y223" s="46">
        <f t="shared" si="173"/>
        <v>0.61538461538461542</v>
      </c>
      <c r="Z223" s="46">
        <f t="shared" si="173"/>
        <v>0.53846153846153844</v>
      </c>
      <c r="AA223" s="46">
        <f t="shared" ref="AA223:AN223" si="174">IF(AA$1=1,(SUM(O222:AA222)/13),0)</f>
        <v>0.61538461538461542</v>
      </c>
      <c r="AB223" s="46">
        <f t="shared" si="174"/>
        <v>0.53846153846153844</v>
      </c>
      <c r="AC223" s="46">
        <f t="shared" si="174"/>
        <v>0.53846153846153844</v>
      </c>
      <c r="AD223" s="46">
        <f t="shared" si="174"/>
        <v>0.46153846153846156</v>
      </c>
      <c r="AE223" s="46">
        <f t="shared" si="174"/>
        <v>0.53846153846153844</v>
      </c>
      <c r="AF223" s="46">
        <f t="shared" si="174"/>
        <v>0.38461538461538464</v>
      </c>
      <c r="AG223" s="46">
        <f t="shared" si="174"/>
        <v>0.30769230769230771</v>
      </c>
      <c r="AH223" s="46">
        <f t="shared" si="174"/>
        <v>0.30769230769230771</v>
      </c>
      <c r="AI223" s="46">
        <f t="shared" si="174"/>
        <v>0.53846153846153844</v>
      </c>
      <c r="AJ223" s="46">
        <f t="shared" si="174"/>
        <v>0.53846153846153844</v>
      </c>
      <c r="AK223" s="46">
        <f t="shared" si="174"/>
        <v>0.53846153846153844</v>
      </c>
      <c r="AL223" s="46">
        <f t="shared" si="174"/>
        <v>0</v>
      </c>
      <c r="AM223" s="46">
        <f t="shared" si="174"/>
        <v>0</v>
      </c>
      <c r="AN223" s="46">
        <f t="shared" si="174"/>
        <v>0</v>
      </c>
    </row>
    <row r="224" spans="1:41" x14ac:dyDescent="0.35">
      <c r="A224" s="123" t="s">
        <v>74</v>
      </c>
      <c r="B224" s="436">
        <f t="array" ref="B224">SUM(($A224='Accident &amp; Incident Detail'!$E$2:$E$3433)*(B$212='Accident &amp; Incident Detail'!$C$2:$C$3433))</f>
        <v>0</v>
      </c>
      <c r="C224" s="436">
        <f t="array" ref="C224">SUM(($A224='Accident &amp; Incident Detail'!$E$2:$E$3433)*(C$212='Accident &amp; Incident Detail'!$C$2:$C$3433))</f>
        <v>0</v>
      </c>
      <c r="D224" s="436">
        <f t="array" ref="D224">SUM(($A224='Accident &amp; Incident Detail'!$E$2:$E$3433)*(D$212='Accident &amp; Incident Detail'!$C$2:$C$3433))</f>
        <v>0</v>
      </c>
      <c r="E224" s="436">
        <f t="array" ref="E224">SUM(($A224='Accident &amp; Incident Detail'!$E$2:$E$3433)*(E$212='Accident &amp; Incident Detail'!$C$2:$C$3433))</f>
        <v>0</v>
      </c>
      <c r="F224" s="436">
        <f t="array" ref="F224">SUM(($A224='Accident &amp; Incident Detail'!$E$2:$E$3433)*(F$212='Accident &amp; Incident Detail'!$C$2:$C$3433))</f>
        <v>0</v>
      </c>
      <c r="G224" s="436">
        <f t="array" ref="G224">SUM(($A224='Accident &amp; Incident Detail'!$E$2:$E$3433)*(G$212='Accident &amp; Incident Detail'!$C$2:$C$3433))</f>
        <v>0</v>
      </c>
      <c r="H224" s="436">
        <f t="array" ref="H224">SUM(($A224='Accident &amp; Incident Detail'!$E$2:$E$3433)*(H$212='Accident &amp; Incident Detail'!$C$2:$C$3433))</f>
        <v>0</v>
      </c>
      <c r="I224" s="436">
        <f t="array" ref="I224">SUM(($A224='Accident &amp; Incident Detail'!$E$2:$E$3433)*(I$212='Accident &amp; Incident Detail'!$C$2:$C$3433))</f>
        <v>0</v>
      </c>
      <c r="J224" s="55">
        <f t="array" ref="J224">SUM(($A224='Accident &amp; Incident Detail'!$E$2:$E$3433)*(J$212='Accident &amp; Incident Detail'!$C$2:$C$3433))</f>
        <v>0</v>
      </c>
      <c r="K224" s="55">
        <f t="array" ref="K224">SUM(($A224='Accident &amp; Incident Detail'!$E$2:$E$3433)*(K$212='Accident &amp; Incident Detail'!$C$2:$C$3433))</f>
        <v>0</v>
      </c>
      <c r="L224" s="55">
        <f t="array" ref="L224">SUM(($A224='Accident &amp; Incident Detail'!$E$2:$E$3433)*(L$212='Accident &amp; Incident Detail'!$C$2:$C$3433))</f>
        <v>0</v>
      </c>
      <c r="M224" s="55">
        <f t="array" ref="M224">SUM(($A224='Accident &amp; Incident Detail'!$E$2:$E$3433)*(M$212='Accident &amp; Incident Detail'!$C$2:$C$3433))</f>
        <v>0</v>
      </c>
      <c r="N224" s="55">
        <f t="array" ref="N224">SUM(($A224='Accident &amp; Incident Detail'!$E$2:$E$3433)*(N$212='Accident &amp; Incident Detail'!$C$2:$C$3433))</f>
        <v>0</v>
      </c>
      <c r="O224" s="55">
        <f t="array" ref="O224">SUM(($A224='Accident &amp; Incident Detail'!$E$2:$E$3433)*(O$212='Accident &amp; Incident Detail'!$C$2:$C$3433))</f>
        <v>0</v>
      </c>
      <c r="P224" s="55">
        <f t="array" ref="P224">SUM(($A224='Accident &amp; Incident Detail'!$E$2:$E$3433)*(P$212='Accident &amp; Incident Detail'!$C$2:$C$3433))</f>
        <v>0</v>
      </c>
      <c r="Q224" s="55">
        <f t="array" ref="Q224">SUM(($A224='Accident &amp; Incident Detail'!$E$2:$E$3433)*(Q$212='Accident &amp; Incident Detail'!$C$2:$C$3433))</f>
        <v>0</v>
      </c>
      <c r="R224" s="55">
        <f t="array" ref="R224">SUM(($A224='Accident &amp; Incident Detail'!$E$2:$E$3433)*(R$212='Accident &amp; Incident Detail'!$C$2:$C$3433))</f>
        <v>0</v>
      </c>
      <c r="S224" s="55">
        <f t="array" ref="S224">SUM(($A224='Accident &amp; Incident Detail'!$E$2:$E$3433)*(S$212='Accident &amp; Incident Detail'!$C$2:$C$3433))</f>
        <v>0</v>
      </c>
      <c r="T224" s="55">
        <f t="array" ref="T224">SUM(($A224='Accident &amp; Incident Detail'!$E$2:$E$3433)*(T$212='Accident &amp; Incident Detail'!$C$2:$C$3433))</f>
        <v>0</v>
      </c>
      <c r="U224" s="55">
        <f t="array" ref="U224">SUM(($A224='Accident &amp; Incident Detail'!$E$2:$E$3433)*(U$212='Accident &amp; Incident Detail'!$C$2:$C$3433))</f>
        <v>0</v>
      </c>
      <c r="V224" s="55">
        <f t="array" ref="V224">SUM(($A224='Accident &amp; Incident Detail'!$E$2:$E$3433)*(V$212='Accident &amp; Incident Detail'!$C$2:$C$3433))</f>
        <v>0</v>
      </c>
      <c r="W224" s="55">
        <f t="array" ref="W224">SUM(($A224='Accident &amp; Incident Detail'!$E$2:$E$3433)*(W$212='Accident &amp; Incident Detail'!$C$2:$C$3433))</f>
        <v>0</v>
      </c>
      <c r="X224" s="55">
        <f t="array" ref="X224">SUM(($A224='Accident &amp; Incident Detail'!$E$2:$E$3433)*(X$212='Accident &amp; Incident Detail'!$C$2:$C$3433))</f>
        <v>0</v>
      </c>
      <c r="Y224" s="55">
        <f t="array" ref="Y224">SUM(($A224='Accident &amp; Incident Detail'!$E$2:$E$3433)*(Y$212='Accident &amp; Incident Detail'!$C$2:$C$3433))</f>
        <v>0</v>
      </c>
      <c r="Z224" s="55">
        <f t="array" ref="Z224">SUM(($A224='Accident &amp; Incident Detail'!$E$2:$E$3433)*(Z$212='Accident &amp; Incident Detail'!$C$2:$C$3433))</f>
        <v>0</v>
      </c>
      <c r="AA224" s="55">
        <f t="array" ref="AA224">SUM(($A224='Accident &amp; Incident Detail'!$E$2:$E$3433)*(AA$212='Accident &amp; Incident Detail'!$C$2:$C$3433))</f>
        <v>0</v>
      </c>
      <c r="AB224" s="55">
        <f t="array" ref="AB224">SUM(($A224='Accident &amp; Incident Detail'!$E$2:$E$3433)*(AB$212='Accident &amp; Incident Detail'!$C$2:$C$3433))</f>
        <v>0</v>
      </c>
      <c r="AC224" s="55">
        <f t="array" ref="AC224">SUM(($A224='Accident &amp; Incident Detail'!$E$2:$E$3433)*(AC$212='Accident &amp; Incident Detail'!$C$2:$C$3433))</f>
        <v>0</v>
      </c>
      <c r="AD224" s="55">
        <f t="array" ref="AD224">SUM(($A224='Accident &amp; Incident Detail'!$E$2:$E$3433)*(AD$212='Accident &amp; Incident Detail'!$C$2:$C$3433))</f>
        <v>0</v>
      </c>
      <c r="AE224" s="55">
        <f t="array" ref="AE224">SUM(($A224='Accident &amp; Incident Detail'!$E$2:$E$3433)*(AE$212='Accident &amp; Incident Detail'!$C$2:$C$3433))</f>
        <v>0</v>
      </c>
      <c r="AF224" s="55">
        <f t="array" ref="AF224">SUM(($A224='Accident &amp; Incident Detail'!$E$2:$E$3433)*(AF$212='Accident &amp; Incident Detail'!$C$2:$C$3433))</f>
        <v>0</v>
      </c>
      <c r="AG224" s="55">
        <f t="array" ref="AG224">SUM(($A224='Accident &amp; Incident Detail'!$E$2:$E$3433)*(AG$212='Accident &amp; Incident Detail'!$C$2:$C$3433))</f>
        <v>0</v>
      </c>
      <c r="AH224" s="55">
        <f t="array" ref="AH224">SUM(($A224='Accident &amp; Incident Detail'!$E$2:$E$3433)*(AH$212='Accident &amp; Incident Detail'!$C$2:$C$3433))</f>
        <v>0</v>
      </c>
      <c r="AI224" s="55">
        <f t="array" ref="AI224">SUM(($A224='Accident &amp; Incident Detail'!$E$2:$E$3433)*(AI$212='Accident &amp; Incident Detail'!$C$2:$C$3433))</f>
        <v>0</v>
      </c>
      <c r="AJ224" s="55">
        <f t="array" ref="AJ224">SUM(($A224='Accident &amp; Incident Detail'!$E$2:$E$3433)*(AJ$212='Accident &amp; Incident Detail'!$C$2:$C$3433))</f>
        <v>0</v>
      </c>
      <c r="AK224" s="55">
        <f t="array" ref="AK224">SUM(($A224='Accident &amp; Incident Detail'!$E$2:$E$3433)*(AK$212='Accident &amp; Incident Detail'!$C$2:$C$3433))</f>
        <v>0</v>
      </c>
      <c r="AL224" s="55">
        <f t="array" ref="AL224">SUM(($A224='Accident &amp; Incident Detail'!$E$2:$E$3433)*(AL$212='Accident &amp; Incident Detail'!$C$2:$C$3433))</f>
        <v>0</v>
      </c>
      <c r="AM224" s="55">
        <f t="array" ref="AM224">SUM(($A224='Accident &amp; Incident Detail'!$E$2:$E$3433)*(AM$212='Accident &amp; Incident Detail'!$C$2:$C$3433))</f>
        <v>0</v>
      </c>
      <c r="AN224" s="55">
        <f t="array" ref="AN224">SUM(($A224='Accident &amp; Incident Detail'!$E$2:$E$3433)*(AN$212='Accident &amp; Incident Detail'!$C$2:$C$3433))</f>
        <v>0</v>
      </c>
    </row>
    <row r="225" spans="1:40" ht="15" thickBot="1" x14ac:dyDescent="0.4">
      <c r="A225" s="182" t="s">
        <v>15</v>
      </c>
      <c r="B225" s="422">
        <f>IF(B$1=1,(SUM(B224:B224)/13),0)</f>
        <v>0</v>
      </c>
      <c r="C225" s="422">
        <f>IF(C$1=1,(SUM(B224:C224)/13),0)</f>
        <v>0</v>
      </c>
      <c r="D225" s="422">
        <f>IF(D$1=1,(SUM(B224:D224)/13),0)</f>
        <v>0</v>
      </c>
      <c r="E225" s="422">
        <f>IF(E$1=1,(SUM(B224:E224)/13),0)</f>
        <v>0</v>
      </c>
      <c r="F225" s="422">
        <f>IF(F$1=1,(SUM(B224:F224)/13),0)</f>
        <v>0</v>
      </c>
      <c r="G225" s="422">
        <f>IF(G$1=1,(SUM(B224:G224)/13),0)</f>
        <v>0</v>
      </c>
      <c r="H225" s="422">
        <f>IF(H$1=1,(SUM(B224:H224)/13),0)</f>
        <v>0</v>
      </c>
      <c r="I225" s="422">
        <f>IF(I$1=1,(SUM(B224:I224)/13),0)</f>
        <v>0</v>
      </c>
      <c r="J225" s="46">
        <f>IF(J$1=1,(SUM(B224:J224)/13),0)</f>
        <v>0</v>
      </c>
      <c r="K225" s="46">
        <f>IF(K$1=1,(SUM(B224:K224)/13),0)</f>
        <v>0</v>
      </c>
      <c r="L225" s="46">
        <f>IF(L$1=1,(SUM(B224:L224)/13),0)</f>
        <v>0</v>
      </c>
      <c r="M225" s="46">
        <f>IF(M$1=1,(SUM(B224:M224)/13),0)</f>
        <v>0</v>
      </c>
      <c r="N225" s="46">
        <f>IF(N$1=1,(SUM(B224:N224)/13),0)</f>
        <v>0</v>
      </c>
      <c r="O225" s="46">
        <f t="shared" ref="O225:Z225" si="175">IF(O$1=1,(SUM(C224:O224)/13),0)</f>
        <v>0</v>
      </c>
      <c r="P225" s="46">
        <f t="shared" si="175"/>
        <v>0</v>
      </c>
      <c r="Q225" s="46">
        <f t="shared" si="175"/>
        <v>0</v>
      </c>
      <c r="R225" s="46">
        <f t="shared" si="175"/>
        <v>0</v>
      </c>
      <c r="S225" s="46">
        <f t="shared" si="175"/>
        <v>0</v>
      </c>
      <c r="T225" s="46">
        <f t="shared" si="175"/>
        <v>0</v>
      </c>
      <c r="U225" s="46">
        <f t="shared" si="175"/>
        <v>0</v>
      </c>
      <c r="V225" s="46">
        <f t="shared" si="175"/>
        <v>0</v>
      </c>
      <c r="W225" s="46">
        <f t="shared" si="175"/>
        <v>0</v>
      </c>
      <c r="X225" s="46">
        <f t="shared" si="175"/>
        <v>0</v>
      </c>
      <c r="Y225" s="46">
        <f t="shared" si="175"/>
        <v>0</v>
      </c>
      <c r="Z225" s="46">
        <f t="shared" si="175"/>
        <v>0</v>
      </c>
      <c r="AA225" s="46">
        <f t="shared" ref="AA225:AN225" si="176">IF(AA$1=1,(SUM(O224:AA224)/13),0)</f>
        <v>0</v>
      </c>
      <c r="AB225" s="46">
        <f t="shared" si="176"/>
        <v>0</v>
      </c>
      <c r="AC225" s="46">
        <f t="shared" si="176"/>
        <v>0</v>
      </c>
      <c r="AD225" s="46">
        <f t="shared" si="176"/>
        <v>0</v>
      </c>
      <c r="AE225" s="46">
        <f t="shared" si="176"/>
        <v>0</v>
      </c>
      <c r="AF225" s="46">
        <f t="shared" si="176"/>
        <v>0</v>
      </c>
      <c r="AG225" s="46">
        <f t="shared" si="176"/>
        <v>0</v>
      </c>
      <c r="AH225" s="46">
        <f t="shared" si="176"/>
        <v>0</v>
      </c>
      <c r="AI225" s="46">
        <f t="shared" si="176"/>
        <v>0</v>
      </c>
      <c r="AJ225" s="46">
        <f t="shared" si="176"/>
        <v>0</v>
      </c>
      <c r="AK225" s="46">
        <f t="shared" si="176"/>
        <v>0</v>
      </c>
      <c r="AL225" s="46">
        <f t="shared" si="176"/>
        <v>0</v>
      </c>
      <c r="AM225" s="46">
        <f t="shared" si="176"/>
        <v>0</v>
      </c>
      <c r="AN225" s="46">
        <f t="shared" si="176"/>
        <v>0</v>
      </c>
    </row>
    <row r="226" spans="1:40" x14ac:dyDescent="0.35">
      <c r="A226" s="123" t="s">
        <v>75</v>
      </c>
      <c r="B226" s="436">
        <f t="array" ref="B226">SUM(($A226='Accident &amp; Incident Detail'!$E$2:$E$3433)*(B$212='Accident &amp; Incident Detail'!$C$2:$C$3433))</f>
        <v>0</v>
      </c>
      <c r="C226" s="436">
        <f t="array" ref="C226">SUM(($A226='Accident &amp; Incident Detail'!$E$2:$E$3433)*(C$212='Accident &amp; Incident Detail'!$C$2:$C$3433))</f>
        <v>0</v>
      </c>
      <c r="D226" s="436">
        <f t="array" ref="D226">SUM(($A226='Accident &amp; Incident Detail'!$E$2:$E$3433)*(D$212='Accident &amp; Incident Detail'!$C$2:$C$3433))</f>
        <v>0</v>
      </c>
      <c r="E226" s="436">
        <f t="array" ref="E226">SUM(($A226='Accident &amp; Incident Detail'!$E$2:$E$3433)*(E$212='Accident &amp; Incident Detail'!$C$2:$C$3433))</f>
        <v>0</v>
      </c>
      <c r="F226" s="436">
        <f t="array" ref="F226">SUM(($A226='Accident &amp; Incident Detail'!$E$2:$E$3433)*(F$212='Accident &amp; Incident Detail'!$C$2:$C$3433))</f>
        <v>0</v>
      </c>
      <c r="G226" s="436">
        <f t="array" ref="G226">SUM(($A226='Accident &amp; Incident Detail'!$E$2:$E$3433)*(G$212='Accident &amp; Incident Detail'!$C$2:$C$3433))</f>
        <v>0</v>
      </c>
      <c r="H226" s="436">
        <f t="array" ref="H226">SUM(($A226='Accident &amp; Incident Detail'!$E$2:$E$3433)*(H$212='Accident &amp; Incident Detail'!$C$2:$C$3433))</f>
        <v>0</v>
      </c>
      <c r="I226" s="436">
        <f t="array" ref="I226">SUM(($A226='Accident &amp; Incident Detail'!$E$2:$E$3433)*(I$212='Accident &amp; Incident Detail'!$C$2:$C$3433))</f>
        <v>0</v>
      </c>
      <c r="J226" s="55">
        <f t="array" ref="J226">SUM(($A226='Accident &amp; Incident Detail'!$E$2:$E$3433)*(J$212='Accident &amp; Incident Detail'!$C$2:$C$3433))</f>
        <v>0</v>
      </c>
      <c r="K226" s="55">
        <f t="array" ref="K226">SUM(($A226='Accident &amp; Incident Detail'!$E$2:$E$3433)*(K$212='Accident &amp; Incident Detail'!$C$2:$C$3433))</f>
        <v>0</v>
      </c>
      <c r="L226" s="55">
        <f t="array" ref="L226">SUM(($A226='Accident &amp; Incident Detail'!$E$2:$E$3433)*(L$212='Accident &amp; Incident Detail'!$C$2:$C$3433))</f>
        <v>0</v>
      </c>
      <c r="M226" s="55">
        <f t="array" ref="M226">SUM(($A226='Accident &amp; Incident Detail'!$E$2:$E$3433)*(M$212='Accident &amp; Incident Detail'!$C$2:$C$3433))</f>
        <v>0</v>
      </c>
      <c r="N226" s="55">
        <f t="array" ref="N226">SUM(($A226='Accident &amp; Incident Detail'!$E$2:$E$3433)*(N$212='Accident &amp; Incident Detail'!$C$2:$C$3433))</f>
        <v>0</v>
      </c>
      <c r="O226" s="55">
        <f t="array" ref="O226">SUM(($A226='Accident &amp; Incident Detail'!$E$2:$E$3433)*(O$212='Accident &amp; Incident Detail'!$C$2:$C$3433))</f>
        <v>0</v>
      </c>
      <c r="P226" s="55">
        <f t="array" ref="P226">SUM(($A226='Accident &amp; Incident Detail'!$E$2:$E$3433)*(P$212='Accident &amp; Incident Detail'!$C$2:$C$3433))</f>
        <v>0</v>
      </c>
      <c r="Q226" s="55">
        <f t="array" ref="Q226">SUM(($A226='Accident &amp; Incident Detail'!$E$2:$E$3433)*(Q$212='Accident &amp; Incident Detail'!$C$2:$C$3433))</f>
        <v>0</v>
      </c>
      <c r="R226" s="55">
        <f t="array" ref="R226">SUM(($A226='Accident &amp; Incident Detail'!$E$2:$E$3433)*(R$212='Accident &amp; Incident Detail'!$C$2:$C$3433))</f>
        <v>0</v>
      </c>
      <c r="S226" s="55">
        <f t="array" ref="S226">SUM(($A226='Accident &amp; Incident Detail'!$E$2:$E$3433)*(S$212='Accident &amp; Incident Detail'!$C$2:$C$3433))</f>
        <v>0</v>
      </c>
      <c r="T226" s="55">
        <f t="array" ref="T226">SUM(($A226='Accident &amp; Incident Detail'!$E$2:$E$3433)*(T$212='Accident &amp; Incident Detail'!$C$2:$C$3433))</f>
        <v>0</v>
      </c>
      <c r="U226" s="55">
        <f t="array" ref="U226">SUM(($A226='Accident &amp; Incident Detail'!$E$2:$E$3433)*(U$212='Accident &amp; Incident Detail'!$C$2:$C$3433))</f>
        <v>0</v>
      </c>
      <c r="V226" s="55">
        <f t="array" ref="V226">SUM(($A226='Accident &amp; Incident Detail'!$E$2:$E$3433)*(V$212='Accident &amp; Incident Detail'!$C$2:$C$3433))</f>
        <v>0</v>
      </c>
      <c r="W226" s="55">
        <f t="array" ref="W226">SUM(($A226='Accident &amp; Incident Detail'!$E$2:$E$3433)*(W$212='Accident &amp; Incident Detail'!$C$2:$C$3433))</f>
        <v>0</v>
      </c>
      <c r="X226" s="55">
        <f t="array" ref="X226">SUM(($A226='Accident &amp; Incident Detail'!$E$2:$E$3433)*(X$212='Accident &amp; Incident Detail'!$C$2:$C$3433))</f>
        <v>0</v>
      </c>
      <c r="Y226" s="55">
        <f t="array" ref="Y226">SUM(($A226='Accident &amp; Incident Detail'!$E$2:$E$3433)*(Y$212='Accident &amp; Incident Detail'!$C$2:$C$3433))</f>
        <v>0</v>
      </c>
      <c r="Z226" s="55">
        <f t="array" ref="Z226">SUM(($A226='Accident &amp; Incident Detail'!$E$2:$E$3433)*(Z$212='Accident &amp; Incident Detail'!$C$2:$C$3433))</f>
        <v>0</v>
      </c>
      <c r="AA226" s="55">
        <f t="array" ref="AA226">SUM(($A226='Accident &amp; Incident Detail'!$E$2:$E$3433)*(AA$212='Accident &amp; Incident Detail'!$C$2:$C$3433))</f>
        <v>0</v>
      </c>
      <c r="AB226" s="55">
        <f t="array" ref="AB226">SUM(($A226='Accident &amp; Incident Detail'!$E$2:$E$3433)*(AB$212='Accident &amp; Incident Detail'!$C$2:$C$3433))</f>
        <v>0</v>
      </c>
      <c r="AC226" s="55">
        <f t="array" ref="AC226">SUM(($A226='Accident &amp; Incident Detail'!$E$2:$E$3433)*(AC$212='Accident &amp; Incident Detail'!$C$2:$C$3433))</f>
        <v>0</v>
      </c>
      <c r="AD226" s="55">
        <f t="array" ref="AD226">SUM(($A226='Accident &amp; Incident Detail'!$E$2:$E$3433)*(AD$212='Accident &amp; Incident Detail'!$C$2:$C$3433))</f>
        <v>0</v>
      </c>
      <c r="AE226" s="55">
        <f t="array" ref="AE226">SUM(($A226='Accident &amp; Incident Detail'!$E$2:$E$3433)*(AE$212='Accident &amp; Incident Detail'!$C$2:$C$3433))</f>
        <v>0</v>
      </c>
      <c r="AF226" s="55">
        <f t="array" ref="AF226">SUM(($A226='Accident &amp; Incident Detail'!$E$2:$E$3433)*(AF$212='Accident &amp; Incident Detail'!$C$2:$C$3433))</f>
        <v>0</v>
      </c>
      <c r="AG226" s="55">
        <f t="array" ref="AG226">SUM(($A226='Accident &amp; Incident Detail'!$E$2:$E$3433)*(AG$212='Accident &amp; Incident Detail'!$C$2:$C$3433))</f>
        <v>0</v>
      </c>
      <c r="AH226" s="55">
        <f t="array" ref="AH226">SUM(($A226='Accident &amp; Incident Detail'!$E$2:$E$3433)*(AH$212='Accident &amp; Incident Detail'!$C$2:$C$3433))</f>
        <v>0</v>
      </c>
      <c r="AI226" s="55">
        <f t="array" ref="AI226">SUM(($A226='Accident &amp; Incident Detail'!$E$2:$E$3433)*(AI$212='Accident &amp; Incident Detail'!$C$2:$C$3433))</f>
        <v>0</v>
      </c>
      <c r="AJ226" s="55">
        <f t="array" ref="AJ226">SUM(($A226='Accident &amp; Incident Detail'!$E$2:$E$3433)*(AJ$212='Accident &amp; Incident Detail'!$C$2:$C$3433))</f>
        <v>0</v>
      </c>
      <c r="AK226" s="55">
        <f t="array" ref="AK226">SUM(($A226='Accident &amp; Incident Detail'!$E$2:$E$3433)*(AK$212='Accident &amp; Incident Detail'!$C$2:$C$3433))</f>
        <v>0</v>
      </c>
      <c r="AL226" s="55">
        <f t="array" ref="AL226">SUM(($A226='Accident &amp; Incident Detail'!$E$2:$E$3433)*(AL$212='Accident &amp; Incident Detail'!$C$2:$C$3433))</f>
        <v>0</v>
      </c>
      <c r="AM226" s="55">
        <f t="array" ref="AM226">SUM(($A226='Accident &amp; Incident Detail'!$E$2:$E$3433)*(AM$212='Accident &amp; Incident Detail'!$C$2:$C$3433))</f>
        <v>0</v>
      </c>
      <c r="AN226" s="55">
        <f t="array" ref="AN226">SUM(($A226='Accident &amp; Incident Detail'!$E$2:$E$3433)*(AN$212='Accident &amp; Incident Detail'!$C$2:$C$3433))</f>
        <v>0</v>
      </c>
    </row>
    <row r="227" spans="1:40" ht="15" thickBot="1" x14ac:dyDescent="0.4">
      <c r="A227" s="185" t="s">
        <v>15</v>
      </c>
      <c r="B227" s="437">
        <f>IF(B$1=1,(SUM(B226:B226)/13),0)</f>
        <v>0</v>
      </c>
      <c r="C227" s="437">
        <f>IF(C$1=1,(SUM(B226:C226)/13),0)</f>
        <v>0</v>
      </c>
      <c r="D227" s="437">
        <f>IF(D$1=1,(SUM(B226:D226)/13),0)</f>
        <v>0</v>
      </c>
      <c r="E227" s="437">
        <f>IF(E$1=1,(SUM(B226:E226)/13),0)</f>
        <v>0</v>
      </c>
      <c r="F227" s="437">
        <f>IF(F$1=1,(SUM(B226:F226)/13),0)</f>
        <v>0</v>
      </c>
      <c r="G227" s="437">
        <f>IF(G$1=1,(SUM(B226:G226)/13),0)</f>
        <v>0</v>
      </c>
      <c r="H227" s="437">
        <f>IF(H$1=1,(SUM(B226:H226)/13),0)</f>
        <v>0</v>
      </c>
      <c r="I227" s="437">
        <f>IF(I$1=1,(SUM(B226:I226)/13),0)</f>
        <v>0</v>
      </c>
      <c r="J227" s="66">
        <f>IF(J$1=1,(SUM(B226:J226)/13),0)</f>
        <v>0</v>
      </c>
      <c r="K227" s="66">
        <f>IF(K$1=1,(SUM(B226:K226)/13),0)</f>
        <v>0</v>
      </c>
      <c r="L227" s="66">
        <f>IF(L$1=1,(SUM(B226:L226)/13),0)</f>
        <v>0</v>
      </c>
      <c r="M227" s="66">
        <f>IF(M$1=1,(SUM(B226:M226)/13),0)</f>
        <v>0</v>
      </c>
      <c r="N227" s="66">
        <f>IF(N$1=1,(SUM(B226:N226)/13),0)</f>
        <v>0</v>
      </c>
      <c r="O227" s="66">
        <f t="shared" ref="O227:Z227" si="177">IF(O$1=1,(SUM(C226:O226)/13),0)</f>
        <v>0</v>
      </c>
      <c r="P227" s="66">
        <f t="shared" si="177"/>
        <v>0</v>
      </c>
      <c r="Q227" s="66">
        <f t="shared" si="177"/>
        <v>0</v>
      </c>
      <c r="R227" s="66">
        <f t="shared" si="177"/>
        <v>0</v>
      </c>
      <c r="S227" s="66">
        <f t="shared" si="177"/>
        <v>0</v>
      </c>
      <c r="T227" s="66">
        <f t="shared" si="177"/>
        <v>0</v>
      </c>
      <c r="U227" s="66">
        <f t="shared" si="177"/>
        <v>0</v>
      </c>
      <c r="V227" s="66">
        <f t="shared" si="177"/>
        <v>0</v>
      </c>
      <c r="W227" s="66">
        <f t="shared" si="177"/>
        <v>0</v>
      </c>
      <c r="X227" s="66">
        <f t="shared" si="177"/>
        <v>0</v>
      </c>
      <c r="Y227" s="66">
        <f t="shared" si="177"/>
        <v>0</v>
      </c>
      <c r="Z227" s="66">
        <f t="shared" si="177"/>
        <v>0</v>
      </c>
      <c r="AA227" s="66">
        <f t="shared" ref="AA227:AN227" si="178">IF(AA$1=1,(SUM(O226:AA226)/13),0)</f>
        <v>0</v>
      </c>
      <c r="AB227" s="66">
        <f t="shared" si="178"/>
        <v>0</v>
      </c>
      <c r="AC227" s="66">
        <f t="shared" si="178"/>
        <v>0</v>
      </c>
      <c r="AD227" s="66">
        <f t="shared" si="178"/>
        <v>0</v>
      </c>
      <c r="AE227" s="66">
        <f t="shared" si="178"/>
        <v>0</v>
      </c>
      <c r="AF227" s="66">
        <f t="shared" si="178"/>
        <v>0</v>
      </c>
      <c r="AG227" s="66">
        <f t="shared" si="178"/>
        <v>0</v>
      </c>
      <c r="AH227" s="66">
        <f t="shared" si="178"/>
        <v>0</v>
      </c>
      <c r="AI227" s="66">
        <f t="shared" si="178"/>
        <v>0</v>
      </c>
      <c r="AJ227" s="66">
        <f t="shared" si="178"/>
        <v>0</v>
      </c>
      <c r="AK227" s="66">
        <f t="shared" si="178"/>
        <v>0</v>
      </c>
      <c r="AL227" s="66">
        <f t="shared" si="178"/>
        <v>0</v>
      </c>
      <c r="AM227" s="66">
        <f t="shared" si="178"/>
        <v>0</v>
      </c>
      <c r="AN227" s="66">
        <f t="shared" si="178"/>
        <v>0</v>
      </c>
    </row>
    <row r="228" spans="1:40" x14ac:dyDescent="0.35">
      <c r="A228" s="123" t="s">
        <v>76</v>
      </c>
      <c r="B228" s="436">
        <f t="array" ref="B228">SUM(($A228='Accident &amp; Incident Detail'!$E$2:$E$3433)*(B$212='Accident &amp; Incident Detail'!$C$2:$C$3433))</f>
        <v>0</v>
      </c>
      <c r="C228" s="436">
        <f t="array" ref="C228">SUM(($A228='Accident &amp; Incident Detail'!$E$2:$E$3433)*(C$212='Accident &amp; Incident Detail'!$C$2:$C$3433))</f>
        <v>0</v>
      </c>
      <c r="D228" s="436">
        <f t="array" ref="D228">SUM(($A228='Accident &amp; Incident Detail'!$E$2:$E$3433)*(D$212='Accident &amp; Incident Detail'!$C$2:$C$3433))</f>
        <v>0</v>
      </c>
      <c r="E228" s="436">
        <f t="array" ref="E228">SUM(($A228='Accident &amp; Incident Detail'!$E$2:$E$3433)*(E$212='Accident &amp; Incident Detail'!$C$2:$C$3433))</f>
        <v>0</v>
      </c>
      <c r="F228" s="436">
        <f t="array" ref="F228">SUM(($A228='Accident &amp; Incident Detail'!$E$2:$E$3433)*(F$212='Accident &amp; Incident Detail'!$C$2:$C$3433))</f>
        <v>0</v>
      </c>
      <c r="G228" s="436">
        <f t="array" ref="G228">SUM(($A228='Accident &amp; Incident Detail'!$E$2:$E$3433)*(G$212='Accident &amp; Incident Detail'!$C$2:$C$3433))</f>
        <v>0</v>
      </c>
      <c r="H228" s="436">
        <f t="array" ref="H228">SUM(($A228='Accident &amp; Incident Detail'!$E$2:$E$3433)*(H$212='Accident &amp; Incident Detail'!$C$2:$C$3433))</f>
        <v>0</v>
      </c>
      <c r="I228" s="436">
        <f t="array" ref="I228">SUM(($A228='Accident &amp; Incident Detail'!$E$2:$E$3433)*(I$212='Accident &amp; Incident Detail'!$C$2:$C$3433))</f>
        <v>0</v>
      </c>
      <c r="J228" s="55">
        <f t="array" ref="J228">SUM(($A228='Accident &amp; Incident Detail'!$E$2:$E$3433)*(J$212='Accident &amp; Incident Detail'!$C$2:$C$3433))</f>
        <v>0</v>
      </c>
      <c r="K228" s="55">
        <f t="array" ref="K228">SUM(($A228='Accident &amp; Incident Detail'!$E$2:$E$3433)*(K$212='Accident &amp; Incident Detail'!$C$2:$C$3433))</f>
        <v>0</v>
      </c>
      <c r="L228" s="55">
        <f t="array" ref="L228">SUM(($A228='Accident &amp; Incident Detail'!$E$2:$E$3433)*(L$212='Accident &amp; Incident Detail'!$C$2:$C$3433))</f>
        <v>0</v>
      </c>
      <c r="M228" s="55">
        <f t="array" ref="M228">SUM(($A228='Accident &amp; Incident Detail'!$E$2:$E$3433)*(M$212='Accident &amp; Incident Detail'!$C$2:$C$3433))</f>
        <v>0</v>
      </c>
      <c r="N228" s="55">
        <f t="array" ref="N228">SUM(($A228='Accident &amp; Incident Detail'!$E$2:$E$3433)*(N$212='Accident &amp; Incident Detail'!$C$2:$C$3433))</f>
        <v>0</v>
      </c>
      <c r="O228" s="55">
        <f t="array" ref="O228">SUM(($A228='Accident &amp; Incident Detail'!$E$2:$E$3433)*(O$212='Accident &amp; Incident Detail'!$C$2:$C$3433))</f>
        <v>1</v>
      </c>
      <c r="P228" s="55">
        <f t="array" ref="P228">SUM(($A228='Accident &amp; Incident Detail'!$E$2:$E$3433)*(P$212='Accident &amp; Incident Detail'!$C$2:$C$3433))</f>
        <v>0</v>
      </c>
      <c r="Q228" s="55">
        <f t="array" ref="Q228">SUM(($A228='Accident &amp; Incident Detail'!$E$2:$E$3433)*(Q$212='Accident &amp; Incident Detail'!$C$2:$C$3433))</f>
        <v>1</v>
      </c>
      <c r="R228" s="55">
        <f t="array" ref="R228">SUM(($A228='Accident &amp; Incident Detail'!$E$2:$E$3433)*(R$212='Accident &amp; Incident Detail'!$C$2:$C$3433))</f>
        <v>1</v>
      </c>
      <c r="S228" s="55">
        <f t="array" ref="S228">SUM(($A228='Accident &amp; Incident Detail'!$E$2:$E$3433)*(S$212='Accident &amp; Incident Detail'!$C$2:$C$3433))</f>
        <v>0</v>
      </c>
      <c r="T228" s="55">
        <f t="array" ref="T228">SUM(($A228='Accident &amp; Incident Detail'!$E$2:$E$3433)*(T$212='Accident &amp; Incident Detail'!$C$2:$C$3433))</f>
        <v>0</v>
      </c>
      <c r="U228" s="55">
        <f t="array" ref="U228">SUM(($A228='Accident &amp; Incident Detail'!$E$2:$E$3433)*(U$212='Accident &amp; Incident Detail'!$C$2:$C$3433))</f>
        <v>0</v>
      </c>
      <c r="V228" s="55">
        <f t="array" ref="V228">SUM(($A228='Accident &amp; Incident Detail'!$E$2:$E$3433)*(V$212='Accident &amp; Incident Detail'!$C$2:$C$3433))</f>
        <v>0</v>
      </c>
      <c r="W228" s="55">
        <f t="array" ref="W228">SUM(($A228='Accident &amp; Incident Detail'!$E$2:$E$3433)*(W$212='Accident &amp; Incident Detail'!$C$2:$C$3433))</f>
        <v>0</v>
      </c>
      <c r="X228" s="55">
        <f t="array" ref="X228">SUM(($A228='Accident &amp; Incident Detail'!$E$2:$E$3433)*(X$212='Accident &amp; Incident Detail'!$C$2:$C$3433))</f>
        <v>0</v>
      </c>
      <c r="Y228" s="55">
        <f t="array" ref="Y228">SUM(($A228='Accident &amp; Incident Detail'!$E$2:$E$3433)*(Y$212='Accident &amp; Incident Detail'!$C$2:$C$3433))</f>
        <v>0</v>
      </c>
      <c r="Z228" s="55">
        <f t="array" ref="Z228">SUM(($A228='Accident &amp; Incident Detail'!$E$2:$E$3433)*(Z$212='Accident &amp; Incident Detail'!$C$2:$C$3433))</f>
        <v>0</v>
      </c>
      <c r="AA228" s="55">
        <f t="array" ref="AA228">SUM(($A228='Accident &amp; Incident Detail'!$E$2:$E$3433)*(AA$212='Accident &amp; Incident Detail'!$C$2:$C$3433))</f>
        <v>0</v>
      </c>
      <c r="AB228" s="55">
        <f t="array" ref="AB228">SUM(($A228='Accident &amp; Incident Detail'!$E$2:$E$3433)*(AB$212='Accident &amp; Incident Detail'!$C$2:$C$3433))</f>
        <v>0</v>
      </c>
      <c r="AC228" s="55">
        <f t="array" ref="AC228">SUM(($A228='Accident &amp; Incident Detail'!$E$2:$E$3433)*(AC$212='Accident &amp; Incident Detail'!$C$2:$C$3433))</f>
        <v>1</v>
      </c>
      <c r="AD228" s="55">
        <f t="array" ref="AD228">SUM(($A228='Accident &amp; Incident Detail'!$E$2:$E$3433)*(AD$212='Accident &amp; Incident Detail'!$C$2:$C$3433))</f>
        <v>1</v>
      </c>
      <c r="AE228" s="55">
        <f t="array" ref="AE228">SUM(($A228='Accident &amp; Incident Detail'!$E$2:$E$3433)*(AE$212='Accident &amp; Incident Detail'!$C$2:$C$3433))</f>
        <v>1</v>
      </c>
      <c r="AF228" s="55">
        <f t="array" ref="AF228">SUM(($A228='Accident &amp; Incident Detail'!$E$2:$E$3433)*(AF$212='Accident &amp; Incident Detail'!$C$2:$C$3433))</f>
        <v>1</v>
      </c>
      <c r="AG228" s="55">
        <f t="array" ref="AG228">SUM(($A228='Accident &amp; Incident Detail'!$E$2:$E$3433)*(AG$212='Accident &amp; Incident Detail'!$C$2:$C$3433))</f>
        <v>0</v>
      </c>
      <c r="AH228" s="55">
        <f t="array" ref="AH228">SUM(($A228='Accident &amp; Incident Detail'!$E$2:$E$3433)*(AH$212='Accident &amp; Incident Detail'!$C$2:$C$3433))</f>
        <v>0</v>
      </c>
      <c r="AI228" s="55">
        <f t="array" ref="AI228">SUM(($A228='Accident &amp; Incident Detail'!$E$2:$E$3433)*(AI$212='Accident &amp; Incident Detail'!$C$2:$C$3433))</f>
        <v>3</v>
      </c>
      <c r="AJ228" s="55">
        <f t="array" ref="AJ228">SUM(($A228='Accident &amp; Incident Detail'!$E$2:$E$3433)*(AJ$212='Accident &amp; Incident Detail'!$C$2:$C$3433))</f>
        <v>1</v>
      </c>
      <c r="AK228" s="55">
        <f t="array" ref="AK228">SUM(($A228='Accident &amp; Incident Detail'!$E$2:$E$3433)*(AK$212='Accident &amp; Incident Detail'!$C$2:$C$3433))</f>
        <v>0</v>
      </c>
      <c r="AL228" s="55">
        <f t="array" ref="AL228">SUM(($A228='Accident &amp; Incident Detail'!$E$2:$E$3433)*(AL$212='Accident &amp; Incident Detail'!$C$2:$C$3433))</f>
        <v>2</v>
      </c>
      <c r="AM228" s="55">
        <f t="array" ref="AM228">SUM(($A228='Accident &amp; Incident Detail'!$E$2:$E$3433)*(AM$212='Accident &amp; Incident Detail'!$C$2:$C$3433))</f>
        <v>0</v>
      </c>
      <c r="AN228" s="55">
        <f t="array" ref="AN228">SUM(($A228='Accident &amp; Incident Detail'!$E$2:$E$3433)*(AN$212='Accident &amp; Incident Detail'!$C$2:$C$3433))</f>
        <v>0</v>
      </c>
    </row>
    <row r="229" spans="1:40" ht="15" thickBot="1" x14ac:dyDescent="0.4">
      <c r="A229" s="185" t="s">
        <v>15</v>
      </c>
      <c r="B229" s="437">
        <f>IF(B$1=1,(SUM(B228:B228)/13),0)</f>
        <v>0</v>
      </c>
      <c r="C229" s="437">
        <f>IF(C$1=1,(SUM(B228:C228)/13),0)</f>
        <v>0</v>
      </c>
      <c r="D229" s="437">
        <f>IF(D$1=1,(SUM(B228:D228)/13),0)</f>
        <v>0</v>
      </c>
      <c r="E229" s="437">
        <f>IF(E$1=1,(SUM(B228:E228)/13),0)</f>
        <v>0</v>
      </c>
      <c r="F229" s="437">
        <f>IF(F$1=1,(SUM(B228:F228)/13),0)</f>
        <v>0</v>
      </c>
      <c r="G229" s="437">
        <f>IF(G$1=1,(SUM(B228:G228)/13),0)</f>
        <v>0</v>
      </c>
      <c r="H229" s="437">
        <f>IF(H$1=1,(SUM(B228:H228)/13),0)</f>
        <v>0</v>
      </c>
      <c r="I229" s="437">
        <f>IF(I$1=1,(SUM(B228:I228)/13),0)</f>
        <v>0</v>
      </c>
      <c r="J229" s="66">
        <f>IF(J$1=1,(SUM(B228:J228)/13),0)</f>
        <v>0</v>
      </c>
      <c r="K229" s="66">
        <f>IF(K$1=1,(SUM(B228:K228)/13),0)</f>
        <v>0</v>
      </c>
      <c r="L229" s="66">
        <f>IF(L$1=1,(SUM(B228:L228)/13),0)</f>
        <v>0</v>
      </c>
      <c r="M229" s="66">
        <f>IF(M$1=1,(SUM(B228:M228)/13),0)</f>
        <v>0</v>
      </c>
      <c r="N229" s="66">
        <f>IF(N$1=1,(SUM(B228:N228)/13),0)</f>
        <v>0</v>
      </c>
      <c r="O229" s="66">
        <f t="shared" ref="O229:Z229" si="179">IF(O$1=1,(SUM(C228:O228)/13),0)</f>
        <v>7.6923076923076927E-2</v>
      </c>
      <c r="P229" s="66">
        <f t="shared" si="179"/>
        <v>7.6923076923076927E-2</v>
      </c>
      <c r="Q229" s="66">
        <f t="shared" si="179"/>
        <v>0.15384615384615385</v>
      </c>
      <c r="R229" s="66">
        <f t="shared" si="179"/>
        <v>0.23076923076923078</v>
      </c>
      <c r="S229" s="66">
        <f t="shared" si="179"/>
        <v>0.23076923076923078</v>
      </c>
      <c r="T229" s="66">
        <f t="shared" si="179"/>
        <v>0.23076923076923078</v>
      </c>
      <c r="U229" s="66">
        <f t="shared" si="179"/>
        <v>0.23076923076923078</v>
      </c>
      <c r="V229" s="66">
        <f t="shared" si="179"/>
        <v>0.23076923076923078</v>
      </c>
      <c r="W229" s="66">
        <f t="shared" si="179"/>
        <v>0.23076923076923078</v>
      </c>
      <c r="X229" s="66">
        <f t="shared" si="179"/>
        <v>0.23076923076923078</v>
      </c>
      <c r="Y229" s="66">
        <f t="shared" si="179"/>
        <v>0.23076923076923078</v>
      </c>
      <c r="Z229" s="66">
        <f t="shared" si="179"/>
        <v>0.23076923076923078</v>
      </c>
      <c r="AA229" s="66">
        <f t="shared" ref="AA229:AN229" si="180">IF(AA$1=1,(SUM(O228:AA228)/13),0)</f>
        <v>0.23076923076923078</v>
      </c>
      <c r="AB229" s="66">
        <f t="shared" si="180"/>
        <v>0.15384615384615385</v>
      </c>
      <c r="AC229" s="66">
        <f t="shared" si="180"/>
        <v>0.23076923076923078</v>
      </c>
      <c r="AD229" s="66">
        <f t="shared" si="180"/>
        <v>0.23076923076923078</v>
      </c>
      <c r="AE229" s="66">
        <f t="shared" si="180"/>
        <v>0.23076923076923078</v>
      </c>
      <c r="AF229" s="66">
        <f t="shared" si="180"/>
        <v>0.30769230769230771</v>
      </c>
      <c r="AG229" s="66">
        <f t="shared" si="180"/>
        <v>0.30769230769230771</v>
      </c>
      <c r="AH229" s="66">
        <f t="shared" si="180"/>
        <v>0.30769230769230771</v>
      </c>
      <c r="AI229" s="66">
        <f t="shared" si="180"/>
        <v>0.53846153846153844</v>
      </c>
      <c r="AJ229" s="66">
        <f t="shared" si="180"/>
        <v>0.61538461538461542</v>
      </c>
      <c r="AK229" s="66">
        <f t="shared" si="180"/>
        <v>0.61538461538461542</v>
      </c>
      <c r="AL229" s="66">
        <f t="shared" si="180"/>
        <v>0</v>
      </c>
      <c r="AM229" s="66">
        <f t="shared" si="180"/>
        <v>0</v>
      </c>
      <c r="AN229" s="66">
        <f t="shared" si="180"/>
        <v>0</v>
      </c>
    </row>
    <row r="230" spans="1:40" x14ac:dyDescent="0.35">
      <c r="A230" s="124" t="s">
        <v>77</v>
      </c>
      <c r="B230" s="436">
        <f t="array" ref="B230">SUM(($A230='Accident &amp; Incident Detail'!$E$2:$E$3433)*(B$212='Accident &amp; Incident Detail'!$C$2:$C$3433))</f>
        <v>0</v>
      </c>
      <c r="C230" s="436">
        <f t="array" ref="C230">SUM(($A230='Accident &amp; Incident Detail'!$E$2:$E$3433)*(C$212='Accident &amp; Incident Detail'!$C$2:$C$3433))</f>
        <v>0</v>
      </c>
      <c r="D230" s="436">
        <f t="array" ref="D230">SUM(($A230='Accident &amp; Incident Detail'!$E$2:$E$3433)*(D$212='Accident &amp; Incident Detail'!$C$2:$C$3433))</f>
        <v>0</v>
      </c>
      <c r="E230" s="436">
        <f t="array" ref="E230">SUM(($A230='Accident &amp; Incident Detail'!$E$2:$E$3433)*(E$212='Accident &amp; Incident Detail'!$C$2:$C$3433))</f>
        <v>0</v>
      </c>
      <c r="F230" s="436">
        <f t="array" ref="F230">SUM(($A230='Accident &amp; Incident Detail'!$E$2:$E$3433)*(F$212='Accident &amp; Incident Detail'!$C$2:$C$3433))</f>
        <v>0</v>
      </c>
      <c r="G230" s="436">
        <v>1</v>
      </c>
      <c r="H230" s="436">
        <v>1</v>
      </c>
      <c r="I230" s="436">
        <v>1</v>
      </c>
      <c r="J230" s="55">
        <v>1</v>
      </c>
      <c r="K230" s="55">
        <f t="array" ref="K230">SUM(($A230='Accident &amp; Incident Detail'!$E$2:$E$3433)*(K$212='Accident &amp; Incident Detail'!$C$2:$C$3433))</f>
        <v>0</v>
      </c>
      <c r="L230" s="55">
        <f t="array" ref="L230">SUM(($A230='Accident &amp; Incident Detail'!$E$2:$E$3433)*(L$212='Accident &amp; Incident Detail'!$C$2:$C$3433))</f>
        <v>0</v>
      </c>
      <c r="M230" s="55">
        <f t="array" ref="M230">SUM(($A230='Accident &amp; Incident Detail'!$E$2:$E$3433)*(M$212='Accident &amp; Incident Detail'!$C$2:$C$3433))</f>
        <v>0</v>
      </c>
      <c r="N230" s="55">
        <f t="array" ref="N230">SUM(($A230='Accident &amp; Incident Detail'!$E$2:$E$3433)*(N$212='Accident &amp; Incident Detail'!$C$2:$C$3433))</f>
        <v>0</v>
      </c>
      <c r="O230" s="55">
        <f t="array" ref="O230">SUM(($A230='Accident &amp; Incident Detail'!$E$2:$E$3433)*(O$212='Accident &amp; Incident Detail'!$C$2:$C$3433))</f>
        <v>0</v>
      </c>
      <c r="P230" s="55">
        <f t="array" ref="P230">SUM(($A230='Accident &amp; Incident Detail'!$E$2:$E$3433)*(P$212='Accident &amp; Incident Detail'!$C$2:$C$3433))</f>
        <v>0</v>
      </c>
      <c r="Q230" s="55">
        <f t="array" ref="Q230">SUM(($A230='Accident &amp; Incident Detail'!$E$2:$E$3433)*(Q$212='Accident &amp; Incident Detail'!$C$2:$C$3433))</f>
        <v>0</v>
      </c>
      <c r="R230" s="55">
        <f t="array" ref="R230">SUM(($A230='Accident &amp; Incident Detail'!$E$2:$E$3433)*(R$212='Accident &amp; Incident Detail'!$C$2:$C$3433))</f>
        <v>0</v>
      </c>
      <c r="S230" s="55">
        <f t="array" ref="S230">SUM(($A230='Accident &amp; Incident Detail'!$E$2:$E$3433)*(S$212='Accident &amp; Incident Detail'!$C$2:$C$3433))</f>
        <v>0</v>
      </c>
      <c r="T230" s="55">
        <f t="array" ref="T230">SUM(($A230='Accident &amp; Incident Detail'!$E$2:$E$3433)*(T$212='Accident &amp; Incident Detail'!$C$2:$C$3433))</f>
        <v>0</v>
      </c>
      <c r="U230" s="55">
        <f t="array" ref="U230">SUM(($A230='Accident &amp; Incident Detail'!$E$2:$E$3433)*(U$212='Accident &amp; Incident Detail'!$C$2:$C$3433))</f>
        <v>0</v>
      </c>
      <c r="V230" s="55">
        <f t="array" ref="V230">SUM(($A230='Accident &amp; Incident Detail'!$E$2:$E$3433)*(V$212='Accident &amp; Incident Detail'!$C$2:$C$3433))</f>
        <v>0</v>
      </c>
      <c r="W230" s="55">
        <f t="array" ref="W230">SUM(($A230='Accident &amp; Incident Detail'!$E$2:$E$3433)*(W$212='Accident &amp; Incident Detail'!$C$2:$C$3433))</f>
        <v>0</v>
      </c>
      <c r="X230" s="55">
        <f t="array" ref="X230">SUM(($A230='Accident &amp; Incident Detail'!$E$2:$E$3433)*(X$212='Accident &amp; Incident Detail'!$C$2:$C$3433))</f>
        <v>0</v>
      </c>
      <c r="Y230" s="55">
        <f t="array" ref="Y230">SUM(($A230='Accident &amp; Incident Detail'!$E$2:$E$3433)*(Y$212='Accident &amp; Incident Detail'!$C$2:$C$3433))</f>
        <v>0</v>
      </c>
      <c r="Z230" s="55">
        <f t="array" ref="Z230">SUM(($A230='Accident &amp; Incident Detail'!$E$2:$E$3433)*(Z$212='Accident &amp; Incident Detail'!$C$2:$C$3433))</f>
        <v>0</v>
      </c>
      <c r="AA230" s="55">
        <f t="array" ref="AA230">SUM(($A230='Accident &amp; Incident Detail'!$E$2:$E$3433)*(AA$212='Accident &amp; Incident Detail'!$C$2:$C$3433))</f>
        <v>0</v>
      </c>
      <c r="AB230" s="55">
        <f t="array" ref="AB230">SUM(($A230='Accident &amp; Incident Detail'!$E$2:$E$3433)*(AB$212='Accident &amp; Incident Detail'!$C$2:$C$3433))</f>
        <v>0</v>
      </c>
      <c r="AC230" s="55">
        <f t="array" ref="AC230">SUM(($A230='Accident &amp; Incident Detail'!$E$2:$E$3433)*(AC$212='Accident &amp; Incident Detail'!$C$2:$C$3433))</f>
        <v>0</v>
      </c>
      <c r="AD230" s="55">
        <f t="array" ref="AD230">SUM(($A230='Accident &amp; Incident Detail'!$E$2:$E$3433)*(AD$212='Accident &amp; Incident Detail'!$C$2:$C$3433))</f>
        <v>0</v>
      </c>
      <c r="AE230" s="55">
        <f t="array" ref="AE230">SUM(($A230='Accident &amp; Incident Detail'!$E$2:$E$3433)*(AE$212='Accident &amp; Incident Detail'!$C$2:$C$3433))</f>
        <v>0</v>
      </c>
      <c r="AF230" s="55">
        <f t="array" ref="AF230">SUM(($A230='Accident &amp; Incident Detail'!$E$2:$E$3433)*(AF$212='Accident &amp; Incident Detail'!$C$2:$C$3433))</f>
        <v>0</v>
      </c>
      <c r="AG230" s="55">
        <f t="array" ref="AG230">SUM(($A230='Accident &amp; Incident Detail'!$E$2:$E$3433)*(AG$212='Accident &amp; Incident Detail'!$C$2:$C$3433))</f>
        <v>0</v>
      </c>
      <c r="AH230" s="55">
        <f t="array" ref="AH230">SUM(($A230='Accident &amp; Incident Detail'!$E$2:$E$3433)*(AH$212='Accident &amp; Incident Detail'!$C$2:$C$3433))</f>
        <v>0</v>
      </c>
      <c r="AI230" s="55">
        <f t="array" ref="AI230">SUM(($A230='Accident &amp; Incident Detail'!$E$2:$E$3433)*(AI$212='Accident &amp; Incident Detail'!$C$2:$C$3433))</f>
        <v>0</v>
      </c>
      <c r="AJ230" s="55">
        <f t="array" ref="AJ230">SUM(($A230='Accident &amp; Incident Detail'!$E$2:$E$3433)*(AJ$212='Accident &amp; Incident Detail'!$C$2:$C$3433))</f>
        <v>0</v>
      </c>
      <c r="AK230" s="55">
        <f t="array" ref="AK230">SUM(($A230='Accident &amp; Incident Detail'!$E$2:$E$3433)*(AK$212='Accident &amp; Incident Detail'!$C$2:$C$3433))</f>
        <v>0</v>
      </c>
      <c r="AL230" s="55">
        <f t="array" ref="AL230">SUM(($A230='Accident &amp; Incident Detail'!$E$2:$E$3433)*(AL$212='Accident &amp; Incident Detail'!$C$2:$C$3433))</f>
        <v>0</v>
      </c>
      <c r="AM230" s="55">
        <f t="array" ref="AM230">SUM(($A230='Accident &amp; Incident Detail'!$E$2:$E$3433)*(AM$212='Accident &amp; Incident Detail'!$C$2:$C$3433))</f>
        <v>0</v>
      </c>
      <c r="AN230" s="55">
        <f t="array" ref="AN230">SUM(($A230='Accident &amp; Incident Detail'!$E$2:$E$3433)*(AN$212='Accident &amp; Incident Detail'!$C$2:$C$3433))</f>
        <v>0</v>
      </c>
    </row>
    <row r="231" spans="1:40" ht="15" thickBot="1" x14ac:dyDescent="0.4">
      <c r="A231" s="185" t="s">
        <v>15</v>
      </c>
      <c r="B231" s="437">
        <f>IF(B$1=1,(SUM(B230:B230)/13),0)</f>
        <v>0</v>
      </c>
      <c r="C231" s="437">
        <f>IF(C$1=1,(SUM(B230:C230)/13),0)</f>
        <v>0</v>
      </c>
      <c r="D231" s="437">
        <f>IF(D$1=1,(SUM(B230:D230)/13),0)</f>
        <v>0</v>
      </c>
      <c r="E231" s="437">
        <f>IF(E$1=1,(SUM(B230:E230)/13),0)</f>
        <v>0</v>
      </c>
      <c r="F231" s="437">
        <f>IF(F$1=1,(SUM(B230:F230)/13),0)</f>
        <v>0</v>
      </c>
      <c r="G231" s="437">
        <f>IF(G$1=1,(SUM(B230:G230)/13),0)</f>
        <v>7.6923076923076927E-2</v>
      </c>
      <c r="H231" s="437">
        <f>IF(H$1=1,(SUM(B230:H230)/13),0)</f>
        <v>0.15384615384615385</v>
      </c>
      <c r="I231" s="437">
        <f>IF(I$1=1,(SUM(B230:I230)/13),0)</f>
        <v>0.23076923076923078</v>
      </c>
      <c r="J231" s="66">
        <f>IF(J$1=1,(SUM(B230:J230)/13),0)</f>
        <v>0.30769230769230771</v>
      </c>
      <c r="K231" s="66">
        <f>IF(K$1=1,(SUM(B230:K230)/13),0)</f>
        <v>0.30769230769230771</v>
      </c>
      <c r="L231" s="66">
        <f>IF(L$1=1,(SUM(B230:L230)/13),0)</f>
        <v>0.30769230769230771</v>
      </c>
      <c r="M231" s="66">
        <f>IF(M$1=1,(SUM(B230:M230)/13),0)</f>
        <v>0.30769230769230771</v>
      </c>
      <c r="N231" s="66">
        <f>IF(N$1=1,(SUM(B230:N230)/13),0)</f>
        <v>0.30769230769230771</v>
      </c>
      <c r="O231" s="66">
        <f t="shared" ref="O231:Z231" si="181">IF(O$1=1,(SUM(C230:O230)/13),0)</f>
        <v>0.30769230769230771</v>
      </c>
      <c r="P231" s="66">
        <f t="shared" si="181"/>
        <v>0.30769230769230771</v>
      </c>
      <c r="Q231" s="66">
        <f t="shared" si="181"/>
        <v>0.30769230769230771</v>
      </c>
      <c r="R231" s="66">
        <f t="shared" si="181"/>
        <v>0.30769230769230771</v>
      </c>
      <c r="S231" s="66">
        <f t="shared" si="181"/>
        <v>0.30769230769230771</v>
      </c>
      <c r="T231" s="66">
        <f t="shared" si="181"/>
        <v>0.23076923076923078</v>
      </c>
      <c r="U231" s="66">
        <f t="shared" si="181"/>
        <v>0.15384615384615385</v>
      </c>
      <c r="V231" s="66">
        <f t="shared" si="181"/>
        <v>7.6923076923076927E-2</v>
      </c>
      <c r="W231" s="66">
        <f t="shared" si="181"/>
        <v>0</v>
      </c>
      <c r="X231" s="66">
        <f t="shared" si="181"/>
        <v>0</v>
      </c>
      <c r="Y231" s="66">
        <f t="shared" si="181"/>
        <v>0</v>
      </c>
      <c r="Z231" s="66">
        <f t="shared" si="181"/>
        <v>0</v>
      </c>
      <c r="AA231" s="66">
        <f t="shared" ref="AA231:AN231" si="182">IF(AA$1=1,(SUM(O230:AA230)/13),0)</f>
        <v>0</v>
      </c>
      <c r="AB231" s="66">
        <f t="shared" si="182"/>
        <v>0</v>
      </c>
      <c r="AC231" s="66">
        <f t="shared" si="182"/>
        <v>0</v>
      </c>
      <c r="AD231" s="66">
        <f t="shared" si="182"/>
        <v>0</v>
      </c>
      <c r="AE231" s="66">
        <f t="shared" si="182"/>
        <v>0</v>
      </c>
      <c r="AF231" s="66">
        <f t="shared" si="182"/>
        <v>0</v>
      </c>
      <c r="AG231" s="66">
        <f t="shared" si="182"/>
        <v>0</v>
      </c>
      <c r="AH231" s="66">
        <f t="shared" si="182"/>
        <v>0</v>
      </c>
      <c r="AI231" s="66">
        <f t="shared" si="182"/>
        <v>0</v>
      </c>
      <c r="AJ231" s="66">
        <f t="shared" si="182"/>
        <v>0</v>
      </c>
      <c r="AK231" s="66">
        <f t="shared" si="182"/>
        <v>0</v>
      </c>
      <c r="AL231" s="66">
        <f t="shared" si="182"/>
        <v>0</v>
      </c>
      <c r="AM231" s="66">
        <f t="shared" si="182"/>
        <v>0</v>
      </c>
      <c r="AN231" s="66">
        <f t="shared" si="182"/>
        <v>0</v>
      </c>
    </row>
    <row r="232" spans="1:40" x14ac:dyDescent="0.35">
      <c r="A232" s="124" t="s">
        <v>74</v>
      </c>
      <c r="B232" s="436">
        <f t="array" ref="B232">SUM(($A232='Accident &amp; Incident Detail'!$E$2:$E$3433)*(B$212='Accident &amp; Incident Detail'!$C$2:$C$3433))</f>
        <v>0</v>
      </c>
      <c r="C232" s="436">
        <f t="array" ref="C232">SUM(($A232='Accident &amp; Incident Detail'!$E$2:$E$3433)*(C$212='Accident &amp; Incident Detail'!$C$2:$C$3433))</f>
        <v>0</v>
      </c>
      <c r="D232" s="436">
        <f t="array" ref="D232">SUM(($A232='Accident &amp; Incident Detail'!$E$2:$E$3433)*(D$212='Accident &amp; Incident Detail'!$C$2:$C$3433))</f>
        <v>0</v>
      </c>
      <c r="E232" s="436">
        <f t="array" ref="E232">SUM(($A232='Accident &amp; Incident Detail'!$E$2:$E$3433)*(E$212='Accident &amp; Incident Detail'!$C$2:$C$3433))</f>
        <v>0</v>
      </c>
      <c r="F232" s="436">
        <f t="array" ref="F232">SUM(($A232='Accident &amp; Incident Detail'!$E$2:$E$3433)*(F$212='Accident &amp; Incident Detail'!$C$2:$C$3433))</f>
        <v>0</v>
      </c>
      <c r="G232" s="436">
        <f t="array" ref="G232">SUM(($A232='Accident &amp; Incident Detail'!$E$2:$E$3433)*(G$212='Accident &amp; Incident Detail'!$C$2:$C$3433))</f>
        <v>0</v>
      </c>
      <c r="H232" s="436">
        <f t="array" ref="H232">SUM(($A232='Accident &amp; Incident Detail'!$E$2:$E$3433)*(H$212='Accident &amp; Incident Detail'!$C$2:$C$3433))</f>
        <v>0</v>
      </c>
      <c r="I232" s="436">
        <f t="array" ref="I232">SUM(($A232='Accident &amp; Incident Detail'!$E$2:$E$3433)*(I$212='Accident &amp; Incident Detail'!$C$2:$C$3433))</f>
        <v>0</v>
      </c>
      <c r="J232" s="55">
        <f t="array" ref="J232">SUM(($A232='Accident &amp; Incident Detail'!$E$2:$E$3433)*(J$212='Accident &amp; Incident Detail'!$C$2:$C$3433))</f>
        <v>0</v>
      </c>
      <c r="K232" s="55">
        <f t="array" ref="K232">SUM(($A232='Accident &amp; Incident Detail'!$E$2:$E$3433)*(K$212='Accident &amp; Incident Detail'!$C$2:$C$3433))</f>
        <v>0</v>
      </c>
      <c r="L232" s="55">
        <f t="array" ref="L232">SUM(($A232='Accident &amp; Incident Detail'!$E$2:$E$3433)*(L$212='Accident &amp; Incident Detail'!$C$2:$C$3433))</f>
        <v>0</v>
      </c>
      <c r="M232" s="55">
        <f t="array" ref="M232">SUM(($A232='Accident &amp; Incident Detail'!$E$2:$E$3433)*(M$212='Accident &amp; Incident Detail'!$C$2:$C$3433))</f>
        <v>0</v>
      </c>
      <c r="N232" s="55">
        <f t="array" ref="N232">SUM(($A232='Accident &amp; Incident Detail'!$E$2:$E$3433)*(N$212='Accident &amp; Incident Detail'!$C$2:$C$3433))</f>
        <v>0</v>
      </c>
      <c r="O232" s="55">
        <f t="array" ref="O232">SUM(($A232='Accident &amp; Incident Detail'!$E$2:$E$3433)*(O$212='Accident &amp; Incident Detail'!$C$2:$C$3433))</f>
        <v>0</v>
      </c>
      <c r="P232" s="55">
        <f t="array" ref="P232">SUM(($A232='Accident &amp; Incident Detail'!$E$2:$E$3433)*(P$212='Accident &amp; Incident Detail'!$C$2:$C$3433))</f>
        <v>0</v>
      </c>
      <c r="Q232" s="55">
        <f t="array" ref="Q232">SUM(($A232='Accident &amp; Incident Detail'!$E$2:$E$3433)*(Q$212='Accident &amp; Incident Detail'!$C$2:$C$3433))</f>
        <v>0</v>
      </c>
      <c r="R232" s="55">
        <f t="array" ref="R232">SUM(($A232='Accident &amp; Incident Detail'!$E$2:$E$3433)*(R$212='Accident &amp; Incident Detail'!$C$2:$C$3433))</f>
        <v>0</v>
      </c>
      <c r="S232" s="55">
        <f t="array" ref="S232">SUM(($A232='Accident &amp; Incident Detail'!$E$2:$E$3433)*(S$212='Accident &amp; Incident Detail'!$C$2:$C$3433))</f>
        <v>0</v>
      </c>
      <c r="T232" s="55">
        <f t="array" ref="T232">SUM(($A232='Accident &amp; Incident Detail'!$E$2:$E$3433)*(T$212='Accident &amp; Incident Detail'!$C$2:$C$3433))</f>
        <v>0</v>
      </c>
      <c r="U232" s="55">
        <f t="array" ref="U232">SUM(($A232='Accident &amp; Incident Detail'!$E$2:$E$3433)*(U$212='Accident &amp; Incident Detail'!$C$2:$C$3433))</f>
        <v>0</v>
      </c>
      <c r="V232" s="55">
        <f t="array" ref="V232">SUM(($A232='Accident &amp; Incident Detail'!$E$2:$E$3433)*(V$212='Accident &amp; Incident Detail'!$C$2:$C$3433))</f>
        <v>0</v>
      </c>
      <c r="W232" s="55">
        <f t="array" ref="W232">SUM(($A232='Accident &amp; Incident Detail'!$E$2:$E$3433)*(W$212='Accident &amp; Incident Detail'!$C$2:$C$3433))</f>
        <v>0</v>
      </c>
      <c r="X232" s="55">
        <f t="array" ref="X232">SUM(($A232='Accident &amp; Incident Detail'!$E$2:$E$3433)*(X$212='Accident &amp; Incident Detail'!$C$2:$C$3433))</f>
        <v>0</v>
      </c>
      <c r="Y232" s="55">
        <f t="array" ref="Y232">SUM(($A232='Accident &amp; Incident Detail'!$E$2:$E$3433)*(Y$212='Accident &amp; Incident Detail'!$C$2:$C$3433))</f>
        <v>0</v>
      </c>
      <c r="Z232" s="55">
        <f t="array" ref="Z232">SUM(($A232='Accident &amp; Incident Detail'!$E$2:$E$3433)*(Z$212='Accident &amp; Incident Detail'!$C$2:$C$3433))</f>
        <v>0</v>
      </c>
      <c r="AA232" s="55">
        <f t="array" ref="AA232">SUM(($A232='Accident &amp; Incident Detail'!$E$2:$E$3433)*(AA$212='Accident &amp; Incident Detail'!$C$2:$C$3433))</f>
        <v>0</v>
      </c>
      <c r="AB232" s="55">
        <f t="array" ref="AB232">SUM(($A232='Accident &amp; Incident Detail'!$E$2:$E$3433)*(AB$212='Accident &amp; Incident Detail'!$C$2:$C$3433))</f>
        <v>0</v>
      </c>
      <c r="AC232" s="55">
        <f t="array" ref="AC232">SUM(($A232='Accident &amp; Incident Detail'!$E$2:$E$3433)*(AC$212='Accident &amp; Incident Detail'!$C$2:$C$3433))</f>
        <v>0</v>
      </c>
      <c r="AD232" s="55">
        <f t="array" ref="AD232">SUM(($A232='Accident &amp; Incident Detail'!$E$2:$E$3433)*(AD$212='Accident &amp; Incident Detail'!$C$2:$C$3433))</f>
        <v>0</v>
      </c>
      <c r="AE232" s="55">
        <f t="array" ref="AE232">SUM(($A232='Accident &amp; Incident Detail'!$E$2:$E$3433)*(AE$212='Accident &amp; Incident Detail'!$C$2:$C$3433))</f>
        <v>0</v>
      </c>
      <c r="AF232" s="55">
        <f t="array" ref="AF232">SUM(($A232='Accident &amp; Incident Detail'!$E$2:$E$3433)*(AF$212='Accident &amp; Incident Detail'!$C$2:$C$3433))</f>
        <v>0</v>
      </c>
      <c r="AG232" s="55">
        <f t="array" ref="AG232">SUM(($A232='Accident &amp; Incident Detail'!$E$2:$E$3433)*(AG$212='Accident &amp; Incident Detail'!$C$2:$C$3433))</f>
        <v>0</v>
      </c>
      <c r="AH232" s="55">
        <f t="array" ref="AH232">SUM(($A232='Accident &amp; Incident Detail'!$E$2:$E$3433)*(AH$212='Accident &amp; Incident Detail'!$C$2:$C$3433))</f>
        <v>0</v>
      </c>
      <c r="AI232" s="55">
        <f t="array" ref="AI232">SUM(($A232='Accident &amp; Incident Detail'!$E$2:$E$3433)*(AI$212='Accident &amp; Incident Detail'!$C$2:$C$3433))</f>
        <v>0</v>
      </c>
      <c r="AJ232" s="55">
        <f t="array" ref="AJ232">SUM(($A232='Accident &amp; Incident Detail'!$E$2:$E$3433)*(AJ$212='Accident &amp; Incident Detail'!$C$2:$C$3433))</f>
        <v>0</v>
      </c>
      <c r="AK232" s="55">
        <f t="array" ref="AK232">SUM(($A232='Accident &amp; Incident Detail'!$E$2:$E$3433)*(AK$212='Accident &amp; Incident Detail'!$C$2:$C$3433))</f>
        <v>0</v>
      </c>
      <c r="AL232" s="55">
        <f t="array" ref="AL232">SUM(($A232='Accident &amp; Incident Detail'!$E$2:$E$3433)*(AL$212='Accident &amp; Incident Detail'!$C$2:$C$3433))</f>
        <v>0</v>
      </c>
      <c r="AM232" s="55">
        <f t="array" ref="AM232">SUM(($A232='Accident &amp; Incident Detail'!$E$2:$E$3433)*(AM$212='Accident &amp; Incident Detail'!$C$2:$C$3433))</f>
        <v>0</v>
      </c>
      <c r="AN232" s="55">
        <f t="array" ref="AN232">SUM(($A232='Accident &amp; Incident Detail'!$E$2:$E$3433)*(AN$212='Accident &amp; Incident Detail'!$C$2:$C$3433))</f>
        <v>0</v>
      </c>
    </row>
    <row r="233" spans="1:40" ht="15" thickBot="1" x14ac:dyDescent="0.4">
      <c r="A233" s="185" t="s">
        <v>15</v>
      </c>
      <c r="B233" s="437">
        <f>IF(B$1=1,(SUM(B232:B232)/13),0)</f>
        <v>0</v>
      </c>
      <c r="C233" s="437">
        <f>IF(C$1=1,(SUM(B232:C232)/13),0)</f>
        <v>0</v>
      </c>
      <c r="D233" s="437">
        <f>IF(D$1=1,(SUM(B232:D232)/13),0)</f>
        <v>0</v>
      </c>
      <c r="E233" s="437">
        <f>IF(E$1=1,(SUM(B232:E232)/13),0)</f>
        <v>0</v>
      </c>
      <c r="F233" s="437">
        <f>IF(F$1=1,(SUM(B232:F232)/13),0)</f>
        <v>0</v>
      </c>
      <c r="G233" s="437">
        <f>IF(G$1=1,(SUM(B232:G232)/13),0)</f>
        <v>0</v>
      </c>
      <c r="H233" s="437">
        <f>IF(H$1=1,(SUM(B232:H232)/13),0)</f>
        <v>0</v>
      </c>
      <c r="I233" s="437">
        <f>IF(I$1=1,(SUM(B232:I232)/13),0)</f>
        <v>0</v>
      </c>
      <c r="J233" s="66">
        <f>IF(J$1=1,(SUM(B232:J232)/13),0)</f>
        <v>0</v>
      </c>
      <c r="K233" s="66">
        <f>IF(K$1=1,(SUM(B232:K232)/13),0)</f>
        <v>0</v>
      </c>
      <c r="L233" s="66">
        <f>IF(L$1=1,(SUM(B232:L232)/13),0)</f>
        <v>0</v>
      </c>
      <c r="M233" s="66">
        <f>IF(M$1=1,(SUM(B232:M232)/13),0)</f>
        <v>0</v>
      </c>
      <c r="N233" s="66">
        <f>IF(N$1=1,(SUM(B232:N232)/13),0)</f>
        <v>0</v>
      </c>
      <c r="O233" s="66">
        <f t="shared" ref="O233:Z233" si="183">IF(O$1=1,(SUM(C232:O232)/13),0)</f>
        <v>0</v>
      </c>
      <c r="P233" s="66">
        <f t="shared" si="183"/>
        <v>0</v>
      </c>
      <c r="Q233" s="66">
        <f t="shared" si="183"/>
        <v>0</v>
      </c>
      <c r="R233" s="66">
        <f t="shared" si="183"/>
        <v>0</v>
      </c>
      <c r="S233" s="66">
        <f t="shared" si="183"/>
        <v>0</v>
      </c>
      <c r="T233" s="66">
        <f t="shared" si="183"/>
        <v>0</v>
      </c>
      <c r="U233" s="66">
        <f t="shared" si="183"/>
        <v>0</v>
      </c>
      <c r="V233" s="66">
        <f t="shared" si="183"/>
        <v>0</v>
      </c>
      <c r="W233" s="66">
        <f t="shared" si="183"/>
        <v>0</v>
      </c>
      <c r="X233" s="66">
        <f t="shared" si="183"/>
        <v>0</v>
      </c>
      <c r="Y233" s="66">
        <f t="shared" si="183"/>
        <v>0</v>
      </c>
      <c r="Z233" s="66">
        <f t="shared" si="183"/>
        <v>0</v>
      </c>
      <c r="AA233" s="66">
        <f t="shared" ref="AA233:AN233" si="184">IF(AA$1=1,(SUM(O232:AA232)/13),0)</f>
        <v>0</v>
      </c>
      <c r="AB233" s="66">
        <f t="shared" si="184"/>
        <v>0</v>
      </c>
      <c r="AC233" s="66">
        <f t="shared" si="184"/>
        <v>0</v>
      </c>
      <c r="AD233" s="66">
        <f t="shared" si="184"/>
        <v>0</v>
      </c>
      <c r="AE233" s="66">
        <f t="shared" si="184"/>
        <v>0</v>
      </c>
      <c r="AF233" s="66">
        <f t="shared" si="184"/>
        <v>0</v>
      </c>
      <c r="AG233" s="66">
        <f t="shared" si="184"/>
        <v>0</v>
      </c>
      <c r="AH233" s="66">
        <f t="shared" si="184"/>
        <v>0</v>
      </c>
      <c r="AI233" s="66">
        <f t="shared" si="184"/>
        <v>0</v>
      </c>
      <c r="AJ233" s="66">
        <f t="shared" si="184"/>
        <v>0</v>
      </c>
      <c r="AK233" s="66">
        <f t="shared" si="184"/>
        <v>0</v>
      </c>
      <c r="AL233" s="66">
        <f t="shared" si="184"/>
        <v>0</v>
      </c>
      <c r="AM233" s="66">
        <f t="shared" si="184"/>
        <v>0</v>
      </c>
      <c r="AN233" s="66">
        <f t="shared" si="184"/>
        <v>0</v>
      </c>
    </row>
    <row r="234" spans="1:40" x14ac:dyDescent="0.35">
      <c r="A234" s="162" t="s">
        <v>78</v>
      </c>
      <c r="B234" s="436">
        <f t="array" ref="B234">SUM(($A234='Accident &amp; Incident Detail'!$E$2:$E$3433)*(B$212='Accident &amp; Incident Detail'!$C$2:$C$3433))</f>
        <v>0</v>
      </c>
      <c r="C234" s="436">
        <f t="array" ref="C234">SUM(($A234='Accident &amp; Incident Detail'!$E$2:$E$3433)*(C$212='Accident &amp; Incident Detail'!$C$2:$C$3433))</f>
        <v>0</v>
      </c>
      <c r="D234" s="436">
        <f t="array" ref="D234">SUM(($A234='Accident &amp; Incident Detail'!$E$2:$E$3433)*(D$212='Accident &amp; Incident Detail'!$C$2:$C$3433))</f>
        <v>0</v>
      </c>
      <c r="E234" s="436">
        <f t="array" ref="E234">SUM(($A234='Accident &amp; Incident Detail'!$E$2:$E$3433)*(E$212='Accident &amp; Incident Detail'!$C$2:$C$3433))</f>
        <v>0</v>
      </c>
      <c r="F234" s="436">
        <f t="array" ref="F234">SUM(($A234='Accident &amp; Incident Detail'!$E$2:$E$3433)*(F$212='Accident &amp; Incident Detail'!$C$2:$C$3433))</f>
        <v>0</v>
      </c>
      <c r="G234" s="436">
        <f t="array" ref="G234">SUM(($A234='Accident &amp; Incident Detail'!$E$2:$E$3433)*(G$212='Accident &amp; Incident Detail'!$C$2:$C$3433))</f>
        <v>0</v>
      </c>
      <c r="H234" s="436">
        <f t="array" ref="H234">SUM(($A234='Accident &amp; Incident Detail'!$E$2:$E$3433)*(H$212='Accident &amp; Incident Detail'!$C$2:$C$3433))</f>
        <v>0</v>
      </c>
      <c r="I234" s="436">
        <f t="array" ref="I234">SUM(($A234='Accident &amp; Incident Detail'!$E$2:$E$3433)*(I$212='Accident &amp; Incident Detail'!$C$2:$C$3433))</f>
        <v>0</v>
      </c>
      <c r="J234" s="55">
        <f t="array" ref="J234">SUM(($A234='Accident &amp; Incident Detail'!$E$2:$E$3433)*(J$212='Accident &amp; Incident Detail'!$C$2:$C$3433))</f>
        <v>1</v>
      </c>
      <c r="K234" s="55">
        <f t="array" ref="K234">SUM(($A234='Accident &amp; Incident Detail'!$E$2:$E$3433)*(K$212='Accident &amp; Incident Detail'!$C$2:$C$3433))</f>
        <v>4</v>
      </c>
      <c r="L234" s="55">
        <f t="array" ref="L234">SUM(($A234='Accident &amp; Incident Detail'!$E$2:$E$3433)*(L$212='Accident &amp; Incident Detail'!$C$2:$C$3433))</f>
        <v>3</v>
      </c>
      <c r="M234" s="55">
        <f t="array" ref="M234">SUM(($A234='Accident &amp; Incident Detail'!$E$2:$E$3433)*(M$212='Accident &amp; Incident Detail'!$C$2:$C$3433))</f>
        <v>1</v>
      </c>
      <c r="N234" s="55">
        <f t="array" ref="N234">SUM(($A234='Accident &amp; Incident Detail'!$E$2:$E$3433)*(N$212='Accident &amp; Incident Detail'!$C$2:$C$3433))</f>
        <v>0</v>
      </c>
      <c r="O234" s="55">
        <f t="array" ref="O234">SUM(($A234='Accident &amp; Incident Detail'!$E$2:$E$3433)*(O$212='Accident &amp; Incident Detail'!$C$2:$C$3433))</f>
        <v>2</v>
      </c>
      <c r="P234" s="55">
        <f t="array" ref="P234">SUM(($A234='Accident &amp; Incident Detail'!$E$2:$E$3433)*(P$212='Accident &amp; Incident Detail'!$C$2:$C$3433))</f>
        <v>5</v>
      </c>
      <c r="Q234" s="55">
        <f t="array" ref="Q234">SUM(($A234='Accident &amp; Incident Detail'!$E$2:$E$3433)*(Q$212='Accident &amp; Incident Detail'!$C$2:$C$3433))</f>
        <v>0</v>
      </c>
      <c r="R234" s="55">
        <f t="array" ref="R234">SUM(($A234='Accident &amp; Incident Detail'!$E$2:$E$3433)*(R$212='Accident &amp; Incident Detail'!$C$2:$C$3433))</f>
        <v>7</v>
      </c>
      <c r="S234" s="55">
        <f t="array" ref="S234">SUM(($A234='Accident &amp; Incident Detail'!$E$2:$E$3433)*(S$212='Accident &amp; Incident Detail'!$C$2:$C$3433))</f>
        <v>1</v>
      </c>
      <c r="T234" s="55">
        <f t="array" ref="T234">SUM(($A234='Accident &amp; Incident Detail'!$E$2:$E$3433)*(T$212='Accident &amp; Incident Detail'!$C$2:$C$3433))</f>
        <v>3</v>
      </c>
      <c r="U234" s="55">
        <f t="array" ref="U234">SUM(($A234='Accident &amp; Incident Detail'!$E$2:$E$3433)*(U$212='Accident &amp; Incident Detail'!$C$2:$C$3433))</f>
        <v>4</v>
      </c>
      <c r="V234" s="55">
        <f t="array" ref="V234">SUM(($A234='Accident &amp; Incident Detail'!$E$2:$E$3433)*(V$212='Accident &amp; Incident Detail'!$C$2:$C$3433))</f>
        <v>3</v>
      </c>
      <c r="W234" s="55">
        <f t="array" ref="W234">SUM(($A234='Accident &amp; Incident Detail'!$E$2:$E$3433)*(W$212='Accident &amp; Incident Detail'!$C$2:$C$3433))</f>
        <v>8</v>
      </c>
      <c r="X234" s="55">
        <f t="array" ref="X234">SUM(($A234='Accident &amp; Incident Detail'!$E$2:$E$3433)*(X$212='Accident &amp; Incident Detail'!$C$2:$C$3433))</f>
        <v>2</v>
      </c>
      <c r="Y234" s="55">
        <f t="array" ref="Y234">SUM(($A234='Accident &amp; Incident Detail'!$E$2:$E$3433)*(Y$212='Accident &amp; Incident Detail'!$C$2:$C$3433))</f>
        <v>4</v>
      </c>
      <c r="Z234" s="55">
        <f t="array" ref="Z234">SUM(($A234='Accident &amp; Incident Detail'!$E$2:$E$3433)*(Z$212='Accident &amp; Incident Detail'!$C$2:$C$3433))</f>
        <v>0</v>
      </c>
      <c r="AA234" s="55">
        <f t="array" ref="AA234">SUM(($A234='Accident &amp; Incident Detail'!$E$2:$E$3433)*(AA$212='Accident &amp; Incident Detail'!$C$2:$C$3433))</f>
        <v>4</v>
      </c>
      <c r="AB234" s="55">
        <f t="array" ref="AB234">SUM(($A234='Accident &amp; Incident Detail'!$E$2:$E$3433)*(AB$212='Accident &amp; Incident Detail'!$C$2:$C$3433))</f>
        <v>4</v>
      </c>
      <c r="AC234" s="55">
        <f t="array" ref="AC234">SUM(($A234='Accident &amp; Incident Detail'!$E$2:$E$3433)*(AC$212='Accident &amp; Incident Detail'!$C$2:$C$3433))</f>
        <v>1</v>
      </c>
      <c r="AD234" s="55">
        <f t="array" ref="AD234">SUM(($A234='Accident &amp; Incident Detail'!$E$2:$E$3433)*(AD$212='Accident &amp; Incident Detail'!$C$2:$C$3433))</f>
        <v>2</v>
      </c>
      <c r="AE234" s="55">
        <f t="array" ref="AE234">SUM(($A234='Accident &amp; Incident Detail'!$E$2:$E$3433)*(AE$212='Accident &amp; Incident Detail'!$C$2:$C$3433))</f>
        <v>2</v>
      </c>
      <c r="AF234" s="55">
        <f t="array" ref="AF234">SUM(($A234='Accident &amp; Incident Detail'!$E$2:$E$3433)*(AF$212='Accident &amp; Incident Detail'!$C$2:$C$3433))</f>
        <v>2</v>
      </c>
      <c r="AG234" s="55">
        <f t="array" ref="AG234">SUM(($A234='Accident &amp; Incident Detail'!$E$2:$E$3433)*(AG$212='Accident &amp; Incident Detail'!$C$2:$C$3433))</f>
        <v>2</v>
      </c>
      <c r="AH234" s="55">
        <f t="array" ref="AH234">SUM(($A234='Accident &amp; Incident Detail'!$E$2:$E$3433)*(AH$212='Accident &amp; Incident Detail'!$C$2:$C$3433))</f>
        <v>2</v>
      </c>
      <c r="AI234" s="55">
        <f t="array" ref="AI234">SUM(($A234='Accident &amp; Incident Detail'!$E$2:$E$3433)*(AI$212='Accident &amp; Incident Detail'!$C$2:$C$3433))</f>
        <v>3</v>
      </c>
      <c r="AJ234" s="55">
        <f t="array" ref="AJ234">SUM(($A234='Accident &amp; Incident Detail'!$E$2:$E$3433)*(AJ$212='Accident &amp; Incident Detail'!$C$2:$C$3433))</f>
        <v>4</v>
      </c>
      <c r="AK234" s="55">
        <f t="array" ref="AK234">SUM(($A234='Accident &amp; Incident Detail'!$E$2:$E$3433)*(AK$212='Accident &amp; Incident Detail'!$C$2:$C$3433))</f>
        <v>2</v>
      </c>
      <c r="AL234" s="55">
        <f t="array" ref="AL234">SUM(($A234='Accident &amp; Incident Detail'!$E$2:$E$3433)*(AL$212='Accident &amp; Incident Detail'!$C$2:$C$3433))</f>
        <v>3</v>
      </c>
      <c r="AM234" s="55">
        <f t="array" ref="AM234">SUM(($A234='Accident &amp; Incident Detail'!$E$2:$E$3433)*(AM$212='Accident &amp; Incident Detail'!$C$2:$C$3433))</f>
        <v>0</v>
      </c>
      <c r="AN234" s="55">
        <f t="array" ref="AN234">SUM(($A234='Accident &amp; Incident Detail'!$E$2:$E$3433)*(AN$212='Accident &amp; Incident Detail'!$C$2:$C$3433))</f>
        <v>0</v>
      </c>
    </row>
    <row r="235" spans="1:40" ht="15" thickBot="1" x14ac:dyDescent="0.4">
      <c r="A235" s="196" t="s">
        <v>15</v>
      </c>
      <c r="B235" s="438">
        <f>IF(B$1=1,(SUM(B234:B234)/13),0)</f>
        <v>0</v>
      </c>
      <c r="C235" s="438">
        <f>IF(C$1=1,(SUM(B234:C234)/13),0)</f>
        <v>0</v>
      </c>
      <c r="D235" s="438">
        <f>IF(D$1=1,(SUM(B234:D234)/13),0)</f>
        <v>0</v>
      </c>
      <c r="E235" s="438">
        <f>IF(E$1=1,(SUM(B234:E234)/13),0)</f>
        <v>0</v>
      </c>
      <c r="F235" s="438">
        <f>IF(F$1=1,(SUM(B234:F234)/13),0)</f>
        <v>0</v>
      </c>
      <c r="G235" s="438">
        <f>IF(G$1=1,(SUM(B234:G234)/13),0)</f>
        <v>0</v>
      </c>
      <c r="H235" s="438">
        <f>IF(H$1=1,(SUM(B234:H234)/13),0)</f>
        <v>0</v>
      </c>
      <c r="I235" s="438">
        <f>IF(I$1=1,(SUM(B234:I234)/13),0)</f>
        <v>0</v>
      </c>
      <c r="J235" s="45">
        <f>IF(J$1=1,(SUM(B234:J234)/13),0)</f>
        <v>7.6923076923076927E-2</v>
      </c>
      <c r="K235" s="45">
        <f>IF(K$1=1,(SUM(B234:K234)/13),0)</f>
        <v>0.38461538461538464</v>
      </c>
      <c r="L235" s="45">
        <f>IF(L$1=1,(SUM(B234:L234)/13),0)</f>
        <v>0.61538461538461542</v>
      </c>
      <c r="M235" s="45">
        <f>IF(M$1=1,(SUM(B234:M234)/13),0)</f>
        <v>0.69230769230769229</v>
      </c>
      <c r="N235" s="45">
        <f>IF(N$1=1,(SUM(B234:N234)/13),0)</f>
        <v>0.69230769230769229</v>
      </c>
      <c r="O235" s="45">
        <f t="shared" ref="O235:Z235" si="185">IF(O$1=1,(SUM(C234:O234)/13),0)</f>
        <v>0.84615384615384615</v>
      </c>
      <c r="P235" s="45">
        <f t="shared" si="185"/>
        <v>1.2307692307692308</v>
      </c>
      <c r="Q235" s="45">
        <f t="shared" si="185"/>
        <v>1.2307692307692308</v>
      </c>
      <c r="R235" s="45">
        <f t="shared" si="185"/>
        <v>1.7692307692307692</v>
      </c>
      <c r="S235" s="45">
        <f t="shared" si="185"/>
        <v>1.8461538461538463</v>
      </c>
      <c r="T235" s="45">
        <f t="shared" si="185"/>
        <v>2.0769230769230771</v>
      </c>
      <c r="U235" s="45">
        <f t="shared" si="185"/>
        <v>2.3846153846153846</v>
      </c>
      <c r="V235" s="45">
        <f t="shared" si="185"/>
        <v>2.6153846153846154</v>
      </c>
      <c r="W235" s="45">
        <f t="shared" si="185"/>
        <v>3.1538461538461537</v>
      </c>
      <c r="X235" s="45">
        <f t="shared" si="185"/>
        <v>3</v>
      </c>
      <c r="Y235" s="45">
        <f t="shared" si="185"/>
        <v>3.0769230769230771</v>
      </c>
      <c r="Z235" s="45">
        <f t="shared" si="185"/>
        <v>3</v>
      </c>
      <c r="AA235" s="45">
        <f t="shared" ref="AA235:AN235" si="186">IF(AA$1=1,(SUM(O234:AA234)/13),0)</f>
        <v>3.3076923076923075</v>
      </c>
      <c r="AB235" s="45">
        <f t="shared" si="186"/>
        <v>3.4615384615384617</v>
      </c>
      <c r="AC235" s="45">
        <f t="shared" si="186"/>
        <v>3.1538461538461537</v>
      </c>
      <c r="AD235" s="45">
        <f t="shared" si="186"/>
        <v>3.3076923076923075</v>
      </c>
      <c r="AE235" s="45">
        <f t="shared" si="186"/>
        <v>2.9230769230769229</v>
      </c>
      <c r="AF235" s="45">
        <f t="shared" si="186"/>
        <v>3</v>
      </c>
      <c r="AG235" s="45">
        <f t="shared" si="186"/>
        <v>2.9230769230769229</v>
      </c>
      <c r="AH235" s="45">
        <f t="shared" si="186"/>
        <v>2.7692307692307692</v>
      </c>
      <c r="AI235" s="45">
        <f t="shared" si="186"/>
        <v>2.7692307692307692</v>
      </c>
      <c r="AJ235" s="45">
        <f t="shared" si="186"/>
        <v>2.4615384615384617</v>
      </c>
      <c r="AK235" s="45">
        <f t="shared" si="186"/>
        <v>2.4615384615384617</v>
      </c>
      <c r="AL235" s="45">
        <f t="shared" si="186"/>
        <v>0</v>
      </c>
      <c r="AM235" s="45">
        <f t="shared" si="186"/>
        <v>0</v>
      </c>
      <c r="AN235" s="45">
        <f t="shared" si="186"/>
        <v>0</v>
      </c>
    </row>
    <row r="236" spans="1:40" x14ac:dyDescent="0.35">
      <c r="A236" s="137" t="s">
        <v>14</v>
      </c>
      <c r="B236" s="439">
        <f>SUM(B214+B216+B218+B222+B224+B226+B228+B230+B232+B234)</f>
        <v>0</v>
      </c>
      <c r="C236" s="439">
        <f>SUM(C214+C216+C222+C224+C226+C228+C230+C232+C234)</f>
        <v>0</v>
      </c>
      <c r="D236" s="439">
        <f t="shared" ref="D236:N236" si="187">SUM(D214+D216+D222+D224+D226+D228+D230+D232+D234)</f>
        <v>0</v>
      </c>
      <c r="E236" s="439">
        <f t="shared" si="187"/>
        <v>0</v>
      </c>
      <c r="F236" s="439">
        <f t="shared" si="187"/>
        <v>0</v>
      </c>
      <c r="G236" s="439">
        <f t="shared" si="187"/>
        <v>1</v>
      </c>
      <c r="H236" s="439">
        <f t="shared" si="187"/>
        <v>1</v>
      </c>
      <c r="I236" s="439">
        <f t="shared" si="187"/>
        <v>1</v>
      </c>
      <c r="J236" s="3">
        <f t="shared" si="187"/>
        <v>3</v>
      </c>
      <c r="K236" s="3">
        <f t="shared" si="187"/>
        <v>9</v>
      </c>
      <c r="L236" s="3">
        <f t="shared" si="187"/>
        <v>11</v>
      </c>
      <c r="M236" s="3">
        <f t="shared" si="187"/>
        <v>6</v>
      </c>
      <c r="N236" s="3">
        <f t="shared" si="187"/>
        <v>0</v>
      </c>
      <c r="O236" s="3">
        <f t="shared" ref="O236:Z236" si="188">SUM(O214+O216+O222+O224+O226+O228+O230+O232+O234)</f>
        <v>7</v>
      </c>
      <c r="P236" s="3">
        <f t="shared" si="188"/>
        <v>6</v>
      </c>
      <c r="Q236" s="3">
        <f t="shared" si="188"/>
        <v>8</v>
      </c>
      <c r="R236" s="3">
        <f t="shared" si="188"/>
        <v>9</v>
      </c>
      <c r="S236" s="3">
        <f t="shared" si="188"/>
        <v>4</v>
      </c>
      <c r="T236" s="3">
        <f t="shared" si="188"/>
        <v>4</v>
      </c>
      <c r="U236" s="3">
        <f t="shared" si="188"/>
        <v>5</v>
      </c>
      <c r="V236" s="3">
        <f t="shared" si="188"/>
        <v>6</v>
      </c>
      <c r="W236" s="3">
        <f t="shared" si="188"/>
        <v>12</v>
      </c>
      <c r="X236" s="3">
        <f t="shared" si="188"/>
        <v>3</v>
      </c>
      <c r="Y236" s="3">
        <f t="shared" si="188"/>
        <v>7</v>
      </c>
      <c r="Z236" s="3">
        <f t="shared" si="188"/>
        <v>3</v>
      </c>
      <c r="AA236" s="3">
        <f t="shared" ref="AA236:AN236" si="189">SUM(AA214+AA216+AA222+AA224+AA226+AA228+AA230+AA232+AA234)</f>
        <v>6</v>
      </c>
      <c r="AB236" s="3">
        <f t="shared" si="189"/>
        <v>7</v>
      </c>
      <c r="AC236" s="3">
        <f t="shared" si="189"/>
        <v>5</v>
      </c>
      <c r="AD236" s="3">
        <f t="shared" si="189"/>
        <v>5</v>
      </c>
      <c r="AE236" s="3">
        <f t="shared" si="189"/>
        <v>7</v>
      </c>
      <c r="AF236" s="3">
        <f t="shared" si="189"/>
        <v>9</v>
      </c>
      <c r="AG236" s="3">
        <f t="shared" si="189"/>
        <v>4</v>
      </c>
      <c r="AH236" s="3">
        <f t="shared" si="189"/>
        <v>6</v>
      </c>
      <c r="AI236" s="3">
        <f t="shared" si="189"/>
        <v>11</v>
      </c>
      <c r="AJ236" s="3">
        <f t="shared" si="189"/>
        <v>7</v>
      </c>
      <c r="AK236" s="3">
        <f t="shared" si="189"/>
        <v>5</v>
      </c>
      <c r="AL236" s="3">
        <f t="shared" si="189"/>
        <v>7</v>
      </c>
      <c r="AM236" s="3">
        <f t="shared" si="189"/>
        <v>0</v>
      </c>
      <c r="AN236" s="3">
        <f t="shared" si="189"/>
        <v>0</v>
      </c>
    </row>
    <row r="237" spans="1:40" ht="15" thickBot="1" x14ac:dyDescent="0.4">
      <c r="A237" s="197" t="s">
        <v>15</v>
      </c>
      <c r="B237" s="424">
        <f>IF(B$1=1,(SUM(B236:B236)/13),0)</f>
        <v>0</v>
      </c>
      <c r="C237" s="424">
        <f>IF(C$1=1,(SUM(B236:C236)/13),0)</f>
        <v>0</v>
      </c>
      <c r="D237" s="424">
        <f>IF(D$1=1,(SUM(B236:D236)/13),0)</f>
        <v>0</v>
      </c>
      <c r="E237" s="424">
        <f>IF(E$1=1,(SUM(B236:E236)/13),0)</f>
        <v>0</v>
      </c>
      <c r="F237" s="424">
        <f>IF(F$1=1,(SUM(B236:F236)/13),0)</f>
        <v>0</v>
      </c>
      <c r="G237" s="424">
        <f>IF(G$1=1,(SUM(B236:G236)/13),0)</f>
        <v>7.6923076923076927E-2</v>
      </c>
      <c r="H237" s="424">
        <f>IF(H$1=1,(SUM(B236:H236)/13),0)</f>
        <v>0.15384615384615385</v>
      </c>
      <c r="I237" s="424">
        <f>IF(I$1=1,(SUM(B236:I236)/13),0)</f>
        <v>0.23076923076923078</v>
      </c>
      <c r="J237" s="49">
        <f>IF(J$1=1,(SUM(B236:J236)/13),0)</f>
        <v>0.46153846153846156</v>
      </c>
      <c r="K237" s="49">
        <f>IF(K$1=1,(SUM(B236:K236)/13),0)</f>
        <v>1.1538461538461537</v>
      </c>
      <c r="L237" s="49">
        <f>IF(L$1=1,(SUM(B236:L236)/13),0)</f>
        <v>2</v>
      </c>
      <c r="M237" s="49">
        <f>IF(M$1=1,(SUM(B236:M236)/13),0)</f>
        <v>2.4615384615384617</v>
      </c>
      <c r="N237" s="49">
        <f>IF(N$1=1,(SUM(B236:N236)/13),0)</f>
        <v>2.4615384615384617</v>
      </c>
      <c r="O237" s="49">
        <f t="shared" ref="O237:Z237" si="190">IF(O$1=1,(SUM(C236:O236)/13),0)</f>
        <v>3</v>
      </c>
      <c r="P237" s="49">
        <f t="shared" si="190"/>
        <v>3.4615384615384617</v>
      </c>
      <c r="Q237" s="49">
        <f t="shared" si="190"/>
        <v>4.0769230769230766</v>
      </c>
      <c r="R237" s="49">
        <f t="shared" si="190"/>
        <v>4.7692307692307692</v>
      </c>
      <c r="S237" s="49">
        <f t="shared" si="190"/>
        <v>5.0769230769230766</v>
      </c>
      <c r="T237" s="49">
        <f t="shared" si="190"/>
        <v>5.3076923076923075</v>
      </c>
      <c r="U237" s="49">
        <f t="shared" si="190"/>
        <v>5.615384615384615</v>
      </c>
      <c r="V237" s="49">
        <f t="shared" si="190"/>
        <v>6</v>
      </c>
      <c r="W237" s="49">
        <f t="shared" si="190"/>
        <v>6.6923076923076925</v>
      </c>
      <c r="X237" s="49">
        <f t="shared" si="190"/>
        <v>6.2307692307692308</v>
      </c>
      <c r="Y237" s="49">
        <f t="shared" si="190"/>
        <v>5.9230769230769234</v>
      </c>
      <c r="Z237" s="49">
        <f t="shared" si="190"/>
        <v>5.6923076923076925</v>
      </c>
      <c r="AA237" s="49">
        <f t="shared" ref="AA237:AN237" si="191">IF(AA$1=1,(SUM(O236:AA236)/13),0)</f>
        <v>6.1538461538461542</v>
      </c>
      <c r="AB237" s="49">
        <f t="shared" si="191"/>
        <v>6.1538461538461542</v>
      </c>
      <c r="AC237" s="49">
        <f t="shared" si="191"/>
        <v>6.0769230769230766</v>
      </c>
      <c r="AD237" s="49">
        <f t="shared" si="191"/>
        <v>5.8461538461538458</v>
      </c>
      <c r="AE237" s="49">
        <f t="shared" si="191"/>
        <v>5.6923076923076925</v>
      </c>
      <c r="AF237" s="49">
        <f t="shared" si="191"/>
        <v>6.0769230769230766</v>
      </c>
      <c r="AG237" s="49">
        <f t="shared" si="191"/>
        <v>6.0769230769230766</v>
      </c>
      <c r="AH237" s="49">
        <f t="shared" si="191"/>
        <v>6.1538461538461542</v>
      </c>
      <c r="AI237" s="49">
        <f t="shared" si="191"/>
        <v>6.5384615384615383</v>
      </c>
      <c r="AJ237" s="49">
        <f t="shared" si="191"/>
        <v>6.1538461538461542</v>
      </c>
      <c r="AK237" s="49">
        <f t="shared" si="191"/>
        <v>6.3076923076923075</v>
      </c>
      <c r="AL237" s="49">
        <f t="shared" si="191"/>
        <v>0</v>
      </c>
      <c r="AM237" s="49">
        <f t="shared" si="191"/>
        <v>0</v>
      </c>
      <c r="AN237" s="49">
        <f t="shared" si="191"/>
        <v>0</v>
      </c>
    </row>
    <row r="238" spans="1:40" ht="15" thickBot="1" x14ac:dyDescent="0.4">
      <c r="A238" s="72" t="s">
        <v>79</v>
      </c>
    </row>
    <row r="239" spans="1:40" x14ac:dyDescent="0.35">
      <c r="A239" s="129" t="s">
        <v>80</v>
      </c>
      <c r="B239" s="440">
        <f t="array" ref="B239">SUM(($A239='Accident &amp; Incident Detail'!$E$2:$E$3433)*(B$212='Accident &amp; Incident Detail'!$C$2:$C$3433))</f>
        <v>0</v>
      </c>
      <c r="C239" s="440">
        <f t="array" ref="C239">SUM(($A239='Accident &amp; Incident Detail'!$E$2:$E$3433)*(C$212='Accident &amp; Incident Detail'!$C$2:$C$3433))</f>
        <v>0</v>
      </c>
      <c r="D239" s="440">
        <f t="array" ref="D239">SUM(($A239='Accident &amp; Incident Detail'!$E$2:$E$3433)*(D$212='Accident &amp; Incident Detail'!$C$2:$C$3433))</f>
        <v>0</v>
      </c>
      <c r="E239" s="440">
        <f t="array" ref="E239">SUM(($A239='Accident &amp; Incident Detail'!$E$2:$E$3433)*(E$212='Accident &amp; Incident Detail'!$C$2:$C$3433))</f>
        <v>0</v>
      </c>
      <c r="F239" s="440">
        <f t="array" ref="F239">SUM(($A239='Accident &amp; Incident Detail'!$E$2:$E$3433)*(F$212='Accident &amp; Incident Detail'!$C$2:$C$3433))</f>
        <v>0</v>
      </c>
      <c r="G239" s="440">
        <f t="array" ref="G239">SUM(($A239='Accident &amp; Incident Detail'!$E$2:$E$3433)*(G$212='Accident &amp; Incident Detail'!$C$2:$C$3433))</f>
        <v>0</v>
      </c>
      <c r="H239" s="440">
        <f t="array" ref="H239">SUM(($A239='Accident &amp; Incident Detail'!$E$2:$E$3433)*(H$212='Accident &amp; Incident Detail'!$C$2:$C$3433))</f>
        <v>0</v>
      </c>
      <c r="I239" s="440">
        <f t="array" ref="I239">SUM(($A239='Accident &amp; Incident Detail'!$E$2:$E$3433)*(I$212='Accident &amp; Incident Detail'!$C$2:$C$3433))</f>
        <v>0</v>
      </c>
      <c r="J239" s="154">
        <f t="array" ref="J239">SUM(($A239='Accident &amp; Incident Detail'!$E$2:$E$3433)*(J$212='Accident &amp; Incident Detail'!$C$2:$C$3433))</f>
        <v>0</v>
      </c>
      <c r="K239" s="154">
        <f t="array" ref="K239">SUM(($A239='Accident &amp; Incident Detail'!$E$2:$E$3433)*(K$212='Accident &amp; Incident Detail'!$C$2:$C$3433))</f>
        <v>0</v>
      </c>
      <c r="L239" s="154">
        <f t="array" ref="L239">SUM(($A239='Accident &amp; Incident Detail'!$E$2:$E$3433)*(L$212='Accident &amp; Incident Detail'!$C$2:$C$3433))</f>
        <v>0</v>
      </c>
      <c r="M239" s="154">
        <f t="array" ref="M239">SUM(($A239='Accident &amp; Incident Detail'!$E$2:$E$3433)*(M$212='Accident &amp; Incident Detail'!$C$2:$C$3433))</f>
        <v>0</v>
      </c>
      <c r="N239" s="154">
        <f t="array" ref="N239">SUM(($A239='Accident &amp; Incident Detail'!$E$2:$E$3433)*(N$212='Accident &amp; Incident Detail'!$C$2:$C$3433))</f>
        <v>0</v>
      </c>
      <c r="O239" s="154">
        <f t="array" ref="O239">SUM(($A239='Accident &amp; Incident Detail'!$E$2:$E$3433)*(O$212='Accident &amp; Incident Detail'!$C$2:$C$3433))</f>
        <v>1</v>
      </c>
      <c r="P239" s="154">
        <f t="array" ref="P239">SUM(($A239='Accident &amp; Incident Detail'!$E$2:$E$3433)*(P$212='Accident &amp; Incident Detail'!$C$2:$C$3433))</f>
        <v>2</v>
      </c>
      <c r="Q239" s="154">
        <f t="array" ref="Q239">SUM(($A239='Accident &amp; Incident Detail'!$E$2:$E$3433)*(Q$212='Accident &amp; Incident Detail'!$C$2:$C$3433))</f>
        <v>0</v>
      </c>
      <c r="R239" s="154">
        <f t="array" ref="R239">SUM(($A239='Accident &amp; Incident Detail'!$E$2:$E$3433)*(R$212='Accident &amp; Incident Detail'!$C$2:$C$3433))</f>
        <v>0</v>
      </c>
      <c r="S239" s="154">
        <f t="array" ref="S239">SUM(($A239='Accident &amp; Incident Detail'!$E$2:$E$3433)*(S$212='Accident &amp; Incident Detail'!$C$2:$C$3433))</f>
        <v>0</v>
      </c>
      <c r="T239" s="154">
        <f t="array" ref="T239">SUM(($A239='Accident &amp; Incident Detail'!$E$2:$E$3433)*(T$212='Accident &amp; Incident Detail'!$C$2:$C$3433))</f>
        <v>0</v>
      </c>
      <c r="U239" s="154">
        <f t="array" ref="U239">SUM(($A239='Accident &amp; Incident Detail'!$E$2:$E$3433)*(U$212='Accident &amp; Incident Detail'!$C$2:$C$3433))</f>
        <v>0</v>
      </c>
      <c r="V239" s="154">
        <f t="array" ref="V239">SUM(($A239='Accident &amp; Incident Detail'!$E$2:$E$3433)*(V$212='Accident &amp; Incident Detail'!$C$2:$C$3433))</f>
        <v>0</v>
      </c>
      <c r="W239" s="154">
        <f t="array" ref="W239">SUM(($A239='Accident &amp; Incident Detail'!$E$2:$E$3433)*(W$212='Accident &amp; Incident Detail'!$C$2:$C$3433))</f>
        <v>0</v>
      </c>
      <c r="X239" s="154">
        <f t="array" ref="X239">SUM(($A239='Accident &amp; Incident Detail'!$E$2:$E$3433)*(X$212='Accident &amp; Incident Detail'!$C$2:$C$3433))</f>
        <v>0</v>
      </c>
      <c r="Y239" s="154">
        <f t="array" ref="Y239">SUM(($A239='Accident &amp; Incident Detail'!$E$2:$E$3433)*(Y$212='Accident &amp; Incident Detail'!$C$2:$C$3433))</f>
        <v>1</v>
      </c>
      <c r="Z239" s="55">
        <f t="array" ref="Z239">SUM(($A239='Accident &amp; Incident Detail'!$E$2:$E$3433)*(Z$212='Accident &amp; Incident Detail'!$C$2:$C$3433))</f>
        <v>0</v>
      </c>
      <c r="AA239" s="55">
        <f t="array" ref="AA239">SUM(($A239='Accident &amp; Incident Detail'!$E$2:$E$3433)*(AA$212='Accident &amp; Incident Detail'!$C$2:$C$3433))</f>
        <v>0</v>
      </c>
      <c r="AB239" s="55">
        <f t="array" ref="AB239">SUM(($A239='Accident &amp; Incident Detail'!$E$2:$E$3433)*(AB$212='Accident &amp; Incident Detail'!$C$2:$C$3433))</f>
        <v>0</v>
      </c>
      <c r="AC239" s="55">
        <f t="array" ref="AC239">SUM(($A239='Accident &amp; Incident Detail'!$E$2:$E$3433)*(AC$212='Accident &amp; Incident Detail'!$C$2:$C$3433))</f>
        <v>0</v>
      </c>
      <c r="AD239" s="55">
        <f t="array" ref="AD239">SUM(($A239='Accident &amp; Incident Detail'!$E$2:$E$3433)*(AD$212='Accident &amp; Incident Detail'!$C$2:$C$3433))</f>
        <v>1</v>
      </c>
      <c r="AE239" s="55">
        <f t="array" ref="AE239">SUM(($A239='Accident &amp; Incident Detail'!$E$2:$E$3433)*(AE$212='Accident &amp; Incident Detail'!$C$2:$C$3433))</f>
        <v>0</v>
      </c>
      <c r="AF239" s="55">
        <f t="array" ref="AF239">SUM(($A239='Accident &amp; Incident Detail'!$E$2:$E$3433)*(AF$212='Accident &amp; Incident Detail'!$C$2:$C$3433))</f>
        <v>0</v>
      </c>
      <c r="AG239" s="55">
        <f t="array" ref="AG239">SUM(($A239='Accident &amp; Incident Detail'!$E$2:$E$3433)*(AG$212='Accident &amp; Incident Detail'!$C$2:$C$3433))</f>
        <v>0</v>
      </c>
      <c r="AH239" s="55">
        <f t="array" ref="AH239">SUM(($A239='Accident &amp; Incident Detail'!$E$2:$E$3433)*(AH$212='Accident &amp; Incident Detail'!$C$2:$C$3433))</f>
        <v>0</v>
      </c>
      <c r="AI239" s="55">
        <f t="array" ref="AI239">SUM(($A239='Accident &amp; Incident Detail'!$E$2:$E$3433)*(AI$212='Accident &amp; Incident Detail'!$C$2:$C$3433))</f>
        <v>2</v>
      </c>
      <c r="AJ239" s="55">
        <f t="array" ref="AJ239">SUM(($A239='Accident &amp; Incident Detail'!$E$2:$E$3433)*(AJ$212='Accident &amp; Incident Detail'!$C$2:$C$3433))</f>
        <v>0</v>
      </c>
      <c r="AK239" s="55">
        <f t="array" ref="AK239">SUM(($A239='Accident &amp; Incident Detail'!$E$2:$E$3433)*(AK$212='Accident &amp; Incident Detail'!$C$2:$C$3433))</f>
        <v>0</v>
      </c>
      <c r="AL239" s="55">
        <f t="array" ref="AL239">SUM(($A239='Accident &amp; Incident Detail'!$E$2:$E$3433)*(AL$212='Accident &amp; Incident Detail'!$C$2:$C$3433))</f>
        <v>0</v>
      </c>
      <c r="AM239" s="55">
        <f t="array" ref="AM239">SUM(($A239='Accident &amp; Incident Detail'!$E$2:$E$3433)*(AM$212='Accident &amp; Incident Detail'!$C$2:$C$3433))</f>
        <v>0</v>
      </c>
      <c r="AN239" s="55">
        <f t="array" ref="AN239">SUM(($A239='Accident &amp; Incident Detail'!$E$2:$E$3433)*(AN$212='Accident &amp; Incident Detail'!$C$2:$C$3433))</f>
        <v>0</v>
      </c>
    </row>
    <row r="240" spans="1:40" ht="15" thickBot="1" x14ac:dyDescent="0.4">
      <c r="A240" s="193" t="s">
        <v>15</v>
      </c>
      <c r="B240" s="438">
        <f>IF(B$1=1,(SUM(B239:B239)/13),0)</f>
        <v>0</v>
      </c>
      <c r="C240" s="438">
        <f>IF(C$1=1,(SUM(B239:C239)/13),0)</f>
        <v>0</v>
      </c>
      <c r="D240" s="438">
        <f>IF(D$1=1,(SUM(B239:D239)/13),0)</f>
        <v>0</v>
      </c>
      <c r="E240" s="438">
        <f>IF(E$1=1,(SUM(B239:E239)/13),0)</f>
        <v>0</v>
      </c>
      <c r="F240" s="438">
        <f>IF(F$1=1,(SUM(B239:F239)/13),0)</f>
        <v>0</v>
      </c>
      <c r="G240" s="438">
        <f>IF(G$1=1,(SUM(B239:G239)/13),0)</f>
        <v>0</v>
      </c>
      <c r="H240" s="438">
        <f>IF(H$1=1,(SUM(B239:H239)/13),0)</f>
        <v>0</v>
      </c>
      <c r="I240" s="438">
        <f>IF(I$1=1,(SUM(B239:I239)/13),0)</f>
        <v>0</v>
      </c>
      <c r="J240" s="45">
        <f>IF(J$1=1,(SUM(B239:J239)/13),0)</f>
        <v>0</v>
      </c>
      <c r="K240" s="45">
        <f>IF(K$1=1,(SUM(B239:K239)/13),0)</f>
        <v>0</v>
      </c>
      <c r="L240" s="45">
        <f>IF(L$1=1,(SUM(B239:L239)/13),0)</f>
        <v>0</v>
      </c>
      <c r="M240" s="45">
        <f>IF(M$1=1,(SUM(B239:M239)/13),0)</f>
        <v>0</v>
      </c>
      <c r="N240" s="45">
        <f>IF(N$1=1,(SUM(B239:N239)/13),0)</f>
        <v>0</v>
      </c>
      <c r="O240" s="45">
        <f t="shared" ref="O240:Z240" si="192">IF(O$1=1,(SUM(C239:O239)/13),0)</f>
        <v>7.6923076923076927E-2</v>
      </c>
      <c r="P240" s="45">
        <f t="shared" si="192"/>
        <v>0.23076923076923078</v>
      </c>
      <c r="Q240" s="45">
        <f t="shared" si="192"/>
        <v>0.23076923076923078</v>
      </c>
      <c r="R240" s="45">
        <f t="shared" si="192"/>
        <v>0.23076923076923078</v>
      </c>
      <c r="S240" s="45">
        <f t="shared" si="192"/>
        <v>0.23076923076923078</v>
      </c>
      <c r="T240" s="45">
        <f t="shared" si="192"/>
        <v>0.23076923076923078</v>
      </c>
      <c r="U240" s="45">
        <f t="shared" si="192"/>
        <v>0.23076923076923078</v>
      </c>
      <c r="V240" s="45">
        <f t="shared" si="192"/>
        <v>0.23076923076923078</v>
      </c>
      <c r="W240" s="45">
        <f t="shared" si="192"/>
        <v>0.23076923076923078</v>
      </c>
      <c r="X240" s="45">
        <f t="shared" si="192"/>
        <v>0.23076923076923078</v>
      </c>
      <c r="Y240" s="45">
        <f t="shared" si="192"/>
        <v>0.30769230769230771</v>
      </c>
      <c r="Z240" s="45">
        <f t="shared" si="192"/>
        <v>0.30769230769230771</v>
      </c>
      <c r="AA240" s="45">
        <f t="shared" ref="AA240:AN240" si="193">IF(AA$1=1,(SUM(O239:AA239)/13),0)</f>
        <v>0.30769230769230771</v>
      </c>
      <c r="AB240" s="45">
        <f t="shared" si="193"/>
        <v>0.23076923076923078</v>
      </c>
      <c r="AC240" s="45">
        <f t="shared" si="193"/>
        <v>7.6923076923076927E-2</v>
      </c>
      <c r="AD240" s="45">
        <f t="shared" si="193"/>
        <v>0.15384615384615385</v>
      </c>
      <c r="AE240" s="45">
        <f t="shared" si="193"/>
        <v>0.15384615384615385</v>
      </c>
      <c r="AF240" s="45">
        <f t="shared" si="193"/>
        <v>0.15384615384615385</v>
      </c>
      <c r="AG240" s="45">
        <f t="shared" si="193"/>
        <v>0.15384615384615385</v>
      </c>
      <c r="AH240" s="45">
        <f t="shared" si="193"/>
        <v>0.15384615384615385</v>
      </c>
      <c r="AI240" s="45">
        <f t="shared" si="193"/>
        <v>0.30769230769230771</v>
      </c>
      <c r="AJ240" s="45">
        <f t="shared" si="193"/>
        <v>0.30769230769230771</v>
      </c>
      <c r="AK240" s="45">
        <f t="shared" si="193"/>
        <v>0.30769230769230771</v>
      </c>
      <c r="AL240" s="45">
        <f t="shared" si="193"/>
        <v>0</v>
      </c>
      <c r="AM240" s="45">
        <f t="shared" si="193"/>
        <v>0</v>
      </c>
      <c r="AN240" s="45">
        <f t="shared" si="193"/>
        <v>0</v>
      </c>
    </row>
    <row r="241" spans="1:40" x14ac:dyDescent="0.35">
      <c r="A241" s="130" t="s">
        <v>81</v>
      </c>
      <c r="B241" s="440">
        <f t="array" ref="B241">SUM(($A241='Accident &amp; Incident Detail'!$E$2:$E$3433)*(B$212='Accident &amp; Incident Detail'!$C$2:$C$3433))</f>
        <v>0</v>
      </c>
      <c r="C241" s="440">
        <f t="array" ref="C241">SUM(($A241='Accident &amp; Incident Detail'!$E$2:$E$3433)*(C$212='Accident &amp; Incident Detail'!$C$2:$C$3433))</f>
        <v>0</v>
      </c>
      <c r="D241" s="440">
        <f t="array" ref="D241">SUM(($A241='Accident &amp; Incident Detail'!$E$2:$E$3433)*(D$212='Accident &amp; Incident Detail'!$C$2:$C$3433))</f>
        <v>0</v>
      </c>
      <c r="E241" s="440">
        <f t="array" ref="E241">SUM(($A241='Accident &amp; Incident Detail'!$E$2:$E$3433)*(E$212='Accident &amp; Incident Detail'!$C$2:$C$3433))</f>
        <v>0</v>
      </c>
      <c r="F241" s="440">
        <f t="array" ref="F241">SUM(($A241='Accident &amp; Incident Detail'!$E$2:$E$3433)*(F$212='Accident &amp; Incident Detail'!$C$2:$C$3433))</f>
        <v>0</v>
      </c>
      <c r="G241" s="440">
        <f t="array" ref="G241">SUM(($A241='Accident &amp; Incident Detail'!$E$2:$E$3433)*(G$212='Accident &amp; Incident Detail'!$C$2:$C$3433))</f>
        <v>0</v>
      </c>
      <c r="H241" s="440">
        <f t="array" ref="H241">SUM(($A241='Accident &amp; Incident Detail'!$E$2:$E$3433)*(H$212='Accident &amp; Incident Detail'!$C$2:$C$3433))</f>
        <v>0</v>
      </c>
      <c r="I241" s="440">
        <f t="array" ref="I241">SUM(($A241='Accident &amp; Incident Detail'!$E$2:$E$3433)*(I$212='Accident &amp; Incident Detail'!$C$2:$C$3433))</f>
        <v>0</v>
      </c>
      <c r="J241" s="154">
        <f t="array" ref="J241">SUM(($A241='Accident &amp; Incident Detail'!$E$2:$E$3433)*(J$212='Accident &amp; Incident Detail'!$C$2:$C$3433))</f>
        <v>0</v>
      </c>
      <c r="K241" s="154">
        <f t="array" ref="K241">SUM(($A241='Accident &amp; Incident Detail'!$E$2:$E$3433)*(K$212='Accident &amp; Incident Detail'!$C$2:$C$3433))</f>
        <v>0</v>
      </c>
      <c r="L241" s="154">
        <f t="array" ref="L241">SUM(($A241='Accident &amp; Incident Detail'!$E$2:$E$3433)*(L$212='Accident &amp; Incident Detail'!$C$2:$C$3433))</f>
        <v>0</v>
      </c>
      <c r="M241" s="154">
        <f t="array" ref="M241">SUM(($A241='Accident &amp; Incident Detail'!$E$2:$E$3433)*(M$212='Accident &amp; Incident Detail'!$C$2:$C$3433))</f>
        <v>0</v>
      </c>
      <c r="N241" s="154">
        <f t="array" ref="N241">SUM(($A241='Accident &amp; Incident Detail'!$E$2:$E$3433)*(N$212='Accident &amp; Incident Detail'!$C$2:$C$3433))</f>
        <v>0</v>
      </c>
      <c r="O241" s="154">
        <f t="array" ref="O241">SUM(($A241='Accident &amp; Incident Detail'!$E$2:$E$3433)*(O$212='Accident &amp; Incident Detail'!$C$2:$C$3433))</f>
        <v>0</v>
      </c>
      <c r="P241" s="154">
        <f t="array" ref="P241">SUM(($A241='Accident &amp; Incident Detail'!$E$2:$E$3433)*(P$212='Accident &amp; Incident Detail'!$C$2:$C$3433))</f>
        <v>0</v>
      </c>
      <c r="Q241" s="154">
        <f t="array" ref="Q241">SUM(($A241='Accident &amp; Incident Detail'!$E$2:$E$3433)*(Q$212='Accident &amp; Incident Detail'!$C$2:$C$3433))</f>
        <v>0</v>
      </c>
      <c r="R241" s="154">
        <f t="array" ref="R241">SUM(($A241='Accident &amp; Incident Detail'!$E$2:$E$3433)*(R$212='Accident &amp; Incident Detail'!$C$2:$C$3433))</f>
        <v>0</v>
      </c>
      <c r="S241" s="154">
        <f t="array" ref="S241">SUM(($A241='Accident &amp; Incident Detail'!$E$2:$E$3433)*(S$212='Accident &amp; Incident Detail'!$C$2:$C$3433))</f>
        <v>0</v>
      </c>
      <c r="T241" s="154">
        <f t="array" ref="T241">SUM(($A241='Accident &amp; Incident Detail'!$E$2:$E$3433)*(T$212='Accident &amp; Incident Detail'!$C$2:$C$3433))</f>
        <v>0</v>
      </c>
      <c r="U241" s="154">
        <f t="array" ref="U241">SUM(($A241='Accident &amp; Incident Detail'!$E$2:$E$3433)*(U$212='Accident &amp; Incident Detail'!$C$2:$C$3433))</f>
        <v>0</v>
      </c>
      <c r="V241" s="154">
        <f t="array" ref="V241">SUM(($A241='Accident &amp; Incident Detail'!$E$2:$E$3433)*(V$212='Accident &amp; Incident Detail'!$C$2:$C$3433))</f>
        <v>0</v>
      </c>
      <c r="W241" s="154">
        <f t="array" ref="W241">SUM(($A241='Accident &amp; Incident Detail'!$E$2:$E$3433)*(W$212='Accident &amp; Incident Detail'!$C$2:$C$3433))</f>
        <v>0</v>
      </c>
      <c r="X241" s="154">
        <f t="array" ref="X241">SUM(($A241='Accident &amp; Incident Detail'!$E$2:$E$3433)*(X$212='Accident &amp; Incident Detail'!$C$2:$C$3433))</f>
        <v>0</v>
      </c>
      <c r="Y241" s="154">
        <f t="array" ref="Y241">SUM(($A241='Accident &amp; Incident Detail'!$E$2:$E$3433)*(Y$212='Accident &amp; Incident Detail'!$C$2:$C$3433))</f>
        <v>0</v>
      </c>
      <c r="Z241" s="55">
        <f t="array" ref="Z241">SUM(($A241='Accident &amp; Incident Detail'!$E$2:$E$3433)*(Z$212='Accident &amp; Incident Detail'!$C$2:$C$3433))</f>
        <v>0</v>
      </c>
      <c r="AA241" s="55">
        <f t="array" ref="AA241">SUM(($A241='Accident &amp; Incident Detail'!$E$2:$E$3433)*(AA$212='Accident &amp; Incident Detail'!$C$2:$C$3433))</f>
        <v>0</v>
      </c>
      <c r="AB241" s="55">
        <f t="array" ref="AB241">SUM(($A241='Accident &amp; Incident Detail'!$E$2:$E$3433)*(AB$212='Accident &amp; Incident Detail'!$C$2:$C$3433))</f>
        <v>0</v>
      </c>
      <c r="AC241" s="55">
        <f t="array" ref="AC241">SUM(($A241='Accident &amp; Incident Detail'!$E$2:$E$3433)*(AC$212='Accident &amp; Incident Detail'!$C$2:$C$3433))</f>
        <v>0</v>
      </c>
      <c r="AD241" s="55">
        <f t="array" ref="AD241">SUM(($A241='Accident &amp; Incident Detail'!$E$2:$E$3433)*(AD$212='Accident &amp; Incident Detail'!$C$2:$C$3433))</f>
        <v>0</v>
      </c>
      <c r="AE241" s="55">
        <f t="array" ref="AE241">SUM(($A241='Accident &amp; Incident Detail'!$E$2:$E$3433)*(AE$212='Accident &amp; Incident Detail'!$C$2:$C$3433))</f>
        <v>0</v>
      </c>
      <c r="AF241" s="55">
        <f t="array" ref="AF241">SUM(($A241='Accident &amp; Incident Detail'!$E$2:$E$3433)*(AF$212='Accident &amp; Incident Detail'!$C$2:$C$3433))</f>
        <v>0</v>
      </c>
      <c r="AG241" s="55">
        <f t="array" ref="AG241">SUM(($A241='Accident &amp; Incident Detail'!$E$2:$E$3433)*(AG$212='Accident &amp; Incident Detail'!$C$2:$C$3433))</f>
        <v>0</v>
      </c>
      <c r="AH241" s="55">
        <f t="array" ref="AH241">SUM(($A241='Accident &amp; Incident Detail'!$E$2:$E$3433)*(AH$212='Accident &amp; Incident Detail'!$C$2:$C$3433))</f>
        <v>0</v>
      </c>
      <c r="AI241" s="55">
        <f t="array" ref="AI241">SUM(($A241='Accident &amp; Incident Detail'!$E$2:$E$3433)*(AI$212='Accident &amp; Incident Detail'!$C$2:$C$3433))</f>
        <v>0</v>
      </c>
      <c r="AJ241" s="55">
        <f t="array" ref="AJ241">SUM(($A241='Accident &amp; Incident Detail'!$E$2:$E$3433)*(AJ$212='Accident &amp; Incident Detail'!$C$2:$C$3433))</f>
        <v>0</v>
      </c>
      <c r="AK241" s="55">
        <f t="array" ref="AK241">SUM(($A241='Accident &amp; Incident Detail'!$E$2:$E$3433)*(AK$212='Accident &amp; Incident Detail'!$C$2:$C$3433))</f>
        <v>0</v>
      </c>
      <c r="AL241" s="55">
        <f t="array" ref="AL241">SUM(($A241='Accident &amp; Incident Detail'!$E$2:$E$3433)*(AL$212='Accident &amp; Incident Detail'!$C$2:$C$3433))</f>
        <v>0</v>
      </c>
      <c r="AM241" s="55">
        <f t="array" ref="AM241">SUM(($A241='Accident &amp; Incident Detail'!$E$2:$E$3433)*(AM$212='Accident &amp; Incident Detail'!$C$2:$C$3433))</f>
        <v>0</v>
      </c>
      <c r="AN241" s="55">
        <f t="array" ref="AN241">SUM(($A241='Accident &amp; Incident Detail'!$E$2:$E$3433)*(AN$212='Accident &amp; Incident Detail'!$C$2:$C$3433))</f>
        <v>0</v>
      </c>
    </row>
    <row r="242" spans="1:40" ht="15" thickBot="1" x14ac:dyDescent="0.4">
      <c r="A242" s="193" t="s">
        <v>15</v>
      </c>
      <c r="B242" s="438">
        <f>IF(B$1=1,(SUM(B241:B241)/13),0)</f>
        <v>0</v>
      </c>
      <c r="C242" s="438">
        <f>IF(C$1=1,(SUM(B241:C241)/13),0)</f>
        <v>0</v>
      </c>
      <c r="D242" s="438">
        <f>IF(D$1=1,(SUM(B241:D241)/13),0)</f>
        <v>0</v>
      </c>
      <c r="E242" s="438">
        <f>IF(E$1=1,(SUM(B241:E241)/13),0)</f>
        <v>0</v>
      </c>
      <c r="F242" s="438">
        <f>IF(F$1=1,(SUM(B241:F241)/13),0)</f>
        <v>0</v>
      </c>
      <c r="G242" s="438">
        <f>IF(G$1=1,(SUM(B241:G241)/13),0)</f>
        <v>0</v>
      </c>
      <c r="H242" s="438">
        <f>IF(H$1=1,(SUM(B241:H241)/13),0)</f>
        <v>0</v>
      </c>
      <c r="I242" s="438">
        <f>IF(I$1=1,(SUM(B241:I241)/13),0)</f>
        <v>0</v>
      </c>
      <c r="J242" s="45">
        <f>IF(J$1=1,(SUM(B241:J241)/13),0)</f>
        <v>0</v>
      </c>
      <c r="K242" s="45">
        <f>IF(K$1=1,(SUM(B241:K241)/13),0)</f>
        <v>0</v>
      </c>
      <c r="L242" s="45">
        <f>IF(L$1=1,(SUM(B241:L241)/13),0)</f>
        <v>0</v>
      </c>
      <c r="M242" s="45">
        <f>IF(M$1=1,(SUM(B241:M241)/13),0)</f>
        <v>0</v>
      </c>
      <c r="N242" s="45">
        <f>IF(N$1=1,(SUM(B241:N241)/13),0)</f>
        <v>0</v>
      </c>
      <c r="O242" s="45">
        <f t="shared" ref="O242:Z242" si="194">IF(O$1=1,(SUM(C241:O241)/13),0)</f>
        <v>0</v>
      </c>
      <c r="P242" s="45">
        <f t="shared" si="194"/>
        <v>0</v>
      </c>
      <c r="Q242" s="45">
        <f t="shared" si="194"/>
        <v>0</v>
      </c>
      <c r="R242" s="45">
        <f t="shared" si="194"/>
        <v>0</v>
      </c>
      <c r="S242" s="45">
        <f t="shared" si="194"/>
        <v>0</v>
      </c>
      <c r="T242" s="45">
        <f t="shared" si="194"/>
        <v>0</v>
      </c>
      <c r="U242" s="45">
        <f t="shared" si="194"/>
        <v>0</v>
      </c>
      <c r="V242" s="45">
        <f t="shared" si="194"/>
        <v>0</v>
      </c>
      <c r="W242" s="45">
        <f t="shared" si="194"/>
        <v>0</v>
      </c>
      <c r="X242" s="45">
        <f t="shared" si="194"/>
        <v>0</v>
      </c>
      <c r="Y242" s="45">
        <f t="shared" si="194"/>
        <v>0</v>
      </c>
      <c r="Z242" s="45">
        <f t="shared" si="194"/>
        <v>0</v>
      </c>
      <c r="AA242" s="45">
        <f t="shared" ref="AA242:AN242" si="195">IF(AA$1=1,(SUM(O241:AA241)/13),0)</f>
        <v>0</v>
      </c>
      <c r="AB242" s="45">
        <f t="shared" si="195"/>
        <v>0</v>
      </c>
      <c r="AC242" s="45">
        <f t="shared" si="195"/>
        <v>0</v>
      </c>
      <c r="AD242" s="45">
        <f t="shared" si="195"/>
        <v>0</v>
      </c>
      <c r="AE242" s="45">
        <f t="shared" si="195"/>
        <v>0</v>
      </c>
      <c r="AF242" s="45">
        <f t="shared" si="195"/>
        <v>0</v>
      </c>
      <c r="AG242" s="45">
        <f t="shared" si="195"/>
        <v>0</v>
      </c>
      <c r="AH242" s="45">
        <f t="shared" si="195"/>
        <v>0</v>
      </c>
      <c r="AI242" s="45">
        <f t="shared" si="195"/>
        <v>0</v>
      </c>
      <c r="AJ242" s="45">
        <f t="shared" si="195"/>
        <v>0</v>
      </c>
      <c r="AK242" s="45">
        <f t="shared" si="195"/>
        <v>0</v>
      </c>
      <c r="AL242" s="45">
        <f t="shared" si="195"/>
        <v>0</v>
      </c>
      <c r="AM242" s="45">
        <f t="shared" si="195"/>
        <v>0</v>
      </c>
      <c r="AN242" s="45">
        <f t="shared" si="195"/>
        <v>0</v>
      </c>
    </row>
    <row r="243" spans="1:40" x14ac:dyDescent="0.35">
      <c r="A243" s="130" t="s">
        <v>82</v>
      </c>
      <c r="B243" s="440">
        <f t="array" ref="B243">SUM(($A243='Accident &amp; Incident Detail'!$E$2:$E$3433)*(B$212='Accident &amp; Incident Detail'!$C$2:$C$3433))</f>
        <v>0</v>
      </c>
      <c r="C243" s="440">
        <f t="array" ref="C243">SUM(($A243='Accident &amp; Incident Detail'!$E$2:$E$3433)*(C$212='Accident &amp; Incident Detail'!$C$2:$C$3433))</f>
        <v>0</v>
      </c>
      <c r="D243" s="440">
        <f t="array" ref="D243">SUM(($A243='Accident &amp; Incident Detail'!$E$2:$E$3433)*(D$212='Accident &amp; Incident Detail'!$C$2:$C$3433))</f>
        <v>0</v>
      </c>
      <c r="E243" s="440">
        <f t="array" ref="E243">SUM(($A243='Accident &amp; Incident Detail'!$E$2:$E$3433)*(E$212='Accident &amp; Incident Detail'!$C$2:$C$3433))</f>
        <v>0</v>
      </c>
      <c r="F243" s="440">
        <f t="array" ref="F243">SUM(($A243='Accident &amp; Incident Detail'!$E$2:$E$3433)*(F$212='Accident &amp; Incident Detail'!$C$2:$C$3433))</f>
        <v>0</v>
      </c>
      <c r="G243" s="440">
        <f t="array" ref="G243">SUM(($A243='Accident &amp; Incident Detail'!$E$2:$E$3433)*(G$212='Accident &amp; Incident Detail'!$C$2:$C$3433))</f>
        <v>0</v>
      </c>
      <c r="H243" s="440">
        <f t="array" ref="H243">SUM(($A243='Accident &amp; Incident Detail'!$E$2:$E$3433)*(H$212='Accident &amp; Incident Detail'!$C$2:$C$3433))</f>
        <v>0</v>
      </c>
      <c r="I243" s="440">
        <f t="array" ref="I243">SUM(($A243='Accident &amp; Incident Detail'!$E$2:$E$3433)*(I$212='Accident &amp; Incident Detail'!$C$2:$C$3433))</f>
        <v>0</v>
      </c>
      <c r="J243" s="154">
        <f t="array" ref="J243">SUM(($A243='Accident &amp; Incident Detail'!$E$2:$E$3433)*(J$212='Accident &amp; Incident Detail'!$C$2:$C$3433))</f>
        <v>0</v>
      </c>
      <c r="K243" s="154">
        <f t="array" ref="K243">SUM(($A243='Accident &amp; Incident Detail'!$E$2:$E$3433)*(K$212='Accident &amp; Incident Detail'!$C$2:$C$3433))</f>
        <v>0</v>
      </c>
      <c r="L243" s="154">
        <f t="array" ref="L243">SUM(($A243='Accident &amp; Incident Detail'!$E$2:$E$3433)*(L$212='Accident &amp; Incident Detail'!$C$2:$C$3433))</f>
        <v>0</v>
      </c>
      <c r="M243" s="154">
        <f t="array" ref="M243">SUM(($A243='Accident &amp; Incident Detail'!$E$2:$E$3433)*(M$212='Accident &amp; Incident Detail'!$C$2:$C$3433))</f>
        <v>0</v>
      </c>
      <c r="N243" s="154">
        <f t="array" ref="N243">SUM(($A243='Accident &amp; Incident Detail'!$E$2:$E$3433)*(N$212='Accident &amp; Incident Detail'!$C$2:$C$3433))</f>
        <v>0</v>
      </c>
      <c r="O243" s="154">
        <f t="array" ref="O243">SUM(($A243='Accident &amp; Incident Detail'!$E$2:$E$3433)*(O$212='Accident &amp; Incident Detail'!$C$2:$C$3433))</f>
        <v>0</v>
      </c>
      <c r="P243" s="154">
        <f t="array" ref="P243">SUM(($A243='Accident &amp; Incident Detail'!$E$2:$E$3433)*(P$212='Accident &amp; Incident Detail'!$C$2:$C$3433))</f>
        <v>0</v>
      </c>
      <c r="Q243" s="154">
        <f t="array" ref="Q243">SUM(($A243='Accident &amp; Incident Detail'!$E$2:$E$3433)*(Q$212='Accident &amp; Incident Detail'!$C$2:$C$3433))</f>
        <v>0</v>
      </c>
      <c r="R243" s="154">
        <f t="array" ref="R243">SUM(($A243='Accident &amp; Incident Detail'!$E$2:$E$3433)*(R$212='Accident &amp; Incident Detail'!$C$2:$C$3433))</f>
        <v>0</v>
      </c>
      <c r="S243" s="154">
        <f t="array" ref="S243">SUM(($A243='Accident &amp; Incident Detail'!$E$2:$E$3433)*(S$212='Accident &amp; Incident Detail'!$C$2:$C$3433))</f>
        <v>0</v>
      </c>
      <c r="T243" s="154">
        <f t="array" ref="T243">SUM(($A243='Accident &amp; Incident Detail'!$E$2:$E$3433)*(T$212='Accident &amp; Incident Detail'!$C$2:$C$3433))</f>
        <v>0</v>
      </c>
      <c r="U243" s="154">
        <f t="array" ref="U243">SUM(($A243='Accident &amp; Incident Detail'!$E$2:$E$3433)*(U$212='Accident &amp; Incident Detail'!$C$2:$C$3433))</f>
        <v>0</v>
      </c>
      <c r="V243" s="154">
        <f t="array" ref="V243">SUM(($A243='Accident &amp; Incident Detail'!$E$2:$E$3433)*(V$212='Accident &amp; Incident Detail'!$C$2:$C$3433))</f>
        <v>0</v>
      </c>
      <c r="W243" s="154">
        <f t="array" ref="W243">SUM(($A243='Accident &amp; Incident Detail'!$E$2:$E$3433)*(W$212='Accident &amp; Incident Detail'!$C$2:$C$3433))</f>
        <v>0</v>
      </c>
      <c r="X243" s="154">
        <f t="array" ref="X243">SUM(($A243='Accident &amp; Incident Detail'!$E$2:$E$3433)*(X$212='Accident &amp; Incident Detail'!$C$2:$C$3433))</f>
        <v>0</v>
      </c>
      <c r="Y243" s="154">
        <f t="array" ref="Y243">SUM(($A243='Accident &amp; Incident Detail'!$E$2:$E$3433)*(Y$212='Accident &amp; Incident Detail'!$C$2:$C$3433))</f>
        <v>0</v>
      </c>
      <c r="Z243" s="55">
        <f t="array" ref="Z243">SUM(($A243='Accident &amp; Incident Detail'!$E$2:$E$3433)*(Z$212='Accident &amp; Incident Detail'!$C$2:$C$3433))</f>
        <v>0</v>
      </c>
      <c r="AA243" s="55">
        <f t="array" ref="AA243">SUM(($A243='Accident &amp; Incident Detail'!$E$2:$E$3433)*(AA$212='Accident &amp; Incident Detail'!$C$2:$C$3433))</f>
        <v>0</v>
      </c>
      <c r="AB243" s="55">
        <f t="array" ref="AB243">SUM(($A243='Accident &amp; Incident Detail'!$E$2:$E$3433)*(AB$212='Accident &amp; Incident Detail'!$C$2:$C$3433))</f>
        <v>0</v>
      </c>
      <c r="AC243" s="55">
        <f t="array" ref="AC243">SUM(($A243='Accident &amp; Incident Detail'!$E$2:$E$3433)*(AC$212='Accident &amp; Incident Detail'!$C$2:$C$3433))</f>
        <v>0</v>
      </c>
      <c r="AD243" s="55">
        <f t="array" ref="AD243">SUM(($A243='Accident &amp; Incident Detail'!$E$2:$E$3433)*(AD$212='Accident &amp; Incident Detail'!$C$2:$C$3433))</f>
        <v>0</v>
      </c>
      <c r="AE243" s="55">
        <f t="array" ref="AE243">SUM(($A243='Accident &amp; Incident Detail'!$E$2:$E$3433)*(AE$212='Accident &amp; Incident Detail'!$C$2:$C$3433))</f>
        <v>0</v>
      </c>
      <c r="AF243" s="55">
        <f t="array" ref="AF243">SUM(($A243='Accident &amp; Incident Detail'!$E$2:$E$3433)*(AF$212='Accident &amp; Incident Detail'!$C$2:$C$3433))</f>
        <v>0</v>
      </c>
      <c r="AG243" s="55">
        <f t="array" ref="AG243">SUM(($A243='Accident &amp; Incident Detail'!$E$2:$E$3433)*(AG$212='Accident &amp; Incident Detail'!$C$2:$C$3433))</f>
        <v>0</v>
      </c>
      <c r="AH243" s="55">
        <f t="array" ref="AH243">SUM(($A243='Accident &amp; Incident Detail'!$E$2:$E$3433)*(AH$212='Accident &amp; Incident Detail'!$C$2:$C$3433))</f>
        <v>0</v>
      </c>
      <c r="AI243" s="55">
        <f t="array" ref="AI243">SUM(($A243='Accident &amp; Incident Detail'!$E$2:$E$3433)*(AI$212='Accident &amp; Incident Detail'!$C$2:$C$3433))</f>
        <v>0</v>
      </c>
      <c r="AJ243" s="55">
        <f t="array" ref="AJ243">SUM(($A243='Accident &amp; Incident Detail'!$E$2:$E$3433)*(AJ$212='Accident &amp; Incident Detail'!$C$2:$C$3433))</f>
        <v>0</v>
      </c>
      <c r="AK243" s="55">
        <f t="array" ref="AK243">SUM(($A243='Accident &amp; Incident Detail'!$E$2:$E$3433)*(AK$212='Accident &amp; Incident Detail'!$C$2:$C$3433))</f>
        <v>0</v>
      </c>
      <c r="AL243" s="55">
        <f t="array" ref="AL243">SUM(($A243='Accident &amp; Incident Detail'!$E$2:$E$3433)*(AL$212='Accident &amp; Incident Detail'!$C$2:$C$3433))</f>
        <v>0</v>
      </c>
      <c r="AM243" s="55">
        <f t="array" ref="AM243">SUM(($A243='Accident &amp; Incident Detail'!$E$2:$E$3433)*(AM$212='Accident &amp; Incident Detail'!$C$2:$C$3433))</f>
        <v>0</v>
      </c>
      <c r="AN243" s="55">
        <f t="array" ref="AN243">SUM(($A243='Accident &amp; Incident Detail'!$E$2:$E$3433)*(AN$212='Accident &amp; Incident Detail'!$C$2:$C$3433))</f>
        <v>0</v>
      </c>
    </row>
    <row r="244" spans="1:40" ht="15" thickBot="1" x14ac:dyDescent="0.4">
      <c r="A244" s="193" t="s">
        <v>15</v>
      </c>
      <c r="B244" s="438">
        <f>IF(B$1=1,(SUM(B243:B243)/13),0)</f>
        <v>0</v>
      </c>
      <c r="C244" s="438">
        <f>IF(C$1=1,(SUM(B243:C243)/13),0)</f>
        <v>0</v>
      </c>
      <c r="D244" s="438">
        <f>IF(D$1=1,(SUM(B243:D243)/13),0)</f>
        <v>0</v>
      </c>
      <c r="E244" s="438">
        <f>IF(E$1=1,(SUM(B243:E243)/13),0)</f>
        <v>0</v>
      </c>
      <c r="F244" s="438">
        <f>IF(F$1=1,(SUM(B243:F243)/13),0)</f>
        <v>0</v>
      </c>
      <c r="G244" s="438">
        <f>IF(G$1=1,(SUM(B243:G243)/13),0)</f>
        <v>0</v>
      </c>
      <c r="H244" s="438">
        <f>IF(H$1=1,(SUM(B243:H243)/13),0)</f>
        <v>0</v>
      </c>
      <c r="I244" s="438">
        <f>IF(I$1=1,(SUM(B243:I243)/13),0)</f>
        <v>0</v>
      </c>
      <c r="J244" s="45">
        <f>IF(J$1=1,(SUM(B243:J243)/13),0)</f>
        <v>0</v>
      </c>
      <c r="K244" s="45">
        <f>IF(K$1=1,(SUM(B243:K243)/13),0)</f>
        <v>0</v>
      </c>
      <c r="L244" s="45">
        <f>IF(L$1=1,(SUM(B243:L243)/13),0)</f>
        <v>0</v>
      </c>
      <c r="M244" s="45">
        <f>IF(M$1=1,(SUM(B243:M243)/13),0)</f>
        <v>0</v>
      </c>
      <c r="N244" s="45">
        <f>IF(N$1=1,(SUM(B243:N243)/13),0)</f>
        <v>0</v>
      </c>
      <c r="O244" s="45">
        <f t="shared" ref="O244:Z244" si="196">IF(O$1=1,(SUM(C243:O243)/13),0)</f>
        <v>0</v>
      </c>
      <c r="P244" s="45">
        <f t="shared" si="196"/>
        <v>0</v>
      </c>
      <c r="Q244" s="45">
        <f t="shared" si="196"/>
        <v>0</v>
      </c>
      <c r="R244" s="45">
        <f t="shared" si="196"/>
        <v>0</v>
      </c>
      <c r="S244" s="45">
        <f t="shared" si="196"/>
        <v>0</v>
      </c>
      <c r="T244" s="45">
        <f t="shared" si="196"/>
        <v>0</v>
      </c>
      <c r="U244" s="45">
        <f t="shared" si="196"/>
        <v>0</v>
      </c>
      <c r="V244" s="45">
        <f t="shared" si="196"/>
        <v>0</v>
      </c>
      <c r="W244" s="45">
        <f t="shared" si="196"/>
        <v>0</v>
      </c>
      <c r="X244" s="45">
        <f t="shared" si="196"/>
        <v>0</v>
      </c>
      <c r="Y244" s="45">
        <f t="shared" si="196"/>
        <v>0</v>
      </c>
      <c r="Z244" s="45">
        <f t="shared" si="196"/>
        <v>0</v>
      </c>
      <c r="AA244" s="45">
        <f t="shared" ref="AA244:AN244" si="197">IF(AA$1=1,(SUM(O243:AA243)/13),0)</f>
        <v>0</v>
      </c>
      <c r="AB244" s="45">
        <f t="shared" si="197"/>
        <v>0</v>
      </c>
      <c r="AC244" s="45">
        <f t="shared" si="197"/>
        <v>0</v>
      </c>
      <c r="AD244" s="45">
        <f t="shared" si="197"/>
        <v>0</v>
      </c>
      <c r="AE244" s="45">
        <f t="shared" si="197"/>
        <v>0</v>
      </c>
      <c r="AF244" s="45">
        <f t="shared" si="197"/>
        <v>0</v>
      </c>
      <c r="AG244" s="45">
        <f t="shared" si="197"/>
        <v>0</v>
      </c>
      <c r="AH244" s="45">
        <f t="shared" si="197"/>
        <v>0</v>
      </c>
      <c r="AI244" s="45">
        <f t="shared" si="197"/>
        <v>0</v>
      </c>
      <c r="AJ244" s="45">
        <f t="shared" si="197"/>
        <v>0</v>
      </c>
      <c r="AK244" s="45">
        <f t="shared" si="197"/>
        <v>0</v>
      </c>
      <c r="AL244" s="45">
        <f t="shared" si="197"/>
        <v>0</v>
      </c>
      <c r="AM244" s="45">
        <f t="shared" si="197"/>
        <v>0</v>
      </c>
      <c r="AN244" s="45">
        <f t="shared" si="197"/>
        <v>0</v>
      </c>
    </row>
    <row r="245" spans="1:40" x14ac:dyDescent="0.35">
      <c r="A245" s="130" t="s">
        <v>83</v>
      </c>
      <c r="B245" s="440">
        <f t="array" ref="B245">SUM(($A245='Accident &amp; Incident Detail'!$E$2:$E$3433)*(B$212='Accident &amp; Incident Detail'!$C$2:$C$3433))</f>
        <v>0</v>
      </c>
      <c r="C245" s="440">
        <f t="array" ref="C245">SUM(($A245='Accident &amp; Incident Detail'!$E$2:$E$3433)*(C$212='Accident &amp; Incident Detail'!$C$2:$C$3433))</f>
        <v>0</v>
      </c>
      <c r="D245" s="440">
        <f t="array" ref="D245">SUM(($A245='Accident &amp; Incident Detail'!$E$2:$E$3433)*(D$212='Accident &amp; Incident Detail'!$C$2:$C$3433))</f>
        <v>0</v>
      </c>
      <c r="E245" s="440">
        <f t="array" ref="E245">SUM(($A245='Accident &amp; Incident Detail'!$E$2:$E$3433)*(E$212='Accident &amp; Incident Detail'!$C$2:$C$3433))</f>
        <v>0</v>
      </c>
      <c r="F245" s="440">
        <f t="array" ref="F245">SUM(($A245='Accident &amp; Incident Detail'!$E$2:$E$3433)*(F$212='Accident &amp; Incident Detail'!$C$2:$C$3433))</f>
        <v>0</v>
      </c>
      <c r="G245" s="440">
        <f t="array" ref="G245">SUM(($A245='Accident &amp; Incident Detail'!$E$2:$E$3433)*(G$212='Accident &amp; Incident Detail'!$C$2:$C$3433))</f>
        <v>0</v>
      </c>
      <c r="H245" s="440">
        <f t="array" ref="H245">SUM(($A245='Accident &amp; Incident Detail'!$E$2:$E$3433)*(H$212='Accident &amp; Incident Detail'!$C$2:$C$3433))</f>
        <v>0</v>
      </c>
      <c r="I245" s="440">
        <f t="array" ref="I245">SUM(($A245='Accident &amp; Incident Detail'!$E$2:$E$3433)*(I$212='Accident &amp; Incident Detail'!$C$2:$C$3433))</f>
        <v>0</v>
      </c>
      <c r="J245" s="154">
        <v>1</v>
      </c>
      <c r="K245" s="154">
        <f t="array" ref="K245">SUM(($A245='Accident &amp; Incident Detail'!$E$2:$E$3433)*(K$212='Accident &amp; Incident Detail'!$C$2:$C$3433))</f>
        <v>0</v>
      </c>
      <c r="L245" s="154">
        <f t="array" ref="L245">SUM(($A245='Accident &amp; Incident Detail'!$E$2:$E$3433)*(L$212='Accident &amp; Incident Detail'!$C$2:$C$3433))</f>
        <v>0</v>
      </c>
      <c r="M245" s="154">
        <f t="array" ref="M245">SUM(($A245='Accident &amp; Incident Detail'!$E$2:$E$3433)*(M$212='Accident &amp; Incident Detail'!$C$2:$C$3433))</f>
        <v>0</v>
      </c>
      <c r="N245" s="154">
        <f t="array" ref="N245">SUM(($A245='Accident &amp; Incident Detail'!$E$2:$E$3433)*(N$212='Accident &amp; Incident Detail'!$C$2:$C$3433))</f>
        <v>0</v>
      </c>
      <c r="O245" s="154">
        <f t="array" ref="O245">SUM(($A245='Accident &amp; Incident Detail'!$E$2:$E$3433)*(O$212='Accident &amp; Incident Detail'!$C$2:$C$3433))</f>
        <v>0</v>
      </c>
      <c r="P245" s="154">
        <f t="array" ref="P245">SUM(($A245='Accident &amp; Incident Detail'!$E$2:$E$3433)*(P$212='Accident &amp; Incident Detail'!$C$2:$C$3433))</f>
        <v>0</v>
      </c>
      <c r="Q245" s="154">
        <f t="array" ref="Q245">SUM(($A245='Accident &amp; Incident Detail'!$E$2:$E$3433)*(Q$212='Accident &amp; Incident Detail'!$C$2:$C$3433))</f>
        <v>0</v>
      </c>
      <c r="R245" s="154">
        <f t="array" ref="R245">SUM(($A245='Accident &amp; Incident Detail'!$E$2:$E$3433)*(R$212='Accident &amp; Incident Detail'!$C$2:$C$3433))</f>
        <v>0</v>
      </c>
      <c r="S245" s="154">
        <f t="array" ref="S245">SUM(($A245='Accident &amp; Incident Detail'!$E$2:$E$3433)*(S$212='Accident &amp; Incident Detail'!$C$2:$C$3433))</f>
        <v>0</v>
      </c>
      <c r="T245" s="154">
        <f t="array" ref="T245">SUM(($A245='Accident &amp; Incident Detail'!$E$2:$E$3433)*(T$212='Accident &amp; Incident Detail'!$C$2:$C$3433))</f>
        <v>1</v>
      </c>
      <c r="U245" s="154">
        <f t="array" ref="U245">SUM(($A245='Accident &amp; Incident Detail'!$E$2:$E$3433)*(U$212='Accident &amp; Incident Detail'!$C$2:$C$3433))</f>
        <v>0</v>
      </c>
      <c r="V245" s="154">
        <f t="array" ref="V245">SUM(($A245='Accident &amp; Incident Detail'!$E$2:$E$3433)*(V$212='Accident &amp; Incident Detail'!$C$2:$C$3433))</f>
        <v>0</v>
      </c>
      <c r="W245" s="154">
        <f t="array" ref="W245">SUM(($A245='Accident &amp; Incident Detail'!$E$2:$E$3433)*(W$212='Accident &amp; Incident Detail'!$C$2:$C$3433))</f>
        <v>0</v>
      </c>
      <c r="X245" s="154">
        <f t="array" ref="X245">SUM(($A245='Accident &amp; Incident Detail'!$E$2:$E$3433)*(X$212='Accident &amp; Incident Detail'!$C$2:$C$3433))</f>
        <v>0</v>
      </c>
      <c r="Y245" s="154">
        <f t="array" ref="Y245">SUM(($A245='Accident &amp; Incident Detail'!$E$2:$E$3433)*(Y$212='Accident &amp; Incident Detail'!$C$2:$C$3433))</f>
        <v>1</v>
      </c>
      <c r="Z245" s="55">
        <f t="array" ref="Z245">SUM(($A245='Accident &amp; Incident Detail'!$E$2:$E$3433)*(Z$212='Accident &amp; Incident Detail'!$C$2:$C$3433))</f>
        <v>0</v>
      </c>
      <c r="AA245" s="55">
        <f t="array" ref="AA245">SUM(($A245='Accident &amp; Incident Detail'!$E$2:$E$3433)*(AA$212='Accident &amp; Incident Detail'!$C$2:$C$3433))</f>
        <v>0</v>
      </c>
      <c r="AB245" s="55">
        <f t="array" ref="AB245">SUM(($A245='Accident &amp; Incident Detail'!$E$2:$E$3433)*(AB$212='Accident &amp; Incident Detail'!$C$2:$C$3433))</f>
        <v>0</v>
      </c>
      <c r="AC245" s="55">
        <f t="array" ref="AC245">SUM(($A245='Accident &amp; Incident Detail'!$E$2:$E$3433)*(AC$212='Accident &amp; Incident Detail'!$C$2:$C$3433))</f>
        <v>0</v>
      </c>
      <c r="AD245" s="55">
        <f t="array" ref="AD245">SUM(($A245='Accident &amp; Incident Detail'!$E$2:$E$3433)*(AD$212='Accident &amp; Incident Detail'!$C$2:$C$3433))</f>
        <v>0</v>
      </c>
      <c r="AE245" s="55">
        <f t="array" ref="AE245">SUM(($A245='Accident &amp; Incident Detail'!$E$2:$E$3433)*(AE$212='Accident &amp; Incident Detail'!$C$2:$C$3433))</f>
        <v>0</v>
      </c>
      <c r="AF245" s="55">
        <f t="array" ref="AF245">SUM(($A245='Accident &amp; Incident Detail'!$E$2:$E$3433)*(AF$212='Accident &amp; Incident Detail'!$C$2:$C$3433))</f>
        <v>0</v>
      </c>
      <c r="AG245" s="55">
        <f t="array" ref="AG245">SUM(($A245='Accident &amp; Incident Detail'!$E$2:$E$3433)*(AG$212='Accident &amp; Incident Detail'!$C$2:$C$3433))</f>
        <v>0</v>
      </c>
      <c r="AH245" s="55">
        <f t="array" ref="AH245">SUM(($A245='Accident &amp; Incident Detail'!$E$2:$E$3433)*(AH$212='Accident &amp; Incident Detail'!$C$2:$C$3433))</f>
        <v>0</v>
      </c>
      <c r="AI245" s="55">
        <f t="array" ref="AI245">SUM(($A245='Accident &amp; Incident Detail'!$E$2:$E$3433)*(AI$212='Accident &amp; Incident Detail'!$C$2:$C$3433))</f>
        <v>0</v>
      </c>
      <c r="AJ245" s="55">
        <f t="array" ref="AJ245">SUM(($A245='Accident &amp; Incident Detail'!$E$2:$E$3433)*(AJ$212='Accident &amp; Incident Detail'!$C$2:$C$3433))</f>
        <v>0</v>
      </c>
      <c r="AK245" s="55">
        <f t="array" ref="AK245">SUM(($A245='Accident &amp; Incident Detail'!$E$2:$E$3433)*(AK$212='Accident &amp; Incident Detail'!$C$2:$C$3433))</f>
        <v>0</v>
      </c>
      <c r="AL245" s="55">
        <f t="array" ref="AL245">SUM(($A245='Accident &amp; Incident Detail'!$E$2:$E$3433)*(AL$212='Accident &amp; Incident Detail'!$C$2:$C$3433))</f>
        <v>0</v>
      </c>
      <c r="AM245" s="55">
        <f t="array" ref="AM245">SUM(($A245='Accident &amp; Incident Detail'!$E$2:$E$3433)*(AM$212='Accident &amp; Incident Detail'!$C$2:$C$3433))</f>
        <v>0</v>
      </c>
      <c r="AN245" s="55">
        <f t="array" ref="AN245">SUM(($A245='Accident &amp; Incident Detail'!$E$2:$E$3433)*(AN$212='Accident &amp; Incident Detail'!$C$2:$C$3433))</f>
        <v>0</v>
      </c>
    </row>
    <row r="246" spans="1:40" ht="15" thickBot="1" x14ac:dyDescent="0.4">
      <c r="A246" s="193" t="s">
        <v>15</v>
      </c>
      <c r="B246" s="438">
        <f>IF(B$1=1,(SUM(B245:B245)/13),0)</f>
        <v>0</v>
      </c>
      <c r="C246" s="438">
        <f>IF(C$1=1,(SUM(B245:C245)/13),0)</f>
        <v>0</v>
      </c>
      <c r="D246" s="438">
        <f>IF(D$1=1,(SUM(B245:D245)/13),0)</f>
        <v>0</v>
      </c>
      <c r="E246" s="438">
        <f>IF(E$1=1,(SUM(B245:E245)/13),0)</f>
        <v>0</v>
      </c>
      <c r="F246" s="438">
        <f>IF(F$1=1,(SUM(B245:F245)/13),0)</f>
        <v>0</v>
      </c>
      <c r="G246" s="438">
        <f>IF(G$1=1,(SUM(B245:G245)/13),0)</f>
        <v>0</v>
      </c>
      <c r="H246" s="438">
        <f>IF(H$1=1,(SUM(B245:H245)/13),0)</f>
        <v>0</v>
      </c>
      <c r="I246" s="438">
        <f>IF(I$1=1,(SUM(B245:I245)/13),0)</f>
        <v>0</v>
      </c>
      <c r="J246" s="45">
        <f>IF(J$1=1,(SUM(B245:J245)/13),0)</f>
        <v>7.6923076923076927E-2</v>
      </c>
      <c r="K246" s="45">
        <f>IF(K$1=1,(SUM(B245:K245)/13),0)</f>
        <v>7.6923076923076927E-2</v>
      </c>
      <c r="L246" s="45">
        <f>IF(L$1=1,(SUM(B245:L245)/13),0)</f>
        <v>7.6923076923076927E-2</v>
      </c>
      <c r="M246" s="45">
        <f>IF(M$1=1,(SUM(B245:M245)/13),0)</f>
        <v>7.6923076923076927E-2</v>
      </c>
      <c r="N246" s="45">
        <f>IF(N$1=1,(SUM(B245:N245)/13),0)</f>
        <v>7.6923076923076927E-2</v>
      </c>
      <c r="O246" s="45">
        <f t="shared" ref="O246:Z246" si="198">IF(O$1=1,(SUM(C245:O245)/13),0)</f>
        <v>7.6923076923076927E-2</v>
      </c>
      <c r="P246" s="45">
        <f t="shared" si="198"/>
        <v>7.6923076923076927E-2</v>
      </c>
      <c r="Q246" s="45">
        <f t="shared" si="198"/>
        <v>7.6923076923076927E-2</v>
      </c>
      <c r="R246" s="45">
        <f t="shared" si="198"/>
        <v>7.6923076923076927E-2</v>
      </c>
      <c r="S246" s="45">
        <f t="shared" si="198"/>
        <v>7.6923076923076927E-2</v>
      </c>
      <c r="T246" s="45">
        <f t="shared" si="198"/>
        <v>0.15384615384615385</v>
      </c>
      <c r="U246" s="45">
        <f t="shared" si="198"/>
        <v>0.15384615384615385</v>
      </c>
      <c r="V246" s="45">
        <f t="shared" si="198"/>
        <v>0.15384615384615385</v>
      </c>
      <c r="W246" s="45">
        <f t="shared" si="198"/>
        <v>7.6923076923076927E-2</v>
      </c>
      <c r="X246" s="45">
        <f t="shared" si="198"/>
        <v>7.6923076923076927E-2</v>
      </c>
      <c r="Y246" s="45">
        <f t="shared" si="198"/>
        <v>0.15384615384615385</v>
      </c>
      <c r="Z246" s="45">
        <f t="shared" si="198"/>
        <v>0.15384615384615385</v>
      </c>
      <c r="AA246" s="45">
        <f t="shared" ref="AA246:AN246" si="199">IF(AA$1=1,(SUM(O245:AA245)/13),0)</f>
        <v>0.15384615384615385</v>
      </c>
      <c r="AB246" s="45">
        <f t="shared" si="199"/>
        <v>0.15384615384615385</v>
      </c>
      <c r="AC246" s="45">
        <f t="shared" si="199"/>
        <v>0.15384615384615385</v>
      </c>
      <c r="AD246" s="45">
        <f t="shared" si="199"/>
        <v>0.15384615384615385</v>
      </c>
      <c r="AE246" s="45">
        <f t="shared" si="199"/>
        <v>0.15384615384615385</v>
      </c>
      <c r="AF246" s="45">
        <f t="shared" si="199"/>
        <v>0.15384615384615385</v>
      </c>
      <c r="AG246" s="45">
        <f t="shared" si="199"/>
        <v>7.6923076923076927E-2</v>
      </c>
      <c r="AH246" s="45">
        <f t="shared" si="199"/>
        <v>7.6923076923076927E-2</v>
      </c>
      <c r="AI246" s="45">
        <f t="shared" si="199"/>
        <v>7.6923076923076927E-2</v>
      </c>
      <c r="AJ246" s="45">
        <f t="shared" si="199"/>
        <v>7.6923076923076927E-2</v>
      </c>
      <c r="AK246" s="45">
        <f t="shared" si="199"/>
        <v>7.6923076923076927E-2</v>
      </c>
      <c r="AL246" s="45">
        <f t="shared" si="199"/>
        <v>0</v>
      </c>
      <c r="AM246" s="45">
        <f t="shared" si="199"/>
        <v>0</v>
      </c>
      <c r="AN246" s="45">
        <f t="shared" si="199"/>
        <v>0</v>
      </c>
    </row>
    <row r="247" spans="1:40" x14ac:dyDescent="0.35">
      <c r="A247" s="130" t="s">
        <v>84</v>
      </c>
      <c r="B247" s="440">
        <f t="array" ref="B247">SUM(($A247='Accident &amp; Incident Detail'!$E$2:$E$3433)*(B$212='Accident &amp; Incident Detail'!$C$2:$C$3433))</f>
        <v>0</v>
      </c>
      <c r="C247" s="440">
        <f t="array" ref="C247">SUM(($A247='Accident &amp; Incident Detail'!$E$2:$E$3433)*(C$212='Accident &amp; Incident Detail'!$C$2:$C$3433))</f>
        <v>0</v>
      </c>
      <c r="D247" s="440">
        <f t="array" ref="D247">SUM(($A247='Accident &amp; Incident Detail'!$E$2:$E$3433)*(D$212='Accident &amp; Incident Detail'!$C$2:$C$3433))</f>
        <v>0</v>
      </c>
      <c r="E247" s="440">
        <f t="array" ref="E247">SUM(($A247='Accident &amp; Incident Detail'!$E$2:$E$3433)*(E$212='Accident &amp; Incident Detail'!$C$2:$C$3433))</f>
        <v>0</v>
      </c>
      <c r="F247" s="440">
        <f t="array" ref="F247">SUM(($A247='Accident &amp; Incident Detail'!$E$2:$E$3433)*(F$212='Accident &amp; Incident Detail'!$C$2:$C$3433))</f>
        <v>0</v>
      </c>
      <c r="G247" s="440">
        <f t="array" ref="G247">SUM(($A247='Accident &amp; Incident Detail'!$E$2:$E$3433)*(G$212='Accident &amp; Incident Detail'!$C$2:$C$3433))</f>
        <v>0</v>
      </c>
      <c r="H247" s="440">
        <f t="array" ref="H247">SUM(($A247='Accident &amp; Incident Detail'!$E$2:$E$3433)*(H$212='Accident &amp; Incident Detail'!$C$2:$C$3433))</f>
        <v>0</v>
      </c>
      <c r="I247" s="440">
        <f t="array" ref="I247">SUM(($A247='Accident &amp; Incident Detail'!$E$2:$E$3433)*(I$212='Accident &amp; Incident Detail'!$C$2:$C$3433))</f>
        <v>0</v>
      </c>
      <c r="J247" s="154">
        <f t="array" ref="J247">SUM(($A247='Accident &amp; Incident Detail'!$E$2:$E$3433)*(J$212='Accident &amp; Incident Detail'!$C$2:$C$3433))</f>
        <v>0</v>
      </c>
      <c r="K247" s="154">
        <f t="array" ref="K247">SUM(($A247='Accident &amp; Incident Detail'!$E$2:$E$3433)*(K$212='Accident &amp; Incident Detail'!$C$2:$C$3433))</f>
        <v>0</v>
      </c>
      <c r="L247" s="154">
        <f t="array" ref="L247">SUM(($A247='Accident &amp; Incident Detail'!$E$2:$E$3433)*(L$212='Accident &amp; Incident Detail'!$C$2:$C$3433))</f>
        <v>0</v>
      </c>
      <c r="M247" s="154">
        <f t="array" ref="M247">SUM(($A247='Accident &amp; Incident Detail'!$E$2:$E$3433)*(M$212='Accident &amp; Incident Detail'!$C$2:$C$3433))</f>
        <v>0</v>
      </c>
      <c r="N247" s="154">
        <f t="array" ref="N247">SUM(($A247='Accident &amp; Incident Detail'!$E$2:$E$3433)*(N$212='Accident &amp; Incident Detail'!$C$2:$C$3433))</f>
        <v>0</v>
      </c>
      <c r="O247" s="154">
        <f t="array" ref="O247">SUM(($A247='Accident &amp; Incident Detail'!$E$2:$E$3433)*(O$212='Accident &amp; Incident Detail'!$C$2:$C$3433))</f>
        <v>0</v>
      </c>
      <c r="P247" s="154">
        <f t="array" ref="P247">SUM(($A247='Accident &amp; Incident Detail'!$E$2:$E$3433)*(P$212='Accident &amp; Incident Detail'!$C$2:$C$3433))</f>
        <v>0</v>
      </c>
      <c r="Q247" s="154">
        <f t="array" ref="Q247">SUM(($A247='Accident &amp; Incident Detail'!$E$2:$E$3433)*(Q$212='Accident &amp; Incident Detail'!$C$2:$C$3433))</f>
        <v>0</v>
      </c>
      <c r="R247" s="154">
        <f t="array" ref="R247">SUM(($A247='Accident &amp; Incident Detail'!$E$2:$E$3433)*(R$212='Accident &amp; Incident Detail'!$C$2:$C$3433))</f>
        <v>0</v>
      </c>
      <c r="S247" s="154">
        <f t="array" ref="S247">SUM(($A247='Accident &amp; Incident Detail'!$E$2:$E$3433)*(S$212='Accident &amp; Incident Detail'!$C$2:$C$3433))</f>
        <v>0</v>
      </c>
      <c r="T247" s="154">
        <f t="array" ref="T247">SUM(($A247='Accident &amp; Incident Detail'!$E$2:$E$3433)*(T$212='Accident &amp; Incident Detail'!$C$2:$C$3433))</f>
        <v>0</v>
      </c>
      <c r="U247" s="154">
        <f t="array" ref="U247">SUM(($A247='Accident &amp; Incident Detail'!$E$2:$E$3433)*(U$212='Accident &amp; Incident Detail'!$C$2:$C$3433))</f>
        <v>0</v>
      </c>
      <c r="V247" s="154">
        <f t="array" ref="V247">SUM(($A247='Accident &amp; Incident Detail'!$E$2:$E$3433)*(V$212='Accident &amp; Incident Detail'!$C$2:$C$3433))</f>
        <v>0</v>
      </c>
      <c r="W247" s="154">
        <f t="array" ref="W247">SUM(($A247='Accident &amp; Incident Detail'!$E$2:$E$3433)*(W$212='Accident &amp; Incident Detail'!$C$2:$C$3433))</f>
        <v>0</v>
      </c>
      <c r="X247" s="154">
        <f t="array" ref="X247">SUM(($A247='Accident &amp; Incident Detail'!$E$2:$E$3433)*(X$212='Accident &amp; Incident Detail'!$C$2:$C$3433))</f>
        <v>0</v>
      </c>
      <c r="Y247" s="154">
        <f t="array" ref="Y247">SUM(($A247='Accident &amp; Incident Detail'!$E$2:$E$3433)*(Y$212='Accident &amp; Incident Detail'!$C$2:$C$3433))</f>
        <v>0</v>
      </c>
      <c r="Z247" s="55">
        <f t="array" ref="Z247">SUM(($A247='Accident &amp; Incident Detail'!$E$2:$E$3433)*(Z$212='Accident &amp; Incident Detail'!$C$2:$C$3433))</f>
        <v>0</v>
      </c>
      <c r="AA247" s="55">
        <f t="array" ref="AA247">SUM(($A247='Accident &amp; Incident Detail'!$E$2:$E$3433)*(AA$212='Accident &amp; Incident Detail'!$C$2:$C$3433))</f>
        <v>0</v>
      </c>
      <c r="AB247" s="55">
        <f t="array" ref="AB247">SUM(($A247='Accident &amp; Incident Detail'!$E$2:$E$3433)*(AB$212='Accident &amp; Incident Detail'!$C$2:$C$3433))</f>
        <v>0</v>
      </c>
      <c r="AC247" s="55">
        <f t="array" ref="AC247">SUM(($A247='Accident &amp; Incident Detail'!$E$2:$E$3433)*(AC$212='Accident &amp; Incident Detail'!$C$2:$C$3433))</f>
        <v>0</v>
      </c>
      <c r="AD247" s="55">
        <f t="array" ref="AD247">SUM(($A247='Accident &amp; Incident Detail'!$E$2:$E$3433)*(AD$212='Accident &amp; Incident Detail'!$C$2:$C$3433))</f>
        <v>0</v>
      </c>
      <c r="AE247" s="55">
        <f t="array" ref="AE247">SUM(($A247='Accident &amp; Incident Detail'!$E$2:$E$3433)*(AE$212='Accident &amp; Incident Detail'!$C$2:$C$3433))</f>
        <v>0</v>
      </c>
      <c r="AF247" s="55">
        <f t="array" ref="AF247">SUM(($A247='Accident &amp; Incident Detail'!$E$2:$E$3433)*(AF$212='Accident &amp; Incident Detail'!$C$2:$C$3433))</f>
        <v>0</v>
      </c>
      <c r="AG247" s="55">
        <f t="array" ref="AG247">SUM(($A247='Accident &amp; Incident Detail'!$E$2:$E$3433)*(AG$212='Accident &amp; Incident Detail'!$C$2:$C$3433))</f>
        <v>0</v>
      </c>
      <c r="AH247" s="55">
        <f t="array" ref="AH247">SUM(($A247='Accident &amp; Incident Detail'!$E$2:$E$3433)*(AH$212='Accident &amp; Incident Detail'!$C$2:$C$3433))</f>
        <v>0</v>
      </c>
      <c r="AI247" s="55">
        <f t="array" ref="AI247">SUM(($A247='Accident &amp; Incident Detail'!$E$2:$E$3433)*(AI$212='Accident &amp; Incident Detail'!$C$2:$C$3433))</f>
        <v>0</v>
      </c>
      <c r="AJ247" s="55">
        <f t="array" ref="AJ247">SUM(($A247='Accident &amp; Incident Detail'!$E$2:$E$3433)*(AJ$212='Accident &amp; Incident Detail'!$C$2:$C$3433))</f>
        <v>0</v>
      </c>
      <c r="AK247" s="55">
        <f t="array" ref="AK247">SUM(($A247='Accident &amp; Incident Detail'!$E$2:$E$3433)*(AK$212='Accident &amp; Incident Detail'!$C$2:$C$3433))</f>
        <v>0</v>
      </c>
      <c r="AL247" s="55">
        <f t="array" ref="AL247">SUM(($A247='Accident &amp; Incident Detail'!$E$2:$E$3433)*(AL$212='Accident &amp; Incident Detail'!$C$2:$C$3433))</f>
        <v>0</v>
      </c>
      <c r="AM247" s="55">
        <f t="array" ref="AM247">SUM(($A247='Accident &amp; Incident Detail'!$E$2:$E$3433)*(AM$212='Accident &amp; Incident Detail'!$C$2:$C$3433))</f>
        <v>0</v>
      </c>
      <c r="AN247" s="55">
        <f t="array" ref="AN247">SUM(($A247='Accident &amp; Incident Detail'!$E$2:$E$3433)*(AN$212='Accident &amp; Incident Detail'!$C$2:$C$3433))</f>
        <v>0</v>
      </c>
    </row>
    <row r="248" spans="1:40" ht="15" thickBot="1" x14ac:dyDescent="0.4">
      <c r="A248" s="130" t="s">
        <v>15</v>
      </c>
      <c r="B248" s="438">
        <f>IF(B$1=1,(SUM(B247:B247)/13),0)</f>
        <v>0</v>
      </c>
      <c r="C248" s="438">
        <f>IF(C$1=1,(SUM(B247:C247)/13),0)</f>
        <v>0</v>
      </c>
      <c r="D248" s="438">
        <f>IF(D$1=1,(SUM(B247:D247)/13),0)</f>
        <v>0</v>
      </c>
      <c r="E248" s="438">
        <f>IF(E$1=1,(SUM(B247:E247)/13),0)</f>
        <v>0</v>
      </c>
      <c r="F248" s="438">
        <f>IF(F$1=1,(SUM(B247:F247)/13),0)</f>
        <v>0</v>
      </c>
      <c r="G248" s="438">
        <f>IF(G$1=1,(SUM(B247:G247)/13),0)</f>
        <v>0</v>
      </c>
      <c r="H248" s="438">
        <f>IF(H$1=1,(SUM(B247:H247)/13),0)</f>
        <v>0</v>
      </c>
      <c r="I248" s="438">
        <f>IF(I$1=1,(SUM(B247:I247)/13),0)</f>
        <v>0</v>
      </c>
      <c r="J248" s="45">
        <f>IF(J$1=1,(SUM(B247:J247)/13),0)</f>
        <v>0</v>
      </c>
      <c r="K248" s="45">
        <f>IF(K$1=1,(SUM(B247:K247)/13),0)</f>
        <v>0</v>
      </c>
      <c r="L248" s="45">
        <f>IF(L$1=1,(SUM(B247:L247)/13),0)</f>
        <v>0</v>
      </c>
      <c r="M248" s="45">
        <f>IF(M$1=1,(SUM(B247:M247)/13),0)</f>
        <v>0</v>
      </c>
      <c r="N248" s="45">
        <f>IF(N$1=1,(SUM(B247:N247)/13),0)</f>
        <v>0</v>
      </c>
      <c r="O248" s="45">
        <f t="shared" ref="O248:Z248" si="200">IF(O$1=1,(SUM(C247:O247)/13),0)</f>
        <v>0</v>
      </c>
      <c r="P248" s="45">
        <f t="shared" si="200"/>
        <v>0</v>
      </c>
      <c r="Q248" s="45">
        <f t="shared" si="200"/>
        <v>0</v>
      </c>
      <c r="R248" s="45">
        <f t="shared" si="200"/>
        <v>0</v>
      </c>
      <c r="S248" s="45">
        <f t="shared" si="200"/>
        <v>0</v>
      </c>
      <c r="T248" s="45">
        <f t="shared" si="200"/>
        <v>0</v>
      </c>
      <c r="U248" s="45">
        <f t="shared" si="200"/>
        <v>0</v>
      </c>
      <c r="V248" s="45">
        <f t="shared" si="200"/>
        <v>0</v>
      </c>
      <c r="W248" s="45">
        <f t="shared" si="200"/>
        <v>0</v>
      </c>
      <c r="X248" s="45">
        <f t="shared" si="200"/>
        <v>0</v>
      </c>
      <c r="Y248" s="45">
        <f t="shared" si="200"/>
        <v>0</v>
      </c>
      <c r="Z248" s="45">
        <f t="shared" si="200"/>
        <v>0</v>
      </c>
      <c r="AA248" s="45">
        <f t="shared" ref="AA248:AN248" si="201">IF(AA$1=1,(SUM(O247:AA247)/13),0)</f>
        <v>0</v>
      </c>
      <c r="AB248" s="45">
        <f t="shared" si="201"/>
        <v>0</v>
      </c>
      <c r="AC248" s="45">
        <f t="shared" si="201"/>
        <v>0</v>
      </c>
      <c r="AD248" s="45">
        <f t="shared" si="201"/>
        <v>0</v>
      </c>
      <c r="AE248" s="45">
        <f t="shared" si="201"/>
        <v>0</v>
      </c>
      <c r="AF248" s="45">
        <f t="shared" si="201"/>
        <v>0</v>
      </c>
      <c r="AG248" s="45">
        <f t="shared" si="201"/>
        <v>0</v>
      </c>
      <c r="AH248" s="45">
        <f t="shared" si="201"/>
        <v>0</v>
      </c>
      <c r="AI248" s="45">
        <f t="shared" si="201"/>
        <v>0</v>
      </c>
      <c r="AJ248" s="45">
        <f t="shared" si="201"/>
        <v>0</v>
      </c>
      <c r="AK248" s="45">
        <f t="shared" si="201"/>
        <v>0</v>
      </c>
      <c r="AL248" s="45">
        <f t="shared" si="201"/>
        <v>0</v>
      </c>
      <c r="AM248" s="45">
        <f t="shared" si="201"/>
        <v>0</v>
      </c>
      <c r="AN248" s="45">
        <f t="shared" si="201"/>
        <v>0</v>
      </c>
    </row>
    <row r="249" spans="1:40" x14ac:dyDescent="0.35">
      <c r="A249" s="130" t="s">
        <v>52</v>
      </c>
      <c r="B249" s="440">
        <f t="array" ref="B249">SUM(($A249='Accident &amp; Incident Detail'!$E$2:$E$3433)*(B$212='Accident &amp; Incident Detail'!$C$2:$C$3433))</f>
        <v>0</v>
      </c>
      <c r="C249" s="440">
        <f t="array" ref="C249">SUM(($A249='Accident &amp; Incident Detail'!$E$2:$E$3433)*(C$212='Accident &amp; Incident Detail'!$C$2:$C$3433))</f>
        <v>0</v>
      </c>
      <c r="D249" s="440">
        <f t="array" ref="D249">SUM(($A249='Accident &amp; Incident Detail'!$E$2:$E$3433)*(D$212='Accident &amp; Incident Detail'!$C$2:$C$3433))</f>
        <v>0</v>
      </c>
      <c r="E249" s="440">
        <f t="array" ref="E249">SUM(($A249='Accident &amp; Incident Detail'!$E$2:$E$3433)*(E$212='Accident &amp; Incident Detail'!$C$2:$C$3433))</f>
        <v>0</v>
      </c>
      <c r="F249" s="440">
        <f t="array" ref="F249">SUM(($A249='Accident &amp; Incident Detail'!$E$2:$E$3433)*(F$212='Accident &amp; Incident Detail'!$C$2:$C$3433))</f>
        <v>0</v>
      </c>
      <c r="G249" s="440">
        <f t="array" ref="G249">SUM(($A249='Accident &amp; Incident Detail'!$E$2:$E$3433)*(G$212='Accident &amp; Incident Detail'!$C$2:$C$3433))</f>
        <v>0</v>
      </c>
      <c r="H249" s="440">
        <f t="array" ref="H249">SUM(($A249='Accident &amp; Incident Detail'!$E$2:$E$3433)*(H$212='Accident &amp; Incident Detail'!$C$2:$C$3433))</f>
        <v>0</v>
      </c>
      <c r="I249" s="440">
        <f t="array" ref="I249">SUM(($A249='Accident &amp; Incident Detail'!$E$2:$E$3433)*(I$212='Accident &amp; Incident Detail'!$C$2:$C$3433))</f>
        <v>0</v>
      </c>
      <c r="J249" s="154">
        <f t="array" ref="J249">SUM(($A249='Accident &amp; Incident Detail'!$E$2:$E$3433)*(J$212='Accident &amp; Incident Detail'!$C$2:$C$3433))</f>
        <v>0</v>
      </c>
      <c r="K249" s="154">
        <f t="array" ref="K249">SUM(($A249='Accident &amp; Incident Detail'!$E$2:$E$3433)*(K$212='Accident &amp; Incident Detail'!$C$2:$C$3433))</f>
        <v>0</v>
      </c>
      <c r="L249" s="154">
        <f t="array" ref="L249">SUM(($A249='Accident &amp; Incident Detail'!$E$2:$E$3433)*(L$212='Accident &amp; Incident Detail'!$C$2:$C$3433))</f>
        <v>0</v>
      </c>
      <c r="M249" s="154">
        <f t="array" ref="M249">SUM(($A249='Accident &amp; Incident Detail'!$E$2:$E$3433)*(M$212='Accident &amp; Incident Detail'!$C$2:$C$3433))</f>
        <v>0</v>
      </c>
      <c r="N249" s="154">
        <f t="array" ref="N249">SUM(($A249='Accident &amp; Incident Detail'!$E$2:$E$3433)*(N$212='Accident &amp; Incident Detail'!$C$2:$C$3433))</f>
        <v>0</v>
      </c>
      <c r="O249" s="154">
        <f t="array" ref="O249">SUM(($A249='Accident &amp; Incident Detail'!$E$2:$E$3433)*(O$212='Accident &amp; Incident Detail'!$C$2:$C$3433))</f>
        <v>0</v>
      </c>
      <c r="P249" s="154">
        <f t="array" ref="P249">SUM(($A249='Accident &amp; Incident Detail'!$E$2:$E$3433)*(P$212='Accident &amp; Incident Detail'!$C$2:$C$3433))</f>
        <v>1</v>
      </c>
      <c r="Q249" s="154">
        <f t="array" ref="Q249">SUM(($A249='Accident &amp; Incident Detail'!$E$2:$E$3433)*(Q$212='Accident &amp; Incident Detail'!$C$2:$C$3433))</f>
        <v>0</v>
      </c>
      <c r="R249" s="154">
        <f t="array" ref="R249">SUM(($A249='Accident &amp; Incident Detail'!$E$2:$E$3433)*(R$212='Accident &amp; Incident Detail'!$C$2:$C$3433))</f>
        <v>0</v>
      </c>
      <c r="S249" s="154">
        <f t="array" ref="S249">SUM(($A249='Accident &amp; Incident Detail'!$E$2:$E$3433)*(S$212='Accident &amp; Incident Detail'!$C$2:$C$3433))</f>
        <v>0</v>
      </c>
      <c r="T249" s="154">
        <f t="array" ref="T249">SUM(($A249='Accident &amp; Incident Detail'!$E$2:$E$3433)*(T$212='Accident &amp; Incident Detail'!$C$2:$C$3433))</f>
        <v>0</v>
      </c>
      <c r="U249" s="154">
        <f t="array" ref="U249">SUM(($A249='Accident &amp; Incident Detail'!$E$2:$E$3433)*(U$212='Accident &amp; Incident Detail'!$C$2:$C$3433))</f>
        <v>0</v>
      </c>
      <c r="V249" s="154">
        <f t="array" ref="V249">SUM(($A249='Accident &amp; Incident Detail'!$E$2:$E$3433)*(V$212='Accident &amp; Incident Detail'!$C$2:$C$3433))</f>
        <v>0</v>
      </c>
      <c r="W249" s="154">
        <f t="array" ref="W249">SUM(($A249='Accident &amp; Incident Detail'!$E$2:$E$3433)*(W$212='Accident &amp; Incident Detail'!$C$2:$C$3433))</f>
        <v>0</v>
      </c>
      <c r="X249" s="154">
        <f t="array" ref="X249">SUM(($A249='Accident &amp; Incident Detail'!$E$2:$E$3433)*(X$212='Accident &amp; Incident Detail'!$C$2:$C$3433))</f>
        <v>0</v>
      </c>
      <c r="Y249" s="154">
        <f t="array" ref="Y249">SUM(($A249='Accident &amp; Incident Detail'!$E$2:$E$3433)*(Y$212='Accident &amp; Incident Detail'!$C$2:$C$3433))</f>
        <v>0</v>
      </c>
      <c r="Z249" s="55">
        <f t="array" ref="Z249">SUM(($A249='Accident &amp; Incident Detail'!$E$2:$E$3433)*(Z$212='Accident &amp; Incident Detail'!$C$2:$C$3433))</f>
        <v>1</v>
      </c>
      <c r="AA249" s="55">
        <f t="array" ref="AA249">SUM(($A249='Accident &amp; Incident Detail'!$E$2:$E$3433)*(AA$212='Accident &amp; Incident Detail'!$C$2:$C$3433))</f>
        <v>1</v>
      </c>
      <c r="AB249" s="55">
        <f t="array" ref="AB249">SUM(($A249='Accident &amp; Incident Detail'!$E$2:$E$3433)*(AB$212='Accident &amp; Incident Detail'!$C$2:$C$3433))</f>
        <v>0</v>
      </c>
      <c r="AC249" s="55">
        <f t="array" ref="AC249">SUM(($A249='Accident &amp; Incident Detail'!$E$2:$E$3433)*(AC$212='Accident &amp; Incident Detail'!$C$2:$C$3433))</f>
        <v>1</v>
      </c>
      <c r="AD249" s="55">
        <f t="array" ref="AD249">SUM(($A249='Accident &amp; Incident Detail'!$E$2:$E$3433)*(AD$212='Accident &amp; Incident Detail'!$C$2:$C$3433))</f>
        <v>0</v>
      </c>
      <c r="AE249" s="55">
        <f t="array" ref="AE249">SUM(($A249='Accident &amp; Incident Detail'!$E$2:$E$3433)*(AE$212='Accident &amp; Incident Detail'!$C$2:$C$3433))</f>
        <v>0</v>
      </c>
      <c r="AF249" s="55">
        <f t="array" ref="AF249">SUM(($A249='Accident &amp; Incident Detail'!$E$2:$E$3433)*(AF$212='Accident &amp; Incident Detail'!$C$2:$C$3433))</f>
        <v>0</v>
      </c>
      <c r="AG249" s="55">
        <f t="array" ref="AG249">SUM(($A249='Accident &amp; Incident Detail'!$E$2:$E$3433)*(AG$212='Accident &amp; Incident Detail'!$C$2:$C$3433))</f>
        <v>0</v>
      </c>
      <c r="AH249" s="55">
        <f t="array" ref="AH249">SUM(($A249='Accident &amp; Incident Detail'!$E$2:$E$3433)*(AH$212='Accident &amp; Incident Detail'!$C$2:$C$3433))</f>
        <v>0</v>
      </c>
      <c r="AI249" s="55">
        <f t="array" ref="AI249">SUM(($A249='Accident &amp; Incident Detail'!$E$2:$E$3433)*(AI$212='Accident &amp; Incident Detail'!$C$2:$C$3433))</f>
        <v>0</v>
      </c>
      <c r="AJ249" s="55">
        <f t="array" ref="AJ249">SUM(($A249='Accident &amp; Incident Detail'!$E$2:$E$3433)*(AJ$212='Accident &amp; Incident Detail'!$C$2:$C$3433))</f>
        <v>0</v>
      </c>
      <c r="AK249" s="55">
        <f t="array" ref="AK249">SUM(($A249='Accident &amp; Incident Detail'!$E$2:$E$3433)*(AK$212='Accident &amp; Incident Detail'!$C$2:$C$3433))</f>
        <v>0</v>
      </c>
      <c r="AL249" s="55">
        <f t="array" ref="AL249">SUM(($A249='Accident &amp; Incident Detail'!$E$2:$E$3433)*(AL$212='Accident &amp; Incident Detail'!$C$2:$C$3433))</f>
        <v>0</v>
      </c>
      <c r="AM249" s="55">
        <f t="array" ref="AM249">SUM(($A249='Accident &amp; Incident Detail'!$E$2:$E$3433)*(AM$212='Accident &amp; Incident Detail'!$C$2:$C$3433))</f>
        <v>0</v>
      </c>
      <c r="AN249" s="55">
        <f t="array" ref="AN249">SUM(($A249='Accident &amp; Incident Detail'!$E$2:$E$3433)*(AN$212='Accident &amp; Incident Detail'!$C$2:$C$3433))</f>
        <v>0</v>
      </c>
    </row>
    <row r="250" spans="1:40" ht="15" thickBot="1" x14ac:dyDescent="0.4">
      <c r="A250" s="193" t="s">
        <v>15</v>
      </c>
      <c r="B250" s="438">
        <f>IF(B$1=1,(SUM(B249:B249)/13),0)</f>
        <v>0</v>
      </c>
      <c r="C250" s="438">
        <f>IF(C$1=1,(SUM(B249:C249)/13),0)</f>
        <v>0</v>
      </c>
      <c r="D250" s="438">
        <f>IF(D$1=1,(SUM(B249:D249)/13),0)</f>
        <v>0</v>
      </c>
      <c r="E250" s="438">
        <f>IF(E$1=1,(SUM(B249:E249)/13),0)</f>
        <v>0</v>
      </c>
      <c r="F250" s="438">
        <f>IF(F$1=1,(SUM(B249:F249)/13),0)</f>
        <v>0</v>
      </c>
      <c r="G250" s="438">
        <f>IF(G$1=1,(SUM(B249:G249)/13),0)</f>
        <v>0</v>
      </c>
      <c r="H250" s="438">
        <f>IF(H$1=1,(SUM(B249:H249)/13),0)</f>
        <v>0</v>
      </c>
      <c r="I250" s="438">
        <f>IF(I$1=1,(SUM(B249:I249)/13),0)</f>
        <v>0</v>
      </c>
      <c r="J250" s="45">
        <f>IF(J$1=1,(SUM(B249:J249)/13),0)</f>
        <v>0</v>
      </c>
      <c r="K250" s="45">
        <f>IF(K$1=1,(SUM(B249:K249)/13),0)</f>
        <v>0</v>
      </c>
      <c r="L250" s="45">
        <f>IF(L$1=1,(SUM(B249:L249)/13),0)</f>
        <v>0</v>
      </c>
      <c r="M250" s="45">
        <f>IF(M$1=1,(SUM(B249:M249)/13),0)</f>
        <v>0</v>
      </c>
      <c r="N250" s="45">
        <f>IF(N$1=1,(SUM(B249:N249)/13),0)</f>
        <v>0</v>
      </c>
      <c r="O250" s="45">
        <f t="shared" ref="O250:Z250" si="202">IF(O$1=1,(SUM(C249:O249)/13),0)</f>
        <v>0</v>
      </c>
      <c r="P250" s="45">
        <f t="shared" si="202"/>
        <v>7.6923076923076927E-2</v>
      </c>
      <c r="Q250" s="45">
        <f t="shared" si="202"/>
        <v>7.6923076923076927E-2</v>
      </c>
      <c r="R250" s="45">
        <f t="shared" si="202"/>
        <v>7.6923076923076927E-2</v>
      </c>
      <c r="S250" s="45">
        <f t="shared" si="202"/>
        <v>7.6923076923076927E-2</v>
      </c>
      <c r="T250" s="45">
        <f t="shared" si="202"/>
        <v>7.6923076923076927E-2</v>
      </c>
      <c r="U250" s="45">
        <f t="shared" si="202"/>
        <v>7.6923076923076927E-2</v>
      </c>
      <c r="V250" s="45">
        <f t="shared" si="202"/>
        <v>7.6923076923076927E-2</v>
      </c>
      <c r="W250" s="45">
        <f t="shared" si="202"/>
        <v>7.6923076923076927E-2</v>
      </c>
      <c r="X250" s="45">
        <f t="shared" si="202"/>
        <v>7.6923076923076927E-2</v>
      </c>
      <c r="Y250" s="45">
        <f t="shared" si="202"/>
        <v>7.6923076923076927E-2</v>
      </c>
      <c r="Z250" s="45">
        <f t="shared" si="202"/>
        <v>0.15384615384615385</v>
      </c>
      <c r="AA250" s="45">
        <f t="shared" ref="AA250:AN250" si="203">IF(AA$1=1,(SUM(O249:AA249)/13),0)</f>
        <v>0.23076923076923078</v>
      </c>
      <c r="AB250" s="45">
        <f t="shared" si="203"/>
        <v>0.23076923076923078</v>
      </c>
      <c r="AC250" s="45">
        <f t="shared" si="203"/>
        <v>0.23076923076923078</v>
      </c>
      <c r="AD250" s="45">
        <f t="shared" si="203"/>
        <v>0.23076923076923078</v>
      </c>
      <c r="AE250" s="45">
        <f t="shared" si="203"/>
        <v>0.23076923076923078</v>
      </c>
      <c r="AF250" s="45">
        <f t="shared" si="203"/>
        <v>0.23076923076923078</v>
      </c>
      <c r="AG250" s="45">
        <f t="shared" si="203"/>
        <v>0.23076923076923078</v>
      </c>
      <c r="AH250" s="45">
        <f t="shared" si="203"/>
        <v>0.23076923076923078</v>
      </c>
      <c r="AI250" s="45">
        <f t="shared" si="203"/>
        <v>0.23076923076923078</v>
      </c>
      <c r="AJ250" s="45">
        <f t="shared" si="203"/>
        <v>0.23076923076923078</v>
      </c>
      <c r="AK250" s="45">
        <f t="shared" si="203"/>
        <v>0.23076923076923078</v>
      </c>
      <c r="AL250" s="45">
        <f t="shared" si="203"/>
        <v>0</v>
      </c>
      <c r="AM250" s="45">
        <f t="shared" si="203"/>
        <v>0</v>
      </c>
      <c r="AN250" s="45">
        <f t="shared" si="203"/>
        <v>0</v>
      </c>
    </row>
    <row r="251" spans="1:40" x14ac:dyDescent="0.35">
      <c r="A251" s="130" t="s">
        <v>85</v>
      </c>
      <c r="B251" s="440">
        <f t="array" ref="B251">SUM(($A251='Accident &amp; Incident Detail'!$E$2:$E$3433)*(B$212='Accident &amp; Incident Detail'!$C$2:$C$3433))</f>
        <v>0</v>
      </c>
      <c r="C251" s="440">
        <f t="array" ref="C251">SUM(($A251='Accident &amp; Incident Detail'!$E$2:$E$3433)*(C$212='Accident &amp; Incident Detail'!$C$2:$C$3433))</f>
        <v>0</v>
      </c>
      <c r="D251" s="440">
        <f t="array" ref="D251">SUM(($A251='Accident &amp; Incident Detail'!$E$2:$E$3433)*(D$212='Accident &amp; Incident Detail'!$C$2:$C$3433))</f>
        <v>0</v>
      </c>
      <c r="E251" s="440">
        <f t="array" ref="E251">SUM(($A251='Accident &amp; Incident Detail'!$E$2:$E$3433)*(E$212='Accident &amp; Incident Detail'!$C$2:$C$3433))</f>
        <v>0</v>
      </c>
      <c r="F251" s="440">
        <f t="array" ref="F251">SUM(($A251='Accident &amp; Incident Detail'!$E$2:$E$3433)*(F$212='Accident &amp; Incident Detail'!$C$2:$C$3433))</f>
        <v>0</v>
      </c>
      <c r="G251" s="440">
        <f t="array" ref="G251">SUM(($A251='Accident &amp; Incident Detail'!$E$2:$E$3433)*(G$212='Accident &amp; Incident Detail'!$C$2:$C$3433))</f>
        <v>0</v>
      </c>
      <c r="H251" s="440">
        <f t="array" ref="H251">SUM(($A251='Accident &amp; Incident Detail'!$E$2:$E$3433)*(H$212='Accident &amp; Incident Detail'!$C$2:$C$3433))</f>
        <v>0</v>
      </c>
      <c r="I251" s="440">
        <f t="array" ref="I251">SUM(($A251='Accident &amp; Incident Detail'!$E$2:$E$3433)*(I$212='Accident &amp; Incident Detail'!$C$2:$C$3433))</f>
        <v>0</v>
      </c>
      <c r="J251" s="154">
        <f t="array" ref="J251">SUM(($A251='Accident &amp; Incident Detail'!$E$2:$E$3433)*(J$212='Accident &amp; Incident Detail'!$C$2:$C$3433))</f>
        <v>0</v>
      </c>
      <c r="K251" s="154">
        <f t="array" ref="K251">SUM(($A251='Accident &amp; Incident Detail'!$E$2:$E$3433)*(K$212='Accident &amp; Incident Detail'!$C$2:$C$3433))</f>
        <v>0</v>
      </c>
      <c r="L251" s="154">
        <f t="array" ref="L251">SUM(($A251='Accident &amp; Incident Detail'!$E$2:$E$3433)*(L$212='Accident &amp; Incident Detail'!$C$2:$C$3433))</f>
        <v>1</v>
      </c>
      <c r="M251" s="154">
        <f t="array" ref="M251">SUM(($A251='Accident &amp; Incident Detail'!$E$2:$E$3433)*(M$212='Accident &amp; Incident Detail'!$C$2:$C$3433))</f>
        <v>0</v>
      </c>
      <c r="N251" s="154">
        <f t="array" ref="N251">SUM(($A251='Accident &amp; Incident Detail'!$E$2:$E$3433)*(N$212='Accident &amp; Incident Detail'!$C$2:$C$3433))</f>
        <v>0</v>
      </c>
      <c r="O251" s="154">
        <f t="array" ref="O251">SUM(($A251='Accident &amp; Incident Detail'!$E$2:$E$3433)*(O$212='Accident &amp; Incident Detail'!$C$2:$C$3433))</f>
        <v>1</v>
      </c>
      <c r="P251" s="154">
        <f t="array" ref="P251">SUM(($A251='Accident &amp; Incident Detail'!$E$2:$E$3433)*(P$212='Accident &amp; Incident Detail'!$C$2:$C$3433))</f>
        <v>0</v>
      </c>
      <c r="Q251" s="154">
        <f t="array" ref="Q251">SUM(($A251='Accident &amp; Incident Detail'!$E$2:$E$3433)*(Q$212='Accident &amp; Incident Detail'!$C$2:$C$3433))</f>
        <v>4</v>
      </c>
      <c r="R251" s="154">
        <f t="array" ref="R251">SUM(($A251='Accident &amp; Incident Detail'!$E$2:$E$3433)*(R$212='Accident &amp; Incident Detail'!$C$2:$C$3433))</f>
        <v>0</v>
      </c>
      <c r="S251" s="154">
        <f t="array" ref="S251">SUM(($A251='Accident &amp; Incident Detail'!$E$2:$E$3433)*(S$212='Accident &amp; Incident Detail'!$C$2:$C$3433))</f>
        <v>0</v>
      </c>
      <c r="T251" s="154">
        <f t="array" ref="T251">SUM(($A251='Accident &amp; Incident Detail'!$E$2:$E$3433)*(T$212='Accident &amp; Incident Detail'!$C$2:$C$3433))</f>
        <v>0</v>
      </c>
      <c r="U251" s="154">
        <f t="array" ref="U251">SUM(($A251='Accident &amp; Incident Detail'!$E$2:$E$3433)*(U$212='Accident &amp; Incident Detail'!$C$2:$C$3433))</f>
        <v>3</v>
      </c>
      <c r="V251" s="154">
        <f t="array" ref="V251">SUM(($A251='Accident &amp; Incident Detail'!$E$2:$E$3433)*(V$212='Accident &amp; Incident Detail'!$C$2:$C$3433))</f>
        <v>0</v>
      </c>
      <c r="W251" s="154">
        <f t="array" ref="W251">SUM(($A251='Accident &amp; Incident Detail'!$E$2:$E$3433)*(W$212='Accident &amp; Incident Detail'!$C$2:$C$3433))</f>
        <v>1</v>
      </c>
      <c r="X251" s="154">
        <f t="array" ref="X251">SUM(($A251='Accident &amp; Incident Detail'!$E$2:$E$3433)*(X$212='Accident &amp; Incident Detail'!$C$2:$C$3433))</f>
        <v>1</v>
      </c>
      <c r="Y251" s="154">
        <f t="array" ref="Y251">SUM(($A251='Accident &amp; Incident Detail'!$E$2:$E$3433)*(Y$212='Accident &amp; Incident Detail'!$C$2:$C$3433))</f>
        <v>2</v>
      </c>
      <c r="Z251" s="55">
        <f t="array" ref="Z251">SUM(($A251='Accident &amp; Incident Detail'!$E$2:$E$3433)*(Z$212='Accident &amp; Incident Detail'!$C$2:$C$3433))</f>
        <v>0</v>
      </c>
      <c r="AA251" s="55">
        <f t="array" ref="AA251">SUM(($A251='Accident &amp; Incident Detail'!$E$2:$E$3433)*(AA$212='Accident &amp; Incident Detail'!$C$2:$C$3433))</f>
        <v>1</v>
      </c>
      <c r="AB251" s="55">
        <f t="array" ref="AB251">SUM(($A251='Accident &amp; Incident Detail'!$E$2:$E$3433)*(AB$212='Accident &amp; Incident Detail'!$C$2:$C$3433))</f>
        <v>0</v>
      </c>
      <c r="AC251" s="55">
        <f t="array" ref="AC251">SUM(($A251='Accident &amp; Incident Detail'!$E$2:$E$3433)*(AC$212='Accident &amp; Incident Detail'!$C$2:$C$3433))</f>
        <v>0</v>
      </c>
      <c r="AD251" s="55">
        <f t="array" ref="AD251">SUM(($A251='Accident &amp; Incident Detail'!$E$2:$E$3433)*(AD$212='Accident &amp; Incident Detail'!$C$2:$C$3433))</f>
        <v>1</v>
      </c>
      <c r="AE251" s="55">
        <f t="array" ref="AE251">SUM(($A251='Accident &amp; Incident Detail'!$E$2:$E$3433)*(AE$212='Accident &amp; Incident Detail'!$C$2:$C$3433))</f>
        <v>2</v>
      </c>
      <c r="AF251" s="55">
        <f t="array" ref="AF251">SUM(($A251='Accident &amp; Incident Detail'!$E$2:$E$3433)*(AF$212='Accident &amp; Incident Detail'!$C$2:$C$3433))</f>
        <v>0</v>
      </c>
      <c r="AG251" s="55">
        <f t="array" ref="AG251">SUM(($A251='Accident &amp; Incident Detail'!$E$2:$E$3433)*(AG$212='Accident &amp; Incident Detail'!$C$2:$C$3433))</f>
        <v>1</v>
      </c>
      <c r="AH251" s="55">
        <f t="array" ref="AH251">SUM(($A251='Accident &amp; Incident Detail'!$E$2:$E$3433)*(AH$212='Accident &amp; Incident Detail'!$C$2:$C$3433))</f>
        <v>1</v>
      </c>
      <c r="AI251" s="55">
        <f t="array" ref="AI251">SUM(($A251='Accident &amp; Incident Detail'!$E$2:$E$3433)*(AI$212='Accident &amp; Incident Detail'!$C$2:$C$3433))</f>
        <v>4</v>
      </c>
      <c r="AJ251" s="55">
        <f t="array" ref="AJ251">SUM(($A251='Accident &amp; Incident Detail'!$E$2:$E$3433)*(AJ$212='Accident &amp; Incident Detail'!$C$2:$C$3433))</f>
        <v>1</v>
      </c>
      <c r="AK251" s="55">
        <f t="array" ref="AK251">SUM(($A251='Accident &amp; Incident Detail'!$E$2:$E$3433)*(AK$212='Accident &amp; Incident Detail'!$C$2:$C$3433))</f>
        <v>0</v>
      </c>
      <c r="AL251" s="55">
        <f t="array" ref="AL251">SUM(($A251='Accident &amp; Incident Detail'!$E$2:$E$3433)*(AL$212='Accident &amp; Incident Detail'!$C$2:$C$3433))</f>
        <v>0</v>
      </c>
      <c r="AM251" s="55">
        <f t="array" ref="AM251">SUM(($A251='Accident &amp; Incident Detail'!$E$2:$E$3433)*(AM$212='Accident &amp; Incident Detail'!$C$2:$C$3433))</f>
        <v>0</v>
      </c>
      <c r="AN251" s="55">
        <f t="array" ref="AN251">SUM(($A251='Accident &amp; Incident Detail'!$E$2:$E$3433)*(AN$212='Accident &amp; Incident Detail'!$C$2:$C$3433))</f>
        <v>0</v>
      </c>
    </row>
    <row r="252" spans="1:40" ht="15" thickBot="1" x14ac:dyDescent="0.4">
      <c r="A252" s="194" t="s">
        <v>15</v>
      </c>
      <c r="B252" s="438">
        <f>IF(B$1=1,(SUM(B251:B251)/13),0)</f>
        <v>0</v>
      </c>
      <c r="C252" s="438">
        <f>IF(C$1=1,(SUM(B251:C251)/13),0)</f>
        <v>0</v>
      </c>
      <c r="D252" s="438">
        <f>IF(D$1=1,(SUM(B251:D251)/13),0)</f>
        <v>0</v>
      </c>
      <c r="E252" s="438">
        <f>IF(E$1=1,(SUM(B251:E251)/13),0)</f>
        <v>0</v>
      </c>
      <c r="F252" s="438">
        <f>IF(F$1=1,(SUM(B251:F251)/13),0)</f>
        <v>0</v>
      </c>
      <c r="G252" s="438">
        <f>IF(G$1=1,(SUM(B251:G251)/13),0)</f>
        <v>0</v>
      </c>
      <c r="H252" s="438">
        <f>IF(H$1=1,(SUM(B251:H251)/13),0)</f>
        <v>0</v>
      </c>
      <c r="I252" s="438">
        <f>IF(I$1=1,(SUM(B251:I251)/13),0)</f>
        <v>0</v>
      </c>
      <c r="J252" s="45">
        <f>IF(J$1=1,(SUM(B251:J251)/13),0)</f>
        <v>0</v>
      </c>
      <c r="K252" s="45">
        <f>IF(K$1=1,(SUM(B251:K251)/13),0)</f>
        <v>0</v>
      </c>
      <c r="L252" s="45">
        <f>IF(L$1=1,(SUM(B251:L251)/13),0)</f>
        <v>7.6923076923076927E-2</v>
      </c>
      <c r="M252" s="45">
        <f>IF(M$1=1,(SUM(B251:M251)/13),0)</f>
        <v>7.6923076923076927E-2</v>
      </c>
      <c r="N252" s="45">
        <f>IF(N$1=1,(SUM(B251:N251)/13),0)</f>
        <v>7.6923076923076927E-2</v>
      </c>
      <c r="O252" s="45">
        <f t="shared" ref="O252:Z252" si="204">IF(O$1=1,(SUM(C251:O251)/13),0)</f>
        <v>0.15384615384615385</v>
      </c>
      <c r="P252" s="45">
        <f t="shared" si="204"/>
        <v>0.15384615384615385</v>
      </c>
      <c r="Q252" s="45">
        <f t="shared" si="204"/>
        <v>0.46153846153846156</v>
      </c>
      <c r="R252" s="45">
        <f t="shared" si="204"/>
        <v>0.46153846153846156</v>
      </c>
      <c r="S252" s="45">
        <f t="shared" si="204"/>
        <v>0.46153846153846156</v>
      </c>
      <c r="T252" s="45">
        <f t="shared" si="204"/>
        <v>0.46153846153846156</v>
      </c>
      <c r="U252" s="45">
        <f t="shared" si="204"/>
        <v>0.69230769230769229</v>
      </c>
      <c r="V252" s="45">
        <f t="shared" si="204"/>
        <v>0.69230769230769229</v>
      </c>
      <c r="W252" s="45">
        <f t="shared" si="204"/>
        <v>0.76923076923076927</v>
      </c>
      <c r="X252" s="45">
        <f t="shared" si="204"/>
        <v>0.84615384615384615</v>
      </c>
      <c r="Y252" s="45">
        <f t="shared" si="204"/>
        <v>0.92307692307692313</v>
      </c>
      <c r="Z252" s="45">
        <f t="shared" si="204"/>
        <v>0.92307692307692313</v>
      </c>
      <c r="AA252" s="45">
        <f t="shared" ref="AA252:AN252" si="205">IF(AA$1=1,(SUM(O251:AA251)/13),0)</f>
        <v>1</v>
      </c>
      <c r="AB252" s="45">
        <f t="shared" si="205"/>
        <v>0.92307692307692313</v>
      </c>
      <c r="AC252" s="45">
        <f t="shared" si="205"/>
        <v>0.92307692307692313</v>
      </c>
      <c r="AD252" s="45">
        <f t="shared" si="205"/>
        <v>0.69230769230769229</v>
      </c>
      <c r="AE252" s="45">
        <f t="shared" si="205"/>
        <v>0.84615384615384615</v>
      </c>
      <c r="AF252" s="45">
        <f t="shared" si="205"/>
        <v>0.84615384615384615</v>
      </c>
      <c r="AG252" s="45">
        <f t="shared" si="205"/>
        <v>0.92307692307692313</v>
      </c>
      <c r="AH252" s="45">
        <f t="shared" si="205"/>
        <v>0.76923076923076927</v>
      </c>
      <c r="AI252" s="45">
        <f t="shared" si="205"/>
        <v>1.0769230769230769</v>
      </c>
      <c r="AJ252" s="45">
        <f t="shared" si="205"/>
        <v>1.0769230769230769</v>
      </c>
      <c r="AK252" s="45">
        <f t="shared" si="205"/>
        <v>1</v>
      </c>
      <c r="AL252" s="45">
        <f t="shared" si="205"/>
        <v>0</v>
      </c>
      <c r="AM252" s="45">
        <f t="shared" si="205"/>
        <v>0</v>
      </c>
      <c r="AN252" s="45">
        <f t="shared" si="205"/>
        <v>0</v>
      </c>
    </row>
    <row r="253" spans="1:40" x14ac:dyDescent="0.35">
      <c r="A253" s="135" t="s">
        <v>14</v>
      </c>
      <c r="B253" s="440">
        <f t="shared" ref="B253:N253" si="206">SUM(B249+B247+B245+B243+B241+B239)</f>
        <v>0</v>
      </c>
      <c r="C253" s="440">
        <f t="shared" si="206"/>
        <v>0</v>
      </c>
      <c r="D253" s="440">
        <f t="shared" si="206"/>
        <v>0</v>
      </c>
      <c r="E253" s="440">
        <f t="shared" si="206"/>
        <v>0</v>
      </c>
      <c r="F253" s="440">
        <f t="shared" si="206"/>
        <v>0</v>
      </c>
      <c r="G253" s="440">
        <f t="shared" si="206"/>
        <v>0</v>
      </c>
      <c r="H253" s="440">
        <f t="shared" si="206"/>
        <v>0</v>
      </c>
      <c r="I253" s="440">
        <f t="shared" si="206"/>
        <v>0</v>
      </c>
      <c r="J253" s="154">
        <f t="shared" si="206"/>
        <v>1</v>
      </c>
      <c r="K253" s="154">
        <f t="shared" si="206"/>
        <v>0</v>
      </c>
      <c r="L253" s="154">
        <f t="shared" si="206"/>
        <v>0</v>
      </c>
      <c r="M253" s="154">
        <f t="shared" si="206"/>
        <v>0</v>
      </c>
      <c r="N253" s="154">
        <f t="shared" si="206"/>
        <v>0</v>
      </c>
      <c r="O253" s="154">
        <f t="shared" ref="O253:Z253" si="207">SUM(O249+O247+O245+O243+O241+O239)</f>
        <v>1</v>
      </c>
      <c r="P253" s="154">
        <f t="shared" si="207"/>
        <v>3</v>
      </c>
      <c r="Q253" s="154">
        <f t="shared" si="207"/>
        <v>0</v>
      </c>
      <c r="R253" s="154">
        <f t="shared" si="207"/>
        <v>0</v>
      </c>
      <c r="S253" s="154">
        <f t="shared" si="207"/>
        <v>0</v>
      </c>
      <c r="T253" s="154">
        <f t="shared" si="207"/>
        <v>1</v>
      </c>
      <c r="U253" s="154">
        <f t="shared" si="207"/>
        <v>0</v>
      </c>
      <c r="V253" s="154">
        <f t="shared" si="207"/>
        <v>0</v>
      </c>
      <c r="W253" s="154">
        <f t="shared" si="207"/>
        <v>0</v>
      </c>
      <c r="X253" s="154">
        <f t="shared" si="207"/>
        <v>0</v>
      </c>
      <c r="Y253" s="154">
        <f t="shared" si="207"/>
        <v>2</v>
      </c>
      <c r="Z253" s="55">
        <f t="shared" si="207"/>
        <v>1</v>
      </c>
      <c r="AA253" s="55">
        <f t="shared" ref="AA253:AN253" si="208">SUM(AA249+AA247+AA245+AA243+AA241+AA239)</f>
        <v>1</v>
      </c>
      <c r="AB253" s="55">
        <f t="shared" si="208"/>
        <v>0</v>
      </c>
      <c r="AC253" s="55">
        <f t="shared" si="208"/>
        <v>1</v>
      </c>
      <c r="AD253" s="55">
        <f t="shared" si="208"/>
        <v>1</v>
      </c>
      <c r="AE253" s="55">
        <f t="shared" si="208"/>
        <v>0</v>
      </c>
      <c r="AF253" s="55">
        <f t="shared" si="208"/>
        <v>0</v>
      </c>
      <c r="AG253" s="55">
        <f t="shared" si="208"/>
        <v>0</v>
      </c>
      <c r="AH253" s="55">
        <f t="shared" si="208"/>
        <v>0</v>
      </c>
      <c r="AI253" s="55">
        <f t="shared" si="208"/>
        <v>2</v>
      </c>
      <c r="AJ253" s="55">
        <f t="shared" si="208"/>
        <v>0</v>
      </c>
      <c r="AK253" s="55">
        <f t="shared" si="208"/>
        <v>0</v>
      </c>
      <c r="AL253" s="55">
        <f t="shared" si="208"/>
        <v>0</v>
      </c>
      <c r="AM253" s="55">
        <f t="shared" si="208"/>
        <v>0</v>
      </c>
      <c r="AN253" s="55">
        <f t="shared" si="208"/>
        <v>0</v>
      </c>
    </row>
    <row r="254" spans="1:40" ht="15" thickBot="1" x14ac:dyDescent="0.4">
      <c r="A254" s="198" t="s">
        <v>15</v>
      </c>
      <c r="B254" s="418">
        <f>IF(B$1=1,(SUM(B253:B253)/13),0)</f>
        <v>0</v>
      </c>
      <c r="C254" s="418">
        <f>IF(C$1=1,(SUM(B253:C253)/13),0)</f>
        <v>0</v>
      </c>
      <c r="D254" s="418">
        <f>IF(D$1=1,(SUM(B253:D253)/13),0)</f>
        <v>0</v>
      </c>
      <c r="E254" s="418">
        <f>IF(E$1=1,(SUM(B253:E253)/13),0)</f>
        <v>0</v>
      </c>
      <c r="F254" s="418">
        <f>IF(F$1=1,(SUM(B253:F253)/13),0)</f>
        <v>0</v>
      </c>
      <c r="G254" s="418">
        <f>IF(G$1=1,(SUM(B253:G253)/13),0)</f>
        <v>0</v>
      </c>
      <c r="H254" s="418">
        <f>IF(H$1=1,(SUM(B253:H253)/13),0)</f>
        <v>0</v>
      </c>
      <c r="I254" s="418">
        <f>IF(I$1=1,(SUM(B253:I253)/13),0)</f>
        <v>0</v>
      </c>
      <c r="J254" s="68">
        <f>IF(J$1=1,(SUM(B253:J253)/13),0)</f>
        <v>7.6923076923076927E-2</v>
      </c>
      <c r="K254" s="68">
        <f>IF(K$1=1,(SUM(B253:K253)/13),0)</f>
        <v>7.6923076923076927E-2</v>
      </c>
      <c r="L254" s="68">
        <f>IF(L$1=1,(SUM(B253:L253)/13),0)</f>
        <v>7.6923076923076927E-2</v>
      </c>
      <c r="M254" s="68">
        <f>IF(M$1=1,(SUM(B253:M253)/13),0)</f>
        <v>7.6923076923076927E-2</v>
      </c>
      <c r="N254" s="68">
        <f>IF(N$1=1,(SUM(B253:N253)/13),0)</f>
        <v>7.6923076923076927E-2</v>
      </c>
      <c r="O254" s="68">
        <f t="shared" ref="O254:Z254" si="209">IF(O$1=1,(SUM(C253:O253)/13),0)</f>
        <v>0.15384615384615385</v>
      </c>
      <c r="P254" s="68">
        <f t="shared" si="209"/>
        <v>0.38461538461538464</v>
      </c>
      <c r="Q254" s="68">
        <f t="shared" si="209"/>
        <v>0.38461538461538464</v>
      </c>
      <c r="R254" s="68">
        <f t="shared" si="209"/>
        <v>0.38461538461538464</v>
      </c>
      <c r="S254" s="68">
        <f t="shared" si="209"/>
        <v>0.38461538461538464</v>
      </c>
      <c r="T254" s="68">
        <f t="shared" si="209"/>
        <v>0.46153846153846156</v>
      </c>
      <c r="U254" s="68">
        <f t="shared" si="209"/>
        <v>0.46153846153846156</v>
      </c>
      <c r="V254" s="68">
        <f t="shared" si="209"/>
        <v>0.46153846153846156</v>
      </c>
      <c r="W254" s="68">
        <f t="shared" si="209"/>
        <v>0.38461538461538464</v>
      </c>
      <c r="X254" s="68">
        <f t="shared" si="209"/>
        <v>0.38461538461538464</v>
      </c>
      <c r="Y254" s="68">
        <f t="shared" si="209"/>
        <v>0.53846153846153844</v>
      </c>
      <c r="Z254" s="48">
        <f t="shared" si="209"/>
        <v>0.61538461538461542</v>
      </c>
      <c r="AA254" s="48">
        <f t="shared" ref="AA254:AN254" si="210">IF(AA$1=1,(SUM(O253:AA253)/13),0)</f>
        <v>0.69230769230769229</v>
      </c>
      <c r="AB254" s="48">
        <f t="shared" si="210"/>
        <v>0.61538461538461542</v>
      </c>
      <c r="AC254" s="48">
        <f t="shared" si="210"/>
        <v>0.46153846153846156</v>
      </c>
      <c r="AD254" s="48">
        <f t="shared" si="210"/>
        <v>0.53846153846153844</v>
      </c>
      <c r="AE254" s="48">
        <f t="shared" si="210"/>
        <v>0.53846153846153844</v>
      </c>
      <c r="AF254" s="48">
        <f t="shared" si="210"/>
        <v>0.53846153846153844</v>
      </c>
      <c r="AG254" s="48">
        <f t="shared" si="210"/>
        <v>0.46153846153846156</v>
      </c>
      <c r="AH254" s="48">
        <f t="shared" si="210"/>
        <v>0.46153846153846156</v>
      </c>
      <c r="AI254" s="48">
        <f t="shared" si="210"/>
        <v>0.61538461538461542</v>
      </c>
      <c r="AJ254" s="48">
        <f t="shared" si="210"/>
        <v>0.61538461538461542</v>
      </c>
      <c r="AK254" s="48">
        <f t="shared" si="210"/>
        <v>0.61538461538461542</v>
      </c>
      <c r="AL254" s="48">
        <f t="shared" si="210"/>
        <v>0</v>
      </c>
      <c r="AM254" s="48">
        <f t="shared" si="210"/>
        <v>0</v>
      </c>
      <c r="AN254" s="48">
        <f t="shared" si="210"/>
        <v>0</v>
      </c>
    </row>
    <row r="255" spans="1:40" ht="15" thickBot="1" x14ac:dyDescent="0.4"/>
    <row r="256" spans="1:40" ht="15" thickBot="1" x14ac:dyDescent="0.4">
      <c r="A256" s="39"/>
      <c r="B256" s="396">
        <v>2301</v>
      </c>
      <c r="C256" s="396">
        <v>2302</v>
      </c>
      <c r="D256" s="396">
        <v>2303</v>
      </c>
      <c r="E256" s="396">
        <v>2304</v>
      </c>
      <c r="F256" s="396">
        <v>2305</v>
      </c>
      <c r="G256" s="396">
        <v>2306</v>
      </c>
      <c r="H256" s="396">
        <v>2307</v>
      </c>
      <c r="I256" s="396">
        <v>2308</v>
      </c>
      <c r="J256" s="206">
        <v>2309</v>
      </c>
      <c r="K256" s="206">
        <v>2310</v>
      </c>
      <c r="L256" s="206">
        <v>2311</v>
      </c>
      <c r="M256" s="206">
        <v>2312</v>
      </c>
      <c r="N256" s="210">
        <v>2313</v>
      </c>
      <c r="O256" s="211">
        <v>2401</v>
      </c>
      <c r="P256" s="206">
        <v>2402</v>
      </c>
      <c r="Q256" s="206">
        <v>2403</v>
      </c>
      <c r="R256" s="206">
        <v>2404</v>
      </c>
      <c r="S256" s="206">
        <v>2405</v>
      </c>
      <c r="T256" s="206">
        <v>2406</v>
      </c>
      <c r="U256" s="206">
        <v>2407</v>
      </c>
      <c r="V256" s="206">
        <v>2408</v>
      </c>
      <c r="W256" s="206">
        <v>2409</v>
      </c>
      <c r="X256" s="206">
        <v>2410</v>
      </c>
      <c r="Y256" s="206">
        <v>2411</v>
      </c>
      <c r="Z256" s="212">
        <v>2412</v>
      </c>
      <c r="AA256" s="282">
        <v>2413</v>
      </c>
      <c r="AB256" s="284">
        <v>2501</v>
      </c>
      <c r="AC256" s="284">
        <v>2502</v>
      </c>
      <c r="AD256" s="284">
        <v>2503</v>
      </c>
      <c r="AE256" s="284">
        <v>2504</v>
      </c>
      <c r="AF256" s="284">
        <v>2505</v>
      </c>
      <c r="AG256" s="284">
        <v>2506</v>
      </c>
      <c r="AH256" s="284">
        <v>2507</v>
      </c>
      <c r="AI256" s="284">
        <v>2508</v>
      </c>
      <c r="AJ256" s="284">
        <v>2509</v>
      </c>
      <c r="AK256" s="284">
        <v>2510</v>
      </c>
      <c r="AL256" s="284">
        <v>2511</v>
      </c>
      <c r="AM256" s="284">
        <v>2512</v>
      </c>
      <c r="AN256" s="284">
        <v>2513</v>
      </c>
    </row>
    <row r="257" spans="1:41" x14ac:dyDescent="0.35">
      <c r="A257" s="138" t="s">
        <v>86</v>
      </c>
      <c r="B257" s="441">
        <f t="array" ref="B257">SUM((B212='Accident &amp; Incident Detail'!$C$2:$C$3433)*('Accident &amp; Incident Detail'!$N$2:$N$3433="Yes"))</f>
        <v>0</v>
      </c>
      <c r="C257" s="441">
        <f t="array" ref="C257">SUM((C212='Accident &amp; Incident Detail'!$C$2:$C$3433)*('Accident &amp; Incident Detail'!$N$2:$N$3433="Yes"))</f>
        <v>0</v>
      </c>
      <c r="D257" s="441">
        <f t="array" ref="D257">SUM((D212='Accident &amp; Incident Detail'!$C$2:$C$3433)*('Accident &amp; Incident Detail'!$N$2:$N$3433="Yes"))</f>
        <v>0</v>
      </c>
      <c r="E257" s="441">
        <f t="array" ref="E257">SUM((E212='Accident &amp; Incident Detail'!$C$2:$C$3433)*('Accident &amp; Incident Detail'!$N$2:$N$3433="Yes"))</f>
        <v>0</v>
      </c>
      <c r="F257" s="441">
        <f t="array" ref="F257">SUM((F212='Accident &amp; Incident Detail'!$C$2:$C$3433)*('Accident &amp; Incident Detail'!$N$2:$N$3433="Yes"))</f>
        <v>0</v>
      </c>
      <c r="G257" s="441">
        <f t="array" ref="G257">SUM((G212='Accident &amp; Incident Detail'!$C$2:$C$3433)*('Accident &amp; Incident Detail'!$N$2:$N$3433="Yes"))</f>
        <v>0</v>
      </c>
      <c r="H257" s="441">
        <f t="array" ref="H257">SUM((H212='Accident &amp; Incident Detail'!$C$2:$C$3433)*('Accident &amp; Incident Detail'!$N$2:$N$3433="Yes"))</f>
        <v>0</v>
      </c>
      <c r="I257" s="441">
        <f t="array" ref="I257">SUM((I212='Accident &amp; Incident Detail'!$C$2:$C$3433)*('Accident &amp; Incident Detail'!$N$2:$N$3433="Yes"))</f>
        <v>0</v>
      </c>
      <c r="J257" s="69">
        <f t="array" ref="J257">SUM((J212='Accident &amp; Incident Detail'!$C$2:$C$3433)*('Accident &amp; Incident Detail'!$N$2:$N$3433="Yes"))</f>
        <v>1</v>
      </c>
      <c r="K257" s="69">
        <f t="array" ref="K257">SUM((K212='Accident &amp; Incident Detail'!$C$2:$C$3433)*('Accident &amp; Incident Detail'!$N$2:$N$3433="Yes"))</f>
        <v>2</v>
      </c>
      <c r="L257" s="69">
        <f t="array" ref="L257">SUM((L212='Accident &amp; Incident Detail'!$C$2:$C$3433)*('Accident &amp; Incident Detail'!$N$2:$N$3433="Yes"))</f>
        <v>3</v>
      </c>
      <c r="M257" s="69">
        <f t="array" ref="M257">SUM((M212='Accident &amp; Incident Detail'!$C$2:$C$3433)*('Accident &amp; Incident Detail'!$N$2:$N$3433="Yes"))</f>
        <v>0</v>
      </c>
      <c r="N257" s="69">
        <f t="array" ref="N257">SUM((N212='Accident &amp; Incident Detail'!$C$2:$C$3433)*('Accident &amp; Incident Detail'!$N$2:$N$3433="Yes"))</f>
        <v>0</v>
      </c>
      <c r="O257" s="69">
        <f t="array" ref="O257">SUM((O212='Accident &amp; Incident Detail'!$C$2:$C$3433)*('Accident &amp; Incident Detail'!$N$2:$N$3433="Yes"))</f>
        <v>1</v>
      </c>
      <c r="P257" s="69">
        <f t="array" ref="P257">SUM((P212='Accident &amp; Incident Detail'!$C$2:$C$3433)*('Accident &amp; Incident Detail'!$N$2:$N$3433="Yes"))</f>
        <v>1</v>
      </c>
      <c r="Q257" s="69">
        <f t="array" ref="Q257">SUM((Q212='Accident &amp; Incident Detail'!$C$2:$C$3433)*('Accident &amp; Incident Detail'!$N$2:$N$3433="Yes"))</f>
        <v>0</v>
      </c>
      <c r="R257" s="69">
        <f t="array" ref="R257">SUM((R212='Accident &amp; Incident Detail'!$C$2:$C$3433)*('Accident &amp; Incident Detail'!$N$2:$N$3433="Yes"))</f>
        <v>3</v>
      </c>
      <c r="S257" s="69">
        <f t="array" ref="S257">SUM((S212='Accident &amp; Incident Detail'!$C$2:$C$3433)*('Accident &amp; Incident Detail'!$N$2:$N$3433="Yes"))</f>
        <v>2</v>
      </c>
      <c r="T257" s="69">
        <f t="array" ref="T257">SUM((T212='Accident &amp; Incident Detail'!$C$2:$C$3433)*('Accident &amp; Incident Detail'!$N$2:$N$3433="Yes"))</f>
        <v>4</v>
      </c>
      <c r="U257" s="69">
        <f t="array" ref="U257">SUM((U212='Accident &amp; Incident Detail'!$C$2:$C$3433)*('Accident &amp; Incident Detail'!$N$2:$N$3433="Yes"))</f>
        <v>1</v>
      </c>
      <c r="V257" s="69">
        <f t="array" ref="V257">SUM((V212='Accident &amp; Incident Detail'!$C$2:$C$3433)*('Accident &amp; Incident Detail'!$N$2:$N$3433="Yes"))</f>
        <v>5</v>
      </c>
      <c r="W257" s="69">
        <f t="array" ref="W257">SUM((W212='Accident &amp; Incident Detail'!$C$2:$C$3433)*('Accident &amp; Incident Detail'!$N$2:$N$3433="Yes"))</f>
        <v>5</v>
      </c>
      <c r="X257" s="69">
        <f t="array" ref="X257">SUM((X212='Accident &amp; Incident Detail'!$C$2:$C$3433)*('Accident &amp; Incident Detail'!$N$2:$N$3433="Yes"))</f>
        <v>4</v>
      </c>
      <c r="Y257" s="69">
        <f t="array" ref="Y257">SUM((Y212='Accident &amp; Incident Detail'!$C$2:$C$3433)*('Accident &amp; Incident Detail'!$N$2:$N$3433="Yes"))</f>
        <v>9</v>
      </c>
      <c r="Z257" s="69">
        <f t="array" ref="Z257">SUM((Z212='Accident &amp; Incident Detail'!$C$2:$C$3433)*('Accident &amp; Incident Detail'!$N$2:$N$3433="Yes"))</f>
        <v>2</v>
      </c>
      <c r="AA257" s="69">
        <f t="array" ref="AA257">SUM((AA212='Accident &amp; Incident Detail'!$C$2:$C$3433)*('Accident &amp; Incident Detail'!$N$2:$N$3433="Yes"))</f>
        <v>2</v>
      </c>
      <c r="AB257" s="69">
        <f t="array" ref="AB257">SUM((AB212='Accident &amp; Incident Detail'!$C$2:$C$3433)*('Accident &amp; Incident Detail'!$N$2:$N$3433="Yes"))</f>
        <v>0</v>
      </c>
      <c r="AC257" s="69">
        <f t="array" ref="AC257">SUM((AC212='Accident &amp; Incident Detail'!$C$2:$C$3433)*('Accident &amp; Incident Detail'!$N$2:$N$3433="Yes"))</f>
        <v>0</v>
      </c>
      <c r="AD257" s="69">
        <f t="array" ref="AD257">SUM((AD212='Accident &amp; Incident Detail'!$C$2:$C$3433)*('Accident &amp; Incident Detail'!$N$2:$N$3433="Yes"))</f>
        <v>4</v>
      </c>
      <c r="AE257" s="69">
        <f t="array" ref="AE257">SUM((AE212='Accident &amp; Incident Detail'!$C$2:$C$3433)*('Accident &amp; Incident Detail'!$N$2:$N$3433="Yes"))</f>
        <v>2</v>
      </c>
      <c r="AF257" s="69">
        <f t="array" ref="AF257">SUM((AF212='Accident &amp; Incident Detail'!$C$2:$C$3433)*('Accident &amp; Incident Detail'!$N$2:$N$3433="Yes"))</f>
        <v>0</v>
      </c>
      <c r="AG257" s="69">
        <f t="array" ref="AG257">SUM((AG212='Accident &amp; Incident Detail'!$C$2:$C$3433)*('Accident &amp; Incident Detail'!$N$2:$N$3433="Yes"))</f>
        <v>3</v>
      </c>
      <c r="AH257" s="69">
        <f t="array" ref="AH257">SUM((AH212='Accident &amp; Incident Detail'!$C$2:$C$3433)*('Accident &amp; Incident Detail'!$N$2:$N$3433="Yes"))</f>
        <v>2</v>
      </c>
      <c r="AI257" s="69">
        <f t="array" ref="AI257">SUM((AI212='Accident &amp; Incident Detail'!$C$2:$C$3433)*('Accident &amp; Incident Detail'!$N$2:$N$3433="Yes"))</f>
        <v>4</v>
      </c>
      <c r="AJ257" s="69">
        <f t="array" ref="AJ257">SUM((AJ212='Accident &amp; Incident Detail'!$C$2:$C$3433)*('Accident &amp; Incident Detail'!$N$2:$N$3433="Yes"))</f>
        <v>5</v>
      </c>
      <c r="AK257" s="69">
        <f t="array" ref="AK257">SUM((AK212='Accident &amp; Incident Detail'!$C$2:$C$3433)*('Accident &amp; Incident Detail'!$N$2:$N$3433="Yes"))</f>
        <v>3</v>
      </c>
      <c r="AL257" s="69">
        <f t="array" ref="AL257">SUM((AL212='Accident &amp; Incident Detail'!$C$2:$C$3433)*('Accident &amp; Incident Detail'!$N$2:$N$3433="Yes"))</f>
        <v>4</v>
      </c>
      <c r="AM257" s="69">
        <f t="array" ref="AM257">SUM((AM212='Accident &amp; Incident Detail'!$C$2:$C$3433)*('Accident &amp; Incident Detail'!$N$2:$N$3433="Yes"))</f>
        <v>0</v>
      </c>
      <c r="AN257" s="69">
        <f t="array" ref="AN257">SUM((AN212='Accident &amp; Incident Detail'!$C$2:$C$3433)*('Accident &amp; Incident Detail'!$N$2:$N$3433="Yes"))</f>
        <v>0</v>
      </c>
      <c r="AO257" s="3">
        <f>SUM(AB257:AN257)</f>
        <v>27</v>
      </c>
    </row>
    <row r="258" spans="1:41" ht="15" thickBot="1" x14ac:dyDescent="0.4">
      <c r="A258" s="139" t="s">
        <v>87</v>
      </c>
      <c r="B258" s="442">
        <f>IF(B1=1,(SUM(B257:B257)/13),0)</f>
        <v>0</v>
      </c>
      <c r="C258" s="442">
        <f>IF(C1=1,(SUM(B257:C257)/13),0)</f>
        <v>0</v>
      </c>
      <c r="D258" s="442">
        <f>IF(D1=1,(SUM(B257:D257)/13),0)</f>
        <v>0</v>
      </c>
      <c r="E258" s="442">
        <f>IF(E1=1,(SUM(B257:E257)/13),0)</f>
        <v>0</v>
      </c>
      <c r="F258" s="442">
        <f>IF(F1=1,(SUM(B257:F257)/13),0)</f>
        <v>0</v>
      </c>
      <c r="G258" s="442">
        <f>IF(G1=1,(SUM(B257:G257)/13),0)</f>
        <v>0</v>
      </c>
      <c r="H258" s="442">
        <f>IF(H1=1,(SUM(B257:H257)/13),0)</f>
        <v>0</v>
      </c>
      <c r="I258" s="442">
        <f>IF(I1=1,(SUM(B257:I257)/13),0)</f>
        <v>0</v>
      </c>
      <c r="J258" s="128">
        <f>IF(J1=1,(SUM(B257:J257)/13),0)</f>
        <v>7.6923076923076927E-2</v>
      </c>
      <c r="K258" s="128">
        <f>IF(K1=1,(SUM(B257:K257)/13),0)</f>
        <v>0.23076923076923078</v>
      </c>
      <c r="L258" s="128">
        <f>IF(L1=1,(SUM(B257:L257)/13),0)</f>
        <v>0.46153846153846156</v>
      </c>
      <c r="M258" s="128">
        <f>IF(M1=1,(SUM(B257:M257)/13),0)</f>
        <v>0.46153846153846156</v>
      </c>
      <c r="N258" s="128">
        <f t="shared" ref="N258:AN258" si="211">IF(N1=1,(SUM(B257:N257)/13),0)</f>
        <v>0.46153846153846156</v>
      </c>
      <c r="O258" s="128">
        <f t="shared" si="211"/>
        <v>0.53846153846153844</v>
      </c>
      <c r="P258" s="128">
        <f t="shared" si="211"/>
        <v>0.61538461538461542</v>
      </c>
      <c r="Q258" s="128">
        <f t="shared" si="211"/>
        <v>0.61538461538461542</v>
      </c>
      <c r="R258" s="128">
        <f t="shared" si="211"/>
        <v>0.84615384615384615</v>
      </c>
      <c r="S258" s="128">
        <f t="shared" si="211"/>
        <v>1</v>
      </c>
      <c r="T258" s="128">
        <f t="shared" si="211"/>
        <v>1.3076923076923077</v>
      </c>
      <c r="U258" s="128">
        <f t="shared" si="211"/>
        <v>1.3846153846153846</v>
      </c>
      <c r="V258" s="128">
        <f t="shared" si="211"/>
        <v>1.7692307692307692</v>
      </c>
      <c r="W258" s="128">
        <f t="shared" si="211"/>
        <v>2.0769230769230771</v>
      </c>
      <c r="X258" s="128">
        <f t="shared" si="211"/>
        <v>2.2307692307692308</v>
      </c>
      <c r="Y258" s="128">
        <f t="shared" si="211"/>
        <v>2.6923076923076925</v>
      </c>
      <c r="Z258" s="128">
        <f t="shared" si="211"/>
        <v>2.8461538461538463</v>
      </c>
      <c r="AA258" s="128">
        <f t="shared" si="211"/>
        <v>3</v>
      </c>
      <c r="AB258" s="128">
        <f t="shared" si="211"/>
        <v>2.9230769230769229</v>
      </c>
      <c r="AC258" s="128">
        <f t="shared" si="211"/>
        <v>2.8461538461538463</v>
      </c>
      <c r="AD258" s="128">
        <f t="shared" si="211"/>
        <v>3.1538461538461537</v>
      </c>
      <c r="AE258" s="128">
        <f t="shared" si="211"/>
        <v>3.0769230769230771</v>
      </c>
      <c r="AF258" s="128">
        <f t="shared" si="211"/>
        <v>2.9230769230769229</v>
      </c>
      <c r="AG258" s="128">
        <f t="shared" si="211"/>
        <v>2.8461538461538463</v>
      </c>
      <c r="AH258" s="128">
        <f t="shared" si="211"/>
        <v>2.9230769230769229</v>
      </c>
      <c r="AI258" s="128">
        <f t="shared" si="211"/>
        <v>2.8461538461538463</v>
      </c>
      <c r="AJ258" s="128">
        <f t="shared" si="211"/>
        <v>2.8461538461538463</v>
      </c>
      <c r="AK258" s="128">
        <f t="shared" si="211"/>
        <v>2.7692307692307692</v>
      </c>
      <c r="AL258" s="128">
        <f t="shared" si="211"/>
        <v>0</v>
      </c>
      <c r="AM258" s="128">
        <f t="shared" si="211"/>
        <v>0</v>
      </c>
      <c r="AN258" s="128">
        <f t="shared" si="211"/>
        <v>0</v>
      </c>
    </row>
    <row r="259" spans="1:41" x14ac:dyDescent="0.35">
      <c r="AA259" s="3"/>
    </row>
    <row r="260" spans="1:41" ht="15" thickBot="1" x14ac:dyDescent="0.4"/>
    <row r="261" spans="1:41" x14ac:dyDescent="0.35">
      <c r="A261" s="140" t="s">
        <v>88</v>
      </c>
      <c r="B261" s="443">
        <f t="shared" ref="B261:N261" si="212">B13+B14</f>
        <v>0</v>
      </c>
      <c r="C261" s="443">
        <f t="shared" si="212"/>
        <v>0</v>
      </c>
      <c r="D261" s="443">
        <f t="shared" si="212"/>
        <v>0</v>
      </c>
      <c r="E261" s="443">
        <f t="shared" si="212"/>
        <v>0</v>
      </c>
      <c r="F261" s="443">
        <f t="shared" si="212"/>
        <v>0</v>
      </c>
      <c r="G261" s="443">
        <f t="shared" si="212"/>
        <v>1</v>
      </c>
      <c r="H261" s="443">
        <f t="shared" si="212"/>
        <v>1</v>
      </c>
      <c r="I261" s="443">
        <f t="shared" si="212"/>
        <v>1</v>
      </c>
      <c r="J261" s="56">
        <f t="shared" si="212"/>
        <v>4</v>
      </c>
      <c r="K261" s="56">
        <f t="shared" si="212"/>
        <v>9</v>
      </c>
      <c r="L261" s="56">
        <f t="shared" si="212"/>
        <v>11</v>
      </c>
      <c r="M261" s="56">
        <f t="shared" si="212"/>
        <v>6</v>
      </c>
      <c r="N261" s="56">
        <f t="shared" si="212"/>
        <v>0</v>
      </c>
      <c r="O261" s="56">
        <f t="shared" ref="O261:Z261" si="213">O13+O14</f>
        <v>8</v>
      </c>
      <c r="P261" s="56">
        <f t="shared" si="213"/>
        <v>9</v>
      </c>
      <c r="Q261" s="56">
        <f t="shared" si="213"/>
        <v>8</v>
      </c>
      <c r="R261" s="56">
        <f t="shared" si="213"/>
        <v>9</v>
      </c>
      <c r="S261" s="56">
        <f t="shared" si="213"/>
        <v>4</v>
      </c>
      <c r="T261" s="56">
        <f t="shared" si="213"/>
        <v>5</v>
      </c>
      <c r="U261" s="56">
        <f t="shared" si="213"/>
        <v>5</v>
      </c>
      <c r="V261" s="56">
        <f t="shared" si="213"/>
        <v>6</v>
      </c>
      <c r="W261" s="56">
        <f t="shared" si="213"/>
        <v>12</v>
      </c>
      <c r="X261" s="56">
        <f t="shared" si="213"/>
        <v>3</v>
      </c>
      <c r="Y261" s="56">
        <f t="shared" si="213"/>
        <v>9</v>
      </c>
      <c r="Z261" s="56">
        <f t="shared" si="213"/>
        <v>4</v>
      </c>
      <c r="AA261" s="56">
        <f t="shared" ref="AA261:AN261" si="214">AA13+AA14</f>
        <v>7</v>
      </c>
      <c r="AB261" s="56">
        <f t="shared" si="214"/>
        <v>7</v>
      </c>
      <c r="AC261" s="56">
        <f t="shared" si="214"/>
        <v>6</v>
      </c>
      <c r="AD261" s="56">
        <f t="shared" si="214"/>
        <v>6</v>
      </c>
      <c r="AE261" s="56">
        <f t="shared" si="214"/>
        <v>7</v>
      </c>
      <c r="AF261" s="56">
        <f t="shared" si="214"/>
        <v>9</v>
      </c>
      <c r="AG261" s="56">
        <f t="shared" si="214"/>
        <v>4</v>
      </c>
      <c r="AH261" s="56">
        <f t="shared" si="214"/>
        <v>6</v>
      </c>
      <c r="AI261" s="56">
        <f t="shared" si="214"/>
        <v>13</v>
      </c>
      <c r="AJ261" s="56">
        <f t="shared" si="214"/>
        <v>7</v>
      </c>
      <c r="AK261" s="56">
        <f t="shared" si="214"/>
        <v>5</v>
      </c>
      <c r="AL261" s="56">
        <f t="shared" si="214"/>
        <v>0</v>
      </c>
      <c r="AM261" s="56">
        <f t="shared" si="214"/>
        <v>0</v>
      </c>
      <c r="AN261" s="56">
        <f t="shared" si="214"/>
        <v>0</v>
      </c>
    </row>
    <row r="262" spans="1:41" ht="15" thickBot="1" x14ac:dyDescent="0.4">
      <c r="A262" s="141" t="s">
        <v>89</v>
      </c>
      <c r="B262" s="444">
        <f>IF(B$1=1,(SUM(B261:B261)/13),NA())</f>
        <v>0</v>
      </c>
      <c r="C262" s="444">
        <f>IF(C$1=1,(SUM(B261:C261)/13),NA())</f>
        <v>0</v>
      </c>
      <c r="D262" s="444">
        <f>IF(D$1=1,(SUM(B261:D261)/13),NA())</f>
        <v>0</v>
      </c>
      <c r="E262" s="444">
        <f>IF(E$1=1,(SUM(B261:E261)/13),NA())</f>
        <v>0</v>
      </c>
      <c r="F262" s="444">
        <f>IF(F$1=1,(SUM(B261:F261)/13),NA())</f>
        <v>0</v>
      </c>
      <c r="G262" s="444">
        <f>IF(G$1=1,(SUM(B261:G261)/13),NA())</f>
        <v>7.6923076923076927E-2</v>
      </c>
      <c r="H262" s="444">
        <f>IF(H$1=1,(SUM(B261:H261)/13),NA())</f>
        <v>0.15384615384615385</v>
      </c>
      <c r="I262" s="444">
        <f>IF(I$1=1,(SUM(B261:I261)/13),NA())</f>
        <v>0.23076923076923078</v>
      </c>
      <c r="J262" s="67">
        <f>IF(J$1=1,(SUM(B261:J261)/13),NA())</f>
        <v>0.53846153846153844</v>
      </c>
      <c r="K262" s="67">
        <f>IF(K$1=1,(SUM(B261:K261)/13),NA())</f>
        <v>1.2307692307692308</v>
      </c>
      <c r="L262" s="67">
        <f>IF(L$1=1,(SUM(B261:L261)/13),NA())</f>
        <v>2.0769230769230771</v>
      </c>
      <c r="M262" s="67">
        <f>IF(M$1=1,(SUM(B261:M261)/13),NA())</f>
        <v>2.5384615384615383</v>
      </c>
      <c r="N262" s="67">
        <f>IF(N$1=1,(SUM(B261:N261)/13),NA())</f>
        <v>2.5384615384615383</v>
      </c>
      <c r="O262" s="67">
        <f t="shared" ref="O262:Z262" si="215">IF(O$1=1,(SUM(C261:O261)/13),NA())</f>
        <v>3.1538461538461537</v>
      </c>
      <c r="P262" s="67">
        <f t="shared" si="215"/>
        <v>3.8461538461538463</v>
      </c>
      <c r="Q262" s="67">
        <f t="shared" si="215"/>
        <v>4.4615384615384617</v>
      </c>
      <c r="R262" s="67">
        <f t="shared" si="215"/>
        <v>5.1538461538461542</v>
      </c>
      <c r="S262" s="67">
        <f t="shared" si="215"/>
        <v>5.4615384615384617</v>
      </c>
      <c r="T262" s="67">
        <f t="shared" si="215"/>
        <v>5.7692307692307692</v>
      </c>
      <c r="U262" s="67">
        <f t="shared" si="215"/>
        <v>6.0769230769230766</v>
      </c>
      <c r="V262" s="67">
        <f t="shared" si="215"/>
        <v>6.4615384615384617</v>
      </c>
      <c r="W262" s="67">
        <f t="shared" si="215"/>
        <v>7.0769230769230766</v>
      </c>
      <c r="X262" s="67">
        <f t="shared" si="215"/>
        <v>6.615384615384615</v>
      </c>
      <c r="Y262" s="67">
        <f t="shared" si="215"/>
        <v>6.4615384615384617</v>
      </c>
      <c r="Z262" s="67">
        <f t="shared" si="215"/>
        <v>6.3076923076923075</v>
      </c>
      <c r="AA262" s="67">
        <f t="shared" ref="AA262:AN262" si="216">IF(AA$1=1,(SUM(O261:AA261)/13),NA())</f>
        <v>6.8461538461538458</v>
      </c>
      <c r="AB262" s="67">
        <f t="shared" si="216"/>
        <v>6.7692307692307692</v>
      </c>
      <c r="AC262" s="67">
        <f t="shared" si="216"/>
        <v>6.5384615384615383</v>
      </c>
      <c r="AD262" s="67">
        <f t="shared" si="216"/>
        <v>6.384615384615385</v>
      </c>
      <c r="AE262" s="67">
        <f t="shared" si="216"/>
        <v>6.2307692307692308</v>
      </c>
      <c r="AF262" s="67">
        <f t="shared" si="216"/>
        <v>6.615384615384615</v>
      </c>
      <c r="AG262" s="67">
        <f t="shared" si="216"/>
        <v>6.5384615384615383</v>
      </c>
      <c r="AH262" s="67">
        <f t="shared" si="216"/>
        <v>6.615384615384615</v>
      </c>
      <c r="AI262" s="67">
        <f t="shared" si="216"/>
        <v>7.1538461538461542</v>
      </c>
      <c r="AJ262" s="67">
        <f t="shared" si="216"/>
        <v>6.7692307692307692</v>
      </c>
      <c r="AK262" s="67">
        <f t="shared" si="216"/>
        <v>6.9230769230769234</v>
      </c>
      <c r="AL262" s="67" t="e">
        <f t="shared" si="216"/>
        <v>#N/A</v>
      </c>
      <c r="AM262" s="67" t="e">
        <f t="shared" si="216"/>
        <v>#N/A</v>
      </c>
      <c r="AN262" s="67" t="e">
        <f t="shared" si="216"/>
        <v>#N/A</v>
      </c>
    </row>
    <row r="264" spans="1:41" ht="15" thickBot="1" x14ac:dyDescent="0.4"/>
    <row r="265" spans="1:41" ht="15" thickBot="1" x14ac:dyDescent="0.4">
      <c r="A265" s="77"/>
      <c r="B265" s="396">
        <v>2301</v>
      </c>
      <c r="C265" s="396">
        <v>2302</v>
      </c>
      <c r="D265" s="396">
        <v>2303</v>
      </c>
      <c r="E265" s="396">
        <v>2304</v>
      </c>
      <c r="F265" s="396">
        <v>2305</v>
      </c>
      <c r="G265" s="396">
        <v>2306</v>
      </c>
      <c r="H265" s="396">
        <v>2307</v>
      </c>
      <c r="I265" s="396">
        <v>2308</v>
      </c>
      <c r="J265" s="206">
        <v>2309</v>
      </c>
      <c r="K265" s="206">
        <v>2310</v>
      </c>
      <c r="L265" s="206">
        <v>2311</v>
      </c>
      <c r="M265" s="206">
        <v>2312</v>
      </c>
      <c r="N265" s="210">
        <v>2313</v>
      </c>
      <c r="O265" s="211">
        <v>2401</v>
      </c>
      <c r="P265" s="206">
        <v>2402</v>
      </c>
      <c r="Q265" s="206">
        <v>2403</v>
      </c>
      <c r="R265" s="206">
        <v>2404</v>
      </c>
      <c r="S265" s="206">
        <v>2405</v>
      </c>
      <c r="T265" s="206">
        <v>2406</v>
      </c>
      <c r="U265" s="206">
        <v>2407</v>
      </c>
      <c r="V265" s="206">
        <v>2408</v>
      </c>
      <c r="W265" s="206">
        <v>2409</v>
      </c>
      <c r="X265" s="206">
        <v>2410</v>
      </c>
      <c r="Y265" s="206">
        <v>2411</v>
      </c>
      <c r="Z265" s="212">
        <v>2412</v>
      </c>
      <c r="AA265" s="282">
        <v>2413</v>
      </c>
      <c r="AB265" s="284">
        <v>2501</v>
      </c>
      <c r="AC265" s="284">
        <v>2502</v>
      </c>
      <c r="AD265" s="284">
        <v>2503</v>
      </c>
      <c r="AE265" s="284">
        <v>2504</v>
      </c>
      <c r="AF265" s="284">
        <v>2505</v>
      </c>
      <c r="AG265" s="284">
        <v>2506</v>
      </c>
      <c r="AH265" s="284">
        <v>2507</v>
      </c>
      <c r="AI265" s="284">
        <v>2508</v>
      </c>
      <c r="AJ265" s="284">
        <v>2509</v>
      </c>
      <c r="AK265" s="284">
        <v>2510</v>
      </c>
      <c r="AL265" s="284">
        <v>2511</v>
      </c>
      <c r="AM265" s="284">
        <v>2512</v>
      </c>
      <c r="AN265" s="284">
        <v>2513</v>
      </c>
    </row>
    <row r="266" spans="1:41" x14ac:dyDescent="0.35">
      <c r="A266" s="178" t="s">
        <v>90</v>
      </c>
      <c r="B266" s="445">
        <f t="array" aca="1" ref="B266" ca="1">SUM((B265='Safety Action Tracking'!$E$3:$E$8001)*($A$266='Safety Action Tracking'!$B$3:$B$2815)*(Data!$B$266='Safety Action Tracking'!$A$3:$A$8001))</f>
        <v>0</v>
      </c>
      <c r="C266" s="445" cm="1">
        <f t="array" aca="1" ref="C266" ca="1">SUM((C265='Safety Action Tracking'!$E$3:$E$8001)*($A$266='Safety Action Tracking'!$B$3:$B$2815)*(Data!$B$266='Safety Action Tracking'!$A$3:$A$8001))</f>
        <v>0</v>
      </c>
      <c r="D266" s="445" cm="1">
        <f t="array" aca="1" ref="D266" ca="1">SUM((D265='Safety Action Tracking'!$E$3:$E$8001)*($A$266='Safety Action Tracking'!$B$3:$B$2815)*(Data!$B$266='Safety Action Tracking'!$A$3:$A$8001))</f>
        <v>0</v>
      </c>
      <c r="E266" s="445" cm="1">
        <f t="array" aca="1" ref="E266" ca="1">SUM((E265='Safety Action Tracking'!$E$3:$E$8001)*($A$266='Safety Action Tracking'!$B$3:$B$2815)*(Data!$B$266='Safety Action Tracking'!$A$3:$A$8001))</f>
        <v>0</v>
      </c>
      <c r="F266" s="445" cm="1">
        <f t="array" aca="1" ref="F266" ca="1">SUM((F265='Safety Action Tracking'!$E$3:$E$8001)*($A$266='Safety Action Tracking'!$B$3:$B$2815)*(Data!$B$266='Safety Action Tracking'!$A$3:$A$8001))</f>
        <v>0</v>
      </c>
      <c r="G266" s="445" cm="1">
        <f t="array" aca="1" ref="G266" ca="1">SUM((G265='Safety Action Tracking'!$E$3:$E$8001)*($A$266='Safety Action Tracking'!$B$3:$B$2815)*(Data!$B$266='Safety Action Tracking'!$A$3:$A$8001))</f>
        <v>0</v>
      </c>
      <c r="H266" s="445" cm="1">
        <f t="array" aca="1" ref="H266" ca="1">SUM((H265='Safety Action Tracking'!$E$3:$E$8001)*($A$266='Safety Action Tracking'!$B$3:$B$2815)*(Data!$B$266='Safety Action Tracking'!$A$3:$A$8001))</f>
        <v>0</v>
      </c>
      <c r="I266" s="445" cm="1">
        <f t="array" aca="1" ref="I266" ca="1">SUM((I265='Safety Action Tracking'!$E$3:$E$8001)*($A$266='Safety Action Tracking'!$B$3:$B$2815)*(Data!$B$266='Safety Action Tracking'!$A$3:$A$8001))</f>
        <v>0</v>
      </c>
      <c r="J266" s="76" cm="1">
        <f t="array" aca="1" ref="J266" ca="1">SUM((J265='Safety Action Tracking'!$E$3:$E$8001)*($A$266='Safety Action Tracking'!$B$3:$B$2815)*(Data!$B$266='Safety Action Tracking'!$A$3:$A$8001))</f>
        <v>0</v>
      </c>
      <c r="K266" s="76" cm="1">
        <f t="array" aca="1" ref="K266" ca="1">SUM((K265='Safety Action Tracking'!$E$3:$E$8001)*($A$266='Safety Action Tracking'!$B$3:$B$2815)*(Data!$B$266='Safety Action Tracking'!$A$3:$A$8001))</f>
        <v>0</v>
      </c>
      <c r="L266" s="76" cm="1">
        <f t="array" aca="1" ref="L266" ca="1">SUM((L265='Safety Action Tracking'!$E$3:$E$8001)*($A$266='Safety Action Tracking'!$B$3:$B$2815)*(Data!$B$266='Safety Action Tracking'!$A$3:$A$8001))</f>
        <v>0</v>
      </c>
      <c r="M266" s="76" cm="1">
        <f t="array" aca="1" ref="M266" ca="1">SUM((M265='Safety Action Tracking'!$E$3:$E$8001)*($A$266='Safety Action Tracking'!$B$3:$B$2815)*(Data!$B$266='Safety Action Tracking'!$A$3:$A$8001))</f>
        <v>0</v>
      </c>
      <c r="N266" s="76" cm="1">
        <f t="array" aca="1" ref="N266" ca="1">SUM((N265='Safety Action Tracking'!$E$3:$E$8001)*($A$266='Safety Action Tracking'!$B$3:$B$2815)*(Data!$B$266='Safety Action Tracking'!$A$3:$A$8001))</f>
        <v>0</v>
      </c>
      <c r="O266" s="76" cm="1">
        <f t="array" aca="1" ref="O266" ca="1">SUM((O265='Safety Action Tracking'!$E$3:$E$8001)*($A$266='Safety Action Tracking'!$B$3:$B$2815)*(Data!$B$266='Safety Action Tracking'!$A$3:$A$8001))</f>
        <v>0</v>
      </c>
      <c r="P266" s="76" cm="1">
        <f t="array" aca="1" ref="P266" ca="1">SUM((P265='Safety Action Tracking'!$E$3:$E$8001)*($A$266='Safety Action Tracking'!$B$3:$B$2815)*(Data!$B$266='Safety Action Tracking'!$A$3:$A$8001))</f>
        <v>0</v>
      </c>
      <c r="Q266" s="76" cm="1">
        <f t="array" aca="1" ref="Q266" ca="1">SUM((Q265='Safety Action Tracking'!$E$3:$E$8001)*($A$266='Safety Action Tracking'!$B$3:$B$2815)*(Data!$B$266='Safety Action Tracking'!$A$3:$A$8001))</f>
        <v>0</v>
      </c>
      <c r="R266" s="76" cm="1">
        <f t="array" aca="1" ref="R266" ca="1">SUM((R265='Safety Action Tracking'!$E$3:$E$8001)*($A$266='Safety Action Tracking'!$B$3:$B$2815)*(Data!$B$266='Safety Action Tracking'!$A$3:$A$8001))</f>
        <v>0</v>
      </c>
      <c r="S266" s="76" cm="1">
        <f t="array" aca="1" ref="S266" ca="1">SUM((S265='Safety Action Tracking'!$E$3:$E$8001)*($A$266='Safety Action Tracking'!$B$3:$B$2815)*(Data!$B$266='Safety Action Tracking'!$A$3:$A$8001))</f>
        <v>0</v>
      </c>
      <c r="T266" s="76" cm="1">
        <f t="array" aca="1" ref="T266" ca="1">SUM((T265='Safety Action Tracking'!$E$3:$E$8001)*($A$266='Safety Action Tracking'!$B$3:$B$2815)*(Data!$B$266='Safety Action Tracking'!$A$3:$A$8001))</f>
        <v>0</v>
      </c>
      <c r="U266" s="76" cm="1">
        <f t="array" aca="1" ref="U266" ca="1">SUM((U265='Safety Action Tracking'!$E$3:$E$8001)*($A$266='Safety Action Tracking'!$B$3:$B$2815)*(Data!$B$266='Safety Action Tracking'!$A$3:$A$8001))</f>
        <v>0</v>
      </c>
      <c r="V266" s="76" cm="1">
        <f t="array" aca="1" ref="V266" ca="1">SUM((V265='Safety Action Tracking'!$E$3:$E$8001)*($A$266='Safety Action Tracking'!$B$3:$B$2815)*(Data!$B$266='Safety Action Tracking'!$A$3:$A$8001))</f>
        <v>0</v>
      </c>
      <c r="W266" s="76" cm="1">
        <f t="array" aca="1" ref="W266" ca="1">SUM((W265='Safety Action Tracking'!$E$3:$E$8001)*($A$266='Safety Action Tracking'!$B$3:$B$2815)*(Data!$B$266='Safety Action Tracking'!$A$3:$A$8001))</f>
        <v>0</v>
      </c>
      <c r="X266" s="76" cm="1">
        <f t="array" aca="1" ref="X266" ca="1">SUM((X265='Safety Action Tracking'!$E$3:$E$8001)*($A$266='Safety Action Tracking'!$B$3:$B$2815)*(Data!$B$266='Safety Action Tracking'!$A$3:$A$8001))</f>
        <v>0</v>
      </c>
      <c r="Y266" s="76" cm="1">
        <f t="array" aca="1" ref="Y266" ca="1">SUM((Y265='Safety Action Tracking'!$E$3:$E$8001)*($A$266='Safety Action Tracking'!$B$3:$B$2815)*(Data!$B$266='Safety Action Tracking'!$A$3:$A$8001))</f>
        <v>0</v>
      </c>
      <c r="Z266" s="76" cm="1">
        <f t="array" aca="1" ref="Z266" ca="1">SUM((Z265='Safety Action Tracking'!$E$3:$E$8001)*($A$266='Safety Action Tracking'!$B$3:$B$2815)*(Data!$B$266='Safety Action Tracking'!$A$3:$A$8001))</f>
        <v>0</v>
      </c>
      <c r="AA266" s="76" cm="1">
        <f t="array" aca="1" ref="AA266" ca="1">SUM((AA265='Safety Action Tracking'!$E$3:$E$8001)*($A$266='Safety Action Tracking'!$B$3:$B$2815)*(Data!$B$266='Safety Action Tracking'!$A$3:$A$8001))</f>
        <v>0</v>
      </c>
      <c r="AB266" s="76" cm="1">
        <f t="array" aca="1" ref="AB266" ca="1">SUM((AB265='Safety Action Tracking'!$E$3:$E$8001)*($A$266='Safety Action Tracking'!$B$3:$B$2815)*(Data!$B$266='Safety Action Tracking'!$A$3:$A$8001))</f>
        <v>0</v>
      </c>
      <c r="AC266" s="76" cm="1">
        <f t="array" aca="1" ref="AC266" ca="1">SUM((AC265='Safety Action Tracking'!$E$3:$E$8001)*($A$266='Safety Action Tracking'!$B$3:$B$2815)*(Data!$B$266='Safety Action Tracking'!$A$3:$A$8001))</f>
        <v>0</v>
      </c>
      <c r="AD266" s="76" cm="1">
        <f t="array" aca="1" ref="AD266" ca="1">SUM((AD265='Safety Action Tracking'!$E$3:$E$8001)*($A$266='Safety Action Tracking'!$B$3:$B$2815)*(Data!$B$266='Safety Action Tracking'!$A$3:$A$8001))</f>
        <v>0</v>
      </c>
      <c r="AE266" s="76" cm="1">
        <f t="array" aca="1" ref="AE266" ca="1">SUM((AE265='Safety Action Tracking'!$E$3:$E$8001)*($A$266='Safety Action Tracking'!$B$3:$B$2815)*(Data!$B$266='Safety Action Tracking'!$A$3:$A$8001))</f>
        <v>0</v>
      </c>
      <c r="AF266" s="76" cm="1">
        <f t="array" aca="1" ref="AF266" ca="1">SUM((AF265='Safety Action Tracking'!$E$3:$E$8001)*($A$266='Safety Action Tracking'!$B$3:$B$2815)*(Data!$B$266='Safety Action Tracking'!$A$3:$A$8001))</f>
        <v>0</v>
      </c>
      <c r="AG266" s="76" cm="1">
        <f t="array" aca="1" ref="AG266" ca="1">SUM((AG265='Safety Action Tracking'!$E$3:$E$8001)*($A$266='Safety Action Tracking'!$B$3:$B$2815)*(Data!$B$266='Safety Action Tracking'!$A$3:$A$8001))</f>
        <v>0</v>
      </c>
      <c r="AH266" s="76" cm="1">
        <f t="array" aca="1" ref="AH266" ca="1">SUM((AH265='Safety Action Tracking'!$E$3:$E$8001)*($A$266='Safety Action Tracking'!$B$3:$B$2815)*(Data!$B$266='Safety Action Tracking'!$A$3:$A$8001))</f>
        <v>0</v>
      </c>
      <c r="AI266" s="76" cm="1">
        <f t="array" aca="1" ref="AI266" ca="1">SUM((AI265='Safety Action Tracking'!$E$3:$E$8001)*($A$266='Safety Action Tracking'!$B$3:$B$2815)*(Data!$B$266='Safety Action Tracking'!$A$3:$A$8001))</f>
        <v>0</v>
      </c>
      <c r="AJ266" s="76" cm="1">
        <f t="array" aca="1" ref="AJ266" ca="1">SUM((AJ265='Safety Action Tracking'!$E$3:$E$8001)*($A$266='Safety Action Tracking'!$B$3:$B$2815)*(Data!$B$266='Safety Action Tracking'!$A$3:$A$8001))</f>
        <v>0</v>
      </c>
      <c r="AK266" s="76" cm="1">
        <f t="array" aca="1" ref="AK266" ca="1">SUM((AK265='Safety Action Tracking'!$E$3:$E$8001)*($A$266='Safety Action Tracking'!$B$3:$B$2815)*(Data!$B$266='Safety Action Tracking'!$A$3:$A$8001))</f>
        <v>0</v>
      </c>
      <c r="AL266" s="76" cm="1">
        <f t="array" aca="1" ref="AL266" ca="1">SUM((AL265='Safety Action Tracking'!$E$3:$E$8001)*($A$266='Safety Action Tracking'!$B$3:$B$2815)*(Data!$B$266='Safety Action Tracking'!$A$3:$A$8001))</f>
        <v>0</v>
      </c>
      <c r="AM266" s="76" cm="1">
        <f t="array" aca="1" ref="AM266" ca="1">SUM((AM265='Safety Action Tracking'!$E$3:$E$8001)*($A$266='Safety Action Tracking'!$B$3:$B$2815)*(Data!$B$266='Safety Action Tracking'!$A$3:$A$8001))</f>
        <v>0</v>
      </c>
      <c r="AN266" s="76" cm="1">
        <f t="array" aca="1" ref="AN266" ca="1">SUM((AN265='Safety Action Tracking'!$E$3:$E$8001)*($A$266='Safety Action Tracking'!$B$3:$B$2815)*(Data!$B$266='Safety Action Tracking'!$A$3:$A$8001))</f>
        <v>0</v>
      </c>
    </row>
    <row r="267" spans="1:41" x14ac:dyDescent="0.35">
      <c r="A267" s="177" t="s">
        <v>90</v>
      </c>
      <c r="B267" s="445"/>
      <c r="C267" s="445"/>
      <c r="D267" s="445"/>
      <c r="E267" s="445"/>
      <c r="F267" s="445"/>
      <c r="G267" s="445"/>
      <c r="H267" s="445"/>
      <c r="I267" s="445"/>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row>
    <row r="268" spans="1:41" x14ac:dyDescent="0.35">
      <c r="A268" s="177" t="s">
        <v>90</v>
      </c>
      <c r="B268" s="445"/>
      <c r="C268" s="445"/>
      <c r="D268" s="445"/>
      <c r="E268" s="445"/>
      <c r="F268" s="445"/>
      <c r="G268" s="445"/>
      <c r="H268" s="445"/>
      <c r="I268" s="445"/>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row>
    <row r="269" spans="1:41" x14ac:dyDescent="0.35">
      <c r="A269" s="177" t="s">
        <v>91</v>
      </c>
      <c r="B269" s="445" cm="1">
        <f t="array" aca="1" ref="B269" ca="1">SUM((B265='Safety Action Tracking'!$E$3:$E$8001)*($A$269='Safety Action Tracking'!$B$3:$B$8001)*(Data!$B$269='Safety Action Tracking'!$A$3:$A$8001))</f>
        <v>0</v>
      </c>
      <c r="C269" s="445" cm="1">
        <f t="array" aca="1" ref="C269" ca="1">SUM((C265='Safety Action Tracking'!$E$3:$E$8001)*($A$269='Safety Action Tracking'!$B$3:$B$8001)*(Data!$B$269='Safety Action Tracking'!$A$3:$A$8001))</f>
        <v>0</v>
      </c>
      <c r="D269" s="445" cm="1">
        <f t="array" aca="1" ref="D269" ca="1">SUM((D265='Safety Action Tracking'!$E$3:$E$8001)*($A$269='Safety Action Tracking'!$B$3:$B$8001)*(Data!$B$269='Safety Action Tracking'!$A$3:$A$8001))</f>
        <v>0</v>
      </c>
      <c r="E269" s="445" cm="1">
        <f t="array" aca="1" ref="E269" ca="1">SUM((E265='Safety Action Tracking'!$E$3:$E$8001)*($A$269='Safety Action Tracking'!$B$3:$B$8001)*(Data!$B$269='Safety Action Tracking'!$A$3:$A$8001))</f>
        <v>0</v>
      </c>
      <c r="F269" s="445" cm="1">
        <f t="array" aca="1" ref="F269" ca="1">SUM((F265='Safety Action Tracking'!$E$3:$E$8001)*($A$269='Safety Action Tracking'!$B$3:$B$8001)*(Data!$B$269='Safety Action Tracking'!$A$3:$A$8001))</f>
        <v>0</v>
      </c>
      <c r="G269" s="445" cm="1">
        <f t="array" aca="1" ref="G269" ca="1">SUM((G265='Safety Action Tracking'!$E$3:$E$8001)*($A$269='Safety Action Tracking'!$B$3:$B$8001)*(Data!$B$269='Safety Action Tracking'!$A$3:$A$8001))</f>
        <v>0</v>
      </c>
      <c r="H269" s="445" cm="1">
        <f t="array" aca="1" ref="H269" ca="1">SUM((H265='Safety Action Tracking'!$E$3:$E$8001)*($A$269='Safety Action Tracking'!$B$3:$B$8001)*(Data!$B$269='Safety Action Tracking'!$A$3:$A$8001))</f>
        <v>0</v>
      </c>
      <c r="I269" s="445" cm="1">
        <f t="array" aca="1" ref="I269" ca="1">SUM((I265='Safety Action Tracking'!$E$3:$E$8001)*($A$269='Safety Action Tracking'!$B$3:$B$8001)*(Data!$B$269='Safety Action Tracking'!$A$3:$A$8001))</f>
        <v>0</v>
      </c>
      <c r="J269" s="76" cm="1">
        <f t="array" aca="1" ref="J269" ca="1">SUM((J265='Safety Action Tracking'!$E$3:$E$8001)*($A$269='Safety Action Tracking'!$B$3:$B$8001)*(Data!$B$269='Safety Action Tracking'!$A$3:$A$8001))</f>
        <v>0</v>
      </c>
      <c r="K269" s="76" cm="1">
        <f t="array" aca="1" ref="K269" ca="1">SUM((K265='Safety Action Tracking'!$E$3:$E$8001)*($A$269='Safety Action Tracking'!$B$3:$B$8001)*(Data!$B$269='Safety Action Tracking'!$A$3:$A$8001))</f>
        <v>0</v>
      </c>
      <c r="L269" s="76" cm="1">
        <f t="array" aca="1" ref="L269" ca="1">SUM((L265='Safety Action Tracking'!$E$3:$E$8001)*($A$269='Safety Action Tracking'!$B$3:$B$8001)*(Data!$B$269='Safety Action Tracking'!$A$3:$A$8001))</f>
        <v>0</v>
      </c>
      <c r="M269" s="76" cm="1">
        <f t="array" aca="1" ref="M269" ca="1">SUM((M265='Safety Action Tracking'!$E$3:$E$8001)*($A$269='Safety Action Tracking'!$B$3:$B$8001)*(Data!$B$269='Safety Action Tracking'!$A$3:$A$8001))</f>
        <v>0</v>
      </c>
      <c r="N269" s="76" cm="1">
        <f t="array" aca="1" ref="N269" ca="1">SUM((N265='Safety Action Tracking'!$E$3:$E$8001)*($A$269='Safety Action Tracking'!$B$3:$B$8001)*(Data!$B$269='Safety Action Tracking'!$A$3:$A$8001))</f>
        <v>0</v>
      </c>
      <c r="O269" s="76" cm="1">
        <f t="array" aca="1" ref="O269" ca="1">SUM((O265='Safety Action Tracking'!$E$3:$E$8001)*($A$269='Safety Action Tracking'!$B$3:$B$8001)*(Data!$B$269='Safety Action Tracking'!$A$3:$A$8001))</f>
        <v>0</v>
      </c>
      <c r="P269" s="76" cm="1">
        <f t="array" aca="1" ref="P269" ca="1">SUM((P265='Safety Action Tracking'!$E$3:$E$8001)*($A$269='Safety Action Tracking'!$B$3:$B$8001)*(Data!$B$269='Safety Action Tracking'!$A$3:$A$8001))</f>
        <v>0</v>
      </c>
      <c r="Q269" s="76" cm="1">
        <f t="array" aca="1" ref="Q269" ca="1">SUM((Q265='Safety Action Tracking'!$E$3:$E$8001)*($A$269='Safety Action Tracking'!$B$3:$B$8001)*(Data!$B$269='Safety Action Tracking'!$A$3:$A$8001))</f>
        <v>0</v>
      </c>
      <c r="R269" s="76" cm="1">
        <f t="array" aca="1" ref="R269" ca="1">SUM((R265='Safety Action Tracking'!$E$3:$E$8001)*($A$269='Safety Action Tracking'!$B$3:$B$8001)*(Data!$B$269='Safety Action Tracking'!$A$3:$A$8001))</f>
        <v>0</v>
      </c>
      <c r="S269" s="76" cm="1">
        <f t="array" aca="1" ref="S269" ca="1">SUM((S265='Safety Action Tracking'!$E$3:$E$8001)*($A$269='Safety Action Tracking'!$B$3:$B$8001)*(Data!$B$269='Safety Action Tracking'!$A$3:$A$8001))</f>
        <v>0</v>
      </c>
      <c r="T269" s="76" cm="1">
        <f t="array" aca="1" ref="T269" ca="1">SUM((T265='Safety Action Tracking'!$E$3:$E$8001)*($A$269='Safety Action Tracking'!$B$3:$B$8001)*(Data!$B$269='Safety Action Tracking'!$A$3:$A$8001))</f>
        <v>0</v>
      </c>
      <c r="U269" s="76" cm="1">
        <f t="array" aca="1" ref="U269" ca="1">SUM((U265='Safety Action Tracking'!$E$3:$E$8001)*($A$269='Safety Action Tracking'!$B$3:$B$8001)*(Data!$B$269='Safety Action Tracking'!$A$3:$A$8001))</f>
        <v>0</v>
      </c>
      <c r="V269" s="76" cm="1">
        <f t="array" aca="1" ref="V269" ca="1">SUM((V265='Safety Action Tracking'!$E$3:$E$8001)*($A$269='Safety Action Tracking'!$B$3:$B$8001)*(Data!$B$269='Safety Action Tracking'!$A$3:$A$8001))</f>
        <v>0</v>
      </c>
      <c r="W269" s="76" cm="1">
        <f t="array" aca="1" ref="W269" ca="1">SUM((W265='Safety Action Tracking'!$E$3:$E$8001)*($A$269='Safety Action Tracking'!$B$3:$B$8001)*(Data!$B$269='Safety Action Tracking'!$A$3:$A$8001))</f>
        <v>0</v>
      </c>
      <c r="X269" s="76" cm="1">
        <f t="array" aca="1" ref="X269" ca="1">SUM((X265='Safety Action Tracking'!$E$3:$E$8001)*($A$269='Safety Action Tracking'!$B$3:$B$8001)*(Data!$B$269='Safety Action Tracking'!$A$3:$A$8001))</f>
        <v>0</v>
      </c>
      <c r="Y269" s="76" cm="1">
        <f t="array" aca="1" ref="Y269" ca="1">SUM((Y265='Safety Action Tracking'!$E$3:$E$8001)*($A$269='Safety Action Tracking'!$B$3:$B$8001)*(Data!$B$269='Safety Action Tracking'!$A$3:$A$8001))</f>
        <v>0</v>
      </c>
      <c r="Z269" s="76" cm="1">
        <f t="array" aca="1" ref="Z269" ca="1">SUM((Z265='Safety Action Tracking'!$E$3:$E$8001)*($A$269='Safety Action Tracking'!$B$3:$B$8001)*(Data!$B$269='Safety Action Tracking'!$A$3:$A$8001))</f>
        <v>0</v>
      </c>
      <c r="AA269" s="76" cm="1">
        <f t="array" aca="1" ref="AA269" ca="1">SUM((AA265='Safety Action Tracking'!$E$3:$E$8001)*($A$269='Safety Action Tracking'!$B$3:$B$8001)*(Data!$B$269='Safety Action Tracking'!$A$3:$A$8001))</f>
        <v>0</v>
      </c>
      <c r="AB269" s="76" cm="1">
        <f t="array" aca="1" ref="AB269" ca="1">SUM((AB265='Safety Action Tracking'!$E$3:$E$8001)*($A$269='Safety Action Tracking'!$B$3:$B$8001)*(Data!$B$269='Safety Action Tracking'!$A$3:$A$8001))</f>
        <v>0</v>
      </c>
      <c r="AC269" s="76" cm="1">
        <f t="array" aca="1" ref="AC269" ca="1">SUM((AC265='Safety Action Tracking'!$E$3:$E$8001)*($A$269='Safety Action Tracking'!$B$3:$B$8001)*(Data!$B$269='Safety Action Tracking'!$A$3:$A$8001))</f>
        <v>0</v>
      </c>
      <c r="AD269" s="76" cm="1">
        <f t="array" aca="1" ref="AD269" ca="1">SUM((AD265='Safety Action Tracking'!$E$3:$E$8001)*($A$269='Safety Action Tracking'!$B$3:$B$8001)*(Data!$B$269='Safety Action Tracking'!$A$3:$A$8001))</f>
        <v>0</v>
      </c>
      <c r="AE269" s="76" cm="1">
        <f t="array" aca="1" ref="AE269" ca="1">SUM((AE265='Safety Action Tracking'!$E$3:$E$8001)*($A$269='Safety Action Tracking'!$B$3:$B$8001)*(Data!$B$269='Safety Action Tracking'!$A$3:$A$8001))</f>
        <v>0</v>
      </c>
      <c r="AF269" s="76" cm="1">
        <f t="array" aca="1" ref="AF269" ca="1">SUM((AF265='Safety Action Tracking'!$E$3:$E$8001)*($A$269='Safety Action Tracking'!$B$3:$B$8001)*(Data!$B$269='Safety Action Tracking'!$A$3:$A$8001))</f>
        <v>0</v>
      </c>
      <c r="AG269" s="76" cm="1">
        <f t="array" aca="1" ref="AG269" ca="1">SUM((AG265='Safety Action Tracking'!$E$3:$E$8001)*($A$269='Safety Action Tracking'!$B$3:$B$8001)*(Data!$B$269='Safety Action Tracking'!$A$3:$A$8001))</f>
        <v>0</v>
      </c>
      <c r="AH269" s="76" cm="1">
        <f t="array" aca="1" ref="AH269" ca="1">SUM((AH265='Safety Action Tracking'!$E$3:$E$8001)*($A$269='Safety Action Tracking'!$B$3:$B$8001)*(Data!$B$269='Safety Action Tracking'!$A$3:$A$8001))</f>
        <v>0</v>
      </c>
      <c r="AI269" s="76" cm="1">
        <f t="array" aca="1" ref="AI269" ca="1">SUM((AI265='Safety Action Tracking'!$E$3:$E$8001)*($A$269='Safety Action Tracking'!$B$3:$B$8001)*(Data!$B$269='Safety Action Tracking'!$A$3:$A$8001))</f>
        <v>0</v>
      </c>
      <c r="AJ269" s="76" cm="1">
        <f t="array" aca="1" ref="AJ269" ca="1">SUM((AJ265='Safety Action Tracking'!$E$3:$E$8001)*($A$269='Safety Action Tracking'!$B$3:$B$8001)*(Data!$B$269='Safety Action Tracking'!$A$3:$A$8001))</f>
        <v>0</v>
      </c>
      <c r="AK269" s="76" cm="1">
        <f t="array" aca="1" ref="AK269" ca="1">SUM((AK265='Safety Action Tracking'!$E$3:$E$8001)*($A$269='Safety Action Tracking'!$B$3:$B$8001)*(Data!$B$269='Safety Action Tracking'!$A$3:$A$8001))</f>
        <v>0</v>
      </c>
      <c r="AL269" s="76" cm="1">
        <f t="array" aca="1" ref="AL269" ca="1">SUM((AL265='Safety Action Tracking'!$E$3:$E$8001)*($A$269='Safety Action Tracking'!$B$3:$B$8001)*(Data!$B$269='Safety Action Tracking'!$A$3:$A$8001))</f>
        <v>0</v>
      </c>
      <c r="AM269" s="76" cm="1">
        <f t="array" aca="1" ref="AM269" ca="1">SUM((AM265='Safety Action Tracking'!$E$3:$E$8001)*($A$269='Safety Action Tracking'!$B$3:$B$8001)*(Data!$B$269='Safety Action Tracking'!$A$3:$A$8001))</f>
        <v>0</v>
      </c>
      <c r="AN269" s="76" cm="1">
        <f t="array" aca="1" ref="AN269" ca="1">SUM((AN265='Safety Action Tracking'!$E$3:$E$8001)*($A$269='Safety Action Tracking'!$B$3:$B$8001)*(Data!$B$269='Safety Action Tracking'!$A$3:$A$8001))</f>
        <v>0</v>
      </c>
    </row>
    <row r="270" spans="1:41" x14ac:dyDescent="0.35">
      <c r="A270" s="177" t="s">
        <v>91</v>
      </c>
      <c r="B270" s="445" cm="1">
        <f t="array" aca="1" ref="B270" ca="1">SUM((B266='Safety Action Tracking'!$E$3:$E$8001)*($A$269='Safety Action Tracking'!$B$3:$B$8001)*(Data!$B$269='Safety Action Tracking'!$A$3:$A$8001))</f>
        <v>0</v>
      </c>
      <c r="C270" s="445" cm="1">
        <f t="array" aca="1" ref="C270" ca="1">SUM((C266='Safety Action Tracking'!$E$3:$E$8001)*($A$269='Safety Action Tracking'!$B$3:$B$8001)*(Data!$B$269='Safety Action Tracking'!$A$3:$A$8001))</f>
        <v>0</v>
      </c>
      <c r="D270" s="445" cm="1">
        <f t="array" aca="1" ref="D270" ca="1">SUM((D266='Safety Action Tracking'!$E$3:$E$8001)*($A$269='Safety Action Tracking'!$B$3:$B$8001)*(Data!$B$269='Safety Action Tracking'!$A$3:$A$8001))</f>
        <v>0</v>
      </c>
      <c r="E270" s="445" cm="1">
        <f t="array" aca="1" ref="E270" ca="1">SUM((E266='Safety Action Tracking'!$E$3:$E$8001)*($A$269='Safety Action Tracking'!$B$3:$B$8001)*(Data!$B$269='Safety Action Tracking'!$A$3:$A$8001))</f>
        <v>0</v>
      </c>
      <c r="F270" s="445" cm="1">
        <f t="array" aca="1" ref="F270" ca="1">SUM((F266='Safety Action Tracking'!$E$3:$E$8001)*($A$269='Safety Action Tracking'!$B$3:$B$8001)*(Data!$B$269='Safety Action Tracking'!$A$3:$A$8001))</f>
        <v>0</v>
      </c>
      <c r="G270" s="445" cm="1">
        <f t="array" aca="1" ref="G270" ca="1">SUM((G266='Safety Action Tracking'!$E$3:$E$8001)*($A$269='Safety Action Tracking'!$B$3:$B$8001)*(Data!$B$269='Safety Action Tracking'!$A$3:$A$8001))</f>
        <v>0</v>
      </c>
      <c r="H270" s="445" cm="1">
        <f t="array" aca="1" ref="H270" ca="1">SUM((H266='Safety Action Tracking'!$E$3:$E$8001)*($A$269='Safety Action Tracking'!$B$3:$B$8001)*(Data!$B$269='Safety Action Tracking'!$A$3:$A$8001))</f>
        <v>0</v>
      </c>
      <c r="I270" s="445" cm="1">
        <f t="array" aca="1" ref="I270" ca="1">SUM((I266='Safety Action Tracking'!$E$3:$E$8001)*($A$269='Safety Action Tracking'!$B$3:$B$8001)*(Data!$B$269='Safety Action Tracking'!$A$3:$A$8001))</f>
        <v>0</v>
      </c>
      <c r="J270" s="76" cm="1">
        <f t="array" aca="1" ref="J270" ca="1">SUM((J266='Safety Action Tracking'!$E$3:$E$8001)*($A$269='Safety Action Tracking'!$B$3:$B$8001)*(Data!$B$269='Safety Action Tracking'!$A$3:$A$8001))</f>
        <v>0</v>
      </c>
      <c r="K270" s="76" cm="1">
        <f t="array" aca="1" ref="K270" ca="1">SUM((K266='Safety Action Tracking'!$E$3:$E$8001)*($A$269='Safety Action Tracking'!$B$3:$B$8001)*(Data!$B$269='Safety Action Tracking'!$A$3:$A$8001))</f>
        <v>0</v>
      </c>
      <c r="L270" s="76" cm="1">
        <f t="array" aca="1" ref="L270" ca="1">SUM((L266='Safety Action Tracking'!$E$3:$E$8001)*($A$269='Safety Action Tracking'!$B$3:$B$8001)*(Data!$B$269='Safety Action Tracking'!$A$3:$A$8001))</f>
        <v>0</v>
      </c>
      <c r="M270" s="76" cm="1">
        <f t="array" aca="1" ref="M270" ca="1">SUM((M266='Safety Action Tracking'!$E$3:$E$8001)*($A$269='Safety Action Tracking'!$B$3:$B$8001)*(Data!$B$269='Safety Action Tracking'!$A$3:$A$8001))</f>
        <v>0</v>
      </c>
      <c r="N270" s="76" cm="1">
        <f t="array" aca="1" ref="N270" ca="1">SUM((N266='Safety Action Tracking'!$E$3:$E$8001)*($A$269='Safety Action Tracking'!$B$3:$B$8001)*(Data!$B$269='Safety Action Tracking'!$A$3:$A$8001))</f>
        <v>0</v>
      </c>
      <c r="O270" s="76" cm="1">
        <f t="array" aca="1" ref="O270" ca="1">SUM((O266='Safety Action Tracking'!$E$3:$E$8001)*($A$269='Safety Action Tracking'!$B$3:$B$8001)*(Data!$B$269='Safety Action Tracking'!$A$3:$A$8001))</f>
        <v>0</v>
      </c>
      <c r="P270" s="76" cm="1">
        <f t="array" aca="1" ref="P270" ca="1">SUM((P266='Safety Action Tracking'!$E$3:$E$8001)*($A$269='Safety Action Tracking'!$B$3:$B$8001)*(Data!$B$269='Safety Action Tracking'!$A$3:$A$8001))</f>
        <v>0</v>
      </c>
      <c r="Q270" s="76" cm="1">
        <f t="array" aca="1" ref="Q270" ca="1">SUM((Q266='Safety Action Tracking'!$E$3:$E$8001)*($A$269='Safety Action Tracking'!$B$3:$B$8001)*(Data!$B$269='Safety Action Tracking'!$A$3:$A$8001))</f>
        <v>0</v>
      </c>
      <c r="R270" s="76" cm="1">
        <f t="array" aca="1" ref="R270" ca="1">SUM((R266='Safety Action Tracking'!$E$3:$E$8001)*($A$269='Safety Action Tracking'!$B$3:$B$8001)*(Data!$B$269='Safety Action Tracking'!$A$3:$A$8001))</f>
        <v>0</v>
      </c>
      <c r="S270" s="76" cm="1">
        <f t="array" aca="1" ref="S270" ca="1">SUM((S266='Safety Action Tracking'!$E$3:$E$8001)*($A$269='Safety Action Tracking'!$B$3:$B$8001)*(Data!$B$269='Safety Action Tracking'!$A$3:$A$8001))</f>
        <v>0</v>
      </c>
      <c r="T270" s="76" cm="1">
        <f t="array" aca="1" ref="T270" ca="1">SUM((T266='Safety Action Tracking'!$E$3:$E$8001)*($A$269='Safety Action Tracking'!$B$3:$B$8001)*(Data!$B$269='Safety Action Tracking'!$A$3:$A$8001))</f>
        <v>0</v>
      </c>
      <c r="U270" s="76" cm="1">
        <f t="array" aca="1" ref="U270" ca="1">SUM((U266='Safety Action Tracking'!$E$3:$E$8001)*($A$269='Safety Action Tracking'!$B$3:$B$8001)*(Data!$B$269='Safety Action Tracking'!$A$3:$A$8001))</f>
        <v>0</v>
      </c>
      <c r="V270" s="76" cm="1">
        <f t="array" aca="1" ref="V270" ca="1">SUM((V266='Safety Action Tracking'!$E$3:$E$8001)*($A$269='Safety Action Tracking'!$B$3:$B$8001)*(Data!$B$269='Safety Action Tracking'!$A$3:$A$8001))</f>
        <v>0</v>
      </c>
      <c r="W270" s="76" cm="1">
        <f t="array" aca="1" ref="W270" ca="1">SUM((W266='Safety Action Tracking'!$E$3:$E$8001)*($A$269='Safety Action Tracking'!$B$3:$B$8001)*(Data!$B$269='Safety Action Tracking'!$A$3:$A$8001))</f>
        <v>0</v>
      </c>
      <c r="X270" s="76" cm="1">
        <f t="array" aca="1" ref="X270" ca="1">SUM((X266='Safety Action Tracking'!$E$3:$E$8001)*($A$269='Safety Action Tracking'!$B$3:$B$8001)*(Data!$B$269='Safety Action Tracking'!$A$3:$A$8001))</f>
        <v>0</v>
      </c>
      <c r="Y270" s="76" cm="1">
        <f t="array" aca="1" ref="Y270" ca="1">SUM((Y266='Safety Action Tracking'!$E$3:$E$8001)*($A$269='Safety Action Tracking'!$B$3:$B$8001)*(Data!$B$269='Safety Action Tracking'!$A$3:$A$8001))</f>
        <v>0</v>
      </c>
      <c r="Z270" s="76" cm="1">
        <f t="array" aca="1" ref="Z270" ca="1">SUM((Z266='Safety Action Tracking'!$E$3:$E$8001)*($A$269='Safety Action Tracking'!$B$3:$B$8001)*(Data!$B$269='Safety Action Tracking'!$A$3:$A$8001))</f>
        <v>0</v>
      </c>
      <c r="AA270" s="76" cm="1">
        <f t="array" aca="1" ref="AA270" ca="1">SUM((AA266='Safety Action Tracking'!$E$3:$E$8001)*($A$269='Safety Action Tracking'!$B$3:$B$8001)*(Data!$B$269='Safety Action Tracking'!$A$3:$A$8001))</f>
        <v>0</v>
      </c>
      <c r="AB270" s="76" cm="1">
        <f t="array" aca="1" ref="AB270" ca="1">SUM((AB266='Safety Action Tracking'!$E$3:$E$8001)*($A$269='Safety Action Tracking'!$B$3:$B$8001)*(Data!$B$269='Safety Action Tracking'!$A$3:$A$8001))</f>
        <v>0</v>
      </c>
      <c r="AC270" s="76" cm="1">
        <f t="array" aca="1" ref="AC270" ca="1">SUM((AC266='Safety Action Tracking'!$E$3:$E$8001)*($A$269='Safety Action Tracking'!$B$3:$B$8001)*(Data!$B$269='Safety Action Tracking'!$A$3:$A$8001))</f>
        <v>0</v>
      </c>
      <c r="AD270" s="76" cm="1">
        <f t="array" aca="1" ref="AD270" ca="1">SUM((AD266='Safety Action Tracking'!$E$3:$E$8001)*($A$269='Safety Action Tracking'!$B$3:$B$8001)*(Data!$B$269='Safety Action Tracking'!$A$3:$A$8001))</f>
        <v>0</v>
      </c>
      <c r="AE270" s="76" cm="1">
        <f t="array" aca="1" ref="AE270" ca="1">SUM((AE266='Safety Action Tracking'!$E$3:$E$8001)*($A$269='Safety Action Tracking'!$B$3:$B$8001)*(Data!$B$269='Safety Action Tracking'!$A$3:$A$8001))</f>
        <v>0</v>
      </c>
      <c r="AF270" s="76" cm="1">
        <f t="array" aca="1" ref="AF270" ca="1">SUM((AF266='Safety Action Tracking'!$E$3:$E$8001)*($A$269='Safety Action Tracking'!$B$3:$B$8001)*(Data!$B$269='Safety Action Tracking'!$A$3:$A$8001))</f>
        <v>0</v>
      </c>
      <c r="AG270" s="76" cm="1">
        <f t="array" aca="1" ref="AG270" ca="1">SUM((AG266='Safety Action Tracking'!$E$3:$E$8001)*($A$269='Safety Action Tracking'!$B$3:$B$8001)*(Data!$B$269='Safety Action Tracking'!$A$3:$A$8001))</f>
        <v>0</v>
      </c>
      <c r="AH270" s="76" cm="1">
        <f t="array" aca="1" ref="AH270" ca="1">SUM((AH266='Safety Action Tracking'!$E$3:$E$8001)*($A$269='Safety Action Tracking'!$B$3:$B$8001)*(Data!$B$269='Safety Action Tracking'!$A$3:$A$8001))</f>
        <v>0</v>
      </c>
      <c r="AI270" s="76" cm="1">
        <f t="array" aca="1" ref="AI270" ca="1">SUM((AI266='Safety Action Tracking'!$E$3:$E$8001)*($A$269='Safety Action Tracking'!$B$3:$B$8001)*(Data!$B$269='Safety Action Tracking'!$A$3:$A$8001))</f>
        <v>0</v>
      </c>
      <c r="AJ270" s="76" cm="1">
        <f t="array" aca="1" ref="AJ270" ca="1">SUM((AJ266='Safety Action Tracking'!$E$3:$E$8001)*($A$269='Safety Action Tracking'!$B$3:$B$8001)*(Data!$B$269='Safety Action Tracking'!$A$3:$A$8001))</f>
        <v>0</v>
      </c>
      <c r="AK270" s="76" cm="1">
        <f t="array" aca="1" ref="AK270" ca="1">SUM((AK266='Safety Action Tracking'!$E$3:$E$8001)*($A$269='Safety Action Tracking'!$B$3:$B$8001)*(Data!$B$269='Safety Action Tracking'!$A$3:$A$8001))</f>
        <v>0</v>
      </c>
      <c r="AL270" s="76" cm="1">
        <f t="array" aca="1" ref="AL270" ca="1">SUM((AL266='Safety Action Tracking'!$E$3:$E$8001)*($A$269='Safety Action Tracking'!$B$3:$B$8001)*(Data!$B$269='Safety Action Tracking'!$A$3:$A$8001))</f>
        <v>0</v>
      </c>
      <c r="AM270" s="76" cm="1">
        <f t="array" aca="1" ref="AM270" ca="1">SUM((AM266='Safety Action Tracking'!$E$3:$E$8001)*($A$269='Safety Action Tracking'!$B$3:$B$8001)*(Data!$B$269='Safety Action Tracking'!$A$3:$A$8001))</f>
        <v>0</v>
      </c>
      <c r="AN270" s="76" cm="1">
        <f t="array" aca="1" ref="AN270" ca="1">SUM((AN266='Safety Action Tracking'!$E$3:$E$8001)*($A$269='Safety Action Tracking'!$B$3:$B$8001)*(Data!$B$269='Safety Action Tracking'!$A$3:$A$8001))</f>
        <v>0</v>
      </c>
    </row>
    <row r="271" spans="1:41" x14ac:dyDescent="0.35">
      <c r="A271" s="177" t="s">
        <v>91</v>
      </c>
      <c r="B271" s="445" cm="1">
        <f t="array" aca="1" ref="B271" ca="1">SUM((B267='Safety Action Tracking'!$E$3:$E$8001)*($A$269='Safety Action Tracking'!$B$3:$B$8001)*(Data!$B$269='Safety Action Tracking'!$A$3:$A$8001))</f>
        <v>0</v>
      </c>
      <c r="C271" s="445" cm="1">
        <f t="array" aca="1" ref="C271" ca="1">SUM((C267='Safety Action Tracking'!$E$3:$E$8001)*($A$269='Safety Action Tracking'!$B$3:$B$8001)*(Data!$B$269='Safety Action Tracking'!$A$3:$A$8001))</f>
        <v>0</v>
      </c>
      <c r="D271" s="445" cm="1">
        <f t="array" aca="1" ref="D271" ca="1">SUM((D267='Safety Action Tracking'!$E$3:$E$8001)*($A$269='Safety Action Tracking'!$B$3:$B$8001)*(Data!$B$269='Safety Action Tracking'!$A$3:$A$8001))</f>
        <v>0</v>
      </c>
      <c r="E271" s="445" cm="1">
        <f t="array" aca="1" ref="E271" ca="1">SUM((E267='Safety Action Tracking'!$E$3:$E$8001)*($A$269='Safety Action Tracking'!$B$3:$B$8001)*(Data!$B$269='Safety Action Tracking'!$A$3:$A$8001))</f>
        <v>0</v>
      </c>
      <c r="F271" s="445" cm="1">
        <f t="array" aca="1" ref="F271" ca="1">SUM((F267='Safety Action Tracking'!$E$3:$E$8001)*($A$269='Safety Action Tracking'!$B$3:$B$8001)*(Data!$B$269='Safety Action Tracking'!$A$3:$A$8001))</f>
        <v>0</v>
      </c>
      <c r="G271" s="445" cm="1">
        <f t="array" aca="1" ref="G271" ca="1">SUM((G267='Safety Action Tracking'!$E$3:$E$8001)*($A$269='Safety Action Tracking'!$B$3:$B$8001)*(Data!$B$269='Safety Action Tracking'!$A$3:$A$8001))</f>
        <v>0</v>
      </c>
      <c r="H271" s="445" cm="1">
        <f t="array" aca="1" ref="H271" ca="1">SUM((H267='Safety Action Tracking'!$E$3:$E$8001)*($A$269='Safety Action Tracking'!$B$3:$B$8001)*(Data!$B$269='Safety Action Tracking'!$A$3:$A$8001))</f>
        <v>0</v>
      </c>
      <c r="I271" s="445" cm="1">
        <f t="array" aca="1" ref="I271" ca="1">SUM((I267='Safety Action Tracking'!$E$3:$E$8001)*($A$269='Safety Action Tracking'!$B$3:$B$8001)*(Data!$B$269='Safety Action Tracking'!$A$3:$A$8001))</f>
        <v>0</v>
      </c>
      <c r="J271" s="76" cm="1">
        <f t="array" aca="1" ref="J271" ca="1">SUM((J267='Safety Action Tracking'!$E$3:$E$8001)*($A$269='Safety Action Tracking'!$B$3:$B$8001)*(Data!$B$269='Safety Action Tracking'!$A$3:$A$8001))</f>
        <v>0</v>
      </c>
      <c r="K271" s="76" cm="1">
        <f t="array" aca="1" ref="K271" ca="1">SUM((K267='Safety Action Tracking'!$E$3:$E$8001)*($A$269='Safety Action Tracking'!$B$3:$B$8001)*(Data!$B$269='Safety Action Tracking'!$A$3:$A$8001))</f>
        <v>0</v>
      </c>
      <c r="L271" s="76" cm="1">
        <f t="array" aca="1" ref="L271" ca="1">SUM((L267='Safety Action Tracking'!$E$3:$E$8001)*($A$269='Safety Action Tracking'!$B$3:$B$8001)*(Data!$B$269='Safety Action Tracking'!$A$3:$A$8001))</f>
        <v>0</v>
      </c>
      <c r="M271" s="76" cm="1">
        <f t="array" aca="1" ref="M271" ca="1">SUM((M267='Safety Action Tracking'!$E$3:$E$8001)*($A$269='Safety Action Tracking'!$B$3:$B$8001)*(Data!$B$269='Safety Action Tracking'!$A$3:$A$8001))</f>
        <v>0</v>
      </c>
      <c r="N271" s="76" cm="1">
        <f t="array" aca="1" ref="N271" ca="1">SUM((N267='Safety Action Tracking'!$E$3:$E$8001)*($A$269='Safety Action Tracking'!$B$3:$B$8001)*(Data!$B$269='Safety Action Tracking'!$A$3:$A$8001))</f>
        <v>0</v>
      </c>
      <c r="O271" s="76" cm="1">
        <f t="array" aca="1" ref="O271" ca="1">SUM((O267='Safety Action Tracking'!$E$3:$E$8001)*($A$269='Safety Action Tracking'!$B$3:$B$8001)*(Data!$B$269='Safety Action Tracking'!$A$3:$A$8001))</f>
        <v>0</v>
      </c>
      <c r="P271" s="76" cm="1">
        <f t="array" aca="1" ref="P271" ca="1">SUM((P267='Safety Action Tracking'!$E$3:$E$8001)*($A$269='Safety Action Tracking'!$B$3:$B$8001)*(Data!$B$269='Safety Action Tracking'!$A$3:$A$8001))</f>
        <v>0</v>
      </c>
      <c r="Q271" s="76" cm="1">
        <f t="array" aca="1" ref="Q271" ca="1">SUM((Q267='Safety Action Tracking'!$E$3:$E$8001)*($A$269='Safety Action Tracking'!$B$3:$B$8001)*(Data!$B$269='Safety Action Tracking'!$A$3:$A$8001))</f>
        <v>0</v>
      </c>
      <c r="R271" s="76" cm="1">
        <f t="array" aca="1" ref="R271" ca="1">SUM((R267='Safety Action Tracking'!$E$3:$E$8001)*($A$269='Safety Action Tracking'!$B$3:$B$8001)*(Data!$B$269='Safety Action Tracking'!$A$3:$A$8001))</f>
        <v>0</v>
      </c>
      <c r="S271" s="76" cm="1">
        <f t="array" aca="1" ref="S271" ca="1">SUM((S267='Safety Action Tracking'!$E$3:$E$8001)*($A$269='Safety Action Tracking'!$B$3:$B$8001)*(Data!$B$269='Safety Action Tracking'!$A$3:$A$8001))</f>
        <v>0</v>
      </c>
      <c r="T271" s="76" cm="1">
        <f t="array" aca="1" ref="T271" ca="1">SUM((T267='Safety Action Tracking'!$E$3:$E$8001)*($A$269='Safety Action Tracking'!$B$3:$B$8001)*(Data!$B$269='Safety Action Tracking'!$A$3:$A$8001))</f>
        <v>0</v>
      </c>
      <c r="U271" s="76" cm="1">
        <f t="array" aca="1" ref="U271" ca="1">SUM((U267='Safety Action Tracking'!$E$3:$E$8001)*($A$269='Safety Action Tracking'!$B$3:$B$8001)*(Data!$B$269='Safety Action Tracking'!$A$3:$A$8001))</f>
        <v>0</v>
      </c>
      <c r="V271" s="76" cm="1">
        <f t="array" aca="1" ref="V271" ca="1">SUM((V267='Safety Action Tracking'!$E$3:$E$8001)*($A$269='Safety Action Tracking'!$B$3:$B$8001)*(Data!$B$269='Safety Action Tracking'!$A$3:$A$8001))</f>
        <v>0</v>
      </c>
      <c r="W271" s="76" cm="1">
        <f t="array" aca="1" ref="W271" ca="1">SUM((W267='Safety Action Tracking'!$E$3:$E$8001)*($A$269='Safety Action Tracking'!$B$3:$B$8001)*(Data!$B$269='Safety Action Tracking'!$A$3:$A$8001))</f>
        <v>0</v>
      </c>
      <c r="X271" s="76" cm="1">
        <f t="array" aca="1" ref="X271" ca="1">SUM((X267='Safety Action Tracking'!$E$3:$E$8001)*($A$269='Safety Action Tracking'!$B$3:$B$8001)*(Data!$B$269='Safety Action Tracking'!$A$3:$A$8001))</f>
        <v>0</v>
      </c>
      <c r="Y271" s="76" cm="1">
        <f t="array" aca="1" ref="Y271" ca="1">SUM((Y267='Safety Action Tracking'!$E$3:$E$8001)*($A$269='Safety Action Tracking'!$B$3:$B$8001)*(Data!$B$269='Safety Action Tracking'!$A$3:$A$8001))</f>
        <v>0</v>
      </c>
      <c r="Z271" s="76" cm="1">
        <f t="array" aca="1" ref="Z271" ca="1">SUM((Z267='Safety Action Tracking'!$E$3:$E$8001)*($A$269='Safety Action Tracking'!$B$3:$B$8001)*(Data!$B$269='Safety Action Tracking'!$A$3:$A$8001))</f>
        <v>0</v>
      </c>
      <c r="AA271" s="76" cm="1">
        <f t="array" aca="1" ref="AA271" ca="1">SUM((AA267='Safety Action Tracking'!$E$3:$E$8001)*($A$269='Safety Action Tracking'!$B$3:$B$8001)*(Data!$B$269='Safety Action Tracking'!$A$3:$A$8001))</f>
        <v>0</v>
      </c>
      <c r="AB271" s="76" cm="1">
        <f t="array" aca="1" ref="AB271" ca="1">SUM((AB267='Safety Action Tracking'!$E$3:$E$8001)*($A$269='Safety Action Tracking'!$B$3:$B$8001)*(Data!$B$269='Safety Action Tracking'!$A$3:$A$8001))</f>
        <v>0</v>
      </c>
      <c r="AC271" s="76" cm="1">
        <f t="array" aca="1" ref="AC271" ca="1">SUM((AC267='Safety Action Tracking'!$E$3:$E$8001)*($A$269='Safety Action Tracking'!$B$3:$B$8001)*(Data!$B$269='Safety Action Tracking'!$A$3:$A$8001))</f>
        <v>0</v>
      </c>
      <c r="AD271" s="76" cm="1">
        <f t="array" aca="1" ref="AD271" ca="1">SUM((AD267='Safety Action Tracking'!$E$3:$E$8001)*($A$269='Safety Action Tracking'!$B$3:$B$8001)*(Data!$B$269='Safety Action Tracking'!$A$3:$A$8001))</f>
        <v>0</v>
      </c>
      <c r="AE271" s="76" cm="1">
        <f t="array" aca="1" ref="AE271" ca="1">SUM((AE267='Safety Action Tracking'!$E$3:$E$8001)*($A$269='Safety Action Tracking'!$B$3:$B$8001)*(Data!$B$269='Safety Action Tracking'!$A$3:$A$8001))</f>
        <v>0</v>
      </c>
      <c r="AF271" s="76" cm="1">
        <f t="array" aca="1" ref="AF271" ca="1">SUM((AF267='Safety Action Tracking'!$E$3:$E$8001)*($A$269='Safety Action Tracking'!$B$3:$B$8001)*(Data!$B$269='Safety Action Tracking'!$A$3:$A$8001))</f>
        <v>0</v>
      </c>
      <c r="AG271" s="76" cm="1">
        <f t="array" aca="1" ref="AG271" ca="1">SUM((AG267='Safety Action Tracking'!$E$3:$E$8001)*($A$269='Safety Action Tracking'!$B$3:$B$8001)*(Data!$B$269='Safety Action Tracking'!$A$3:$A$8001))</f>
        <v>0</v>
      </c>
      <c r="AH271" s="76" cm="1">
        <f t="array" aca="1" ref="AH271" ca="1">SUM((AH267='Safety Action Tracking'!$E$3:$E$8001)*($A$269='Safety Action Tracking'!$B$3:$B$8001)*(Data!$B$269='Safety Action Tracking'!$A$3:$A$8001))</f>
        <v>0</v>
      </c>
      <c r="AI271" s="76" cm="1">
        <f t="array" aca="1" ref="AI271" ca="1">SUM((AI267='Safety Action Tracking'!$E$3:$E$8001)*($A$269='Safety Action Tracking'!$B$3:$B$8001)*(Data!$B$269='Safety Action Tracking'!$A$3:$A$8001))</f>
        <v>0</v>
      </c>
      <c r="AJ271" s="76" cm="1">
        <f t="array" aca="1" ref="AJ271" ca="1">SUM((AJ267='Safety Action Tracking'!$E$3:$E$8001)*($A$269='Safety Action Tracking'!$B$3:$B$8001)*(Data!$B$269='Safety Action Tracking'!$A$3:$A$8001))</f>
        <v>0</v>
      </c>
      <c r="AK271" s="76" cm="1">
        <f t="array" aca="1" ref="AK271" ca="1">SUM((AK267='Safety Action Tracking'!$E$3:$E$8001)*($A$269='Safety Action Tracking'!$B$3:$B$8001)*(Data!$B$269='Safety Action Tracking'!$A$3:$A$8001))</f>
        <v>0</v>
      </c>
      <c r="AL271" s="76" cm="1">
        <f t="array" aca="1" ref="AL271" ca="1">SUM((AL267='Safety Action Tracking'!$E$3:$E$8001)*($A$269='Safety Action Tracking'!$B$3:$B$8001)*(Data!$B$269='Safety Action Tracking'!$A$3:$A$8001))</f>
        <v>0</v>
      </c>
      <c r="AM271" s="76" cm="1">
        <f t="array" aca="1" ref="AM271" ca="1">SUM((AM267='Safety Action Tracking'!$E$3:$E$8001)*($A$269='Safety Action Tracking'!$B$3:$B$8001)*(Data!$B$269='Safety Action Tracking'!$A$3:$A$8001))</f>
        <v>0</v>
      </c>
      <c r="AN271" s="76" cm="1">
        <f t="array" aca="1" ref="AN271" ca="1">SUM((AN267='Safety Action Tracking'!$E$3:$E$8001)*($A$269='Safety Action Tracking'!$B$3:$B$8001)*(Data!$B$269='Safety Action Tracking'!$A$3:$A$8001))</f>
        <v>0</v>
      </c>
    </row>
    <row r="272" spans="1:41" x14ac:dyDescent="0.35">
      <c r="A272" s="177" t="s">
        <v>92</v>
      </c>
      <c r="B272" s="445" cm="1">
        <f t="array" aca="1" ref="B272" ca="1">SUM((B268='Safety Action Tracking'!$E$3:$E$8001)*($A$269='Safety Action Tracking'!$B$3:$B$8001)*(Data!$B$269='Safety Action Tracking'!$A$3:$A$8001))</f>
        <v>0</v>
      </c>
      <c r="C272" s="445" cm="1">
        <f t="array" aca="1" ref="C272" ca="1">SUM((C268='Safety Action Tracking'!$E$3:$E$8001)*($A$269='Safety Action Tracking'!$B$3:$B$8001)*(Data!$B$269='Safety Action Tracking'!$A$3:$A$8001))</f>
        <v>0</v>
      </c>
      <c r="D272" s="445" cm="1">
        <f t="array" aca="1" ref="D272" ca="1">SUM((D268='Safety Action Tracking'!$E$3:$E$8001)*($A$269='Safety Action Tracking'!$B$3:$B$8001)*(Data!$B$269='Safety Action Tracking'!$A$3:$A$8001))</f>
        <v>0</v>
      </c>
      <c r="E272" s="445" cm="1">
        <f t="array" aca="1" ref="E272" ca="1">SUM((E268='Safety Action Tracking'!$E$3:$E$8001)*($A$269='Safety Action Tracking'!$B$3:$B$8001)*(Data!$B$269='Safety Action Tracking'!$A$3:$A$8001))</f>
        <v>0</v>
      </c>
      <c r="F272" s="445" cm="1">
        <f t="array" aca="1" ref="F272" ca="1">SUM((F268='Safety Action Tracking'!$E$3:$E$8001)*($A$269='Safety Action Tracking'!$B$3:$B$8001)*(Data!$B$269='Safety Action Tracking'!$A$3:$A$8001))</f>
        <v>0</v>
      </c>
      <c r="G272" s="445" cm="1">
        <f t="array" aca="1" ref="G272" ca="1">SUM((G268='Safety Action Tracking'!$E$3:$E$8001)*($A$269='Safety Action Tracking'!$B$3:$B$8001)*(Data!$B$269='Safety Action Tracking'!$A$3:$A$8001))</f>
        <v>0</v>
      </c>
      <c r="H272" s="445" cm="1">
        <f t="array" aca="1" ref="H272" ca="1">SUM((H268='Safety Action Tracking'!$E$3:$E$8001)*($A$269='Safety Action Tracking'!$B$3:$B$8001)*(Data!$B$269='Safety Action Tracking'!$A$3:$A$8001))</f>
        <v>0</v>
      </c>
      <c r="I272" s="445" cm="1">
        <f t="array" aca="1" ref="I272" ca="1">SUM((I268='Safety Action Tracking'!$E$3:$E$8001)*($A$269='Safety Action Tracking'!$B$3:$B$8001)*(Data!$B$269='Safety Action Tracking'!$A$3:$A$8001))</f>
        <v>0</v>
      </c>
      <c r="J272" s="76" cm="1">
        <f t="array" aca="1" ref="J272" ca="1">SUM((J268='Safety Action Tracking'!$E$3:$E$8001)*($A$269='Safety Action Tracking'!$B$3:$B$8001)*(Data!$B$269='Safety Action Tracking'!$A$3:$A$8001))</f>
        <v>0</v>
      </c>
      <c r="K272" s="76" cm="1">
        <f t="array" aca="1" ref="K272" ca="1">SUM((K268='Safety Action Tracking'!$E$3:$E$8001)*($A$269='Safety Action Tracking'!$B$3:$B$8001)*(Data!$B$269='Safety Action Tracking'!$A$3:$A$8001))</f>
        <v>0</v>
      </c>
      <c r="L272" s="76" cm="1">
        <f t="array" aca="1" ref="L272" ca="1">SUM((L268='Safety Action Tracking'!$E$3:$E$8001)*($A$269='Safety Action Tracking'!$B$3:$B$8001)*(Data!$B$269='Safety Action Tracking'!$A$3:$A$8001))</f>
        <v>0</v>
      </c>
      <c r="M272" s="76" cm="1">
        <f t="array" aca="1" ref="M272" ca="1">SUM((M268='Safety Action Tracking'!$E$3:$E$8001)*($A$269='Safety Action Tracking'!$B$3:$B$8001)*(Data!$B$269='Safety Action Tracking'!$A$3:$A$8001))</f>
        <v>0</v>
      </c>
      <c r="N272" s="76" cm="1">
        <f t="array" aca="1" ref="N272" ca="1">SUM((N268='Safety Action Tracking'!$E$3:$E$8001)*($A$269='Safety Action Tracking'!$B$3:$B$8001)*(Data!$B$269='Safety Action Tracking'!$A$3:$A$8001))</f>
        <v>0</v>
      </c>
      <c r="O272" s="76" cm="1">
        <f t="array" aca="1" ref="O272" ca="1">SUM((O268='Safety Action Tracking'!$E$3:$E$8001)*($A$269='Safety Action Tracking'!$B$3:$B$8001)*(Data!$B$269='Safety Action Tracking'!$A$3:$A$8001))</f>
        <v>0</v>
      </c>
      <c r="P272" s="76" cm="1">
        <f t="array" aca="1" ref="P272" ca="1">SUM((P268='Safety Action Tracking'!$E$3:$E$8001)*($A$269='Safety Action Tracking'!$B$3:$B$8001)*(Data!$B$269='Safety Action Tracking'!$A$3:$A$8001))</f>
        <v>0</v>
      </c>
      <c r="Q272" s="76" cm="1">
        <f t="array" aca="1" ref="Q272" ca="1">SUM((Q268='Safety Action Tracking'!$E$3:$E$8001)*($A$269='Safety Action Tracking'!$B$3:$B$8001)*(Data!$B$269='Safety Action Tracking'!$A$3:$A$8001))</f>
        <v>0</v>
      </c>
      <c r="R272" s="76" cm="1">
        <f t="array" aca="1" ref="R272" ca="1">SUM((R268='Safety Action Tracking'!$E$3:$E$8001)*($A$269='Safety Action Tracking'!$B$3:$B$8001)*(Data!$B$269='Safety Action Tracking'!$A$3:$A$8001))</f>
        <v>0</v>
      </c>
      <c r="S272" s="76" cm="1">
        <f t="array" aca="1" ref="S272" ca="1">SUM((S268='Safety Action Tracking'!$E$3:$E$8001)*($A$269='Safety Action Tracking'!$B$3:$B$8001)*(Data!$B$269='Safety Action Tracking'!$A$3:$A$8001))</f>
        <v>0</v>
      </c>
      <c r="T272" s="76" cm="1">
        <f t="array" aca="1" ref="T272" ca="1">SUM((T268='Safety Action Tracking'!$E$3:$E$8001)*($A$269='Safety Action Tracking'!$B$3:$B$8001)*(Data!$B$269='Safety Action Tracking'!$A$3:$A$8001))</f>
        <v>0</v>
      </c>
      <c r="U272" s="76" cm="1">
        <f t="array" aca="1" ref="U272" ca="1">SUM((U268='Safety Action Tracking'!$E$3:$E$8001)*($A$269='Safety Action Tracking'!$B$3:$B$8001)*(Data!$B$269='Safety Action Tracking'!$A$3:$A$8001))</f>
        <v>0</v>
      </c>
      <c r="V272" s="76" cm="1">
        <f t="array" aca="1" ref="V272" ca="1">SUM((V268='Safety Action Tracking'!$E$3:$E$8001)*($A$269='Safety Action Tracking'!$B$3:$B$8001)*(Data!$B$269='Safety Action Tracking'!$A$3:$A$8001))</f>
        <v>0</v>
      </c>
      <c r="W272" s="76" cm="1">
        <f t="array" aca="1" ref="W272" ca="1">SUM((W268='Safety Action Tracking'!$E$3:$E$8001)*($A$269='Safety Action Tracking'!$B$3:$B$8001)*(Data!$B$269='Safety Action Tracking'!$A$3:$A$8001))</f>
        <v>0</v>
      </c>
      <c r="X272" s="76" cm="1">
        <f t="array" aca="1" ref="X272" ca="1">SUM((X268='Safety Action Tracking'!$E$3:$E$8001)*($A$269='Safety Action Tracking'!$B$3:$B$8001)*(Data!$B$269='Safety Action Tracking'!$A$3:$A$8001))</f>
        <v>0</v>
      </c>
      <c r="Y272" s="76" cm="1">
        <f t="array" aca="1" ref="Y272" ca="1">SUM((Y268='Safety Action Tracking'!$E$3:$E$8001)*($A$269='Safety Action Tracking'!$B$3:$B$8001)*(Data!$B$269='Safety Action Tracking'!$A$3:$A$8001))</f>
        <v>0</v>
      </c>
      <c r="Z272" s="76" cm="1">
        <f t="array" aca="1" ref="Z272" ca="1">SUM((Z268='Safety Action Tracking'!$E$3:$E$8001)*($A$269='Safety Action Tracking'!$B$3:$B$8001)*(Data!$B$269='Safety Action Tracking'!$A$3:$A$8001))</f>
        <v>0</v>
      </c>
      <c r="AA272" s="76" cm="1">
        <f t="array" aca="1" ref="AA272" ca="1">SUM((AA268='Safety Action Tracking'!$E$3:$E$8001)*($A$269='Safety Action Tracking'!$B$3:$B$8001)*(Data!$B$269='Safety Action Tracking'!$A$3:$A$8001))</f>
        <v>0</v>
      </c>
      <c r="AB272" s="76" cm="1">
        <f t="array" aca="1" ref="AB272" ca="1">SUM((AB268='Safety Action Tracking'!$E$3:$E$8001)*($A$269='Safety Action Tracking'!$B$3:$B$8001)*(Data!$B$269='Safety Action Tracking'!$A$3:$A$8001))</f>
        <v>0</v>
      </c>
      <c r="AC272" s="76" cm="1">
        <f t="array" aca="1" ref="AC272" ca="1">SUM((AC268='Safety Action Tracking'!$E$3:$E$8001)*($A$269='Safety Action Tracking'!$B$3:$B$8001)*(Data!$B$269='Safety Action Tracking'!$A$3:$A$8001))</f>
        <v>0</v>
      </c>
      <c r="AD272" s="76" cm="1">
        <f t="array" aca="1" ref="AD272" ca="1">SUM((AD268='Safety Action Tracking'!$E$3:$E$8001)*($A$269='Safety Action Tracking'!$B$3:$B$8001)*(Data!$B$269='Safety Action Tracking'!$A$3:$A$8001))</f>
        <v>0</v>
      </c>
      <c r="AE272" s="76" cm="1">
        <f t="array" aca="1" ref="AE272" ca="1">SUM((AE268='Safety Action Tracking'!$E$3:$E$8001)*($A$269='Safety Action Tracking'!$B$3:$B$8001)*(Data!$B$269='Safety Action Tracking'!$A$3:$A$8001))</f>
        <v>0</v>
      </c>
      <c r="AF272" s="76" cm="1">
        <f t="array" aca="1" ref="AF272" ca="1">SUM((AF268='Safety Action Tracking'!$E$3:$E$8001)*($A$269='Safety Action Tracking'!$B$3:$B$8001)*(Data!$B$269='Safety Action Tracking'!$A$3:$A$8001))</f>
        <v>0</v>
      </c>
      <c r="AG272" s="76" cm="1">
        <f t="array" aca="1" ref="AG272" ca="1">SUM((AG268='Safety Action Tracking'!$E$3:$E$8001)*($A$269='Safety Action Tracking'!$B$3:$B$8001)*(Data!$B$269='Safety Action Tracking'!$A$3:$A$8001))</f>
        <v>0</v>
      </c>
      <c r="AH272" s="76" cm="1">
        <f t="array" aca="1" ref="AH272" ca="1">SUM((AH268='Safety Action Tracking'!$E$3:$E$8001)*($A$269='Safety Action Tracking'!$B$3:$B$8001)*(Data!$B$269='Safety Action Tracking'!$A$3:$A$8001))</f>
        <v>0</v>
      </c>
      <c r="AI272" s="76" cm="1">
        <f t="array" aca="1" ref="AI272" ca="1">SUM((AI268='Safety Action Tracking'!$E$3:$E$8001)*($A$269='Safety Action Tracking'!$B$3:$B$8001)*(Data!$B$269='Safety Action Tracking'!$A$3:$A$8001))</f>
        <v>0</v>
      </c>
      <c r="AJ272" s="76" cm="1">
        <f t="array" aca="1" ref="AJ272" ca="1">SUM((AJ268='Safety Action Tracking'!$E$3:$E$8001)*($A$269='Safety Action Tracking'!$B$3:$B$8001)*(Data!$B$269='Safety Action Tracking'!$A$3:$A$8001))</f>
        <v>0</v>
      </c>
      <c r="AK272" s="76" cm="1">
        <f t="array" aca="1" ref="AK272" ca="1">SUM((AK268='Safety Action Tracking'!$E$3:$E$8001)*($A$269='Safety Action Tracking'!$B$3:$B$8001)*(Data!$B$269='Safety Action Tracking'!$A$3:$A$8001))</f>
        <v>0</v>
      </c>
      <c r="AL272" s="76" cm="1">
        <f t="array" aca="1" ref="AL272" ca="1">SUM((AL268='Safety Action Tracking'!$E$3:$E$8001)*($A$269='Safety Action Tracking'!$B$3:$B$8001)*(Data!$B$269='Safety Action Tracking'!$A$3:$A$8001))</f>
        <v>0</v>
      </c>
      <c r="AM272" s="76" cm="1">
        <f t="array" aca="1" ref="AM272" ca="1">SUM((AM268='Safety Action Tracking'!$E$3:$E$8001)*($A$269='Safety Action Tracking'!$B$3:$B$8001)*(Data!$B$269='Safety Action Tracking'!$A$3:$A$8001))</f>
        <v>0</v>
      </c>
      <c r="AN272" s="76" cm="1">
        <f t="array" aca="1" ref="AN272" ca="1">SUM((AN268='Safety Action Tracking'!$E$3:$E$8001)*($A$269='Safety Action Tracking'!$B$3:$B$8001)*(Data!$B$269='Safety Action Tracking'!$A$3:$A$8001))</f>
        <v>0</v>
      </c>
    </row>
    <row r="273" spans="1:40" x14ac:dyDescent="0.35">
      <c r="A273" s="177" t="s">
        <v>92</v>
      </c>
      <c r="B273" s="445" cm="1">
        <f t="array" aca="1" ref="B273" ca="1">SUM((B269='Safety Action Tracking'!$E$3:$E$8001)*($A$269='Safety Action Tracking'!$B$3:$B$8001)*(Data!$B$269='Safety Action Tracking'!$A$3:$A$8001))</f>
        <v>0</v>
      </c>
      <c r="C273" s="445" cm="1">
        <f t="array" aca="1" ref="C273" ca="1">SUM((C269='Safety Action Tracking'!$E$3:$E$8001)*($A$269='Safety Action Tracking'!$B$3:$B$8001)*(Data!$B$269='Safety Action Tracking'!$A$3:$A$8001))</f>
        <v>0</v>
      </c>
      <c r="D273" s="445" cm="1">
        <f t="array" aca="1" ref="D273" ca="1">SUM((D269='Safety Action Tracking'!$E$3:$E$8001)*($A$269='Safety Action Tracking'!$B$3:$B$8001)*(Data!$B$269='Safety Action Tracking'!$A$3:$A$8001))</f>
        <v>0</v>
      </c>
      <c r="E273" s="445" cm="1">
        <f t="array" aca="1" ref="E273" ca="1">SUM((E269='Safety Action Tracking'!$E$3:$E$8001)*($A$269='Safety Action Tracking'!$B$3:$B$8001)*(Data!$B$269='Safety Action Tracking'!$A$3:$A$8001))</f>
        <v>0</v>
      </c>
      <c r="F273" s="445" cm="1">
        <f t="array" aca="1" ref="F273" ca="1">SUM((F269='Safety Action Tracking'!$E$3:$E$8001)*($A$269='Safety Action Tracking'!$B$3:$B$8001)*(Data!$B$269='Safety Action Tracking'!$A$3:$A$8001))</f>
        <v>0</v>
      </c>
      <c r="G273" s="445" cm="1">
        <f t="array" aca="1" ref="G273" ca="1">SUM((G269='Safety Action Tracking'!$E$3:$E$8001)*($A$269='Safety Action Tracking'!$B$3:$B$8001)*(Data!$B$269='Safety Action Tracking'!$A$3:$A$8001))</f>
        <v>0</v>
      </c>
      <c r="H273" s="445" cm="1">
        <f t="array" aca="1" ref="H273" ca="1">SUM((H269='Safety Action Tracking'!$E$3:$E$8001)*($A$269='Safety Action Tracking'!$B$3:$B$8001)*(Data!$B$269='Safety Action Tracking'!$A$3:$A$8001))</f>
        <v>0</v>
      </c>
      <c r="I273" s="445" cm="1">
        <f t="array" aca="1" ref="I273" ca="1">SUM((I269='Safety Action Tracking'!$E$3:$E$8001)*($A$269='Safety Action Tracking'!$B$3:$B$8001)*(Data!$B$269='Safety Action Tracking'!$A$3:$A$8001))</f>
        <v>0</v>
      </c>
      <c r="J273" s="76" cm="1">
        <f t="array" aca="1" ref="J273" ca="1">SUM((J269='Safety Action Tracking'!$E$3:$E$8001)*($A$269='Safety Action Tracking'!$B$3:$B$8001)*(Data!$B$269='Safety Action Tracking'!$A$3:$A$8001))</f>
        <v>0</v>
      </c>
      <c r="K273" s="76" cm="1">
        <f t="array" aca="1" ref="K273" ca="1">SUM((K269='Safety Action Tracking'!$E$3:$E$8001)*($A$269='Safety Action Tracking'!$B$3:$B$8001)*(Data!$B$269='Safety Action Tracking'!$A$3:$A$8001))</f>
        <v>0</v>
      </c>
      <c r="L273" s="76" cm="1">
        <f t="array" aca="1" ref="L273" ca="1">SUM((L269='Safety Action Tracking'!$E$3:$E$8001)*($A$269='Safety Action Tracking'!$B$3:$B$8001)*(Data!$B$269='Safety Action Tracking'!$A$3:$A$8001))</f>
        <v>0</v>
      </c>
      <c r="M273" s="76" cm="1">
        <f t="array" aca="1" ref="M273" ca="1">SUM((M269='Safety Action Tracking'!$E$3:$E$8001)*($A$269='Safety Action Tracking'!$B$3:$B$8001)*(Data!$B$269='Safety Action Tracking'!$A$3:$A$8001))</f>
        <v>0</v>
      </c>
      <c r="N273" s="76" cm="1">
        <f t="array" aca="1" ref="N273" ca="1">SUM((N269='Safety Action Tracking'!$E$3:$E$8001)*($A$269='Safety Action Tracking'!$B$3:$B$8001)*(Data!$B$269='Safety Action Tracking'!$A$3:$A$8001))</f>
        <v>0</v>
      </c>
      <c r="O273" s="76" cm="1">
        <f t="array" aca="1" ref="O273" ca="1">SUM((O269='Safety Action Tracking'!$E$3:$E$8001)*($A$269='Safety Action Tracking'!$B$3:$B$8001)*(Data!$B$269='Safety Action Tracking'!$A$3:$A$8001))</f>
        <v>0</v>
      </c>
      <c r="P273" s="76" cm="1">
        <f t="array" aca="1" ref="P273" ca="1">SUM((P269='Safety Action Tracking'!$E$3:$E$8001)*($A$269='Safety Action Tracking'!$B$3:$B$8001)*(Data!$B$269='Safety Action Tracking'!$A$3:$A$8001))</f>
        <v>0</v>
      </c>
      <c r="Q273" s="76" cm="1">
        <f t="array" aca="1" ref="Q273" ca="1">SUM((Q269='Safety Action Tracking'!$E$3:$E$8001)*($A$269='Safety Action Tracking'!$B$3:$B$8001)*(Data!$B$269='Safety Action Tracking'!$A$3:$A$8001))</f>
        <v>0</v>
      </c>
      <c r="R273" s="76" cm="1">
        <f t="array" aca="1" ref="R273" ca="1">SUM((R269='Safety Action Tracking'!$E$3:$E$8001)*($A$269='Safety Action Tracking'!$B$3:$B$8001)*(Data!$B$269='Safety Action Tracking'!$A$3:$A$8001))</f>
        <v>0</v>
      </c>
      <c r="S273" s="76" cm="1">
        <f t="array" aca="1" ref="S273" ca="1">SUM((S269='Safety Action Tracking'!$E$3:$E$8001)*($A$269='Safety Action Tracking'!$B$3:$B$8001)*(Data!$B$269='Safety Action Tracking'!$A$3:$A$8001))</f>
        <v>0</v>
      </c>
      <c r="T273" s="76" cm="1">
        <f t="array" aca="1" ref="T273" ca="1">SUM((T269='Safety Action Tracking'!$E$3:$E$8001)*($A$269='Safety Action Tracking'!$B$3:$B$8001)*(Data!$B$269='Safety Action Tracking'!$A$3:$A$8001))</f>
        <v>0</v>
      </c>
      <c r="U273" s="76" cm="1">
        <f t="array" aca="1" ref="U273" ca="1">SUM((U269='Safety Action Tracking'!$E$3:$E$8001)*($A$269='Safety Action Tracking'!$B$3:$B$8001)*(Data!$B$269='Safety Action Tracking'!$A$3:$A$8001))</f>
        <v>0</v>
      </c>
      <c r="V273" s="76" cm="1">
        <f t="array" aca="1" ref="V273" ca="1">SUM((V269='Safety Action Tracking'!$E$3:$E$8001)*($A$269='Safety Action Tracking'!$B$3:$B$8001)*(Data!$B$269='Safety Action Tracking'!$A$3:$A$8001))</f>
        <v>0</v>
      </c>
      <c r="W273" s="76" cm="1">
        <f t="array" aca="1" ref="W273" ca="1">SUM((W269='Safety Action Tracking'!$E$3:$E$8001)*($A$269='Safety Action Tracking'!$B$3:$B$8001)*(Data!$B$269='Safety Action Tracking'!$A$3:$A$8001))</f>
        <v>0</v>
      </c>
      <c r="X273" s="76" cm="1">
        <f t="array" aca="1" ref="X273" ca="1">SUM((X269='Safety Action Tracking'!$E$3:$E$8001)*($A$269='Safety Action Tracking'!$B$3:$B$8001)*(Data!$B$269='Safety Action Tracking'!$A$3:$A$8001))</f>
        <v>0</v>
      </c>
      <c r="Y273" s="76" cm="1">
        <f t="array" aca="1" ref="Y273" ca="1">SUM((Y269='Safety Action Tracking'!$E$3:$E$8001)*($A$269='Safety Action Tracking'!$B$3:$B$8001)*(Data!$B$269='Safety Action Tracking'!$A$3:$A$8001))</f>
        <v>0</v>
      </c>
      <c r="Z273" s="76" cm="1">
        <f t="array" aca="1" ref="Z273" ca="1">SUM((Z269='Safety Action Tracking'!$E$3:$E$8001)*($A$269='Safety Action Tracking'!$B$3:$B$8001)*(Data!$B$269='Safety Action Tracking'!$A$3:$A$8001))</f>
        <v>0</v>
      </c>
      <c r="AA273" s="76" cm="1">
        <f t="array" aca="1" ref="AA273" ca="1">SUM((AA269='Safety Action Tracking'!$E$3:$E$8001)*($A$269='Safety Action Tracking'!$B$3:$B$8001)*(Data!$B$269='Safety Action Tracking'!$A$3:$A$8001))</f>
        <v>0</v>
      </c>
      <c r="AB273" s="76" cm="1">
        <f t="array" aca="1" ref="AB273" ca="1">SUM((AB269='Safety Action Tracking'!$E$3:$E$8001)*($A$269='Safety Action Tracking'!$B$3:$B$8001)*(Data!$B$269='Safety Action Tracking'!$A$3:$A$8001))</f>
        <v>0</v>
      </c>
      <c r="AC273" s="76" cm="1">
        <f t="array" aca="1" ref="AC273" ca="1">SUM((AC269='Safety Action Tracking'!$E$3:$E$8001)*($A$269='Safety Action Tracking'!$B$3:$B$8001)*(Data!$B$269='Safety Action Tracking'!$A$3:$A$8001))</f>
        <v>0</v>
      </c>
      <c r="AD273" s="76" cm="1">
        <f t="array" aca="1" ref="AD273" ca="1">SUM((AD269='Safety Action Tracking'!$E$3:$E$8001)*($A$269='Safety Action Tracking'!$B$3:$B$8001)*(Data!$B$269='Safety Action Tracking'!$A$3:$A$8001))</f>
        <v>0</v>
      </c>
      <c r="AE273" s="76" cm="1">
        <f t="array" aca="1" ref="AE273" ca="1">SUM((AE269='Safety Action Tracking'!$E$3:$E$8001)*($A$269='Safety Action Tracking'!$B$3:$B$8001)*(Data!$B$269='Safety Action Tracking'!$A$3:$A$8001))</f>
        <v>0</v>
      </c>
      <c r="AF273" s="76" cm="1">
        <f t="array" aca="1" ref="AF273" ca="1">SUM((AF269='Safety Action Tracking'!$E$3:$E$8001)*($A$269='Safety Action Tracking'!$B$3:$B$8001)*(Data!$B$269='Safety Action Tracking'!$A$3:$A$8001))</f>
        <v>0</v>
      </c>
      <c r="AG273" s="76" cm="1">
        <f t="array" aca="1" ref="AG273" ca="1">SUM((AG269='Safety Action Tracking'!$E$3:$E$8001)*($A$269='Safety Action Tracking'!$B$3:$B$8001)*(Data!$B$269='Safety Action Tracking'!$A$3:$A$8001))</f>
        <v>0</v>
      </c>
      <c r="AH273" s="76" cm="1">
        <f t="array" aca="1" ref="AH273" ca="1">SUM((AH269='Safety Action Tracking'!$E$3:$E$8001)*($A$269='Safety Action Tracking'!$B$3:$B$8001)*(Data!$B$269='Safety Action Tracking'!$A$3:$A$8001))</f>
        <v>0</v>
      </c>
      <c r="AI273" s="76" cm="1">
        <f t="array" aca="1" ref="AI273" ca="1">SUM((AI269='Safety Action Tracking'!$E$3:$E$8001)*($A$269='Safety Action Tracking'!$B$3:$B$8001)*(Data!$B$269='Safety Action Tracking'!$A$3:$A$8001))</f>
        <v>0</v>
      </c>
      <c r="AJ273" s="76" cm="1">
        <f t="array" aca="1" ref="AJ273" ca="1">SUM((AJ269='Safety Action Tracking'!$E$3:$E$8001)*($A$269='Safety Action Tracking'!$B$3:$B$8001)*(Data!$B$269='Safety Action Tracking'!$A$3:$A$8001))</f>
        <v>0</v>
      </c>
      <c r="AK273" s="76" cm="1">
        <f t="array" aca="1" ref="AK273" ca="1">SUM((AK269='Safety Action Tracking'!$E$3:$E$8001)*($A$269='Safety Action Tracking'!$B$3:$B$8001)*(Data!$B$269='Safety Action Tracking'!$A$3:$A$8001))</f>
        <v>0</v>
      </c>
      <c r="AL273" s="76" cm="1">
        <f t="array" aca="1" ref="AL273" ca="1">SUM((AL269='Safety Action Tracking'!$E$3:$E$8001)*($A$269='Safety Action Tracking'!$B$3:$B$8001)*(Data!$B$269='Safety Action Tracking'!$A$3:$A$8001))</f>
        <v>0</v>
      </c>
      <c r="AM273" s="76" cm="1">
        <f t="array" aca="1" ref="AM273" ca="1">SUM((AM269='Safety Action Tracking'!$E$3:$E$8001)*($A$269='Safety Action Tracking'!$B$3:$B$8001)*(Data!$B$269='Safety Action Tracking'!$A$3:$A$8001))</f>
        <v>0</v>
      </c>
      <c r="AN273" s="76" cm="1">
        <f t="array" aca="1" ref="AN273" ca="1">SUM((AN269='Safety Action Tracking'!$E$3:$E$8001)*($A$269='Safety Action Tracking'!$B$3:$B$8001)*(Data!$B$269='Safety Action Tracking'!$A$3:$A$8001))</f>
        <v>0</v>
      </c>
    </row>
    <row r="274" spans="1:40" x14ac:dyDescent="0.35">
      <c r="A274" s="177" t="s">
        <v>92</v>
      </c>
      <c r="B274" s="445" cm="1">
        <f t="array" aca="1" ref="B274" ca="1">SUM((B270='Safety Action Tracking'!$E$3:$E$8001)*($A$269='Safety Action Tracking'!$B$3:$B$8001)*(Data!$B$269='Safety Action Tracking'!$A$3:$A$8001))</f>
        <v>0</v>
      </c>
      <c r="C274" s="445" cm="1">
        <f t="array" aca="1" ref="C274" ca="1">SUM((C270='Safety Action Tracking'!$E$3:$E$8001)*($A$269='Safety Action Tracking'!$B$3:$B$8001)*(Data!$B$269='Safety Action Tracking'!$A$3:$A$8001))</f>
        <v>0</v>
      </c>
      <c r="D274" s="445" cm="1">
        <f t="array" aca="1" ref="D274" ca="1">SUM((D270='Safety Action Tracking'!$E$3:$E$8001)*($A$269='Safety Action Tracking'!$B$3:$B$8001)*(Data!$B$269='Safety Action Tracking'!$A$3:$A$8001))</f>
        <v>0</v>
      </c>
      <c r="E274" s="445" cm="1">
        <f t="array" aca="1" ref="E274" ca="1">SUM((E270='Safety Action Tracking'!$E$3:$E$8001)*($A$269='Safety Action Tracking'!$B$3:$B$8001)*(Data!$B$269='Safety Action Tracking'!$A$3:$A$8001))</f>
        <v>0</v>
      </c>
      <c r="F274" s="445" cm="1">
        <f t="array" aca="1" ref="F274" ca="1">SUM((F270='Safety Action Tracking'!$E$3:$E$8001)*($A$269='Safety Action Tracking'!$B$3:$B$8001)*(Data!$B$269='Safety Action Tracking'!$A$3:$A$8001))</f>
        <v>0</v>
      </c>
      <c r="G274" s="445" cm="1">
        <f t="array" aca="1" ref="G274" ca="1">SUM((G270='Safety Action Tracking'!$E$3:$E$8001)*($A$269='Safety Action Tracking'!$B$3:$B$8001)*(Data!$B$269='Safety Action Tracking'!$A$3:$A$8001))</f>
        <v>0</v>
      </c>
      <c r="H274" s="445" cm="1">
        <f t="array" aca="1" ref="H274" ca="1">SUM((H270='Safety Action Tracking'!$E$3:$E$8001)*($A$269='Safety Action Tracking'!$B$3:$B$8001)*(Data!$B$269='Safety Action Tracking'!$A$3:$A$8001))</f>
        <v>0</v>
      </c>
      <c r="I274" s="445" cm="1">
        <f t="array" aca="1" ref="I274" ca="1">SUM((I270='Safety Action Tracking'!$E$3:$E$8001)*($A$269='Safety Action Tracking'!$B$3:$B$8001)*(Data!$B$269='Safety Action Tracking'!$A$3:$A$8001))</f>
        <v>0</v>
      </c>
      <c r="J274" s="76" cm="1">
        <f t="array" aca="1" ref="J274" ca="1">SUM((J270='Safety Action Tracking'!$E$3:$E$8001)*($A$269='Safety Action Tracking'!$B$3:$B$8001)*(Data!$B$269='Safety Action Tracking'!$A$3:$A$8001))</f>
        <v>0</v>
      </c>
      <c r="K274" s="76" cm="1">
        <f t="array" aca="1" ref="K274" ca="1">SUM((K270='Safety Action Tracking'!$E$3:$E$8001)*($A$269='Safety Action Tracking'!$B$3:$B$8001)*(Data!$B$269='Safety Action Tracking'!$A$3:$A$8001))</f>
        <v>0</v>
      </c>
      <c r="L274" s="76" cm="1">
        <f t="array" aca="1" ref="L274" ca="1">SUM((L270='Safety Action Tracking'!$E$3:$E$8001)*($A$269='Safety Action Tracking'!$B$3:$B$8001)*(Data!$B$269='Safety Action Tracking'!$A$3:$A$8001))</f>
        <v>0</v>
      </c>
      <c r="M274" s="76" cm="1">
        <f t="array" aca="1" ref="M274" ca="1">SUM((M270='Safety Action Tracking'!$E$3:$E$8001)*($A$269='Safety Action Tracking'!$B$3:$B$8001)*(Data!$B$269='Safety Action Tracking'!$A$3:$A$8001))</f>
        <v>0</v>
      </c>
      <c r="N274" s="76" cm="1">
        <f t="array" aca="1" ref="N274" ca="1">SUM((N270='Safety Action Tracking'!$E$3:$E$8001)*($A$269='Safety Action Tracking'!$B$3:$B$8001)*(Data!$B$269='Safety Action Tracking'!$A$3:$A$8001))</f>
        <v>0</v>
      </c>
      <c r="O274" s="76" cm="1">
        <f t="array" aca="1" ref="O274" ca="1">SUM((O270='Safety Action Tracking'!$E$3:$E$8001)*($A$269='Safety Action Tracking'!$B$3:$B$8001)*(Data!$B$269='Safety Action Tracking'!$A$3:$A$8001))</f>
        <v>0</v>
      </c>
      <c r="P274" s="76" cm="1">
        <f t="array" aca="1" ref="P274" ca="1">SUM((P270='Safety Action Tracking'!$E$3:$E$8001)*($A$269='Safety Action Tracking'!$B$3:$B$8001)*(Data!$B$269='Safety Action Tracking'!$A$3:$A$8001))</f>
        <v>0</v>
      </c>
      <c r="Q274" s="76" cm="1">
        <f t="array" aca="1" ref="Q274" ca="1">SUM((Q270='Safety Action Tracking'!$E$3:$E$8001)*($A$269='Safety Action Tracking'!$B$3:$B$8001)*(Data!$B$269='Safety Action Tracking'!$A$3:$A$8001))</f>
        <v>0</v>
      </c>
      <c r="R274" s="76" cm="1">
        <f t="array" aca="1" ref="R274" ca="1">SUM((R270='Safety Action Tracking'!$E$3:$E$8001)*($A$269='Safety Action Tracking'!$B$3:$B$8001)*(Data!$B$269='Safety Action Tracking'!$A$3:$A$8001))</f>
        <v>0</v>
      </c>
      <c r="S274" s="76" cm="1">
        <f t="array" aca="1" ref="S274" ca="1">SUM((S270='Safety Action Tracking'!$E$3:$E$8001)*($A$269='Safety Action Tracking'!$B$3:$B$8001)*(Data!$B$269='Safety Action Tracking'!$A$3:$A$8001))</f>
        <v>0</v>
      </c>
      <c r="T274" s="76" cm="1">
        <f t="array" aca="1" ref="T274" ca="1">SUM((T270='Safety Action Tracking'!$E$3:$E$8001)*($A$269='Safety Action Tracking'!$B$3:$B$8001)*(Data!$B$269='Safety Action Tracking'!$A$3:$A$8001))</f>
        <v>0</v>
      </c>
      <c r="U274" s="76" cm="1">
        <f t="array" aca="1" ref="U274" ca="1">SUM((U270='Safety Action Tracking'!$E$3:$E$8001)*($A$269='Safety Action Tracking'!$B$3:$B$8001)*(Data!$B$269='Safety Action Tracking'!$A$3:$A$8001))</f>
        <v>0</v>
      </c>
      <c r="V274" s="76" cm="1">
        <f t="array" aca="1" ref="V274" ca="1">SUM((V270='Safety Action Tracking'!$E$3:$E$8001)*($A$269='Safety Action Tracking'!$B$3:$B$8001)*(Data!$B$269='Safety Action Tracking'!$A$3:$A$8001))</f>
        <v>0</v>
      </c>
      <c r="W274" s="76" cm="1">
        <f t="array" aca="1" ref="W274" ca="1">SUM((W270='Safety Action Tracking'!$E$3:$E$8001)*($A$269='Safety Action Tracking'!$B$3:$B$8001)*(Data!$B$269='Safety Action Tracking'!$A$3:$A$8001))</f>
        <v>0</v>
      </c>
      <c r="X274" s="76" cm="1">
        <f t="array" aca="1" ref="X274" ca="1">SUM((X270='Safety Action Tracking'!$E$3:$E$8001)*($A$269='Safety Action Tracking'!$B$3:$B$8001)*(Data!$B$269='Safety Action Tracking'!$A$3:$A$8001))</f>
        <v>0</v>
      </c>
      <c r="Y274" s="76" cm="1">
        <f t="array" aca="1" ref="Y274" ca="1">SUM((Y270='Safety Action Tracking'!$E$3:$E$8001)*($A$269='Safety Action Tracking'!$B$3:$B$8001)*(Data!$B$269='Safety Action Tracking'!$A$3:$A$8001))</f>
        <v>0</v>
      </c>
      <c r="Z274" s="76" cm="1">
        <f t="array" aca="1" ref="Z274" ca="1">SUM((Z270='Safety Action Tracking'!$E$3:$E$8001)*($A$269='Safety Action Tracking'!$B$3:$B$8001)*(Data!$B$269='Safety Action Tracking'!$A$3:$A$8001))</f>
        <v>0</v>
      </c>
      <c r="AA274" s="76" cm="1">
        <f t="array" aca="1" ref="AA274" ca="1">SUM((AA270='Safety Action Tracking'!$E$3:$E$8001)*($A$269='Safety Action Tracking'!$B$3:$B$8001)*(Data!$B$269='Safety Action Tracking'!$A$3:$A$8001))</f>
        <v>0</v>
      </c>
      <c r="AB274" s="76" cm="1">
        <f t="array" aca="1" ref="AB274" ca="1">SUM((AB270='Safety Action Tracking'!$E$3:$E$8001)*($A$269='Safety Action Tracking'!$B$3:$B$8001)*(Data!$B$269='Safety Action Tracking'!$A$3:$A$8001))</f>
        <v>0</v>
      </c>
      <c r="AC274" s="76" cm="1">
        <f t="array" aca="1" ref="AC274" ca="1">SUM((AC270='Safety Action Tracking'!$E$3:$E$8001)*($A$269='Safety Action Tracking'!$B$3:$B$8001)*(Data!$B$269='Safety Action Tracking'!$A$3:$A$8001))</f>
        <v>0</v>
      </c>
      <c r="AD274" s="76" cm="1">
        <f t="array" aca="1" ref="AD274" ca="1">SUM((AD270='Safety Action Tracking'!$E$3:$E$8001)*($A$269='Safety Action Tracking'!$B$3:$B$8001)*(Data!$B$269='Safety Action Tracking'!$A$3:$A$8001))</f>
        <v>0</v>
      </c>
      <c r="AE274" s="76" cm="1">
        <f t="array" aca="1" ref="AE274" ca="1">SUM((AE270='Safety Action Tracking'!$E$3:$E$8001)*($A$269='Safety Action Tracking'!$B$3:$B$8001)*(Data!$B$269='Safety Action Tracking'!$A$3:$A$8001))</f>
        <v>0</v>
      </c>
      <c r="AF274" s="76" cm="1">
        <f t="array" aca="1" ref="AF274" ca="1">SUM((AF270='Safety Action Tracking'!$E$3:$E$8001)*($A$269='Safety Action Tracking'!$B$3:$B$8001)*(Data!$B$269='Safety Action Tracking'!$A$3:$A$8001))</f>
        <v>0</v>
      </c>
      <c r="AG274" s="76" cm="1">
        <f t="array" aca="1" ref="AG274" ca="1">SUM((AG270='Safety Action Tracking'!$E$3:$E$8001)*($A$269='Safety Action Tracking'!$B$3:$B$8001)*(Data!$B$269='Safety Action Tracking'!$A$3:$A$8001))</f>
        <v>0</v>
      </c>
      <c r="AH274" s="76" cm="1">
        <f t="array" aca="1" ref="AH274" ca="1">SUM((AH270='Safety Action Tracking'!$E$3:$E$8001)*($A$269='Safety Action Tracking'!$B$3:$B$8001)*(Data!$B$269='Safety Action Tracking'!$A$3:$A$8001))</f>
        <v>0</v>
      </c>
      <c r="AI274" s="76" cm="1">
        <f t="array" aca="1" ref="AI274" ca="1">SUM((AI270='Safety Action Tracking'!$E$3:$E$8001)*($A$269='Safety Action Tracking'!$B$3:$B$8001)*(Data!$B$269='Safety Action Tracking'!$A$3:$A$8001))</f>
        <v>0</v>
      </c>
      <c r="AJ274" s="76" cm="1">
        <f t="array" aca="1" ref="AJ274" ca="1">SUM((AJ270='Safety Action Tracking'!$E$3:$E$8001)*($A$269='Safety Action Tracking'!$B$3:$B$8001)*(Data!$B$269='Safety Action Tracking'!$A$3:$A$8001))</f>
        <v>0</v>
      </c>
      <c r="AK274" s="76" cm="1">
        <f t="array" aca="1" ref="AK274" ca="1">SUM((AK270='Safety Action Tracking'!$E$3:$E$8001)*($A$269='Safety Action Tracking'!$B$3:$B$8001)*(Data!$B$269='Safety Action Tracking'!$A$3:$A$8001))</f>
        <v>0</v>
      </c>
      <c r="AL274" s="76" cm="1">
        <f t="array" aca="1" ref="AL274" ca="1">SUM((AL270='Safety Action Tracking'!$E$3:$E$8001)*($A$269='Safety Action Tracking'!$B$3:$B$8001)*(Data!$B$269='Safety Action Tracking'!$A$3:$A$8001))</f>
        <v>0</v>
      </c>
      <c r="AM274" s="76" cm="1">
        <f t="array" aca="1" ref="AM274" ca="1">SUM((AM270='Safety Action Tracking'!$E$3:$E$8001)*($A$269='Safety Action Tracking'!$B$3:$B$8001)*(Data!$B$269='Safety Action Tracking'!$A$3:$A$8001))</f>
        <v>0</v>
      </c>
      <c r="AN274" s="76" cm="1">
        <f t="array" aca="1" ref="AN274" ca="1">SUM((AN270='Safety Action Tracking'!$E$3:$E$8001)*($A$269='Safety Action Tracking'!$B$3:$B$8001)*(Data!$B$269='Safety Action Tracking'!$A$3:$A$8001))</f>
        <v>0</v>
      </c>
    </row>
    <row r="275" spans="1:40" x14ac:dyDescent="0.35">
      <c r="A275" s="177" t="s">
        <v>93</v>
      </c>
      <c r="B275" s="445" cm="1">
        <f t="array" aca="1" ref="B275" ca="1">SUM((B271='Safety Action Tracking'!$E$3:$E$8001)*($A$269='Safety Action Tracking'!$B$3:$B$8001)*(Data!$B$269='Safety Action Tracking'!$A$3:$A$8001))</f>
        <v>0</v>
      </c>
      <c r="C275" s="445" cm="1">
        <f t="array" aca="1" ref="C275" ca="1">SUM((C271='Safety Action Tracking'!$E$3:$E$8001)*($A$269='Safety Action Tracking'!$B$3:$B$8001)*(Data!$B$269='Safety Action Tracking'!$A$3:$A$8001))</f>
        <v>0</v>
      </c>
      <c r="D275" s="445" cm="1">
        <f t="array" aca="1" ref="D275" ca="1">SUM((D271='Safety Action Tracking'!$E$3:$E$8001)*($A$269='Safety Action Tracking'!$B$3:$B$8001)*(Data!$B$269='Safety Action Tracking'!$A$3:$A$8001))</f>
        <v>0</v>
      </c>
      <c r="E275" s="445" cm="1">
        <f t="array" aca="1" ref="E275" ca="1">SUM((E271='Safety Action Tracking'!$E$3:$E$8001)*($A$269='Safety Action Tracking'!$B$3:$B$8001)*(Data!$B$269='Safety Action Tracking'!$A$3:$A$8001))</f>
        <v>0</v>
      </c>
      <c r="F275" s="445" cm="1">
        <f t="array" aca="1" ref="F275" ca="1">SUM((F271='Safety Action Tracking'!$E$3:$E$8001)*($A$269='Safety Action Tracking'!$B$3:$B$8001)*(Data!$B$269='Safety Action Tracking'!$A$3:$A$8001))</f>
        <v>0</v>
      </c>
      <c r="G275" s="445" cm="1">
        <f t="array" aca="1" ref="G275" ca="1">SUM((G271='Safety Action Tracking'!$E$3:$E$8001)*($A$269='Safety Action Tracking'!$B$3:$B$8001)*(Data!$B$269='Safety Action Tracking'!$A$3:$A$8001))</f>
        <v>0</v>
      </c>
      <c r="H275" s="445" cm="1">
        <f t="array" aca="1" ref="H275" ca="1">SUM((H271='Safety Action Tracking'!$E$3:$E$8001)*($A$269='Safety Action Tracking'!$B$3:$B$8001)*(Data!$B$269='Safety Action Tracking'!$A$3:$A$8001))</f>
        <v>0</v>
      </c>
      <c r="I275" s="445" cm="1">
        <f t="array" aca="1" ref="I275" ca="1">SUM((I271='Safety Action Tracking'!$E$3:$E$8001)*($A$269='Safety Action Tracking'!$B$3:$B$8001)*(Data!$B$269='Safety Action Tracking'!$A$3:$A$8001))</f>
        <v>0</v>
      </c>
      <c r="J275" s="76" cm="1">
        <f t="array" aca="1" ref="J275" ca="1">SUM((J271='Safety Action Tracking'!$E$3:$E$8001)*($A$269='Safety Action Tracking'!$B$3:$B$8001)*(Data!$B$269='Safety Action Tracking'!$A$3:$A$8001))</f>
        <v>0</v>
      </c>
      <c r="K275" s="76" cm="1">
        <f t="array" aca="1" ref="K275" ca="1">SUM((K271='Safety Action Tracking'!$E$3:$E$8001)*($A$269='Safety Action Tracking'!$B$3:$B$8001)*(Data!$B$269='Safety Action Tracking'!$A$3:$A$8001))</f>
        <v>0</v>
      </c>
      <c r="L275" s="76" cm="1">
        <f t="array" aca="1" ref="L275" ca="1">SUM((L271='Safety Action Tracking'!$E$3:$E$8001)*($A$269='Safety Action Tracking'!$B$3:$B$8001)*(Data!$B$269='Safety Action Tracking'!$A$3:$A$8001))</f>
        <v>0</v>
      </c>
      <c r="M275" s="76" cm="1">
        <f t="array" aca="1" ref="M275" ca="1">SUM((M271='Safety Action Tracking'!$E$3:$E$8001)*($A$269='Safety Action Tracking'!$B$3:$B$8001)*(Data!$B$269='Safety Action Tracking'!$A$3:$A$8001))</f>
        <v>0</v>
      </c>
      <c r="N275" s="76" cm="1">
        <f t="array" aca="1" ref="N275" ca="1">SUM((N271='Safety Action Tracking'!$E$3:$E$8001)*($A$269='Safety Action Tracking'!$B$3:$B$8001)*(Data!$B$269='Safety Action Tracking'!$A$3:$A$8001))</f>
        <v>0</v>
      </c>
      <c r="O275" s="76" cm="1">
        <f t="array" aca="1" ref="O275" ca="1">SUM((O271='Safety Action Tracking'!$E$3:$E$8001)*($A$269='Safety Action Tracking'!$B$3:$B$8001)*(Data!$B$269='Safety Action Tracking'!$A$3:$A$8001))</f>
        <v>0</v>
      </c>
      <c r="P275" s="76" cm="1">
        <f t="array" aca="1" ref="P275" ca="1">SUM((P271='Safety Action Tracking'!$E$3:$E$8001)*($A$269='Safety Action Tracking'!$B$3:$B$8001)*(Data!$B$269='Safety Action Tracking'!$A$3:$A$8001))</f>
        <v>0</v>
      </c>
      <c r="Q275" s="76" cm="1">
        <f t="array" aca="1" ref="Q275" ca="1">SUM((Q271='Safety Action Tracking'!$E$3:$E$8001)*($A$269='Safety Action Tracking'!$B$3:$B$8001)*(Data!$B$269='Safety Action Tracking'!$A$3:$A$8001))</f>
        <v>0</v>
      </c>
      <c r="R275" s="76" cm="1">
        <f t="array" aca="1" ref="R275" ca="1">SUM((R271='Safety Action Tracking'!$E$3:$E$8001)*($A$269='Safety Action Tracking'!$B$3:$B$8001)*(Data!$B$269='Safety Action Tracking'!$A$3:$A$8001))</f>
        <v>0</v>
      </c>
      <c r="S275" s="76" cm="1">
        <f t="array" aca="1" ref="S275" ca="1">SUM((S271='Safety Action Tracking'!$E$3:$E$8001)*($A$269='Safety Action Tracking'!$B$3:$B$8001)*(Data!$B$269='Safety Action Tracking'!$A$3:$A$8001))</f>
        <v>0</v>
      </c>
      <c r="T275" s="76" cm="1">
        <f t="array" aca="1" ref="T275" ca="1">SUM((T271='Safety Action Tracking'!$E$3:$E$8001)*($A$269='Safety Action Tracking'!$B$3:$B$8001)*(Data!$B$269='Safety Action Tracking'!$A$3:$A$8001))</f>
        <v>0</v>
      </c>
      <c r="U275" s="76" cm="1">
        <f t="array" aca="1" ref="U275" ca="1">SUM((U271='Safety Action Tracking'!$E$3:$E$8001)*($A$269='Safety Action Tracking'!$B$3:$B$8001)*(Data!$B$269='Safety Action Tracking'!$A$3:$A$8001))</f>
        <v>0</v>
      </c>
      <c r="V275" s="76" cm="1">
        <f t="array" aca="1" ref="V275" ca="1">SUM((V271='Safety Action Tracking'!$E$3:$E$8001)*($A$269='Safety Action Tracking'!$B$3:$B$8001)*(Data!$B$269='Safety Action Tracking'!$A$3:$A$8001))</f>
        <v>0</v>
      </c>
      <c r="W275" s="76" cm="1">
        <f t="array" aca="1" ref="W275" ca="1">SUM((W271='Safety Action Tracking'!$E$3:$E$8001)*($A$269='Safety Action Tracking'!$B$3:$B$8001)*(Data!$B$269='Safety Action Tracking'!$A$3:$A$8001))</f>
        <v>0</v>
      </c>
      <c r="X275" s="76" cm="1">
        <f t="array" aca="1" ref="X275" ca="1">SUM((X271='Safety Action Tracking'!$E$3:$E$8001)*($A$269='Safety Action Tracking'!$B$3:$B$8001)*(Data!$B$269='Safety Action Tracking'!$A$3:$A$8001))</f>
        <v>0</v>
      </c>
      <c r="Y275" s="76" cm="1">
        <f t="array" aca="1" ref="Y275" ca="1">SUM((Y271='Safety Action Tracking'!$E$3:$E$8001)*($A$269='Safety Action Tracking'!$B$3:$B$8001)*(Data!$B$269='Safety Action Tracking'!$A$3:$A$8001))</f>
        <v>0</v>
      </c>
      <c r="Z275" s="76" cm="1">
        <f t="array" aca="1" ref="Z275" ca="1">SUM((Z271='Safety Action Tracking'!$E$3:$E$8001)*($A$269='Safety Action Tracking'!$B$3:$B$8001)*(Data!$B$269='Safety Action Tracking'!$A$3:$A$8001))</f>
        <v>0</v>
      </c>
      <c r="AA275" s="76" cm="1">
        <f t="array" aca="1" ref="AA275" ca="1">SUM((AA271='Safety Action Tracking'!$E$3:$E$8001)*($A$269='Safety Action Tracking'!$B$3:$B$8001)*(Data!$B$269='Safety Action Tracking'!$A$3:$A$8001))</f>
        <v>0</v>
      </c>
      <c r="AB275" s="76" cm="1">
        <f t="array" aca="1" ref="AB275" ca="1">SUM((AB271='Safety Action Tracking'!$E$3:$E$8001)*($A$269='Safety Action Tracking'!$B$3:$B$8001)*(Data!$B$269='Safety Action Tracking'!$A$3:$A$8001))</f>
        <v>0</v>
      </c>
      <c r="AC275" s="76" cm="1">
        <f t="array" aca="1" ref="AC275" ca="1">SUM((AC271='Safety Action Tracking'!$E$3:$E$8001)*($A$269='Safety Action Tracking'!$B$3:$B$8001)*(Data!$B$269='Safety Action Tracking'!$A$3:$A$8001))</f>
        <v>0</v>
      </c>
      <c r="AD275" s="76" cm="1">
        <f t="array" aca="1" ref="AD275" ca="1">SUM((AD271='Safety Action Tracking'!$E$3:$E$8001)*($A$269='Safety Action Tracking'!$B$3:$B$8001)*(Data!$B$269='Safety Action Tracking'!$A$3:$A$8001))</f>
        <v>0</v>
      </c>
      <c r="AE275" s="76" cm="1">
        <f t="array" aca="1" ref="AE275" ca="1">SUM((AE271='Safety Action Tracking'!$E$3:$E$8001)*($A$269='Safety Action Tracking'!$B$3:$B$8001)*(Data!$B$269='Safety Action Tracking'!$A$3:$A$8001))</f>
        <v>0</v>
      </c>
      <c r="AF275" s="76" cm="1">
        <f t="array" aca="1" ref="AF275" ca="1">SUM((AF271='Safety Action Tracking'!$E$3:$E$8001)*($A$269='Safety Action Tracking'!$B$3:$B$8001)*(Data!$B$269='Safety Action Tracking'!$A$3:$A$8001))</f>
        <v>0</v>
      </c>
      <c r="AG275" s="76" cm="1">
        <f t="array" aca="1" ref="AG275" ca="1">SUM((AG271='Safety Action Tracking'!$E$3:$E$8001)*($A$269='Safety Action Tracking'!$B$3:$B$8001)*(Data!$B$269='Safety Action Tracking'!$A$3:$A$8001))</f>
        <v>0</v>
      </c>
      <c r="AH275" s="76" cm="1">
        <f t="array" aca="1" ref="AH275" ca="1">SUM((AH271='Safety Action Tracking'!$E$3:$E$8001)*($A$269='Safety Action Tracking'!$B$3:$B$8001)*(Data!$B$269='Safety Action Tracking'!$A$3:$A$8001))</f>
        <v>0</v>
      </c>
      <c r="AI275" s="76" cm="1">
        <f t="array" aca="1" ref="AI275" ca="1">SUM((AI271='Safety Action Tracking'!$E$3:$E$8001)*($A$269='Safety Action Tracking'!$B$3:$B$8001)*(Data!$B$269='Safety Action Tracking'!$A$3:$A$8001))</f>
        <v>0</v>
      </c>
      <c r="AJ275" s="76" cm="1">
        <f t="array" aca="1" ref="AJ275" ca="1">SUM((AJ271='Safety Action Tracking'!$E$3:$E$8001)*($A$269='Safety Action Tracking'!$B$3:$B$8001)*(Data!$B$269='Safety Action Tracking'!$A$3:$A$8001))</f>
        <v>0</v>
      </c>
      <c r="AK275" s="76" cm="1">
        <f t="array" aca="1" ref="AK275" ca="1">SUM((AK271='Safety Action Tracking'!$E$3:$E$8001)*($A$269='Safety Action Tracking'!$B$3:$B$8001)*(Data!$B$269='Safety Action Tracking'!$A$3:$A$8001))</f>
        <v>0</v>
      </c>
      <c r="AL275" s="76" cm="1">
        <f t="array" aca="1" ref="AL275" ca="1">SUM((AL271='Safety Action Tracking'!$E$3:$E$8001)*($A$269='Safety Action Tracking'!$B$3:$B$8001)*(Data!$B$269='Safety Action Tracking'!$A$3:$A$8001))</f>
        <v>0</v>
      </c>
      <c r="AM275" s="76" cm="1">
        <f t="array" aca="1" ref="AM275" ca="1">SUM((AM271='Safety Action Tracking'!$E$3:$E$8001)*($A$269='Safety Action Tracking'!$B$3:$B$8001)*(Data!$B$269='Safety Action Tracking'!$A$3:$A$8001))</f>
        <v>0</v>
      </c>
      <c r="AN275" s="76" cm="1">
        <f t="array" aca="1" ref="AN275" ca="1">SUM((AN271='Safety Action Tracking'!$E$3:$E$8001)*($A$269='Safety Action Tracking'!$B$3:$B$8001)*(Data!$B$269='Safety Action Tracking'!$A$3:$A$8001))</f>
        <v>0</v>
      </c>
    </row>
    <row r="276" spans="1:40" x14ac:dyDescent="0.35">
      <c r="A276" s="177" t="s">
        <v>93</v>
      </c>
      <c r="B276" s="445" cm="1">
        <f t="array" aca="1" ref="B276" ca="1">SUM((B272='Safety Action Tracking'!$E$3:$E$8001)*($A$269='Safety Action Tracking'!$B$3:$B$8001)*(Data!$B$269='Safety Action Tracking'!$A$3:$A$8001))</f>
        <v>0</v>
      </c>
      <c r="C276" s="445" cm="1">
        <f t="array" aca="1" ref="C276" ca="1">SUM((C272='Safety Action Tracking'!$E$3:$E$8001)*($A$269='Safety Action Tracking'!$B$3:$B$8001)*(Data!$B$269='Safety Action Tracking'!$A$3:$A$8001))</f>
        <v>0</v>
      </c>
      <c r="D276" s="445" cm="1">
        <f t="array" aca="1" ref="D276" ca="1">SUM((D272='Safety Action Tracking'!$E$3:$E$8001)*($A$269='Safety Action Tracking'!$B$3:$B$8001)*(Data!$B$269='Safety Action Tracking'!$A$3:$A$8001))</f>
        <v>0</v>
      </c>
      <c r="E276" s="445" cm="1">
        <f t="array" aca="1" ref="E276" ca="1">SUM((E272='Safety Action Tracking'!$E$3:$E$8001)*($A$269='Safety Action Tracking'!$B$3:$B$8001)*(Data!$B$269='Safety Action Tracking'!$A$3:$A$8001))</f>
        <v>0</v>
      </c>
      <c r="F276" s="445" cm="1">
        <f t="array" aca="1" ref="F276" ca="1">SUM((F272='Safety Action Tracking'!$E$3:$E$8001)*($A$269='Safety Action Tracking'!$B$3:$B$8001)*(Data!$B$269='Safety Action Tracking'!$A$3:$A$8001))</f>
        <v>0</v>
      </c>
      <c r="G276" s="445" cm="1">
        <f t="array" aca="1" ref="G276" ca="1">SUM((G272='Safety Action Tracking'!$E$3:$E$8001)*($A$269='Safety Action Tracking'!$B$3:$B$8001)*(Data!$B$269='Safety Action Tracking'!$A$3:$A$8001))</f>
        <v>0</v>
      </c>
      <c r="H276" s="445" cm="1">
        <f t="array" aca="1" ref="H276" ca="1">SUM((H272='Safety Action Tracking'!$E$3:$E$8001)*($A$269='Safety Action Tracking'!$B$3:$B$8001)*(Data!$B$269='Safety Action Tracking'!$A$3:$A$8001))</f>
        <v>0</v>
      </c>
      <c r="I276" s="445" cm="1">
        <f t="array" aca="1" ref="I276" ca="1">SUM((I272='Safety Action Tracking'!$E$3:$E$8001)*($A$269='Safety Action Tracking'!$B$3:$B$8001)*(Data!$B$269='Safety Action Tracking'!$A$3:$A$8001))</f>
        <v>0</v>
      </c>
      <c r="J276" s="76" cm="1">
        <f t="array" aca="1" ref="J276" ca="1">SUM((J272='Safety Action Tracking'!$E$3:$E$8001)*($A$269='Safety Action Tracking'!$B$3:$B$8001)*(Data!$B$269='Safety Action Tracking'!$A$3:$A$8001))</f>
        <v>0</v>
      </c>
      <c r="K276" s="76" cm="1">
        <f t="array" aca="1" ref="K276" ca="1">SUM((K272='Safety Action Tracking'!$E$3:$E$8001)*($A$269='Safety Action Tracking'!$B$3:$B$8001)*(Data!$B$269='Safety Action Tracking'!$A$3:$A$8001))</f>
        <v>0</v>
      </c>
      <c r="L276" s="76" cm="1">
        <f t="array" aca="1" ref="L276" ca="1">SUM((L272='Safety Action Tracking'!$E$3:$E$8001)*($A$269='Safety Action Tracking'!$B$3:$B$8001)*(Data!$B$269='Safety Action Tracking'!$A$3:$A$8001))</f>
        <v>0</v>
      </c>
      <c r="M276" s="76" cm="1">
        <f t="array" aca="1" ref="M276" ca="1">SUM((M272='Safety Action Tracking'!$E$3:$E$8001)*($A$269='Safety Action Tracking'!$B$3:$B$8001)*(Data!$B$269='Safety Action Tracking'!$A$3:$A$8001))</f>
        <v>0</v>
      </c>
      <c r="N276" s="76" cm="1">
        <f t="array" aca="1" ref="N276" ca="1">SUM((N272='Safety Action Tracking'!$E$3:$E$8001)*($A$269='Safety Action Tracking'!$B$3:$B$8001)*(Data!$B$269='Safety Action Tracking'!$A$3:$A$8001))</f>
        <v>0</v>
      </c>
      <c r="O276" s="76" cm="1">
        <f t="array" aca="1" ref="O276" ca="1">SUM((O272='Safety Action Tracking'!$E$3:$E$8001)*($A$269='Safety Action Tracking'!$B$3:$B$8001)*(Data!$B$269='Safety Action Tracking'!$A$3:$A$8001))</f>
        <v>0</v>
      </c>
      <c r="P276" s="76" cm="1">
        <f t="array" aca="1" ref="P276" ca="1">SUM((P272='Safety Action Tracking'!$E$3:$E$8001)*($A$269='Safety Action Tracking'!$B$3:$B$8001)*(Data!$B$269='Safety Action Tracking'!$A$3:$A$8001))</f>
        <v>0</v>
      </c>
      <c r="Q276" s="76" cm="1">
        <f t="array" aca="1" ref="Q276" ca="1">SUM((Q272='Safety Action Tracking'!$E$3:$E$8001)*($A$269='Safety Action Tracking'!$B$3:$B$8001)*(Data!$B$269='Safety Action Tracking'!$A$3:$A$8001))</f>
        <v>0</v>
      </c>
      <c r="R276" s="76" cm="1">
        <f t="array" aca="1" ref="R276" ca="1">SUM((R272='Safety Action Tracking'!$E$3:$E$8001)*($A$269='Safety Action Tracking'!$B$3:$B$8001)*(Data!$B$269='Safety Action Tracking'!$A$3:$A$8001))</f>
        <v>0</v>
      </c>
      <c r="S276" s="76" cm="1">
        <f t="array" aca="1" ref="S276" ca="1">SUM((S272='Safety Action Tracking'!$E$3:$E$8001)*($A$269='Safety Action Tracking'!$B$3:$B$8001)*(Data!$B$269='Safety Action Tracking'!$A$3:$A$8001))</f>
        <v>0</v>
      </c>
      <c r="T276" s="76" cm="1">
        <f t="array" aca="1" ref="T276" ca="1">SUM((T272='Safety Action Tracking'!$E$3:$E$8001)*($A$269='Safety Action Tracking'!$B$3:$B$8001)*(Data!$B$269='Safety Action Tracking'!$A$3:$A$8001))</f>
        <v>0</v>
      </c>
      <c r="U276" s="76" cm="1">
        <f t="array" aca="1" ref="U276" ca="1">SUM((U272='Safety Action Tracking'!$E$3:$E$8001)*($A$269='Safety Action Tracking'!$B$3:$B$8001)*(Data!$B$269='Safety Action Tracking'!$A$3:$A$8001))</f>
        <v>0</v>
      </c>
      <c r="V276" s="76" cm="1">
        <f t="array" aca="1" ref="V276" ca="1">SUM((V272='Safety Action Tracking'!$E$3:$E$8001)*($A$269='Safety Action Tracking'!$B$3:$B$8001)*(Data!$B$269='Safety Action Tracking'!$A$3:$A$8001))</f>
        <v>0</v>
      </c>
      <c r="W276" s="76" cm="1">
        <f t="array" aca="1" ref="W276" ca="1">SUM((W272='Safety Action Tracking'!$E$3:$E$8001)*($A$269='Safety Action Tracking'!$B$3:$B$8001)*(Data!$B$269='Safety Action Tracking'!$A$3:$A$8001))</f>
        <v>0</v>
      </c>
      <c r="X276" s="76" cm="1">
        <f t="array" aca="1" ref="X276" ca="1">SUM((X272='Safety Action Tracking'!$E$3:$E$8001)*($A$269='Safety Action Tracking'!$B$3:$B$8001)*(Data!$B$269='Safety Action Tracking'!$A$3:$A$8001))</f>
        <v>0</v>
      </c>
      <c r="Y276" s="76" cm="1">
        <f t="array" aca="1" ref="Y276" ca="1">SUM((Y272='Safety Action Tracking'!$E$3:$E$8001)*($A$269='Safety Action Tracking'!$B$3:$B$8001)*(Data!$B$269='Safety Action Tracking'!$A$3:$A$8001))</f>
        <v>0</v>
      </c>
      <c r="Z276" s="76" cm="1">
        <f t="array" aca="1" ref="Z276" ca="1">SUM((Z272='Safety Action Tracking'!$E$3:$E$8001)*($A$269='Safety Action Tracking'!$B$3:$B$8001)*(Data!$B$269='Safety Action Tracking'!$A$3:$A$8001))</f>
        <v>0</v>
      </c>
      <c r="AA276" s="76" cm="1">
        <f t="array" aca="1" ref="AA276" ca="1">SUM((AA272='Safety Action Tracking'!$E$3:$E$8001)*($A$269='Safety Action Tracking'!$B$3:$B$8001)*(Data!$B$269='Safety Action Tracking'!$A$3:$A$8001))</f>
        <v>0</v>
      </c>
      <c r="AB276" s="76" cm="1">
        <f t="array" aca="1" ref="AB276" ca="1">SUM((AB272='Safety Action Tracking'!$E$3:$E$8001)*($A$269='Safety Action Tracking'!$B$3:$B$8001)*(Data!$B$269='Safety Action Tracking'!$A$3:$A$8001))</f>
        <v>0</v>
      </c>
      <c r="AC276" s="76" cm="1">
        <f t="array" aca="1" ref="AC276" ca="1">SUM((AC272='Safety Action Tracking'!$E$3:$E$8001)*($A$269='Safety Action Tracking'!$B$3:$B$8001)*(Data!$B$269='Safety Action Tracking'!$A$3:$A$8001))</f>
        <v>0</v>
      </c>
      <c r="AD276" s="76" cm="1">
        <f t="array" aca="1" ref="AD276" ca="1">SUM((AD272='Safety Action Tracking'!$E$3:$E$8001)*($A$269='Safety Action Tracking'!$B$3:$B$8001)*(Data!$B$269='Safety Action Tracking'!$A$3:$A$8001))</f>
        <v>0</v>
      </c>
      <c r="AE276" s="76" cm="1">
        <f t="array" aca="1" ref="AE276" ca="1">SUM((AE272='Safety Action Tracking'!$E$3:$E$8001)*($A$269='Safety Action Tracking'!$B$3:$B$8001)*(Data!$B$269='Safety Action Tracking'!$A$3:$A$8001))</f>
        <v>0</v>
      </c>
      <c r="AF276" s="76" cm="1">
        <f t="array" aca="1" ref="AF276" ca="1">SUM((AF272='Safety Action Tracking'!$E$3:$E$8001)*($A$269='Safety Action Tracking'!$B$3:$B$8001)*(Data!$B$269='Safety Action Tracking'!$A$3:$A$8001))</f>
        <v>0</v>
      </c>
      <c r="AG276" s="76" cm="1">
        <f t="array" aca="1" ref="AG276" ca="1">SUM((AG272='Safety Action Tracking'!$E$3:$E$8001)*($A$269='Safety Action Tracking'!$B$3:$B$8001)*(Data!$B$269='Safety Action Tracking'!$A$3:$A$8001))</f>
        <v>0</v>
      </c>
      <c r="AH276" s="76" cm="1">
        <f t="array" aca="1" ref="AH276" ca="1">SUM((AH272='Safety Action Tracking'!$E$3:$E$8001)*($A$269='Safety Action Tracking'!$B$3:$B$8001)*(Data!$B$269='Safety Action Tracking'!$A$3:$A$8001))</f>
        <v>0</v>
      </c>
      <c r="AI276" s="76" cm="1">
        <f t="array" aca="1" ref="AI276" ca="1">SUM((AI272='Safety Action Tracking'!$E$3:$E$8001)*($A$269='Safety Action Tracking'!$B$3:$B$8001)*(Data!$B$269='Safety Action Tracking'!$A$3:$A$8001))</f>
        <v>0</v>
      </c>
      <c r="AJ276" s="76" cm="1">
        <f t="array" aca="1" ref="AJ276" ca="1">SUM((AJ272='Safety Action Tracking'!$E$3:$E$8001)*($A$269='Safety Action Tracking'!$B$3:$B$8001)*(Data!$B$269='Safety Action Tracking'!$A$3:$A$8001))</f>
        <v>0</v>
      </c>
      <c r="AK276" s="76" cm="1">
        <f t="array" aca="1" ref="AK276" ca="1">SUM((AK272='Safety Action Tracking'!$E$3:$E$8001)*($A$269='Safety Action Tracking'!$B$3:$B$8001)*(Data!$B$269='Safety Action Tracking'!$A$3:$A$8001))</f>
        <v>0</v>
      </c>
      <c r="AL276" s="76" cm="1">
        <f t="array" aca="1" ref="AL276" ca="1">SUM((AL272='Safety Action Tracking'!$E$3:$E$8001)*($A$269='Safety Action Tracking'!$B$3:$B$8001)*(Data!$B$269='Safety Action Tracking'!$A$3:$A$8001))</f>
        <v>0</v>
      </c>
      <c r="AM276" s="76" cm="1">
        <f t="array" aca="1" ref="AM276" ca="1">SUM((AM272='Safety Action Tracking'!$E$3:$E$8001)*($A$269='Safety Action Tracking'!$B$3:$B$8001)*(Data!$B$269='Safety Action Tracking'!$A$3:$A$8001))</f>
        <v>0</v>
      </c>
      <c r="AN276" s="76" cm="1">
        <f t="array" aca="1" ref="AN276" ca="1">SUM((AN272='Safety Action Tracking'!$E$3:$E$8001)*($A$269='Safety Action Tracking'!$B$3:$B$8001)*(Data!$B$269='Safety Action Tracking'!$A$3:$A$8001))</f>
        <v>0</v>
      </c>
    </row>
    <row r="277" spans="1:40" x14ac:dyDescent="0.35">
      <c r="A277" s="177" t="s">
        <v>93</v>
      </c>
      <c r="B277" s="445" cm="1">
        <f t="array" aca="1" ref="B277" ca="1">SUM((B273='Safety Action Tracking'!$E$3:$E$8001)*($A$269='Safety Action Tracking'!$B$3:$B$8001)*(Data!$B$269='Safety Action Tracking'!$A$3:$A$8001))</f>
        <v>0</v>
      </c>
      <c r="C277" s="445" cm="1">
        <f t="array" aca="1" ref="C277" ca="1">SUM((C273='Safety Action Tracking'!$E$3:$E$8001)*($A$269='Safety Action Tracking'!$B$3:$B$8001)*(Data!$B$269='Safety Action Tracking'!$A$3:$A$8001))</f>
        <v>0</v>
      </c>
      <c r="D277" s="445" cm="1">
        <f t="array" aca="1" ref="D277" ca="1">SUM((D273='Safety Action Tracking'!$E$3:$E$8001)*($A$269='Safety Action Tracking'!$B$3:$B$8001)*(Data!$B$269='Safety Action Tracking'!$A$3:$A$8001))</f>
        <v>0</v>
      </c>
      <c r="E277" s="445" cm="1">
        <f t="array" aca="1" ref="E277" ca="1">SUM((E273='Safety Action Tracking'!$E$3:$E$8001)*($A$269='Safety Action Tracking'!$B$3:$B$8001)*(Data!$B$269='Safety Action Tracking'!$A$3:$A$8001))</f>
        <v>0</v>
      </c>
      <c r="F277" s="445" cm="1">
        <f t="array" aca="1" ref="F277" ca="1">SUM((F273='Safety Action Tracking'!$E$3:$E$8001)*($A$269='Safety Action Tracking'!$B$3:$B$8001)*(Data!$B$269='Safety Action Tracking'!$A$3:$A$8001))</f>
        <v>0</v>
      </c>
      <c r="G277" s="445" cm="1">
        <f t="array" aca="1" ref="G277" ca="1">SUM((G273='Safety Action Tracking'!$E$3:$E$8001)*($A$269='Safety Action Tracking'!$B$3:$B$8001)*(Data!$B$269='Safety Action Tracking'!$A$3:$A$8001))</f>
        <v>0</v>
      </c>
      <c r="H277" s="445" cm="1">
        <f t="array" aca="1" ref="H277" ca="1">SUM((H273='Safety Action Tracking'!$E$3:$E$8001)*($A$269='Safety Action Tracking'!$B$3:$B$8001)*(Data!$B$269='Safety Action Tracking'!$A$3:$A$8001))</f>
        <v>0</v>
      </c>
      <c r="I277" s="445" cm="1">
        <f t="array" aca="1" ref="I277" ca="1">SUM((I273='Safety Action Tracking'!$E$3:$E$8001)*($A$269='Safety Action Tracking'!$B$3:$B$8001)*(Data!$B$269='Safety Action Tracking'!$A$3:$A$8001))</f>
        <v>0</v>
      </c>
      <c r="J277" s="76" cm="1">
        <f t="array" aca="1" ref="J277" ca="1">SUM((J273='Safety Action Tracking'!$E$3:$E$8001)*($A$269='Safety Action Tracking'!$B$3:$B$8001)*(Data!$B$269='Safety Action Tracking'!$A$3:$A$8001))</f>
        <v>0</v>
      </c>
      <c r="K277" s="76" cm="1">
        <f t="array" aca="1" ref="K277" ca="1">SUM((K273='Safety Action Tracking'!$E$3:$E$8001)*($A$269='Safety Action Tracking'!$B$3:$B$8001)*(Data!$B$269='Safety Action Tracking'!$A$3:$A$8001))</f>
        <v>0</v>
      </c>
      <c r="L277" s="76" cm="1">
        <f t="array" aca="1" ref="L277" ca="1">SUM((L273='Safety Action Tracking'!$E$3:$E$8001)*($A$269='Safety Action Tracking'!$B$3:$B$8001)*(Data!$B$269='Safety Action Tracking'!$A$3:$A$8001))</f>
        <v>0</v>
      </c>
      <c r="M277" s="76" cm="1">
        <f t="array" aca="1" ref="M277" ca="1">SUM((M273='Safety Action Tracking'!$E$3:$E$8001)*($A$269='Safety Action Tracking'!$B$3:$B$8001)*(Data!$B$269='Safety Action Tracking'!$A$3:$A$8001))</f>
        <v>0</v>
      </c>
      <c r="N277" s="76" cm="1">
        <f t="array" aca="1" ref="N277" ca="1">SUM((N273='Safety Action Tracking'!$E$3:$E$8001)*($A$269='Safety Action Tracking'!$B$3:$B$8001)*(Data!$B$269='Safety Action Tracking'!$A$3:$A$8001))</f>
        <v>0</v>
      </c>
      <c r="O277" s="76" cm="1">
        <f t="array" aca="1" ref="O277" ca="1">SUM((O273='Safety Action Tracking'!$E$3:$E$8001)*($A$269='Safety Action Tracking'!$B$3:$B$8001)*(Data!$B$269='Safety Action Tracking'!$A$3:$A$8001))</f>
        <v>0</v>
      </c>
      <c r="P277" s="76" cm="1">
        <f t="array" aca="1" ref="P277" ca="1">SUM((P273='Safety Action Tracking'!$E$3:$E$8001)*($A$269='Safety Action Tracking'!$B$3:$B$8001)*(Data!$B$269='Safety Action Tracking'!$A$3:$A$8001))</f>
        <v>0</v>
      </c>
      <c r="Q277" s="76" cm="1">
        <f t="array" aca="1" ref="Q277" ca="1">SUM((Q273='Safety Action Tracking'!$E$3:$E$8001)*($A$269='Safety Action Tracking'!$B$3:$B$8001)*(Data!$B$269='Safety Action Tracking'!$A$3:$A$8001))</f>
        <v>0</v>
      </c>
      <c r="R277" s="76" cm="1">
        <f t="array" aca="1" ref="R277" ca="1">SUM((R273='Safety Action Tracking'!$E$3:$E$8001)*($A$269='Safety Action Tracking'!$B$3:$B$8001)*(Data!$B$269='Safety Action Tracking'!$A$3:$A$8001))</f>
        <v>0</v>
      </c>
      <c r="S277" s="76" cm="1">
        <f t="array" aca="1" ref="S277" ca="1">SUM((S273='Safety Action Tracking'!$E$3:$E$8001)*($A$269='Safety Action Tracking'!$B$3:$B$8001)*(Data!$B$269='Safety Action Tracking'!$A$3:$A$8001))</f>
        <v>0</v>
      </c>
      <c r="T277" s="76" cm="1">
        <f t="array" aca="1" ref="T277" ca="1">SUM((T273='Safety Action Tracking'!$E$3:$E$8001)*($A$269='Safety Action Tracking'!$B$3:$B$8001)*(Data!$B$269='Safety Action Tracking'!$A$3:$A$8001))</f>
        <v>0</v>
      </c>
      <c r="U277" s="76" cm="1">
        <f t="array" aca="1" ref="U277" ca="1">SUM((U273='Safety Action Tracking'!$E$3:$E$8001)*($A$269='Safety Action Tracking'!$B$3:$B$8001)*(Data!$B$269='Safety Action Tracking'!$A$3:$A$8001))</f>
        <v>0</v>
      </c>
      <c r="V277" s="76" cm="1">
        <f t="array" aca="1" ref="V277" ca="1">SUM((V273='Safety Action Tracking'!$E$3:$E$8001)*($A$269='Safety Action Tracking'!$B$3:$B$8001)*(Data!$B$269='Safety Action Tracking'!$A$3:$A$8001))</f>
        <v>0</v>
      </c>
      <c r="W277" s="76" cm="1">
        <f t="array" aca="1" ref="W277" ca="1">SUM((W273='Safety Action Tracking'!$E$3:$E$8001)*($A$269='Safety Action Tracking'!$B$3:$B$8001)*(Data!$B$269='Safety Action Tracking'!$A$3:$A$8001))</f>
        <v>0</v>
      </c>
      <c r="X277" s="76" cm="1">
        <f t="array" aca="1" ref="X277" ca="1">SUM((X273='Safety Action Tracking'!$E$3:$E$8001)*($A$269='Safety Action Tracking'!$B$3:$B$8001)*(Data!$B$269='Safety Action Tracking'!$A$3:$A$8001))</f>
        <v>0</v>
      </c>
      <c r="Y277" s="76" cm="1">
        <f t="array" aca="1" ref="Y277" ca="1">SUM((Y273='Safety Action Tracking'!$E$3:$E$8001)*($A$269='Safety Action Tracking'!$B$3:$B$8001)*(Data!$B$269='Safety Action Tracking'!$A$3:$A$8001))</f>
        <v>0</v>
      </c>
      <c r="Z277" s="76" cm="1">
        <f t="array" aca="1" ref="Z277" ca="1">SUM((Z273='Safety Action Tracking'!$E$3:$E$8001)*($A$269='Safety Action Tracking'!$B$3:$B$8001)*(Data!$B$269='Safety Action Tracking'!$A$3:$A$8001))</f>
        <v>0</v>
      </c>
      <c r="AA277" s="76" cm="1">
        <f t="array" aca="1" ref="AA277" ca="1">SUM((AA273='Safety Action Tracking'!$E$3:$E$8001)*($A$269='Safety Action Tracking'!$B$3:$B$8001)*(Data!$B$269='Safety Action Tracking'!$A$3:$A$8001))</f>
        <v>0</v>
      </c>
      <c r="AB277" s="76" cm="1">
        <f t="array" aca="1" ref="AB277" ca="1">SUM((AB273='Safety Action Tracking'!$E$3:$E$8001)*($A$269='Safety Action Tracking'!$B$3:$B$8001)*(Data!$B$269='Safety Action Tracking'!$A$3:$A$8001))</f>
        <v>0</v>
      </c>
      <c r="AC277" s="76" cm="1">
        <f t="array" aca="1" ref="AC277" ca="1">SUM((AC273='Safety Action Tracking'!$E$3:$E$8001)*($A$269='Safety Action Tracking'!$B$3:$B$8001)*(Data!$B$269='Safety Action Tracking'!$A$3:$A$8001))</f>
        <v>0</v>
      </c>
      <c r="AD277" s="76" cm="1">
        <f t="array" aca="1" ref="AD277" ca="1">SUM((AD273='Safety Action Tracking'!$E$3:$E$8001)*($A$269='Safety Action Tracking'!$B$3:$B$8001)*(Data!$B$269='Safety Action Tracking'!$A$3:$A$8001))</f>
        <v>0</v>
      </c>
      <c r="AE277" s="76" cm="1">
        <f t="array" aca="1" ref="AE277" ca="1">SUM((AE273='Safety Action Tracking'!$E$3:$E$8001)*($A$269='Safety Action Tracking'!$B$3:$B$8001)*(Data!$B$269='Safety Action Tracking'!$A$3:$A$8001))</f>
        <v>0</v>
      </c>
      <c r="AF277" s="76" cm="1">
        <f t="array" aca="1" ref="AF277" ca="1">SUM((AF273='Safety Action Tracking'!$E$3:$E$8001)*($A$269='Safety Action Tracking'!$B$3:$B$8001)*(Data!$B$269='Safety Action Tracking'!$A$3:$A$8001))</f>
        <v>0</v>
      </c>
      <c r="AG277" s="76" cm="1">
        <f t="array" aca="1" ref="AG277" ca="1">SUM((AG273='Safety Action Tracking'!$E$3:$E$8001)*($A$269='Safety Action Tracking'!$B$3:$B$8001)*(Data!$B$269='Safety Action Tracking'!$A$3:$A$8001))</f>
        <v>0</v>
      </c>
      <c r="AH277" s="76" cm="1">
        <f t="array" aca="1" ref="AH277" ca="1">SUM((AH273='Safety Action Tracking'!$E$3:$E$8001)*($A$269='Safety Action Tracking'!$B$3:$B$8001)*(Data!$B$269='Safety Action Tracking'!$A$3:$A$8001))</f>
        <v>0</v>
      </c>
      <c r="AI277" s="76" cm="1">
        <f t="array" aca="1" ref="AI277" ca="1">SUM((AI273='Safety Action Tracking'!$E$3:$E$8001)*($A$269='Safety Action Tracking'!$B$3:$B$8001)*(Data!$B$269='Safety Action Tracking'!$A$3:$A$8001))</f>
        <v>0</v>
      </c>
      <c r="AJ277" s="76" cm="1">
        <f t="array" aca="1" ref="AJ277" ca="1">SUM((AJ273='Safety Action Tracking'!$E$3:$E$8001)*($A$269='Safety Action Tracking'!$B$3:$B$8001)*(Data!$B$269='Safety Action Tracking'!$A$3:$A$8001))</f>
        <v>0</v>
      </c>
      <c r="AK277" s="76" cm="1">
        <f t="array" aca="1" ref="AK277" ca="1">SUM((AK273='Safety Action Tracking'!$E$3:$E$8001)*($A$269='Safety Action Tracking'!$B$3:$B$8001)*(Data!$B$269='Safety Action Tracking'!$A$3:$A$8001))</f>
        <v>0</v>
      </c>
      <c r="AL277" s="76" cm="1">
        <f t="array" aca="1" ref="AL277" ca="1">SUM((AL273='Safety Action Tracking'!$E$3:$E$8001)*($A$269='Safety Action Tracking'!$B$3:$B$8001)*(Data!$B$269='Safety Action Tracking'!$A$3:$A$8001))</f>
        <v>0</v>
      </c>
      <c r="AM277" s="76" cm="1">
        <f t="array" aca="1" ref="AM277" ca="1">SUM((AM273='Safety Action Tracking'!$E$3:$E$8001)*($A$269='Safety Action Tracking'!$B$3:$B$8001)*(Data!$B$269='Safety Action Tracking'!$A$3:$A$8001))</f>
        <v>0</v>
      </c>
      <c r="AN277" s="76" cm="1">
        <f t="array" aca="1" ref="AN277" ca="1">SUM((AN273='Safety Action Tracking'!$E$3:$E$8001)*($A$269='Safety Action Tracking'!$B$3:$B$8001)*(Data!$B$269='Safety Action Tracking'!$A$3:$A$8001))</f>
        <v>0</v>
      </c>
    </row>
    <row r="278" spans="1:40" x14ac:dyDescent="0.35">
      <c r="A278" s="177" t="s">
        <v>94</v>
      </c>
      <c r="B278" s="445" cm="1">
        <f t="array" aca="1" ref="B278" ca="1">SUM((B274='Safety Action Tracking'!$E$3:$E$8001)*($A$269='Safety Action Tracking'!$B$3:$B$8001)*(Data!$B$269='Safety Action Tracking'!$A$3:$A$8001))</f>
        <v>0</v>
      </c>
      <c r="C278" s="445" cm="1">
        <f t="array" aca="1" ref="C278" ca="1">SUM((C274='Safety Action Tracking'!$E$3:$E$8001)*($A$269='Safety Action Tracking'!$B$3:$B$8001)*(Data!$B$269='Safety Action Tracking'!$A$3:$A$8001))</f>
        <v>0</v>
      </c>
      <c r="D278" s="445" cm="1">
        <f t="array" aca="1" ref="D278" ca="1">SUM((D274='Safety Action Tracking'!$E$3:$E$8001)*($A$269='Safety Action Tracking'!$B$3:$B$8001)*(Data!$B$269='Safety Action Tracking'!$A$3:$A$8001))</f>
        <v>0</v>
      </c>
      <c r="E278" s="445" cm="1">
        <f t="array" aca="1" ref="E278" ca="1">SUM((E274='Safety Action Tracking'!$E$3:$E$8001)*($A$269='Safety Action Tracking'!$B$3:$B$8001)*(Data!$B$269='Safety Action Tracking'!$A$3:$A$8001))</f>
        <v>0</v>
      </c>
      <c r="F278" s="445" cm="1">
        <f t="array" aca="1" ref="F278" ca="1">SUM((F274='Safety Action Tracking'!$E$3:$E$8001)*($A$269='Safety Action Tracking'!$B$3:$B$8001)*(Data!$B$269='Safety Action Tracking'!$A$3:$A$8001))</f>
        <v>0</v>
      </c>
      <c r="G278" s="445" cm="1">
        <f t="array" aca="1" ref="G278" ca="1">SUM((G274='Safety Action Tracking'!$E$3:$E$8001)*($A$269='Safety Action Tracking'!$B$3:$B$8001)*(Data!$B$269='Safety Action Tracking'!$A$3:$A$8001))</f>
        <v>0</v>
      </c>
      <c r="H278" s="445" cm="1">
        <f t="array" aca="1" ref="H278" ca="1">SUM((H274='Safety Action Tracking'!$E$3:$E$8001)*($A$269='Safety Action Tracking'!$B$3:$B$8001)*(Data!$B$269='Safety Action Tracking'!$A$3:$A$8001))</f>
        <v>0</v>
      </c>
      <c r="I278" s="445" cm="1">
        <f t="array" aca="1" ref="I278" ca="1">SUM((I274='Safety Action Tracking'!$E$3:$E$8001)*($A$269='Safety Action Tracking'!$B$3:$B$8001)*(Data!$B$269='Safety Action Tracking'!$A$3:$A$8001))</f>
        <v>0</v>
      </c>
      <c r="J278" s="76" cm="1">
        <f t="array" aca="1" ref="J278" ca="1">SUM((J274='Safety Action Tracking'!$E$3:$E$8001)*($A$269='Safety Action Tracking'!$B$3:$B$8001)*(Data!$B$269='Safety Action Tracking'!$A$3:$A$8001))</f>
        <v>0</v>
      </c>
      <c r="K278" s="76" cm="1">
        <f t="array" aca="1" ref="K278" ca="1">SUM((K274='Safety Action Tracking'!$E$3:$E$8001)*($A$269='Safety Action Tracking'!$B$3:$B$8001)*(Data!$B$269='Safety Action Tracking'!$A$3:$A$8001))</f>
        <v>0</v>
      </c>
      <c r="L278" s="76" cm="1">
        <f t="array" aca="1" ref="L278" ca="1">SUM((L274='Safety Action Tracking'!$E$3:$E$8001)*($A$269='Safety Action Tracking'!$B$3:$B$8001)*(Data!$B$269='Safety Action Tracking'!$A$3:$A$8001))</f>
        <v>0</v>
      </c>
      <c r="M278" s="76" cm="1">
        <f t="array" aca="1" ref="M278" ca="1">SUM((M274='Safety Action Tracking'!$E$3:$E$8001)*($A$269='Safety Action Tracking'!$B$3:$B$8001)*(Data!$B$269='Safety Action Tracking'!$A$3:$A$8001))</f>
        <v>0</v>
      </c>
      <c r="N278" s="76" cm="1">
        <f t="array" aca="1" ref="N278" ca="1">SUM((N274='Safety Action Tracking'!$E$3:$E$8001)*($A$269='Safety Action Tracking'!$B$3:$B$8001)*(Data!$B$269='Safety Action Tracking'!$A$3:$A$8001))</f>
        <v>0</v>
      </c>
      <c r="O278" s="76" cm="1">
        <f t="array" aca="1" ref="O278" ca="1">SUM((O274='Safety Action Tracking'!$E$3:$E$8001)*($A$269='Safety Action Tracking'!$B$3:$B$8001)*(Data!$B$269='Safety Action Tracking'!$A$3:$A$8001))</f>
        <v>0</v>
      </c>
      <c r="P278" s="76" cm="1">
        <f t="array" aca="1" ref="P278" ca="1">SUM((P274='Safety Action Tracking'!$E$3:$E$8001)*($A$269='Safety Action Tracking'!$B$3:$B$8001)*(Data!$B$269='Safety Action Tracking'!$A$3:$A$8001))</f>
        <v>0</v>
      </c>
      <c r="Q278" s="76" cm="1">
        <f t="array" aca="1" ref="Q278" ca="1">SUM((Q274='Safety Action Tracking'!$E$3:$E$8001)*($A$269='Safety Action Tracking'!$B$3:$B$8001)*(Data!$B$269='Safety Action Tracking'!$A$3:$A$8001))</f>
        <v>0</v>
      </c>
      <c r="R278" s="76" cm="1">
        <f t="array" aca="1" ref="R278" ca="1">SUM((R274='Safety Action Tracking'!$E$3:$E$8001)*($A$269='Safety Action Tracking'!$B$3:$B$8001)*(Data!$B$269='Safety Action Tracking'!$A$3:$A$8001))</f>
        <v>0</v>
      </c>
      <c r="S278" s="76" cm="1">
        <f t="array" aca="1" ref="S278" ca="1">SUM((S274='Safety Action Tracking'!$E$3:$E$8001)*($A$269='Safety Action Tracking'!$B$3:$B$8001)*(Data!$B$269='Safety Action Tracking'!$A$3:$A$8001))</f>
        <v>0</v>
      </c>
      <c r="T278" s="76" cm="1">
        <f t="array" aca="1" ref="T278" ca="1">SUM((T274='Safety Action Tracking'!$E$3:$E$8001)*($A$269='Safety Action Tracking'!$B$3:$B$8001)*(Data!$B$269='Safety Action Tracking'!$A$3:$A$8001))</f>
        <v>0</v>
      </c>
      <c r="U278" s="76" cm="1">
        <f t="array" aca="1" ref="U278" ca="1">SUM((U274='Safety Action Tracking'!$E$3:$E$8001)*($A$269='Safety Action Tracking'!$B$3:$B$8001)*(Data!$B$269='Safety Action Tracking'!$A$3:$A$8001))</f>
        <v>0</v>
      </c>
      <c r="V278" s="76" cm="1">
        <f t="array" aca="1" ref="V278" ca="1">SUM((V274='Safety Action Tracking'!$E$3:$E$8001)*($A$269='Safety Action Tracking'!$B$3:$B$8001)*(Data!$B$269='Safety Action Tracking'!$A$3:$A$8001))</f>
        <v>0</v>
      </c>
      <c r="W278" s="76" cm="1">
        <f t="array" aca="1" ref="W278" ca="1">SUM((W274='Safety Action Tracking'!$E$3:$E$8001)*($A$269='Safety Action Tracking'!$B$3:$B$8001)*(Data!$B$269='Safety Action Tracking'!$A$3:$A$8001))</f>
        <v>0</v>
      </c>
      <c r="X278" s="76" cm="1">
        <f t="array" aca="1" ref="X278" ca="1">SUM((X274='Safety Action Tracking'!$E$3:$E$8001)*($A$269='Safety Action Tracking'!$B$3:$B$8001)*(Data!$B$269='Safety Action Tracking'!$A$3:$A$8001))</f>
        <v>0</v>
      </c>
      <c r="Y278" s="76" cm="1">
        <f t="array" aca="1" ref="Y278" ca="1">SUM((Y274='Safety Action Tracking'!$E$3:$E$8001)*($A$269='Safety Action Tracking'!$B$3:$B$8001)*(Data!$B$269='Safety Action Tracking'!$A$3:$A$8001))</f>
        <v>0</v>
      </c>
      <c r="Z278" s="76" cm="1">
        <f t="array" aca="1" ref="Z278" ca="1">SUM((Z274='Safety Action Tracking'!$E$3:$E$8001)*($A$269='Safety Action Tracking'!$B$3:$B$8001)*(Data!$B$269='Safety Action Tracking'!$A$3:$A$8001))</f>
        <v>0</v>
      </c>
      <c r="AA278" s="76" cm="1">
        <f t="array" aca="1" ref="AA278" ca="1">SUM((AA274='Safety Action Tracking'!$E$3:$E$8001)*($A$269='Safety Action Tracking'!$B$3:$B$8001)*(Data!$B$269='Safety Action Tracking'!$A$3:$A$8001))</f>
        <v>0</v>
      </c>
      <c r="AB278" s="76" cm="1">
        <f t="array" aca="1" ref="AB278" ca="1">SUM((AB274='Safety Action Tracking'!$E$3:$E$8001)*($A$269='Safety Action Tracking'!$B$3:$B$8001)*(Data!$B$269='Safety Action Tracking'!$A$3:$A$8001))</f>
        <v>0</v>
      </c>
      <c r="AC278" s="76" cm="1">
        <f t="array" aca="1" ref="AC278" ca="1">SUM((AC274='Safety Action Tracking'!$E$3:$E$8001)*($A$269='Safety Action Tracking'!$B$3:$B$8001)*(Data!$B$269='Safety Action Tracking'!$A$3:$A$8001))</f>
        <v>0</v>
      </c>
      <c r="AD278" s="76" cm="1">
        <f t="array" aca="1" ref="AD278" ca="1">SUM((AD274='Safety Action Tracking'!$E$3:$E$8001)*($A$269='Safety Action Tracking'!$B$3:$B$8001)*(Data!$B$269='Safety Action Tracking'!$A$3:$A$8001))</f>
        <v>0</v>
      </c>
      <c r="AE278" s="76" cm="1">
        <f t="array" aca="1" ref="AE278" ca="1">SUM((AE274='Safety Action Tracking'!$E$3:$E$8001)*($A$269='Safety Action Tracking'!$B$3:$B$8001)*(Data!$B$269='Safety Action Tracking'!$A$3:$A$8001))</f>
        <v>0</v>
      </c>
      <c r="AF278" s="76" cm="1">
        <f t="array" aca="1" ref="AF278" ca="1">SUM((AF274='Safety Action Tracking'!$E$3:$E$8001)*($A$269='Safety Action Tracking'!$B$3:$B$8001)*(Data!$B$269='Safety Action Tracking'!$A$3:$A$8001))</f>
        <v>0</v>
      </c>
      <c r="AG278" s="76" cm="1">
        <f t="array" aca="1" ref="AG278" ca="1">SUM((AG274='Safety Action Tracking'!$E$3:$E$8001)*($A$269='Safety Action Tracking'!$B$3:$B$8001)*(Data!$B$269='Safety Action Tracking'!$A$3:$A$8001))</f>
        <v>0</v>
      </c>
      <c r="AH278" s="76" cm="1">
        <f t="array" aca="1" ref="AH278" ca="1">SUM((AH274='Safety Action Tracking'!$E$3:$E$8001)*($A$269='Safety Action Tracking'!$B$3:$B$8001)*(Data!$B$269='Safety Action Tracking'!$A$3:$A$8001))</f>
        <v>0</v>
      </c>
      <c r="AI278" s="76" cm="1">
        <f t="array" aca="1" ref="AI278" ca="1">SUM((AI274='Safety Action Tracking'!$E$3:$E$8001)*($A$269='Safety Action Tracking'!$B$3:$B$8001)*(Data!$B$269='Safety Action Tracking'!$A$3:$A$8001))</f>
        <v>0</v>
      </c>
      <c r="AJ278" s="76" cm="1">
        <f t="array" aca="1" ref="AJ278" ca="1">SUM((AJ274='Safety Action Tracking'!$E$3:$E$8001)*($A$269='Safety Action Tracking'!$B$3:$B$8001)*(Data!$B$269='Safety Action Tracking'!$A$3:$A$8001))</f>
        <v>0</v>
      </c>
      <c r="AK278" s="76" cm="1">
        <f t="array" aca="1" ref="AK278" ca="1">SUM((AK274='Safety Action Tracking'!$E$3:$E$8001)*($A$269='Safety Action Tracking'!$B$3:$B$8001)*(Data!$B$269='Safety Action Tracking'!$A$3:$A$8001))</f>
        <v>0</v>
      </c>
      <c r="AL278" s="76" cm="1">
        <f t="array" aca="1" ref="AL278" ca="1">SUM((AL274='Safety Action Tracking'!$E$3:$E$8001)*($A$269='Safety Action Tracking'!$B$3:$B$8001)*(Data!$B$269='Safety Action Tracking'!$A$3:$A$8001))</f>
        <v>0</v>
      </c>
      <c r="AM278" s="76" cm="1">
        <f t="array" aca="1" ref="AM278" ca="1">SUM((AM274='Safety Action Tracking'!$E$3:$E$8001)*($A$269='Safety Action Tracking'!$B$3:$B$8001)*(Data!$B$269='Safety Action Tracking'!$A$3:$A$8001))</f>
        <v>0</v>
      </c>
      <c r="AN278" s="76" cm="1">
        <f t="array" aca="1" ref="AN278" ca="1">SUM((AN274='Safety Action Tracking'!$E$3:$E$8001)*($A$269='Safety Action Tracking'!$B$3:$B$8001)*(Data!$B$269='Safety Action Tracking'!$A$3:$A$8001))</f>
        <v>0</v>
      </c>
    </row>
    <row r="279" spans="1:40" x14ac:dyDescent="0.35">
      <c r="A279" s="177" t="s">
        <v>94</v>
      </c>
      <c r="B279" s="445" cm="1">
        <f t="array" aca="1" ref="B279" ca="1">SUM((B275='Safety Action Tracking'!$E$3:$E$8001)*($A$269='Safety Action Tracking'!$B$3:$B$8001)*(Data!$B$269='Safety Action Tracking'!$A$3:$A$8001))</f>
        <v>0</v>
      </c>
      <c r="C279" s="445" cm="1">
        <f t="array" aca="1" ref="C279" ca="1">SUM((C275='Safety Action Tracking'!$E$3:$E$8001)*($A$269='Safety Action Tracking'!$B$3:$B$8001)*(Data!$B$269='Safety Action Tracking'!$A$3:$A$8001))</f>
        <v>0</v>
      </c>
      <c r="D279" s="445" cm="1">
        <f t="array" aca="1" ref="D279" ca="1">SUM((D275='Safety Action Tracking'!$E$3:$E$8001)*($A$269='Safety Action Tracking'!$B$3:$B$8001)*(Data!$B$269='Safety Action Tracking'!$A$3:$A$8001))</f>
        <v>0</v>
      </c>
      <c r="E279" s="445" cm="1">
        <f t="array" aca="1" ref="E279" ca="1">SUM((E275='Safety Action Tracking'!$E$3:$E$8001)*($A$269='Safety Action Tracking'!$B$3:$B$8001)*(Data!$B$269='Safety Action Tracking'!$A$3:$A$8001))</f>
        <v>0</v>
      </c>
      <c r="F279" s="445" cm="1">
        <f t="array" aca="1" ref="F279" ca="1">SUM((F275='Safety Action Tracking'!$E$3:$E$8001)*($A$269='Safety Action Tracking'!$B$3:$B$8001)*(Data!$B$269='Safety Action Tracking'!$A$3:$A$8001))</f>
        <v>0</v>
      </c>
      <c r="G279" s="445" cm="1">
        <f t="array" aca="1" ref="G279" ca="1">SUM((G275='Safety Action Tracking'!$E$3:$E$8001)*($A$269='Safety Action Tracking'!$B$3:$B$8001)*(Data!$B$269='Safety Action Tracking'!$A$3:$A$8001))</f>
        <v>0</v>
      </c>
      <c r="H279" s="445" cm="1">
        <f t="array" aca="1" ref="H279" ca="1">SUM((H275='Safety Action Tracking'!$E$3:$E$8001)*($A$269='Safety Action Tracking'!$B$3:$B$8001)*(Data!$B$269='Safety Action Tracking'!$A$3:$A$8001))</f>
        <v>0</v>
      </c>
      <c r="I279" s="445" cm="1">
        <f t="array" aca="1" ref="I279" ca="1">SUM((I275='Safety Action Tracking'!$E$3:$E$8001)*($A$269='Safety Action Tracking'!$B$3:$B$8001)*(Data!$B$269='Safety Action Tracking'!$A$3:$A$8001))</f>
        <v>0</v>
      </c>
      <c r="J279" s="76" cm="1">
        <f t="array" aca="1" ref="J279" ca="1">SUM((J275='Safety Action Tracking'!$E$3:$E$8001)*($A$269='Safety Action Tracking'!$B$3:$B$8001)*(Data!$B$269='Safety Action Tracking'!$A$3:$A$8001))</f>
        <v>0</v>
      </c>
      <c r="K279" s="76" cm="1">
        <f t="array" aca="1" ref="K279" ca="1">SUM((K275='Safety Action Tracking'!$E$3:$E$8001)*($A$269='Safety Action Tracking'!$B$3:$B$8001)*(Data!$B$269='Safety Action Tracking'!$A$3:$A$8001))</f>
        <v>0</v>
      </c>
      <c r="L279" s="76" cm="1">
        <f t="array" aca="1" ref="L279" ca="1">SUM((L275='Safety Action Tracking'!$E$3:$E$8001)*($A$269='Safety Action Tracking'!$B$3:$B$8001)*(Data!$B$269='Safety Action Tracking'!$A$3:$A$8001))</f>
        <v>0</v>
      </c>
      <c r="M279" s="76" cm="1">
        <f t="array" aca="1" ref="M279" ca="1">SUM((M275='Safety Action Tracking'!$E$3:$E$8001)*($A$269='Safety Action Tracking'!$B$3:$B$8001)*(Data!$B$269='Safety Action Tracking'!$A$3:$A$8001))</f>
        <v>0</v>
      </c>
      <c r="N279" s="76" cm="1">
        <f t="array" aca="1" ref="N279" ca="1">SUM((N275='Safety Action Tracking'!$E$3:$E$8001)*($A$269='Safety Action Tracking'!$B$3:$B$8001)*(Data!$B$269='Safety Action Tracking'!$A$3:$A$8001))</f>
        <v>0</v>
      </c>
      <c r="O279" s="76" cm="1">
        <f t="array" aca="1" ref="O279" ca="1">SUM((O275='Safety Action Tracking'!$E$3:$E$8001)*($A$269='Safety Action Tracking'!$B$3:$B$8001)*(Data!$B$269='Safety Action Tracking'!$A$3:$A$8001))</f>
        <v>0</v>
      </c>
      <c r="P279" s="76" cm="1">
        <f t="array" aca="1" ref="P279" ca="1">SUM((P275='Safety Action Tracking'!$E$3:$E$8001)*($A$269='Safety Action Tracking'!$B$3:$B$8001)*(Data!$B$269='Safety Action Tracking'!$A$3:$A$8001))</f>
        <v>0</v>
      </c>
      <c r="Q279" s="76" cm="1">
        <f t="array" aca="1" ref="Q279" ca="1">SUM((Q275='Safety Action Tracking'!$E$3:$E$8001)*($A$269='Safety Action Tracking'!$B$3:$B$8001)*(Data!$B$269='Safety Action Tracking'!$A$3:$A$8001))</f>
        <v>0</v>
      </c>
      <c r="R279" s="76" cm="1">
        <f t="array" aca="1" ref="R279" ca="1">SUM((R275='Safety Action Tracking'!$E$3:$E$8001)*($A$269='Safety Action Tracking'!$B$3:$B$8001)*(Data!$B$269='Safety Action Tracking'!$A$3:$A$8001))</f>
        <v>0</v>
      </c>
      <c r="S279" s="76" cm="1">
        <f t="array" aca="1" ref="S279" ca="1">SUM((S275='Safety Action Tracking'!$E$3:$E$8001)*($A$269='Safety Action Tracking'!$B$3:$B$8001)*(Data!$B$269='Safety Action Tracking'!$A$3:$A$8001))</f>
        <v>0</v>
      </c>
      <c r="T279" s="76" cm="1">
        <f t="array" aca="1" ref="T279" ca="1">SUM((T275='Safety Action Tracking'!$E$3:$E$8001)*($A$269='Safety Action Tracking'!$B$3:$B$8001)*(Data!$B$269='Safety Action Tracking'!$A$3:$A$8001))</f>
        <v>0</v>
      </c>
      <c r="U279" s="76" cm="1">
        <f t="array" aca="1" ref="U279" ca="1">SUM((U275='Safety Action Tracking'!$E$3:$E$8001)*($A$269='Safety Action Tracking'!$B$3:$B$8001)*(Data!$B$269='Safety Action Tracking'!$A$3:$A$8001))</f>
        <v>0</v>
      </c>
      <c r="V279" s="76" cm="1">
        <f t="array" aca="1" ref="V279" ca="1">SUM((V275='Safety Action Tracking'!$E$3:$E$8001)*($A$269='Safety Action Tracking'!$B$3:$B$8001)*(Data!$B$269='Safety Action Tracking'!$A$3:$A$8001))</f>
        <v>0</v>
      </c>
      <c r="W279" s="76" cm="1">
        <f t="array" aca="1" ref="W279" ca="1">SUM((W275='Safety Action Tracking'!$E$3:$E$8001)*($A$269='Safety Action Tracking'!$B$3:$B$8001)*(Data!$B$269='Safety Action Tracking'!$A$3:$A$8001))</f>
        <v>0</v>
      </c>
      <c r="X279" s="76" cm="1">
        <f t="array" aca="1" ref="X279" ca="1">SUM((X275='Safety Action Tracking'!$E$3:$E$8001)*($A$269='Safety Action Tracking'!$B$3:$B$8001)*(Data!$B$269='Safety Action Tracking'!$A$3:$A$8001))</f>
        <v>0</v>
      </c>
      <c r="Y279" s="76" cm="1">
        <f t="array" aca="1" ref="Y279" ca="1">SUM((Y275='Safety Action Tracking'!$E$3:$E$8001)*($A$269='Safety Action Tracking'!$B$3:$B$8001)*(Data!$B$269='Safety Action Tracking'!$A$3:$A$8001))</f>
        <v>0</v>
      </c>
      <c r="Z279" s="76" cm="1">
        <f t="array" aca="1" ref="Z279" ca="1">SUM((Z275='Safety Action Tracking'!$E$3:$E$8001)*($A$269='Safety Action Tracking'!$B$3:$B$8001)*(Data!$B$269='Safety Action Tracking'!$A$3:$A$8001))</f>
        <v>0</v>
      </c>
      <c r="AA279" s="76" cm="1">
        <f t="array" aca="1" ref="AA279" ca="1">SUM((AA275='Safety Action Tracking'!$E$3:$E$8001)*($A$269='Safety Action Tracking'!$B$3:$B$8001)*(Data!$B$269='Safety Action Tracking'!$A$3:$A$8001))</f>
        <v>0</v>
      </c>
      <c r="AB279" s="76" cm="1">
        <f t="array" aca="1" ref="AB279" ca="1">SUM((AB275='Safety Action Tracking'!$E$3:$E$8001)*($A$269='Safety Action Tracking'!$B$3:$B$8001)*(Data!$B$269='Safety Action Tracking'!$A$3:$A$8001))</f>
        <v>0</v>
      </c>
      <c r="AC279" s="76" cm="1">
        <f t="array" aca="1" ref="AC279" ca="1">SUM((AC275='Safety Action Tracking'!$E$3:$E$8001)*($A$269='Safety Action Tracking'!$B$3:$B$8001)*(Data!$B$269='Safety Action Tracking'!$A$3:$A$8001))</f>
        <v>0</v>
      </c>
      <c r="AD279" s="76" cm="1">
        <f t="array" aca="1" ref="AD279" ca="1">SUM((AD275='Safety Action Tracking'!$E$3:$E$8001)*($A$269='Safety Action Tracking'!$B$3:$B$8001)*(Data!$B$269='Safety Action Tracking'!$A$3:$A$8001))</f>
        <v>0</v>
      </c>
      <c r="AE279" s="76" cm="1">
        <f t="array" aca="1" ref="AE279" ca="1">SUM((AE275='Safety Action Tracking'!$E$3:$E$8001)*($A$269='Safety Action Tracking'!$B$3:$B$8001)*(Data!$B$269='Safety Action Tracking'!$A$3:$A$8001))</f>
        <v>0</v>
      </c>
      <c r="AF279" s="76" cm="1">
        <f t="array" aca="1" ref="AF279" ca="1">SUM((AF275='Safety Action Tracking'!$E$3:$E$8001)*($A$269='Safety Action Tracking'!$B$3:$B$8001)*(Data!$B$269='Safety Action Tracking'!$A$3:$A$8001))</f>
        <v>0</v>
      </c>
      <c r="AG279" s="76" cm="1">
        <f t="array" aca="1" ref="AG279" ca="1">SUM((AG275='Safety Action Tracking'!$E$3:$E$8001)*($A$269='Safety Action Tracking'!$B$3:$B$8001)*(Data!$B$269='Safety Action Tracking'!$A$3:$A$8001))</f>
        <v>0</v>
      </c>
      <c r="AH279" s="76" cm="1">
        <f t="array" aca="1" ref="AH279" ca="1">SUM((AH275='Safety Action Tracking'!$E$3:$E$8001)*($A$269='Safety Action Tracking'!$B$3:$B$8001)*(Data!$B$269='Safety Action Tracking'!$A$3:$A$8001))</f>
        <v>0</v>
      </c>
      <c r="AI279" s="76" cm="1">
        <f t="array" aca="1" ref="AI279" ca="1">SUM((AI275='Safety Action Tracking'!$E$3:$E$8001)*($A$269='Safety Action Tracking'!$B$3:$B$8001)*(Data!$B$269='Safety Action Tracking'!$A$3:$A$8001))</f>
        <v>0</v>
      </c>
      <c r="AJ279" s="76" cm="1">
        <f t="array" aca="1" ref="AJ279" ca="1">SUM((AJ275='Safety Action Tracking'!$E$3:$E$8001)*($A$269='Safety Action Tracking'!$B$3:$B$8001)*(Data!$B$269='Safety Action Tracking'!$A$3:$A$8001))</f>
        <v>0</v>
      </c>
      <c r="AK279" s="76" cm="1">
        <f t="array" aca="1" ref="AK279" ca="1">SUM((AK275='Safety Action Tracking'!$E$3:$E$8001)*($A$269='Safety Action Tracking'!$B$3:$B$8001)*(Data!$B$269='Safety Action Tracking'!$A$3:$A$8001))</f>
        <v>0</v>
      </c>
      <c r="AL279" s="76" cm="1">
        <f t="array" aca="1" ref="AL279" ca="1">SUM((AL275='Safety Action Tracking'!$E$3:$E$8001)*($A$269='Safety Action Tracking'!$B$3:$B$8001)*(Data!$B$269='Safety Action Tracking'!$A$3:$A$8001))</f>
        <v>0</v>
      </c>
      <c r="AM279" s="76" cm="1">
        <f t="array" aca="1" ref="AM279" ca="1">SUM((AM275='Safety Action Tracking'!$E$3:$E$8001)*($A$269='Safety Action Tracking'!$B$3:$B$8001)*(Data!$B$269='Safety Action Tracking'!$A$3:$A$8001))</f>
        <v>0</v>
      </c>
      <c r="AN279" s="76" cm="1">
        <f t="array" aca="1" ref="AN279" ca="1">SUM((AN275='Safety Action Tracking'!$E$3:$E$8001)*($A$269='Safety Action Tracking'!$B$3:$B$8001)*(Data!$B$269='Safety Action Tracking'!$A$3:$A$8001))</f>
        <v>0</v>
      </c>
    </row>
    <row r="280" spans="1:40" x14ac:dyDescent="0.35">
      <c r="A280" s="177" t="s">
        <v>94</v>
      </c>
      <c r="B280" s="445" cm="1">
        <f t="array" aca="1" ref="B280" ca="1">SUM((B276='Safety Action Tracking'!$E$3:$E$8001)*($A$269='Safety Action Tracking'!$B$3:$B$8001)*(Data!$B$269='Safety Action Tracking'!$A$3:$A$8001))</f>
        <v>0</v>
      </c>
      <c r="C280" s="445" cm="1">
        <f t="array" aca="1" ref="C280" ca="1">SUM((C276='Safety Action Tracking'!$E$3:$E$8001)*($A$269='Safety Action Tracking'!$B$3:$B$8001)*(Data!$B$269='Safety Action Tracking'!$A$3:$A$8001))</f>
        <v>0</v>
      </c>
      <c r="D280" s="445" cm="1">
        <f t="array" aca="1" ref="D280" ca="1">SUM((D276='Safety Action Tracking'!$E$3:$E$8001)*($A$269='Safety Action Tracking'!$B$3:$B$8001)*(Data!$B$269='Safety Action Tracking'!$A$3:$A$8001))</f>
        <v>0</v>
      </c>
      <c r="E280" s="445" cm="1">
        <f t="array" aca="1" ref="E280" ca="1">SUM((E276='Safety Action Tracking'!$E$3:$E$8001)*($A$269='Safety Action Tracking'!$B$3:$B$8001)*(Data!$B$269='Safety Action Tracking'!$A$3:$A$8001))</f>
        <v>0</v>
      </c>
      <c r="F280" s="445" cm="1">
        <f t="array" aca="1" ref="F280" ca="1">SUM((F276='Safety Action Tracking'!$E$3:$E$8001)*($A$269='Safety Action Tracking'!$B$3:$B$8001)*(Data!$B$269='Safety Action Tracking'!$A$3:$A$8001))</f>
        <v>0</v>
      </c>
      <c r="G280" s="445" cm="1">
        <f t="array" aca="1" ref="G280" ca="1">SUM((G276='Safety Action Tracking'!$E$3:$E$8001)*($A$269='Safety Action Tracking'!$B$3:$B$8001)*(Data!$B$269='Safety Action Tracking'!$A$3:$A$8001))</f>
        <v>0</v>
      </c>
      <c r="H280" s="445" cm="1">
        <f t="array" aca="1" ref="H280" ca="1">SUM((H276='Safety Action Tracking'!$E$3:$E$8001)*($A$269='Safety Action Tracking'!$B$3:$B$8001)*(Data!$B$269='Safety Action Tracking'!$A$3:$A$8001))</f>
        <v>0</v>
      </c>
      <c r="I280" s="445" cm="1">
        <f t="array" aca="1" ref="I280" ca="1">SUM((I276='Safety Action Tracking'!$E$3:$E$8001)*($A$269='Safety Action Tracking'!$B$3:$B$8001)*(Data!$B$269='Safety Action Tracking'!$A$3:$A$8001))</f>
        <v>0</v>
      </c>
      <c r="J280" s="76" cm="1">
        <f t="array" aca="1" ref="J280" ca="1">SUM((J276='Safety Action Tracking'!$E$3:$E$8001)*($A$269='Safety Action Tracking'!$B$3:$B$8001)*(Data!$B$269='Safety Action Tracking'!$A$3:$A$8001))</f>
        <v>0</v>
      </c>
      <c r="K280" s="76" cm="1">
        <f t="array" aca="1" ref="K280" ca="1">SUM((K276='Safety Action Tracking'!$E$3:$E$8001)*($A$269='Safety Action Tracking'!$B$3:$B$8001)*(Data!$B$269='Safety Action Tracking'!$A$3:$A$8001))</f>
        <v>0</v>
      </c>
      <c r="L280" s="76" cm="1">
        <f t="array" aca="1" ref="L280" ca="1">SUM((L276='Safety Action Tracking'!$E$3:$E$8001)*($A$269='Safety Action Tracking'!$B$3:$B$8001)*(Data!$B$269='Safety Action Tracking'!$A$3:$A$8001))</f>
        <v>0</v>
      </c>
      <c r="M280" s="76" cm="1">
        <f t="array" aca="1" ref="M280" ca="1">SUM((M276='Safety Action Tracking'!$E$3:$E$8001)*($A$269='Safety Action Tracking'!$B$3:$B$8001)*(Data!$B$269='Safety Action Tracking'!$A$3:$A$8001))</f>
        <v>0</v>
      </c>
      <c r="N280" s="76" cm="1">
        <f t="array" aca="1" ref="N280" ca="1">SUM((N276='Safety Action Tracking'!$E$3:$E$8001)*($A$269='Safety Action Tracking'!$B$3:$B$8001)*(Data!$B$269='Safety Action Tracking'!$A$3:$A$8001))</f>
        <v>0</v>
      </c>
      <c r="O280" s="76" cm="1">
        <f t="array" aca="1" ref="O280" ca="1">SUM((O276='Safety Action Tracking'!$E$3:$E$8001)*($A$269='Safety Action Tracking'!$B$3:$B$8001)*(Data!$B$269='Safety Action Tracking'!$A$3:$A$8001))</f>
        <v>0</v>
      </c>
      <c r="P280" s="76" cm="1">
        <f t="array" aca="1" ref="P280" ca="1">SUM((P276='Safety Action Tracking'!$E$3:$E$8001)*($A$269='Safety Action Tracking'!$B$3:$B$8001)*(Data!$B$269='Safety Action Tracking'!$A$3:$A$8001))</f>
        <v>0</v>
      </c>
      <c r="Q280" s="76" cm="1">
        <f t="array" aca="1" ref="Q280" ca="1">SUM((Q276='Safety Action Tracking'!$E$3:$E$8001)*($A$269='Safety Action Tracking'!$B$3:$B$8001)*(Data!$B$269='Safety Action Tracking'!$A$3:$A$8001))</f>
        <v>0</v>
      </c>
      <c r="R280" s="76" cm="1">
        <f t="array" aca="1" ref="R280" ca="1">SUM((R276='Safety Action Tracking'!$E$3:$E$8001)*($A$269='Safety Action Tracking'!$B$3:$B$8001)*(Data!$B$269='Safety Action Tracking'!$A$3:$A$8001))</f>
        <v>0</v>
      </c>
      <c r="S280" s="76" cm="1">
        <f t="array" aca="1" ref="S280" ca="1">SUM((S276='Safety Action Tracking'!$E$3:$E$8001)*($A$269='Safety Action Tracking'!$B$3:$B$8001)*(Data!$B$269='Safety Action Tracking'!$A$3:$A$8001))</f>
        <v>0</v>
      </c>
      <c r="T280" s="76" cm="1">
        <f t="array" aca="1" ref="T280" ca="1">SUM((T276='Safety Action Tracking'!$E$3:$E$8001)*($A$269='Safety Action Tracking'!$B$3:$B$8001)*(Data!$B$269='Safety Action Tracking'!$A$3:$A$8001))</f>
        <v>0</v>
      </c>
      <c r="U280" s="76" cm="1">
        <f t="array" aca="1" ref="U280" ca="1">SUM((U276='Safety Action Tracking'!$E$3:$E$8001)*($A$269='Safety Action Tracking'!$B$3:$B$8001)*(Data!$B$269='Safety Action Tracking'!$A$3:$A$8001))</f>
        <v>0</v>
      </c>
      <c r="V280" s="76" cm="1">
        <f t="array" aca="1" ref="V280" ca="1">SUM((V276='Safety Action Tracking'!$E$3:$E$8001)*($A$269='Safety Action Tracking'!$B$3:$B$8001)*(Data!$B$269='Safety Action Tracking'!$A$3:$A$8001))</f>
        <v>0</v>
      </c>
      <c r="W280" s="76" cm="1">
        <f t="array" aca="1" ref="W280" ca="1">SUM((W276='Safety Action Tracking'!$E$3:$E$8001)*($A$269='Safety Action Tracking'!$B$3:$B$8001)*(Data!$B$269='Safety Action Tracking'!$A$3:$A$8001))</f>
        <v>0</v>
      </c>
      <c r="X280" s="76" cm="1">
        <f t="array" aca="1" ref="X280" ca="1">SUM((X276='Safety Action Tracking'!$E$3:$E$8001)*($A$269='Safety Action Tracking'!$B$3:$B$8001)*(Data!$B$269='Safety Action Tracking'!$A$3:$A$8001))</f>
        <v>0</v>
      </c>
      <c r="Y280" s="76" cm="1">
        <f t="array" aca="1" ref="Y280" ca="1">SUM((Y276='Safety Action Tracking'!$E$3:$E$8001)*($A$269='Safety Action Tracking'!$B$3:$B$8001)*(Data!$B$269='Safety Action Tracking'!$A$3:$A$8001))</f>
        <v>0</v>
      </c>
      <c r="Z280" s="76" cm="1">
        <f t="array" aca="1" ref="Z280" ca="1">SUM((Z276='Safety Action Tracking'!$E$3:$E$8001)*($A$269='Safety Action Tracking'!$B$3:$B$8001)*(Data!$B$269='Safety Action Tracking'!$A$3:$A$8001))</f>
        <v>0</v>
      </c>
      <c r="AA280" s="76" cm="1">
        <f t="array" aca="1" ref="AA280" ca="1">SUM((AA276='Safety Action Tracking'!$E$3:$E$8001)*($A$269='Safety Action Tracking'!$B$3:$B$8001)*(Data!$B$269='Safety Action Tracking'!$A$3:$A$8001))</f>
        <v>0</v>
      </c>
      <c r="AB280" s="76" cm="1">
        <f t="array" aca="1" ref="AB280" ca="1">SUM((AB276='Safety Action Tracking'!$E$3:$E$8001)*($A$269='Safety Action Tracking'!$B$3:$B$8001)*(Data!$B$269='Safety Action Tracking'!$A$3:$A$8001))</f>
        <v>0</v>
      </c>
      <c r="AC280" s="76" cm="1">
        <f t="array" aca="1" ref="AC280" ca="1">SUM((AC276='Safety Action Tracking'!$E$3:$E$8001)*($A$269='Safety Action Tracking'!$B$3:$B$8001)*(Data!$B$269='Safety Action Tracking'!$A$3:$A$8001))</f>
        <v>0</v>
      </c>
      <c r="AD280" s="76" cm="1">
        <f t="array" aca="1" ref="AD280" ca="1">SUM((AD276='Safety Action Tracking'!$E$3:$E$8001)*($A$269='Safety Action Tracking'!$B$3:$B$8001)*(Data!$B$269='Safety Action Tracking'!$A$3:$A$8001))</f>
        <v>0</v>
      </c>
      <c r="AE280" s="76" cm="1">
        <f t="array" aca="1" ref="AE280" ca="1">SUM((AE276='Safety Action Tracking'!$E$3:$E$8001)*($A$269='Safety Action Tracking'!$B$3:$B$8001)*(Data!$B$269='Safety Action Tracking'!$A$3:$A$8001))</f>
        <v>0</v>
      </c>
      <c r="AF280" s="76" cm="1">
        <f t="array" aca="1" ref="AF280" ca="1">SUM((AF276='Safety Action Tracking'!$E$3:$E$8001)*($A$269='Safety Action Tracking'!$B$3:$B$8001)*(Data!$B$269='Safety Action Tracking'!$A$3:$A$8001))</f>
        <v>0</v>
      </c>
      <c r="AG280" s="76" cm="1">
        <f t="array" aca="1" ref="AG280" ca="1">SUM((AG276='Safety Action Tracking'!$E$3:$E$8001)*($A$269='Safety Action Tracking'!$B$3:$B$8001)*(Data!$B$269='Safety Action Tracking'!$A$3:$A$8001))</f>
        <v>0</v>
      </c>
      <c r="AH280" s="76" cm="1">
        <f t="array" aca="1" ref="AH280" ca="1">SUM((AH276='Safety Action Tracking'!$E$3:$E$8001)*($A$269='Safety Action Tracking'!$B$3:$B$8001)*(Data!$B$269='Safety Action Tracking'!$A$3:$A$8001))</f>
        <v>0</v>
      </c>
      <c r="AI280" s="76" cm="1">
        <f t="array" aca="1" ref="AI280" ca="1">SUM((AI276='Safety Action Tracking'!$E$3:$E$8001)*($A$269='Safety Action Tracking'!$B$3:$B$8001)*(Data!$B$269='Safety Action Tracking'!$A$3:$A$8001))</f>
        <v>0</v>
      </c>
      <c r="AJ280" s="76" cm="1">
        <f t="array" aca="1" ref="AJ280" ca="1">SUM((AJ276='Safety Action Tracking'!$E$3:$E$8001)*($A$269='Safety Action Tracking'!$B$3:$B$8001)*(Data!$B$269='Safety Action Tracking'!$A$3:$A$8001))</f>
        <v>0</v>
      </c>
      <c r="AK280" s="76" cm="1">
        <f t="array" aca="1" ref="AK280" ca="1">SUM((AK276='Safety Action Tracking'!$E$3:$E$8001)*($A$269='Safety Action Tracking'!$B$3:$B$8001)*(Data!$B$269='Safety Action Tracking'!$A$3:$A$8001))</f>
        <v>0</v>
      </c>
      <c r="AL280" s="76" cm="1">
        <f t="array" aca="1" ref="AL280" ca="1">SUM((AL276='Safety Action Tracking'!$E$3:$E$8001)*($A$269='Safety Action Tracking'!$B$3:$B$8001)*(Data!$B$269='Safety Action Tracking'!$A$3:$A$8001))</f>
        <v>0</v>
      </c>
      <c r="AM280" s="76" cm="1">
        <f t="array" aca="1" ref="AM280" ca="1">SUM((AM276='Safety Action Tracking'!$E$3:$E$8001)*($A$269='Safety Action Tracking'!$B$3:$B$8001)*(Data!$B$269='Safety Action Tracking'!$A$3:$A$8001))</f>
        <v>0</v>
      </c>
      <c r="AN280" s="76" cm="1">
        <f t="array" aca="1" ref="AN280" ca="1">SUM((AN276='Safety Action Tracking'!$E$3:$E$8001)*($A$269='Safety Action Tracking'!$B$3:$B$8001)*(Data!$B$269='Safety Action Tracking'!$A$3:$A$8001))</f>
        <v>0</v>
      </c>
    </row>
    <row r="281" spans="1:40" x14ac:dyDescent="0.35">
      <c r="A281" s="177" t="s">
        <v>95</v>
      </c>
      <c r="B281" s="445" cm="1">
        <f t="array" aca="1" ref="B281" ca="1">SUM((B277='Safety Action Tracking'!$E$3:$E$8001)*($A$269='Safety Action Tracking'!$B$3:$B$8001)*(Data!$B$269='Safety Action Tracking'!$A$3:$A$8001))</f>
        <v>0</v>
      </c>
      <c r="C281" s="445" cm="1">
        <f t="array" aca="1" ref="C281" ca="1">SUM((C277='Safety Action Tracking'!$E$3:$E$8001)*($A$269='Safety Action Tracking'!$B$3:$B$8001)*(Data!$B$269='Safety Action Tracking'!$A$3:$A$8001))</f>
        <v>0</v>
      </c>
      <c r="D281" s="445" cm="1">
        <f t="array" aca="1" ref="D281" ca="1">SUM((D277='Safety Action Tracking'!$E$3:$E$8001)*($A$269='Safety Action Tracking'!$B$3:$B$8001)*(Data!$B$269='Safety Action Tracking'!$A$3:$A$8001))</f>
        <v>0</v>
      </c>
      <c r="E281" s="445" cm="1">
        <f t="array" aca="1" ref="E281" ca="1">SUM((E277='Safety Action Tracking'!$E$3:$E$8001)*($A$269='Safety Action Tracking'!$B$3:$B$8001)*(Data!$B$269='Safety Action Tracking'!$A$3:$A$8001))</f>
        <v>0</v>
      </c>
      <c r="F281" s="445" cm="1">
        <f t="array" aca="1" ref="F281" ca="1">SUM((F277='Safety Action Tracking'!$E$3:$E$8001)*($A$269='Safety Action Tracking'!$B$3:$B$8001)*(Data!$B$269='Safety Action Tracking'!$A$3:$A$8001))</f>
        <v>0</v>
      </c>
      <c r="G281" s="445" cm="1">
        <f t="array" aca="1" ref="G281" ca="1">SUM((G277='Safety Action Tracking'!$E$3:$E$8001)*($A$269='Safety Action Tracking'!$B$3:$B$8001)*(Data!$B$269='Safety Action Tracking'!$A$3:$A$8001))</f>
        <v>0</v>
      </c>
      <c r="H281" s="445" cm="1">
        <f t="array" aca="1" ref="H281" ca="1">SUM((H277='Safety Action Tracking'!$E$3:$E$8001)*($A$269='Safety Action Tracking'!$B$3:$B$8001)*(Data!$B$269='Safety Action Tracking'!$A$3:$A$8001))</f>
        <v>0</v>
      </c>
      <c r="I281" s="445" cm="1">
        <f t="array" aca="1" ref="I281" ca="1">SUM((I277='Safety Action Tracking'!$E$3:$E$8001)*($A$269='Safety Action Tracking'!$B$3:$B$8001)*(Data!$B$269='Safety Action Tracking'!$A$3:$A$8001))</f>
        <v>0</v>
      </c>
      <c r="J281" s="76" cm="1">
        <f t="array" aca="1" ref="J281" ca="1">SUM((J277='Safety Action Tracking'!$E$3:$E$8001)*($A$269='Safety Action Tracking'!$B$3:$B$8001)*(Data!$B$269='Safety Action Tracking'!$A$3:$A$8001))</f>
        <v>0</v>
      </c>
      <c r="K281" s="76" cm="1">
        <f t="array" aca="1" ref="K281" ca="1">SUM((K277='Safety Action Tracking'!$E$3:$E$8001)*($A$269='Safety Action Tracking'!$B$3:$B$8001)*(Data!$B$269='Safety Action Tracking'!$A$3:$A$8001))</f>
        <v>0</v>
      </c>
      <c r="L281" s="76" cm="1">
        <f t="array" aca="1" ref="L281" ca="1">SUM((L277='Safety Action Tracking'!$E$3:$E$8001)*($A$269='Safety Action Tracking'!$B$3:$B$8001)*(Data!$B$269='Safety Action Tracking'!$A$3:$A$8001))</f>
        <v>0</v>
      </c>
      <c r="M281" s="76" cm="1">
        <f t="array" aca="1" ref="M281" ca="1">SUM((M277='Safety Action Tracking'!$E$3:$E$8001)*($A$269='Safety Action Tracking'!$B$3:$B$8001)*(Data!$B$269='Safety Action Tracking'!$A$3:$A$8001))</f>
        <v>0</v>
      </c>
      <c r="N281" s="76" cm="1">
        <f t="array" aca="1" ref="N281" ca="1">SUM((N277='Safety Action Tracking'!$E$3:$E$8001)*($A$269='Safety Action Tracking'!$B$3:$B$8001)*(Data!$B$269='Safety Action Tracking'!$A$3:$A$8001))</f>
        <v>0</v>
      </c>
      <c r="O281" s="76" cm="1">
        <f t="array" aca="1" ref="O281" ca="1">SUM((O277='Safety Action Tracking'!$E$3:$E$8001)*($A$269='Safety Action Tracking'!$B$3:$B$8001)*(Data!$B$269='Safety Action Tracking'!$A$3:$A$8001))</f>
        <v>0</v>
      </c>
      <c r="P281" s="76" cm="1">
        <f t="array" aca="1" ref="P281" ca="1">SUM((P277='Safety Action Tracking'!$E$3:$E$8001)*($A$269='Safety Action Tracking'!$B$3:$B$8001)*(Data!$B$269='Safety Action Tracking'!$A$3:$A$8001))</f>
        <v>0</v>
      </c>
      <c r="Q281" s="76" cm="1">
        <f t="array" aca="1" ref="Q281" ca="1">SUM((Q277='Safety Action Tracking'!$E$3:$E$8001)*($A$269='Safety Action Tracking'!$B$3:$B$8001)*(Data!$B$269='Safety Action Tracking'!$A$3:$A$8001))</f>
        <v>0</v>
      </c>
      <c r="R281" s="76" cm="1">
        <f t="array" aca="1" ref="R281" ca="1">SUM((R277='Safety Action Tracking'!$E$3:$E$8001)*($A$269='Safety Action Tracking'!$B$3:$B$8001)*(Data!$B$269='Safety Action Tracking'!$A$3:$A$8001))</f>
        <v>0</v>
      </c>
      <c r="S281" s="76" cm="1">
        <f t="array" aca="1" ref="S281" ca="1">SUM((S277='Safety Action Tracking'!$E$3:$E$8001)*($A$269='Safety Action Tracking'!$B$3:$B$8001)*(Data!$B$269='Safety Action Tracking'!$A$3:$A$8001))</f>
        <v>0</v>
      </c>
      <c r="T281" s="76" cm="1">
        <f t="array" aca="1" ref="T281" ca="1">SUM((T277='Safety Action Tracking'!$E$3:$E$8001)*($A$269='Safety Action Tracking'!$B$3:$B$8001)*(Data!$B$269='Safety Action Tracking'!$A$3:$A$8001))</f>
        <v>0</v>
      </c>
      <c r="U281" s="76" cm="1">
        <f t="array" aca="1" ref="U281" ca="1">SUM((U277='Safety Action Tracking'!$E$3:$E$8001)*($A$269='Safety Action Tracking'!$B$3:$B$8001)*(Data!$B$269='Safety Action Tracking'!$A$3:$A$8001))</f>
        <v>0</v>
      </c>
      <c r="V281" s="76" cm="1">
        <f t="array" aca="1" ref="V281" ca="1">SUM((V277='Safety Action Tracking'!$E$3:$E$8001)*($A$269='Safety Action Tracking'!$B$3:$B$8001)*(Data!$B$269='Safety Action Tracking'!$A$3:$A$8001))</f>
        <v>0</v>
      </c>
      <c r="W281" s="76" cm="1">
        <f t="array" aca="1" ref="W281" ca="1">SUM((W277='Safety Action Tracking'!$E$3:$E$8001)*($A$269='Safety Action Tracking'!$B$3:$B$8001)*(Data!$B$269='Safety Action Tracking'!$A$3:$A$8001))</f>
        <v>0</v>
      </c>
      <c r="X281" s="76" cm="1">
        <f t="array" aca="1" ref="X281" ca="1">SUM((X277='Safety Action Tracking'!$E$3:$E$8001)*($A$269='Safety Action Tracking'!$B$3:$B$8001)*(Data!$B$269='Safety Action Tracking'!$A$3:$A$8001))</f>
        <v>0</v>
      </c>
      <c r="Y281" s="76" cm="1">
        <f t="array" aca="1" ref="Y281" ca="1">SUM((Y277='Safety Action Tracking'!$E$3:$E$8001)*($A$269='Safety Action Tracking'!$B$3:$B$8001)*(Data!$B$269='Safety Action Tracking'!$A$3:$A$8001))</f>
        <v>0</v>
      </c>
      <c r="Z281" s="76" cm="1">
        <f t="array" aca="1" ref="Z281" ca="1">SUM((Z277='Safety Action Tracking'!$E$3:$E$8001)*($A$269='Safety Action Tracking'!$B$3:$B$8001)*(Data!$B$269='Safety Action Tracking'!$A$3:$A$8001))</f>
        <v>0</v>
      </c>
      <c r="AA281" s="76" cm="1">
        <f t="array" aca="1" ref="AA281" ca="1">SUM((AA277='Safety Action Tracking'!$E$3:$E$8001)*($A$269='Safety Action Tracking'!$B$3:$B$8001)*(Data!$B$269='Safety Action Tracking'!$A$3:$A$8001))</f>
        <v>0</v>
      </c>
      <c r="AB281" s="76" cm="1">
        <f t="array" aca="1" ref="AB281" ca="1">SUM((AB277='Safety Action Tracking'!$E$3:$E$8001)*($A$269='Safety Action Tracking'!$B$3:$B$8001)*(Data!$B$269='Safety Action Tracking'!$A$3:$A$8001))</f>
        <v>0</v>
      </c>
      <c r="AC281" s="76" cm="1">
        <f t="array" aca="1" ref="AC281" ca="1">SUM((AC277='Safety Action Tracking'!$E$3:$E$8001)*($A$269='Safety Action Tracking'!$B$3:$B$8001)*(Data!$B$269='Safety Action Tracking'!$A$3:$A$8001))</f>
        <v>0</v>
      </c>
      <c r="AD281" s="76" cm="1">
        <f t="array" aca="1" ref="AD281" ca="1">SUM((AD277='Safety Action Tracking'!$E$3:$E$8001)*($A$269='Safety Action Tracking'!$B$3:$B$8001)*(Data!$B$269='Safety Action Tracking'!$A$3:$A$8001))</f>
        <v>0</v>
      </c>
      <c r="AE281" s="76" cm="1">
        <f t="array" aca="1" ref="AE281" ca="1">SUM((AE277='Safety Action Tracking'!$E$3:$E$8001)*($A$269='Safety Action Tracking'!$B$3:$B$8001)*(Data!$B$269='Safety Action Tracking'!$A$3:$A$8001))</f>
        <v>0</v>
      </c>
      <c r="AF281" s="76" cm="1">
        <f t="array" aca="1" ref="AF281" ca="1">SUM((AF277='Safety Action Tracking'!$E$3:$E$8001)*($A$269='Safety Action Tracking'!$B$3:$B$8001)*(Data!$B$269='Safety Action Tracking'!$A$3:$A$8001))</f>
        <v>0</v>
      </c>
      <c r="AG281" s="76" cm="1">
        <f t="array" aca="1" ref="AG281" ca="1">SUM((AG277='Safety Action Tracking'!$E$3:$E$8001)*($A$269='Safety Action Tracking'!$B$3:$B$8001)*(Data!$B$269='Safety Action Tracking'!$A$3:$A$8001))</f>
        <v>0</v>
      </c>
      <c r="AH281" s="76" cm="1">
        <f t="array" aca="1" ref="AH281" ca="1">SUM((AH277='Safety Action Tracking'!$E$3:$E$8001)*($A$269='Safety Action Tracking'!$B$3:$B$8001)*(Data!$B$269='Safety Action Tracking'!$A$3:$A$8001))</f>
        <v>0</v>
      </c>
      <c r="AI281" s="76" cm="1">
        <f t="array" aca="1" ref="AI281" ca="1">SUM((AI277='Safety Action Tracking'!$E$3:$E$8001)*($A$269='Safety Action Tracking'!$B$3:$B$8001)*(Data!$B$269='Safety Action Tracking'!$A$3:$A$8001))</f>
        <v>0</v>
      </c>
      <c r="AJ281" s="76" cm="1">
        <f t="array" aca="1" ref="AJ281" ca="1">SUM((AJ277='Safety Action Tracking'!$E$3:$E$8001)*($A$269='Safety Action Tracking'!$B$3:$B$8001)*(Data!$B$269='Safety Action Tracking'!$A$3:$A$8001))</f>
        <v>0</v>
      </c>
      <c r="AK281" s="76" cm="1">
        <f t="array" aca="1" ref="AK281" ca="1">SUM((AK277='Safety Action Tracking'!$E$3:$E$8001)*($A$269='Safety Action Tracking'!$B$3:$B$8001)*(Data!$B$269='Safety Action Tracking'!$A$3:$A$8001))</f>
        <v>0</v>
      </c>
      <c r="AL281" s="76" cm="1">
        <f t="array" aca="1" ref="AL281" ca="1">SUM((AL277='Safety Action Tracking'!$E$3:$E$8001)*($A$269='Safety Action Tracking'!$B$3:$B$8001)*(Data!$B$269='Safety Action Tracking'!$A$3:$A$8001))</f>
        <v>0</v>
      </c>
      <c r="AM281" s="76" cm="1">
        <f t="array" aca="1" ref="AM281" ca="1">SUM((AM277='Safety Action Tracking'!$E$3:$E$8001)*($A$269='Safety Action Tracking'!$B$3:$B$8001)*(Data!$B$269='Safety Action Tracking'!$A$3:$A$8001))</f>
        <v>0</v>
      </c>
      <c r="AN281" s="76" cm="1">
        <f t="array" aca="1" ref="AN281" ca="1">SUM((AN277='Safety Action Tracking'!$E$3:$E$8001)*($A$269='Safety Action Tracking'!$B$3:$B$8001)*(Data!$B$269='Safety Action Tracking'!$A$3:$A$8001))</f>
        <v>0</v>
      </c>
    </row>
    <row r="282" spans="1:40" x14ac:dyDescent="0.35">
      <c r="A282" s="177" t="s">
        <v>95</v>
      </c>
      <c r="B282" s="445" cm="1">
        <f t="array" aca="1" ref="B282" ca="1">SUM((B278='Safety Action Tracking'!$E$3:$E$8001)*($A$269='Safety Action Tracking'!$B$3:$B$8001)*(Data!$B$269='Safety Action Tracking'!$A$3:$A$8001))</f>
        <v>0</v>
      </c>
      <c r="C282" s="445" cm="1">
        <f t="array" aca="1" ref="C282" ca="1">SUM((C278='Safety Action Tracking'!$E$3:$E$8001)*($A$269='Safety Action Tracking'!$B$3:$B$8001)*(Data!$B$269='Safety Action Tracking'!$A$3:$A$8001))</f>
        <v>0</v>
      </c>
      <c r="D282" s="445" cm="1">
        <f t="array" aca="1" ref="D282" ca="1">SUM((D278='Safety Action Tracking'!$E$3:$E$8001)*($A$269='Safety Action Tracking'!$B$3:$B$8001)*(Data!$B$269='Safety Action Tracking'!$A$3:$A$8001))</f>
        <v>0</v>
      </c>
      <c r="E282" s="445" cm="1">
        <f t="array" aca="1" ref="E282" ca="1">SUM((E278='Safety Action Tracking'!$E$3:$E$8001)*($A$269='Safety Action Tracking'!$B$3:$B$8001)*(Data!$B$269='Safety Action Tracking'!$A$3:$A$8001))</f>
        <v>0</v>
      </c>
      <c r="F282" s="445" cm="1">
        <f t="array" aca="1" ref="F282" ca="1">SUM((F278='Safety Action Tracking'!$E$3:$E$8001)*($A$269='Safety Action Tracking'!$B$3:$B$8001)*(Data!$B$269='Safety Action Tracking'!$A$3:$A$8001))</f>
        <v>0</v>
      </c>
      <c r="G282" s="445" cm="1">
        <f t="array" aca="1" ref="G282" ca="1">SUM((G278='Safety Action Tracking'!$E$3:$E$8001)*($A$269='Safety Action Tracking'!$B$3:$B$8001)*(Data!$B$269='Safety Action Tracking'!$A$3:$A$8001))</f>
        <v>0</v>
      </c>
      <c r="H282" s="445" cm="1">
        <f t="array" aca="1" ref="H282" ca="1">SUM((H278='Safety Action Tracking'!$E$3:$E$8001)*($A$269='Safety Action Tracking'!$B$3:$B$8001)*(Data!$B$269='Safety Action Tracking'!$A$3:$A$8001))</f>
        <v>0</v>
      </c>
      <c r="I282" s="445" cm="1">
        <f t="array" aca="1" ref="I282" ca="1">SUM((I278='Safety Action Tracking'!$E$3:$E$8001)*($A$269='Safety Action Tracking'!$B$3:$B$8001)*(Data!$B$269='Safety Action Tracking'!$A$3:$A$8001))</f>
        <v>0</v>
      </c>
      <c r="J282" s="76" cm="1">
        <f t="array" aca="1" ref="J282" ca="1">SUM((J278='Safety Action Tracking'!$E$3:$E$8001)*($A$269='Safety Action Tracking'!$B$3:$B$8001)*(Data!$B$269='Safety Action Tracking'!$A$3:$A$8001))</f>
        <v>0</v>
      </c>
      <c r="K282" s="76" cm="1">
        <f t="array" aca="1" ref="K282" ca="1">SUM((K278='Safety Action Tracking'!$E$3:$E$8001)*($A$269='Safety Action Tracking'!$B$3:$B$8001)*(Data!$B$269='Safety Action Tracking'!$A$3:$A$8001))</f>
        <v>0</v>
      </c>
      <c r="L282" s="76" cm="1">
        <f t="array" aca="1" ref="L282" ca="1">SUM((L278='Safety Action Tracking'!$E$3:$E$8001)*($A$269='Safety Action Tracking'!$B$3:$B$8001)*(Data!$B$269='Safety Action Tracking'!$A$3:$A$8001))</f>
        <v>0</v>
      </c>
      <c r="M282" s="76" cm="1">
        <f t="array" aca="1" ref="M282" ca="1">SUM((M278='Safety Action Tracking'!$E$3:$E$8001)*($A$269='Safety Action Tracking'!$B$3:$B$8001)*(Data!$B$269='Safety Action Tracking'!$A$3:$A$8001))</f>
        <v>0</v>
      </c>
      <c r="N282" s="76" cm="1">
        <f t="array" aca="1" ref="N282" ca="1">SUM((N278='Safety Action Tracking'!$E$3:$E$8001)*($A$269='Safety Action Tracking'!$B$3:$B$8001)*(Data!$B$269='Safety Action Tracking'!$A$3:$A$8001))</f>
        <v>0</v>
      </c>
      <c r="O282" s="76" cm="1">
        <f t="array" aca="1" ref="O282" ca="1">SUM((O278='Safety Action Tracking'!$E$3:$E$8001)*($A$269='Safety Action Tracking'!$B$3:$B$8001)*(Data!$B$269='Safety Action Tracking'!$A$3:$A$8001))</f>
        <v>0</v>
      </c>
      <c r="P282" s="76" cm="1">
        <f t="array" aca="1" ref="P282" ca="1">SUM((P278='Safety Action Tracking'!$E$3:$E$8001)*($A$269='Safety Action Tracking'!$B$3:$B$8001)*(Data!$B$269='Safety Action Tracking'!$A$3:$A$8001))</f>
        <v>0</v>
      </c>
      <c r="Q282" s="76" cm="1">
        <f t="array" aca="1" ref="Q282" ca="1">SUM((Q278='Safety Action Tracking'!$E$3:$E$8001)*($A$269='Safety Action Tracking'!$B$3:$B$8001)*(Data!$B$269='Safety Action Tracking'!$A$3:$A$8001))</f>
        <v>0</v>
      </c>
      <c r="R282" s="76" cm="1">
        <f t="array" aca="1" ref="R282" ca="1">SUM((R278='Safety Action Tracking'!$E$3:$E$8001)*($A$269='Safety Action Tracking'!$B$3:$B$8001)*(Data!$B$269='Safety Action Tracking'!$A$3:$A$8001))</f>
        <v>0</v>
      </c>
      <c r="S282" s="76" cm="1">
        <f t="array" aca="1" ref="S282" ca="1">SUM((S278='Safety Action Tracking'!$E$3:$E$8001)*($A$269='Safety Action Tracking'!$B$3:$B$8001)*(Data!$B$269='Safety Action Tracking'!$A$3:$A$8001))</f>
        <v>0</v>
      </c>
      <c r="T282" s="76" cm="1">
        <f t="array" aca="1" ref="T282" ca="1">SUM((T278='Safety Action Tracking'!$E$3:$E$8001)*($A$269='Safety Action Tracking'!$B$3:$B$8001)*(Data!$B$269='Safety Action Tracking'!$A$3:$A$8001))</f>
        <v>0</v>
      </c>
      <c r="U282" s="76" cm="1">
        <f t="array" aca="1" ref="U282" ca="1">SUM((U278='Safety Action Tracking'!$E$3:$E$8001)*($A$269='Safety Action Tracking'!$B$3:$B$8001)*(Data!$B$269='Safety Action Tracking'!$A$3:$A$8001))</f>
        <v>0</v>
      </c>
      <c r="V282" s="76" cm="1">
        <f t="array" aca="1" ref="V282" ca="1">SUM((V278='Safety Action Tracking'!$E$3:$E$8001)*($A$269='Safety Action Tracking'!$B$3:$B$8001)*(Data!$B$269='Safety Action Tracking'!$A$3:$A$8001))</f>
        <v>0</v>
      </c>
      <c r="W282" s="76" cm="1">
        <f t="array" aca="1" ref="W282" ca="1">SUM((W278='Safety Action Tracking'!$E$3:$E$8001)*($A$269='Safety Action Tracking'!$B$3:$B$8001)*(Data!$B$269='Safety Action Tracking'!$A$3:$A$8001))</f>
        <v>0</v>
      </c>
      <c r="X282" s="76" cm="1">
        <f t="array" aca="1" ref="X282" ca="1">SUM((X278='Safety Action Tracking'!$E$3:$E$8001)*($A$269='Safety Action Tracking'!$B$3:$B$8001)*(Data!$B$269='Safety Action Tracking'!$A$3:$A$8001))</f>
        <v>0</v>
      </c>
      <c r="Y282" s="76" cm="1">
        <f t="array" aca="1" ref="Y282" ca="1">SUM((Y278='Safety Action Tracking'!$E$3:$E$8001)*($A$269='Safety Action Tracking'!$B$3:$B$8001)*(Data!$B$269='Safety Action Tracking'!$A$3:$A$8001))</f>
        <v>0</v>
      </c>
      <c r="Z282" s="76" cm="1">
        <f t="array" aca="1" ref="Z282" ca="1">SUM((Z278='Safety Action Tracking'!$E$3:$E$8001)*($A$269='Safety Action Tracking'!$B$3:$B$8001)*(Data!$B$269='Safety Action Tracking'!$A$3:$A$8001))</f>
        <v>0</v>
      </c>
      <c r="AA282" s="76" cm="1">
        <f t="array" aca="1" ref="AA282" ca="1">SUM((AA278='Safety Action Tracking'!$E$3:$E$8001)*($A$269='Safety Action Tracking'!$B$3:$B$8001)*(Data!$B$269='Safety Action Tracking'!$A$3:$A$8001))</f>
        <v>0</v>
      </c>
      <c r="AB282" s="76" cm="1">
        <f t="array" aca="1" ref="AB282" ca="1">SUM((AB278='Safety Action Tracking'!$E$3:$E$8001)*($A$269='Safety Action Tracking'!$B$3:$B$8001)*(Data!$B$269='Safety Action Tracking'!$A$3:$A$8001))</f>
        <v>0</v>
      </c>
      <c r="AC282" s="76" cm="1">
        <f t="array" aca="1" ref="AC282" ca="1">SUM((AC278='Safety Action Tracking'!$E$3:$E$8001)*($A$269='Safety Action Tracking'!$B$3:$B$8001)*(Data!$B$269='Safety Action Tracking'!$A$3:$A$8001))</f>
        <v>0</v>
      </c>
      <c r="AD282" s="76" cm="1">
        <f t="array" aca="1" ref="AD282" ca="1">SUM((AD278='Safety Action Tracking'!$E$3:$E$8001)*($A$269='Safety Action Tracking'!$B$3:$B$8001)*(Data!$B$269='Safety Action Tracking'!$A$3:$A$8001))</f>
        <v>0</v>
      </c>
      <c r="AE282" s="76" cm="1">
        <f t="array" aca="1" ref="AE282" ca="1">SUM((AE278='Safety Action Tracking'!$E$3:$E$8001)*($A$269='Safety Action Tracking'!$B$3:$B$8001)*(Data!$B$269='Safety Action Tracking'!$A$3:$A$8001))</f>
        <v>0</v>
      </c>
      <c r="AF282" s="76" cm="1">
        <f t="array" aca="1" ref="AF282" ca="1">SUM((AF278='Safety Action Tracking'!$E$3:$E$8001)*($A$269='Safety Action Tracking'!$B$3:$B$8001)*(Data!$B$269='Safety Action Tracking'!$A$3:$A$8001))</f>
        <v>0</v>
      </c>
      <c r="AG282" s="76" cm="1">
        <f t="array" aca="1" ref="AG282" ca="1">SUM((AG278='Safety Action Tracking'!$E$3:$E$8001)*($A$269='Safety Action Tracking'!$B$3:$B$8001)*(Data!$B$269='Safety Action Tracking'!$A$3:$A$8001))</f>
        <v>0</v>
      </c>
      <c r="AH282" s="76" cm="1">
        <f t="array" aca="1" ref="AH282" ca="1">SUM((AH278='Safety Action Tracking'!$E$3:$E$8001)*($A$269='Safety Action Tracking'!$B$3:$B$8001)*(Data!$B$269='Safety Action Tracking'!$A$3:$A$8001))</f>
        <v>0</v>
      </c>
      <c r="AI282" s="76" cm="1">
        <f t="array" aca="1" ref="AI282" ca="1">SUM((AI278='Safety Action Tracking'!$E$3:$E$8001)*($A$269='Safety Action Tracking'!$B$3:$B$8001)*(Data!$B$269='Safety Action Tracking'!$A$3:$A$8001))</f>
        <v>0</v>
      </c>
      <c r="AJ282" s="76" cm="1">
        <f t="array" aca="1" ref="AJ282" ca="1">SUM((AJ278='Safety Action Tracking'!$E$3:$E$8001)*($A$269='Safety Action Tracking'!$B$3:$B$8001)*(Data!$B$269='Safety Action Tracking'!$A$3:$A$8001))</f>
        <v>0</v>
      </c>
      <c r="AK282" s="76" cm="1">
        <f t="array" aca="1" ref="AK282" ca="1">SUM((AK278='Safety Action Tracking'!$E$3:$E$8001)*($A$269='Safety Action Tracking'!$B$3:$B$8001)*(Data!$B$269='Safety Action Tracking'!$A$3:$A$8001))</f>
        <v>0</v>
      </c>
      <c r="AL282" s="76" cm="1">
        <f t="array" aca="1" ref="AL282" ca="1">SUM((AL278='Safety Action Tracking'!$E$3:$E$8001)*($A$269='Safety Action Tracking'!$B$3:$B$8001)*(Data!$B$269='Safety Action Tracking'!$A$3:$A$8001))</f>
        <v>0</v>
      </c>
      <c r="AM282" s="76" cm="1">
        <f t="array" aca="1" ref="AM282" ca="1">SUM((AM278='Safety Action Tracking'!$E$3:$E$8001)*($A$269='Safety Action Tracking'!$B$3:$B$8001)*(Data!$B$269='Safety Action Tracking'!$A$3:$A$8001))</f>
        <v>0</v>
      </c>
      <c r="AN282" s="76" cm="1">
        <f t="array" aca="1" ref="AN282" ca="1">SUM((AN278='Safety Action Tracking'!$E$3:$E$8001)*($A$269='Safety Action Tracking'!$B$3:$B$8001)*(Data!$B$269='Safety Action Tracking'!$A$3:$A$8001))</f>
        <v>0</v>
      </c>
    </row>
    <row r="283" spans="1:40" x14ac:dyDescent="0.35">
      <c r="A283" s="177" t="s">
        <v>95</v>
      </c>
      <c r="B283" s="445" cm="1">
        <f t="array" aca="1" ref="B283" ca="1">SUM((B279='Safety Action Tracking'!$E$3:$E$8001)*($A$269='Safety Action Tracking'!$B$3:$B$8001)*(Data!$B$269='Safety Action Tracking'!$A$3:$A$8001))</f>
        <v>0</v>
      </c>
      <c r="C283" s="445" cm="1">
        <f t="array" aca="1" ref="C283" ca="1">SUM((C279='Safety Action Tracking'!$E$3:$E$8001)*($A$269='Safety Action Tracking'!$B$3:$B$8001)*(Data!$B$269='Safety Action Tracking'!$A$3:$A$8001))</f>
        <v>0</v>
      </c>
      <c r="D283" s="445" cm="1">
        <f t="array" aca="1" ref="D283" ca="1">SUM((D279='Safety Action Tracking'!$E$3:$E$8001)*($A$269='Safety Action Tracking'!$B$3:$B$8001)*(Data!$B$269='Safety Action Tracking'!$A$3:$A$8001))</f>
        <v>0</v>
      </c>
      <c r="E283" s="445" cm="1">
        <f t="array" aca="1" ref="E283" ca="1">SUM((E279='Safety Action Tracking'!$E$3:$E$8001)*($A$269='Safety Action Tracking'!$B$3:$B$8001)*(Data!$B$269='Safety Action Tracking'!$A$3:$A$8001))</f>
        <v>0</v>
      </c>
      <c r="F283" s="445" cm="1">
        <f t="array" aca="1" ref="F283" ca="1">SUM((F279='Safety Action Tracking'!$E$3:$E$8001)*($A$269='Safety Action Tracking'!$B$3:$B$8001)*(Data!$B$269='Safety Action Tracking'!$A$3:$A$8001))</f>
        <v>0</v>
      </c>
      <c r="G283" s="445" cm="1">
        <f t="array" aca="1" ref="G283" ca="1">SUM((G279='Safety Action Tracking'!$E$3:$E$8001)*($A$269='Safety Action Tracking'!$B$3:$B$8001)*(Data!$B$269='Safety Action Tracking'!$A$3:$A$8001))</f>
        <v>0</v>
      </c>
      <c r="H283" s="445" cm="1">
        <f t="array" aca="1" ref="H283" ca="1">SUM((H279='Safety Action Tracking'!$E$3:$E$8001)*($A$269='Safety Action Tracking'!$B$3:$B$8001)*(Data!$B$269='Safety Action Tracking'!$A$3:$A$8001))</f>
        <v>0</v>
      </c>
      <c r="I283" s="445" cm="1">
        <f t="array" aca="1" ref="I283" ca="1">SUM((I279='Safety Action Tracking'!$E$3:$E$8001)*($A$269='Safety Action Tracking'!$B$3:$B$8001)*(Data!$B$269='Safety Action Tracking'!$A$3:$A$8001))</f>
        <v>0</v>
      </c>
      <c r="J283" s="76" cm="1">
        <f t="array" aca="1" ref="J283" ca="1">SUM((J279='Safety Action Tracking'!$E$3:$E$8001)*($A$269='Safety Action Tracking'!$B$3:$B$8001)*(Data!$B$269='Safety Action Tracking'!$A$3:$A$8001))</f>
        <v>0</v>
      </c>
      <c r="K283" s="76" cm="1">
        <f t="array" aca="1" ref="K283" ca="1">SUM((K279='Safety Action Tracking'!$E$3:$E$8001)*($A$269='Safety Action Tracking'!$B$3:$B$8001)*(Data!$B$269='Safety Action Tracking'!$A$3:$A$8001))</f>
        <v>0</v>
      </c>
      <c r="L283" s="76" cm="1">
        <f t="array" aca="1" ref="L283" ca="1">SUM((L279='Safety Action Tracking'!$E$3:$E$8001)*($A$269='Safety Action Tracking'!$B$3:$B$8001)*(Data!$B$269='Safety Action Tracking'!$A$3:$A$8001))</f>
        <v>0</v>
      </c>
      <c r="M283" s="76" cm="1">
        <f t="array" aca="1" ref="M283" ca="1">SUM((M279='Safety Action Tracking'!$E$3:$E$8001)*($A$269='Safety Action Tracking'!$B$3:$B$8001)*(Data!$B$269='Safety Action Tracking'!$A$3:$A$8001))</f>
        <v>0</v>
      </c>
      <c r="N283" s="76" cm="1">
        <f t="array" aca="1" ref="N283" ca="1">SUM((N279='Safety Action Tracking'!$E$3:$E$8001)*($A$269='Safety Action Tracking'!$B$3:$B$8001)*(Data!$B$269='Safety Action Tracking'!$A$3:$A$8001))</f>
        <v>0</v>
      </c>
      <c r="O283" s="76" cm="1">
        <f t="array" aca="1" ref="O283" ca="1">SUM((O279='Safety Action Tracking'!$E$3:$E$8001)*($A$269='Safety Action Tracking'!$B$3:$B$8001)*(Data!$B$269='Safety Action Tracking'!$A$3:$A$8001))</f>
        <v>0</v>
      </c>
      <c r="P283" s="76" cm="1">
        <f t="array" aca="1" ref="P283" ca="1">SUM((P279='Safety Action Tracking'!$E$3:$E$8001)*($A$269='Safety Action Tracking'!$B$3:$B$8001)*(Data!$B$269='Safety Action Tracking'!$A$3:$A$8001))</f>
        <v>0</v>
      </c>
      <c r="Q283" s="76" cm="1">
        <f t="array" aca="1" ref="Q283" ca="1">SUM((Q279='Safety Action Tracking'!$E$3:$E$8001)*($A$269='Safety Action Tracking'!$B$3:$B$8001)*(Data!$B$269='Safety Action Tracking'!$A$3:$A$8001))</f>
        <v>0</v>
      </c>
      <c r="R283" s="76" cm="1">
        <f t="array" aca="1" ref="R283" ca="1">SUM((R279='Safety Action Tracking'!$E$3:$E$8001)*($A$269='Safety Action Tracking'!$B$3:$B$8001)*(Data!$B$269='Safety Action Tracking'!$A$3:$A$8001))</f>
        <v>0</v>
      </c>
      <c r="S283" s="76" cm="1">
        <f t="array" aca="1" ref="S283" ca="1">SUM((S279='Safety Action Tracking'!$E$3:$E$8001)*($A$269='Safety Action Tracking'!$B$3:$B$8001)*(Data!$B$269='Safety Action Tracking'!$A$3:$A$8001))</f>
        <v>0</v>
      </c>
      <c r="T283" s="76" cm="1">
        <f t="array" aca="1" ref="T283" ca="1">SUM((T279='Safety Action Tracking'!$E$3:$E$8001)*($A$269='Safety Action Tracking'!$B$3:$B$8001)*(Data!$B$269='Safety Action Tracking'!$A$3:$A$8001))</f>
        <v>0</v>
      </c>
      <c r="U283" s="76" cm="1">
        <f t="array" aca="1" ref="U283" ca="1">SUM((U279='Safety Action Tracking'!$E$3:$E$8001)*($A$269='Safety Action Tracking'!$B$3:$B$8001)*(Data!$B$269='Safety Action Tracking'!$A$3:$A$8001))</f>
        <v>0</v>
      </c>
      <c r="V283" s="76" cm="1">
        <f t="array" aca="1" ref="V283" ca="1">SUM((V279='Safety Action Tracking'!$E$3:$E$8001)*($A$269='Safety Action Tracking'!$B$3:$B$8001)*(Data!$B$269='Safety Action Tracking'!$A$3:$A$8001))</f>
        <v>0</v>
      </c>
      <c r="W283" s="76" cm="1">
        <f t="array" aca="1" ref="W283" ca="1">SUM((W279='Safety Action Tracking'!$E$3:$E$8001)*($A$269='Safety Action Tracking'!$B$3:$B$8001)*(Data!$B$269='Safety Action Tracking'!$A$3:$A$8001))</f>
        <v>0</v>
      </c>
      <c r="X283" s="76" cm="1">
        <f t="array" aca="1" ref="X283" ca="1">SUM((X279='Safety Action Tracking'!$E$3:$E$8001)*($A$269='Safety Action Tracking'!$B$3:$B$8001)*(Data!$B$269='Safety Action Tracking'!$A$3:$A$8001))</f>
        <v>0</v>
      </c>
      <c r="Y283" s="76" cm="1">
        <f t="array" aca="1" ref="Y283" ca="1">SUM((Y279='Safety Action Tracking'!$E$3:$E$8001)*($A$269='Safety Action Tracking'!$B$3:$B$8001)*(Data!$B$269='Safety Action Tracking'!$A$3:$A$8001))</f>
        <v>0</v>
      </c>
      <c r="Z283" s="76" cm="1">
        <f t="array" aca="1" ref="Z283" ca="1">SUM((Z279='Safety Action Tracking'!$E$3:$E$8001)*($A$269='Safety Action Tracking'!$B$3:$B$8001)*(Data!$B$269='Safety Action Tracking'!$A$3:$A$8001))</f>
        <v>0</v>
      </c>
      <c r="AA283" s="76" cm="1">
        <f t="array" aca="1" ref="AA283" ca="1">SUM((AA279='Safety Action Tracking'!$E$3:$E$8001)*($A$269='Safety Action Tracking'!$B$3:$B$8001)*(Data!$B$269='Safety Action Tracking'!$A$3:$A$8001))</f>
        <v>0</v>
      </c>
      <c r="AB283" s="76" cm="1">
        <f t="array" aca="1" ref="AB283" ca="1">SUM((AB279='Safety Action Tracking'!$E$3:$E$8001)*($A$269='Safety Action Tracking'!$B$3:$B$8001)*(Data!$B$269='Safety Action Tracking'!$A$3:$A$8001))</f>
        <v>0</v>
      </c>
      <c r="AC283" s="76" cm="1">
        <f t="array" aca="1" ref="AC283" ca="1">SUM((AC279='Safety Action Tracking'!$E$3:$E$8001)*($A$269='Safety Action Tracking'!$B$3:$B$8001)*(Data!$B$269='Safety Action Tracking'!$A$3:$A$8001))</f>
        <v>0</v>
      </c>
      <c r="AD283" s="76" cm="1">
        <f t="array" aca="1" ref="AD283" ca="1">SUM((AD279='Safety Action Tracking'!$E$3:$E$8001)*($A$269='Safety Action Tracking'!$B$3:$B$8001)*(Data!$B$269='Safety Action Tracking'!$A$3:$A$8001))</f>
        <v>0</v>
      </c>
      <c r="AE283" s="76" cm="1">
        <f t="array" aca="1" ref="AE283" ca="1">SUM((AE279='Safety Action Tracking'!$E$3:$E$8001)*($A$269='Safety Action Tracking'!$B$3:$B$8001)*(Data!$B$269='Safety Action Tracking'!$A$3:$A$8001))</f>
        <v>0</v>
      </c>
      <c r="AF283" s="76" cm="1">
        <f t="array" aca="1" ref="AF283" ca="1">SUM((AF279='Safety Action Tracking'!$E$3:$E$8001)*($A$269='Safety Action Tracking'!$B$3:$B$8001)*(Data!$B$269='Safety Action Tracking'!$A$3:$A$8001))</f>
        <v>0</v>
      </c>
      <c r="AG283" s="76" cm="1">
        <f t="array" aca="1" ref="AG283" ca="1">SUM((AG279='Safety Action Tracking'!$E$3:$E$8001)*($A$269='Safety Action Tracking'!$B$3:$B$8001)*(Data!$B$269='Safety Action Tracking'!$A$3:$A$8001))</f>
        <v>0</v>
      </c>
      <c r="AH283" s="76" cm="1">
        <f t="array" aca="1" ref="AH283" ca="1">SUM((AH279='Safety Action Tracking'!$E$3:$E$8001)*($A$269='Safety Action Tracking'!$B$3:$B$8001)*(Data!$B$269='Safety Action Tracking'!$A$3:$A$8001))</f>
        <v>0</v>
      </c>
      <c r="AI283" s="76" cm="1">
        <f t="array" aca="1" ref="AI283" ca="1">SUM((AI279='Safety Action Tracking'!$E$3:$E$8001)*($A$269='Safety Action Tracking'!$B$3:$B$8001)*(Data!$B$269='Safety Action Tracking'!$A$3:$A$8001))</f>
        <v>0</v>
      </c>
      <c r="AJ283" s="76" cm="1">
        <f t="array" aca="1" ref="AJ283" ca="1">SUM((AJ279='Safety Action Tracking'!$E$3:$E$8001)*($A$269='Safety Action Tracking'!$B$3:$B$8001)*(Data!$B$269='Safety Action Tracking'!$A$3:$A$8001))</f>
        <v>0</v>
      </c>
      <c r="AK283" s="76" cm="1">
        <f t="array" aca="1" ref="AK283" ca="1">SUM((AK279='Safety Action Tracking'!$E$3:$E$8001)*($A$269='Safety Action Tracking'!$B$3:$B$8001)*(Data!$B$269='Safety Action Tracking'!$A$3:$A$8001))</f>
        <v>0</v>
      </c>
      <c r="AL283" s="76" cm="1">
        <f t="array" aca="1" ref="AL283" ca="1">SUM((AL279='Safety Action Tracking'!$E$3:$E$8001)*($A$269='Safety Action Tracking'!$B$3:$B$8001)*(Data!$B$269='Safety Action Tracking'!$A$3:$A$8001))</f>
        <v>0</v>
      </c>
      <c r="AM283" s="76" cm="1">
        <f t="array" aca="1" ref="AM283" ca="1">SUM((AM279='Safety Action Tracking'!$E$3:$E$8001)*($A$269='Safety Action Tracking'!$B$3:$B$8001)*(Data!$B$269='Safety Action Tracking'!$A$3:$A$8001))</f>
        <v>0</v>
      </c>
      <c r="AN283" s="76" cm="1">
        <f t="array" aca="1" ref="AN283" ca="1">SUM((AN279='Safety Action Tracking'!$E$3:$E$8001)*($A$269='Safety Action Tracking'!$B$3:$B$8001)*(Data!$B$269='Safety Action Tracking'!$A$3:$A$8001))</f>
        <v>0</v>
      </c>
    </row>
    <row r="284" spans="1:40" x14ac:dyDescent="0.35">
      <c r="A284" s="177" t="s">
        <v>96</v>
      </c>
      <c r="B284" s="445" cm="1">
        <f t="array" aca="1" ref="B284" ca="1">SUM((B280='Safety Action Tracking'!$E$3:$E$8001)*($A$269='Safety Action Tracking'!$B$3:$B$8001)*(Data!$B$269='Safety Action Tracking'!$A$3:$A$8001))</f>
        <v>0</v>
      </c>
      <c r="C284" s="445" cm="1">
        <f t="array" aca="1" ref="C284" ca="1">SUM((C280='Safety Action Tracking'!$E$3:$E$8001)*($A$269='Safety Action Tracking'!$B$3:$B$8001)*(Data!$B$269='Safety Action Tracking'!$A$3:$A$8001))</f>
        <v>0</v>
      </c>
      <c r="D284" s="445" cm="1">
        <f t="array" aca="1" ref="D284" ca="1">SUM((D280='Safety Action Tracking'!$E$3:$E$8001)*($A$269='Safety Action Tracking'!$B$3:$B$8001)*(Data!$B$269='Safety Action Tracking'!$A$3:$A$8001))</f>
        <v>0</v>
      </c>
      <c r="E284" s="445" cm="1">
        <f t="array" aca="1" ref="E284" ca="1">SUM((E280='Safety Action Tracking'!$E$3:$E$8001)*($A$269='Safety Action Tracking'!$B$3:$B$8001)*(Data!$B$269='Safety Action Tracking'!$A$3:$A$8001))</f>
        <v>0</v>
      </c>
      <c r="F284" s="445" cm="1">
        <f t="array" aca="1" ref="F284" ca="1">SUM((F280='Safety Action Tracking'!$E$3:$E$8001)*($A$269='Safety Action Tracking'!$B$3:$B$8001)*(Data!$B$269='Safety Action Tracking'!$A$3:$A$8001))</f>
        <v>0</v>
      </c>
      <c r="G284" s="445" cm="1">
        <f t="array" aca="1" ref="G284" ca="1">SUM((G280='Safety Action Tracking'!$E$3:$E$8001)*($A$269='Safety Action Tracking'!$B$3:$B$8001)*(Data!$B$269='Safety Action Tracking'!$A$3:$A$8001))</f>
        <v>0</v>
      </c>
      <c r="H284" s="445" cm="1">
        <f t="array" aca="1" ref="H284" ca="1">SUM((H280='Safety Action Tracking'!$E$3:$E$8001)*($A$269='Safety Action Tracking'!$B$3:$B$8001)*(Data!$B$269='Safety Action Tracking'!$A$3:$A$8001))</f>
        <v>0</v>
      </c>
      <c r="I284" s="445" cm="1">
        <f t="array" aca="1" ref="I284" ca="1">SUM((I280='Safety Action Tracking'!$E$3:$E$8001)*($A$269='Safety Action Tracking'!$B$3:$B$8001)*(Data!$B$269='Safety Action Tracking'!$A$3:$A$8001))</f>
        <v>0</v>
      </c>
      <c r="J284" s="76" cm="1">
        <f t="array" aca="1" ref="J284" ca="1">SUM((J280='Safety Action Tracking'!$E$3:$E$8001)*($A$269='Safety Action Tracking'!$B$3:$B$8001)*(Data!$B$269='Safety Action Tracking'!$A$3:$A$8001))</f>
        <v>0</v>
      </c>
      <c r="K284" s="76" cm="1">
        <f t="array" aca="1" ref="K284" ca="1">SUM((K280='Safety Action Tracking'!$E$3:$E$8001)*($A$269='Safety Action Tracking'!$B$3:$B$8001)*(Data!$B$269='Safety Action Tracking'!$A$3:$A$8001))</f>
        <v>0</v>
      </c>
      <c r="L284" s="76" cm="1">
        <f t="array" aca="1" ref="L284" ca="1">SUM((L280='Safety Action Tracking'!$E$3:$E$8001)*($A$269='Safety Action Tracking'!$B$3:$B$8001)*(Data!$B$269='Safety Action Tracking'!$A$3:$A$8001))</f>
        <v>0</v>
      </c>
      <c r="M284" s="76" cm="1">
        <f t="array" aca="1" ref="M284" ca="1">SUM((M280='Safety Action Tracking'!$E$3:$E$8001)*($A$269='Safety Action Tracking'!$B$3:$B$8001)*(Data!$B$269='Safety Action Tracking'!$A$3:$A$8001))</f>
        <v>0</v>
      </c>
      <c r="N284" s="76" cm="1">
        <f t="array" aca="1" ref="N284" ca="1">SUM((N280='Safety Action Tracking'!$E$3:$E$8001)*($A$269='Safety Action Tracking'!$B$3:$B$8001)*(Data!$B$269='Safety Action Tracking'!$A$3:$A$8001))</f>
        <v>0</v>
      </c>
      <c r="O284" s="76" cm="1">
        <f t="array" aca="1" ref="O284" ca="1">SUM((O280='Safety Action Tracking'!$E$3:$E$8001)*($A$269='Safety Action Tracking'!$B$3:$B$8001)*(Data!$B$269='Safety Action Tracking'!$A$3:$A$8001))</f>
        <v>0</v>
      </c>
      <c r="P284" s="76" cm="1">
        <f t="array" aca="1" ref="P284" ca="1">SUM((P280='Safety Action Tracking'!$E$3:$E$8001)*($A$269='Safety Action Tracking'!$B$3:$B$8001)*(Data!$B$269='Safety Action Tracking'!$A$3:$A$8001))</f>
        <v>0</v>
      </c>
      <c r="Q284" s="76" cm="1">
        <f t="array" aca="1" ref="Q284" ca="1">SUM((Q280='Safety Action Tracking'!$E$3:$E$8001)*($A$269='Safety Action Tracking'!$B$3:$B$8001)*(Data!$B$269='Safety Action Tracking'!$A$3:$A$8001))</f>
        <v>0</v>
      </c>
      <c r="R284" s="76" cm="1">
        <f t="array" aca="1" ref="R284" ca="1">SUM((R280='Safety Action Tracking'!$E$3:$E$8001)*($A$269='Safety Action Tracking'!$B$3:$B$8001)*(Data!$B$269='Safety Action Tracking'!$A$3:$A$8001))</f>
        <v>0</v>
      </c>
      <c r="S284" s="76" cm="1">
        <f t="array" aca="1" ref="S284" ca="1">SUM((S280='Safety Action Tracking'!$E$3:$E$8001)*($A$269='Safety Action Tracking'!$B$3:$B$8001)*(Data!$B$269='Safety Action Tracking'!$A$3:$A$8001))</f>
        <v>0</v>
      </c>
      <c r="T284" s="76" cm="1">
        <f t="array" aca="1" ref="T284" ca="1">SUM((T280='Safety Action Tracking'!$E$3:$E$8001)*($A$269='Safety Action Tracking'!$B$3:$B$8001)*(Data!$B$269='Safety Action Tracking'!$A$3:$A$8001))</f>
        <v>0</v>
      </c>
      <c r="U284" s="76" cm="1">
        <f t="array" aca="1" ref="U284" ca="1">SUM((U280='Safety Action Tracking'!$E$3:$E$8001)*($A$269='Safety Action Tracking'!$B$3:$B$8001)*(Data!$B$269='Safety Action Tracking'!$A$3:$A$8001))</f>
        <v>0</v>
      </c>
      <c r="V284" s="76" cm="1">
        <f t="array" aca="1" ref="V284" ca="1">SUM((V280='Safety Action Tracking'!$E$3:$E$8001)*($A$269='Safety Action Tracking'!$B$3:$B$8001)*(Data!$B$269='Safety Action Tracking'!$A$3:$A$8001))</f>
        <v>0</v>
      </c>
      <c r="W284" s="76" cm="1">
        <f t="array" aca="1" ref="W284" ca="1">SUM((W280='Safety Action Tracking'!$E$3:$E$8001)*($A$269='Safety Action Tracking'!$B$3:$B$8001)*(Data!$B$269='Safety Action Tracking'!$A$3:$A$8001))</f>
        <v>0</v>
      </c>
      <c r="X284" s="76" cm="1">
        <f t="array" aca="1" ref="X284" ca="1">SUM((X280='Safety Action Tracking'!$E$3:$E$8001)*($A$269='Safety Action Tracking'!$B$3:$B$8001)*(Data!$B$269='Safety Action Tracking'!$A$3:$A$8001))</f>
        <v>0</v>
      </c>
      <c r="Y284" s="76" cm="1">
        <f t="array" aca="1" ref="Y284" ca="1">SUM((Y280='Safety Action Tracking'!$E$3:$E$8001)*($A$269='Safety Action Tracking'!$B$3:$B$8001)*(Data!$B$269='Safety Action Tracking'!$A$3:$A$8001))</f>
        <v>0</v>
      </c>
      <c r="Z284" s="76" cm="1">
        <f t="array" aca="1" ref="Z284" ca="1">SUM((Z280='Safety Action Tracking'!$E$3:$E$8001)*($A$269='Safety Action Tracking'!$B$3:$B$8001)*(Data!$B$269='Safety Action Tracking'!$A$3:$A$8001))</f>
        <v>0</v>
      </c>
      <c r="AA284" s="76" cm="1">
        <f t="array" aca="1" ref="AA284" ca="1">SUM((AA280='Safety Action Tracking'!$E$3:$E$8001)*($A$269='Safety Action Tracking'!$B$3:$B$8001)*(Data!$B$269='Safety Action Tracking'!$A$3:$A$8001))</f>
        <v>0</v>
      </c>
      <c r="AB284" s="76" cm="1">
        <f t="array" aca="1" ref="AB284" ca="1">SUM((AB280='Safety Action Tracking'!$E$3:$E$8001)*($A$269='Safety Action Tracking'!$B$3:$B$8001)*(Data!$B$269='Safety Action Tracking'!$A$3:$A$8001))</f>
        <v>0</v>
      </c>
      <c r="AC284" s="76" cm="1">
        <f t="array" aca="1" ref="AC284" ca="1">SUM((AC280='Safety Action Tracking'!$E$3:$E$8001)*($A$269='Safety Action Tracking'!$B$3:$B$8001)*(Data!$B$269='Safety Action Tracking'!$A$3:$A$8001))</f>
        <v>0</v>
      </c>
      <c r="AD284" s="76" cm="1">
        <f t="array" aca="1" ref="AD284" ca="1">SUM((AD280='Safety Action Tracking'!$E$3:$E$8001)*($A$269='Safety Action Tracking'!$B$3:$B$8001)*(Data!$B$269='Safety Action Tracking'!$A$3:$A$8001))</f>
        <v>0</v>
      </c>
      <c r="AE284" s="76" cm="1">
        <f t="array" aca="1" ref="AE284" ca="1">SUM((AE280='Safety Action Tracking'!$E$3:$E$8001)*($A$269='Safety Action Tracking'!$B$3:$B$8001)*(Data!$B$269='Safety Action Tracking'!$A$3:$A$8001))</f>
        <v>0</v>
      </c>
      <c r="AF284" s="76" cm="1">
        <f t="array" aca="1" ref="AF284" ca="1">SUM((AF280='Safety Action Tracking'!$E$3:$E$8001)*($A$269='Safety Action Tracking'!$B$3:$B$8001)*(Data!$B$269='Safety Action Tracking'!$A$3:$A$8001))</f>
        <v>0</v>
      </c>
      <c r="AG284" s="76" cm="1">
        <f t="array" aca="1" ref="AG284" ca="1">SUM((AG280='Safety Action Tracking'!$E$3:$E$8001)*($A$269='Safety Action Tracking'!$B$3:$B$8001)*(Data!$B$269='Safety Action Tracking'!$A$3:$A$8001))</f>
        <v>0</v>
      </c>
      <c r="AH284" s="76" cm="1">
        <f t="array" aca="1" ref="AH284" ca="1">SUM((AH280='Safety Action Tracking'!$E$3:$E$8001)*($A$269='Safety Action Tracking'!$B$3:$B$8001)*(Data!$B$269='Safety Action Tracking'!$A$3:$A$8001))</f>
        <v>0</v>
      </c>
      <c r="AI284" s="76" cm="1">
        <f t="array" aca="1" ref="AI284" ca="1">SUM((AI280='Safety Action Tracking'!$E$3:$E$8001)*($A$269='Safety Action Tracking'!$B$3:$B$8001)*(Data!$B$269='Safety Action Tracking'!$A$3:$A$8001))</f>
        <v>0</v>
      </c>
      <c r="AJ284" s="76" cm="1">
        <f t="array" aca="1" ref="AJ284" ca="1">SUM((AJ280='Safety Action Tracking'!$E$3:$E$8001)*($A$269='Safety Action Tracking'!$B$3:$B$8001)*(Data!$B$269='Safety Action Tracking'!$A$3:$A$8001))</f>
        <v>0</v>
      </c>
      <c r="AK284" s="76" cm="1">
        <f t="array" aca="1" ref="AK284" ca="1">SUM((AK280='Safety Action Tracking'!$E$3:$E$8001)*($A$269='Safety Action Tracking'!$B$3:$B$8001)*(Data!$B$269='Safety Action Tracking'!$A$3:$A$8001))</f>
        <v>0</v>
      </c>
      <c r="AL284" s="76" cm="1">
        <f t="array" aca="1" ref="AL284" ca="1">SUM((AL280='Safety Action Tracking'!$E$3:$E$8001)*($A$269='Safety Action Tracking'!$B$3:$B$8001)*(Data!$B$269='Safety Action Tracking'!$A$3:$A$8001))</f>
        <v>0</v>
      </c>
      <c r="AM284" s="76" cm="1">
        <f t="array" aca="1" ref="AM284" ca="1">SUM((AM280='Safety Action Tracking'!$E$3:$E$8001)*($A$269='Safety Action Tracking'!$B$3:$B$8001)*(Data!$B$269='Safety Action Tracking'!$A$3:$A$8001))</f>
        <v>0</v>
      </c>
      <c r="AN284" s="76" cm="1">
        <f t="array" aca="1" ref="AN284" ca="1">SUM((AN280='Safety Action Tracking'!$E$3:$E$8001)*($A$269='Safety Action Tracking'!$B$3:$B$8001)*(Data!$B$269='Safety Action Tracking'!$A$3:$A$8001))</f>
        <v>0</v>
      </c>
    </row>
    <row r="285" spans="1:40" x14ac:dyDescent="0.35">
      <c r="A285" s="177" t="s">
        <v>96</v>
      </c>
      <c r="B285" s="445" cm="1">
        <f t="array" aca="1" ref="B285" ca="1">SUM((B281='Safety Action Tracking'!$E$3:$E$8001)*($A$269='Safety Action Tracking'!$B$3:$B$8001)*(Data!$B$269='Safety Action Tracking'!$A$3:$A$8001))</f>
        <v>0</v>
      </c>
      <c r="C285" s="445" cm="1">
        <f t="array" aca="1" ref="C285" ca="1">SUM((C281='Safety Action Tracking'!$E$3:$E$8001)*($A$269='Safety Action Tracking'!$B$3:$B$8001)*(Data!$B$269='Safety Action Tracking'!$A$3:$A$8001))</f>
        <v>0</v>
      </c>
      <c r="D285" s="445" cm="1">
        <f t="array" aca="1" ref="D285" ca="1">SUM((D281='Safety Action Tracking'!$E$3:$E$8001)*($A$269='Safety Action Tracking'!$B$3:$B$8001)*(Data!$B$269='Safety Action Tracking'!$A$3:$A$8001))</f>
        <v>0</v>
      </c>
      <c r="E285" s="445" cm="1">
        <f t="array" aca="1" ref="E285" ca="1">SUM((E281='Safety Action Tracking'!$E$3:$E$8001)*($A$269='Safety Action Tracking'!$B$3:$B$8001)*(Data!$B$269='Safety Action Tracking'!$A$3:$A$8001))</f>
        <v>0</v>
      </c>
      <c r="F285" s="445" cm="1">
        <f t="array" aca="1" ref="F285" ca="1">SUM((F281='Safety Action Tracking'!$E$3:$E$8001)*($A$269='Safety Action Tracking'!$B$3:$B$8001)*(Data!$B$269='Safety Action Tracking'!$A$3:$A$8001))</f>
        <v>0</v>
      </c>
      <c r="G285" s="445" cm="1">
        <f t="array" aca="1" ref="G285" ca="1">SUM((G281='Safety Action Tracking'!$E$3:$E$8001)*($A$269='Safety Action Tracking'!$B$3:$B$8001)*(Data!$B$269='Safety Action Tracking'!$A$3:$A$8001))</f>
        <v>0</v>
      </c>
      <c r="H285" s="445" cm="1">
        <f t="array" aca="1" ref="H285" ca="1">SUM((H281='Safety Action Tracking'!$E$3:$E$8001)*($A$269='Safety Action Tracking'!$B$3:$B$8001)*(Data!$B$269='Safety Action Tracking'!$A$3:$A$8001))</f>
        <v>0</v>
      </c>
      <c r="I285" s="445" cm="1">
        <f t="array" aca="1" ref="I285" ca="1">SUM((I281='Safety Action Tracking'!$E$3:$E$8001)*($A$269='Safety Action Tracking'!$B$3:$B$8001)*(Data!$B$269='Safety Action Tracking'!$A$3:$A$8001))</f>
        <v>0</v>
      </c>
      <c r="J285" s="76" cm="1">
        <f t="array" aca="1" ref="J285" ca="1">SUM((J281='Safety Action Tracking'!$E$3:$E$8001)*($A$269='Safety Action Tracking'!$B$3:$B$8001)*(Data!$B$269='Safety Action Tracking'!$A$3:$A$8001))</f>
        <v>0</v>
      </c>
      <c r="K285" s="76" cm="1">
        <f t="array" aca="1" ref="K285" ca="1">SUM((K281='Safety Action Tracking'!$E$3:$E$8001)*($A$269='Safety Action Tracking'!$B$3:$B$8001)*(Data!$B$269='Safety Action Tracking'!$A$3:$A$8001))</f>
        <v>0</v>
      </c>
      <c r="L285" s="76" cm="1">
        <f t="array" aca="1" ref="L285" ca="1">SUM((L281='Safety Action Tracking'!$E$3:$E$8001)*($A$269='Safety Action Tracking'!$B$3:$B$8001)*(Data!$B$269='Safety Action Tracking'!$A$3:$A$8001))</f>
        <v>0</v>
      </c>
      <c r="M285" s="76" cm="1">
        <f t="array" aca="1" ref="M285" ca="1">SUM((M281='Safety Action Tracking'!$E$3:$E$8001)*($A$269='Safety Action Tracking'!$B$3:$B$8001)*(Data!$B$269='Safety Action Tracking'!$A$3:$A$8001))</f>
        <v>0</v>
      </c>
      <c r="N285" s="76" cm="1">
        <f t="array" aca="1" ref="N285" ca="1">SUM((N281='Safety Action Tracking'!$E$3:$E$8001)*($A$269='Safety Action Tracking'!$B$3:$B$8001)*(Data!$B$269='Safety Action Tracking'!$A$3:$A$8001))</f>
        <v>0</v>
      </c>
      <c r="O285" s="76" cm="1">
        <f t="array" aca="1" ref="O285" ca="1">SUM((O281='Safety Action Tracking'!$E$3:$E$8001)*($A$269='Safety Action Tracking'!$B$3:$B$8001)*(Data!$B$269='Safety Action Tracking'!$A$3:$A$8001))</f>
        <v>0</v>
      </c>
      <c r="P285" s="76" cm="1">
        <f t="array" aca="1" ref="P285" ca="1">SUM((P281='Safety Action Tracking'!$E$3:$E$8001)*($A$269='Safety Action Tracking'!$B$3:$B$8001)*(Data!$B$269='Safety Action Tracking'!$A$3:$A$8001))</f>
        <v>0</v>
      </c>
      <c r="Q285" s="76" cm="1">
        <f t="array" aca="1" ref="Q285" ca="1">SUM((Q281='Safety Action Tracking'!$E$3:$E$8001)*($A$269='Safety Action Tracking'!$B$3:$B$8001)*(Data!$B$269='Safety Action Tracking'!$A$3:$A$8001))</f>
        <v>0</v>
      </c>
      <c r="R285" s="76" cm="1">
        <f t="array" aca="1" ref="R285" ca="1">SUM((R281='Safety Action Tracking'!$E$3:$E$8001)*($A$269='Safety Action Tracking'!$B$3:$B$8001)*(Data!$B$269='Safety Action Tracking'!$A$3:$A$8001))</f>
        <v>0</v>
      </c>
      <c r="S285" s="76" cm="1">
        <f t="array" aca="1" ref="S285" ca="1">SUM((S281='Safety Action Tracking'!$E$3:$E$8001)*($A$269='Safety Action Tracking'!$B$3:$B$8001)*(Data!$B$269='Safety Action Tracking'!$A$3:$A$8001))</f>
        <v>0</v>
      </c>
      <c r="T285" s="76" cm="1">
        <f t="array" aca="1" ref="T285" ca="1">SUM((T281='Safety Action Tracking'!$E$3:$E$8001)*($A$269='Safety Action Tracking'!$B$3:$B$8001)*(Data!$B$269='Safety Action Tracking'!$A$3:$A$8001))</f>
        <v>0</v>
      </c>
      <c r="U285" s="76" cm="1">
        <f t="array" aca="1" ref="U285" ca="1">SUM((U281='Safety Action Tracking'!$E$3:$E$8001)*($A$269='Safety Action Tracking'!$B$3:$B$8001)*(Data!$B$269='Safety Action Tracking'!$A$3:$A$8001))</f>
        <v>0</v>
      </c>
      <c r="V285" s="76" cm="1">
        <f t="array" aca="1" ref="V285" ca="1">SUM((V281='Safety Action Tracking'!$E$3:$E$8001)*($A$269='Safety Action Tracking'!$B$3:$B$8001)*(Data!$B$269='Safety Action Tracking'!$A$3:$A$8001))</f>
        <v>0</v>
      </c>
      <c r="W285" s="76" cm="1">
        <f t="array" aca="1" ref="W285" ca="1">SUM((W281='Safety Action Tracking'!$E$3:$E$8001)*($A$269='Safety Action Tracking'!$B$3:$B$8001)*(Data!$B$269='Safety Action Tracking'!$A$3:$A$8001))</f>
        <v>0</v>
      </c>
      <c r="X285" s="76" cm="1">
        <f t="array" aca="1" ref="X285" ca="1">SUM((X281='Safety Action Tracking'!$E$3:$E$8001)*($A$269='Safety Action Tracking'!$B$3:$B$8001)*(Data!$B$269='Safety Action Tracking'!$A$3:$A$8001))</f>
        <v>0</v>
      </c>
      <c r="Y285" s="76" cm="1">
        <f t="array" aca="1" ref="Y285" ca="1">SUM((Y281='Safety Action Tracking'!$E$3:$E$8001)*($A$269='Safety Action Tracking'!$B$3:$B$8001)*(Data!$B$269='Safety Action Tracking'!$A$3:$A$8001))</f>
        <v>0</v>
      </c>
      <c r="Z285" s="76" cm="1">
        <f t="array" aca="1" ref="Z285" ca="1">SUM((Z281='Safety Action Tracking'!$E$3:$E$8001)*($A$269='Safety Action Tracking'!$B$3:$B$8001)*(Data!$B$269='Safety Action Tracking'!$A$3:$A$8001))</f>
        <v>0</v>
      </c>
      <c r="AA285" s="76" cm="1">
        <f t="array" aca="1" ref="AA285" ca="1">SUM((AA281='Safety Action Tracking'!$E$3:$E$8001)*($A$269='Safety Action Tracking'!$B$3:$B$8001)*(Data!$B$269='Safety Action Tracking'!$A$3:$A$8001))</f>
        <v>0</v>
      </c>
      <c r="AB285" s="76" cm="1">
        <f t="array" aca="1" ref="AB285" ca="1">SUM((AB281='Safety Action Tracking'!$E$3:$E$8001)*($A$269='Safety Action Tracking'!$B$3:$B$8001)*(Data!$B$269='Safety Action Tracking'!$A$3:$A$8001))</f>
        <v>0</v>
      </c>
      <c r="AC285" s="76" cm="1">
        <f t="array" aca="1" ref="AC285" ca="1">SUM((AC281='Safety Action Tracking'!$E$3:$E$8001)*($A$269='Safety Action Tracking'!$B$3:$B$8001)*(Data!$B$269='Safety Action Tracking'!$A$3:$A$8001))</f>
        <v>0</v>
      </c>
      <c r="AD285" s="76" cm="1">
        <f t="array" aca="1" ref="AD285" ca="1">SUM((AD281='Safety Action Tracking'!$E$3:$E$8001)*($A$269='Safety Action Tracking'!$B$3:$B$8001)*(Data!$B$269='Safety Action Tracking'!$A$3:$A$8001))</f>
        <v>0</v>
      </c>
      <c r="AE285" s="76" cm="1">
        <f t="array" aca="1" ref="AE285" ca="1">SUM((AE281='Safety Action Tracking'!$E$3:$E$8001)*($A$269='Safety Action Tracking'!$B$3:$B$8001)*(Data!$B$269='Safety Action Tracking'!$A$3:$A$8001))</f>
        <v>0</v>
      </c>
      <c r="AF285" s="76" cm="1">
        <f t="array" aca="1" ref="AF285" ca="1">SUM((AF281='Safety Action Tracking'!$E$3:$E$8001)*($A$269='Safety Action Tracking'!$B$3:$B$8001)*(Data!$B$269='Safety Action Tracking'!$A$3:$A$8001))</f>
        <v>0</v>
      </c>
      <c r="AG285" s="76" cm="1">
        <f t="array" aca="1" ref="AG285" ca="1">SUM((AG281='Safety Action Tracking'!$E$3:$E$8001)*($A$269='Safety Action Tracking'!$B$3:$B$8001)*(Data!$B$269='Safety Action Tracking'!$A$3:$A$8001))</f>
        <v>0</v>
      </c>
      <c r="AH285" s="76" cm="1">
        <f t="array" aca="1" ref="AH285" ca="1">SUM((AH281='Safety Action Tracking'!$E$3:$E$8001)*($A$269='Safety Action Tracking'!$B$3:$B$8001)*(Data!$B$269='Safety Action Tracking'!$A$3:$A$8001))</f>
        <v>0</v>
      </c>
      <c r="AI285" s="76" cm="1">
        <f t="array" aca="1" ref="AI285" ca="1">SUM((AI281='Safety Action Tracking'!$E$3:$E$8001)*($A$269='Safety Action Tracking'!$B$3:$B$8001)*(Data!$B$269='Safety Action Tracking'!$A$3:$A$8001))</f>
        <v>0</v>
      </c>
      <c r="AJ285" s="76" cm="1">
        <f t="array" aca="1" ref="AJ285" ca="1">SUM((AJ281='Safety Action Tracking'!$E$3:$E$8001)*($A$269='Safety Action Tracking'!$B$3:$B$8001)*(Data!$B$269='Safety Action Tracking'!$A$3:$A$8001))</f>
        <v>0</v>
      </c>
      <c r="AK285" s="76" cm="1">
        <f t="array" aca="1" ref="AK285" ca="1">SUM((AK281='Safety Action Tracking'!$E$3:$E$8001)*($A$269='Safety Action Tracking'!$B$3:$B$8001)*(Data!$B$269='Safety Action Tracking'!$A$3:$A$8001))</f>
        <v>0</v>
      </c>
      <c r="AL285" s="76" cm="1">
        <f t="array" aca="1" ref="AL285" ca="1">SUM((AL281='Safety Action Tracking'!$E$3:$E$8001)*($A$269='Safety Action Tracking'!$B$3:$B$8001)*(Data!$B$269='Safety Action Tracking'!$A$3:$A$8001))</f>
        <v>0</v>
      </c>
      <c r="AM285" s="76" cm="1">
        <f t="array" aca="1" ref="AM285" ca="1">SUM((AM281='Safety Action Tracking'!$E$3:$E$8001)*($A$269='Safety Action Tracking'!$B$3:$B$8001)*(Data!$B$269='Safety Action Tracking'!$A$3:$A$8001))</f>
        <v>0</v>
      </c>
      <c r="AN285" s="76" cm="1">
        <f t="array" aca="1" ref="AN285" ca="1">SUM((AN281='Safety Action Tracking'!$E$3:$E$8001)*($A$269='Safety Action Tracking'!$B$3:$B$8001)*(Data!$B$269='Safety Action Tracking'!$A$3:$A$8001))</f>
        <v>0</v>
      </c>
    </row>
    <row r="286" spans="1:40" x14ac:dyDescent="0.35">
      <c r="A286" s="177" t="s">
        <v>96</v>
      </c>
      <c r="B286" s="445" cm="1">
        <f t="array" aca="1" ref="B286" ca="1">SUM((B282='Safety Action Tracking'!$E$3:$E$8001)*($A$269='Safety Action Tracking'!$B$3:$B$8001)*(Data!$B$269='Safety Action Tracking'!$A$3:$A$8001))</f>
        <v>0</v>
      </c>
      <c r="C286" s="445" cm="1">
        <f t="array" aca="1" ref="C286" ca="1">SUM((C282='Safety Action Tracking'!$E$3:$E$8001)*($A$269='Safety Action Tracking'!$B$3:$B$8001)*(Data!$B$269='Safety Action Tracking'!$A$3:$A$8001))</f>
        <v>0</v>
      </c>
      <c r="D286" s="445" cm="1">
        <f t="array" aca="1" ref="D286" ca="1">SUM((D282='Safety Action Tracking'!$E$3:$E$8001)*($A$269='Safety Action Tracking'!$B$3:$B$8001)*(Data!$B$269='Safety Action Tracking'!$A$3:$A$8001))</f>
        <v>0</v>
      </c>
      <c r="E286" s="445" cm="1">
        <f t="array" aca="1" ref="E286" ca="1">SUM((E282='Safety Action Tracking'!$E$3:$E$8001)*($A$269='Safety Action Tracking'!$B$3:$B$8001)*(Data!$B$269='Safety Action Tracking'!$A$3:$A$8001))</f>
        <v>0</v>
      </c>
      <c r="F286" s="445" cm="1">
        <f t="array" aca="1" ref="F286" ca="1">SUM((F282='Safety Action Tracking'!$E$3:$E$8001)*($A$269='Safety Action Tracking'!$B$3:$B$8001)*(Data!$B$269='Safety Action Tracking'!$A$3:$A$8001))</f>
        <v>0</v>
      </c>
      <c r="G286" s="445" cm="1">
        <f t="array" aca="1" ref="G286" ca="1">SUM((G282='Safety Action Tracking'!$E$3:$E$8001)*($A$269='Safety Action Tracking'!$B$3:$B$8001)*(Data!$B$269='Safety Action Tracking'!$A$3:$A$8001))</f>
        <v>0</v>
      </c>
      <c r="H286" s="445" cm="1">
        <f t="array" aca="1" ref="H286" ca="1">SUM((H282='Safety Action Tracking'!$E$3:$E$8001)*($A$269='Safety Action Tracking'!$B$3:$B$8001)*(Data!$B$269='Safety Action Tracking'!$A$3:$A$8001))</f>
        <v>0</v>
      </c>
      <c r="I286" s="445" cm="1">
        <f t="array" aca="1" ref="I286" ca="1">SUM((I282='Safety Action Tracking'!$E$3:$E$8001)*($A$269='Safety Action Tracking'!$B$3:$B$8001)*(Data!$B$269='Safety Action Tracking'!$A$3:$A$8001))</f>
        <v>0</v>
      </c>
      <c r="J286" s="76" cm="1">
        <f t="array" aca="1" ref="J286" ca="1">SUM((J282='Safety Action Tracking'!$E$3:$E$8001)*($A$269='Safety Action Tracking'!$B$3:$B$8001)*(Data!$B$269='Safety Action Tracking'!$A$3:$A$8001))</f>
        <v>0</v>
      </c>
      <c r="K286" s="76" cm="1">
        <f t="array" aca="1" ref="K286" ca="1">SUM((K282='Safety Action Tracking'!$E$3:$E$8001)*($A$269='Safety Action Tracking'!$B$3:$B$8001)*(Data!$B$269='Safety Action Tracking'!$A$3:$A$8001))</f>
        <v>0</v>
      </c>
      <c r="L286" s="76" cm="1">
        <f t="array" aca="1" ref="L286" ca="1">SUM((L282='Safety Action Tracking'!$E$3:$E$8001)*($A$269='Safety Action Tracking'!$B$3:$B$8001)*(Data!$B$269='Safety Action Tracking'!$A$3:$A$8001))</f>
        <v>0</v>
      </c>
      <c r="M286" s="76" cm="1">
        <f t="array" aca="1" ref="M286" ca="1">SUM((M282='Safety Action Tracking'!$E$3:$E$8001)*($A$269='Safety Action Tracking'!$B$3:$B$8001)*(Data!$B$269='Safety Action Tracking'!$A$3:$A$8001))</f>
        <v>0</v>
      </c>
      <c r="N286" s="76" cm="1">
        <f t="array" aca="1" ref="N286" ca="1">SUM((N282='Safety Action Tracking'!$E$3:$E$8001)*($A$269='Safety Action Tracking'!$B$3:$B$8001)*(Data!$B$269='Safety Action Tracking'!$A$3:$A$8001))</f>
        <v>0</v>
      </c>
      <c r="O286" s="76" cm="1">
        <f t="array" aca="1" ref="O286" ca="1">SUM((O282='Safety Action Tracking'!$E$3:$E$8001)*($A$269='Safety Action Tracking'!$B$3:$B$8001)*(Data!$B$269='Safety Action Tracking'!$A$3:$A$8001))</f>
        <v>0</v>
      </c>
      <c r="P286" s="76" cm="1">
        <f t="array" aca="1" ref="P286" ca="1">SUM((P282='Safety Action Tracking'!$E$3:$E$8001)*($A$269='Safety Action Tracking'!$B$3:$B$8001)*(Data!$B$269='Safety Action Tracking'!$A$3:$A$8001))</f>
        <v>0</v>
      </c>
      <c r="Q286" s="76" cm="1">
        <f t="array" aca="1" ref="Q286" ca="1">SUM((Q282='Safety Action Tracking'!$E$3:$E$8001)*($A$269='Safety Action Tracking'!$B$3:$B$8001)*(Data!$B$269='Safety Action Tracking'!$A$3:$A$8001))</f>
        <v>0</v>
      </c>
      <c r="R286" s="76" cm="1">
        <f t="array" aca="1" ref="R286" ca="1">SUM((R282='Safety Action Tracking'!$E$3:$E$8001)*($A$269='Safety Action Tracking'!$B$3:$B$8001)*(Data!$B$269='Safety Action Tracking'!$A$3:$A$8001))</f>
        <v>0</v>
      </c>
      <c r="S286" s="76" cm="1">
        <f t="array" aca="1" ref="S286" ca="1">SUM((S282='Safety Action Tracking'!$E$3:$E$8001)*($A$269='Safety Action Tracking'!$B$3:$B$8001)*(Data!$B$269='Safety Action Tracking'!$A$3:$A$8001))</f>
        <v>0</v>
      </c>
      <c r="T286" s="76" cm="1">
        <f t="array" aca="1" ref="T286" ca="1">SUM((T282='Safety Action Tracking'!$E$3:$E$8001)*($A$269='Safety Action Tracking'!$B$3:$B$8001)*(Data!$B$269='Safety Action Tracking'!$A$3:$A$8001))</f>
        <v>0</v>
      </c>
      <c r="U286" s="76" cm="1">
        <f t="array" aca="1" ref="U286" ca="1">SUM((U282='Safety Action Tracking'!$E$3:$E$8001)*($A$269='Safety Action Tracking'!$B$3:$B$8001)*(Data!$B$269='Safety Action Tracking'!$A$3:$A$8001))</f>
        <v>0</v>
      </c>
      <c r="V286" s="76" cm="1">
        <f t="array" aca="1" ref="V286" ca="1">SUM((V282='Safety Action Tracking'!$E$3:$E$8001)*($A$269='Safety Action Tracking'!$B$3:$B$8001)*(Data!$B$269='Safety Action Tracking'!$A$3:$A$8001))</f>
        <v>0</v>
      </c>
      <c r="W286" s="76" cm="1">
        <f t="array" aca="1" ref="W286" ca="1">SUM((W282='Safety Action Tracking'!$E$3:$E$8001)*($A$269='Safety Action Tracking'!$B$3:$B$8001)*(Data!$B$269='Safety Action Tracking'!$A$3:$A$8001))</f>
        <v>0</v>
      </c>
      <c r="X286" s="76" cm="1">
        <f t="array" aca="1" ref="X286" ca="1">SUM((X282='Safety Action Tracking'!$E$3:$E$8001)*($A$269='Safety Action Tracking'!$B$3:$B$8001)*(Data!$B$269='Safety Action Tracking'!$A$3:$A$8001))</f>
        <v>0</v>
      </c>
      <c r="Y286" s="76" cm="1">
        <f t="array" aca="1" ref="Y286" ca="1">SUM((Y282='Safety Action Tracking'!$E$3:$E$8001)*($A$269='Safety Action Tracking'!$B$3:$B$8001)*(Data!$B$269='Safety Action Tracking'!$A$3:$A$8001))</f>
        <v>0</v>
      </c>
      <c r="Z286" s="76" cm="1">
        <f t="array" aca="1" ref="Z286" ca="1">SUM((Z282='Safety Action Tracking'!$E$3:$E$8001)*($A$269='Safety Action Tracking'!$B$3:$B$8001)*(Data!$B$269='Safety Action Tracking'!$A$3:$A$8001))</f>
        <v>0</v>
      </c>
      <c r="AA286" s="76" cm="1">
        <f t="array" aca="1" ref="AA286" ca="1">SUM((AA282='Safety Action Tracking'!$E$3:$E$8001)*($A$269='Safety Action Tracking'!$B$3:$B$8001)*(Data!$B$269='Safety Action Tracking'!$A$3:$A$8001))</f>
        <v>0</v>
      </c>
      <c r="AB286" s="76" cm="1">
        <f t="array" aca="1" ref="AB286" ca="1">SUM((AB282='Safety Action Tracking'!$E$3:$E$8001)*($A$269='Safety Action Tracking'!$B$3:$B$8001)*(Data!$B$269='Safety Action Tracking'!$A$3:$A$8001))</f>
        <v>0</v>
      </c>
      <c r="AC286" s="76" cm="1">
        <f t="array" aca="1" ref="AC286" ca="1">SUM((AC282='Safety Action Tracking'!$E$3:$E$8001)*($A$269='Safety Action Tracking'!$B$3:$B$8001)*(Data!$B$269='Safety Action Tracking'!$A$3:$A$8001))</f>
        <v>0</v>
      </c>
      <c r="AD286" s="76" cm="1">
        <f t="array" aca="1" ref="AD286" ca="1">SUM((AD282='Safety Action Tracking'!$E$3:$E$8001)*($A$269='Safety Action Tracking'!$B$3:$B$8001)*(Data!$B$269='Safety Action Tracking'!$A$3:$A$8001))</f>
        <v>0</v>
      </c>
      <c r="AE286" s="76" cm="1">
        <f t="array" aca="1" ref="AE286" ca="1">SUM((AE282='Safety Action Tracking'!$E$3:$E$8001)*($A$269='Safety Action Tracking'!$B$3:$B$8001)*(Data!$B$269='Safety Action Tracking'!$A$3:$A$8001))</f>
        <v>0</v>
      </c>
      <c r="AF286" s="76" cm="1">
        <f t="array" aca="1" ref="AF286" ca="1">SUM((AF282='Safety Action Tracking'!$E$3:$E$8001)*($A$269='Safety Action Tracking'!$B$3:$B$8001)*(Data!$B$269='Safety Action Tracking'!$A$3:$A$8001))</f>
        <v>0</v>
      </c>
      <c r="AG286" s="76" cm="1">
        <f t="array" aca="1" ref="AG286" ca="1">SUM((AG282='Safety Action Tracking'!$E$3:$E$8001)*($A$269='Safety Action Tracking'!$B$3:$B$8001)*(Data!$B$269='Safety Action Tracking'!$A$3:$A$8001))</f>
        <v>0</v>
      </c>
      <c r="AH286" s="76" cm="1">
        <f t="array" aca="1" ref="AH286" ca="1">SUM((AH282='Safety Action Tracking'!$E$3:$E$8001)*($A$269='Safety Action Tracking'!$B$3:$B$8001)*(Data!$B$269='Safety Action Tracking'!$A$3:$A$8001))</f>
        <v>0</v>
      </c>
      <c r="AI286" s="76" cm="1">
        <f t="array" aca="1" ref="AI286" ca="1">SUM((AI282='Safety Action Tracking'!$E$3:$E$8001)*($A$269='Safety Action Tracking'!$B$3:$B$8001)*(Data!$B$269='Safety Action Tracking'!$A$3:$A$8001))</f>
        <v>0</v>
      </c>
      <c r="AJ286" s="76" cm="1">
        <f t="array" aca="1" ref="AJ286" ca="1">SUM((AJ282='Safety Action Tracking'!$E$3:$E$8001)*($A$269='Safety Action Tracking'!$B$3:$B$8001)*(Data!$B$269='Safety Action Tracking'!$A$3:$A$8001))</f>
        <v>0</v>
      </c>
      <c r="AK286" s="76" cm="1">
        <f t="array" aca="1" ref="AK286" ca="1">SUM((AK282='Safety Action Tracking'!$E$3:$E$8001)*($A$269='Safety Action Tracking'!$B$3:$B$8001)*(Data!$B$269='Safety Action Tracking'!$A$3:$A$8001))</f>
        <v>0</v>
      </c>
      <c r="AL286" s="76" cm="1">
        <f t="array" aca="1" ref="AL286" ca="1">SUM((AL282='Safety Action Tracking'!$E$3:$E$8001)*($A$269='Safety Action Tracking'!$B$3:$B$8001)*(Data!$B$269='Safety Action Tracking'!$A$3:$A$8001))</f>
        <v>0</v>
      </c>
      <c r="AM286" s="76" cm="1">
        <f t="array" aca="1" ref="AM286" ca="1">SUM((AM282='Safety Action Tracking'!$E$3:$E$8001)*($A$269='Safety Action Tracking'!$B$3:$B$8001)*(Data!$B$269='Safety Action Tracking'!$A$3:$A$8001))</f>
        <v>0</v>
      </c>
      <c r="AN286" s="76" cm="1">
        <f t="array" aca="1" ref="AN286" ca="1">SUM((AN282='Safety Action Tracking'!$E$3:$E$8001)*($A$269='Safety Action Tracking'!$B$3:$B$8001)*(Data!$B$269='Safety Action Tracking'!$A$3:$A$8001))</f>
        <v>0</v>
      </c>
    </row>
    <row r="287" spans="1:40" x14ac:dyDescent="0.35">
      <c r="A287" s="177" t="s">
        <v>97</v>
      </c>
      <c r="B287" s="445" cm="1">
        <f t="array" aca="1" ref="B287" ca="1">SUM((B283='Safety Action Tracking'!$E$3:$E$8001)*($A$269='Safety Action Tracking'!$B$3:$B$8001)*(Data!$B$269='Safety Action Tracking'!$A$3:$A$8001))</f>
        <v>0</v>
      </c>
      <c r="C287" s="445" cm="1">
        <f t="array" aca="1" ref="C287" ca="1">SUM((C283='Safety Action Tracking'!$E$3:$E$8001)*($A$269='Safety Action Tracking'!$B$3:$B$8001)*(Data!$B$269='Safety Action Tracking'!$A$3:$A$8001))</f>
        <v>0</v>
      </c>
      <c r="D287" s="445" cm="1">
        <f t="array" aca="1" ref="D287" ca="1">SUM((D283='Safety Action Tracking'!$E$3:$E$8001)*($A$269='Safety Action Tracking'!$B$3:$B$8001)*(Data!$B$269='Safety Action Tracking'!$A$3:$A$8001))</f>
        <v>0</v>
      </c>
      <c r="E287" s="445" cm="1">
        <f t="array" aca="1" ref="E287" ca="1">SUM((E283='Safety Action Tracking'!$E$3:$E$8001)*($A$269='Safety Action Tracking'!$B$3:$B$8001)*(Data!$B$269='Safety Action Tracking'!$A$3:$A$8001))</f>
        <v>0</v>
      </c>
      <c r="F287" s="445" cm="1">
        <f t="array" aca="1" ref="F287" ca="1">SUM((F283='Safety Action Tracking'!$E$3:$E$8001)*($A$269='Safety Action Tracking'!$B$3:$B$8001)*(Data!$B$269='Safety Action Tracking'!$A$3:$A$8001))</f>
        <v>0</v>
      </c>
      <c r="G287" s="445" cm="1">
        <f t="array" aca="1" ref="G287" ca="1">SUM((G283='Safety Action Tracking'!$E$3:$E$8001)*($A$269='Safety Action Tracking'!$B$3:$B$8001)*(Data!$B$269='Safety Action Tracking'!$A$3:$A$8001))</f>
        <v>0</v>
      </c>
      <c r="H287" s="445" cm="1">
        <f t="array" aca="1" ref="H287" ca="1">SUM((H283='Safety Action Tracking'!$E$3:$E$8001)*($A$269='Safety Action Tracking'!$B$3:$B$8001)*(Data!$B$269='Safety Action Tracking'!$A$3:$A$8001))</f>
        <v>0</v>
      </c>
      <c r="I287" s="445" cm="1">
        <f t="array" aca="1" ref="I287" ca="1">SUM((I283='Safety Action Tracking'!$E$3:$E$8001)*($A$269='Safety Action Tracking'!$B$3:$B$8001)*(Data!$B$269='Safety Action Tracking'!$A$3:$A$8001))</f>
        <v>0</v>
      </c>
      <c r="J287" s="76" cm="1">
        <f t="array" aca="1" ref="J287" ca="1">SUM((J283='Safety Action Tracking'!$E$3:$E$8001)*($A$269='Safety Action Tracking'!$B$3:$B$8001)*(Data!$B$269='Safety Action Tracking'!$A$3:$A$8001))</f>
        <v>0</v>
      </c>
      <c r="K287" s="76" cm="1">
        <f t="array" aca="1" ref="K287" ca="1">SUM((K283='Safety Action Tracking'!$E$3:$E$8001)*($A$269='Safety Action Tracking'!$B$3:$B$8001)*(Data!$B$269='Safety Action Tracking'!$A$3:$A$8001))</f>
        <v>0</v>
      </c>
      <c r="L287" s="76" cm="1">
        <f t="array" aca="1" ref="L287" ca="1">SUM((L283='Safety Action Tracking'!$E$3:$E$8001)*($A$269='Safety Action Tracking'!$B$3:$B$8001)*(Data!$B$269='Safety Action Tracking'!$A$3:$A$8001))</f>
        <v>0</v>
      </c>
      <c r="M287" s="76" cm="1">
        <f t="array" aca="1" ref="M287" ca="1">SUM((M283='Safety Action Tracking'!$E$3:$E$8001)*($A$269='Safety Action Tracking'!$B$3:$B$8001)*(Data!$B$269='Safety Action Tracking'!$A$3:$A$8001))</f>
        <v>0</v>
      </c>
      <c r="N287" s="76" cm="1">
        <f t="array" aca="1" ref="N287" ca="1">SUM((N283='Safety Action Tracking'!$E$3:$E$8001)*($A$269='Safety Action Tracking'!$B$3:$B$8001)*(Data!$B$269='Safety Action Tracking'!$A$3:$A$8001))</f>
        <v>0</v>
      </c>
      <c r="O287" s="76" cm="1">
        <f t="array" aca="1" ref="O287" ca="1">SUM((O283='Safety Action Tracking'!$E$3:$E$8001)*($A$269='Safety Action Tracking'!$B$3:$B$8001)*(Data!$B$269='Safety Action Tracking'!$A$3:$A$8001))</f>
        <v>0</v>
      </c>
      <c r="P287" s="76" cm="1">
        <f t="array" aca="1" ref="P287" ca="1">SUM((P283='Safety Action Tracking'!$E$3:$E$8001)*($A$269='Safety Action Tracking'!$B$3:$B$8001)*(Data!$B$269='Safety Action Tracking'!$A$3:$A$8001))</f>
        <v>0</v>
      </c>
      <c r="Q287" s="76" cm="1">
        <f t="array" aca="1" ref="Q287" ca="1">SUM((Q283='Safety Action Tracking'!$E$3:$E$8001)*($A$269='Safety Action Tracking'!$B$3:$B$8001)*(Data!$B$269='Safety Action Tracking'!$A$3:$A$8001))</f>
        <v>0</v>
      </c>
      <c r="R287" s="76" cm="1">
        <f t="array" aca="1" ref="R287" ca="1">SUM((R283='Safety Action Tracking'!$E$3:$E$8001)*($A$269='Safety Action Tracking'!$B$3:$B$8001)*(Data!$B$269='Safety Action Tracking'!$A$3:$A$8001))</f>
        <v>0</v>
      </c>
      <c r="S287" s="76" cm="1">
        <f t="array" aca="1" ref="S287" ca="1">SUM((S283='Safety Action Tracking'!$E$3:$E$8001)*($A$269='Safety Action Tracking'!$B$3:$B$8001)*(Data!$B$269='Safety Action Tracking'!$A$3:$A$8001))</f>
        <v>0</v>
      </c>
      <c r="T287" s="76" cm="1">
        <f t="array" aca="1" ref="T287" ca="1">SUM((T283='Safety Action Tracking'!$E$3:$E$8001)*($A$269='Safety Action Tracking'!$B$3:$B$8001)*(Data!$B$269='Safety Action Tracking'!$A$3:$A$8001))</f>
        <v>0</v>
      </c>
      <c r="U287" s="76" cm="1">
        <f t="array" aca="1" ref="U287" ca="1">SUM((U283='Safety Action Tracking'!$E$3:$E$8001)*($A$269='Safety Action Tracking'!$B$3:$B$8001)*(Data!$B$269='Safety Action Tracking'!$A$3:$A$8001))</f>
        <v>0</v>
      </c>
      <c r="V287" s="76" cm="1">
        <f t="array" aca="1" ref="V287" ca="1">SUM((V283='Safety Action Tracking'!$E$3:$E$8001)*($A$269='Safety Action Tracking'!$B$3:$B$8001)*(Data!$B$269='Safety Action Tracking'!$A$3:$A$8001))</f>
        <v>0</v>
      </c>
      <c r="W287" s="76" cm="1">
        <f t="array" aca="1" ref="W287" ca="1">SUM((W283='Safety Action Tracking'!$E$3:$E$8001)*($A$269='Safety Action Tracking'!$B$3:$B$8001)*(Data!$B$269='Safety Action Tracking'!$A$3:$A$8001))</f>
        <v>0</v>
      </c>
      <c r="X287" s="76" cm="1">
        <f t="array" aca="1" ref="X287" ca="1">SUM((X283='Safety Action Tracking'!$E$3:$E$8001)*($A$269='Safety Action Tracking'!$B$3:$B$8001)*(Data!$B$269='Safety Action Tracking'!$A$3:$A$8001))</f>
        <v>0</v>
      </c>
      <c r="Y287" s="76" cm="1">
        <f t="array" aca="1" ref="Y287" ca="1">SUM((Y283='Safety Action Tracking'!$E$3:$E$8001)*($A$269='Safety Action Tracking'!$B$3:$B$8001)*(Data!$B$269='Safety Action Tracking'!$A$3:$A$8001))</f>
        <v>0</v>
      </c>
      <c r="Z287" s="76" cm="1">
        <f t="array" aca="1" ref="Z287" ca="1">SUM((Z283='Safety Action Tracking'!$E$3:$E$8001)*($A$269='Safety Action Tracking'!$B$3:$B$8001)*(Data!$B$269='Safety Action Tracking'!$A$3:$A$8001))</f>
        <v>0</v>
      </c>
      <c r="AA287" s="76" cm="1">
        <f t="array" aca="1" ref="AA287" ca="1">SUM((AA283='Safety Action Tracking'!$E$3:$E$8001)*($A$269='Safety Action Tracking'!$B$3:$B$8001)*(Data!$B$269='Safety Action Tracking'!$A$3:$A$8001))</f>
        <v>0</v>
      </c>
      <c r="AB287" s="76" cm="1">
        <f t="array" aca="1" ref="AB287" ca="1">SUM((AB283='Safety Action Tracking'!$E$3:$E$8001)*($A$269='Safety Action Tracking'!$B$3:$B$8001)*(Data!$B$269='Safety Action Tracking'!$A$3:$A$8001))</f>
        <v>0</v>
      </c>
      <c r="AC287" s="76" cm="1">
        <f t="array" aca="1" ref="AC287" ca="1">SUM((AC283='Safety Action Tracking'!$E$3:$E$8001)*($A$269='Safety Action Tracking'!$B$3:$B$8001)*(Data!$B$269='Safety Action Tracking'!$A$3:$A$8001))</f>
        <v>0</v>
      </c>
      <c r="AD287" s="76" cm="1">
        <f t="array" aca="1" ref="AD287" ca="1">SUM((AD283='Safety Action Tracking'!$E$3:$E$8001)*($A$269='Safety Action Tracking'!$B$3:$B$8001)*(Data!$B$269='Safety Action Tracking'!$A$3:$A$8001))</f>
        <v>0</v>
      </c>
      <c r="AE287" s="76" cm="1">
        <f t="array" aca="1" ref="AE287" ca="1">SUM((AE283='Safety Action Tracking'!$E$3:$E$8001)*($A$269='Safety Action Tracking'!$B$3:$B$8001)*(Data!$B$269='Safety Action Tracking'!$A$3:$A$8001))</f>
        <v>0</v>
      </c>
      <c r="AF287" s="76" cm="1">
        <f t="array" aca="1" ref="AF287" ca="1">SUM((AF283='Safety Action Tracking'!$E$3:$E$8001)*($A$269='Safety Action Tracking'!$B$3:$B$8001)*(Data!$B$269='Safety Action Tracking'!$A$3:$A$8001))</f>
        <v>0</v>
      </c>
      <c r="AG287" s="76" cm="1">
        <f t="array" aca="1" ref="AG287" ca="1">SUM((AG283='Safety Action Tracking'!$E$3:$E$8001)*($A$269='Safety Action Tracking'!$B$3:$B$8001)*(Data!$B$269='Safety Action Tracking'!$A$3:$A$8001))</f>
        <v>0</v>
      </c>
      <c r="AH287" s="76" cm="1">
        <f t="array" aca="1" ref="AH287" ca="1">SUM((AH283='Safety Action Tracking'!$E$3:$E$8001)*($A$269='Safety Action Tracking'!$B$3:$B$8001)*(Data!$B$269='Safety Action Tracking'!$A$3:$A$8001))</f>
        <v>0</v>
      </c>
      <c r="AI287" s="76" cm="1">
        <f t="array" aca="1" ref="AI287" ca="1">SUM((AI283='Safety Action Tracking'!$E$3:$E$8001)*($A$269='Safety Action Tracking'!$B$3:$B$8001)*(Data!$B$269='Safety Action Tracking'!$A$3:$A$8001))</f>
        <v>0</v>
      </c>
      <c r="AJ287" s="76" cm="1">
        <f t="array" aca="1" ref="AJ287" ca="1">SUM((AJ283='Safety Action Tracking'!$E$3:$E$8001)*($A$269='Safety Action Tracking'!$B$3:$B$8001)*(Data!$B$269='Safety Action Tracking'!$A$3:$A$8001))</f>
        <v>0</v>
      </c>
      <c r="AK287" s="76" cm="1">
        <f t="array" aca="1" ref="AK287" ca="1">SUM((AK283='Safety Action Tracking'!$E$3:$E$8001)*($A$269='Safety Action Tracking'!$B$3:$B$8001)*(Data!$B$269='Safety Action Tracking'!$A$3:$A$8001))</f>
        <v>0</v>
      </c>
      <c r="AL287" s="76" cm="1">
        <f t="array" aca="1" ref="AL287" ca="1">SUM((AL283='Safety Action Tracking'!$E$3:$E$8001)*($A$269='Safety Action Tracking'!$B$3:$B$8001)*(Data!$B$269='Safety Action Tracking'!$A$3:$A$8001))</f>
        <v>0</v>
      </c>
      <c r="AM287" s="76" cm="1">
        <f t="array" aca="1" ref="AM287" ca="1">SUM((AM283='Safety Action Tracking'!$E$3:$E$8001)*($A$269='Safety Action Tracking'!$B$3:$B$8001)*(Data!$B$269='Safety Action Tracking'!$A$3:$A$8001))</f>
        <v>0</v>
      </c>
      <c r="AN287" s="76" cm="1">
        <f t="array" aca="1" ref="AN287" ca="1">SUM((AN283='Safety Action Tracking'!$E$3:$E$8001)*($A$269='Safety Action Tracking'!$B$3:$B$8001)*(Data!$B$269='Safety Action Tracking'!$A$3:$A$8001))</f>
        <v>0</v>
      </c>
    </row>
    <row r="288" spans="1:40" x14ac:dyDescent="0.35">
      <c r="A288" s="177" t="s">
        <v>97</v>
      </c>
      <c r="B288" s="445" cm="1">
        <f t="array" aca="1" ref="B288" ca="1">SUM((B284='Safety Action Tracking'!$E$3:$E$8001)*($A$269='Safety Action Tracking'!$B$3:$B$8001)*(Data!$B$269='Safety Action Tracking'!$A$3:$A$8001))</f>
        <v>0</v>
      </c>
      <c r="C288" s="445" cm="1">
        <f t="array" aca="1" ref="C288" ca="1">SUM((C284='Safety Action Tracking'!$E$3:$E$8001)*($A$269='Safety Action Tracking'!$B$3:$B$8001)*(Data!$B$269='Safety Action Tracking'!$A$3:$A$8001))</f>
        <v>0</v>
      </c>
      <c r="D288" s="445" cm="1">
        <f t="array" aca="1" ref="D288" ca="1">SUM((D284='Safety Action Tracking'!$E$3:$E$8001)*($A$269='Safety Action Tracking'!$B$3:$B$8001)*(Data!$B$269='Safety Action Tracking'!$A$3:$A$8001))</f>
        <v>0</v>
      </c>
      <c r="E288" s="445" cm="1">
        <f t="array" aca="1" ref="E288" ca="1">SUM((E284='Safety Action Tracking'!$E$3:$E$8001)*($A$269='Safety Action Tracking'!$B$3:$B$8001)*(Data!$B$269='Safety Action Tracking'!$A$3:$A$8001))</f>
        <v>0</v>
      </c>
      <c r="F288" s="445" cm="1">
        <f t="array" aca="1" ref="F288" ca="1">SUM((F284='Safety Action Tracking'!$E$3:$E$8001)*($A$269='Safety Action Tracking'!$B$3:$B$8001)*(Data!$B$269='Safety Action Tracking'!$A$3:$A$8001))</f>
        <v>0</v>
      </c>
      <c r="G288" s="445" cm="1">
        <f t="array" aca="1" ref="G288" ca="1">SUM((G284='Safety Action Tracking'!$E$3:$E$8001)*($A$269='Safety Action Tracking'!$B$3:$B$8001)*(Data!$B$269='Safety Action Tracking'!$A$3:$A$8001))</f>
        <v>0</v>
      </c>
      <c r="H288" s="445" cm="1">
        <f t="array" aca="1" ref="H288" ca="1">SUM((H284='Safety Action Tracking'!$E$3:$E$8001)*($A$269='Safety Action Tracking'!$B$3:$B$8001)*(Data!$B$269='Safety Action Tracking'!$A$3:$A$8001))</f>
        <v>0</v>
      </c>
      <c r="I288" s="445" cm="1">
        <f t="array" aca="1" ref="I288" ca="1">SUM((I284='Safety Action Tracking'!$E$3:$E$8001)*($A$269='Safety Action Tracking'!$B$3:$B$8001)*(Data!$B$269='Safety Action Tracking'!$A$3:$A$8001))</f>
        <v>0</v>
      </c>
      <c r="J288" s="76" cm="1">
        <f t="array" aca="1" ref="J288" ca="1">SUM((J284='Safety Action Tracking'!$E$3:$E$8001)*($A$269='Safety Action Tracking'!$B$3:$B$8001)*(Data!$B$269='Safety Action Tracking'!$A$3:$A$8001))</f>
        <v>0</v>
      </c>
      <c r="K288" s="76" cm="1">
        <f t="array" aca="1" ref="K288" ca="1">SUM((K284='Safety Action Tracking'!$E$3:$E$8001)*($A$269='Safety Action Tracking'!$B$3:$B$8001)*(Data!$B$269='Safety Action Tracking'!$A$3:$A$8001))</f>
        <v>0</v>
      </c>
      <c r="L288" s="76" cm="1">
        <f t="array" aca="1" ref="L288" ca="1">SUM((L284='Safety Action Tracking'!$E$3:$E$8001)*($A$269='Safety Action Tracking'!$B$3:$B$8001)*(Data!$B$269='Safety Action Tracking'!$A$3:$A$8001))</f>
        <v>0</v>
      </c>
      <c r="M288" s="76" cm="1">
        <f t="array" aca="1" ref="M288" ca="1">SUM((M284='Safety Action Tracking'!$E$3:$E$8001)*($A$269='Safety Action Tracking'!$B$3:$B$8001)*(Data!$B$269='Safety Action Tracking'!$A$3:$A$8001))</f>
        <v>0</v>
      </c>
      <c r="N288" s="76" cm="1">
        <f t="array" aca="1" ref="N288" ca="1">SUM((N284='Safety Action Tracking'!$E$3:$E$8001)*($A$269='Safety Action Tracking'!$B$3:$B$8001)*(Data!$B$269='Safety Action Tracking'!$A$3:$A$8001))</f>
        <v>0</v>
      </c>
      <c r="O288" s="76" cm="1">
        <f t="array" aca="1" ref="O288" ca="1">SUM((O284='Safety Action Tracking'!$E$3:$E$8001)*($A$269='Safety Action Tracking'!$B$3:$B$8001)*(Data!$B$269='Safety Action Tracking'!$A$3:$A$8001))</f>
        <v>0</v>
      </c>
      <c r="P288" s="76" cm="1">
        <f t="array" aca="1" ref="P288" ca="1">SUM((P284='Safety Action Tracking'!$E$3:$E$8001)*($A$269='Safety Action Tracking'!$B$3:$B$8001)*(Data!$B$269='Safety Action Tracking'!$A$3:$A$8001))</f>
        <v>0</v>
      </c>
      <c r="Q288" s="76" cm="1">
        <f t="array" aca="1" ref="Q288" ca="1">SUM((Q284='Safety Action Tracking'!$E$3:$E$8001)*($A$269='Safety Action Tracking'!$B$3:$B$8001)*(Data!$B$269='Safety Action Tracking'!$A$3:$A$8001))</f>
        <v>0</v>
      </c>
      <c r="R288" s="76" cm="1">
        <f t="array" aca="1" ref="R288" ca="1">SUM((R284='Safety Action Tracking'!$E$3:$E$8001)*($A$269='Safety Action Tracking'!$B$3:$B$8001)*(Data!$B$269='Safety Action Tracking'!$A$3:$A$8001))</f>
        <v>0</v>
      </c>
      <c r="S288" s="76" cm="1">
        <f t="array" aca="1" ref="S288" ca="1">SUM((S284='Safety Action Tracking'!$E$3:$E$8001)*($A$269='Safety Action Tracking'!$B$3:$B$8001)*(Data!$B$269='Safety Action Tracking'!$A$3:$A$8001))</f>
        <v>0</v>
      </c>
      <c r="T288" s="76" cm="1">
        <f t="array" aca="1" ref="T288" ca="1">SUM((T284='Safety Action Tracking'!$E$3:$E$8001)*($A$269='Safety Action Tracking'!$B$3:$B$8001)*(Data!$B$269='Safety Action Tracking'!$A$3:$A$8001))</f>
        <v>0</v>
      </c>
      <c r="U288" s="76" cm="1">
        <f t="array" aca="1" ref="U288" ca="1">SUM((U284='Safety Action Tracking'!$E$3:$E$8001)*($A$269='Safety Action Tracking'!$B$3:$B$8001)*(Data!$B$269='Safety Action Tracking'!$A$3:$A$8001))</f>
        <v>0</v>
      </c>
      <c r="V288" s="76" cm="1">
        <f t="array" aca="1" ref="V288" ca="1">SUM((V284='Safety Action Tracking'!$E$3:$E$8001)*($A$269='Safety Action Tracking'!$B$3:$B$8001)*(Data!$B$269='Safety Action Tracking'!$A$3:$A$8001))</f>
        <v>0</v>
      </c>
      <c r="W288" s="76" cm="1">
        <f t="array" aca="1" ref="W288" ca="1">SUM((W284='Safety Action Tracking'!$E$3:$E$8001)*($A$269='Safety Action Tracking'!$B$3:$B$8001)*(Data!$B$269='Safety Action Tracking'!$A$3:$A$8001))</f>
        <v>0</v>
      </c>
      <c r="X288" s="76" cm="1">
        <f t="array" aca="1" ref="X288" ca="1">SUM((X284='Safety Action Tracking'!$E$3:$E$8001)*($A$269='Safety Action Tracking'!$B$3:$B$8001)*(Data!$B$269='Safety Action Tracking'!$A$3:$A$8001))</f>
        <v>0</v>
      </c>
      <c r="Y288" s="76" cm="1">
        <f t="array" aca="1" ref="Y288" ca="1">SUM((Y284='Safety Action Tracking'!$E$3:$E$8001)*($A$269='Safety Action Tracking'!$B$3:$B$8001)*(Data!$B$269='Safety Action Tracking'!$A$3:$A$8001))</f>
        <v>0</v>
      </c>
      <c r="Z288" s="76" cm="1">
        <f t="array" aca="1" ref="Z288" ca="1">SUM((Z284='Safety Action Tracking'!$E$3:$E$8001)*($A$269='Safety Action Tracking'!$B$3:$B$8001)*(Data!$B$269='Safety Action Tracking'!$A$3:$A$8001))</f>
        <v>0</v>
      </c>
      <c r="AA288" s="76" cm="1">
        <f t="array" aca="1" ref="AA288" ca="1">SUM((AA284='Safety Action Tracking'!$E$3:$E$8001)*($A$269='Safety Action Tracking'!$B$3:$B$8001)*(Data!$B$269='Safety Action Tracking'!$A$3:$A$8001))</f>
        <v>0</v>
      </c>
      <c r="AB288" s="76" cm="1">
        <f t="array" aca="1" ref="AB288" ca="1">SUM((AB284='Safety Action Tracking'!$E$3:$E$8001)*($A$269='Safety Action Tracking'!$B$3:$B$8001)*(Data!$B$269='Safety Action Tracking'!$A$3:$A$8001))</f>
        <v>0</v>
      </c>
      <c r="AC288" s="76" cm="1">
        <f t="array" aca="1" ref="AC288" ca="1">SUM((AC284='Safety Action Tracking'!$E$3:$E$8001)*($A$269='Safety Action Tracking'!$B$3:$B$8001)*(Data!$B$269='Safety Action Tracking'!$A$3:$A$8001))</f>
        <v>0</v>
      </c>
      <c r="AD288" s="76" cm="1">
        <f t="array" aca="1" ref="AD288" ca="1">SUM((AD284='Safety Action Tracking'!$E$3:$E$8001)*($A$269='Safety Action Tracking'!$B$3:$B$8001)*(Data!$B$269='Safety Action Tracking'!$A$3:$A$8001))</f>
        <v>0</v>
      </c>
      <c r="AE288" s="76" cm="1">
        <f t="array" aca="1" ref="AE288" ca="1">SUM((AE284='Safety Action Tracking'!$E$3:$E$8001)*($A$269='Safety Action Tracking'!$B$3:$B$8001)*(Data!$B$269='Safety Action Tracking'!$A$3:$A$8001))</f>
        <v>0</v>
      </c>
      <c r="AF288" s="76" cm="1">
        <f t="array" aca="1" ref="AF288" ca="1">SUM((AF284='Safety Action Tracking'!$E$3:$E$8001)*($A$269='Safety Action Tracking'!$B$3:$B$8001)*(Data!$B$269='Safety Action Tracking'!$A$3:$A$8001))</f>
        <v>0</v>
      </c>
      <c r="AG288" s="76" cm="1">
        <f t="array" aca="1" ref="AG288" ca="1">SUM((AG284='Safety Action Tracking'!$E$3:$E$8001)*($A$269='Safety Action Tracking'!$B$3:$B$8001)*(Data!$B$269='Safety Action Tracking'!$A$3:$A$8001))</f>
        <v>0</v>
      </c>
      <c r="AH288" s="76" cm="1">
        <f t="array" aca="1" ref="AH288" ca="1">SUM((AH284='Safety Action Tracking'!$E$3:$E$8001)*($A$269='Safety Action Tracking'!$B$3:$B$8001)*(Data!$B$269='Safety Action Tracking'!$A$3:$A$8001))</f>
        <v>0</v>
      </c>
      <c r="AI288" s="76" cm="1">
        <f t="array" aca="1" ref="AI288" ca="1">SUM((AI284='Safety Action Tracking'!$E$3:$E$8001)*($A$269='Safety Action Tracking'!$B$3:$B$8001)*(Data!$B$269='Safety Action Tracking'!$A$3:$A$8001))</f>
        <v>0</v>
      </c>
      <c r="AJ288" s="76" cm="1">
        <f t="array" aca="1" ref="AJ288" ca="1">SUM((AJ284='Safety Action Tracking'!$E$3:$E$8001)*($A$269='Safety Action Tracking'!$B$3:$B$8001)*(Data!$B$269='Safety Action Tracking'!$A$3:$A$8001))</f>
        <v>0</v>
      </c>
      <c r="AK288" s="76" cm="1">
        <f t="array" aca="1" ref="AK288" ca="1">SUM((AK284='Safety Action Tracking'!$E$3:$E$8001)*($A$269='Safety Action Tracking'!$B$3:$B$8001)*(Data!$B$269='Safety Action Tracking'!$A$3:$A$8001))</f>
        <v>0</v>
      </c>
      <c r="AL288" s="76" cm="1">
        <f t="array" aca="1" ref="AL288" ca="1">SUM((AL284='Safety Action Tracking'!$E$3:$E$8001)*($A$269='Safety Action Tracking'!$B$3:$B$8001)*(Data!$B$269='Safety Action Tracking'!$A$3:$A$8001))</f>
        <v>0</v>
      </c>
      <c r="AM288" s="76" cm="1">
        <f t="array" aca="1" ref="AM288" ca="1">SUM((AM284='Safety Action Tracking'!$E$3:$E$8001)*($A$269='Safety Action Tracking'!$B$3:$B$8001)*(Data!$B$269='Safety Action Tracking'!$A$3:$A$8001))</f>
        <v>0</v>
      </c>
      <c r="AN288" s="76" cm="1">
        <f t="array" aca="1" ref="AN288" ca="1">SUM((AN284='Safety Action Tracking'!$E$3:$E$8001)*($A$269='Safety Action Tracking'!$B$3:$B$8001)*(Data!$B$269='Safety Action Tracking'!$A$3:$A$8001))</f>
        <v>0</v>
      </c>
    </row>
    <row r="289" spans="1:40" x14ac:dyDescent="0.35">
      <c r="A289" s="177" t="s">
        <v>97</v>
      </c>
      <c r="B289" s="445" cm="1">
        <f t="array" aca="1" ref="B289" ca="1">SUM((B285='Safety Action Tracking'!$E$3:$E$8001)*($A$269='Safety Action Tracking'!$B$3:$B$8001)*(Data!$B$269='Safety Action Tracking'!$A$3:$A$8001))</f>
        <v>0</v>
      </c>
      <c r="C289" s="445" cm="1">
        <f t="array" aca="1" ref="C289" ca="1">SUM((C285='Safety Action Tracking'!$E$3:$E$8001)*($A$269='Safety Action Tracking'!$B$3:$B$8001)*(Data!$B$269='Safety Action Tracking'!$A$3:$A$8001))</f>
        <v>0</v>
      </c>
      <c r="D289" s="445" cm="1">
        <f t="array" aca="1" ref="D289" ca="1">SUM((D285='Safety Action Tracking'!$E$3:$E$8001)*($A$269='Safety Action Tracking'!$B$3:$B$8001)*(Data!$B$269='Safety Action Tracking'!$A$3:$A$8001))</f>
        <v>0</v>
      </c>
      <c r="E289" s="445" cm="1">
        <f t="array" aca="1" ref="E289" ca="1">SUM((E285='Safety Action Tracking'!$E$3:$E$8001)*($A$269='Safety Action Tracking'!$B$3:$B$8001)*(Data!$B$269='Safety Action Tracking'!$A$3:$A$8001))</f>
        <v>0</v>
      </c>
      <c r="F289" s="445" cm="1">
        <f t="array" aca="1" ref="F289" ca="1">SUM((F285='Safety Action Tracking'!$E$3:$E$8001)*($A$269='Safety Action Tracking'!$B$3:$B$8001)*(Data!$B$269='Safety Action Tracking'!$A$3:$A$8001))</f>
        <v>0</v>
      </c>
      <c r="G289" s="445" cm="1">
        <f t="array" aca="1" ref="G289" ca="1">SUM((G285='Safety Action Tracking'!$E$3:$E$8001)*($A$269='Safety Action Tracking'!$B$3:$B$8001)*(Data!$B$269='Safety Action Tracking'!$A$3:$A$8001))</f>
        <v>0</v>
      </c>
      <c r="H289" s="445" cm="1">
        <f t="array" aca="1" ref="H289" ca="1">SUM((H285='Safety Action Tracking'!$E$3:$E$8001)*($A$269='Safety Action Tracking'!$B$3:$B$8001)*(Data!$B$269='Safety Action Tracking'!$A$3:$A$8001))</f>
        <v>0</v>
      </c>
      <c r="I289" s="445" cm="1">
        <f t="array" aca="1" ref="I289" ca="1">SUM((I285='Safety Action Tracking'!$E$3:$E$8001)*($A$269='Safety Action Tracking'!$B$3:$B$8001)*(Data!$B$269='Safety Action Tracking'!$A$3:$A$8001))</f>
        <v>0</v>
      </c>
      <c r="J289" s="76" cm="1">
        <f t="array" aca="1" ref="J289" ca="1">SUM((J285='Safety Action Tracking'!$E$3:$E$8001)*($A$269='Safety Action Tracking'!$B$3:$B$8001)*(Data!$B$269='Safety Action Tracking'!$A$3:$A$8001))</f>
        <v>0</v>
      </c>
      <c r="K289" s="76" cm="1">
        <f t="array" aca="1" ref="K289" ca="1">SUM((K285='Safety Action Tracking'!$E$3:$E$8001)*($A$269='Safety Action Tracking'!$B$3:$B$8001)*(Data!$B$269='Safety Action Tracking'!$A$3:$A$8001))</f>
        <v>0</v>
      </c>
      <c r="L289" s="76" cm="1">
        <f t="array" aca="1" ref="L289" ca="1">SUM((L285='Safety Action Tracking'!$E$3:$E$8001)*($A$269='Safety Action Tracking'!$B$3:$B$8001)*(Data!$B$269='Safety Action Tracking'!$A$3:$A$8001))</f>
        <v>0</v>
      </c>
      <c r="M289" s="76" cm="1">
        <f t="array" aca="1" ref="M289" ca="1">SUM((M285='Safety Action Tracking'!$E$3:$E$8001)*($A$269='Safety Action Tracking'!$B$3:$B$8001)*(Data!$B$269='Safety Action Tracking'!$A$3:$A$8001))</f>
        <v>0</v>
      </c>
      <c r="N289" s="76" cm="1">
        <f t="array" aca="1" ref="N289" ca="1">SUM((N285='Safety Action Tracking'!$E$3:$E$8001)*($A$269='Safety Action Tracking'!$B$3:$B$8001)*(Data!$B$269='Safety Action Tracking'!$A$3:$A$8001))</f>
        <v>0</v>
      </c>
      <c r="O289" s="76" cm="1">
        <f t="array" aca="1" ref="O289" ca="1">SUM((O285='Safety Action Tracking'!$E$3:$E$8001)*($A$269='Safety Action Tracking'!$B$3:$B$8001)*(Data!$B$269='Safety Action Tracking'!$A$3:$A$8001))</f>
        <v>0</v>
      </c>
      <c r="P289" s="76" cm="1">
        <f t="array" aca="1" ref="P289" ca="1">SUM((P285='Safety Action Tracking'!$E$3:$E$8001)*($A$269='Safety Action Tracking'!$B$3:$B$8001)*(Data!$B$269='Safety Action Tracking'!$A$3:$A$8001))</f>
        <v>0</v>
      </c>
      <c r="Q289" s="76" cm="1">
        <f t="array" aca="1" ref="Q289" ca="1">SUM((Q285='Safety Action Tracking'!$E$3:$E$8001)*($A$269='Safety Action Tracking'!$B$3:$B$8001)*(Data!$B$269='Safety Action Tracking'!$A$3:$A$8001))</f>
        <v>0</v>
      </c>
      <c r="R289" s="76" cm="1">
        <f t="array" aca="1" ref="R289" ca="1">SUM((R285='Safety Action Tracking'!$E$3:$E$8001)*($A$269='Safety Action Tracking'!$B$3:$B$8001)*(Data!$B$269='Safety Action Tracking'!$A$3:$A$8001))</f>
        <v>0</v>
      </c>
      <c r="S289" s="76" cm="1">
        <f t="array" aca="1" ref="S289" ca="1">SUM((S285='Safety Action Tracking'!$E$3:$E$8001)*($A$269='Safety Action Tracking'!$B$3:$B$8001)*(Data!$B$269='Safety Action Tracking'!$A$3:$A$8001))</f>
        <v>0</v>
      </c>
      <c r="T289" s="76" cm="1">
        <f t="array" aca="1" ref="T289" ca="1">SUM((T285='Safety Action Tracking'!$E$3:$E$8001)*($A$269='Safety Action Tracking'!$B$3:$B$8001)*(Data!$B$269='Safety Action Tracking'!$A$3:$A$8001))</f>
        <v>0</v>
      </c>
      <c r="U289" s="76" cm="1">
        <f t="array" aca="1" ref="U289" ca="1">SUM((U285='Safety Action Tracking'!$E$3:$E$8001)*($A$269='Safety Action Tracking'!$B$3:$B$8001)*(Data!$B$269='Safety Action Tracking'!$A$3:$A$8001))</f>
        <v>0</v>
      </c>
      <c r="V289" s="76" cm="1">
        <f t="array" aca="1" ref="V289" ca="1">SUM((V285='Safety Action Tracking'!$E$3:$E$8001)*($A$269='Safety Action Tracking'!$B$3:$B$8001)*(Data!$B$269='Safety Action Tracking'!$A$3:$A$8001))</f>
        <v>0</v>
      </c>
      <c r="W289" s="76" cm="1">
        <f t="array" aca="1" ref="W289" ca="1">SUM((W285='Safety Action Tracking'!$E$3:$E$8001)*($A$269='Safety Action Tracking'!$B$3:$B$8001)*(Data!$B$269='Safety Action Tracking'!$A$3:$A$8001))</f>
        <v>0</v>
      </c>
      <c r="X289" s="76" cm="1">
        <f t="array" aca="1" ref="X289" ca="1">SUM((X285='Safety Action Tracking'!$E$3:$E$8001)*($A$269='Safety Action Tracking'!$B$3:$B$8001)*(Data!$B$269='Safety Action Tracking'!$A$3:$A$8001))</f>
        <v>0</v>
      </c>
      <c r="Y289" s="76" cm="1">
        <f t="array" aca="1" ref="Y289" ca="1">SUM((Y285='Safety Action Tracking'!$E$3:$E$8001)*($A$269='Safety Action Tracking'!$B$3:$B$8001)*(Data!$B$269='Safety Action Tracking'!$A$3:$A$8001))</f>
        <v>0</v>
      </c>
      <c r="Z289" s="76" cm="1">
        <f t="array" aca="1" ref="Z289" ca="1">SUM((Z285='Safety Action Tracking'!$E$3:$E$8001)*($A$269='Safety Action Tracking'!$B$3:$B$8001)*(Data!$B$269='Safety Action Tracking'!$A$3:$A$8001))</f>
        <v>0</v>
      </c>
      <c r="AA289" s="76" cm="1">
        <f t="array" aca="1" ref="AA289" ca="1">SUM((AA285='Safety Action Tracking'!$E$3:$E$8001)*($A$269='Safety Action Tracking'!$B$3:$B$8001)*(Data!$B$269='Safety Action Tracking'!$A$3:$A$8001))</f>
        <v>0</v>
      </c>
      <c r="AB289" s="76" cm="1">
        <f t="array" aca="1" ref="AB289" ca="1">SUM((AB285='Safety Action Tracking'!$E$3:$E$8001)*($A$269='Safety Action Tracking'!$B$3:$B$8001)*(Data!$B$269='Safety Action Tracking'!$A$3:$A$8001))</f>
        <v>0</v>
      </c>
      <c r="AC289" s="76" cm="1">
        <f t="array" aca="1" ref="AC289" ca="1">SUM((AC285='Safety Action Tracking'!$E$3:$E$8001)*($A$269='Safety Action Tracking'!$B$3:$B$8001)*(Data!$B$269='Safety Action Tracking'!$A$3:$A$8001))</f>
        <v>0</v>
      </c>
      <c r="AD289" s="76" cm="1">
        <f t="array" aca="1" ref="AD289" ca="1">SUM((AD285='Safety Action Tracking'!$E$3:$E$8001)*($A$269='Safety Action Tracking'!$B$3:$B$8001)*(Data!$B$269='Safety Action Tracking'!$A$3:$A$8001))</f>
        <v>0</v>
      </c>
      <c r="AE289" s="76" cm="1">
        <f t="array" aca="1" ref="AE289" ca="1">SUM((AE285='Safety Action Tracking'!$E$3:$E$8001)*($A$269='Safety Action Tracking'!$B$3:$B$8001)*(Data!$B$269='Safety Action Tracking'!$A$3:$A$8001))</f>
        <v>0</v>
      </c>
      <c r="AF289" s="76" cm="1">
        <f t="array" aca="1" ref="AF289" ca="1">SUM((AF285='Safety Action Tracking'!$E$3:$E$8001)*($A$269='Safety Action Tracking'!$B$3:$B$8001)*(Data!$B$269='Safety Action Tracking'!$A$3:$A$8001))</f>
        <v>0</v>
      </c>
      <c r="AG289" s="76" cm="1">
        <f t="array" aca="1" ref="AG289" ca="1">SUM((AG285='Safety Action Tracking'!$E$3:$E$8001)*($A$269='Safety Action Tracking'!$B$3:$B$8001)*(Data!$B$269='Safety Action Tracking'!$A$3:$A$8001))</f>
        <v>0</v>
      </c>
      <c r="AH289" s="76" cm="1">
        <f t="array" aca="1" ref="AH289" ca="1">SUM((AH285='Safety Action Tracking'!$E$3:$E$8001)*($A$269='Safety Action Tracking'!$B$3:$B$8001)*(Data!$B$269='Safety Action Tracking'!$A$3:$A$8001))</f>
        <v>0</v>
      </c>
      <c r="AI289" s="76" cm="1">
        <f t="array" aca="1" ref="AI289" ca="1">SUM((AI285='Safety Action Tracking'!$E$3:$E$8001)*($A$269='Safety Action Tracking'!$B$3:$B$8001)*(Data!$B$269='Safety Action Tracking'!$A$3:$A$8001))</f>
        <v>0</v>
      </c>
      <c r="AJ289" s="76" cm="1">
        <f t="array" aca="1" ref="AJ289" ca="1">SUM((AJ285='Safety Action Tracking'!$E$3:$E$8001)*($A$269='Safety Action Tracking'!$B$3:$B$8001)*(Data!$B$269='Safety Action Tracking'!$A$3:$A$8001))</f>
        <v>0</v>
      </c>
      <c r="AK289" s="76" cm="1">
        <f t="array" aca="1" ref="AK289" ca="1">SUM((AK285='Safety Action Tracking'!$E$3:$E$8001)*($A$269='Safety Action Tracking'!$B$3:$B$8001)*(Data!$B$269='Safety Action Tracking'!$A$3:$A$8001))</f>
        <v>0</v>
      </c>
      <c r="AL289" s="76" cm="1">
        <f t="array" aca="1" ref="AL289" ca="1">SUM((AL285='Safety Action Tracking'!$E$3:$E$8001)*($A$269='Safety Action Tracking'!$B$3:$B$8001)*(Data!$B$269='Safety Action Tracking'!$A$3:$A$8001))</f>
        <v>0</v>
      </c>
      <c r="AM289" s="76" cm="1">
        <f t="array" aca="1" ref="AM289" ca="1">SUM((AM285='Safety Action Tracking'!$E$3:$E$8001)*($A$269='Safety Action Tracking'!$B$3:$B$8001)*(Data!$B$269='Safety Action Tracking'!$A$3:$A$8001))</f>
        <v>0</v>
      </c>
      <c r="AN289" s="76" cm="1">
        <f t="array" aca="1" ref="AN289" ca="1">SUM((AN285='Safety Action Tracking'!$E$3:$E$8001)*($A$269='Safety Action Tracking'!$B$3:$B$8001)*(Data!$B$269='Safety Action Tracking'!$A$3:$A$8001))</f>
        <v>0</v>
      </c>
    </row>
    <row r="290" spans="1:40" x14ac:dyDescent="0.35">
      <c r="A290" s="177" t="s">
        <v>98</v>
      </c>
      <c r="B290" s="445" cm="1">
        <f t="array" aca="1" ref="B290" ca="1">SUM((B286='Safety Action Tracking'!$E$3:$E$8001)*($A$269='Safety Action Tracking'!$B$3:$B$8001)*(Data!$B$269='Safety Action Tracking'!$A$3:$A$8001))</f>
        <v>0</v>
      </c>
      <c r="C290" s="445" cm="1">
        <f t="array" aca="1" ref="C290" ca="1">SUM((C286='Safety Action Tracking'!$E$3:$E$8001)*($A$269='Safety Action Tracking'!$B$3:$B$8001)*(Data!$B$269='Safety Action Tracking'!$A$3:$A$8001))</f>
        <v>0</v>
      </c>
      <c r="D290" s="445" cm="1">
        <f t="array" aca="1" ref="D290" ca="1">SUM((D286='Safety Action Tracking'!$E$3:$E$8001)*($A$269='Safety Action Tracking'!$B$3:$B$8001)*(Data!$B$269='Safety Action Tracking'!$A$3:$A$8001))</f>
        <v>0</v>
      </c>
      <c r="E290" s="445" cm="1">
        <f t="array" aca="1" ref="E290" ca="1">SUM((E286='Safety Action Tracking'!$E$3:$E$8001)*($A$269='Safety Action Tracking'!$B$3:$B$8001)*(Data!$B$269='Safety Action Tracking'!$A$3:$A$8001))</f>
        <v>0</v>
      </c>
      <c r="F290" s="445" cm="1">
        <f t="array" aca="1" ref="F290" ca="1">SUM((F286='Safety Action Tracking'!$E$3:$E$8001)*($A$269='Safety Action Tracking'!$B$3:$B$8001)*(Data!$B$269='Safety Action Tracking'!$A$3:$A$8001))</f>
        <v>0</v>
      </c>
      <c r="G290" s="445" cm="1">
        <f t="array" aca="1" ref="G290" ca="1">SUM((G286='Safety Action Tracking'!$E$3:$E$8001)*($A$269='Safety Action Tracking'!$B$3:$B$8001)*(Data!$B$269='Safety Action Tracking'!$A$3:$A$8001))</f>
        <v>0</v>
      </c>
      <c r="H290" s="445" cm="1">
        <f t="array" aca="1" ref="H290" ca="1">SUM((H286='Safety Action Tracking'!$E$3:$E$8001)*($A$269='Safety Action Tracking'!$B$3:$B$8001)*(Data!$B$269='Safety Action Tracking'!$A$3:$A$8001))</f>
        <v>0</v>
      </c>
      <c r="I290" s="445" cm="1">
        <f t="array" aca="1" ref="I290" ca="1">SUM((I286='Safety Action Tracking'!$E$3:$E$8001)*($A$269='Safety Action Tracking'!$B$3:$B$8001)*(Data!$B$269='Safety Action Tracking'!$A$3:$A$8001))</f>
        <v>0</v>
      </c>
      <c r="J290" s="76" cm="1">
        <f t="array" aca="1" ref="J290" ca="1">SUM((J286='Safety Action Tracking'!$E$3:$E$8001)*($A$269='Safety Action Tracking'!$B$3:$B$8001)*(Data!$B$269='Safety Action Tracking'!$A$3:$A$8001))</f>
        <v>0</v>
      </c>
      <c r="K290" s="76" cm="1">
        <f t="array" aca="1" ref="K290" ca="1">SUM((K286='Safety Action Tracking'!$E$3:$E$8001)*($A$269='Safety Action Tracking'!$B$3:$B$8001)*(Data!$B$269='Safety Action Tracking'!$A$3:$A$8001))</f>
        <v>0</v>
      </c>
      <c r="L290" s="76" cm="1">
        <f t="array" aca="1" ref="L290" ca="1">SUM((L286='Safety Action Tracking'!$E$3:$E$8001)*($A$269='Safety Action Tracking'!$B$3:$B$8001)*(Data!$B$269='Safety Action Tracking'!$A$3:$A$8001))</f>
        <v>0</v>
      </c>
      <c r="M290" s="76" cm="1">
        <f t="array" aca="1" ref="M290" ca="1">SUM((M286='Safety Action Tracking'!$E$3:$E$8001)*($A$269='Safety Action Tracking'!$B$3:$B$8001)*(Data!$B$269='Safety Action Tracking'!$A$3:$A$8001))</f>
        <v>0</v>
      </c>
      <c r="N290" s="76" cm="1">
        <f t="array" aca="1" ref="N290" ca="1">SUM((N286='Safety Action Tracking'!$E$3:$E$8001)*($A$269='Safety Action Tracking'!$B$3:$B$8001)*(Data!$B$269='Safety Action Tracking'!$A$3:$A$8001))</f>
        <v>0</v>
      </c>
      <c r="O290" s="76" cm="1">
        <f t="array" aca="1" ref="O290" ca="1">SUM((O286='Safety Action Tracking'!$E$3:$E$8001)*($A$269='Safety Action Tracking'!$B$3:$B$8001)*(Data!$B$269='Safety Action Tracking'!$A$3:$A$8001))</f>
        <v>0</v>
      </c>
      <c r="P290" s="76" cm="1">
        <f t="array" aca="1" ref="P290" ca="1">SUM((P286='Safety Action Tracking'!$E$3:$E$8001)*($A$269='Safety Action Tracking'!$B$3:$B$8001)*(Data!$B$269='Safety Action Tracking'!$A$3:$A$8001))</f>
        <v>0</v>
      </c>
      <c r="Q290" s="76" cm="1">
        <f t="array" aca="1" ref="Q290" ca="1">SUM((Q286='Safety Action Tracking'!$E$3:$E$8001)*($A$269='Safety Action Tracking'!$B$3:$B$8001)*(Data!$B$269='Safety Action Tracking'!$A$3:$A$8001))</f>
        <v>0</v>
      </c>
      <c r="R290" s="76" cm="1">
        <f t="array" aca="1" ref="R290" ca="1">SUM((R286='Safety Action Tracking'!$E$3:$E$8001)*($A$269='Safety Action Tracking'!$B$3:$B$8001)*(Data!$B$269='Safety Action Tracking'!$A$3:$A$8001))</f>
        <v>0</v>
      </c>
      <c r="S290" s="76" cm="1">
        <f t="array" aca="1" ref="S290" ca="1">SUM((S286='Safety Action Tracking'!$E$3:$E$8001)*($A$269='Safety Action Tracking'!$B$3:$B$8001)*(Data!$B$269='Safety Action Tracking'!$A$3:$A$8001))</f>
        <v>0</v>
      </c>
      <c r="T290" s="76" cm="1">
        <f t="array" aca="1" ref="T290" ca="1">SUM((T286='Safety Action Tracking'!$E$3:$E$8001)*($A$269='Safety Action Tracking'!$B$3:$B$8001)*(Data!$B$269='Safety Action Tracking'!$A$3:$A$8001))</f>
        <v>0</v>
      </c>
      <c r="U290" s="76" cm="1">
        <f t="array" aca="1" ref="U290" ca="1">SUM((U286='Safety Action Tracking'!$E$3:$E$8001)*($A$269='Safety Action Tracking'!$B$3:$B$8001)*(Data!$B$269='Safety Action Tracking'!$A$3:$A$8001))</f>
        <v>0</v>
      </c>
      <c r="V290" s="76" cm="1">
        <f t="array" aca="1" ref="V290" ca="1">SUM((V286='Safety Action Tracking'!$E$3:$E$8001)*($A$269='Safety Action Tracking'!$B$3:$B$8001)*(Data!$B$269='Safety Action Tracking'!$A$3:$A$8001))</f>
        <v>0</v>
      </c>
      <c r="W290" s="76" cm="1">
        <f t="array" aca="1" ref="W290" ca="1">SUM((W286='Safety Action Tracking'!$E$3:$E$8001)*($A$269='Safety Action Tracking'!$B$3:$B$8001)*(Data!$B$269='Safety Action Tracking'!$A$3:$A$8001))</f>
        <v>0</v>
      </c>
      <c r="X290" s="76" cm="1">
        <f t="array" aca="1" ref="X290" ca="1">SUM((X286='Safety Action Tracking'!$E$3:$E$8001)*($A$269='Safety Action Tracking'!$B$3:$B$8001)*(Data!$B$269='Safety Action Tracking'!$A$3:$A$8001))</f>
        <v>0</v>
      </c>
      <c r="Y290" s="76" cm="1">
        <f t="array" aca="1" ref="Y290" ca="1">SUM((Y286='Safety Action Tracking'!$E$3:$E$8001)*($A$269='Safety Action Tracking'!$B$3:$B$8001)*(Data!$B$269='Safety Action Tracking'!$A$3:$A$8001))</f>
        <v>0</v>
      </c>
      <c r="Z290" s="76" cm="1">
        <f t="array" aca="1" ref="Z290" ca="1">SUM((Z286='Safety Action Tracking'!$E$3:$E$8001)*($A$269='Safety Action Tracking'!$B$3:$B$8001)*(Data!$B$269='Safety Action Tracking'!$A$3:$A$8001))</f>
        <v>0</v>
      </c>
      <c r="AA290" s="76" cm="1">
        <f t="array" aca="1" ref="AA290" ca="1">SUM((AA286='Safety Action Tracking'!$E$3:$E$8001)*($A$269='Safety Action Tracking'!$B$3:$B$8001)*(Data!$B$269='Safety Action Tracking'!$A$3:$A$8001))</f>
        <v>0</v>
      </c>
      <c r="AB290" s="76" cm="1">
        <f t="array" aca="1" ref="AB290" ca="1">SUM((AB286='Safety Action Tracking'!$E$3:$E$8001)*($A$269='Safety Action Tracking'!$B$3:$B$8001)*(Data!$B$269='Safety Action Tracking'!$A$3:$A$8001))</f>
        <v>0</v>
      </c>
      <c r="AC290" s="76" cm="1">
        <f t="array" aca="1" ref="AC290" ca="1">SUM((AC286='Safety Action Tracking'!$E$3:$E$8001)*($A$269='Safety Action Tracking'!$B$3:$B$8001)*(Data!$B$269='Safety Action Tracking'!$A$3:$A$8001))</f>
        <v>0</v>
      </c>
      <c r="AD290" s="76" cm="1">
        <f t="array" aca="1" ref="AD290" ca="1">SUM((AD286='Safety Action Tracking'!$E$3:$E$8001)*($A$269='Safety Action Tracking'!$B$3:$B$8001)*(Data!$B$269='Safety Action Tracking'!$A$3:$A$8001))</f>
        <v>0</v>
      </c>
      <c r="AE290" s="76" cm="1">
        <f t="array" aca="1" ref="AE290" ca="1">SUM((AE286='Safety Action Tracking'!$E$3:$E$8001)*($A$269='Safety Action Tracking'!$B$3:$B$8001)*(Data!$B$269='Safety Action Tracking'!$A$3:$A$8001))</f>
        <v>0</v>
      </c>
      <c r="AF290" s="76" cm="1">
        <f t="array" aca="1" ref="AF290" ca="1">SUM((AF286='Safety Action Tracking'!$E$3:$E$8001)*($A$269='Safety Action Tracking'!$B$3:$B$8001)*(Data!$B$269='Safety Action Tracking'!$A$3:$A$8001))</f>
        <v>0</v>
      </c>
      <c r="AG290" s="76" cm="1">
        <f t="array" aca="1" ref="AG290" ca="1">SUM((AG286='Safety Action Tracking'!$E$3:$E$8001)*($A$269='Safety Action Tracking'!$B$3:$B$8001)*(Data!$B$269='Safety Action Tracking'!$A$3:$A$8001))</f>
        <v>0</v>
      </c>
      <c r="AH290" s="76" cm="1">
        <f t="array" aca="1" ref="AH290" ca="1">SUM((AH286='Safety Action Tracking'!$E$3:$E$8001)*($A$269='Safety Action Tracking'!$B$3:$B$8001)*(Data!$B$269='Safety Action Tracking'!$A$3:$A$8001))</f>
        <v>0</v>
      </c>
      <c r="AI290" s="76" cm="1">
        <f t="array" aca="1" ref="AI290" ca="1">SUM((AI286='Safety Action Tracking'!$E$3:$E$8001)*($A$269='Safety Action Tracking'!$B$3:$B$8001)*(Data!$B$269='Safety Action Tracking'!$A$3:$A$8001))</f>
        <v>0</v>
      </c>
      <c r="AJ290" s="76" cm="1">
        <f t="array" aca="1" ref="AJ290" ca="1">SUM((AJ286='Safety Action Tracking'!$E$3:$E$8001)*($A$269='Safety Action Tracking'!$B$3:$B$8001)*(Data!$B$269='Safety Action Tracking'!$A$3:$A$8001))</f>
        <v>0</v>
      </c>
      <c r="AK290" s="76" cm="1">
        <f t="array" aca="1" ref="AK290" ca="1">SUM((AK286='Safety Action Tracking'!$E$3:$E$8001)*($A$269='Safety Action Tracking'!$B$3:$B$8001)*(Data!$B$269='Safety Action Tracking'!$A$3:$A$8001))</f>
        <v>0</v>
      </c>
      <c r="AL290" s="76" cm="1">
        <f t="array" aca="1" ref="AL290" ca="1">SUM((AL286='Safety Action Tracking'!$E$3:$E$8001)*($A$269='Safety Action Tracking'!$B$3:$B$8001)*(Data!$B$269='Safety Action Tracking'!$A$3:$A$8001))</f>
        <v>0</v>
      </c>
      <c r="AM290" s="76" cm="1">
        <f t="array" aca="1" ref="AM290" ca="1">SUM((AM286='Safety Action Tracking'!$E$3:$E$8001)*($A$269='Safety Action Tracking'!$B$3:$B$8001)*(Data!$B$269='Safety Action Tracking'!$A$3:$A$8001))</f>
        <v>0</v>
      </c>
      <c r="AN290" s="76" cm="1">
        <f t="array" aca="1" ref="AN290" ca="1">SUM((AN286='Safety Action Tracking'!$E$3:$E$8001)*($A$269='Safety Action Tracking'!$B$3:$B$8001)*(Data!$B$269='Safety Action Tracking'!$A$3:$A$8001))</f>
        <v>0</v>
      </c>
    </row>
    <row r="291" spans="1:40" x14ac:dyDescent="0.35">
      <c r="A291" s="177" t="s">
        <v>98</v>
      </c>
      <c r="B291" s="445" cm="1">
        <f t="array" aca="1" ref="B291" ca="1">SUM((B287='Safety Action Tracking'!$E$3:$E$8001)*($A$269='Safety Action Tracking'!$B$3:$B$8001)*(Data!$B$269='Safety Action Tracking'!$A$3:$A$8001))</f>
        <v>0</v>
      </c>
      <c r="C291" s="445" cm="1">
        <f t="array" aca="1" ref="C291" ca="1">SUM((C287='Safety Action Tracking'!$E$3:$E$8001)*($A$269='Safety Action Tracking'!$B$3:$B$8001)*(Data!$B$269='Safety Action Tracking'!$A$3:$A$8001))</f>
        <v>0</v>
      </c>
      <c r="D291" s="445" cm="1">
        <f t="array" aca="1" ref="D291" ca="1">SUM((D287='Safety Action Tracking'!$E$3:$E$8001)*($A$269='Safety Action Tracking'!$B$3:$B$8001)*(Data!$B$269='Safety Action Tracking'!$A$3:$A$8001))</f>
        <v>0</v>
      </c>
      <c r="E291" s="445" cm="1">
        <f t="array" aca="1" ref="E291" ca="1">SUM((E287='Safety Action Tracking'!$E$3:$E$8001)*($A$269='Safety Action Tracking'!$B$3:$B$8001)*(Data!$B$269='Safety Action Tracking'!$A$3:$A$8001))</f>
        <v>0</v>
      </c>
      <c r="F291" s="445" cm="1">
        <f t="array" aca="1" ref="F291" ca="1">SUM((F287='Safety Action Tracking'!$E$3:$E$8001)*($A$269='Safety Action Tracking'!$B$3:$B$8001)*(Data!$B$269='Safety Action Tracking'!$A$3:$A$8001))</f>
        <v>0</v>
      </c>
      <c r="G291" s="445" cm="1">
        <f t="array" aca="1" ref="G291" ca="1">SUM((G287='Safety Action Tracking'!$E$3:$E$8001)*($A$269='Safety Action Tracking'!$B$3:$B$8001)*(Data!$B$269='Safety Action Tracking'!$A$3:$A$8001))</f>
        <v>0</v>
      </c>
      <c r="H291" s="445" cm="1">
        <f t="array" aca="1" ref="H291" ca="1">SUM((H287='Safety Action Tracking'!$E$3:$E$8001)*($A$269='Safety Action Tracking'!$B$3:$B$8001)*(Data!$B$269='Safety Action Tracking'!$A$3:$A$8001))</f>
        <v>0</v>
      </c>
      <c r="I291" s="445" cm="1">
        <f t="array" aca="1" ref="I291" ca="1">SUM((I287='Safety Action Tracking'!$E$3:$E$8001)*($A$269='Safety Action Tracking'!$B$3:$B$8001)*(Data!$B$269='Safety Action Tracking'!$A$3:$A$8001))</f>
        <v>0</v>
      </c>
      <c r="J291" s="76" cm="1">
        <f t="array" aca="1" ref="J291" ca="1">SUM((J287='Safety Action Tracking'!$E$3:$E$8001)*($A$269='Safety Action Tracking'!$B$3:$B$8001)*(Data!$B$269='Safety Action Tracking'!$A$3:$A$8001))</f>
        <v>0</v>
      </c>
      <c r="K291" s="76" cm="1">
        <f t="array" aca="1" ref="K291" ca="1">SUM((K287='Safety Action Tracking'!$E$3:$E$8001)*($A$269='Safety Action Tracking'!$B$3:$B$8001)*(Data!$B$269='Safety Action Tracking'!$A$3:$A$8001))</f>
        <v>0</v>
      </c>
      <c r="L291" s="76" cm="1">
        <f t="array" aca="1" ref="L291" ca="1">SUM((L287='Safety Action Tracking'!$E$3:$E$8001)*($A$269='Safety Action Tracking'!$B$3:$B$8001)*(Data!$B$269='Safety Action Tracking'!$A$3:$A$8001))</f>
        <v>0</v>
      </c>
      <c r="M291" s="76" cm="1">
        <f t="array" aca="1" ref="M291" ca="1">SUM((M287='Safety Action Tracking'!$E$3:$E$8001)*($A$269='Safety Action Tracking'!$B$3:$B$8001)*(Data!$B$269='Safety Action Tracking'!$A$3:$A$8001))</f>
        <v>0</v>
      </c>
      <c r="N291" s="76" cm="1">
        <f t="array" aca="1" ref="N291" ca="1">SUM((N287='Safety Action Tracking'!$E$3:$E$8001)*($A$269='Safety Action Tracking'!$B$3:$B$8001)*(Data!$B$269='Safety Action Tracking'!$A$3:$A$8001))</f>
        <v>0</v>
      </c>
      <c r="O291" s="76" cm="1">
        <f t="array" aca="1" ref="O291" ca="1">SUM((O287='Safety Action Tracking'!$E$3:$E$8001)*($A$269='Safety Action Tracking'!$B$3:$B$8001)*(Data!$B$269='Safety Action Tracking'!$A$3:$A$8001))</f>
        <v>0</v>
      </c>
      <c r="P291" s="76" cm="1">
        <f t="array" aca="1" ref="P291" ca="1">SUM((P287='Safety Action Tracking'!$E$3:$E$8001)*($A$269='Safety Action Tracking'!$B$3:$B$8001)*(Data!$B$269='Safety Action Tracking'!$A$3:$A$8001))</f>
        <v>0</v>
      </c>
      <c r="Q291" s="76" cm="1">
        <f t="array" aca="1" ref="Q291" ca="1">SUM((Q287='Safety Action Tracking'!$E$3:$E$8001)*($A$269='Safety Action Tracking'!$B$3:$B$8001)*(Data!$B$269='Safety Action Tracking'!$A$3:$A$8001))</f>
        <v>0</v>
      </c>
      <c r="R291" s="76" cm="1">
        <f t="array" aca="1" ref="R291" ca="1">SUM((R287='Safety Action Tracking'!$E$3:$E$8001)*($A$269='Safety Action Tracking'!$B$3:$B$8001)*(Data!$B$269='Safety Action Tracking'!$A$3:$A$8001))</f>
        <v>0</v>
      </c>
      <c r="S291" s="76" cm="1">
        <f t="array" aca="1" ref="S291" ca="1">SUM((S287='Safety Action Tracking'!$E$3:$E$8001)*($A$269='Safety Action Tracking'!$B$3:$B$8001)*(Data!$B$269='Safety Action Tracking'!$A$3:$A$8001))</f>
        <v>0</v>
      </c>
      <c r="T291" s="76" cm="1">
        <f t="array" aca="1" ref="T291" ca="1">SUM((T287='Safety Action Tracking'!$E$3:$E$8001)*($A$269='Safety Action Tracking'!$B$3:$B$8001)*(Data!$B$269='Safety Action Tracking'!$A$3:$A$8001))</f>
        <v>0</v>
      </c>
      <c r="U291" s="76" cm="1">
        <f t="array" aca="1" ref="U291" ca="1">SUM((U287='Safety Action Tracking'!$E$3:$E$8001)*($A$269='Safety Action Tracking'!$B$3:$B$8001)*(Data!$B$269='Safety Action Tracking'!$A$3:$A$8001))</f>
        <v>0</v>
      </c>
      <c r="V291" s="76" cm="1">
        <f t="array" aca="1" ref="V291" ca="1">SUM((V287='Safety Action Tracking'!$E$3:$E$8001)*($A$269='Safety Action Tracking'!$B$3:$B$8001)*(Data!$B$269='Safety Action Tracking'!$A$3:$A$8001))</f>
        <v>0</v>
      </c>
      <c r="W291" s="76" cm="1">
        <f t="array" aca="1" ref="W291" ca="1">SUM((W287='Safety Action Tracking'!$E$3:$E$8001)*($A$269='Safety Action Tracking'!$B$3:$B$8001)*(Data!$B$269='Safety Action Tracking'!$A$3:$A$8001))</f>
        <v>0</v>
      </c>
      <c r="X291" s="76" cm="1">
        <f t="array" aca="1" ref="X291" ca="1">SUM((X287='Safety Action Tracking'!$E$3:$E$8001)*($A$269='Safety Action Tracking'!$B$3:$B$8001)*(Data!$B$269='Safety Action Tracking'!$A$3:$A$8001))</f>
        <v>0</v>
      </c>
      <c r="Y291" s="76" cm="1">
        <f t="array" aca="1" ref="Y291" ca="1">SUM((Y287='Safety Action Tracking'!$E$3:$E$8001)*($A$269='Safety Action Tracking'!$B$3:$B$8001)*(Data!$B$269='Safety Action Tracking'!$A$3:$A$8001))</f>
        <v>0</v>
      </c>
      <c r="Z291" s="76" cm="1">
        <f t="array" aca="1" ref="Z291" ca="1">SUM((Z287='Safety Action Tracking'!$E$3:$E$8001)*($A$269='Safety Action Tracking'!$B$3:$B$8001)*(Data!$B$269='Safety Action Tracking'!$A$3:$A$8001))</f>
        <v>0</v>
      </c>
      <c r="AA291" s="76" cm="1">
        <f t="array" aca="1" ref="AA291" ca="1">SUM((AA287='Safety Action Tracking'!$E$3:$E$8001)*($A$269='Safety Action Tracking'!$B$3:$B$8001)*(Data!$B$269='Safety Action Tracking'!$A$3:$A$8001))</f>
        <v>0</v>
      </c>
      <c r="AB291" s="76" cm="1">
        <f t="array" aca="1" ref="AB291" ca="1">SUM((AB287='Safety Action Tracking'!$E$3:$E$8001)*($A$269='Safety Action Tracking'!$B$3:$B$8001)*(Data!$B$269='Safety Action Tracking'!$A$3:$A$8001))</f>
        <v>0</v>
      </c>
      <c r="AC291" s="76" cm="1">
        <f t="array" aca="1" ref="AC291" ca="1">SUM((AC287='Safety Action Tracking'!$E$3:$E$8001)*($A$269='Safety Action Tracking'!$B$3:$B$8001)*(Data!$B$269='Safety Action Tracking'!$A$3:$A$8001))</f>
        <v>0</v>
      </c>
      <c r="AD291" s="76" cm="1">
        <f t="array" aca="1" ref="AD291" ca="1">SUM((AD287='Safety Action Tracking'!$E$3:$E$8001)*($A$269='Safety Action Tracking'!$B$3:$B$8001)*(Data!$B$269='Safety Action Tracking'!$A$3:$A$8001))</f>
        <v>0</v>
      </c>
      <c r="AE291" s="76" cm="1">
        <f t="array" aca="1" ref="AE291" ca="1">SUM((AE287='Safety Action Tracking'!$E$3:$E$8001)*($A$269='Safety Action Tracking'!$B$3:$B$8001)*(Data!$B$269='Safety Action Tracking'!$A$3:$A$8001))</f>
        <v>0</v>
      </c>
      <c r="AF291" s="76" cm="1">
        <f t="array" aca="1" ref="AF291" ca="1">SUM((AF287='Safety Action Tracking'!$E$3:$E$8001)*($A$269='Safety Action Tracking'!$B$3:$B$8001)*(Data!$B$269='Safety Action Tracking'!$A$3:$A$8001))</f>
        <v>0</v>
      </c>
      <c r="AG291" s="76" cm="1">
        <f t="array" aca="1" ref="AG291" ca="1">SUM((AG287='Safety Action Tracking'!$E$3:$E$8001)*($A$269='Safety Action Tracking'!$B$3:$B$8001)*(Data!$B$269='Safety Action Tracking'!$A$3:$A$8001))</f>
        <v>0</v>
      </c>
      <c r="AH291" s="76" cm="1">
        <f t="array" aca="1" ref="AH291" ca="1">SUM((AH287='Safety Action Tracking'!$E$3:$E$8001)*($A$269='Safety Action Tracking'!$B$3:$B$8001)*(Data!$B$269='Safety Action Tracking'!$A$3:$A$8001))</f>
        <v>0</v>
      </c>
      <c r="AI291" s="76" cm="1">
        <f t="array" aca="1" ref="AI291" ca="1">SUM((AI287='Safety Action Tracking'!$E$3:$E$8001)*($A$269='Safety Action Tracking'!$B$3:$B$8001)*(Data!$B$269='Safety Action Tracking'!$A$3:$A$8001))</f>
        <v>0</v>
      </c>
      <c r="AJ291" s="76" cm="1">
        <f t="array" aca="1" ref="AJ291" ca="1">SUM((AJ287='Safety Action Tracking'!$E$3:$E$8001)*($A$269='Safety Action Tracking'!$B$3:$B$8001)*(Data!$B$269='Safety Action Tracking'!$A$3:$A$8001))</f>
        <v>0</v>
      </c>
      <c r="AK291" s="76" cm="1">
        <f t="array" aca="1" ref="AK291" ca="1">SUM((AK287='Safety Action Tracking'!$E$3:$E$8001)*($A$269='Safety Action Tracking'!$B$3:$B$8001)*(Data!$B$269='Safety Action Tracking'!$A$3:$A$8001))</f>
        <v>0</v>
      </c>
      <c r="AL291" s="76" cm="1">
        <f t="array" aca="1" ref="AL291" ca="1">SUM((AL287='Safety Action Tracking'!$E$3:$E$8001)*($A$269='Safety Action Tracking'!$B$3:$B$8001)*(Data!$B$269='Safety Action Tracking'!$A$3:$A$8001))</f>
        <v>0</v>
      </c>
      <c r="AM291" s="76" cm="1">
        <f t="array" aca="1" ref="AM291" ca="1">SUM((AM287='Safety Action Tracking'!$E$3:$E$8001)*($A$269='Safety Action Tracking'!$B$3:$B$8001)*(Data!$B$269='Safety Action Tracking'!$A$3:$A$8001))</f>
        <v>0</v>
      </c>
      <c r="AN291" s="76" cm="1">
        <f t="array" aca="1" ref="AN291" ca="1">SUM((AN287='Safety Action Tracking'!$E$3:$E$8001)*($A$269='Safety Action Tracking'!$B$3:$B$8001)*(Data!$B$269='Safety Action Tracking'!$A$3:$A$8001))</f>
        <v>0</v>
      </c>
    </row>
    <row r="292" spans="1:40" x14ac:dyDescent="0.35">
      <c r="A292" s="177" t="s">
        <v>98</v>
      </c>
      <c r="B292" s="445" cm="1">
        <f t="array" aca="1" ref="B292" ca="1">SUM((B288='Safety Action Tracking'!$E$3:$E$8001)*($A$269='Safety Action Tracking'!$B$3:$B$8001)*(Data!$B$269='Safety Action Tracking'!$A$3:$A$8001))</f>
        <v>0</v>
      </c>
      <c r="C292" s="445" cm="1">
        <f t="array" aca="1" ref="C292" ca="1">SUM((C288='Safety Action Tracking'!$E$3:$E$8001)*($A$269='Safety Action Tracking'!$B$3:$B$8001)*(Data!$B$269='Safety Action Tracking'!$A$3:$A$8001))</f>
        <v>0</v>
      </c>
      <c r="D292" s="445" cm="1">
        <f t="array" aca="1" ref="D292" ca="1">SUM((D288='Safety Action Tracking'!$E$3:$E$8001)*($A$269='Safety Action Tracking'!$B$3:$B$8001)*(Data!$B$269='Safety Action Tracking'!$A$3:$A$8001))</f>
        <v>0</v>
      </c>
      <c r="E292" s="445" cm="1">
        <f t="array" aca="1" ref="E292" ca="1">SUM((E288='Safety Action Tracking'!$E$3:$E$8001)*($A$269='Safety Action Tracking'!$B$3:$B$8001)*(Data!$B$269='Safety Action Tracking'!$A$3:$A$8001))</f>
        <v>0</v>
      </c>
      <c r="F292" s="445" cm="1">
        <f t="array" aca="1" ref="F292" ca="1">SUM((F288='Safety Action Tracking'!$E$3:$E$8001)*($A$269='Safety Action Tracking'!$B$3:$B$8001)*(Data!$B$269='Safety Action Tracking'!$A$3:$A$8001))</f>
        <v>0</v>
      </c>
      <c r="G292" s="445" cm="1">
        <f t="array" aca="1" ref="G292" ca="1">SUM((G288='Safety Action Tracking'!$E$3:$E$8001)*($A$269='Safety Action Tracking'!$B$3:$B$8001)*(Data!$B$269='Safety Action Tracking'!$A$3:$A$8001))</f>
        <v>0</v>
      </c>
      <c r="H292" s="445" cm="1">
        <f t="array" aca="1" ref="H292" ca="1">SUM((H288='Safety Action Tracking'!$E$3:$E$8001)*($A$269='Safety Action Tracking'!$B$3:$B$8001)*(Data!$B$269='Safety Action Tracking'!$A$3:$A$8001))</f>
        <v>0</v>
      </c>
      <c r="I292" s="445" cm="1">
        <f t="array" aca="1" ref="I292" ca="1">SUM((I288='Safety Action Tracking'!$E$3:$E$8001)*($A$269='Safety Action Tracking'!$B$3:$B$8001)*(Data!$B$269='Safety Action Tracking'!$A$3:$A$8001))</f>
        <v>0</v>
      </c>
      <c r="J292" s="76" cm="1">
        <f t="array" aca="1" ref="J292" ca="1">SUM((J288='Safety Action Tracking'!$E$3:$E$8001)*($A$269='Safety Action Tracking'!$B$3:$B$8001)*(Data!$B$269='Safety Action Tracking'!$A$3:$A$8001))</f>
        <v>0</v>
      </c>
      <c r="K292" s="76" cm="1">
        <f t="array" aca="1" ref="K292" ca="1">SUM((K288='Safety Action Tracking'!$E$3:$E$8001)*($A$269='Safety Action Tracking'!$B$3:$B$8001)*(Data!$B$269='Safety Action Tracking'!$A$3:$A$8001))</f>
        <v>0</v>
      </c>
      <c r="L292" s="76" cm="1">
        <f t="array" aca="1" ref="L292" ca="1">SUM((L288='Safety Action Tracking'!$E$3:$E$8001)*($A$269='Safety Action Tracking'!$B$3:$B$8001)*(Data!$B$269='Safety Action Tracking'!$A$3:$A$8001))</f>
        <v>0</v>
      </c>
      <c r="M292" s="76" cm="1">
        <f t="array" aca="1" ref="M292" ca="1">SUM((M288='Safety Action Tracking'!$E$3:$E$8001)*($A$269='Safety Action Tracking'!$B$3:$B$8001)*(Data!$B$269='Safety Action Tracking'!$A$3:$A$8001))</f>
        <v>0</v>
      </c>
      <c r="N292" s="76" cm="1">
        <f t="array" aca="1" ref="N292" ca="1">SUM((N288='Safety Action Tracking'!$E$3:$E$8001)*($A$269='Safety Action Tracking'!$B$3:$B$8001)*(Data!$B$269='Safety Action Tracking'!$A$3:$A$8001))</f>
        <v>0</v>
      </c>
      <c r="O292" s="76" cm="1">
        <f t="array" aca="1" ref="O292" ca="1">SUM((O288='Safety Action Tracking'!$E$3:$E$8001)*($A$269='Safety Action Tracking'!$B$3:$B$8001)*(Data!$B$269='Safety Action Tracking'!$A$3:$A$8001))</f>
        <v>0</v>
      </c>
      <c r="P292" s="76" cm="1">
        <f t="array" aca="1" ref="P292" ca="1">SUM((P288='Safety Action Tracking'!$E$3:$E$8001)*($A$269='Safety Action Tracking'!$B$3:$B$8001)*(Data!$B$269='Safety Action Tracking'!$A$3:$A$8001))</f>
        <v>0</v>
      </c>
      <c r="Q292" s="76" cm="1">
        <f t="array" aca="1" ref="Q292" ca="1">SUM((Q288='Safety Action Tracking'!$E$3:$E$8001)*($A$269='Safety Action Tracking'!$B$3:$B$8001)*(Data!$B$269='Safety Action Tracking'!$A$3:$A$8001))</f>
        <v>0</v>
      </c>
      <c r="R292" s="76" cm="1">
        <f t="array" aca="1" ref="R292" ca="1">SUM((R288='Safety Action Tracking'!$E$3:$E$8001)*($A$269='Safety Action Tracking'!$B$3:$B$8001)*(Data!$B$269='Safety Action Tracking'!$A$3:$A$8001))</f>
        <v>0</v>
      </c>
      <c r="S292" s="76" cm="1">
        <f t="array" aca="1" ref="S292" ca="1">SUM((S288='Safety Action Tracking'!$E$3:$E$8001)*($A$269='Safety Action Tracking'!$B$3:$B$8001)*(Data!$B$269='Safety Action Tracking'!$A$3:$A$8001))</f>
        <v>0</v>
      </c>
      <c r="T292" s="76" cm="1">
        <f t="array" aca="1" ref="T292" ca="1">SUM((T288='Safety Action Tracking'!$E$3:$E$8001)*($A$269='Safety Action Tracking'!$B$3:$B$8001)*(Data!$B$269='Safety Action Tracking'!$A$3:$A$8001))</f>
        <v>0</v>
      </c>
      <c r="U292" s="76" cm="1">
        <f t="array" aca="1" ref="U292" ca="1">SUM((U288='Safety Action Tracking'!$E$3:$E$8001)*($A$269='Safety Action Tracking'!$B$3:$B$8001)*(Data!$B$269='Safety Action Tracking'!$A$3:$A$8001))</f>
        <v>0</v>
      </c>
      <c r="V292" s="76" cm="1">
        <f t="array" aca="1" ref="V292" ca="1">SUM((V288='Safety Action Tracking'!$E$3:$E$8001)*($A$269='Safety Action Tracking'!$B$3:$B$8001)*(Data!$B$269='Safety Action Tracking'!$A$3:$A$8001))</f>
        <v>0</v>
      </c>
      <c r="W292" s="76" cm="1">
        <f t="array" aca="1" ref="W292" ca="1">SUM((W288='Safety Action Tracking'!$E$3:$E$8001)*($A$269='Safety Action Tracking'!$B$3:$B$8001)*(Data!$B$269='Safety Action Tracking'!$A$3:$A$8001))</f>
        <v>0</v>
      </c>
      <c r="X292" s="76" cm="1">
        <f t="array" aca="1" ref="X292" ca="1">SUM((X288='Safety Action Tracking'!$E$3:$E$8001)*($A$269='Safety Action Tracking'!$B$3:$B$8001)*(Data!$B$269='Safety Action Tracking'!$A$3:$A$8001))</f>
        <v>0</v>
      </c>
      <c r="Y292" s="76" cm="1">
        <f t="array" aca="1" ref="Y292" ca="1">SUM((Y288='Safety Action Tracking'!$E$3:$E$8001)*($A$269='Safety Action Tracking'!$B$3:$B$8001)*(Data!$B$269='Safety Action Tracking'!$A$3:$A$8001))</f>
        <v>0</v>
      </c>
      <c r="Z292" s="76" cm="1">
        <f t="array" aca="1" ref="Z292" ca="1">SUM((Z288='Safety Action Tracking'!$E$3:$E$8001)*($A$269='Safety Action Tracking'!$B$3:$B$8001)*(Data!$B$269='Safety Action Tracking'!$A$3:$A$8001))</f>
        <v>0</v>
      </c>
      <c r="AA292" s="76" cm="1">
        <f t="array" aca="1" ref="AA292" ca="1">SUM((AA288='Safety Action Tracking'!$E$3:$E$8001)*($A$269='Safety Action Tracking'!$B$3:$B$8001)*(Data!$B$269='Safety Action Tracking'!$A$3:$A$8001))</f>
        <v>0</v>
      </c>
      <c r="AB292" s="76" cm="1">
        <f t="array" aca="1" ref="AB292" ca="1">SUM((AB288='Safety Action Tracking'!$E$3:$E$8001)*($A$269='Safety Action Tracking'!$B$3:$B$8001)*(Data!$B$269='Safety Action Tracking'!$A$3:$A$8001))</f>
        <v>0</v>
      </c>
      <c r="AC292" s="76" cm="1">
        <f t="array" aca="1" ref="AC292" ca="1">SUM((AC288='Safety Action Tracking'!$E$3:$E$8001)*($A$269='Safety Action Tracking'!$B$3:$B$8001)*(Data!$B$269='Safety Action Tracking'!$A$3:$A$8001))</f>
        <v>0</v>
      </c>
      <c r="AD292" s="76" cm="1">
        <f t="array" aca="1" ref="AD292" ca="1">SUM((AD288='Safety Action Tracking'!$E$3:$E$8001)*($A$269='Safety Action Tracking'!$B$3:$B$8001)*(Data!$B$269='Safety Action Tracking'!$A$3:$A$8001))</f>
        <v>0</v>
      </c>
      <c r="AE292" s="76" cm="1">
        <f t="array" aca="1" ref="AE292" ca="1">SUM((AE288='Safety Action Tracking'!$E$3:$E$8001)*($A$269='Safety Action Tracking'!$B$3:$B$8001)*(Data!$B$269='Safety Action Tracking'!$A$3:$A$8001))</f>
        <v>0</v>
      </c>
      <c r="AF292" s="76" cm="1">
        <f t="array" aca="1" ref="AF292" ca="1">SUM((AF288='Safety Action Tracking'!$E$3:$E$8001)*($A$269='Safety Action Tracking'!$B$3:$B$8001)*(Data!$B$269='Safety Action Tracking'!$A$3:$A$8001))</f>
        <v>0</v>
      </c>
      <c r="AG292" s="76" cm="1">
        <f t="array" aca="1" ref="AG292" ca="1">SUM((AG288='Safety Action Tracking'!$E$3:$E$8001)*($A$269='Safety Action Tracking'!$B$3:$B$8001)*(Data!$B$269='Safety Action Tracking'!$A$3:$A$8001))</f>
        <v>0</v>
      </c>
      <c r="AH292" s="76" cm="1">
        <f t="array" aca="1" ref="AH292" ca="1">SUM((AH288='Safety Action Tracking'!$E$3:$E$8001)*($A$269='Safety Action Tracking'!$B$3:$B$8001)*(Data!$B$269='Safety Action Tracking'!$A$3:$A$8001))</f>
        <v>0</v>
      </c>
      <c r="AI292" s="76" cm="1">
        <f t="array" aca="1" ref="AI292" ca="1">SUM((AI288='Safety Action Tracking'!$E$3:$E$8001)*($A$269='Safety Action Tracking'!$B$3:$B$8001)*(Data!$B$269='Safety Action Tracking'!$A$3:$A$8001))</f>
        <v>0</v>
      </c>
      <c r="AJ292" s="76" cm="1">
        <f t="array" aca="1" ref="AJ292" ca="1">SUM((AJ288='Safety Action Tracking'!$E$3:$E$8001)*($A$269='Safety Action Tracking'!$B$3:$B$8001)*(Data!$B$269='Safety Action Tracking'!$A$3:$A$8001))</f>
        <v>0</v>
      </c>
      <c r="AK292" s="76" cm="1">
        <f t="array" aca="1" ref="AK292" ca="1">SUM((AK288='Safety Action Tracking'!$E$3:$E$8001)*($A$269='Safety Action Tracking'!$B$3:$B$8001)*(Data!$B$269='Safety Action Tracking'!$A$3:$A$8001))</f>
        <v>0</v>
      </c>
      <c r="AL292" s="76" cm="1">
        <f t="array" aca="1" ref="AL292" ca="1">SUM((AL288='Safety Action Tracking'!$E$3:$E$8001)*($A$269='Safety Action Tracking'!$B$3:$B$8001)*(Data!$B$269='Safety Action Tracking'!$A$3:$A$8001))</f>
        <v>0</v>
      </c>
      <c r="AM292" s="76" cm="1">
        <f t="array" aca="1" ref="AM292" ca="1">SUM((AM288='Safety Action Tracking'!$E$3:$E$8001)*($A$269='Safety Action Tracking'!$B$3:$B$8001)*(Data!$B$269='Safety Action Tracking'!$A$3:$A$8001))</f>
        <v>0</v>
      </c>
      <c r="AN292" s="76" cm="1">
        <f t="array" aca="1" ref="AN292" ca="1">SUM((AN288='Safety Action Tracking'!$E$3:$E$8001)*($A$269='Safety Action Tracking'!$B$3:$B$8001)*(Data!$B$269='Safety Action Tracking'!$A$3:$A$8001))</f>
        <v>0</v>
      </c>
    </row>
    <row r="293" spans="1:40" x14ac:dyDescent="0.35">
      <c r="A293" s="177" t="s">
        <v>99</v>
      </c>
      <c r="B293" s="445" cm="1">
        <f t="array" aca="1" ref="B293" ca="1">SUM((B289='Safety Action Tracking'!$E$3:$E$8001)*($A$269='Safety Action Tracking'!$B$3:$B$8001)*(Data!$B$269='Safety Action Tracking'!$A$3:$A$8001))</f>
        <v>0</v>
      </c>
      <c r="C293" s="445" cm="1">
        <f t="array" aca="1" ref="C293" ca="1">SUM((C289='Safety Action Tracking'!$E$3:$E$8001)*($A$269='Safety Action Tracking'!$B$3:$B$8001)*(Data!$B$269='Safety Action Tracking'!$A$3:$A$8001))</f>
        <v>0</v>
      </c>
      <c r="D293" s="445" cm="1">
        <f t="array" aca="1" ref="D293" ca="1">SUM((D289='Safety Action Tracking'!$E$3:$E$8001)*($A$269='Safety Action Tracking'!$B$3:$B$8001)*(Data!$B$269='Safety Action Tracking'!$A$3:$A$8001))</f>
        <v>0</v>
      </c>
      <c r="E293" s="445" cm="1">
        <f t="array" aca="1" ref="E293" ca="1">SUM((E289='Safety Action Tracking'!$E$3:$E$8001)*($A$269='Safety Action Tracking'!$B$3:$B$8001)*(Data!$B$269='Safety Action Tracking'!$A$3:$A$8001))</f>
        <v>0</v>
      </c>
      <c r="F293" s="445" cm="1">
        <f t="array" aca="1" ref="F293" ca="1">SUM((F289='Safety Action Tracking'!$E$3:$E$8001)*($A$269='Safety Action Tracking'!$B$3:$B$8001)*(Data!$B$269='Safety Action Tracking'!$A$3:$A$8001))</f>
        <v>0</v>
      </c>
      <c r="G293" s="445" cm="1">
        <f t="array" aca="1" ref="G293" ca="1">SUM((G289='Safety Action Tracking'!$E$3:$E$8001)*($A$269='Safety Action Tracking'!$B$3:$B$8001)*(Data!$B$269='Safety Action Tracking'!$A$3:$A$8001))</f>
        <v>0</v>
      </c>
      <c r="H293" s="445" cm="1">
        <f t="array" aca="1" ref="H293" ca="1">SUM((H289='Safety Action Tracking'!$E$3:$E$8001)*($A$269='Safety Action Tracking'!$B$3:$B$8001)*(Data!$B$269='Safety Action Tracking'!$A$3:$A$8001))</f>
        <v>0</v>
      </c>
      <c r="I293" s="445" cm="1">
        <f t="array" aca="1" ref="I293" ca="1">SUM((I289='Safety Action Tracking'!$E$3:$E$8001)*($A$269='Safety Action Tracking'!$B$3:$B$8001)*(Data!$B$269='Safety Action Tracking'!$A$3:$A$8001))</f>
        <v>0</v>
      </c>
      <c r="J293" s="76" cm="1">
        <f t="array" aca="1" ref="J293" ca="1">SUM((J289='Safety Action Tracking'!$E$3:$E$8001)*($A$269='Safety Action Tracking'!$B$3:$B$8001)*(Data!$B$269='Safety Action Tracking'!$A$3:$A$8001))</f>
        <v>0</v>
      </c>
      <c r="K293" s="76" cm="1">
        <f t="array" aca="1" ref="K293" ca="1">SUM((K289='Safety Action Tracking'!$E$3:$E$8001)*($A$269='Safety Action Tracking'!$B$3:$B$8001)*(Data!$B$269='Safety Action Tracking'!$A$3:$A$8001))</f>
        <v>0</v>
      </c>
      <c r="L293" s="76" cm="1">
        <f t="array" aca="1" ref="L293" ca="1">SUM((L289='Safety Action Tracking'!$E$3:$E$8001)*($A$269='Safety Action Tracking'!$B$3:$B$8001)*(Data!$B$269='Safety Action Tracking'!$A$3:$A$8001))</f>
        <v>0</v>
      </c>
      <c r="M293" s="76" cm="1">
        <f t="array" aca="1" ref="M293" ca="1">SUM((M289='Safety Action Tracking'!$E$3:$E$8001)*($A$269='Safety Action Tracking'!$B$3:$B$8001)*(Data!$B$269='Safety Action Tracking'!$A$3:$A$8001))</f>
        <v>0</v>
      </c>
      <c r="N293" s="76" cm="1">
        <f t="array" aca="1" ref="N293" ca="1">SUM((N289='Safety Action Tracking'!$E$3:$E$8001)*($A$269='Safety Action Tracking'!$B$3:$B$8001)*(Data!$B$269='Safety Action Tracking'!$A$3:$A$8001))</f>
        <v>0</v>
      </c>
      <c r="O293" s="76" cm="1">
        <f t="array" aca="1" ref="O293" ca="1">SUM((O289='Safety Action Tracking'!$E$3:$E$8001)*($A$269='Safety Action Tracking'!$B$3:$B$8001)*(Data!$B$269='Safety Action Tracking'!$A$3:$A$8001))</f>
        <v>0</v>
      </c>
      <c r="P293" s="76" cm="1">
        <f t="array" aca="1" ref="P293" ca="1">SUM((P289='Safety Action Tracking'!$E$3:$E$8001)*($A$269='Safety Action Tracking'!$B$3:$B$8001)*(Data!$B$269='Safety Action Tracking'!$A$3:$A$8001))</f>
        <v>0</v>
      </c>
      <c r="Q293" s="76" cm="1">
        <f t="array" aca="1" ref="Q293" ca="1">SUM((Q289='Safety Action Tracking'!$E$3:$E$8001)*($A$269='Safety Action Tracking'!$B$3:$B$8001)*(Data!$B$269='Safety Action Tracking'!$A$3:$A$8001))</f>
        <v>0</v>
      </c>
      <c r="R293" s="76" cm="1">
        <f t="array" aca="1" ref="R293" ca="1">SUM((R289='Safety Action Tracking'!$E$3:$E$8001)*($A$269='Safety Action Tracking'!$B$3:$B$8001)*(Data!$B$269='Safety Action Tracking'!$A$3:$A$8001))</f>
        <v>0</v>
      </c>
      <c r="S293" s="76" cm="1">
        <f t="array" aca="1" ref="S293" ca="1">SUM((S289='Safety Action Tracking'!$E$3:$E$8001)*($A$269='Safety Action Tracking'!$B$3:$B$8001)*(Data!$B$269='Safety Action Tracking'!$A$3:$A$8001))</f>
        <v>0</v>
      </c>
      <c r="T293" s="76" cm="1">
        <f t="array" aca="1" ref="T293" ca="1">SUM((T289='Safety Action Tracking'!$E$3:$E$8001)*($A$269='Safety Action Tracking'!$B$3:$B$8001)*(Data!$B$269='Safety Action Tracking'!$A$3:$A$8001))</f>
        <v>0</v>
      </c>
      <c r="U293" s="76" cm="1">
        <f t="array" aca="1" ref="U293" ca="1">SUM((U289='Safety Action Tracking'!$E$3:$E$8001)*($A$269='Safety Action Tracking'!$B$3:$B$8001)*(Data!$B$269='Safety Action Tracking'!$A$3:$A$8001))</f>
        <v>0</v>
      </c>
      <c r="V293" s="76" cm="1">
        <f t="array" aca="1" ref="V293" ca="1">SUM((V289='Safety Action Tracking'!$E$3:$E$8001)*($A$269='Safety Action Tracking'!$B$3:$B$8001)*(Data!$B$269='Safety Action Tracking'!$A$3:$A$8001))</f>
        <v>0</v>
      </c>
      <c r="W293" s="76" cm="1">
        <f t="array" aca="1" ref="W293" ca="1">SUM((W289='Safety Action Tracking'!$E$3:$E$8001)*($A$269='Safety Action Tracking'!$B$3:$B$8001)*(Data!$B$269='Safety Action Tracking'!$A$3:$A$8001))</f>
        <v>0</v>
      </c>
      <c r="X293" s="76" cm="1">
        <f t="array" aca="1" ref="X293" ca="1">SUM((X289='Safety Action Tracking'!$E$3:$E$8001)*($A$269='Safety Action Tracking'!$B$3:$B$8001)*(Data!$B$269='Safety Action Tracking'!$A$3:$A$8001))</f>
        <v>0</v>
      </c>
      <c r="Y293" s="76" cm="1">
        <f t="array" aca="1" ref="Y293" ca="1">SUM((Y289='Safety Action Tracking'!$E$3:$E$8001)*($A$269='Safety Action Tracking'!$B$3:$B$8001)*(Data!$B$269='Safety Action Tracking'!$A$3:$A$8001))</f>
        <v>0</v>
      </c>
      <c r="Z293" s="76" cm="1">
        <f t="array" aca="1" ref="Z293" ca="1">SUM((Z289='Safety Action Tracking'!$E$3:$E$8001)*($A$269='Safety Action Tracking'!$B$3:$B$8001)*(Data!$B$269='Safety Action Tracking'!$A$3:$A$8001))</f>
        <v>0</v>
      </c>
      <c r="AA293" s="76" cm="1">
        <f t="array" aca="1" ref="AA293" ca="1">SUM((AA289='Safety Action Tracking'!$E$3:$E$8001)*($A$269='Safety Action Tracking'!$B$3:$B$8001)*(Data!$B$269='Safety Action Tracking'!$A$3:$A$8001))</f>
        <v>0</v>
      </c>
      <c r="AB293" s="76" cm="1">
        <f t="array" aca="1" ref="AB293" ca="1">SUM((AB289='Safety Action Tracking'!$E$3:$E$8001)*($A$269='Safety Action Tracking'!$B$3:$B$8001)*(Data!$B$269='Safety Action Tracking'!$A$3:$A$8001))</f>
        <v>0</v>
      </c>
      <c r="AC293" s="76" cm="1">
        <f t="array" aca="1" ref="AC293" ca="1">SUM((AC289='Safety Action Tracking'!$E$3:$E$8001)*($A$269='Safety Action Tracking'!$B$3:$B$8001)*(Data!$B$269='Safety Action Tracking'!$A$3:$A$8001))</f>
        <v>0</v>
      </c>
      <c r="AD293" s="76" cm="1">
        <f t="array" aca="1" ref="AD293" ca="1">SUM((AD289='Safety Action Tracking'!$E$3:$E$8001)*($A$269='Safety Action Tracking'!$B$3:$B$8001)*(Data!$B$269='Safety Action Tracking'!$A$3:$A$8001))</f>
        <v>0</v>
      </c>
      <c r="AE293" s="76" cm="1">
        <f t="array" aca="1" ref="AE293" ca="1">SUM((AE289='Safety Action Tracking'!$E$3:$E$8001)*($A$269='Safety Action Tracking'!$B$3:$B$8001)*(Data!$B$269='Safety Action Tracking'!$A$3:$A$8001))</f>
        <v>0</v>
      </c>
      <c r="AF293" s="76" cm="1">
        <f t="array" aca="1" ref="AF293" ca="1">SUM((AF289='Safety Action Tracking'!$E$3:$E$8001)*($A$269='Safety Action Tracking'!$B$3:$B$8001)*(Data!$B$269='Safety Action Tracking'!$A$3:$A$8001))</f>
        <v>0</v>
      </c>
      <c r="AG293" s="76" cm="1">
        <f t="array" aca="1" ref="AG293" ca="1">SUM((AG289='Safety Action Tracking'!$E$3:$E$8001)*($A$269='Safety Action Tracking'!$B$3:$B$8001)*(Data!$B$269='Safety Action Tracking'!$A$3:$A$8001))</f>
        <v>0</v>
      </c>
      <c r="AH293" s="76" cm="1">
        <f t="array" aca="1" ref="AH293" ca="1">SUM((AH289='Safety Action Tracking'!$E$3:$E$8001)*($A$269='Safety Action Tracking'!$B$3:$B$8001)*(Data!$B$269='Safety Action Tracking'!$A$3:$A$8001))</f>
        <v>0</v>
      </c>
      <c r="AI293" s="76" cm="1">
        <f t="array" aca="1" ref="AI293" ca="1">SUM((AI289='Safety Action Tracking'!$E$3:$E$8001)*($A$269='Safety Action Tracking'!$B$3:$B$8001)*(Data!$B$269='Safety Action Tracking'!$A$3:$A$8001))</f>
        <v>0</v>
      </c>
      <c r="AJ293" s="76" cm="1">
        <f t="array" aca="1" ref="AJ293" ca="1">SUM((AJ289='Safety Action Tracking'!$E$3:$E$8001)*($A$269='Safety Action Tracking'!$B$3:$B$8001)*(Data!$B$269='Safety Action Tracking'!$A$3:$A$8001))</f>
        <v>0</v>
      </c>
      <c r="AK293" s="76" cm="1">
        <f t="array" aca="1" ref="AK293" ca="1">SUM((AK289='Safety Action Tracking'!$E$3:$E$8001)*($A$269='Safety Action Tracking'!$B$3:$B$8001)*(Data!$B$269='Safety Action Tracking'!$A$3:$A$8001))</f>
        <v>0</v>
      </c>
      <c r="AL293" s="76" cm="1">
        <f t="array" aca="1" ref="AL293" ca="1">SUM((AL289='Safety Action Tracking'!$E$3:$E$8001)*($A$269='Safety Action Tracking'!$B$3:$B$8001)*(Data!$B$269='Safety Action Tracking'!$A$3:$A$8001))</f>
        <v>0</v>
      </c>
      <c r="AM293" s="76" cm="1">
        <f t="array" aca="1" ref="AM293" ca="1">SUM((AM289='Safety Action Tracking'!$E$3:$E$8001)*($A$269='Safety Action Tracking'!$B$3:$B$8001)*(Data!$B$269='Safety Action Tracking'!$A$3:$A$8001))</f>
        <v>0</v>
      </c>
      <c r="AN293" s="76" cm="1">
        <f t="array" aca="1" ref="AN293" ca="1">SUM((AN289='Safety Action Tracking'!$E$3:$E$8001)*($A$269='Safety Action Tracking'!$B$3:$B$8001)*(Data!$B$269='Safety Action Tracking'!$A$3:$A$8001))</f>
        <v>0</v>
      </c>
    </row>
    <row r="294" spans="1:40" x14ac:dyDescent="0.35">
      <c r="A294" s="177" t="s">
        <v>99</v>
      </c>
      <c r="B294" s="445" cm="1">
        <f t="array" aca="1" ref="B294" ca="1">SUM((B290='Safety Action Tracking'!$E$3:$E$8001)*($A$269='Safety Action Tracking'!$B$3:$B$8001)*(Data!$B$269='Safety Action Tracking'!$A$3:$A$8001))</f>
        <v>0</v>
      </c>
      <c r="C294" s="445" cm="1">
        <f t="array" aca="1" ref="C294" ca="1">SUM((C290='Safety Action Tracking'!$E$3:$E$8001)*($A$269='Safety Action Tracking'!$B$3:$B$8001)*(Data!$B$269='Safety Action Tracking'!$A$3:$A$8001))</f>
        <v>0</v>
      </c>
      <c r="D294" s="445" cm="1">
        <f t="array" aca="1" ref="D294" ca="1">SUM((D290='Safety Action Tracking'!$E$3:$E$8001)*($A$269='Safety Action Tracking'!$B$3:$B$8001)*(Data!$B$269='Safety Action Tracking'!$A$3:$A$8001))</f>
        <v>0</v>
      </c>
      <c r="E294" s="445" cm="1">
        <f t="array" aca="1" ref="E294" ca="1">SUM((E290='Safety Action Tracking'!$E$3:$E$8001)*($A$269='Safety Action Tracking'!$B$3:$B$8001)*(Data!$B$269='Safety Action Tracking'!$A$3:$A$8001))</f>
        <v>0</v>
      </c>
      <c r="F294" s="445" cm="1">
        <f t="array" aca="1" ref="F294" ca="1">SUM((F290='Safety Action Tracking'!$E$3:$E$8001)*($A$269='Safety Action Tracking'!$B$3:$B$8001)*(Data!$B$269='Safety Action Tracking'!$A$3:$A$8001))</f>
        <v>0</v>
      </c>
      <c r="G294" s="445" cm="1">
        <f t="array" aca="1" ref="G294" ca="1">SUM((G290='Safety Action Tracking'!$E$3:$E$8001)*($A$269='Safety Action Tracking'!$B$3:$B$8001)*(Data!$B$269='Safety Action Tracking'!$A$3:$A$8001))</f>
        <v>0</v>
      </c>
      <c r="H294" s="445" cm="1">
        <f t="array" aca="1" ref="H294" ca="1">SUM((H290='Safety Action Tracking'!$E$3:$E$8001)*($A$269='Safety Action Tracking'!$B$3:$B$8001)*(Data!$B$269='Safety Action Tracking'!$A$3:$A$8001))</f>
        <v>0</v>
      </c>
      <c r="I294" s="445" cm="1">
        <f t="array" aca="1" ref="I294" ca="1">SUM((I290='Safety Action Tracking'!$E$3:$E$8001)*($A$269='Safety Action Tracking'!$B$3:$B$8001)*(Data!$B$269='Safety Action Tracking'!$A$3:$A$8001))</f>
        <v>0</v>
      </c>
      <c r="J294" s="76" cm="1">
        <f t="array" aca="1" ref="J294" ca="1">SUM((J290='Safety Action Tracking'!$E$3:$E$8001)*($A$269='Safety Action Tracking'!$B$3:$B$8001)*(Data!$B$269='Safety Action Tracking'!$A$3:$A$8001))</f>
        <v>0</v>
      </c>
      <c r="K294" s="76" cm="1">
        <f t="array" aca="1" ref="K294" ca="1">SUM((K290='Safety Action Tracking'!$E$3:$E$8001)*($A$269='Safety Action Tracking'!$B$3:$B$8001)*(Data!$B$269='Safety Action Tracking'!$A$3:$A$8001))</f>
        <v>0</v>
      </c>
      <c r="L294" s="76" cm="1">
        <f t="array" aca="1" ref="L294" ca="1">SUM((L290='Safety Action Tracking'!$E$3:$E$8001)*($A$269='Safety Action Tracking'!$B$3:$B$8001)*(Data!$B$269='Safety Action Tracking'!$A$3:$A$8001))</f>
        <v>0</v>
      </c>
      <c r="M294" s="76" cm="1">
        <f t="array" aca="1" ref="M294" ca="1">SUM((M290='Safety Action Tracking'!$E$3:$E$8001)*($A$269='Safety Action Tracking'!$B$3:$B$8001)*(Data!$B$269='Safety Action Tracking'!$A$3:$A$8001))</f>
        <v>0</v>
      </c>
      <c r="N294" s="76" cm="1">
        <f t="array" aca="1" ref="N294" ca="1">SUM((N290='Safety Action Tracking'!$E$3:$E$8001)*($A$269='Safety Action Tracking'!$B$3:$B$8001)*(Data!$B$269='Safety Action Tracking'!$A$3:$A$8001))</f>
        <v>0</v>
      </c>
      <c r="O294" s="76" cm="1">
        <f t="array" aca="1" ref="O294" ca="1">SUM((O290='Safety Action Tracking'!$E$3:$E$8001)*($A$269='Safety Action Tracking'!$B$3:$B$8001)*(Data!$B$269='Safety Action Tracking'!$A$3:$A$8001))</f>
        <v>0</v>
      </c>
      <c r="P294" s="76" cm="1">
        <f t="array" aca="1" ref="P294" ca="1">SUM((P290='Safety Action Tracking'!$E$3:$E$8001)*($A$269='Safety Action Tracking'!$B$3:$B$8001)*(Data!$B$269='Safety Action Tracking'!$A$3:$A$8001))</f>
        <v>0</v>
      </c>
      <c r="Q294" s="76" cm="1">
        <f t="array" aca="1" ref="Q294" ca="1">SUM((Q290='Safety Action Tracking'!$E$3:$E$8001)*($A$269='Safety Action Tracking'!$B$3:$B$8001)*(Data!$B$269='Safety Action Tracking'!$A$3:$A$8001))</f>
        <v>0</v>
      </c>
      <c r="R294" s="76" cm="1">
        <f t="array" aca="1" ref="R294" ca="1">SUM((R290='Safety Action Tracking'!$E$3:$E$8001)*($A$269='Safety Action Tracking'!$B$3:$B$8001)*(Data!$B$269='Safety Action Tracking'!$A$3:$A$8001))</f>
        <v>0</v>
      </c>
      <c r="S294" s="76" cm="1">
        <f t="array" aca="1" ref="S294" ca="1">SUM((S290='Safety Action Tracking'!$E$3:$E$8001)*($A$269='Safety Action Tracking'!$B$3:$B$8001)*(Data!$B$269='Safety Action Tracking'!$A$3:$A$8001))</f>
        <v>0</v>
      </c>
      <c r="T294" s="76" cm="1">
        <f t="array" aca="1" ref="T294" ca="1">SUM((T290='Safety Action Tracking'!$E$3:$E$8001)*($A$269='Safety Action Tracking'!$B$3:$B$8001)*(Data!$B$269='Safety Action Tracking'!$A$3:$A$8001))</f>
        <v>0</v>
      </c>
      <c r="U294" s="76" cm="1">
        <f t="array" aca="1" ref="U294" ca="1">SUM((U290='Safety Action Tracking'!$E$3:$E$8001)*($A$269='Safety Action Tracking'!$B$3:$B$8001)*(Data!$B$269='Safety Action Tracking'!$A$3:$A$8001))</f>
        <v>0</v>
      </c>
      <c r="V294" s="76" cm="1">
        <f t="array" aca="1" ref="V294" ca="1">SUM((V290='Safety Action Tracking'!$E$3:$E$8001)*($A$269='Safety Action Tracking'!$B$3:$B$8001)*(Data!$B$269='Safety Action Tracking'!$A$3:$A$8001))</f>
        <v>0</v>
      </c>
      <c r="W294" s="76" cm="1">
        <f t="array" aca="1" ref="W294" ca="1">SUM((W290='Safety Action Tracking'!$E$3:$E$8001)*($A$269='Safety Action Tracking'!$B$3:$B$8001)*(Data!$B$269='Safety Action Tracking'!$A$3:$A$8001))</f>
        <v>0</v>
      </c>
      <c r="X294" s="76" cm="1">
        <f t="array" aca="1" ref="X294" ca="1">SUM((X290='Safety Action Tracking'!$E$3:$E$8001)*($A$269='Safety Action Tracking'!$B$3:$B$8001)*(Data!$B$269='Safety Action Tracking'!$A$3:$A$8001))</f>
        <v>0</v>
      </c>
      <c r="Y294" s="76" cm="1">
        <f t="array" aca="1" ref="Y294" ca="1">SUM((Y290='Safety Action Tracking'!$E$3:$E$8001)*($A$269='Safety Action Tracking'!$B$3:$B$8001)*(Data!$B$269='Safety Action Tracking'!$A$3:$A$8001))</f>
        <v>0</v>
      </c>
      <c r="Z294" s="76" cm="1">
        <f t="array" aca="1" ref="Z294" ca="1">SUM((Z290='Safety Action Tracking'!$E$3:$E$8001)*($A$269='Safety Action Tracking'!$B$3:$B$8001)*(Data!$B$269='Safety Action Tracking'!$A$3:$A$8001))</f>
        <v>0</v>
      </c>
      <c r="AA294" s="76" cm="1">
        <f t="array" aca="1" ref="AA294" ca="1">SUM((AA290='Safety Action Tracking'!$E$3:$E$8001)*($A$269='Safety Action Tracking'!$B$3:$B$8001)*(Data!$B$269='Safety Action Tracking'!$A$3:$A$8001))</f>
        <v>0</v>
      </c>
      <c r="AB294" s="76" cm="1">
        <f t="array" aca="1" ref="AB294" ca="1">SUM((AB290='Safety Action Tracking'!$E$3:$E$8001)*($A$269='Safety Action Tracking'!$B$3:$B$8001)*(Data!$B$269='Safety Action Tracking'!$A$3:$A$8001))</f>
        <v>0</v>
      </c>
      <c r="AC294" s="76" cm="1">
        <f t="array" aca="1" ref="AC294" ca="1">SUM((AC290='Safety Action Tracking'!$E$3:$E$8001)*($A$269='Safety Action Tracking'!$B$3:$B$8001)*(Data!$B$269='Safety Action Tracking'!$A$3:$A$8001))</f>
        <v>0</v>
      </c>
      <c r="AD294" s="76" cm="1">
        <f t="array" aca="1" ref="AD294" ca="1">SUM((AD290='Safety Action Tracking'!$E$3:$E$8001)*($A$269='Safety Action Tracking'!$B$3:$B$8001)*(Data!$B$269='Safety Action Tracking'!$A$3:$A$8001))</f>
        <v>0</v>
      </c>
      <c r="AE294" s="76" cm="1">
        <f t="array" aca="1" ref="AE294" ca="1">SUM((AE290='Safety Action Tracking'!$E$3:$E$8001)*($A$269='Safety Action Tracking'!$B$3:$B$8001)*(Data!$B$269='Safety Action Tracking'!$A$3:$A$8001))</f>
        <v>0</v>
      </c>
      <c r="AF294" s="76" cm="1">
        <f t="array" aca="1" ref="AF294" ca="1">SUM((AF290='Safety Action Tracking'!$E$3:$E$8001)*($A$269='Safety Action Tracking'!$B$3:$B$8001)*(Data!$B$269='Safety Action Tracking'!$A$3:$A$8001))</f>
        <v>0</v>
      </c>
      <c r="AG294" s="76" cm="1">
        <f t="array" aca="1" ref="AG294" ca="1">SUM((AG290='Safety Action Tracking'!$E$3:$E$8001)*($A$269='Safety Action Tracking'!$B$3:$B$8001)*(Data!$B$269='Safety Action Tracking'!$A$3:$A$8001))</f>
        <v>0</v>
      </c>
      <c r="AH294" s="76" cm="1">
        <f t="array" aca="1" ref="AH294" ca="1">SUM((AH290='Safety Action Tracking'!$E$3:$E$8001)*($A$269='Safety Action Tracking'!$B$3:$B$8001)*(Data!$B$269='Safety Action Tracking'!$A$3:$A$8001))</f>
        <v>0</v>
      </c>
      <c r="AI294" s="76" cm="1">
        <f t="array" aca="1" ref="AI294" ca="1">SUM((AI290='Safety Action Tracking'!$E$3:$E$8001)*($A$269='Safety Action Tracking'!$B$3:$B$8001)*(Data!$B$269='Safety Action Tracking'!$A$3:$A$8001))</f>
        <v>0</v>
      </c>
      <c r="AJ294" s="76" cm="1">
        <f t="array" aca="1" ref="AJ294" ca="1">SUM((AJ290='Safety Action Tracking'!$E$3:$E$8001)*($A$269='Safety Action Tracking'!$B$3:$B$8001)*(Data!$B$269='Safety Action Tracking'!$A$3:$A$8001))</f>
        <v>0</v>
      </c>
      <c r="AK294" s="76" cm="1">
        <f t="array" aca="1" ref="AK294" ca="1">SUM((AK290='Safety Action Tracking'!$E$3:$E$8001)*($A$269='Safety Action Tracking'!$B$3:$B$8001)*(Data!$B$269='Safety Action Tracking'!$A$3:$A$8001))</f>
        <v>0</v>
      </c>
      <c r="AL294" s="76" cm="1">
        <f t="array" aca="1" ref="AL294" ca="1">SUM((AL290='Safety Action Tracking'!$E$3:$E$8001)*($A$269='Safety Action Tracking'!$B$3:$B$8001)*(Data!$B$269='Safety Action Tracking'!$A$3:$A$8001))</f>
        <v>0</v>
      </c>
      <c r="AM294" s="76" cm="1">
        <f t="array" aca="1" ref="AM294" ca="1">SUM((AM290='Safety Action Tracking'!$E$3:$E$8001)*($A$269='Safety Action Tracking'!$B$3:$B$8001)*(Data!$B$269='Safety Action Tracking'!$A$3:$A$8001))</f>
        <v>0</v>
      </c>
      <c r="AN294" s="76" cm="1">
        <f t="array" aca="1" ref="AN294" ca="1">SUM((AN290='Safety Action Tracking'!$E$3:$E$8001)*($A$269='Safety Action Tracking'!$B$3:$B$8001)*(Data!$B$269='Safety Action Tracking'!$A$3:$A$8001))</f>
        <v>0</v>
      </c>
    </row>
    <row r="295" spans="1:40" x14ac:dyDescent="0.35">
      <c r="A295" s="177" t="s">
        <v>99</v>
      </c>
      <c r="B295" s="445" cm="1">
        <f t="array" aca="1" ref="B295" ca="1">SUM((B291='Safety Action Tracking'!$E$3:$E$8001)*($A$269='Safety Action Tracking'!$B$3:$B$8001)*(Data!$B$269='Safety Action Tracking'!$A$3:$A$8001))</f>
        <v>0</v>
      </c>
      <c r="C295" s="445" cm="1">
        <f t="array" aca="1" ref="C295" ca="1">SUM((C291='Safety Action Tracking'!$E$3:$E$8001)*($A$269='Safety Action Tracking'!$B$3:$B$8001)*(Data!$B$269='Safety Action Tracking'!$A$3:$A$8001))</f>
        <v>0</v>
      </c>
      <c r="D295" s="445" cm="1">
        <f t="array" aca="1" ref="D295" ca="1">SUM((D291='Safety Action Tracking'!$E$3:$E$8001)*($A$269='Safety Action Tracking'!$B$3:$B$8001)*(Data!$B$269='Safety Action Tracking'!$A$3:$A$8001))</f>
        <v>0</v>
      </c>
      <c r="E295" s="445" cm="1">
        <f t="array" aca="1" ref="E295" ca="1">SUM((E291='Safety Action Tracking'!$E$3:$E$8001)*($A$269='Safety Action Tracking'!$B$3:$B$8001)*(Data!$B$269='Safety Action Tracking'!$A$3:$A$8001))</f>
        <v>0</v>
      </c>
      <c r="F295" s="445" cm="1">
        <f t="array" aca="1" ref="F295" ca="1">SUM((F291='Safety Action Tracking'!$E$3:$E$8001)*($A$269='Safety Action Tracking'!$B$3:$B$8001)*(Data!$B$269='Safety Action Tracking'!$A$3:$A$8001))</f>
        <v>0</v>
      </c>
      <c r="G295" s="445" cm="1">
        <f t="array" aca="1" ref="G295" ca="1">SUM((G291='Safety Action Tracking'!$E$3:$E$8001)*($A$269='Safety Action Tracking'!$B$3:$B$8001)*(Data!$B$269='Safety Action Tracking'!$A$3:$A$8001))</f>
        <v>0</v>
      </c>
      <c r="H295" s="445" cm="1">
        <f t="array" aca="1" ref="H295" ca="1">SUM((H291='Safety Action Tracking'!$E$3:$E$8001)*($A$269='Safety Action Tracking'!$B$3:$B$8001)*(Data!$B$269='Safety Action Tracking'!$A$3:$A$8001))</f>
        <v>0</v>
      </c>
      <c r="I295" s="445" cm="1">
        <f t="array" aca="1" ref="I295" ca="1">SUM((I291='Safety Action Tracking'!$E$3:$E$8001)*($A$269='Safety Action Tracking'!$B$3:$B$8001)*(Data!$B$269='Safety Action Tracking'!$A$3:$A$8001))</f>
        <v>0</v>
      </c>
      <c r="J295" s="76" cm="1">
        <f t="array" aca="1" ref="J295" ca="1">SUM((J291='Safety Action Tracking'!$E$3:$E$8001)*($A$269='Safety Action Tracking'!$B$3:$B$8001)*(Data!$B$269='Safety Action Tracking'!$A$3:$A$8001))</f>
        <v>0</v>
      </c>
      <c r="K295" s="76" cm="1">
        <f t="array" aca="1" ref="K295" ca="1">SUM((K291='Safety Action Tracking'!$E$3:$E$8001)*($A$269='Safety Action Tracking'!$B$3:$B$8001)*(Data!$B$269='Safety Action Tracking'!$A$3:$A$8001))</f>
        <v>0</v>
      </c>
      <c r="L295" s="76" cm="1">
        <f t="array" aca="1" ref="L295" ca="1">SUM((L291='Safety Action Tracking'!$E$3:$E$8001)*($A$269='Safety Action Tracking'!$B$3:$B$8001)*(Data!$B$269='Safety Action Tracking'!$A$3:$A$8001))</f>
        <v>0</v>
      </c>
      <c r="M295" s="76" cm="1">
        <f t="array" aca="1" ref="M295" ca="1">SUM((M291='Safety Action Tracking'!$E$3:$E$8001)*($A$269='Safety Action Tracking'!$B$3:$B$8001)*(Data!$B$269='Safety Action Tracking'!$A$3:$A$8001))</f>
        <v>0</v>
      </c>
      <c r="N295" s="76" cm="1">
        <f t="array" aca="1" ref="N295" ca="1">SUM((N291='Safety Action Tracking'!$E$3:$E$8001)*($A$269='Safety Action Tracking'!$B$3:$B$8001)*(Data!$B$269='Safety Action Tracking'!$A$3:$A$8001))</f>
        <v>0</v>
      </c>
      <c r="O295" s="76" cm="1">
        <f t="array" aca="1" ref="O295" ca="1">SUM((O291='Safety Action Tracking'!$E$3:$E$8001)*($A$269='Safety Action Tracking'!$B$3:$B$8001)*(Data!$B$269='Safety Action Tracking'!$A$3:$A$8001))</f>
        <v>0</v>
      </c>
      <c r="P295" s="76" cm="1">
        <f t="array" aca="1" ref="P295" ca="1">SUM((P291='Safety Action Tracking'!$E$3:$E$8001)*($A$269='Safety Action Tracking'!$B$3:$B$8001)*(Data!$B$269='Safety Action Tracking'!$A$3:$A$8001))</f>
        <v>0</v>
      </c>
      <c r="Q295" s="76" cm="1">
        <f t="array" aca="1" ref="Q295" ca="1">SUM((Q291='Safety Action Tracking'!$E$3:$E$8001)*($A$269='Safety Action Tracking'!$B$3:$B$8001)*(Data!$B$269='Safety Action Tracking'!$A$3:$A$8001))</f>
        <v>0</v>
      </c>
      <c r="R295" s="76" cm="1">
        <f t="array" aca="1" ref="R295" ca="1">SUM((R291='Safety Action Tracking'!$E$3:$E$8001)*($A$269='Safety Action Tracking'!$B$3:$B$8001)*(Data!$B$269='Safety Action Tracking'!$A$3:$A$8001))</f>
        <v>0</v>
      </c>
      <c r="S295" s="76" cm="1">
        <f t="array" aca="1" ref="S295" ca="1">SUM((S291='Safety Action Tracking'!$E$3:$E$8001)*($A$269='Safety Action Tracking'!$B$3:$B$8001)*(Data!$B$269='Safety Action Tracking'!$A$3:$A$8001))</f>
        <v>0</v>
      </c>
      <c r="T295" s="76" cm="1">
        <f t="array" aca="1" ref="T295" ca="1">SUM((T291='Safety Action Tracking'!$E$3:$E$8001)*($A$269='Safety Action Tracking'!$B$3:$B$8001)*(Data!$B$269='Safety Action Tracking'!$A$3:$A$8001))</f>
        <v>0</v>
      </c>
      <c r="U295" s="76" cm="1">
        <f t="array" aca="1" ref="U295" ca="1">SUM((U291='Safety Action Tracking'!$E$3:$E$8001)*($A$269='Safety Action Tracking'!$B$3:$B$8001)*(Data!$B$269='Safety Action Tracking'!$A$3:$A$8001))</f>
        <v>0</v>
      </c>
      <c r="V295" s="76" cm="1">
        <f t="array" aca="1" ref="V295" ca="1">SUM((V291='Safety Action Tracking'!$E$3:$E$8001)*($A$269='Safety Action Tracking'!$B$3:$B$8001)*(Data!$B$269='Safety Action Tracking'!$A$3:$A$8001))</f>
        <v>0</v>
      </c>
      <c r="W295" s="76" cm="1">
        <f t="array" aca="1" ref="W295" ca="1">SUM((W291='Safety Action Tracking'!$E$3:$E$8001)*($A$269='Safety Action Tracking'!$B$3:$B$8001)*(Data!$B$269='Safety Action Tracking'!$A$3:$A$8001))</f>
        <v>0</v>
      </c>
      <c r="X295" s="76" cm="1">
        <f t="array" aca="1" ref="X295" ca="1">SUM((X291='Safety Action Tracking'!$E$3:$E$8001)*($A$269='Safety Action Tracking'!$B$3:$B$8001)*(Data!$B$269='Safety Action Tracking'!$A$3:$A$8001))</f>
        <v>0</v>
      </c>
      <c r="Y295" s="76" cm="1">
        <f t="array" aca="1" ref="Y295" ca="1">SUM((Y291='Safety Action Tracking'!$E$3:$E$8001)*($A$269='Safety Action Tracking'!$B$3:$B$8001)*(Data!$B$269='Safety Action Tracking'!$A$3:$A$8001))</f>
        <v>0</v>
      </c>
      <c r="Z295" s="76" cm="1">
        <f t="array" aca="1" ref="Z295" ca="1">SUM((Z291='Safety Action Tracking'!$E$3:$E$8001)*($A$269='Safety Action Tracking'!$B$3:$B$8001)*(Data!$B$269='Safety Action Tracking'!$A$3:$A$8001))</f>
        <v>0</v>
      </c>
      <c r="AA295" s="76" cm="1">
        <f t="array" aca="1" ref="AA295" ca="1">SUM((AA291='Safety Action Tracking'!$E$3:$E$8001)*($A$269='Safety Action Tracking'!$B$3:$B$8001)*(Data!$B$269='Safety Action Tracking'!$A$3:$A$8001))</f>
        <v>0</v>
      </c>
      <c r="AB295" s="76" cm="1">
        <f t="array" aca="1" ref="AB295" ca="1">SUM((AB291='Safety Action Tracking'!$E$3:$E$8001)*($A$269='Safety Action Tracking'!$B$3:$B$8001)*(Data!$B$269='Safety Action Tracking'!$A$3:$A$8001))</f>
        <v>0</v>
      </c>
      <c r="AC295" s="76" cm="1">
        <f t="array" aca="1" ref="AC295" ca="1">SUM((AC291='Safety Action Tracking'!$E$3:$E$8001)*($A$269='Safety Action Tracking'!$B$3:$B$8001)*(Data!$B$269='Safety Action Tracking'!$A$3:$A$8001))</f>
        <v>0</v>
      </c>
      <c r="AD295" s="76" cm="1">
        <f t="array" aca="1" ref="AD295" ca="1">SUM((AD291='Safety Action Tracking'!$E$3:$E$8001)*($A$269='Safety Action Tracking'!$B$3:$B$8001)*(Data!$B$269='Safety Action Tracking'!$A$3:$A$8001))</f>
        <v>0</v>
      </c>
      <c r="AE295" s="76" cm="1">
        <f t="array" aca="1" ref="AE295" ca="1">SUM((AE291='Safety Action Tracking'!$E$3:$E$8001)*($A$269='Safety Action Tracking'!$B$3:$B$8001)*(Data!$B$269='Safety Action Tracking'!$A$3:$A$8001))</f>
        <v>0</v>
      </c>
      <c r="AF295" s="76" cm="1">
        <f t="array" aca="1" ref="AF295" ca="1">SUM((AF291='Safety Action Tracking'!$E$3:$E$8001)*($A$269='Safety Action Tracking'!$B$3:$B$8001)*(Data!$B$269='Safety Action Tracking'!$A$3:$A$8001))</f>
        <v>0</v>
      </c>
      <c r="AG295" s="76" cm="1">
        <f t="array" aca="1" ref="AG295" ca="1">SUM((AG291='Safety Action Tracking'!$E$3:$E$8001)*($A$269='Safety Action Tracking'!$B$3:$B$8001)*(Data!$B$269='Safety Action Tracking'!$A$3:$A$8001))</f>
        <v>0</v>
      </c>
      <c r="AH295" s="76" cm="1">
        <f t="array" aca="1" ref="AH295" ca="1">SUM((AH291='Safety Action Tracking'!$E$3:$E$8001)*($A$269='Safety Action Tracking'!$B$3:$B$8001)*(Data!$B$269='Safety Action Tracking'!$A$3:$A$8001))</f>
        <v>0</v>
      </c>
      <c r="AI295" s="76" cm="1">
        <f t="array" aca="1" ref="AI295" ca="1">SUM((AI291='Safety Action Tracking'!$E$3:$E$8001)*($A$269='Safety Action Tracking'!$B$3:$B$8001)*(Data!$B$269='Safety Action Tracking'!$A$3:$A$8001))</f>
        <v>0</v>
      </c>
      <c r="AJ295" s="76" cm="1">
        <f t="array" aca="1" ref="AJ295" ca="1">SUM((AJ291='Safety Action Tracking'!$E$3:$E$8001)*($A$269='Safety Action Tracking'!$B$3:$B$8001)*(Data!$B$269='Safety Action Tracking'!$A$3:$A$8001))</f>
        <v>0</v>
      </c>
      <c r="AK295" s="76" cm="1">
        <f t="array" aca="1" ref="AK295" ca="1">SUM((AK291='Safety Action Tracking'!$E$3:$E$8001)*($A$269='Safety Action Tracking'!$B$3:$B$8001)*(Data!$B$269='Safety Action Tracking'!$A$3:$A$8001))</f>
        <v>0</v>
      </c>
      <c r="AL295" s="76" cm="1">
        <f t="array" aca="1" ref="AL295" ca="1">SUM((AL291='Safety Action Tracking'!$E$3:$E$8001)*($A$269='Safety Action Tracking'!$B$3:$B$8001)*(Data!$B$269='Safety Action Tracking'!$A$3:$A$8001))</f>
        <v>0</v>
      </c>
      <c r="AM295" s="76" cm="1">
        <f t="array" aca="1" ref="AM295" ca="1">SUM((AM291='Safety Action Tracking'!$E$3:$E$8001)*($A$269='Safety Action Tracking'!$B$3:$B$8001)*(Data!$B$269='Safety Action Tracking'!$A$3:$A$8001))</f>
        <v>0</v>
      </c>
      <c r="AN295" s="76" cm="1">
        <f t="array" aca="1" ref="AN295" ca="1">SUM((AN291='Safety Action Tracking'!$E$3:$E$8001)*($A$269='Safety Action Tracking'!$B$3:$B$8001)*(Data!$B$269='Safety Action Tracking'!$A$3:$A$8001))</f>
        <v>0</v>
      </c>
    </row>
    <row r="296" spans="1:40" x14ac:dyDescent="0.35">
      <c r="A296" s="177" t="s">
        <v>100</v>
      </c>
      <c r="B296" s="445" cm="1">
        <f t="array" aca="1" ref="B296" ca="1">SUM((B292='Safety Action Tracking'!$E$3:$E$8001)*($A$269='Safety Action Tracking'!$B$3:$B$8001)*(Data!$B$269='Safety Action Tracking'!$A$3:$A$8001))</f>
        <v>0</v>
      </c>
      <c r="C296" s="445" cm="1">
        <f t="array" aca="1" ref="C296" ca="1">SUM((C292='Safety Action Tracking'!$E$3:$E$8001)*($A$269='Safety Action Tracking'!$B$3:$B$8001)*(Data!$B$269='Safety Action Tracking'!$A$3:$A$8001))</f>
        <v>0</v>
      </c>
      <c r="D296" s="445" cm="1">
        <f t="array" aca="1" ref="D296" ca="1">SUM((D292='Safety Action Tracking'!$E$3:$E$8001)*($A$269='Safety Action Tracking'!$B$3:$B$8001)*(Data!$B$269='Safety Action Tracking'!$A$3:$A$8001))</f>
        <v>0</v>
      </c>
      <c r="E296" s="445" cm="1">
        <f t="array" aca="1" ref="E296" ca="1">SUM((E292='Safety Action Tracking'!$E$3:$E$8001)*($A$269='Safety Action Tracking'!$B$3:$B$8001)*(Data!$B$269='Safety Action Tracking'!$A$3:$A$8001))</f>
        <v>0</v>
      </c>
      <c r="F296" s="445" cm="1">
        <f t="array" aca="1" ref="F296" ca="1">SUM((F292='Safety Action Tracking'!$E$3:$E$8001)*($A$269='Safety Action Tracking'!$B$3:$B$8001)*(Data!$B$269='Safety Action Tracking'!$A$3:$A$8001))</f>
        <v>0</v>
      </c>
      <c r="G296" s="445" cm="1">
        <f t="array" aca="1" ref="G296" ca="1">SUM((G292='Safety Action Tracking'!$E$3:$E$8001)*($A$269='Safety Action Tracking'!$B$3:$B$8001)*(Data!$B$269='Safety Action Tracking'!$A$3:$A$8001))</f>
        <v>0</v>
      </c>
      <c r="H296" s="445" cm="1">
        <f t="array" aca="1" ref="H296" ca="1">SUM((H292='Safety Action Tracking'!$E$3:$E$8001)*($A$269='Safety Action Tracking'!$B$3:$B$8001)*(Data!$B$269='Safety Action Tracking'!$A$3:$A$8001))</f>
        <v>0</v>
      </c>
      <c r="I296" s="445" cm="1">
        <f t="array" aca="1" ref="I296" ca="1">SUM((I292='Safety Action Tracking'!$E$3:$E$8001)*($A$269='Safety Action Tracking'!$B$3:$B$8001)*(Data!$B$269='Safety Action Tracking'!$A$3:$A$8001))</f>
        <v>0</v>
      </c>
      <c r="J296" s="76" cm="1">
        <f t="array" aca="1" ref="J296" ca="1">SUM((J292='Safety Action Tracking'!$E$3:$E$8001)*($A$269='Safety Action Tracking'!$B$3:$B$8001)*(Data!$B$269='Safety Action Tracking'!$A$3:$A$8001))</f>
        <v>0</v>
      </c>
      <c r="K296" s="76" cm="1">
        <f t="array" aca="1" ref="K296" ca="1">SUM((K292='Safety Action Tracking'!$E$3:$E$8001)*($A$269='Safety Action Tracking'!$B$3:$B$8001)*(Data!$B$269='Safety Action Tracking'!$A$3:$A$8001))</f>
        <v>0</v>
      </c>
      <c r="L296" s="76" cm="1">
        <f t="array" aca="1" ref="L296" ca="1">SUM((L292='Safety Action Tracking'!$E$3:$E$8001)*($A$269='Safety Action Tracking'!$B$3:$B$8001)*(Data!$B$269='Safety Action Tracking'!$A$3:$A$8001))</f>
        <v>0</v>
      </c>
      <c r="M296" s="76" cm="1">
        <f t="array" aca="1" ref="M296" ca="1">SUM((M292='Safety Action Tracking'!$E$3:$E$8001)*($A$269='Safety Action Tracking'!$B$3:$B$8001)*(Data!$B$269='Safety Action Tracking'!$A$3:$A$8001))</f>
        <v>0</v>
      </c>
      <c r="N296" s="76" cm="1">
        <f t="array" aca="1" ref="N296" ca="1">SUM((N292='Safety Action Tracking'!$E$3:$E$8001)*($A$269='Safety Action Tracking'!$B$3:$B$8001)*(Data!$B$269='Safety Action Tracking'!$A$3:$A$8001))</f>
        <v>0</v>
      </c>
      <c r="O296" s="76" cm="1">
        <f t="array" aca="1" ref="O296" ca="1">SUM((O292='Safety Action Tracking'!$E$3:$E$8001)*($A$269='Safety Action Tracking'!$B$3:$B$8001)*(Data!$B$269='Safety Action Tracking'!$A$3:$A$8001))</f>
        <v>0</v>
      </c>
      <c r="P296" s="76" cm="1">
        <f t="array" aca="1" ref="P296" ca="1">SUM((P292='Safety Action Tracking'!$E$3:$E$8001)*($A$269='Safety Action Tracking'!$B$3:$B$8001)*(Data!$B$269='Safety Action Tracking'!$A$3:$A$8001))</f>
        <v>0</v>
      </c>
      <c r="Q296" s="76" cm="1">
        <f t="array" aca="1" ref="Q296" ca="1">SUM((Q292='Safety Action Tracking'!$E$3:$E$8001)*($A$269='Safety Action Tracking'!$B$3:$B$8001)*(Data!$B$269='Safety Action Tracking'!$A$3:$A$8001))</f>
        <v>0</v>
      </c>
      <c r="R296" s="76" cm="1">
        <f t="array" aca="1" ref="R296" ca="1">SUM((R292='Safety Action Tracking'!$E$3:$E$8001)*($A$269='Safety Action Tracking'!$B$3:$B$8001)*(Data!$B$269='Safety Action Tracking'!$A$3:$A$8001))</f>
        <v>0</v>
      </c>
      <c r="S296" s="76" cm="1">
        <f t="array" aca="1" ref="S296" ca="1">SUM((S292='Safety Action Tracking'!$E$3:$E$8001)*($A$269='Safety Action Tracking'!$B$3:$B$8001)*(Data!$B$269='Safety Action Tracking'!$A$3:$A$8001))</f>
        <v>0</v>
      </c>
      <c r="T296" s="76" cm="1">
        <f t="array" aca="1" ref="T296" ca="1">SUM((T292='Safety Action Tracking'!$E$3:$E$8001)*($A$269='Safety Action Tracking'!$B$3:$B$8001)*(Data!$B$269='Safety Action Tracking'!$A$3:$A$8001))</f>
        <v>0</v>
      </c>
      <c r="U296" s="76" cm="1">
        <f t="array" aca="1" ref="U296" ca="1">SUM((U292='Safety Action Tracking'!$E$3:$E$8001)*($A$269='Safety Action Tracking'!$B$3:$B$8001)*(Data!$B$269='Safety Action Tracking'!$A$3:$A$8001))</f>
        <v>0</v>
      </c>
      <c r="V296" s="76" cm="1">
        <f t="array" aca="1" ref="V296" ca="1">SUM((V292='Safety Action Tracking'!$E$3:$E$8001)*($A$269='Safety Action Tracking'!$B$3:$B$8001)*(Data!$B$269='Safety Action Tracking'!$A$3:$A$8001))</f>
        <v>0</v>
      </c>
      <c r="W296" s="76" cm="1">
        <f t="array" aca="1" ref="W296" ca="1">SUM((W292='Safety Action Tracking'!$E$3:$E$8001)*($A$269='Safety Action Tracking'!$B$3:$B$8001)*(Data!$B$269='Safety Action Tracking'!$A$3:$A$8001))</f>
        <v>0</v>
      </c>
      <c r="X296" s="76" cm="1">
        <f t="array" aca="1" ref="X296" ca="1">SUM((X292='Safety Action Tracking'!$E$3:$E$8001)*($A$269='Safety Action Tracking'!$B$3:$B$8001)*(Data!$B$269='Safety Action Tracking'!$A$3:$A$8001))</f>
        <v>0</v>
      </c>
      <c r="Y296" s="76" cm="1">
        <f t="array" aca="1" ref="Y296" ca="1">SUM((Y292='Safety Action Tracking'!$E$3:$E$8001)*($A$269='Safety Action Tracking'!$B$3:$B$8001)*(Data!$B$269='Safety Action Tracking'!$A$3:$A$8001))</f>
        <v>0</v>
      </c>
      <c r="Z296" s="76" cm="1">
        <f t="array" aca="1" ref="Z296" ca="1">SUM((Z292='Safety Action Tracking'!$E$3:$E$8001)*($A$269='Safety Action Tracking'!$B$3:$B$8001)*(Data!$B$269='Safety Action Tracking'!$A$3:$A$8001))</f>
        <v>0</v>
      </c>
      <c r="AA296" s="76" cm="1">
        <f t="array" aca="1" ref="AA296" ca="1">SUM((AA292='Safety Action Tracking'!$E$3:$E$8001)*($A$269='Safety Action Tracking'!$B$3:$B$8001)*(Data!$B$269='Safety Action Tracking'!$A$3:$A$8001))</f>
        <v>0</v>
      </c>
      <c r="AB296" s="76" cm="1">
        <f t="array" aca="1" ref="AB296" ca="1">SUM((AB292='Safety Action Tracking'!$E$3:$E$8001)*($A$269='Safety Action Tracking'!$B$3:$B$8001)*(Data!$B$269='Safety Action Tracking'!$A$3:$A$8001))</f>
        <v>0</v>
      </c>
      <c r="AC296" s="76" cm="1">
        <f t="array" aca="1" ref="AC296" ca="1">SUM((AC292='Safety Action Tracking'!$E$3:$E$8001)*($A$269='Safety Action Tracking'!$B$3:$B$8001)*(Data!$B$269='Safety Action Tracking'!$A$3:$A$8001))</f>
        <v>0</v>
      </c>
      <c r="AD296" s="76" cm="1">
        <f t="array" aca="1" ref="AD296" ca="1">SUM((AD292='Safety Action Tracking'!$E$3:$E$8001)*($A$269='Safety Action Tracking'!$B$3:$B$8001)*(Data!$B$269='Safety Action Tracking'!$A$3:$A$8001))</f>
        <v>0</v>
      </c>
      <c r="AE296" s="76" cm="1">
        <f t="array" aca="1" ref="AE296" ca="1">SUM((AE292='Safety Action Tracking'!$E$3:$E$8001)*($A$269='Safety Action Tracking'!$B$3:$B$8001)*(Data!$B$269='Safety Action Tracking'!$A$3:$A$8001))</f>
        <v>0</v>
      </c>
      <c r="AF296" s="76" cm="1">
        <f t="array" aca="1" ref="AF296" ca="1">SUM((AF292='Safety Action Tracking'!$E$3:$E$8001)*($A$269='Safety Action Tracking'!$B$3:$B$8001)*(Data!$B$269='Safety Action Tracking'!$A$3:$A$8001))</f>
        <v>0</v>
      </c>
      <c r="AG296" s="76" cm="1">
        <f t="array" aca="1" ref="AG296" ca="1">SUM((AG292='Safety Action Tracking'!$E$3:$E$8001)*($A$269='Safety Action Tracking'!$B$3:$B$8001)*(Data!$B$269='Safety Action Tracking'!$A$3:$A$8001))</f>
        <v>0</v>
      </c>
      <c r="AH296" s="76" cm="1">
        <f t="array" aca="1" ref="AH296" ca="1">SUM((AH292='Safety Action Tracking'!$E$3:$E$8001)*($A$269='Safety Action Tracking'!$B$3:$B$8001)*(Data!$B$269='Safety Action Tracking'!$A$3:$A$8001))</f>
        <v>0</v>
      </c>
      <c r="AI296" s="76" cm="1">
        <f t="array" aca="1" ref="AI296" ca="1">SUM((AI292='Safety Action Tracking'!$E$3:$E$8001)*($A$269='Safety Action Tracking'!$B$3:$B$8001)*(Data!$B$269='Safety Action Tracking'!$A$3:$A$8001))</f>
        <v>0</v>
      </c>
      <c r="AJ296" s="76" cm="1">
        <f t="array" aca="1" ref="AJ296" ca="1">SUM((AJ292='Safety Action Tracking'!$E$3:$E$8001)*($A$269='Safety Action Tracking'!$B$3:$B$8001)*(Data!$B$269='Safety Action Tracking'!$A$3:$A$8001))</f>
        <v>0</v>
      </c>
      <c r="AK296" s="76" cm="1">
        <f t="array" aca="1" ref="AK296" ca="1">SUM((AK292='Safety Action Tracking'!$E$3:$E$8001)*($A$269='Safety Action Tracking'!$B$3:$B$8001)*(Data!$B$269='Safety Action Tracking'!$A$3:$A$8001))</f>
        <v>0</v>
      </c>
      <c r="AL296" s="76" cm="1">
        <f t="array" aca="1" ref="AL296" ca="1">SUM((AL292='Safety Action Tracking'!$E$3:$E$8001)*($A$269='Safety Action Tracking'!$B$3:$B$8001)*(Data!$B$269='Safety Action Tracking'!$A$3:$A$8001))</f>
        <v>0</v>
      </c>
      <c r="AM296" s="76" cm="1">
        <f t="array" aca="1" ref="AM296" ca="1">SUM((AM292='Safety Action Tracking'!$E$3:$E$8001)*($A$269='Safety Action Tracking'!$B$3:$B$8001)*(Data!$B$269='Safety Action Tracking'!$A$3:$A$8001))</f>
        <v>0</v>
      </c>
      <c r="AN296" s="76" cm="1">
        <f t="array" aca="1" ref="AN296" ca="1">SUM((AN292='Safety Action Tracking'!$E$3:$E$8001)*($A$269='Safety Action Tracking'!$B$3:$B$8001)*(Data!$B$269='Safety Action Tracking'!$A$3:$A$8001))</f>
        <v>0</v>
      </c>
    </row>
    <row r="297" spans="1:40" x14ac:dyDescent="0.35">
      <c r="A297" s="177" t="s">
        <v>100</v>
      </c>
      <c r="B297" s="445" cm="1">
        <f t="array" aca="1" ref="B297" ca="1">SUM((B293='Safety Action Tracking'!$E$3:$E$8001)*($A$269='Safety Action Tracking'!$B$3:$B$8001)*(Data!$B$269='Safety Action Tracking'!$A$3:$A$8001))</f>
        <v>0</v>
      </c>
      <c r="C297" s="445" cm="1">
        <f t="array" aca="1" ref="C297" ca="1">SUM((C293='Safety Action Tracking'!$E$3:$E$8001)*($A$269='Safety Action Tracking'!$B$3:$B$8001)*(Data!$B$269='Safety Action Tracking'!$A$3:$A$8001))</f>
        <v>0</v>
      </c>
      <c r="D297" s="445" cm="1">
        <f t="array" aca="1" ref="D297" ca="1">SUM((D293='Safety Action Tracking'!$E$3:$E$8001)*($A$269='Safety Action Tracking'!$B$3:$B$8001)*(Data!$B$269='Safety Action Tracking'!$A$3:$A$8001))</f>
        <v>0</v>
      </c>
      <c r="E297" s="445" cm="1">
        <f t="array" aca="1" ref="E297" ca="1">SUM((E293='Safety Action Tracking'!$E$3:$E$8001)*($A$269='Safety Action Tracking'!$B$3:$B$8001)*(Data!$B$269='Safety Action Tracking'!$A$3:$A$8001))</f>
        <v>0</v>
      </c>
      <c r="F297" s="445" cm="1">
        <f t="array" aca="1" ref="F297" ca="1">SUM((F293='Safety Action Tracking'!$E$3:$E$8001)*($A$269='Safety Action Tracking'!$B$3:$B$8001)*(Data!$B$269='Safety Action Tracking'!$A$3:$A$8001))</f>
        <v>0</v>
      </c>
      <c r="G297" s="445" cm="1">
        <f t="array" aca="1" ref="G297" ca="1">SUM((G293='Safety Action Tracking'!$E$3:$E$8001)*($A$269='Safety Action Tracking'!$B$3:$B$8001)*(Data!$B$269='Safety Action Tracking'!$A$3:$A$8001))</f>
        <v>0</v>
      </c>
      <c r="H297" s="445" cm="1">
        <f t="array" aca="1" ref="H297" ca="1">SUM((H293='Safety Action Tracking'!$E$3:$E$8001)*($A$269='Safety Action Tracking'!$B$3:$B$8001)*(Data!$B$269='Safety Action Tracking'!$A$3:$A$8001))</f>
        <v>0</v>
      </c>
      <c r="I297" s="445" cm="1">
        <f t="array" aca="1" ref="I297" ca="1">SUM((I293='Safety Action Tracking'!$E$3:$E$8001)*($A$269='Safety Action Tracking'!$B$3:$B$8001)*(Data!$B$269='Safety Action Tracking'!$A$3:$A$8001))</f>
        <v>0</v>
      </c>
      <c r="J297" s="76" cm="1">
        <f t="array" aca="1" ref="J297" ca="1">SUM((J293='Safety Action Tracking'!$E$3:$E$8001)*($A$269='Safety Action Tracking'!$B$3:$B$8001)*(Data!$B$269='Safety Action Tracking'!$A$3:$A$8001))</f>
        <v>0</v>
      </c>
      <c r="K297" s="76" cm="1">
        <f t="array" aca="1" ref="K297" ca="1">SUM((K293='Safety Action Tracking'!$E$3:$E$8001)*($A$269='Safety Action Tracking'!$B$3:$B$8001)*(Data!$B$269='Safety Action Tracking'!$A$3:$A$8001))</f>
        <v>0</v>
      </c>
      <c r="L297" s="76" cm="1">
        <f t="array" aca="1" ref="L297" ca="1">SUM((L293='Safety Action Tracking'!$E$3:$E$8001)*($A$269='Safety Action Tracking'!$B$3:$B$8001)*(Data!$B$269='Safety Action Tracking'!$A$3:$A$8001))</f>
        <v>0</v>
      </c>
      <c r="M297" s="76" cm="1">
        <f t="array" aca="1" ref="M297" ca="1">SUM((M293='Safety Action Tracking'!$E$3:$E$8001)*($A$269='Safety Action Tracking'!$B$3:$B$8001)*(Data!$B$269='Safety Action Tracking'!$A$3:$A$8001))</f>
        <v>0</v>
      </c>
      <c r="N297" s="76" cm="1">
        <f t="array" aca="1" ref="N297" ca="1">SUM((N293='Safety Action Tracking'!$E$3:$E$8001)*($A$269='Safety Action Tracking'!$B$3:$B$8001)*(Data!$B$269='Safety Action Tracking'!$A$3:$A$8001))</f>
        <v>0</v>
      </c>
      <c r="O297" s="76" cm="1">
        <f t="array" aca="1" ref="O297" ca="1">SUM((O293='Safety Action Tracking'!$E$3:$E$8001)*($A$269='Safety Action Tracking'!$B$3:$B$8001)*(Data!$B$269='Safety Action Tracking'!$A$3:$A$8001))</f>
        <v>0</v>
      </c>
      <c r="P297" s="76" cm="1">
        <f t="array" aca="1" ref="P297" ca="1">SUM((P293='Safety Action Tracking'!$E$3:$E$8001)*($A$269='Safety Action Tracking'!$B$3:$B$8001)*(Data!$B$269='Safety Action Tracking'!$A$3:$A$8001))</f>
        <v>0</v>
      </c>
      <c r="Q297" s="76" cm="1">
        <f t="array" aca="1" ref="Q297" ca="1">SUM((Q293='Safety Action Tracking'!$E$3:$E$8001)*($A$269='Safety Action Tracking'!$B$3:$B$8001)*(Data!$B$269='Safety Action Tracking'!$A$3:$A$8001))</f>
        <v>0</v>
      </c>
      <c r="R297" s="76" cm="1">
        <f t="array" aca="1" ref="R297" ca="1">SUM((R293='Safety Action Tracking'!$E$3:$E$8001)*($A$269='Safety Action Tracking'!$B$3:$B$8001)*(Data!$B$269='Safety Action Tracking'!$A$3:$A$8001))</f>
        <v>0</v>
      </c>
      <c r="S297" s="76" cm="1">
        <f t="array" aca="1" ref="S297" ca="1">SUM((S293='Safety Action Tracking'!$E$3:$E$8001)*($A$269='Safety Action Tracking'!$B$3:$B$8001)*(Data!$B$269='Safety Action Tracking'!$A$3:$A$8001))</f>
        <v>0</v>
      </c>
      <c r="T297" s="76" cm="1">
        <f t="array" aca="1" ref="T297" ca="1">SUM((T293='Safety Action Tracking'!$E$3:$E$8001)*($A$269='Safety Action Tracking'!$B$3:$B$8001)*(Data!$B$269='Safety Action Tracking'!$A$3:$A$8001))</f>
        <v>0</v>
      </c>
      <c r="U297" s="76" cm="1">
        <f t="array" aca="1" ref="U297" ca="1">SUM((U293='Safety Action Tracking'!$E$3:$E$8001)*($A$269='Safety Action Tracking'!$B$3:$B$8001)*(Data!$B$269='Safety Action Tracking'!$A$3:$A$8001))</f>
        <v>0</v>
      </c>
      <c r="V297" s="76" cm="1">
        <f t="array" aca="1" ref="V297" ca="1">SUM((V293='Safety Action Tracking'!$E$3:$E$8001)*($A$269='Safety Action Tracking'!$B$3:$B$8001)*(Data!$B$269='Safety Action Tracking'!$A$3:$A$8001))</f>
        <v>0</v>
      </c>
      <c r="W297" s="76" cm="1">
        <f t="array" aca="1" ref="W297" ca="1">SUM((W293='Safety Action Tracking'!$E$3:$E$8001)*($A$269='Safety Action Tracking'!$B$3:$B$8001)*(Data!$B$269='Safety Action Tracking'!$A$3:$A$8001))</f>
        <v>0</v>
      </c>
      <c r="X297" s="76" cm="1">
        <f t="array" aca="1" ref="X297" ca="1">SUM((X293='Safety Action Tracking'!$E$3:$E$8001)*($A$269='Safety Action Tracking'!$B$3:$B$8001)*(Data!$B$269='Safety Action Tracking'!$A$3:$A$8001))</f>
        <v>0</v>
      </c>
      <c r="Y297" s="76" cm="1">
        <f t="array" aca="1" ref="Y297" ca="1">SUM((Y293='Safety Action Tracking'!$E$3:$E$8001)*($A$269='Safety Action Tracking'!$B$3:$B$8001)*(Data!$B$269='Safety Action Tracking'!$A$3:$A$8001))</f>
        <v>0</v>
      </c>
      <c r="Z297" s="76" cm="1">
        <f t="array" aca="1" ref="Z297" ca="1">SUM((Z293='Safety Action Tracking'!$E$3:$E$8001)*($A$269='Safety Action Tracking'!$B$3:$B$8001)*(Data!$B$269='Safety Action Tracking'!$A$3:$A$8001))</f>
        <v>0</v>
      </c>
      <c r="AA297" s="76" cm="1">
        <f t="array" aca="1" ref="AA297" ca="1">SUM((AA293='Safety Action Tracking'!$E$3:$E$8001)*($A$269='Safety Action Tracking'!$B$3:$B$8001)*(Data!$B$269='Safety Action Tracking'!$A$3:$A$8001))</f>
        <v>0</v>
      </c>
      <c r="AB297" s="76" cm="1">
        <f t="array" aca="1" ref="AB297" ca="1">SUM((AB293='Safety Action Tracking'!$E$3:$E$8001)*($A$269='Safety Action Tracking'!$B$3:$B$8001)*(Data!$B$269='Safety Action Tracking'!$A$3:$A$8001))</f>
        <v>0</v>
      </c>
      <c r="AC297" s="76" cm="1">
        <f t="array" aca="1" ref="AC297" ca="1">SUM((AC293='Safety Action Tracking'!$E$3:$E$8001)*($A$269='Safety Action Tracking'!$B$3:$B$8001)*(Data!$B$269='Safety Action Tracking'!$A$3:$A$8001))</f>
        <v>0</v>
      </c>
      <c r="AD297" s="76" cm="1">
        <f t="array" aca="1" ref="AD297" ca="1">SUM((AD293='Safety Action Tracking'!$E$3:$E$8001)*($A$269='Safety Action Tracking'!$B$3:$B$8001)*(Data!$B$269='Safety Action Tracking'!$A$3:$A$8001))</f>
        <v>0</v>
      </c>
      <c r="AE297" s="76" cm="1">
        <f t="array" aca="1" ref="AE297" ca="1">SUM((AE293='Safety Action Tracking'!$E$3:$E$8001)*($A$269='Safety Action Tracking'!$B$3:$B$8001)*(Data!$B$269='Safety Action Tracking'!$A$3:$A$8001))</f>
        <v>0</v>
      </c>
      <c r="AF297" s="76" cm="1">
        <f t="array" aca="1" ref="AF297" ca="1">SUM((AF293='Safety Action Tracking'!$E$3:$E$8001)*($A$269='Safety Action Tracking'!$B$3:$B$8001)*(Data!$B$269='Safety Action Tracking'!$A$3:$A$8001))</f>
        <v>0</v>
      </c>
      <c r="AG297" s="76" cm="1">
        <f t="array" aca="1" ref="AG297" ca="1">SUM((AG293='Safety Action Tracking'!$E$3:$E$8001)*($A$269='Safety Action Tracking'!$B$3:$B$8001)*(Data!$B$269='Safety Action Tracking'!$A$3:$A$8001))</f>
        <v>0</v>
      </c>
      <c r="AH297" s="76" cm="1">
        <f t="array" aca="1" ref="AH297" ca="1">SUM((AH293='Safety Action Tracking'!$E$3:$E$8001)*($A$269='Safety Action Tracking'!$B$3:$B$8001)*(Data!$B$269='Safety Action Tracking'!$A$3:$A$8001))</f>
        <v>0</v>
      </c>
      <c r="AI297" s="76" cm="1">
        <f t="array" aca="1" ref="AI297" ca="1">SUM((AI293='Safety Action Tracking'!$E$3:$E$8001)*($A$269='Safety Action Tracking'!$B$3:$B$8001)*(Data!$B$269='Safety Action Tracking'!$A$3:$A$8001))</f>
        <v>0</v>
      </c>
      <c r="AJ297" s="76" cm="1">
        <f t="array" aca="1" ref="AJ297" ca="1">SUM((AJ293='Safety Action Tracking'!$E$3:$E$8001)*($A$269='Safety Action Tracking'!$B$3:$B$8001)*(Data!$B$269='Safety Action Tracking'!$A$3:$A$8001))</f>
        <v>0</v>
      </c>
      <c r="AK297" s="76" cm="1">
        <f t="array" aca="1" ref="AK297" ca="1">SUM((AK293='Safety Action Tracking'!$E$3:$E$8001)*($A$269='Safety Action Tracking'!$B$3:$B$8001)*(Data!$B$269='Safety Action Tracking'!$A$3:$A$8001))</f>
        <v>0</v>
      </c>
      <c r="AL297" s="76" cm="1">
        <f t="array" aca="1" ref="AL297" ca="1">SUM((AL293='Safety Action Tracking'!$E$3:$E$8001)*($A$269='Safety Action Tracking'!$B$3:$B$8001)*(Data!$B$269='Safety Action Tracking'!$A$3:$A$8001))</f>
        <v>0</v>
      </c>
      <c r="AM297" s="76" cm="1">
        <f t="array" aca="1" ref="AM297" ca="1">SUM((AM293='Safety Action Tracking'!$E$3:$E$8001)*($A$269='Safety Action Tracking'!$B$3:$B$8001)*(Data!$B$269='Safety Action Tracking'!$A$3:$A$8001))</f>
        <v>0</v>
      </c>
      <c r="AN297" s="76" cm="1">
        <f t="array" aca="1" ref="AN297" ca="1">SUM((AN293='Safety Action Tracking'!$E$3:$E$8001)*($A$269='Safety Action Tracking'!$B$3:$B$8001)*(Data!$B$269='Safety Action Tracking'!$A$3:$A$8001))</f>
        <v>0</v>
      </c>
    </row>
    <row r="298" spans="1:40" x14ac:dyDescent="0.35">
      <c r="A298" s="177" t="s">
        <v>100</v>
      </c>
      <c r="B298" s="445" cm="1">
        <f t="array" aca="1" ref="B298" ca="1">SUM((B294='Safety Action Tracking'!$E$3:$E$8001)*($A$269='Safety Action Tracking'!$B$3:$B$8001)*(Data!$B$269='Safety Action Tracking'!$A$3:$A$8001))</f>
        <v>0</v>
      </c>
      <c r="C298" s="445" cm="1">
        <f t="array" aca="1" ref="C298" ca="1">SUM((C294='Safety Action Tracking'!$E$3:$E$8001)*($A$269='Safety Action Tracking'!$B$3:$B$8001)*(Data!$B$269='Safety Action Tracking'!$A$3:$A$8001))</f>
        <v>0</v>
      </c>
      <c r="D298" s="445" cm="1">
        <f t="array" aca="1" ref="D298" ca="1">SUM((D294='Safety Action Tracking'!$E$3:$E$8001)*($A$269='Safety Action Tracking'!$B$3:$B$8001)*(Data!$B$269='Safety Action Tracking'!$A$3:$A$8001))</f>
        <v>0</v>
      </c>
      <c r="E298" s="445" cm="1">
        <f t="array" aca="1" ref="E298" ca="1">SUM((E294='Safety Action Tracking'!$E$3:$E$8001)*($A$269='Safety Action Tracking'!$B$3:$B$8001)*(Data!$B$269='Safety Action Tracking'!$A$3:$A$8001))</f>
        <v>0</v>
      </c>
      <c r="F298" s="445" cm="1">
        <f t="array" aca="1" ref="F298" ca="1">SUM((F294='Safety Action Tracking'!$E$3:$E$8001)*($A$269='Safety Action Tracking'!$B$3:$B$8001)*(Data!$B$269='Safety Action Tracking'!$A$3:$A$8001))</f>
        <v>0</v>
      </c>
      <c r="G298" s="445" cm="1">
        <f t="array" aca="1" ref="G298" ca="1">SUM((G294='Safety Action Tracking'!$E$3:$E$8001)*($A$269='Safety Action Tracking'!$B$3:$B$8001)*(Data!$B$269='Safety Action Tracking'!$A$3:$A$8001))</f>
        <v>0</v>
      </c>
      <c r="H298" s="445" cm="1">
        <f t="array" aca="1" ref="H298" ca="1">SUM((H294='Safety Action Tracking'!$E$3:$E$8001)*($A$269='Safety Action Tracking'!$B$3:$B$8001)*(Data!$B$269='Safety Action Tracking'!$A$3:$A$8001))</f>
        <v>0</v>
      </c>
      <c r="I298" s="445" cm="1">
        <f t="array" aca="1" ref="I298" ca="1">SUM((I294='Safety Action Tracking'!$E$3:$E$8001)*($A$269='Safety Action Tracking'!$B$3:$B$8001)*(Data!$B$269='Safety Action Tracking'!$A$3:$A$8001))</f>
        <v>0</v>
      </c>
      <c r="J298" s="76" cm="1">
        <f t="array" aca="1" ref="J298" ca="1">SUM((J294='Safety Action Tracking'!$E$3:$E$8001)*($A$269='Safety Action Tracking'!$B$3:$B$8001)*(Data!$B$269='Safety Action Tracking'!$A$3:$A$8001))</f>
        <v>0</v>
      </c>
      <c r="K298" s="76" cm="1">
        <f t="array" aca="1" ref="K298" ca="1">SUM((K294='Safety Action Tracking'!$E$3:$E$8001)*($A$269='Safety Action Tracking'!$B$3:$B$8001)*(Data!$B$269='Safety Action Tracking'!$A$3:$A$8001))</f>
        <v>0</v>
      </c>
      <c r="L298" s="76" cm="1">
        <f t="array" aca="1" ref="L298" ca="1">SUM((L294='Safety Action Tracking'!$E$3:$E$8001)*($A$269='Safety Action Tracking'!$B$3:$B$8001)*(Data!$B$269='Safety Action Tracking'!$A$3:$A$8001))</f>
        <v>0</v>
      </c>
      <c r="M298" s="76" cm="1">
        <f t="array" aca="1" ref="M298" ca="1">SUM((M294='Safety Action Tracking'!$E$3:$E$8001)*($A$269='Safety Action Tracking'!$B$3:$B$8001)*(Data!$B$269='Safety Action Tracking'!$A$3:$A$8001))</f>
        <v>0</v>
      </c>
      <c r="N298" s="76" cm="1">
        <f t="array" aca="1" ref="N298" ca="1">SUM((N294='Safety Action Tracking'!$E$3:$E$8001)*($A$269='Safety Action Tracking'!$B$3:$B$8001)*(Data!$B$269='Safety Action Tracking'!$A$3:$A$8001))</f>
        <v>0</v>
      </c>
      <c r="O298" s="76" cm="1">
        <f t="array" aca="1" ref="O298" ca="1">SUM((O294='Safety Action Tracking'!$E$3:$E$8001)*($A$269='Safety Action Tracking'!$B$3:$B$8001)*(Data!$B$269='Safety Action Tracking'!$A$3:$A$8001))</f>
        <v>0</v>
      </c>
      <c r="P298" s="76" cm="1">
        <f t="array" aca="1" ref="P298" ca="1">SUM((P294='Safety Action Tracking'!$E$3:$E$8001)*($A$269='Safety Action Tracking'!$B$3:$B$8001)*(Data!$B$269='Safety Action Tracking'!$A$3:$A$8001))</f>
        <v>0</v>
      </c>
      <c r="Q298" s="76" cm="1">
        <f t="array" aca="1" ref="Q298" ca="1">SUM((Q294='Safety Action Tracking'!$E$3:$E$8001)*($A$269='Safety Action Tracking'!$B$3:$B$8001)*(Data!$B$269='Safety Action Tracking'!$A$3:$A$8001))</f>
        <v>0</v>
      </c>
      <c r="R298" s="76" cm="1">
        <f t="array" aca="1" ref="R298" ca="1">SUM((R294='Safety Action Tracking'!$E$3:$E$8001)*($A$269='Safety Action Tracking'!$B$3:$B$8001)*(Data!$B$269='Safety Action Tracking'!$A$3:$A$8001))</f>
        <v>0</v>
      </c>
      <c r="S298" s="76" cm="1">
        <f t="array" aca="1" ref="S298" ca="1">SUM((S294='Safety Action Tracking'!$E$3:$E$8001)*($A$269='Safety Action Tracking'!$B$3:$B$8001)*(Data!$B$269='Safety Action Tracking'!$A$3:$A$8001))</f>
        <v>0</v>
      </c>
      <c r="T298" s="76" cm="1">
        <f t="array" aca="1" ref="T298" ca="1">SUM((T294='Safety Action Tracking'!$E$3:$E$8001)*($A$269='Safety Action Tracking'!$B$3:$B$8001)*(Data!$B$269='Safety Action Tracking'!$A$3:$A$8001))</f>
        <v>0</v>
      </c>
      <c r="U298" s="76" cm="1">
        <f t="array" aca="1" ref="U298" ca="1">SUM((U294='Safety Action Tracking'!$E$3:$E$8001)*($A$269='Safety Action Tracking'!$B$3:$B$8001)*(Data!$B$269='Safety Action Tracking'!$A$3:$A$8001))</f>
        <v>0</v>
      </c>
      <c r="V298" s="76" cm="1">
        <f t="array" aca="1" ref="V298" ca="1">SUM((V294='Safety Action Tracking'!$E$3:$E$8001)*($A$269='Safety Action Tracking'!$B$3:$B$8001)*(Data!$B$269='Safety Action Tracking'!$A$3:$A$8001))</f>
        <v>0</v>
      </c>
      <c r="W298" s="76" cm="1">
        <f t="array" aca="1" ref="W298" ca="1">SUM((W294='Safety Action Tracking'!$E$3:$E$8001)*($A$269='Safety Action Tracking'!$B$3:$B$8001)*(Data!$B$269='Safety Action Tracking'!$A$3:$A$8001))</f>
        <v>0</v>
      </c>
      <c r="X298" s="76" cm="1">
        <f t="array" aca="1" ref="X298" ca="1">SUM((X294='Safety Action Tracking'!$E$3:$E$8001)*($A$269='Safety Action Tracking'!$B$3:$B$8001)*(Data!$B$269='Safety Action Tracking'!$A$3:$A$8001))</f>
        <v>0</v>
      </c>
      <c r="Y298" s="76" cm="1">
        <f t="array" aca="1" ref="Y298" ca="1">SUM((Y294='Safety Action Tracking'!$E$3:$E$8001)*($A$269='Safety Action Tracking'!$B$3:$B$8001)*(Data!$B$269='Safety Action Tracking'!$A$3:$A$8001))</f>
        <v>0</v>
      </c>
      <c r="Z298" s="76" cm="1">
        <f t="array" aca="1" ref="Z298" ca="1">SUM((Z294='Safety Action Tracking'!$E$3:$E$8001)*($A$269='Safety Action Tracking'!$B$3:$B$8001)*(Data!$B$269='Safety Action Tracking'!$A$3:$A$8001))</f>
        <v>0</v>
      </c>
      <c r="AA298" s="76" cm="1">
        <f t="array" aca="1" ref="AA298" ca="1">SUM((AA294='Safety Action Tracking'!$E$3:$E$8001)*($A$269='Safety Action Tracking'!$B$3:$B$8001)*(Data!$B$269='Safety Action Tracking'!$A$3:$A$8001))</f>
        <v>0</v>
      </c>
      <c r="AB298" s="76" cm="1">
        <f t="array" aca="1" ref="AB298" ca="1">SUM((AB294='Safety Action Tracking'!$E$3:$E$8001)*($A$269='Safety Action Tracking'!$B$3:$B$8001)*(Data!$B$269='Safety Action Tracking'!$A$3:$A$8001))</f>
        <v>0</v>
      </c>
      <c r="AC298" s="76" cm="1">
        <f t="array" aca="1" ref="AC298" ca="1">SUM((AC294='Safety Action Tracking'!$E$3:$E$8001)*($A$269='Safety Action Tracking'!$B$3:$B$8001)*(Data!$B$269='Safety Action Tracking'!$A$3:$A$8001))</f>
        <v>0</v>
      </c>
      <c r="AD298" s="76" cm="1">
        <f t="array" aca="1" ref="AD298" ca="1">SUM((AD294='Safety Action Tracking'!$E$3:$E$8001)*($A$269='Safety Action Tracking'!$B$3:$B$8001)*(Data!$B$269='Safety Action Tracking'!$A$3:$A$8001))</f>
        <v>0</v>
      </c>
      <c r="AE298" s="76" cm="1">
        <f t="array" aca="1" ref="AE298" ca="1">SUM((AE294='Safety Action Tracking'!$E$3:$E$8001)*($A$269='Safety Action Tracking'!$B$3:$B$8001)*(Data!$B$269='Safety Action Tracking'!$A$3:$A$8001))</f>
        <v>0</v>
      </c>
      <c r="AF298" s="76" cm="1">
        <f t="array" aca="1" ref="AF298" ca="1">SUM((AF294='Safety Action Tracking'!$E$3:$E$8001)*($A$269='Safety Action Tracking'!$B$3:$B$8001)*(Data!$B$269='Safety Action Tracking'!$A$3:$A$8001))</f>
        <v>0</v>
      </c>
      <c r="AG298" s="76" cm="1">
        <f t="array" aca="1" ref="AG298" ca="1">SUM((AG294='Safety Action Tracking'!$E$3:$E$8001)*($A$269='Safety Action Tracking'!$B$3:$B$8001)*(Data!$B$269='Safety Action Tracking'!$A$3:$A$8001))</f>
        <v>0</v>
      </c>
      <c r="AH298" s="76" cm="1">
        <f t="array" aca="1" ref="AH298" ca="1">SUM((AH294='Safety Action Tracking'!$E$3:$E$8001)*($A$269='Safety Action Tracking'!$B$3:$B$8001)*(Data!$B$269='Safety Action Tracking'!$A$3:$A$8001))</f>
        <v>0</v>
      </c>
      <c r="AI298" s="76" cm="1">
        <f t="array" aca="1" ref="AI298" ca="1">SUM((AI294='Safety Action Tracking'!$E$3:$E$8001)*($A$269='Safety Action Tracking'!$B$3:$B$8001)*(Data!$B$269='Safety Action Tracking'!$A$3:$A$8001))</f>
        <v>0</v>
      </c>
      <c r="AJ298" s="76" cm="1">
        <f t="array" aca="1" ref="AJ298" ca="1">SUM((AJ294='Safety Action Tracking'!$E$3:$E$8001)*($A$269='Safety Action Tracking'!$B$3:$B$8001)*(Data!$B$269='Safety Action Tracking'!$A$3:$A$8001))</f>
        <v>0</v>
      </c>
      <c r="AK298" s="76" cm="1">
        <f t="array" aca="1" ref="AK298" ca="1">SUM((AK294='Safety Action Tracking'!$E$3:$E$8001)*($A$269='Safety Action Tracking'!$B$3:$B$8001)*(Data!$B$269='Safety Action Tracking'!$A$3:$A$8001))</f>
        <v>0</v>
      </c>
      <c r="AL298" s="76" cm="1">
        <f t="array" aca="1" ref="AL298" ca="1">SUM((AL294='Safety Action Tracking'!$E$3:$E$8001)*($A$269='Safety Action Tracking'!$B$3:$B$8001)*(Data!$B$269='Safety Action Tracking'!$A$3:$A$8001))</f>
        <v>0</v>
      </c>
      <c r="AM298" s="76" cm="1">
        <f t="array" aca="1" ref="AM298" ca="1">SUM((AM294='Safety Action Tracking'!$E$3:$E$8001)*($A$269='Safety Action Tracking'!$B$3:$B$8001)*(Data!$B$269='Safety Action Tracking'!$A$3:$A$8001))</f>
        <v>0</v>
      </c>
      <c r="AN298" s="76" cm="1">
        <f t="array" aca="1" ref="AN298" ca="1">SUM((AN294='Safety Action Tracking'!$E$3:$E$8001)*($A$269='Safety Action Tracking'!$B$3:$B$8001)*(Data!$B$269='Safety Action Tracking'!$A$3:$A$8001))</f>
        <v>0</v>
      </c>
    </row>
    <row r="299" spans="1:40" x14ac:dyDescent="0.35">
      <c r="A299" s="177" t="s">
        <v>101</v>
      </c>
      <c r="B299" s="445" cm="1">
        <f t="array" aca="1" ref="B299" ca="1">SUM((B295='Safety Action Tracking'!$E$3:$E$8001)*($A$269='Safety Action Tracking'!$B$3:$B$8001)*(Data!$B$269='Safety Action Tracking'!$A$3:$A$8001))</f>
        <v>0</v>
      </c>
      <c r="C299" s="445" cm="1">
        <f t="array" aca="1" ref="C299" ca="1">SUM((C295='Safety Action Tracking'!$E$3:$E$8001)*($A$269='Safety Action Tracking'!$B$3:$B$8001)*(Data!$B$269='Safety Action Tracking'!$A$3:$A$8001))</f>
        <v>0</v>
      </c>
      <c r="D299" s="445" cm="1">
        <f t="array" aca="1" ref="D299" ca="1">SUM((D295='Safety Action Tracking'!$E$3:$E$8001)*($A$269='Safety Action Tracking'!$B$3:$B$8001)*(Data!$B$269='Safety Action Tracking'!$A$3:$A$8001))</f>
        <v>0</v>
      </c>
      <c r="E299" s="445" cm="1">
        <f t="array" aca="1" ref="E299" ca="1">SUM((E295='Safety Action Tracking'!$E$3:$E$8001)*($A$269='Safety Action Tracking'!$B$3:$B$8001)*(Data!$B$269='Safety Action Tracking'!$A$3:$A$8001))</f>
        <v>0</v>
      </c>
      <c r="F299" s="445" cm="1">
        <f t="array" aca="1" ref="F299" ca="1">SUM((F295='Safety Action Tracking'!$E$3:$E$8001)*($A$269='Safety Action Tracking'!$B$3:$B$8001)*(Data!$B$269='Safety Action Tracking'!$A$3:$A$8001))</f>
        <v>0</v>
      </c>
      <c r="G299" s="445" cm="1">
        <f t="array" aca="1" ref="G299" ca="1">SUM((G295='Safety Action Tracking'!$E$3:$E$8001)*($A$269='Safety Action Tracking'!$B$3:$B$8001)*(Data!$B$269='Safety Action Tracking'!$A$3:$A$8001))</f>
        <v>0</v>
      </c>
      <c r="H299" s="445" cm="1">
        <f t="array" aca="1" ref="H299" ca="1">SUM((H295='Safety Action Tracking'!$E$3:$E$8001)*($A$269='Safety Action Tracking'!$B$3:$B$8001)*(Data!$B$269='Safety Action Tracking'!$A$3:$A$8001))</f>
        <v>0</v>
      </c>
      <c r="I299" s="445" cm="1">
        <f t="array" aca="1" ref="I299" ca="1">SUM((I295='Safety Action Tracking'!$E$3:$E$8001)*($A$269='Safety Action Tracking'!$B$3:$B$8001)*(Data!$B$269='Safety Action Tracking'!$A$3:$A$8001))</f>
        <v>0</v>
      </c>
      <c r="J299" s="76" cm="1">
        <f t="array" aca="1" ref="J299" ca="1">SUM((J295='Safety Action Tracking'!$E$3:$E$8001)*($A$269='Safety Action Tracking'!$B$3:$B$8001)*(Data!$B$269='Safety Action Tracking'!$A$3:$A$8001))</f>
        <v>0</v>
      </c>
      <c r="K299" s="76" cm="1">
        <f t="array" aca="1" ref="K299" ca="1">SUM((K295='Safety Action Tracking'!$E$3:$E$8001)*($A$269='Safety Action Tracking'!$B$3:$B$8001)*(Data!$B$269='Safety Action Tracking'!$A$3:$A$8001))</f>
        <v>0</v>
      </c>
      <c r="L299" s="76" cm="1">
        <f t="array" aca="1" ref="L299" ca="1">SUM((L295='Safety Action Tracking'!$E$3:$E$8001)*($A$269='Safety Action Tracking'!$B$3:$B$8001)*(Data!$B$269='Safety Action Tracking'!$A$3:$A$8001))</f>
        <v>0</v>
      </c>
      <c r="M299" s="76" cm="1">
        <f t="array" aca="1" ref="M299" ca="1">SUM((M295='Safety Action Tracking'!$E$3:$E$8001)*($A$269='Safety Action Tracking'!$B$3:$B$8001)*(Data!$B$269='Safety Action Tracking'!$A$3:$A$8001))</f>
        <v>0</v>
      </c>
      <c r="N299" s="76" cm="1">
        <f t="array" aca="1" ref="N299" ca="1">SUM((N295='Safety Action Tracking'!$E$3:$E$8001)*($A$269='Safety Action Tracking'!$B$3:$B$8001)*(Data!$B$269='Safety Action Tracking'!$A$3:$A$8001))</f>
        <v>0</v>
      </c>
      <c r="O299" s="76" cm="1">
        <f t="array" aca="1" ref="O299" ca="1">SUM((O295='Safety Action Tracking'!$E$3:$E$8001)*($A$269='Safety Action Tracking'!$B$3:$B$8001)*(Data!$B$269='Safety Action Tracking'!$A$3:$A$8001))</f>
        <v>0</v>
      </c>
      <c r="P299" s="76" cm="1">
        <f t="array" aca="1" ref="P299" ca="1">SUM((P295='Safety Action Tracking'!$E$3:$E$8001)*($A$269='Safety Action Tracking'!$B$3:$B$8001)*(Data!$B$269='Safety Action Tracking'!$A$3:$A$8001))</f>
        <v>0</v>
      </c>
      <c r="Q299" s="76" cm="1">
        <f t="array" aca="1" ref="Q299" ca="1">SUM((Q295='Safety Action Tracking'!$E$3:$E$8001)*($A$269='Safety Action Tracking'!$B$3:$B$8001)*(Data!$B$269='Safety Action Tracking'!$A$3:$A$8001))</f>
        <v>0</v>
      </c>
      <c r="R299" s="76" cm="1">
        <f t="array" aca="1" ref="R299" ca="1">SUM((R295='Safety Action Tracking'!$E$3:$E$8001)*($A$269='Safety Action Tracking'!$B$3:$B$8001)*(Data!$B$269='Safety Action Tracking'!$A$3:$A$8001))</f>
        <v>0</v>
      </c>
      <c r="S299" s="76" cm="1">
        <f t="array" aca="1" ref="S299" ca="1">SUM((S295='Safety Action Tracking'!$E$3:$E$8001)*($A$269='Safety Action Tracking'!$B$3:$B$8001)*(Data!$B$269='Safety Action Tracking'!$A$3:$A$8001))</f>
        <v>0</v>
      </c>
      <c r="T299" s="76" cm="1">
        <f t="array" aca="1" ref="T299" ca="1">SUM((T295='Safety Action Tracking'!$E$3:$E$8001)*($A$269='Safety Action Tracking'!$B$3:$B$8001)*(Data!$B$269='Safety Action Tracking'!$A$3:$A$8001))</f>
        <v>0</v>
      </c>
      <c r="U299" s="76" cm="1">
        <f t="array" aca="1" ref="U299" ca="1">SUM((U295='Safety Action Tracking'!$E$3:$E$8001)*($A$269='Safety Action Tracking'!$B$3:$B$8001)*(Data!$B$269='Safety Action Tracking'!$A$3:$A$8001))</f>
        <v>0</v>
      </c>
      <c r="V299" s="76" cm="1">
        <f t="array" aca="1" ref="V299" ca="1">SUM((V295='Safety Action Tracking'!$E$3:$E$8001)*($A$269='Safety Action Tracking'!$B$3:$B$8001)*(Data!$B$269='Safety Action Tracking'!$A$3:$A$8001))</f>
        <v>0</v>
      </c>
      <c r="W299" s="76" cm="1">
        <f t="array" aca="1" ref="W299" ca="1">SUM((W295='Safety Action Tracking'!$E$3:$E$8001)*($A$269='Safety Action Tracking'!$B$3:$B$8001)*(Data!$B$269='Safety Action Tracking'!$A$3:$A$8001))</f>
        <v>0</v>
      </c>
      <c r="X299" s="76" cm="1">
        <f t="array" aca="1" ref="X299" ca="1">SUM((X295='Safety Action Tracking'!$E$3:$E$8001)*($A$269='Safety Action Tracking'!$B$3:$B$8001)*(Data!$B$269='Safety Action Tracking'!$A$3:$A$8001))</f>
        <v>0</v>
      </c>
      <c r="Y299" s="76" cm="1">
        <f t="array" aca="1" ref="Y299" ca="1">SUM((Y295='Safety Action Tracking'!$E$3:$E$8001)*($A$269='Safety Action Tracking'!$B$3:$B$8001)*(Data!$B$269='Safety Action Tracking'!$A$3:$A$8001))</f>
        <v>0</v>
      </c>
      <c r="Z299" s="76" cm="1">
        <f t="array" aca="1" ref="Z299" ca="1">SUM((Z295='Safety Action Tracking'!$E$3:$E$8001)*($A$269='Safety Action Tracking'!$B$3:$B$8001)*(Data!$B$269='Safety Action Tracking'!$A$3:$A$8001))</f>
        <v>0</v>
      </c>
      <c r="AA299" s="76" cm="1">
        <f t="array" aca="1" ref="AA299" ca="1">SUM((AA295='Safety Action Tracking'!$E$3:$E$8001)*($A$269='Safety Action Tracking'!$B$3:$B$8001)*(Data!$B$269='Safety Action Tracking'!$A$3:$A$8001))</f>
        <v>0</v>
      </c>
      <c r="AB299" s="76" cm="1">
        <f t="array" aca="1" ref="AB299" ca="1">SUM((AB295='Safety Action Tracking'!$E$3:$E$8001)*($A$269='Safety Action Tracking'!$B$3:$B$8001)*(Data!$B$269='Safety Action Tracking'!$A$3:$A$8001))</f>
        <v>0</v>
      </c>
      <c r="AC299" s="76" cm="1">
        <f t="array" aca="1" ref="AC299" ca="1">SUM((AC295='Safety Action Tracking'!$E$3:$E$8001)*($A$269='Safety Action Tracking'!$B$3:$B$8001)*(Data!$B$269='Safety Action Tracking'!$A$3:$A$8001))</f>
        <v>0</v>
      </c>
      <c r="AD299" s="76" cm="1">
        <f t="array" aca="1" ref="AD299" ca="1">SUM((AD295='Safety Action Tracking'!$E$3:$E$8001)*($A$269='Safety Action Tracking'!$B$3:$B$8001)*(Data!$B$269='Safety Action Tracking'!$A$3:$A$8001))</f>
        <v>0</v>
      </c>
      <c r="AE299" s="76" cm="1">
        <f t="array" aca="1" ref="AE299" ca="1">SUM((AE295='Safety Action Tracking'!$E$3:$E$8001)*($A$269='Safety Action Tracking'!$B$3:$B$8001)*(Data!$B$269='Safety Action Tracking'!$A$3:$A$8001))</f>
        <v>0</v>
      </c>
      <c r="AF299" s="76" cm="1">
        <f t="array" aca="1" ref="AF299" ca="1">SUM((AF295='Safety Action Tracking'!$E$3:$E$8001)*($A$269='Safety Action Tracking'!$B$3:$B$8001)*(Data!$B$269='Safety Action Tracking'!$A$3:$A$8001))</f>
        <v>0</v>
      </c>
      <c r="AG299" s="76" cm="1">
        <f t="array" aca="1" ref="AG299" ca="1">SUM((AG295='Safety Action Tracking'!$E$3:$E$8001)*($A$269='Safety Action Tracking'!$B$3:$B$8001)*(Data!$B$269='Safety Action Tracking'!$A$3:$A$8001))</f>
        <v>0</v>
      </c>
      <c r="AH299" s="76" cm="1">
        <f t="array" aca="1" ref="AH299" ca="1">SUM((AH295='Safety Action Tracking'!$E$3:$E$8001)*($A$269='Safety Action Tracking'!$B$3:$B$8001)*(Data!$B$269='Safety Action Tracking'!$A$3:$A$8001))</f>
        <v>0</v>
      </c>
      <c r="AI299" s="76" cm="1">
        <f t="array" aca="1" ref="AI299" ca="1">SUM((AI295='Safety Action Tracking'!$E$3:$E$8001)*($A$269='Safety Action Tracking'!$B$3:$B$8001)*(Data!$B$269='Safety Action Tracking'!$A$3:$A$8001))</f>
        <v>0</v>
      </c>
      <c r="AJ299" s="76" cm="1">
        <f t="array" aca="1" ref="AJ299" ca="1">SUM((AJ295='Safety Action Tracking'!$E$3:$E$8001)*($A$269='Safety Action Tracking'!$B$3:$B$8001)*(Data!$B$269='Safety Action Tracking'!$A$3:$A$8001))</f>
        <v>0</v>
      </c>
      <c r="AK299" s="76" cm="1">
        <f t="array" aca="1" ref="AK299" ca="1">SUM((AK295='Safety Action Tracking'!$E$3:$E$8001)*($A$269='Safety Action Tracking'!$B$3:$B$8001)*(Data!$B$269='Safety Action Tracking'!$A$3:$A$8001))</f>
        <v>0</v>
      </c>
      <c r="AL299" s="76" cm="1">
        <f t="array" aca="1" ref="AL299" ca="1">SUM((AL295='Safety Action Tracking'!$E$3:$E$8001)*($A$269='Safety Action Tracking'!$B$3:$B$8001)*(Data!$B$269='Safety Action Tracking'!$A$3:$A$8001))</f>
        <v>0</v>
      </c>
      <c r="AM299" s="76" cm="1">
        <f t="array" aca="1" ref="AM299" ca="1">SUM((AM295='Safety Action Tracking'!$E$3:$E$8001)*($A$269='Safety Action Tracking'!$B$3:$B$8001)*(Data!$B$269='Safety Action Tracking'!$A$3:$A$8001))</f>
        <v>0</v>
      </c>
      <c r="AN299" s="76" cm="1">
        <f t="array" aca="1" ref="AN299" ca="1">SUM((AN295='Safety Action Tracking'!$E$3:$E$8001)*($A$269='Safety Action Tracking'!$B$3:$B$8001)*(Data!$B$269='Safety Action Tracking'!$A$3:$A$8001))</f>
        <v>0</v>
      </c>
    </row>
    <row r="300" spans="1:40" x14ac:dyDescent="0.35">
      <c r="A300" s="177" t="s">
        <v>101</v>
      </c>
      <c r="B300" s="445" cm="1">
        <f t="array" aca="1" ref="B300" ca="1">SUM((B296='Safety Action Tracking'!$E$3:$E$8001)*($A$269='Safety Action Tracking'!$B$3:$B$8001)*(Data!$B$269='Safety Action Tracking'!$A$3:$A$8001))</f>
        <v>0</v>
      </c>
      <c r="C300" s="445" cm="1">
        <f t="array" aca="1" ref="C300" ca="1">SUM((C296='Safety Action Tracking'!$E$3:$E$8001)*($A$269='Safety Action Tracking'!$B$3:$B$8001)*(Data!$B$269='Safety Action Tracking'!$A$3:$A$8001))</f>
        <v>0</v>
      </c>
      <c r="D300" s="445" cm="1">
        <f t="array" aca="1" ref="D300" ca="1">SUM((D296='Safety Action Tracking'!$E$3:$E$8001)*($A$269='Safety Action Tracking'!$B$3:$B$8001)*(Data!$B$269='Safety Action Tracking'!$A$3:$A$8001))</f>
        <v>0</v>
      </c>
      <c r="E300" s="445" cm="1">
        <f t="array" aca="1" ref="E300" ca="1">SUM((E296='Safety Action Tracking'!$E$3:$E$8001)*($A$269='Safety Action Tracking'!$B$3:$B$8001)*(Data!$B$269='Safety Action Tracking'!$A$3:$A$8001))</f>
        <v>0</v>
      </c>
      <c r="F300" s="445" cm="1">
        <f t="array" aca="1" ref="F300" ca="1">SUM((F296='Safety Action Tracking'!$E$3:$E$8001)*($A$269='Safety Action Tracking'!$B$3:$B$8001)*(Data!$B$269='Safety Action Tracking'!$A$3:$A$8001))</f>
        <v>0</v>
      </c>
      <c r="G300" s="445" cm="1">
        <f t="array" aca="1" ref="G300" ca="1">SUM((G296='Safety Action Tracking'!$E$3:$E$8001)*($A$269='Safety Action Tracking'!$B$3:$B$8001)*(Data!$B$269='Safety Action Tracking'!$A$3:$A$8001))</f>
        <v>0</v>
      </c>
      <c r="H300" s="445" cm="1">
        <f t="array" aca="1" ref="H300" ca="1">SUM((H296='Safety Action Tracking'!$E$3:$E$8001)*($A$269='Safety Action Tracking'!$B$3:$B$8001)*(Data!$B$269='Safety Action Tracking'!$A$3:$A$8001))</f>
        <v>0</v>
      </c>
      <c r="I300" s="445" cm="1">
        <f t="array" aca="1" ref="I300" ca="1">SUM((I296='Safety Action Tracking'!$E$3:$E$8001)*($A$269='Safety Action Tracking'!$B$3:$B$8001)*(Data!$B$269='Safety Action Tracking'!$A$3:$A$8001))</f>
        <v>0</v>
      </c>
      <c r="J300" s="76" cm="1">
        <f t="array" aca="1" ref="J300" ca="1">SUM((J296='Safety Action Tracking'!$E$3:$E$8001)*($A$269='Safety Action Tracking'!$B$3:$B$8001)*(Data!$B$269='Safety Action Tracking'!$A$3:$A$8001))</f>
        <v>0</v>
      </c>
      <c r="K300" s="76" cm="1">
        <f t="array" aca="1" ref="K300" ca="1">SUM((K296='Safety Action Tracking'!$E$3:$E$8001)*($A$269='Safety Action Tracking'!$B$3:$B$8001)*(Data!$B$269='Safety Action Tracking'!$A$3:$A$8001))</f>
        <v>0</v>
      </c>
      <c r="L300" s="76" cm="1">
        <f t="array" aca="1" ref="L300" ca="1">SUM((L296='Safety Action Tracking'!$E$3:$E$8001)*($A$269='Safety Action Tracking'!$B$3:$B$8001)*(Data!$B$269='Safety Action Tracking'!$A$3:$A$8001))</f>
        <v>0</v>
      </c>
      <c r="M300" s="76" cm="1">
        <f t="array" aca="1" ref="M300" ca="1">SUM((M296='Safety Action Tracking'!$E$3:$E$8001)*($A$269='Safety Action Tracking'!$B$3:$B$8001)*(Data!$B$269='Safety Action Tracking'!$A$3:$A$8001))</f>
        <v>0</v>
      </c>
      <c r="N300" s="76" cm="1">
        <f t="array" aca="1" ref="N300" ca="1">SUM((N296='Safety Action Tracking'!$E$3:$E$8001)*($A$269='Safety Action Tracking'!$B$3:$B$8001)*(Data!$B$269='Safety Action Tracking'!$A$3:$A$8001))</f>
        <v>0</v>
      </c>
      <c r="O300" s="76" cm="1">
        <f t="array" aca="1" ref="O300" ca="1">SUM((O296='Safety Action Tracking'!$E$3:$E$8001)*($A$269='Safety Action Tracking'!$B$3:$B$8001)*(Data!$B$269='Safety Action Tracking'!$A$3:$A$8001))</f>
        <v>0</v>
      </c>
      <c r="P300" s="76" cm="1">
        <f t="array" aca="1" ref="P300" ca="1">SUM((P296='Safety Action Tracking'!$E$3:$E$8001)*($A$269='Safety Action Tracking'!$B$3:$B$8001)*(Data!$B$269='Safety Action Tracking'!$A$3:$A$8001))</f>
        <v>0</v>
      </c>
      <c r="Q300" s="76" cm="1">
        <f t="array" aca="1" ref="Q300" ca="1">SUM((Q296='Safety Action Tracking'!$E$3:$E$8001)*($A$269='Safety Action Tracking'!$B$3:$B$8001)*(Data!$B$269='Safety Action Tracking'!$A$3:$A$8001))</f>
        <v>0</v>
      </c>
      <c r="R300" s="76" cm="1">
        <f t="array" aca="1" ref="R300" ca="1">SUM((R296='Safety Action Tracking'!$E$3:$E$8001)*($A$269='Safety Action Tracking'!$B$3:$B$8001)*(Data!$B$269='Safety Action Tracking'!$A$3:$A$8001))</f>
        <v>0</v>
      </c>
      <c r="S300" s="76" cm="1">
        <f t="array" aca="1" ref="S300" ca="1">SUM((S296='Safety Action Tracking'!$E$3:$E$8001)*($A$269='Safety Action Tracking'!$B$3:$B$8001)*(Data!$B$269='Safety Action Tracking'!$A$3:$A$8001))</f>
        <v>0</v>
      </c>
      <c r="T300" s="76" cm="1">
        <f t="array" aca="1" ref="T300" ca="1">SUM((T296='Safety Action Tracking'!$E$3:$E$8001)*($A$269='Safety Action Tracking'!$B$3:$B$8001)*(Data!$B$269='Safety Action Tracking'!$A$3:$A$8001))</f>
        <v>0</v>
      </c>
      <c r="U300" s="76" cm="1">
        <f t="array" aca="1" ref="U300" ca="1">SUM((U296='Safety Action Tracking'!$E$3:$E$8001)*($A$269='Safety Action Tracking'!$B$3:$B$8001)*(Data!$B$269='Safety Action Tracking'!$A$3:$A$8001))</f>
        <v>0</v>
      </c>
      <c r="V300" s="76" cm="1">
        <f t="array" aca="1" ref="V300" ca="1">SUM((V296='Safety Action Tracking'!$E$3:$E$8001)*($A$269='Safety Action Tracking'!$B$3:$B$8001)*(Data!$B$269='Safety Action Tracking'!$A$3:$A$8001))</f>
        <v>0</v>
      </c>
      <c r="W300" s="76" cm="1">
        <f t="array" aca="1" ref="W300" ca="1">SUM((W296='Safety Action Tracking'!$E$3:$E$8001)*($A$269='Safety Action Tracking'!$B$3:$B$8001)*(Data!$B$269='Safety Action Tracking'!$A$3:$A$8001))</f>
        <v>0</v>
      </c>
      <c r="X300" s="76" cm="1">
        <f t="array" aca="1" ref="X300" ca="1">SUM((X296='Safety Action Tracking'!$E$3:$E$8001)*($A$269='Safety Action Tracking'!$B$3:$B$8001)*(Data!$B$269='Safety Action Tracking'!$A$3:$A$8001))</f>
        <v>0</v>
      </c>
      <c r="Y300" s="76" cm="1">
        <f t="array" aca="1" ref="Y300" ca="1">SUM((Y296='Safety Action Tracking'!$E$3:$E$8001)*($A$269='Safety Action Tracking'!$B$3:$B$8001)*(Data!$B$269='Safety Action Tracking'!$A$3:$A$8001))</f>
        <v>0</v>
      </c>
      <c r="Z300" s="76" cm="1">
        <f t="array" aca="1" ref="Z300" ca="1">SUM((Z296='Safety Action Tracking'!$E$3:$E$8001)*($A$269='Safety Action Tracking'!$B$3:$B$8001)*(Data!$B$269='Safety Action Tracking'!$A$3:$A$8001))</f>
        <v>0</v>
      </c>
      <c r="AA300" s="76" cm="1">
        <f t="array" aca="1" ref="AA300" ca="1">SUM((AA296='Safety Action Tracking'!$E$3:$E$8001)*($A$269='Safety Action Tracking'!$B$3:$B$8001)*(Data!$B$269='Safety Action Tracking'!$A$3:$A$8001))</f>
        <v>0</v>
      </c>
      <c r="AB300" s="76" cm="1">
        <f t="array" aca="1" ref="AB300" ca="1">SUM((AB296='Safety Action Tracking'!$E$3:$E$8001)*($A$269='Safety Action Tracking'!$B$3:$B$8001)*(Data!$B$269='Safety Action Tracking'!$A$3:$A$8001))</f>
        <v>0</v>
      </c>
      <c r="AC300" s="76" cm="1">
        <f t="array" aca="1" ref="AC300" ca="1">SUM((AC296='Safety Action Tracking'!$E$3:$E$8001)*($A$269='Safety Action Tracking'!$B$3:$B$8001)*(Data!$B$269='Safety Action Tracking'!$A$3:$A$8001))</f>
        <v>0</v>
      </c>
      <c r="AD300" s="76" cm="1">
        <f t="array" aca="1" ref="AD300" ca="1">SUM((AD296='Safety Action Tracking'!$E$3:$E$8001)*($A$269='Safety Action Tracking'!$B$3:$B$8001)*(Data!$B$269='Safety Action Tracking'!$A$3:$A$8001))</f>
        <v>0</v>
      </c>
      <c r="AE300" s="76" cm="1">
        <f t="array" aca="1" ref="AE300" ca="1">SUM((AE296='Safety Action Tracking'!$E$3:$E$8001)*($A$269='Safety Action Tracking'!$B$3:$B$8001)*(Data!$B$269='Safety Action Tracking'!$A$3:$A$8001))</f>
        <v>0</v>
      </c>
      <c r="AF300" s="76" cm="1">
        <f t="array" aca="1" ref="AF300" ca="1">SUM((AF296='Safety Action Tracking'!$E$3:$E$8001)*($A$269='Safety Action Tracking'!$B$3:$B$8001)*(Data!$B$269='Safety Action Tracking'!$A$3:$A$8001))</f>
        <v>0</v>
      </c>
      <c r="AG300" s="76" cm="1">
        <f t="array" aca="1" ref="AG300" ca="1">SUM((AG296='Safety Action Tracking'!$E$3:$E$8001)*($A$269='Safety Action Tracking'!$B$3:$B$8001)*(Data!$B$269='Safety Action Tracking'!$A$3:$A$8001))</f>
        <v>0</v>
      </c>
      <c r="AH300" s="76" cm="1">
        <f t="array" aca="1" ref="AH300" ca="1">SUM((AH296='Safety Action Tracking'!$E$3:$E$8001)*($A$269='Safety Action Tracking'!$B$3:$B$8001)*(Data!$B$269='Safety Action Tracking'!$A$3:$A$8001))</f>
        <v>0</v>
      </c>
      <c r="AI300" s="76" cm="1">
        <f t="array" aca="1" ref="AI300" ca="1">SUM((AI296='Safety Action Tracking'!$E$3:$E$8001)*($A$269='Safety Action Tracking'!$B$3:$B$8001)*(Data!$B$269='Safety Action Tracking'!$A$3:$A$8001))</f>
        <v>0</v>
      </c>
      <c r="AJ300" s="76" cm="1">
        <f t="array" aca="1" ref="AJ300" ca="1">SUM((AJ296='Safety Action Tracking'!$E$3:$E$8001)*($A$269='Safety Action Tracking'!$B$3:$B$8001)*(Data!$B$269='Safety Action Tracking'!$A$3:$A$8001))</f>
        <v>0</v>
      </c>
      <c r="AK300" s="76" cm="1">
        <f t="array" aca="1" ref="AK300" ca="1">SUM((AK296='Safety Action Tracking'!$E$3:$E$8001)*($A$269='Safety Action Tracking'!$B$3:$B$8001)*(Data!$B$269='Safety Action Tracking'!$A$3:$A$8001))</f>
        <v>0</v>
      </c>
      <c r="AL300" s="76" cm="1">
        <f t="array" aca="1" ref="AL300" ca="1">SUM((AL296='Safety Action Tracking'!$E$3:$E$8001)*($A$269='Safety Action Tracking'!$B$3:$B$8001)*(Data!$B$269='Safety Action Tracking'!$A$3:$A$8001))</f>
        <v>0</v>
      </c>
      <c r="AM300" s="76" cm="1">
        <f t="array" aca="1" ref="AM300" ca="1">SUM((AM296='Safety Action Tracking'!$E$3:$E$8001)*($A$269='Safety Action Tracking'!$B$3:$B$8001)*(Data!$B$269='Safety Action Tracking'!$A$3:$A$8001))</f>
        <v>0</v>
      </c>
      <c r="AN300" s="76" cm="1">
        <f t="array" aca="1" ref="AN300" ca="1">SUM((AN296='Safety Action Tracking'!$E$3:$E$8001)*($A$269='Safety Action Tracking'!$B$3:$B$8001)*(Data!$B$269='Safety Action Tracking'!$A$3:$A$8001))</f>
        <v>0</v>
      </c>
    </row>
    <row r="301" spans="1:40" x14ac:dyDescent="0.35">
      <c r="A301" s="179" t="s">
        <v>101</v>
      </c>
      <c r="B301" s="445" cm="1">
        <f t="array" aca="1" ref="B301" ca="1">SUM((B297='Safety Action Tracking'!$E$3:$E$8001)*($A$269='Safety Action Tracking'!$B$3:$B$8001)*(Data!$B$269='Safety Action Tracking'!$A$3:$A$8001))</f>
        <v>0</v>
      </c>
      <c r="C301" s="445" cm="1">
        <f t="array" aca="1" ref="C301" ca="1">SUM((C297='Safety Action Tracking'!$E$3:$E$8001)*($A$269='Safety Action Tracking'!$B$3:$B$8001)*(Data!$B$269='Safety Action Tracking'!$A$3:$A$8001))</f>
        <v>0</v>
      </c>
      <c r="D301" s="445" cm="1">
        <f t="array" aca="1" ref="D301" ca="1">SUM((D297='Safety Action Tracking'!$E$3:$E$8001)*($A$269='Safety Action Tracking'!$B$3:$B$8001)*(Data!$B$269='Safety Action Tracking'!$A$3:$A$8001))</f>
        <v>0</v>
      </c>
      <c r="E301" s="445" cm="1">
        <f t="array" aca="1" ref="E301" ca="1">SUM((E297='Safety Action Tracking'!$E$3:$E$8001)*($A$269='Safety Action Tracking'!$B$3:$B$8001)*(Data!$B$269='Safety Action Tracking'!$A$3:$A$8001))</f>
        <v>0</v>
      </c>
      <c r="F301" s="445" cm="1">
        <f t="array" aca="1" ref="F301" ca="1">SUM((F297='Safety Action Tracking'!$E$3:$E$8001)*($A$269='Safety Action Tracking'!$B$3:$B$8001)*(Data!$B$269='Safety Action Tracking'!$A$3:$A$8001))</f>
        <v>0</v>
      </c>
      <c r="G301" s="445" cm="1">
        <f t="array" aca="1" ref="G301" ca="1">SUM((G297='Safety Action Tracking'!$E$3:$E$8001)*($A$269='Safety Action Tracking'!$B$3:$B$8001)*(Data!$B$269='Safety Action Tracking'!$A$3:$A$8001))</f>
        <v>0</v>
      </c>
      <c r="H301" s="445" cm="1">
        <f t="array" aca="1" ref="H301" ca="1">SUM((H297='Safety Action Tracking'!$E$3:$E$8001)*($A$269='Safety Action Tracking'!$B$3:$B$8001)*(Data!$B$269='Safety Action Tracking'!$A$3:$A$8001))</f>
        <v>0</v>
      </c>
      <c r="I301" s="445" cm="1">
        <f t="array" aca="1" ref="I301" ca="1">SUM((I297='Safety Action Tracking'!$E$3:$E$8001)*($A$269='Safety Action Tracking'!$B$3:$B$8001)*(Data!$B$269='Safety Action Tracking'!$A$3:$A$8001))</f>
        <v>0</v>
      </c>
      <c r="J301" s="76" cm="1">
        <f t="array" aca="1" ref="J301" ca="1">SUM((J297='Safety Action Tracking'!$E$3:$E$8001)*($A$269='Safety Action Tracking'!$B$3:$B$8001)*(Data!$B$269='Safety Action Tracking'!$A$3:$A$8001))</f>
        <v>0</v>
      </c>
      <c r="K301" s="76" cm="1">
        <f t="array" aca="1" ref="K301" ca="1">SUM((K297='Safety Action Tracking'!$E$3:$E$8001)*($A$269='Safety Action Tracking'!$B$3:$B$8001)*(Data!$B$269='Safety Action Tracking'!$A$3:$A$8001))</f>
        <v>0</v>
      </c>
      <c r="L301" s="76" cm="1">
        <f t="array" aca="1" ref="L301" ca="1">SUM((L297='Safety Action Tracking'!$E$3:$E$8001)*($A$269='Safety Action Tracking'!$B$3:$B$8001)*(Data!$B$269='Safety Action Tracking'!$A$3:$A$8001))</f>
        <v>0</v>
      </c>
      <c r="M301" s="76" cm="1">
        <f t="array" aca="1" ref="M301" ca="1">SUM((M297='Safety Action Tracking'!$E$3:$E$8001)*($A$269='Safety Action Tracking'!$B$3:$B$8001)*(Data!$B$269='Safety Action Tracking'!$A$3:$A$8001))</f>
        <v>0</v>
      </c>
      <c r="N301" s="76" cm="1">
        <f t="array" aca="1" ref="N301" ca="1">SUM((N297='Safety Action Tracking'!$E$3:$E$8001)*($A$269='Safety Action Tracking'!$B$3:$B$8001)*(Data!$B$269='Safety Action Tracking'!$A$3:$A$8001))</f>
        <v>0</v>
      </c>
      <c r="O301" s="76" cm="1">
        <f t="array" aca="1" ref="O301" ca="1">SUM((O297='Safety Action Tracking'!$E$3:$E$8001)*($A$269='Safety Action Tracking'!$B$3:$B$8001)*(Data!$B$269='Safety Action Tracking'!$A$3:$A$8001))</f>
        <v>0</v>
      </c>
      <c r="P301" s="76" cm="1">
        <f t="array" aca="1" ref="P301" ca="1">SUM((P297='Safety Action Tracking'!$E$3:$E$8001)*($A$269='Safety Action Tracking'!$B$3:$B$8001)*(Data!$B$269='Safety Action Tracking'!$A$3:$A$8001))</f>
        <v>0</v>
      </c>
      <c r="Q301" s="76" cm="1">
        <f t="array" aca="1" ref="Q301" ca="1">SUM((Q297='Safety Action Tracking'!$E$3:$E$8001)*($A$269='Safety Action Tracking'!$B$3:$B$8001)*(Data!$B$269='Safety Action Tracking'!$A$3:$A$8001))</f>
        <v>0</v>
      </c>
      <c r="R301" s="76" cm="1">
        <f t="array" aca="1" ref="R301" ca="1">SUM((R297='Safety Action Tracking'!$E$3:$E$8001)*($A$269='Safety Action Tracking'!$B$3:$B$8001)*(Data!$B$269='Safety Action Tracking'!$A$3:$A$8001))</f>
        <v>0</v>
      </c>
      <c r="S301" s="76" cm="1">
        <f t="array" aca="1" ref="S301" ca="1">SUM((S297='Safety Action Tracking'!$E$3:$E$8001)*($A$269='Safety Action Tracking'!$B$3:$B$8001)*(Data!$B$269='Safety Action Tracking'!$A$3:$A$8001))</f>
        <v>0</v>
      </c>
      <c r="T301" s="76" cm="1">
        <f t="array" aca="1" ref="T301" ca="1">SUM((T297='Safety Action Tracking'!$E$3:$E$8001)*($A$269='Safety Action Tracking'!$B$3:$B$8001)*(Data!$B$269='Safety Action Tracking'!$A$3:$A$8001))</f>
        <v>0</v>
      </c>
      <c r="U301" s="76" cm="1">
        <f t="array" aca="1" ref="U301" ca="1">SUM((U297='Safety Action Tracking'!$E$3:$E$8001)*($A$269='Safety Action Tracking'!$B$3:$B$8001)*(Data!$B$269='Safety Action Tracking'!$A$3:$A$8001))</f>
        <v>0</v>
      </c>
      <c r="V301" s="76" cm="1">
        <f t="array" aca="1" ref="V301" ca="1">SUM((V297='Safety Action Tracking'!$E$3:$E$8001)*($A$269='Safety Action Tracking'!$B$3:$B$8001)*(Data!$B$269='Safety Action Tracking'!$A$3:$A$8001))</f>
        <v>0</v>
      </c>
      <c r="W301" s="76" cm="1">
        <f t="array" aca="1" ref="W301" ca="1">SUM((W297='Safety Action Tracking'!$E$3:$E$8001)*($A$269='Safety Action Tracking'!$B$3:$B$8001)*(Data!$B$269='Safety Action Tracking'!$A$3:$A$8001))</f>
        <v>0</v>
      </c>
      <c r="X301" s="76" cm="1">
        <f t="array" aca="1" ref="X301" ca="1">SUM((X297='Safety Action Tracking'!$E$3:$E$8001)*($A$269='Safety Action Tracking'!$B$3:$B$8001)*(Data!$B$269='Safety Action Tracking'!$A$3:$A$8001))</f>
        <v>0</v>
      </c>
      <c r="Y301" s="76" cm="1">
        <f t="array" aca="1" ref="Y301" ca="1">SUM((Y297='Safety Action Tracking'!$E$3:$E$8001)*($A$269='Safety Action Tracking'!$B$3:$B$8001)*(Data!$B$269='Safety Action Tracking'!$A$3:$A$8001))</f>
        <v>0</v>
      </c>
      <c r="Z301" s="76" cm="1">
        <f t="array" aca="1" ref="Z301" ca="1">SUM((Z297='Safety Action Tracking'!$E$3:$E$8001)*($A$269='Safety Action Tracking'!$B$3:$B$8001)*(Data!$B$269='Safety Action Tracking'!$A$3:$A$8001))</f>
        <v>0</v>
      </c>
      <c r="AA301" s="76" cm="1">
        <f t="array" aca="1" ref="AA301" ca="1">SUM((AA297='Safety Action Tracking'!$E$3:$E$8001)*($A$269='Safety Action Tracking'!$B$3:$B$8001)*(Data!$B$269='Safety Action Tracking'!$A$3:$A$8001))</f>
        <v>0</v>
      </c>
      <c r="AB301" s="76" cm="1">
        <f t="array" aca="1" ref="AB301" ca="1">SUM((AB297='Safety Action Tracking'!$E$3:$E$8001)*($A$269='Safety Action Tracking'!$B$3:$B$8001)*(Data!$B$269='Safety Action Tracking'!$A$3:$A$8001))</f>
        <v>0</v>
      </c>
      <c r="AC301" s="76" cm="1">
        <f t="array" aca="1" ref="AC301" ca="1">SUM((AC297='Safety Action Tracking'!$E$3:$E$8001)*($A$269='Safety Action Tracking'!$B$3:$B$8001)*(Data!$B$269='Safety Action Tracking'!$A$3:$A$8001))</f>
        <v>0</v>
      </c>
      <c r="AD301" s="76" cm="1">
        <f t="array" aca="1" ref="AD301" ca="1">SUM((AD297='Safety Action Tracking'!$E$3:$E$8001)*($A$269='Safety Action Tracking'!$B$3:$B$8001)*(Data!$B$269='Safety Action Tracking'!$A$3:$A$8001))</f>
        <v>0</v>
      </c>
      <c r="AE301" s="76" cm="1">
        <f t="array" aca="1" ref="AE301" ca="1">SUM((AE297='Safety Action Tracking'!$E$3:$E$8001)*($A$269='Safety Action Tracking'!$B$3:$B$8001)*(Data!$B$269='Safety Action Tracking'!$A$3:$A$8001))</f>
        <v>0</v>
      </c>
      <c r="AF301" s="76" cm="1">
        <f t="array" aca="1" ref="AF301" ca="1">SUM((AF297='Safety Action Tracking'!$E$3:$E$8001)*($A$269='Safety Action Tracking'!$B$3:$B$8001)*(Data!$B$269='Safety Action Tracking'!$A$3:$A$8001))</f>
        <v>0</v>
      </c>
      <c r="AG301" s="76" cm="1">
        <f t="array" aca="1" ref="AG301" ca="1">SUM((AG297='Safety Action Tracking'!$E$3:$E$8001)*($A$269='Safety Action Tracking'!$B$3:$B$8001)*(Data!$B$269='Safety Action Tracking'!$A$3:$A$8001))</f>
        <v>0</v>
      </c>
      <c r="AH301" s="76" cm="1">
        <f t="array" aca="1" ref="AH301" ca="1">SUM((AH297='Safety Action Tracking'!$E$3:$E$8001)*($A$269='Safety Action Tracking'!$B$3:$B$8001)*(Data!$B$269='Safety Action Tracking'!$A$3:$A$8001))</f>
        <v>0</v>
      </c>
      <c r="AI301" s="76" cm="1">
        <f t="array" aca="1" ref="AI301" ca="1">SUM((AI297='Safety Action Tracking'!$E$3:$E$8001)*($A$269='Safety Action Tracking'!$B$3:$B$8001)*(Data!$B$269='Safety Action Tracking'!$A$3:$A$8001))</f>
        <v>0</v>
      </c>
      <c r="AJ301" s="76" cm="1">
        <f t="array" aca="1" ref="AJ301" ca="1">SUM((AJ297='Safety Action Tracking'!$E$3:$E$8001)*($A$269='Safety Action Tracking'!$B$3:$B$8001)*(Data!$B$269='Safety Action Tracking'!$A$3:$A$8001))</f>
        <v>0</v>
      </c>
      <c r="AK301" s="76" cm="1">
        <f t="array" aca="1" ref="AK301" ca="1">SUM((AK297='Safety Action Tracking'!$E$3:$E$8001)*($A$269='Safety Action Tracking'!$B$3:$B$8001)*(Data!$B$269='Safety Action Tracking'!$A$3:$A$8001))</f>
        <v>0</v>
      </c>
      <c r="AL301" s="76" cm="1">
        <f t="array" aca="1" ref="AL301" ca="1">SUM((AL297='Safety Action Tracking'!$E$3:$E$8001)*($A$269='Safety Action Tracking'!$B$3:$B$8001)*(Data!$B$269='Safety Action Tracking'!$A$3:$A$8001))</f>
        <v>0</v>
      </c>
      <c r="AM301" s="76" cm="1">
        <f t="array" aca="1" ref="AM301" ca="1">SUM((AM297='Safety Action Tracking'!$E$3:$E$8001)*($A$269='Safety Action Tracking'!$B$3:$B$8001)*(Data!$B$269='Safety Action Tracking'!$A$3:$A$8001))</f>
        <v>0</v>
      </c>
      <c r="AN301" s="76" cm="1">
        <f t="array" aca="1" ref="AN301" ca="1">SUM((AN297='Safety Action Tracking'!$E$3:$E$8001)*($A$269='Safety Action Tracking'!$B$3:$B$8001)*(Data!$B$269='Safety Action Tracking'!$A$3:$A$8001))</f>
        <v>0</v>
      </c>
    </row>
    <row r="302" spans="1:40" x14ac:dyDescent="0.35">
      <c r="A302" s="152" t="s">
        <v>102</v>
      </c>
      <c r="B302" s="445" cm="1">
        <f t="array" aca="1" ref="B302" ca="1">SUM((B298='Safety Action Tracking'!$E$3:$E$8001)*($A$269='Safety Action Tracking'!$B$3:$B$8001)*(Data!$B$269='Safety Action Tracking'!$A$3:$A$8001))</f>
        <v>0</v>
      </c>
      <c r="C302" s="445" cm="1">
        <f t="array" aca="1" ref="C302" ca="1">SUM((C298='Safety Action Tracking'!$E$3:$E$8001)*($A$269='Safety Action Tracking'!$B$3:$B$8001)*(Data!$B$269='Safety Action Tracking'!$A$3:$A$8001))</f>
        <v>0</v>
      </c>
      <c r="D302" s="445" cm="1">
        <f t="array" aca="1" ref="D302" ca="1">SUM((D298='Safety Action Tracking'!$E$3:$E$8001)*($A$269='Safety Action Tracking'!$B$3:$B$8001)*(Data!$B$269='Safety Action Tracking'!$A$3:$A$8001))</f>
        <v>0</v>
      </c>
      <c r="E302" s="445" cm="1">
        <f t="array" aca="1" ref="E302" ca="1">SUM((E298='Safety Action Tracking'!$E$3:$E$8001)*($A$269='Safety Action Tracking'!$B$3:$B$8001)*(Data!$B$269='Safety Action Tracking'!$A$3:$A$8001))</f>
        <v>0</v>
      </c>
      <c r="F302" s="445" cm="1">
        <f t="array" aca="1" ref="F302" ca="1">SUM((F298='Safety Action Tracking'!$E$3:$E$8001)*($A$269='Safety Action Tracking'!$B$3:$B$8001)*(Data!$B$269='Safety Action Tracking'!$A$3:$A$8001))</f>
        <v>0</v>
      </c>
      <c r="G302" s="445" cm="1">
        <f t="array" aca="1" ref="G302" ca="1">SUM((G298='Safety Action Tracking'!$E$3:$E$8001)*($A$269='Safety Action Tracking'!$B$3:$B$8001)*(Data!$B$269='Safety Action Tracking'!$A$3:$A$8001))</f>
        <v>0</v>
      </c>
      <c r="H302" s="445" cm="1">
        <f t="array" aca="1" ref="H302" ca="1">SUM((H298='Safety Action Tracking'!$E$3:$E$8001)*($A$269='Safety Action Tracking'!$B$3:$B$8001)*(Data!$B$269='Safety Action Tracking'!$A$3:$A$8001))</f>
        <v>0</v>
      </c>
      <c r="I302" s="445" cm="1">
        <f t="array" aca="1" ref="I302" ca="1">SUM((I298='Safety Action Tracking'!$E$3:$E$8001)*($A$269='Safety Action Tracking'!$B$3:$B$8001)*(Data!$B$269='Safety Action Tracking'!$A$3:$A$8001))</f>
        <v>0</v>
      </c>
      <c r="J302" s="76" cm="1">
        <f t="array" aca="1" ref="J302" ca="1">SUM((J298='Safety Action Tracking'!$E$3:$E$8001)*($A$269='Safety Action Tracking'!$B$3:$B$8001)*(Data!$B$269='Safety Action Tracking'!$A$3:$A$8001))</f>
        <v>0</v>
      </c>
      <c r="K302" s="76" cm="1">
        <f t="array" aca="1" ref="K302" ca="1">SUM((K298='Safety Action Tracking'!$E$3:$E$8001)*($A$269='Safety Action Tracking'!$B$3:$B$8001)*(Data!$B$269='Safety Action Tracking'!$A$3:$A$8001))</f>
        <v>0</v>
      </c>
      <c r="L302" s="76" cm="1">
        <f t="array" aca="1" ref="L302" ca="1">SUM((L298='Safety Action Tracking'!$E$3:$E$8001)*($A$269='Safety Action Tracking'!$B$3:$B$8001)*(Data!$B$269='Safety Action Tracking'!$A$3:$A$8001))</f>
        <v>0</v>
      </c>
      <c r="M302" s="76" cm="1">
        <f t="array" aca="1" ref="M302" ca="1">SUM((M298='Safety Action Tracking'!$E$3:$E$8001)*($A$269='Safety Action Tracking'!$B$3:$B$8001)*(Data!$B$269='Safety Action Tracking'!$A$3:$A$8001))</f>
        <v>0</v>
      </c>
      <c r="N302" s="76" cm="1">
        <f t="array" aca="1" ref="N302" ca="1">SUM((N298='Safety Action Tracking'!$E$3:$E$8001)*($A$269='Safety Action Tracking'!$B$3:$B$8001)*(Data!$B$269='Safety Action Tracking'!$A$3:$A$8001))</f>
        <v>0</v>
      </c>
      <c r="O302" s="76" cm="1">
        <f t="array" aca="1" ref="O302" ca="1">SUM((O298='Safety Action Tracking'!$E$3:$E$8001)*($A$269='Safety Action Tracking'!$B$3:$B$8001)*(Data!$B$269='Safety Action Tracking'!$A$3:$A$8001))</f>
        <v>0</v>
      </c>
      <c r="P302" s="76" cm="1">
        <f t="array" aca="1" ref="P302" ca="1">SUM((P298='Safety Action Tracking'!$E$3:$E$8001)*($A$269='Safety Action Tracking'!$B$3:$B$8001)*(Data!$B$269='Safety Action Tracking'!$A$3:$A$8001))</f>
        <v>0</v>
      </c>
      <c r="Q302" s="76" cm="1">
        <f t="array" aca="1" ref="Q302" ca="1">SUM((Q298='Safety Action Tracking'!$E$3:$E$8001)*($A$269='Safety Action Tracking'!$B$3:$B$8001)*(Data!$B$269='Safety Action Tracking'!$A$3:$A$8001))</f>
        <v>0</v>
      </c>
      <c r="R302" s="76" cm="1">
        <f t="array" aca="1" ref="R302" ca="1">SUM((R298='Safety Action Tracking'!$E$3:$E$8001)*($A$269='Safety Action Tracking'!$B$3:$B$8001)*(Data!$B$269='Safety Action Tracking'!$A$3:$A$8001))</f>
        <v>0</v>
      </c>
      <c r="S302" s="76" cm="1">
        <f t="array" aca="1" ref="S302" ca="1">SUM((S298='Safety Action Tracking'!$E$3:$E$8001)*($A$269='Safety Action Tracking'!$B$3:$B$8001)*(Data!$B$269='Safety Action Tracking'!$A$3:$A$8001))</f>
        <v>0</v>
      </c>
      <c r="T302" s="76" cm="1">
        <f t="array" aca="1" ref="T302" ca="1">SUM((T298='Safety Action Tracking'!$E$3:$E$8001)*($A$269='Safety Action Tracking'!$B$3:$B$8001)*(Data!$B$269='Safety Action Tracking'!$A$3:$A$8001))</f>
        <v>0</v>
      </c>
      <c r="U302" s="76" cm="1">
        <f t="array" aca="1" ref="U302" ca="1">SUM((U298='Safety Action Tracking'!$E$3:$E$8001)*($A$269='Safety Action Tracking'!$B$3:$B$8001)*(Data!$B$269='Safety Action Tracking'!$A$3:$A$8001))</f>
        <v>0</v>
      </c>
      <c r="V302" s="76" cm="1">
        <f t="array" aca="1" ref="V302" ca="1">SUM((V298='Safety Action Tracking'!$E$3:$E$8001)*($A$269='Safety Action Tracking'!$B$3:$B$8001)*(Data!$B$269='Safety Action Tracking'!$A$3:$A$8001))</f>
        <v>0</v>
      </c>
      <c r="W302" s="76" cm="1">
        <f t="array" aca="1" ref="W302" ca="1">SUM((W298='Safety Action Tracking'!$E$3:$E$8001)*($A$269='Safety Action Tracking'!$B$3:$B$8001)*(Data!$B$269='Safety Action Tracking'!$A$3:$A$8001))</f>
        <v>0</v>
      </c>
      <c r="X302" s="76" cm="1">
        <f t="array" aca="1" ref="X302" ca="1">SUM((X298='Safety Action Tracking'!$E$3:$E$8001)*($A$269='Safety Action Tracking'!$B$3:$B$8001)*(Data!$B$269='Safety Action Tracking'!$A$3:$A$8001))</f>
        <v>0</v>
      </c>
      <c r="Y302" s="76" cm="1">
        <f t="array" aca="1" ref="Y302" ca="1">SUM((Y298='Safety Action Tracking'!$E$3:$E$8001)*($A$269='Safety Action Tracking'!$B$3:$B$8001)*(Data!$B$269='Safety Action Tracking'!$A$3:$A$8001))</f>
        <v>0</v>
      </c>
      <c r="Z302" s="76" cm="1">
        <f t="array" aca="1" ref="Z302" ca="1">SUM((Z298='Safety Action Tracking'!$E$3:$E$8001)*($A$269='Safety Action Tracking'!$B$3:$B$8001)*(Data!$B$269='Safety Action Tracking'!$A$3:$A$8001))</f>
        <v>0</v>
      </c>
      <c r="AA302" s="76" cm="1">
        <f t="array" aca="1" ref="AA302" ca="1">SUM((AA298='Safety Action Tracking'!$E$3:$E$8001)*($A$269='Safety Action Tracking'!$B$3:$B$8001)*(Data!$B$269='Safety Action Tracking'!$A$3:$A$8001))</f>
        <v>0</v>
      </c>
      <c r="AB302" s="76" cm="1">
        <f t="array" aca="1" ref="AB302" ca="1">SUM((AB298='Safety Action Tracking'!$E$3:$E$8001)*($A$269='Safety Action Tracking'!$B$3:$B$8001)*(Data!$B$269='Safety Action Tracking'!$A$3:$A$8001))</f>
        <v>0</v>
      </c>
      <c r="AC302" s="76" cm="1">
        <f t="array" aca="1" ref="AC302" ca="1">SUM((AC298='Safety Action Tracking'!$E$3:$E$8001)*($A$269='Safety Action Tracking'!$B$3:$B$8001)*(Data!$B$269='Safety Action Tracking'!$A$3:$A$8001))</f>
        <v>0</v>
      </c>
      <c r="AD302" s="76" cm="1">
        <f t="array" aca="1" ref="AD302" ca="1">SUM((AD298='Safety Action Tracking'!$E$3:$E$8001)*($A$269='Safety Action Tracking'!$B$3:$B$8001)*(Data!$B$269='Safety Action Tracking'!$A$3:$A$8001))</f>
        <v>0</v>
      </c>
      <c r="AE302" s="76" cm="1">
        <f t="array" aca="1" ref="AE302" ca="1">SUM((AE298='Safety Action Tracking'!$E$3:$E$8001)*($A$269='Safety Action Tracking'!$B$3:$B$8001)*(Data!$B$269='Safety Action Tracking'!$A$3:$A$8001))</f>
        <v>0</v>
      </c>
      <c r="AF302" s="76" cm="1">
        <f t="array" aca="1" ref="AF302" ca="1">SUM((AF298='Safety Action Tracking'!$E$3:$E$8001)*($A$269='Safety Action Tracking'!$B$3:$B$8001)*(Data!$B$269='Safety Action Tracking'!$A$3:$A$8001))</f>
        <v>0</v>
      </c>
      <c r="AG302" s="76" cm="1">
        <f t="array" aca="1" ref="AG302" ca="1">SUM((AG298='Safety Action Tracking'!$E$3:$E$8001)*($A$269='Safety Action Tracking'!$B$3:$B$8001)*(Data!$B$269='Safety Action Tracking'!$A$3:$A$8001))</f>
        <v>0</v>
      </c>
      <c r="AH302" s="76" cm="1">
        <f t="array" aca="1" ref="AH302" ca="1">SUM((AH298='Safety Action Tracking'!$E$3:$E$8001)*($A$269='Safety Action Tracking'!$B$3:$B$8001)*(Data!$B$269='Safety Action Tracking'!$A$3:$A$8001))</f>
        <v>0</v>
      </c>
      <c r="AI302" s="76" cm="1">
        <f t="array" aca="1" ref="AI302" ca="1">SUM((AI298='Safety Action Tracking'!$E$3:$E$8001)*($A$269='Safety Action Tracking'!$B$3:$B$8001)*(Data!$B$269='Safety Action Tracking'!$A$3:$A$8001))</f>
        <v>0</v>
      </c>
      <c r="AJ302" s="76" cm="1">
        <f t="array" aca="1" ref="AJ302" ca="1">SUM((AJ298='Safety Action Tracking'!$E$3:$E$8001)*($A$269='Safety Action Tracking'!$B$3:$B$8001)*(Data!$B$269='Safety Action Tracking'!$A$3:$A$8001))</f>
        <v>0</v>
      </c>
      <c r="AK302" s="76" cm="1">
        <f t="array" aca="1" ref="AK302" ca="1">SUM((AK298='Safety Action Tracking'!$E$3:$E$8001)*($A$269='Safety Action Tracking'!$B$3:$B$8001)*(Data!$B$269='Safety Action Tracking'!$A$3:$A$8001))</f>
        <v>0</v>
      </c>
      <c r="AL302" s="76" cm="1">
        <f t="array" aca="1" ref="AL302" ca="1">SUM((AL298='Safety Action Tracking'!$E$3:$E$8001)*($A$269='Safety Action Tracking'!$B$3:$B$8001)*(Data!$B$269='Safety Action Tracking'!$A$3:$A$8001))</f>
        <v>0</v>
      </c>
      <c r="AM302" s="76" cm="1">
        <f t="array" aca="1" ref="AM302" ca="1">SUM((AM298='Safety Action Tracking'!$E$3:$E$8001)*($A$269='Safety Action Tracking'!$B$3:$B$8001)*(Data!$B$269='Safety Action Tracking'!$A$3:$A$8001))</f>
        <v>0</v>
      </c>
      <c r="AN302" s="76" cm="1">
        <f t="array" aca="1" ref="AN302" ca="1">SUM((AN298='Safety Action Tracking'!$E$3:$E$8001)*($A$269='Safety Action Tracking'!$B$3:$B$8001)*(Data!$B$269='Safety Action Tracking'!$A$3:$A$8001))</f>
        <v>0</v>
      </c>
    </row>
    <row r="303" spans="1:40" x14ac:dyDescent="0.35">
      <c r="A303" s="152" t="s">
        <v>102</v>
      </c>
      <c r="B303" s="445" cm="1">
        <f t="array" aca="1" ref="B303" ca="1">SUM((B299='Safety Action Tracking'!$E$3:$E$8001)*($A$269='Safety Action Tracking'!$B$3:$B$8001)*(Data!$B$269='Safety Action Tracking'!$A$3:$A$8001))</f>
        <v>0</v>
      </c>
      <c r="C303" s="445" cm="1">
        <f t="array" aca="1" ref="C303" ca="1">SUM((C299='Safety Action Tracking'!$E$3:$E$8001)*($A$269='Safety Action Tracking'!$B$3:$B$8001)*(Data!$B$269='Safety Action Tracking'!$A$3:$A$8001))</f>
        <v>0</v>
      </c>
      <c r="D303" s="445" cm="1">
        <f t="array" aca="1" ref="D303" ca="1">SUM((D299='Safety Action Tracking'!$E$3:$E$8001)*($A$269='Safety Action Tracking'!$B$3:$B$8001)*(Data!$B$269='Safety Action Tracking'!$A$3:$A$8001))</f>
        <v>0</v>
      </c>
      <c r="E303" s="445" cm="1">
        <f t="array" aca="1" ref="E303" ca="1">SUM((E299='Safety Action Tracking'!$E$3:$E$8001)*($A$269='Safety Action Tracking'!$B$3:$B$8001)*(Data!$B$269='Safety Action Tracking'!$A$3:$A$8001))</f>
        <v>0</v>
      </c>
      <c r="F303" s="445" cm="1">
        <f t="array" aca="1" ref="F303" ca="1">SUM((F299='Safety Action Tracking'!$E$3:$E$8001)*($A$269='Safety Action Tracking'!$B$3:$B$8001)*(Data!$B$269='Safety Action Tracking'!$A$3:$A$8001))</f>
        <v>0</v>
      </c>
      <c r="G303" s="445" cm="1">
        <f t="array" aca="1" ref="G303" ca="1">SUM((G299='Safety Action Tracking'!$E$3:$E$8001)*($A$269='Safety Action Tracking'!$B$3:$B$8001)*(Data!$B$269='Safety Action Tracking'!$A$3:$A$8001))</f>
        <v>0</v>
      </c>
      <c r="H303" s="445" cm="1">
        <f t="array" aca="1" ref="H303" ca="1">SUM((H299='Safety Action Tracking'!$E$3:$E$8001)*($A$269='Safety Action Tracking'!$B$3:$B$8001)*(Data!$B$269='Safety Action Tracking'!$A$3:$A$8001))</f>
        <v>0</v>
      </c>
      <c r="I303" s="445" cm="1">
        <f t="array" aca="1" ref="I303" ca="1">SUM((I299='Safety Action Tracking'!$E$3:$E$8001)*($A$269='Safety Action Tracking'!$B$3:$B$8001)*(Data!$B$269='Safety Action Tracking'!$A$3:$A$8001))</f>
        <v>0</v>
      </c>
      <c r="J303" s="76" cm="1">
        <f t="array" aca="1" ref="J303" ca="1">SUM((J299='Safety Action Tracking'!$E$3:$E$8001)*($A$269='Safety Action Tracking'!$B$3:$B$8001)*(Data!$B$269='Safety Action Tracking'!$A$3:$A$8001))</f>
        <v>0</v>
      </c>
      <c r="K303" s="76" cm="1">
        <f t="array" aca="1" ref="K303" ca="1">SUM((K299='Safety Action Tracking'!$E$3:$E$8001)*($A$269='Safety Action Tracking'!$B$3:$B$8001)*(Data!$B$269='Safety Action Tracking'!$A$3:$A$8001))</f>
        <v>0</v>
      </c>
      <c r="L303" s="76" cm="1">
        <f t="array" aca="1" ref="L303" ca="1">SUM((L299='Safety Action Tracking'!$E$3:$E$8001)*($A$269='Safety Action Tracking'!$B$3:$B$8001)*(Data!$B$269='Safety Action Tracking'!$A$3:$A$8001))</f>
        <v>0</v>
      </c>
      <c r="M303" s="76" cm="1">
        <f t="array" aca="1" ref="M303" ca="1">SUM((M299='Safety Action Tracking'!$E$3:$E$8001)*($A$269='Safety Action Tracking'!$B$3:$B$8001)*(Data!$B$269='Safety Action Tracking'!$A$3:$A$8001))</f>
        <v>0</v>
      </c>
      <c r="N303" s="76" cm="1">
        <f t="array" aca="1" ref="N303" ca="1">SUM((N299='Safety Action Tracking'!$E$3:$E$8001)*($A$269='Safety Action Tracking'!$B$3:$B$8001)*(Data!$B$269='Safety Action Tracking'!$A$3:$A$8001))</f>
        <v>0</v>
      </c>
      <c r="O303" s="76" cm="1">
        <f t="array" aca="1" ref="O303" ca="1">SUM((O299='Safety Action Tracking'!$E$3:$E$8001)*($A$269='Safety Action Tracking'!$B$3:$B$8001)*(Data!$B$269='Safety Action Tracking'!$A$3:$A$8001))</f>
        <v>0</v>
      </c>
      <c r="P303" s="76" cm="1">
        <f t="array" aca="1" ref="P303" ca="1">SUM((P299='Safety Action Tracking'!$E$3:$E$8001)*($A$269='Safety Action Tracking'!$B$3:$B$8001)*(Data!$B$269='Safety Action Tracking'!$A$3:$A$8001))</f>
        <v>0</v>
      </c>
      <c r="Q303" s="76" cm="1">
        <f t="array" aca="1" ref="Q303" ca="1">SUM((Q299='Safety Action Tracking'!$E$3:$E$8001)*($A$269='Safety Action Tracking'!$B$3:$B$8001)*(Data!$B$269='Safety Action Tracking'!$A$3:$A$8001))</f>
        <v>0</v>
      </c>
      <c r="R303" s="76" cm="1">
        <f t="array" aca="1" ref="R303" ca="1">SUM((R299='Safety Action Tracking'!$E$3:$E$8001)*($A$269='Safety Action Tracking'!$B$3:$B$8001)*(Data!$B$269='Safety Action Tracking'!$A$3:$A$8001))</f>
        <v>0</v>
      </c>
      <c r="S303" s="76" cm="1">
        <f t="array" aca="1" ref="S303" ca="1">SUM((S299='Safety Action Tracking'!$E$3:$E$8001)*($A$269='Safety Action Tracking'!$B$3:$B$8001)*(Data!$B$269='Safety Action Tracking'!$A$3:$A$8001))</f>
        <v>0</v>
      </c>
      <c r="T303" s="76" cm="1">
        <f t="array" aca="1" ref="T303" ca="1">SUM((T299='Safety Action Tracking'!$E$3:$E$8001)*($A$269='Safety Action Tracking'!$B$3:$B$8001)*(Data!$B$269='Safety Action Tracking'!$A$3:$A$8001))</f>
        <v>0</v>
      </c>
      <c r="U303" s="76" cm="1">
        <f t="array" aca="1" ref="U303" ca="1">SUM((U299='Safety Action Tracking'!$E$3:$E$8001)*($A$269='Safety Action Tracking'!$B$3:$B$8001)*(Data!$B$269='Safety Action Tracking'!$A$3:$A$8001))</f>
        <v>0</v>
      </c>
      <c r="V303" s="76" cm="1">
        <f t="array" aca="1" ref="V303" ca="1">SUM((V299='Safety Action Tracking'!$E$3:$E$8001)*($A$269='Safety Action Tracking'!$B$3:$B$8001)*(Data!$B$269='Safety Action Tracking'!$A$3:$A$8001))</f>
        <v>0</v>
      </c>
      <c r="W303" s="76" cm="1">
        <f t="array" aca="1" ref="W303" ca="1">SUM((W299='Safety Action Tracking'!$E$3:$E$8001)*($A$269='Safety Action Tracking'!$B$3:$B$8001)*(Data!$B$269='Safety Action Tracking'!$A$3:$A$8001))</f>
        <v>0</v>
      </c>
      <c r="X303" s="76" cm="1">
        <f t="array" aca="1" ref="X303" ca="1">SUM((X299='Safety Action Tracking'!$E$3:$E$8001)*($A$269='Safety Action Tracking'!$B$3:$B$8001)*(Data!$B$269='Safety Action Tracking'!$A$3:$A$8001))</f>
        <v>0</v>
      </c>
      <c r="Y303" s="76" cm="1">
        <f t="array" aca="1" ref="Y303" ca="1">SUM((Y299='Safety Action Tracking'!$E$3:$E$8001)*($A$269='Safety Action Tracking'!$B$3:$B$8001)*(Data!$B$269='Safety Action Tracking'!$A$3:$A$8001))</f>
        <v>0</v>
      </c>
      <c r="Z303" s="76" cm="1">
        <f t="array" aca="1" ref="Z303" ca="1">SUM((Z299='Safety Action Tracking'!$E$3:$E$8001)*($A$269='Safety Action Tracking'!$B$3:$B$8001)*(Data!$B$269='Safety Action Tracking'!$A$3:$A$8001))</f>
        <v>0</v>
      </c>
      <c r="AA303" s="76" cm="1">
        <f t="array" aca="1" ref="AA303" ca="1">SUM((AA299='Safety Action Tracking'!$E$3:$E$8001)*($A$269='Safety Action Tracking'!$B$3:$B$8001)*(Data!$B$269='Safety Action Tracking'!$A$3:$A$8001))</f>
        <v>0</v>
      </c>
      <c r="AB303" s="76" cm="1">
        <f t="array" aca="1" ref="AB303" ca="1">SUM((AB299='Safety Action Tracking'!$E$3:$E$8001)*($A$269='Safety Action Tracking'!$B$3:$B$8001)*(Data!$B$269='Safety Action Tracking'!$A$3:$A$8001))</f>
        <v>0</v>
      </c>
      <c r="AC303" s="76" cm="1">
        <f t="array" aca="1" ref="AC303" ca="1">SUM((AC299='Safety Action Tracking'!$E$3:$E$8001)*($A$269='Safety Action Tracking'!$B$3:$B$8001)*(Data!$B$269='Safety Action Tracking'!$A$3:$A$8001))</f>
        <v>0</v>
      </c>
      <c r="AD303" s="76" cm="1">
        <f t="array" aca="1" ref="AD303" ca="1">SUM((AD299='Safety Action Tracking'!$E$3:$E$8001)*($A$269='Safety Action Tracking'!$B$3:$B$8001)*(Data!$B$269='Safety Action Tracking'!$A$3:$A$8001))</f>
        <v>0</v>
      </c>
      <c r="AE303" s="76" cm="1">
        <f t="array" aca="1" ref="AE303" ca="1">SUM((AE299='Safety Action Tracking'!$E$3:$E$8001)*($A$269='Safety Action Tracking'!$B$3:$B$8001)*(Data!$B$269='Safety Action Tracking'!$A$3:$A$8001))</f>
        <v>0</v>
      </c>
      <c r="AF303" s="76" cm="1">
        <f t="array" aca="1" ref="AF303" ca="1">SUM((AF299='Safety Action Tracking'!$E$3:$E$8001)*($A$269='Safety Action Tracking'!$B$3:$B$8001)*(Data!$B$269='Safety Action Tracking'!$A$3:$A$8001))</f>
        <v>0</v>
      </c>
      <c r="AG303" s="76" cm="1">
        <f t="array" aca="1" ref="AG303" ca="1">SUM((AG299='Safety Action Tracking'!$E$3:$E$8001)*($A$269='Safety Action Tracking'!$B$3:$B$8001)*(Data!$B$269='Safety Action Tracking'!$A$3:$A$8001))</f>
        <v>0</v>
      </c>
      <c r="AH303" s="76" cm="1">
        <f t="array" aca="1" ref="AH303" ca="1">SUM((AH299='Safety Action Tracking'!$E$3:$E$8001)*($A$269='Safety Action Tracking'!$B$3:$B$8001)*(Data!$B$269='Safety Action Tracking'!$A$3:$A$8001))</f>
        <v>0</v>
      </c>
      <c r="AI303" s="76" cm="1">
        <f t="array" aca="1" ref="AI303" ca="1">SUM((AI299='Safety Action Tracking'!$E$3:$E$8001)*($A$269='Safety Action Tracking'!$B$3:$B$8001)*(Data!$B$269='Safety Action Tracking'!$A$3:$A$8001))</f>
        <v>0</v>
      </c>
      <c r="AJ303" s="76" cm="1">
        <f t="array" aca="1" ref="AJ303" ca="1">SUM((AJ299='Safety Action Tracking'!$E$3:$E$8001)*($A$269='Safety Action Tracking'!$B$3:$B$8001)*(Data!$B$269='Safety Action Tracking'!$A$3:$A$8001))</f>
        <v>0</v>
      </c>
      <c r="AK303" s="76" cm="1">
        <f t="array" aca="1" ref="AK303" ca="1">SUM((AK299='Safety Action Tracking'!$E$3:$E$8001)*($A$269='Safety Action Tracking'!$B$3:$B$8001)*(Data!$B$269='Safety Action Tracking'!$A$3:$A$8001))</f>
        <v>0</v>
      </c>
      <c r="AL303" s="76" cm="1">
        <f t="array" aca="1" ref="AL303" ca="1">SUM((AL299='Safety Action Tracking'!$E$3:$E$8001)*($A$269='Safety Action Tracking'!$B$3:$B$8001)*(Data!$B$269='Safety Action Tracking'!$A$3:$A$8001))</f>
        <v>0</v>
      </c>
      <c r="AM303" s="76" cm="1">
        <f t="array" aca="1" ref="AM303" ca="1">SUM((AM299='Safety Action Tracking'!$E$3:$E$8001)*($A$269='Safety Action Tracking'!$B$3:$B$8001)*(Data!$B$269='Safety Action Tracking'!$A$3:$A$8001))</f>
        <v>0</v>
      </c>
      <c r="AN303" s="76" cm="1">
        <f t="array" aca="1" ref="AN303" ca="1">SUM((AN299='Safety Action Tracking'!$E$3:$E$8001)*($A$269='Safety Action Tracking'!$B$3:$B$8001)*(Data!$B$269='Safety Action Tracking'!$A$3:$A$8001))</f>
        <v>0</v>
      </c>
    </row>
    <row r="304" spans="1:40" x14ac:dyDescent="0.35">
      <c r="A304" s="152" t="s">
        <v>102</v>
      </c>
      <c r="B304" s="445" cm="1">
        <f t="array" aca="1" ref="B304" ca="1">SUM((B300='Safety Action Tracking'!$E$3:$E$8001)*($A$269='Safety Action Tracking'!$B$3:$B$8001)*(Data!$B$269='Safety Action Tracking'!$A$3:$A$8001))</f>
        <v>0</v>
      </c>
      <c r="C304" s="445" cm="1">
        <f t="array" aca="1" ref="C304" ca="1">SUM((C300='Safety Action Tracking'!$E$3:$E$8001)*($A$269='Safety Action Tracking'!$B$3:$B$8001)*(Data!$B$269='Safety Action Tracking'!$A$3:$A$8001))</f>
        <v>0</v>
      </c>
      <c r="D304" s="445" cm="1">
        <f t="array" aca="1" ref="D304" ca="1">SUM((D300='Safety Action Tracking'!$E$3:$E$8001)*($A$269='Safety Action Tracking'!$B$3:$B$8001)*(Data!$B$269='Safety Action Tracking'!$A$3:$A$8001))</f>
        <v>0</v>
      </c>
      <c r="E304" s="445" cm="1">
        <f t="array" aca="1" ref="E304" ca="1">SUM((E300='Safety Action Tracking'!$E$3:$E$8001)*($A$269='Safety Action Tracking'!$B$3:$B$8001)*(Data!$B$269='Safety Action Tracking'!$A$3:$A$8001))</f>
        <v>0</v>
      </c>
      <c r="F304" s="445" cm="1">
        <f t="array" aca="1" ref="F304" ca="1">SUM((F300='Safety Action Tracking'!$E$3:$E$8001)*($A$269='Safety Action Tracking'!$B$3:$B$8001)*(Data!$B$269='Safety Action Tracking'!$A$3:$A$8001))</f>
        <v>0</v>
      </c>
      <c r="G304" s="445" cm="1">
        <f t="array" aca="1" ref="G304" ca="1">SUM((G300='Safety Action Tracking'!$E$3:$E$8001)*($A$269='Safety Action Tracking'!$B$3:$B$8001)*(Data!$B$269='Safety Action Tracking'!$A$3:$A$8001))</f>
        <v>0</v>
      </c>
      <c r="H304" s="445" cm="1">
        <f t="array" aca="1" ref="H304" ca="1">SUM((H300='Safety Action Tracking'!$E$3:$E$8001)*($A$269='Safety Action Tracking'!$B$3:$B$8001)*(Data!$B$269='Safety Action Tracking'!$A$3:$A$8001))</f>
        <v>0</v>
      </c>
      <c r="I304" s="445" cm="1">
        <f t="array" aca="1" ref="I304" ca="1">SUM((I300='Safety Action Tracking'!$E$3:$E$8001)*($A$269='Safety Action Tracking'!$B$3:$B$8001)*(Data!$B$269='Safety Action Tracking'!$A$3:$A$8001))</f>
        <v>0</v>
      </c>
      <c r="J304" s="76" cm="1">
        <f t="array" aca="1" ref="J304" ca="1">SUM((J300='Safety Action Tracking'!$E$3:$E$8001)*($A$269='Safety Action Tracking'!$B$3:$B$8001)*(Data!$B$269='Safety Action Tracking'!$A$3:$A$8001))</f>
        <v>0</v>
      </c>
      <c r="K304" s="76" cm="1">
        <f t="array" aca="1" ref="K304" ca="1">SUM((K300='Safety Action Tracking'!$E$3:$E$8001)*($A$269='Safety Action Tracking'!$B$3:$B$8001)*(Data!$B$269='Safety Action Tracking'!$A$3:$A$8001))</f>
        <v>0</v>
      </c>
      <c r="L304" s="76" cm="1">
        <f t="array" aca="1" ref="L304" ca="1">SUM((L300='Safety Action Tracking'!$E$3:$E$8001)*($A$269='Safety Action Tracking'!$B$3:$B$8001)*(Data!$B$269='Safety Action Tracking'!$A$3:$A$8001))</f>
        <v>0</v>
      </c>
      <c r="M304" s="76" cm="1">
        <f t="array" aca="1" ref="M304" ca="1">SUM((M300='Safety Action Tracking'!$E$3:$E$8001)*($A$269='Safety Action Tracking'!$B$3:$B$8001)*(Data!$B$269='Safety Action Tracking'!$A$3:$A$8001))</f>
        <v>0</v>
      </c>
      <c r="N304" s="76" cm="1">
        <f t="array" aca="1" ref="N304" ca="1">SUM((N300='Safety Action Tracking'!$E$3:$E$8001)*($A$269='Safety Action Tracking'!$B$3:$B$8001)*(Data!$B$269='Safety Action Tracking'!$A$3:$A$8001))</f>
        <v>0</v>
      </c>
      <c r="O304" s="76" cm="1">
        <f t="array" aca="1" ref="O304" ca="1">SUM((O300='Safety Action Tracking'!$E$3:$E$8001)*($A$269='Safety Action Tracking'!$B$3:$B$8001)*(Data!$B$269='Safety Action Tracking'!$A$3:$A$8001))</f>
        <v>0</v>
      </c>
      <c r="P304" s="76" cm="1">
        <f t="array" aca="1" ref="P304" ca="1">SUM((P300='Safety Action Tracking'!$E$3:$E$8001)*($A$269='Safety Action Tracking'!$B$3:$B$8001)*(Data!$B$269='Safety Action Tracking'!$A$3:$A$8001))</f>
        <v>0</v>
      </c>
      <c r="Q304" s="76" cm="1">
        <f t="array" aca="1" ref="Q304" ca="1">SUM((Q300='Safety Action Tracking'!$E$3:$E$8001)*($A$269='Safety Action Tracking'!$B$3:$B$8001)*(Data!$B$269='Safety Action Tracking'!$A$3:$A$8001))</f>
        <v>0</v>
      </c>
      <c r="R304" s="76" cm="1">
        <f t="array" aca="1" ref="R304" ca="1">SUM((R300='Safety Action Tracking'!$E$3:$E$8001)*($A$269='Safety Action Tracking'!$B$3:$B$8001)*(Data!$B$269='Safety Action Tracking'!$A$3:$A$8001))</f>
        <v>0</v>
      </c>
      <c r="S304" s="76" cm="1">
        <f t="array" aca="1" ref="S304" ca="1">SUM((S300='Safety Action Tracking'!$E$3:$E$8001)*($A$269='Safety Action Tracking'!$B$3:$B$8001)*(Data!$B$269='Safety Action Tracking'!$A$3:$A$8001))</f>
        <v>0</v>
      </c>
      <c r="T304" s="76" cm="1">
        <f t="array" aca="1" ref="T304" ca="1">SUM((T300='Safety Action Tracking'!$E$3:$E$8001)*($A$269='Safety Action Tracking'!$B$3:$B$8001)*(Data!$B$269='Safety Action Tracking'!$A$3:$A$8001))</f>
        <v>0</v>
      </c>
      <c r="U304" s="76" cm="1">
        <f t="array" aca="1" ref="U304" ca="1">SUM((U300='Safety Action Tracking'!$E$3:$E$8001)*($A$269='Safety Action Tracking'!$B$3:$B$8001)*(Data!$B$269='Safety Action Tracking'!$A$3:$A$8001))</f>
        <v>0</v>
      </c>
      <c r="V304" s="76" cm="1">
        <f t="array" aca="1" ref="V304" ca="1">SUM((V300='Safety Action Tracking'!$E$3:$E$8001)*($A$269='Safety Action Tracking'!$B$3:$B$8001)*(Data!$B$269='Safety Action Tracking'!$A$3:$A$8001))</f>
        <v>0</v>
      </c>
      <c r="W304" s="76" cm="1">
        <f t="array" aca="1" ref="W304" ca="1">SUM((W300='Safety Action Tracking'!$E$3:$E$8001)*($A$269='Safety Action Tracking'!$B$3:$B$8001)*(Data!$B$269='Safety Action Tracking'!$A$3:$A$8001))</f>
        <v>0</v>
      </c>
      <c r="X304" s="76" cm="1">
        <f t="array" aca="1" ref="X304" ca="1">SUM((X300='Safety Action Tracking'!$E$3:$E$8001)*($A$269='Safety Action Tracking'!$B$3:$B$8001)*(Data!$B$269='Safety Action Tracking'!$A$3:$A$8001))</f>
        <v>0</v>
      </c>
      <c r="Y304" s="76" cm="1">
        <f t="array" aca="1" ref="Y304" ca="1">SUM((Y300='Safety Action Tracking'!$E$3:$E$8001)*($A$269='Safety Action Tracking'!$B$3:$B$8001)*(Data!$B$269='Safety Action Tracking'!$A$3:$A$8001))</f>
        <v>0</v>
      </c>
      <c r="Z304" s="76" cm="1">
        <f t="array" aca="1" ref="Z304" ca="1">SUM((Z300='Safety Action Tracking'!$E$3:$E$8001)*($A$269='Safety Action Tracking'!$B$3:$B$8001)*(Data!$B$269='Safety Action Tracking'!$A$3:$A$8001))</f>
        <v>0</v>
      </c>
      <c r="AA304" s="76" cm="1">
        <f t="array" aca="1" ref="AA304" ca="1">SUM((AA300='Safety Action Tracking'!$E$3:$E$8001)*($A$269='Safety Action Tracking'!$B$3:$B$8001)*(Data!$B$269='Safety Action Tracking'!$A$3:$A$8001))</f>
        <v>0</v>
      </c>
      <c r="AB304" s="76" cm="1">
        <f t="array" aca="1" ref="AB304" ca="1">SUM((AB300='Safety Action Tracking'!$E$3:$E$8001)*($A$269='Safety Action Tracking'!$B$3:$B$8001)*(Data!$B$269='Safety Action Tracking'!$A$3:$A$8001))</f>
        <v>0</v>
      </c>
      <c r="AC304" s="76" cm="1">
        <f t="array" aca="1" ref="AC304" ca="1">SUM((AC300='Safety Action Tracking'!$E$3:$E$8001)*($A$269='Safety Action Tracking'!$B$3:$B$8001)*(Data!$B$269='Safety Action Tracking'!$A$3:$A$8001))</f>
        <v>0</v>
      </c>
      <c r="AD304" s="76" cm="1">
        <f t="array" aca="1" ref="AD304" ca="1">SUM((AD300='Safety Action Tracking'!$E$3:$E$8001)*($A$269='Safety Action Tracking'!$B$3:$B$8001)*(Data!$B$269='Safety Action Tracking'!$A$3:$A$8001))</f>
        <v>0</v>
      </c>
      <c r="AE304" s="76" cm="1">
        <f t="array" aca="1" ref="AE304" ca="1">SUM((AE300='Safety Action Tracking'!$E$3:$E$8001)*($A$269='Safety Action Tracking'!$B$3:$B$8001)*(Data!$B$269='Safety Action Tracking'!$A$3:$A$8001))</f>
        <v>0</v>
      </c>
      <c r="AF304" s="76" cm="1">
        <f t="array" aca="1" ref="AF304" ca="1">SUM((AF300='Safety Action Tracking'!$E$3:$E$8001)*($A$269='Safety Action Tracking'!$B$3:$B$8001)*(Data!$B$269='Safety Action Tracking'!$A$3:$A$8001))</f>
        <v>0</v>
      </c>
      <c r="AG304" s="76" cm="1">
        <f t="array" aca="1" ref="AG304" ca="1">SUM((AG300='Safety Action Tracking'!$E$3:$E$8001)*($A$269='Safety Action Tracking'!$B$3:$B$8001)*(Data!$B$269='Safety Action Tracking'!$A$3:$A$8001))</f>
        <v>0</v>
      </c>
      <c r="AH304" s="76" cm="1">
        <f t="array" aca="1" ref="AH304" ca="1">SUM((AH300='Safety Action Tracking'!$E$3:$E$8001)*($A$269='Safety Action Tracking'!$B$3:$B$8001)*(Data!$B$269='Safety Action Tracking'!$A$3:$A$8001))</f>
        <v>0</v>
      </c>
      <c r="AI304" s="76" cm="1">
        <f t="array" aca="1" ref="AI304" ca="1">SUM((AI300='Safety Action Tracking'!$E$3:$E$8001)*($A$269='Safety Action Tracking'!$B$3:$B$8001)*(Data!$B$269='Safety Action Tracking'!$A$3:$A$8001))</f>
        <v>0</v>
      </c>
      <c r="AJ304" s="76" cm="1">
        <f t="array" aca="1" ref="AJ304" ca="1">SUM((AJ300='Safety Action Tracking'!$E$3:$E$8001)*($A$269='Safety Action Tracking'!$B$3:$B$8001)*(Data!$B$269='Safety Action Tracking'!$A$3:$A$8001))</f>
        <v>0</v>
      </c>
      <c r="AK304" s="76" cm="1">
        <f t="array" aca="1" ref="AK304" ca="1">SUM((AK300='Safety Action Tracking'!$E$3:$E$8001)*($A$269='Safety Action Tracking'!$B$3:$B$8001)*(Data!$B$269='Safety Action Tracking'!$A$3:$A$8001))</f>
        <v>0</v>
      </c>
      <c r="AL304" s="76" cm="1">
        <f t="array" aca="1" ref="AL304" ca="1">SUM((AL300='Safety Action Tracking'!$E$3:$E$8001)*($A$269='Safety Action Tracking'!$B$3:$B$8001)*(Data!$B$269='Safety Action Tracking'!$A$3:$A$8001))</f>
        <v>0</v>
      </c>
      <c r="AM304" s="76" cm="1">
        <f t="array" aca="1" ref="AM304" ca="1">SUM((AM300='Safety Action Tracking'!$E$3:$E$8001)*($A$269='Safety Action Tracking'!$B$3:$B$8001)*(Data!$B$269='Safety Action Tracking'!$A$3:$A$8001))</f>
        <v>0</v>
      </c>
      <c r="AN304" s="76" cm="1">
        <f t="array" aca="1" ref="AN304" ca="1">SUM((AN300='Safety Action Tracking'!$E$3:$E$8001)*($A$269='Safety Action Tracking'!$B$3:$B$8001)*(Data!$B$269='Safety Action Tracking'!$A$3:$A$8001))</f>
        <v>0</v>
      </c>
    </row>
    <row r="305" spans="1:41" x14ac:dyDescent="0.35">
      <c r="A305" s="78"/>
    </row>
    <row r="306" spans="1:41" ht="15" thickBot="1" x14ac:dyDescent="0.4"/>
    <row r="307" spans="1:41" ht="15" thickBot="1" x14ac:dyDescent="0.4">
      <c r="A307" s="143"/>
      <c r="B307" s="396">
        <v>2301</v>
      </c>
      <c r="C307" s="396">
        <v>2302</v>
      </c>
      <c r="D307" s="396">
        <v>2303</v>
      </c>
      <c r="E307" s="396">
        <v>2304</v>
      </c>
      <c r="F307" s="396">
        <v>2305</v>
      </c>
      <c r="G307" s="396">
        <v>2306</v>
      </c>
      <c r="H307" s="396">
        <v>2307</v>
      </c>
      <c r="I307" s="396">
        <v>2308</v>
      </c>
      <c r="J307" s="206">
        <v>2309</v>
      </c>
      <c r="K307" s="206">
        <v>2310</v>
      </c>
      <c r="L307" s="206">
        <v>2311</v>
      </c>
      <c r="M307" s="206">
        <v>2312</v>
      </c>
      <c r="N307" s="210">
        <v>2313</v>
      </c>
      <c r="O307" s="211">
        <v>2401</v>
      </c>
      <c r="P307" s="206">
        <v>2402</v>
      </c>
      <c r="Q307" s="206">
        <v>2403</v>
      </c>
      <c r="R307" s="206">
        <v>2404</v>
      </c>
      <c r="S307" s="206">
        <v>2405</v>
      </c>
      <c r="T307" s="206">
        <v>2406</v>
      </c>
      <c r="U307" s="206">
        <v>2407</v>
      </c>
      <c r="V307" s="206">
        <v>2408</v>
      </c>
      <c r="W307" s="206">
        <v>2409</v>
      </c>
      <c r="X307" s="206">
        <v>2410</v>
      </c>
      <c r="Y307" s="206">
        <v>2411</v>
      </c>
      <c r="Z307" s="206">
        <v>2412</v>
      </c>
      <c r="AA307" s="208">
        <v>2413</v>
      </c>
      <c r="AB307" s="284">
        <v>2501</v>
      </c>
      <c r="AC307" s="284">
        <v>2502</v>
      </c>
      <c r="AD307" s="284">
        <v>2503</v>
      </c>
      <c r="AE307" s="284">
        <v>2504</v>
      </c>
      <c r="AF307" s="284">
        <v>2505</v>
      </c>
      <c r="AG307" s="284">
        <v>2506</v>
      </c>
      <c r="AH307" s="284">
        <v>2507</v>
      </c>
      <c r="AI307" s="284">
        <v>2508</v>
      </c>
      <c r="AJ307" s="284">
        <v>2509</v>
      </c>
      <c r="AK307" s="284">
        <v>2510</v>
      </c>
      <c r="AL307" s="284">
        <v>2511</v>
      </c>
      <c r="AM307" s="284">
        <v>2512</v>
      </c>
      <c r="AN307" s="284">
        <v>2513</v>
      </c>
    </row>
    <row r="308" spans="1:41" x14ac:dyDescent="0.35">
      <c r="A308" s="175" t="s">
        <v>91</v>
      </c>
      <c r="B308" s="446"/>
      <c r="C308" s="446"/>
      <c r="D308" s="446"/>
      <c r="E308" s="446"/>
      <c r="F308" s="446"/>
      <c r="G308" s="446"/>
      <c r="H308" s="446"/>
      <c r="I308" s="446"/>
      <c r="J308" s="20"/>
      <c r="K308" s="20"/>
      <c r="L308" s="20"/>
      <c r="M308" s="20"/>
      <c r="N308" s="21"/>
      <c r="O308" s="160"/>
      <c r="P308" s="160"/>
      <c r="Q308" s="160"/>
      <c r="R308" s="160"/>
      <c r="S308" s="160"/>
      <c r="T308" s="160"/>
      <c r="U308" s="160"/>
      <c r="V308" s="160"/>
      <c r="W308" s="160"/>
      <c r="X308" s="160"/>
      <c r="Y308" s="160"/>
      <c r="Z308" s="160"/>
      <c r="AA308" s="160"/>
      <c r="AB308" s="160"/>
      <c r="AC308" s="160"/>
      <c r="AD308" s="160"/>
      <c r="AE308" s="160"/>
      <c r="AF308" s="160"/>
      <c r="AG308" s="160"/>
      <c r="AH308" s="160"/>
      <c r="AI308" s="160"/>
      <c r="AJ308" s="160"/>
      <c r="AK308" s="160"/>
      <c r="AL308" s="160"/>
      <c r="AM308" s="160"/>
      <c r="AN308" s="160"/>
    </row>
    <row r="309" spans="1:41" x14ac:dyDescent="0.35">
      <c r="A309" s="174" t="s">
        <v>103</v>
      </c>
      <c r="B309" s="447" cm="1">
        <f t="array" aca="1" ref="B309" ca="1">SUM((B307='Safety Action Tracking'!$E$3:$E$7377)*($A$309='Safety Action Tracking'!$A$3:$A$7377)*($A$308='Safety Action Tracking'!$B$3:$B$7377))</f>
        <v>0</v>
      </c>
      <c r="C309" s="447" cm="1">
        <f t="array" aca="1" ref="C309" ca="1">SUM((C307='Safety Action Tracking'!$E$3:$E$7377)*($A$309='Safety Action Tracking'!$A$3:$A$7377)*($A$308='Safety Action Tracking'!$B$3:$B$7377))</f>
        <v>0</v>
      </c>
      <c r="D309" s="447" cm="1">
        <f t="array" aca="1" ref="D309" ca="1">SUM((D307='Safety Action Tracking'!$E$3:$E$7377)*($A$309='Safety Action Tracking'!$A$3:$A$7377)*($A$308='Safety Action Tracking'!$B$3:$B$7377))</f>
        <v>0</v>
      </c>
      <c r="E309" s="447" cm="1">
        <f t="array" aca="1" ref="E309" ca="1">SUM((E307='Safety Action Tracking'!$E$3:$E$7377)*($A$309='Safety Action Tracking'!$A$3:$A$7377)*($A$308='Safety Action Tracking'!$B$3:$B$7377))</f>
        <v>0</v>
      </c>
      <c r="F309" s="447" cm="1">
        <f t="array" aca="1" ref="F309" ca="1">SUM((F307='Safety Action Tracking'!$E$3:$E$7377)*($A$309='Safety Action Tracking'!$A$3:$A$7377)*($A$308='Safety Action Tracking'!$B$3:$B$7377))</f>
        <v>0</v>
      </c>
      <c r="G309" s="447" cm="1">
        <f t="array" aca="1" ref="G309" ca="1">SUM((G307='Safety Action Tracking'!$E$3:$E$7377)*($A$309='Safety Action Tracking'!$A$3:$A$7377)*($A$308='Safety Action Tracking'!$B$3:$B$7377))</f>
        <v>0</v>
      </c>
      <c r="H309" s="447" cm="1">
        <f t="array" aca="1" ref="H309" ca="1">SUM((H307='Safety Action Tracking'!$E$3:$E$7377)*($A$309='Safety Action Tracking'!$A$3:$A$7377)*($A$308='Safety Action Tracking'!$B$3:$B$7377))</f>
        <v>0</v>
      </c>
      <c r="I309" s="447" cm="1">
        <f t="array" aca="1" ref="I309" ca="1">SUM((I307='Safety Action Tracking'!$E$3:$E$7377)*($A$309='Safety Action Tracking'!$A$3:$A$7377)*($A$308='Safety Action Tracking'!$B$3:$B$7377))</f>
        <v>0</v>
      </c>
      <c r="J309" s="159" cm="1">
        <f t="array" aca="1" ref="J309" ca="1">SUM((J307='Safety Action Tracking'!$E$3:$E$7377)*($A$309='Safety Action Tracking'!$A$3:$A$7377)*($A$308='Safety Action Tracking'!$B$3:$B$7377))</f>
        <v>0</v>
      </c>
      <c r="K309" s="159" cm="1">
        <f t="array" aca="1" ref="K309" ca="1">SUM((K307='Safety Action Tracking'!$E$3:$E$7377)*($A$309='Safety Action Tracking'!$A$3:$A$7377)*($A$308='Safety Action Tracking'!$B$3:$B$7377))</f>
        <v>0</v>
      </c>
      <c r="L309" s="159" cm="1">
        <f t="array" aca="1" ref="L309" ca="1">SUM((L307='Safety Action Tracking'!$E$3:$E$7377)*($A$309='Safety Action Tracking'!$A$3:$A$7377)*($A$308='Safety Action Tracking'!$B$3:$B$7377))</f>
        <v>0</v>
      </c>
      <c r="M309" s="159" cm="1">
        <f t="array" aca="1" ref="M309" ca="1">SUM((M307='Safety Action Tracking'!$E$3:$E$7377)*($A$309='Safety Action Tracking'!$A$3:$A$7377)*($A$308='Safety Action Tracking'!$B$3:$B$7377))</f>
        <v>0</v>
      </c>
      <c r="N309" s="159" cm="1">
        <f t="array" aca="1" ref="N309" ca="1">SUM((N307='Safety Action Tracking'!$E$3:$E$7377)*($A$309='Safety Action Tracking'!$A$3:$A$7377)*($A$308='Safety Action Tracking'!$B$3:$B$7377))</f>
        <v>0</v>
      </c>
      <c r="O309" s="159" cm="1">
        <f t="array" aca="1" ref="O309" ca="1">SUM((O307='Safety Action Tracking'!$E$3:$E$7377)*($A$309='Safety Action Tracking'!$A$3:$A$7377)*($A$308='Safety Action Tracking'!$B$3:$B$7377))</f>
        <v>0</v>
      </c>
      <c r="P309" s="159" cm="1">
        <f t="array" aca="1" ref="P309" ca="1">SUM((P307='Safety Action Tracking'!$E$3:$E$7377)*($A$309='Safety Action Tracking'!$A$3:$A$7377)*($A$308='Safety Action Tracking'!$B$3:$B$7377))</f>
        <v>0</v>
      </c>
      <c r="Q309" s="159" cm="1">
        <f t="array" aca="1" ref="Q309" ca="1">SUM((Q307='Safety Action Tracking'!$E$3:$E$7377)*($A$309='Safety Action Tracking'!$A$3:$A$7377)*($A$308='Safety Action Tracking'!$B$3:$B$7377))</f>
        <v>0</v>
      </c>
      <c r="R309" s="159" cm="1">
        <f t="array" aca="1" ref="R309" ca="1">SUM((R307='Safety Action Tracking'!$E$3:$E$7377)*($A$309='Safety Action Tracking'!$A$3:$A$7377)*($A$308='Safety Action Tracking'!$B$3:$B$7377))</f>
        <v>0</v>
      </c>
      <c r="S309" s="159" cm="1">
        <f t="array" aca="1" ref="S309" ca="1">SUM((S307='Safety Action Tracking'!$E$3:$E$7377)*($A$309='Safety Action Tracking'!$A$3:$A$7377)*($A$308='Safety Action Tracking'!$B$3:$B$7377))</f>
        <v>0</v>
      </c>
      <c r="T309" s="159" cm="1">
        <f t="array" aca="1" ref="T309" ca="1">SUM((T307='Safety Action Tracking'!$E$3:$E$7377)*($A$309='Safety Action Tracking'!$A$3:$A$7377)*($A$308='Safety Action Tracking'!$B$3:$B$7377))</f>
        <v>0</v>
      </c>
      <c r="U309" s="159" cm="1">
        <f t="array" aca="1" ref="U309" ca="1">SUM((U307='Safety Action Tracking'!$E$3:$E$7377)*($A$309='Safety Action Tracking'!$A$3:$A$7377)*($A$308='Safety Action Tracking'!$B$3:$B$7377))</f>
        <v>0</v>
      </c>
      <c r="V309" s="159" cm="1">
        <f t="array" aca="1" ref="V309" ca="1">SUM((V307='Safety Action Tracking'!$E$3:$E$7377)*($A$309='Safety Action Tracking'!$A$3:$A$7377)*($A$308='Safety Action Tracking'!$B$3:$B$7377))</f>
        <v>0</v>
      </c>
      <c r="W309" s="159" cm="1">
        <f t="array" aca="1" ref="W309" ca="1">SUM((W307='Safety Action Tracking'!$E$3:$E$7377)*($A$309='Safety Action Tracking'!$A$3:$A$7377)*($A$308='Safety Action Tracking'!$B$3:$B$7377))</f>
        <v>0</v>
      </c>
      <c r="X309" s="159" cm="1">
        <f t="array" aca="1" ref="X309" ca="1">SUM((X307='Safety Action Tracking'!$E$3:$E$7377)*($A$309='Safety Action Tracking'!$A$3:$A$7377)*($A$308='Safety Action Tracking'!$B$3:$B$7377))</f>
        <v>1</v>
      </c>
      <c r="Y309" s="159" cm="1">
        <f t="array" aca="1" ref="Y309" ca="1">SUM((Y307='Safety Action Tracking'!$E$3:$E$7377)*($A$309='Safety Action Tracking'!$A$3:$A$7377)*($A$308='Safety Action Tracking'!$B$3:$B$7377))</f>
        <v>0</v>
      </c>
      <c r="Z309" s="159" cm="1">
        <f t="array" aca="1" ref="Z309" ca="1">SUM((Z307='Safety Action Tracking'!$E$3:$E$7377)*($A$309='Safety Action Tracking'!$A$3:$A$7377)*($A$308='Safety Action Tracking'!$B$3:$B$7377))</f>
        <v>0</v>
      </c>
      <c r="AA309" s="159" cm="1">
        <f t="array" aca="1" ref="AA309" ca="1">SUM((AA307='Safety Action Tracking'!$E$3:$E$7377)*($A$309='Safety Action Tracking'!$A$3:$A$7377)*($A$308='Safety Action Tracking'!$B$3:$B$7377))</f>
        <v>0</v>
      </c>
      <c r="AB309" s="159" cm="1">
        <f t="array" aca="1" ref="AB309" ca="1">SUM((AB307='Safety Action Tracking'!$E$3:$E$7377)*($A$309='Safety Action Tracking'!$A$3:$A$7377)*($A$308='Safety Action Tracking'!$B$3:$B$7377))</f>
        <v>0</v>
      </c>
      <c r="AC309" s="159" cm="1">
        <f t="array" aca="1" ref="AC309" ca="1">SUM((AC307='Safety Action Tracking'!$E$3:$E$7377)*($A$309='Safety Action Tracking'!$A$3:$A$7377)*($A$308='Safety Action Tracking'!$B$3:$B$7377))</f>
        <v>0</v>
      </c>
      <c r="AD309" s="159" cm="1">
        <f t="array" aca="1" ref="AD309" ca="1">SUM((AD307='Safety Action Tracking'!$E$3:$E$7377)*($A$309='Safety Action Tracking'!$A$3:$A$7377)*($A$308='Safety Action Tracking'!$B$3:$B$7377))</f>
        <v>0</v>
      </c>
      <c r="AE309" s="159" cm="1">
        <f t="array" aca="1" ref="AE309" ca="1">SUM((AE307='Safety Action Tracking'!$E$3:$E$7377)*($A$309='Safety Action Tracking'!$A$3:$A$7377)*($A$308='Safety Action Tracking'!$B$3:$B$7377))</f>
        <v>0</v>
      </c>
      <c r="AF309" s="159" cm="1">
        <f t="array" aca="1" ref="AF309" ca="1">SUM((AF307='Safety Action Tracking'!$E$3:$E$7377)*($A$309='Safety Action Tracking'!$A$3:$A$7377)*($A$308='Safety Action Tracking'!$B$3:$B$7377))</f>
        <v>0</v>
      </c>
      <c r="AG309" s="159" cm="1">
        <f t="array" aca="1" ref="AG309" ca="1">SUM((AG307='Safety Action Tracking'!$E$3:$E$7377)*($A$309='Safety Action Tracking'!$A$3:$A$7377)*($A$308='Safety Action Tracking'!$B$3:$B$7377))</f>
        <v>1</v>
      </c>
      <c r="AH309" s="64" cm="1">
        <f t="array" aca="1" ref="AH309" ca="1">SUM((AH307='Safety Action Tracking'!$E$3:$E$7377)*($A$309='Safety Action Tracking'!$A$3:$A$7377)*($A$308='Safety Action Tracking'!$B$3:$B$7377))</f>
        <v>0</v>
      </c>
      <c r="AI309" s="159" cm="1">
        <f t="array" aca="1" ref="AI309" ca="1">SUM((AI307='Safety Action Tracking'!$E$3:$E$7377)*($A$309='Safety Action Tracking'!$A$3:$A$7377)*($A$308='Safety Action Tracking'!$B$3:$B$7377))</f>
        <v>0</v>
      </c>
      <c r="AJ309" s="159" cm="1">
        <f t="array" aca="1" ref="AJ309" ca="1">SUM((AJ307='Safety Action Tracking'!$E$3:$E$7377)*($A$309='Safety Action Tracking'!$A$3:$A$7377)*($A$308='Safety Action Tracking'!$B$3:$B$7377))</f>
        <v>1</v>
      </c>
      <c r="AK309" s="159" cm="1">
        <f t="array" aca="1" ref="AK309" ca="1">SUM((AK307='Safety Action Tracking'!$E$3:$E$7377)*($A$309='Safety Action Tracking'!$A$3:$A$7377)*($A$308='Safety Action Tracking'!$B$3:$B$7377))</f>
        <v>0</v>
      </c>
      <c r="AL309" s="159" cm="1">
        <f t="array" aca="1" ref="AL309" ca="1">SUM((AL307='Safety Action Tracking'!$E$3:$E$7377)*($A$309='Safety Action Tracking'!$A$3:$A$7377)*($A$308='Safety Action Tracking'!$B$3:$B$7377))</f>
        <v>4</v>
      </c>
      <c r="AM309" s="159" cm="1">
        <f t="array" aca="1" ref="AM309" ca="1">SUM((AM307='Safety Action Tracking'!$E$3:$E$7377)*($A$309='Safety Action Tracking'!$A$3:$A$7377)*($A$308='Safety Action Tracking'!$B$3:$B$7377))</f>
        <v>0</v>
      </c>
      <c r="AN309" s="159" cm="1">
        <f t="array" aca="1" ref="AN309" ca="1">SUM((AN307='Safety Action Tracking'!$E$3:$E$7377)*($A$309='Safety Action Tracking'!$A$3:$A$7377)*($A$308='Safety Action Tracking'!$B$3:$B$7377))</f>
        <v>0</v>
      </c>
      <c r="AO309" s="103">
        <f ca="1">SUM(AB309:AN309)</f>
        <v>6</v>
      </c>
    </row>
    <row r="310" spans="1:41" x14ac:dyDescent="0.35">
      <c r="A310" s="174" t="s">
        <v>104</v>
      </c>
      <c r="B310" s="447" cm="1">
        <f t="array" aca="1" ref="B310" ca="1">SUM((B307='Safety Action Tracking'!$E$3:$E$7377)*($A$310='Safety Action Tracking'!$A$3:$A$7377)*($A$308='Safety Action Tracking'!$B$3:$B$7377))</f>
        <v>0</v>
      </c>
      <c r="C310" s="447" cm="1">
        <f t="array" aca="1" ref="C310" ca="1">SUM((C307='Safety Action Tracking'!$E$3:$E$7377)*($A$310='Safety Action Tracking'!$A$3:$A$7377)*($A$308='Safety Action Tracking'!$B$3:$B$7377))</f>
        <v>0</v>
      </c>
      <c r="D310" s="447" cm="1">
        <f t="array" aca="1" ref="D310" ca="1">SUM((D307='Safety Action Tracking'!$E$3:$E$7377)*($A$310='Safety Action Tracking'!$A$3:$A$7377)*($A$308='Safety Action Tracking'!$B$3:$B$7377))</f>
        <v>0</v>
      </c>
      <c r="E310" s="447" cm="1">
        <f t="array" aca="1" ref="E310" ca="1">SUM((E307='Safety Action Tracking'!$E$3:$E$7377)*($A$310='Safety Action Tracking'!$A$3:$A$7377)*($A$308='Safety Action Tracking'!$B$3:$B$7377))</f>
        <v>0</v>
      </c>
      <c r="F310" s="447" cm="1">
        <f t="array" aca="1" ref="F310" ca="1">SUM((F307='Safety Action Tracking'!$E$3:$E$7377)*($A$310='Safety Action Tracking'!$A$3:$A$7377)*($A$308='Safety Action Tracking'!$B$3:$B$7377))</f>
        <v>0</v>
      </c>
      <c r="G310" s="447" cm="1">
        <f t="array" aca="1" ref="G310" ca="1">SUM((G307='Safety Action Tracking'!$E$3:$E$7377)*($A$310='Safety Action Tracking'!$A$3:$A$7377)*($A$308='Safety Action Tracking'!$B$3:$B$7377))</f>
        <v>0</v>
      </c>
      <c r="H310" s="447" cm="1">
        <f t="array" aca="1" ref="H310" ca="1">SUM((H307='Safety Action Tracking'!$E$3:$E$7377)*($A$310='Safety Action Tracking'!$A$3:$A$7377)*($A$308='Safety Action Tracking'!$B$3:$B$7377))</f>
        <v>0</v>
      </c>
      <c r="I310" s="447" cm="1">
        <f t="array" aca="1" ref="I310" ca="1">SUM((I307='Safety Action Tracking'!$E$3:$E$7377)*($A$310='Safety Action Tracking'!$A$3:$A$7377)*($A$308='Safety Action Tracking'!$B$3:$B$7377))</f>
        <v>0</v>
      </c>
      <c r="J310" s="159" cm="1">
        <f t="array" aca="1" ref="J310" ca="1">SUM((J307='Safety Action Tracking'!$E$3:$E$7377)*($A$310='Safety Action Tracking'!$A$3:$A$7377)*($A$308='Safety Action Tracking'!$B$3:$B$7377))</f>
        <v>0</v>
      </c>
      <c r="K310" s="159" cm="1">
        <f t="array" aca="1" ref="K310" ca="1">SUM((K307='Safety Action Tracking'!$E$3:$E$7377)*($A$310='Safety Action Tracking'!$A$3:$A$7377)*($A$308='Safety Action Tracking'!$B$3:$B$7377))</f>
        <v>19</v>
      </c>
      <c r="L310" s="159" cm="1">
        <f t="array" aca="1" ref="L310" ca="1">SUM((L307='Safety Action Tracking'!$E$3:$E$7377)*($A$310='Safety Action Tracking'!$A$3:$A$7377)*($A$308='Safety Action Tracking'!$B$3:$B$7377))</f>
        <v>14</v>
      </c>
      <c r="M310" s="159" cm="1">
        <f t="array" aca="1" ref="M310" ca="1">SUM((M307='Safety Action Tracking'!$E$3:$E$7377)*($A$310='Safety Action Tracking'!$A$3:$A$7377)*($A$308='Safety Action Tracking'!$B$3:$B$7377))</f>
        <v>5</v>
      </c>
      <c r="N310" s="159" cm="1">
        <f t="array" aca="1" ref="N310" ca="1">SUM((N307='Safety Action Tracking'!$E$3:$E$7377)*($A$310='Safety Action Tracking'!$A$3:$A$7377)*($A$308='Safety Action Tracking'!$B$3:$B$7377))</f>
        <v>0</v>
      </c>
      <c r="O310" s="159" cm="1">
        <f t="array" aca="1" ref="O310" ca="1">SUM((O307='Safety Action Tracking'!$E$3:$E$7377)*($A$310='Safety Action Tracking'!$A$3:$A$7377)*($A$308='Safety Action Tracking'!$B$3:$B$7377))</f>
        <v>14</v>
      </c>
      <c r="P310" s="159" cm="1">
        <f t="array" aca="1" ref="P310" ca="1">SUM((P307='Safety Action Tracking'!$E$3:$E$7377)*($A$310='Safety Action Tracking'!$A$3:$A$7377)*($A$308='Safety Action Tracking'!$B$3:$B$7377))</f>
        <v>11</v>
      </c>
      <c r="Q310" s="159" cm="1">
        <f t="array" aca="1" ref="Q310" ca="1">SUM((Q307='Safety Action Tracking'!$E$3:$E$7377)*($A$310='Safety Action Tracking'!$A$3:$A$7377)*($A$308='Safety Action Tracking'!$B$3:$B$7377))</f>
        <v>5</v>
      </c>
      <c r="R310" s="159" cm="1">
        <f t="array" aca="1" ref="R310" ca="1">SUM((R307='Safety Action Tracking'!$E$3:$E$7377)*($A$310='Safety Action Tracking'!$A$3:$A$7377)*($A$308='Safety Action Tracking'!$B$3:$B$7377))</f>
        <v>9</v>
      </c>
      <c r="S310" s="159" cm="1">
        <f t="array" aca="1" ref="S310" ca="1">SUM((S307='Safety Action Tracking'!$E$3:$E$7377)*($A$310='Safety Action Tracking'!$A$3:$A$7377)*($A$308='Safety Action Tracking'!$B$3:$B$7377))</f>
        <v>9</v>
      </c>
      <c r="T310" s="159" cm="1">
        <f t="array" aca="1" ref="T310" ca="1">SUM((T307='Safety Action Tracking'!$E$3:$E$7377)*($A$310='Safety Action Tracking'!$A$3:$A$7377)*($A$308='Safety Action Tracking'!$B$3:$B$7377))</f>
        <v>5</v>
      </c>
      <c r="U310" s="159" cm="1">
        <f t="array" aca="1" ref="U310" ca="1">SUM((U307='Safety Action Tracking'!$E$3:$E$7377)*($A$310='Safety Action Tracking'!$A$3:$A$7377)*($A$308='Safety Action Tracking'!$B$3:$B$7377))</f>
        <v>12</v>
      </c>
      <c r="V310" s="159" cm="1">
        <f t="array" aca="1" ref="V310" ca="1">SUM((V307='Safety Action Tracking'!$E$3:$E$7377)*($A$310='Safety Action Tracking'!$A$3:$A$7377)*($A$308='Safety Action Tracking'!$B$3:$B$7377))</f>
        <v>3</v>
      </c>
      <c r="W310" s="159" cm="1">
        <f t="array" aca="1" ref="W310" ca="1">SUM((W307='Safety Action Tracking'!$E$3:$E$7377)*($A$310='Safety Action Tracking'!$A$3:$A$7377)*($A$308='Safety Action Tracking'!$B$3:$B$7377))</f>
        <v>5</v>
      </c>
      <c r="X310" s="159" cm="1">
        <f t="array" aca="1" ref="X310" ca="1">SUM((X307='Safety Action Tracking'!$E$3:$E$7377)*($A$310='Safety Action Tracking'!$A$3:$A$7377)*($A$308='Safety Action Tracking'!$B$3:$B$7377))</f>
        <v>1</v>
      </c>
      <c r="Y310" s="159" cm="1">
        <f t="array" aca="1" ref="Y310" ca="1">SUM((Y307='Safety Action Tracking'!$E$3:$E$7377)*($A$310='Safety Action Tracking'!$A$3:$A$7377)*($A$308='Safety Action Tracking'!$B$3:$B$7377))</f>
        <v>0</v>
      </c>
      <c r="Z310" s="159" cm="1">
        <f t="array" aca="1" ref="Z310" ca="1">SUM((Z307='Safety Action Tracking'!$E$3:$E$7377)*($A$310='Safety Action Tracking'!$A$3:$A$7377)*($A$308='Safety Action Tracking'!$B$3:$B$7377))</f>
        <v>6</v>
      </c>
      <c r="AA310" s="159" cm="1">
        <f t="array" aca="1" ref="AA310" ca="1">SUM((AA307='Safety Action Tracking'!$E$3:$E$7377)*($A$310='Safety Action Tracking'!$A$3:$A$7377)*($A$308='Safety Action Tracking'!$B$3:$B$7377))</f>
        <v>2</v>
      </c>
      <c r="AB310" s="159" cm="1">
        <f t="array" aca="1" ref="AB310" ca="1">SUM((AB307='Safety Action Tracking'!$E$3:$E$7377)*($A$310='Safety Action Tracking'!$A$3:$A$7377)*($A$308='Safety Action Tracking'!$B$3:$B$7377))</f>
        <v>1</v>
      </c>
      <c r="AC310" s="159" cm="1">
        <f t="array" aca="1" ref="AC310" ca="1">SUM((AC307='Safety Action Tracking'!$E$3:$E$7377)*($A$310='Safety Action Tracking'!$A$3:$A$7377)*($A$308='Safety Action Tracking'!$B$3:$B$7377))</f>
        <v>0</v>
      </c>
      <c r="AD310" s="159" cm="1">
        <f t="array" aca="1" ref="AD310" ca="1">SUM((AD307='Safety Action Tracking'!$E$3:$E$7377)*($A$310='Safety Action Tracking'!$A$3:$A$7377)*($A$308='Safety Action Tracking'!$B$3:$B$7377))</f>
        <v>2</v>
      </c>
      <c r="AE310" s="159" cm="1">
        <f t="array" aca="1" ref="AE310" ca="1">SUM((AE307='Safety Action Tracking'!$E$3:$E$7377)*($A$310='Safety Action Tracking'!$A$3:$A$7377)*($A$308='Safety Action Tracking'!$B$3:$B$7377))</f>
        <v>0</v>
      </c>
      <c r="AF310" s="159" cm="1">
        <f t="array" aca="1" ref="AF310" ca="1">SUM((AF307='Safety Action Tracking'!$E$3:$E$7377)*($A$310='Safety Action Tracking'!$A$3:$A$7377)*($A$308='Safety Action Tracking'!$B$3:$B$7377))</f>
        <v>0</v>
      </c>
      <c r="AG310" s="159" cm="1">
        <f t="array" aca="1" ref="AG310" ca="1">SUM((AG307='Safety Action Tracking'!$E$3:$E$7377)*($A$310='Safety Action Tracking'!$A$3:$A$7377)*($A$308='Safety Action Tracking'!$B$3:$B$7377))</f>
        <v>1</v>
      </c>
      <c r="AH310" s="64" cm="1">
        <f t="array" aca="1" ref="AH310" ca="1">SUM((AH307='Safety Action Tracking'!$E$3:$E$7377)*($A$310='Safety Action Tracking'!$A$3:$A$7377)*($A$308='Safety Action Tracking'!$B$3:$B$7377))</f>
        <v>1</v>
      </c>
      <c r="AI310" s="159" cm="1">
        <f t="array" aca="1" ref="AI310" ca="1">SUM((AI307='Safety Action Tracking'!$E$3:$E$7377)*($A$310='Safety Action Tracking'!$A$3:$A$7377)*($A$308='Safety Action Tracking'!$B$3:$B$7377))</f>
        <v>0</v>
      </c>
      <c r="AJ310" s="159" cm="1">
        <f t="array" aca="1" ref="AJ310" ca="1">SUM((AJ307='Safety Action Tracking'!$E$3:$E$7377)*($A$310='Safety Action Tracking'!$A$3:$A$7377)*($A$308='Safety Action Tracking'!$B$3:$B$7377))</f>
        <v>8</v>
      </c>
      <c r="AK310" s="159" cm="1">
        <f t="array" aca="1" ref="AK310" ca="1">SUM((AK307='Safety Action Tracking'!$E$3:$E$7377)*($A$310='Safety Action Tracking'!$A$3:$A$7377)*($A$308='Safety Action Tracking'!$B$3:$B$7377))</f>
        <v>6</v>
      </c>
      <c r="AL310" s="159" cm="1">
        <f t="array" aca="1" ref="AL310" ca="1">SUM((AL307='Safety Action Tracking'!$E$3:$E$7377)*($A$310='Safety Action Tracking'!$A$3:$A$7377)*($A$308='Safety Action Tracking'!$B$3:$B$7377))</f>
        <v>3</v>
      </c>
      <c r="AM310" s="159" cm="1">
        <f t="array" aca="1" ref="AM310" ca="1">SUM((AM307='Safety Action Tracking'!$E$3:$E$7377)*($A$310='Safety Action Tracking'!$A$3:$A$7377)*($A$308='Safety Action Tracking'!$B$3:$B$7377))</f>
        <v>0</v>
      </c>
      <c r="AN310" s="159" cm="1">
        <f t="array" aca="1" ref="AN310" ca="1">SUM((AN307='Safety Action Tracking'!$E$3:$E$7377)*($A$310='Safety Action Tracking'!$A$3:$A$7377)*($A$308='Safety Action Tracking'!$B$3:$B$7377))</f>
        <v>0</v>
      </c>
      <c r="AO310" s="103">
        <f ca="1">SUM(AB310:AN310)</f>
        <v>22</v>
      </c>
    </row>
    <row r="311" spans="1:41" x14ac:dyDescent="0.35">
      <c r="A311" s="174" t="s">
        <v>105</v>
      </c>
      <c r="B311" s="447" cm="1">
        <f t="array" aca="1" ref="B311" ca="1">SUM((B307='Safety Action Tracking'!$E$3:$E$7377)*($A$311='Safety Action Tracking'!$A$3:$A$7377)*($A$308='Safety Action Tracking'!$B$3:$B$7377))</f>
        <v>0</v>
      </c>
      <c r="C311" s="447" cm="1">
        <f t="array" aca="1" ref="C311" ca="1">SUM((C307='Safety Action Tracking'!$E$3:$E$7377)*($A$311='Safety Action Tracking'!$A$3:$A$7377)*($A$308='Safety Action Tracking'!$B$3:$B$7377))</f>
        <v>0</v>
      </c>
      <c r="D311" s="447" cm="1">
        <f t="array" aca="1" ref="D311" ca="1">SUM((D307='Safety Action Tracking'!$E$3:$E$7377)*($A$311='Safety Action Tracking'!$A$3:$A$7377)*($A$308='Safety Action Tracking'!$B$3:$B$7377))</f>
        <v>0</v>
      </c>
      <c r="E311" s="447" cm="1">
        <f t="array" aca="1" ref="E311" ca="1">SUM((E307='Safety Action Tracking'!$E$3:$E$7377)*($A$311='Safety Action Tracking'!$A$3:$A$7377)*($A$308='Safety Action Tracking'!$B$3:$B$7377))</f>
        <v>0</v>
      </c>
      <c r="F311" s="447" cm="1">
        <f t="array" aca="1" ref="F311" ca="1">SUM((F307='Safety Action Tracking'!$E$3:$E$7377)*($A$311='Safety Action Tracking'!$A$3:$A$7377)*($A$308='Safety Action Tracking'!$B$3:$B$7377))</f>
        <v>0</v>
      </c>
      <c r="G311" s="447" cm="1">
        <f t="array" aca="1" ref="G311" ca="1">SUM((G307='Safety Action Tracking'!$E$3:$E$7377)*($A$311='Safety Action Tracking'!$A$3:$A$7377)*($A$308='Safety Action Tracking'!$B$3:$B$7377))</f>
        <v>0</v>
      </c>
      <c r="H311" s="447" cm="1">
        <f t="array" aca="1" ref="H311" ca="1">SUM((H307='Safety Action Tracking'!$E$3:$E$7377)*($A$311='Safety Action Tracking'!$A$3:$A$7377)*($A$308='Safety Action Tracking'!$B$3:$B$7377))</f>
        <v>0</v>
      </c>
      <c r="I311" s="447" cm="1">
        <f t="array" aca="1" ref="I311" ca="1">SUM((I307='Safety Action Tracking'!$E$3:$E$7377)*($A$311='Safety Action Tracking'!$A$3:$A$7377)*($A$308='Safety Action Tracking'!$B$3:$B$7377))</f>
        <v>0</v>
      </c>
      <c r="J311" s="159" cm="1">
        <f t="array" aca="1" ref="J311" ca="1">SUM((J307='Safety Action Tracking'!$E$3:$E$7377)*($A$311='Safety Action Tracking'!$A$3:$A$7377)*($A$308='Safety Action Tracking'!$B$3:$B$7377))</f>
        <v>0</v>
      </c>
      <c r="K311" s="159" cm="1">
        <f t="array" aca="1" ref="K311" ca="1">SUM((K307='Safety Action Tracking'!$E$3:$E$7377)*($A$311='Safety Action Tracking'!$A$3:$A$7377)*($A$308='Safety Action Tracking'!$B$3:$B$7377))</f>
        <v>0</v>
      </c>
      <c r="L311" s="159" cm="1">
        <f t="array" aca="1" ref="L311" ca="1">SUM((L307='Safety Action Tracking'!$E$3:$E$7377)*($A$311='Safety Action Tracking'!$A$3:$A$7377)*($A$308='Safety Action Tracking'!$B$3:$B$7377))</f>
        <v>0</v>
      </c>
      <c r="M311" s="159" cm="1">
        <f t="array" aca="1" ref="M311" ca="1">SUM((M307='Safety Action Tracking'!$E$3:$E$7377)*($A$311='Safety Action Tracking'!$A$3:$A$7377)*($A$308='Safety Action Tracking'!$B$3:$B$7377))</f>
        <v>0</v>
      </c>
      <c r="N311" s="159" cm="1">
        <f t="array" aca="1" ref="N311" ca="1">SUM((N307='Safety Action Tracking'!$E$3:$E$7377)*($A$311='Safety Action Tracking'!$A$3:$A$7377)*($A$308='Safety Action Tracking'!$B$3:$B$7377))</f>
        <v>0</v>
      </c>
      <c r="O311" s="159" cm="1">
        <f t="array" aca="1" ref="O311" ca="1">SUM((O307='Safety Action Tracking'!$E$3:$E$7377)*($A$311='Safety Action Tracking'!$A$3:$A$7377)*($A$308='Safety Action Tracking'!$B$3:$B$7377))</f>
        <v>0</v>
      </c>
      <c r="P311" s="159" cm="1">
        <f t="array" aca="1" ref="P311" ca="1">SUM((P307='Safety Action Tracking'!$E$3:$E$7377)*($A$311='Safety Action Tracking'!$A$3:$A$7377)*($A$308='Safety Action Tracking'!$B$3:$B$7377))</f>
        <v>0</v>
      </c>
      <c r="Q311" s="159" cm="1">
        <f t="array" aca="1" ref="Q311" ca="1">SUM((Q307='Safety Action Tracking'!$E$3:$E$7377)*($A$311='Safety Action Tracking'!$A$3:$A$7377)*($A$308='Safety Action Tracking'!$B$3:$B$7377))</f>
        <v>0</v>
      </c>
      <c r="R311" s="159" cm="1">
        <f t="array" aca="1" ref="R311" ca="1">SUM((R307='Safety Action Tracking'!$E$3:$E$7377)*($A$311='Safety Action Tracking'!$A$3:$A$7377)*($A$308='Safety Action Tracking'!$B$3:$B$7377))</f>
        <v>2</v>
      </c>
      <c r="S311" s="159" cm="1">
        <f t="array" aca="1" ref="S311" ca="1">SUM((S307='Safety Action Tracking'!$E$3:$E$7377)*($A$311='Safety Action Tracking'!$A$3:$A$7377)*($A$308='Safety Action Tracking'!$B$3:$B$7377))</f>
        <v>0</v>
      </c>
      <c r="T311" s="159" cm="1">
        <f t="array" aca="1" ref="T311" ca="1">SUM((T307='Safety Action Tracking'!$E$3:$E$7377)*($A$311='Safety Action Tracking'!$A$3:$A$7377)*($A$308='Safety Action Tracking'!$B$3:$B$7377))</f>
        <v>0</v>
      </c>
      <c r="U311" s="159" cm="1">
        <f t="array" aca="1" ref="U311" ca="1">SUM((U307='Safety Action Tracking'!$E$3:$E$7377)*($A$311='Safety Action Tracking'!$A$3:$A$7377)*($A$308='Safety Action Tracking'!$B$3:$B$7377))</f>
        <v>0</v>
      </c>
      <c r="V311" s="159" cm="1">
        <f t="array" aca="1" ref="V311" ca="1">SUM((V307='Safety Action Tracking'!$E$3:$E$7377)*($A$311='Safety Action Tracking'!$A$3:$A$7377)*($A$308='Safety Action Tracking'!$B$3:$B$7377))</f>
        <v>0</v>
      </c>
      <c r="W311" s="159" cm="1">
        <f t="array" aca="1" ref="W311" ca="1">SUM((W307='Safety Action Tracking'!$E$3:$E$7377)*($A$311='Safety Action Tracking'!$A$3:$A$7377)*($A$308='Safety Action Tracking'!$B$3:$B$7377))</f>
        <v>0</v>
      </c>
      <c r="X311" s="159" cm="1">
        <f t="array" aca="1" ref="X311" ca="1">SUM((X307='Safety Action Tracking'!$E$3:$E$7377)*($A$311='Safety Action Tracking'!$A$3:$A$7377)*($A$308='Safety Action Tracking'!$B$3:$B$7377))</f>
        <v>0</v>
      </c>
      <c r="Y311" s="159" cm="1">
        <f t="array" aca="1" ref="Y311" ca="1">SUM((Y307='Safety Action Tracking'!$E$3:$E$7377)*($A$311='Safety Action Tracking'!$A$3:$A$7377)*($A$308='Safety Action Tracking'!$B$3:$B$7377))</f>
        <v>0</v>
      </c>
      <c r="Z311" s="159" cm="1">
        <f t="array" aca="1" ref="Z311" ca="1">SUM((Z307='Safety Action Tracking'!$E$3:$E$7377)*($A$311='Safety Action Tracking'!$A$3:$A$7377)*($A$308='Safety Action Tracking'!$B$3:$B$7377))</f>
        <v>0</v>
      </c>
      <c r="AA311" s="159" cm="1">
        <f t="array" aca="1" ref="AA311" ca="1">SUM((AA307='Safety Action Tracking'!$E$3:$E$7377)*($A$311='Safety Action Tracking'!$A$3:$A$7377)*($A$308='Safety Action Tracking'!$B$3:$B$7377))</f>
        <v>0</v>
      </c>
      <c r="AB311" s="159" cm="1">
        <f t="array" aca="1" ref="AB311" ca="1">SUM((AB307='Safety Action Tracking'!$E$3:$E$7377)*($A$311='Safety Action Tracking'!$A$3:$A$7377)*($A$308='Safety Action Tracking'!$B$3:$B$7377))</f>
        <v>0</v>
      </c>
      <c r="AC311" s="159" cm="1">
        <f t="array" aca="1" ref="AC311" ca="1">SUM((AC307='Safety Action Tracking'!$E$3:$E$7377)*($A$311='Safety Action Tracking'!$A$3:$A$7377)*($A$308='Safety Action Tracking'!$B$3:$B$7377))</f>
        <v>1</v>
      </c>
      <c r="AD311" s="159" cm="1">
        <f t="array" aca="1" ref="AD311" ca="1">SUM((AD307='Safety Action Tracking'!$E$3:$E$7377)*($A$311='Safety Action Tracking'!$A$3:$A$7377)*($A$308='Safety Action Tracking'!$B$3:$B$7377))</f>
        <v>0</v>
      </c>
      <c r="AE311" s="159" cm="1">
        <f t="array" aca="1" ref="AE311" ca="1">SUM((AE307='Safety Action Tracking'!$E$3:$E$7377)*($A$311='Safety Action Tracking'!$A$3:$A$7377)*($A$308='Safety Action Tracking'!$B$3:$B$7377))</f>
        <v>1</v>
      </c>
      <c r="AF311" s="159" cm="1">
        <f t="array" aca="1" ref="AF311" ca="1">SUM((AF307='Safety Action Tracking'!$E$3:$E$7377)*($A$311='Safety Action Tracking'!$A$3:$A$7377)*($A$308='Safety Action Tracking'!$B$3:$B$7377))</f>
        <v>0</v>
      </c>
      <c r="AG311" s="159" cm="1">
        <f t="array" aca="1" ref="AG311" ca="1">SUM((AG307='Safety Action Tracking'!$E$3:$E$7377)*($A$311='Safety Action Tracking'!$A$3:$A$7377)*($A$308='Safety Action Tracking'!$B$3:$B$7377))</f>
        <v>0</v>
      </c>
      <c r="AH311" s="64" cm="1">
        <f t="array" aca="1" ref="AH311" ca="1">SUM((AH307='Safety Action Tracking'!$E$3:$E$7377)*($A$311='Safety Action Tracking'!$A$3:$A$7377)*($A$308='Safety Action Tracking'!$B$3:$B$7377))</f>
        <v>0</v>
      </c>
      <c r="AI311" s="159" cm="1">
        <f t="array" aca="1" ref="AI311" ca="1">SUM((AI307='Safety Action Tracking'!$E$3:$E$7377)*($A$311='Safety Action Tracking'!$A$3:$A$7377)*($A$308='Safety Action Tracking'!$B$3:$B$7377))</f>
        <v>1</v>
      </c>
      <c r="AJ311" s="159" cm="1">
        <f t="array" aca="1" ref="AJ311" ca="1">SUM((AJ307='Safety Action Tracking'!$E$3:$E$7377)*($A$311='Safety Action Tracking'!$A$3:$A$7377)*($A$308='Safety Action Tracking'!$B$3:$B$7377))</f>
        <v>0</v>
      </c>
      <c r="AK311" s="159" cm="1">
        <f t="array" aca="1" ref="AK311" ca="1">SUM((AK307='Safety Action Tracking'!$E$3:$E$7377)*($A$311='Safety Action Tracking'!$A$3:$A$7377)*($A$308='Safety Action Tracking'!$B$3:$B$7377))</f>
        <v>3</v>
      </c>
      <c r="AL311" s="159" cm="1">
        <f t="array" aca="1" ref="AL311" ca="1">SUM((AL307='Safety Action Tracking'!$E$3:$E$7377)*($A$311='Safety Action Tracking'!$A$3:$A$7377)*($A$308='Safety Action Tracking'!$B$3:$B$7377))</f>
        <v>0</v>
      </c>
      <c r="AM311" s="159" cm="1">
        <f t="array" aca="1" ref="AM311" ca="1">SUM((AM307='Safety Action Tracking'!$E$3:$E$7377)*($A$311='Safety Action Tracking'!$A$3:$A$7377)*($A$308='Safety Action Tracking'!$B$3:$B$7377))</f>
        <v>0</v>
      </c>
      <c r="AN311" s="159" cm="1">
        <f t="array" aca="1" ref="AN311" ca="1">SUM((AN307='Safety Action Tracking'!$E$3:$E$7377)*($A$311='Safety Action Tracking'!$A$3:$A$7377)*($A$308='Safety Action Tracking'!$B$3:$B$7377))</f>
        <v>0</v>
      </c>
      <c r="AO311" s="103">
        <f ca="1">SUM(AB311:AN311)</f>
        <v>6</v>
      </c>
    </row>
    <row r="312" spans="1:41" x14ac:dyDescent="0.35">
      <c r="A312" s="151" t="s">
        <v>14</v>
      </c>
      <c r="B312" s="448">
        <f t="shared" ref="B312:N312" ca="1" si="217">SUM(B309:B311)</f>
        <v>0</v>
      </c>
      <c r="C312" s="448">
        <f t="shared" ca="1" si="217"/>
        <v>0</v>
      </c>
      <c r="D312" s="448">
        <f t="shared" ca="1" si="217"/>
        <v>0</v>
      </c>
      <c r="E312" s="448">
        <f t="shared" ca="1" si="217"/>
        <v>0</v>
      </c>
      <c r="F312" s="448">
        <f t="shared" ca="1" si="217"/>
        <v>0</v>
      </c>
      <c r="G312" s="448">
        <f t="shared" ca="1" si="217"/>
        <v>0</v>
      </c>
      <c r="H312" s="448">
        <f t="shared" ca="1" si="217"/>
        <v>0</v>
      </c>
      <c r="I312" s="448">
        <f t="shared" ca="1" si="217"/>
        <v>0</v>
      </c>
      <c r="J312" s="103">
        <f t="shared" ca="1" si="217"/>
        <v>0</v>
      </c>
      <c r="K312" s="103">
        <f t="shared" ca="1" si="217"/>
        <v>19</v>
      </c>
      <c r="L312" s="103">
        <f t="shared" ca="1" si="217"/>
        <v>14</v>
      </c>
      <c r="M312" s="103">
        <f t="shared" ca="1" si="217"/>
        <v>5</v>
      </c>
      <c r="N312" s="166">
        <f t="shared" ca="1" si="217"/>
        <v>0</v>
      </c>
      <c r="O312" s="166">
        <f t="shared" ref="O312:Y312" ca="1" si="218">SUM(O309:O311)</f>
        <v>14</v>
      </c>
      <c r="P312" s="166">
        <f t="shared" ca="1" si="218"/>
        <v>11</v>
      </c>
      <c r="Q312" s="166">
        <f t="shared" ca="1" si="218"/>
        <v>5</v>
      </c>
      <c r="R312" s="166">
        <f t="shared" ca="1" si="218"/>
        <v>11</v>
      </c>
      <c r="S312" s="166">
        <f t="shared" ca="1" si="218"/>
        <v>9</v>
      </c>
      <c r="T312" s="166">
        <f t="shared" ca="1" si="218"/>
        <v>5</v>
      </c>
      <c r="U312" s="166">
        <f t="shared" ca="1" si="218"/>
        <v>12</v>
      </c>
      <c r="V312" s="166">
        <f t="shared" ca="1" si="218"/>
        <v>3</v>
      </c>
      <c r="W312" s="166">
        <f t="shared" ca="1" si="218"/>
        <v>5</v>
      </c>
      <c r="X312" s="166">
        <f t="shared" ca="1" si="218"/>
        <v>2</v>
      </c>
      <c r="Y312" s="166">
        <f t="shared" ca="1" si="218"/>
        <v>0</v>
      </c>
      <c r="Z312" s="166">
        <f t="shared" ref="Z312:AN312" ca="1" si="219">SUM(Z309:Z311)</f>
        <v>6</v>
      </c>
      <c r="AA312" s="166">
        <f t="shared" ca="1" si="219"/>
        <v>2</v>
      </c>
      <c r="AB312" s="166">
        <f t="shared" ca="1" si="219"/>
        <v>1</v>
      </c>
      <c r="AC312" s="166">
        <f t="shared" ca="1" si="219"/>
        <v>1</v>
      </c>
      <c r="AD312" s="166">
        <f t="shared" ca="1" si="219"/>
        <v>2</v>
      </c>
      <c r="AE312" s="166">
        <f t="shared" ca="1" si="219"/>
        <v>1</v>
      </c>
      <c r="AF312" s="166">
        <f t="shared" ca="1" si="219"/>
        <v>0</v>
      </c>
      <c r="AG312" s="166">
        <f t="shared" ca="1" si="219"/>
        <v>2</v>
      </c>
      <c r="AH312" s="359">
        <f t="shared" ca="1" si="219"/>
        <v>1</v>
      </c>
      <c r="AI312" s="166">
        <f t="shared" ca="1" si="219"/>
        <v>1</v>
      </c>
      <c r="AJ312" s="166">
        <f t="shared" ca="1" si="219"/>
        <v>9</v>
      </c>
      <c r="AK312" s="166">
        <f t="shared" ca="1" si="219"/>
        <v>9</v>
      </c>
      <c r="AL312" s="166">
        <f t="shared" ca="1" si="219"/>
        <v>7</v>
      </c>
      <c r="AM312" s="166">
        <f t="shared" ca="1" si="219"/>
        <v>0</v>
      </c>
      <c r="AN312" s="166">
        <f t="shared" ca="1" si="219"/>
        <v>0</v>
      </c>
      <c r="AO312" s="103">
        <f ca="1">SUM(AB312:AN312)</f>
        <v>34</v>
      </c>
    </row>
    <row r="314" spans="1:41" x14ac:dyDescent="0.35">
      <c r="A314" s="152" t="s">
        <v>106</v>
      </c>
      <c r="B314" s="400">
        <f>COUNTIFS('Safety Action Tracking'!$B$1:$B$7377,"BOSRIA Action",'Safety Action Tracking'!$E$1:$E$7377,Data!B307,'Safety Action Tracking'!$C$1:$C$7377,"Anom")</f>
        <v>0</v>
      </c>
      <c r="C314" s="400">
        <f>COUNTIFS('Safety Action Tracking'!$B$1:$B$7377,"BOSRIA Action",'Safety Action Tracking'!$E$1:$E$7377,Data!C307,'Safety Action Tracking'!$C$1:$C$7377,"Anom")</f>
        <v>0</v>
      </c>
      <c r="D314" s="400">
        <f>COUNTIFS('Safety Action Tracking'!$B$1:$B$7377,"BOSRIA Action",'Safety Action Tracking'!$E$1:$E$7377,Data!D307,'Safety Action Tracking'!$C$1:$C$7377,"Anom")</f>
        <v>0</v>
      </c>
      <c r="E314" s="400">
        <f>COUNTIFS('Safety Action Tracking'!$B$1:$B$7377,"BOSRIA Action",'Safety Action Tracking'!$E$1:$E$7377,Data!E307,'Safety Action Tracking'!$C$1:$C$7377,"Anom")</f>
        <v>0</v>
      </c>
      <c r="F314" s="400">
        <f>COUNTIFS('Safety Action Tracking'!$B$1:$B$7377,"BOSRIA Action",'Safety Action Tracking'!$E$1:$E$7377,Data!F307,'Safety Action Tracking'!$C$1:$C$7377,"Anom")</f>
        <v>0</v>
      </c>
      <c r="G314" s="400">
        <f>COUNTIFS('Safety Action Tracking'!$B$1:$B$7377,"BOSRIA Action",'Safety Action Tracking'!$E$1:$E$7377,Data!G307,'Safety Action Tracking'!$C$1:$C$7377,"Anom")</f>
        <v>0</v>
      </c>
      <c r="H314" s="400">
        <f>COUNTIFS('Safety Action Tracking'!$B$1:$B$7377,"BOSRIA Action",'Safety Action Tracking'!$E$1:$E$7377,Data!H307,'Safety Action Tracking'!$C$1:$C$7377,"Anom")</f>
        <v>0</v>
      </c>
      <c r="I314" s="400">
        <f>COUNTIFS('Safety Action Tracking'!$B$1:$B$7377,"BOSRIA Action",'Safety Action Tracking'!$E$1:$E$7377,Data!I307,'Safety Action Tracking'!$C$1:$C$7377,"Anom")</f>
        <v>0</v>
      </c>
      <c r="J314" s="15">
        <f>COUNTIFS('Safety Action Tracking'!$B$1:$B$7377,"BOSRIA Action",'Safety Action Tracking'!$E$1:$E$7377,Data!J307,'Safety Action Tracking'!$C$1:$C$7377,"Anom")</f>
        <v>0</v>
      </c>
      <c r="K314" s="15">
        <f>COUNTIFS('Safety Action Tracking'!$B$1:$B$7377,"BOSRIA Action",'Safety Action Tracking'!$E$1:$E$7377,Data!K307,'Safety Action Tracking'!$C$1:$C$7377,"Anom")</f>
        <v>7</v>
      </c>
      <c r="L314" s="15">
        <f>COUNTIFS('Safety Action Tracking'!$B$1:$B$7377,"BOSRIA Action",'Safety Action Tracking'!$E$1:$E$7377,Data!L307,'Safety Action Tracking'!$C$1:$C$7377,"Anom")</f>
        <v>1</v>
      </c>
      <c r="M314" s="15">
        <f>COUNTIFS('Safety Action Tracking'!$B$1:$B$7377,"BOSRIA Action",'Safety Action Tracking'!$E$1:$E$7377,Data!M307,'Safety Action Tracking'!$C$1:$C$7377,"Anom")</f>
        <v>0</v>
      </c>
      <c r="N314" s="15">
        <f>COUNTIFS('Safety Action Tracking'!$B$1:$B$7377,"BOSRIA Action",'Safety Action Tracking'!$E$1:$E$7377,Data!N307,'Safety Action Tracking'!$C$1:$C$7377,"Anom")</f>
        <v>0</v>
      </c>
      <c r="O314" s="15">
        <f>COUNTIFS('Safety Action Tracking'!$B$1:$B$7377,"BOSRIA Action",'Safety Action Tracking'!$E$1:$E$7377,Data!O307,'Safety Action Tracking'!$C$1:$C$7377,"Anom")</f>
        <v>1</v>
      </c>
      <c r="P314" s="15">
        <f>COUNTIFS('Safety Action Tracking'!$B$1:$B$7377,"BOSRIA Action",'Safety Action Tracking'!$E$1:$E$7377,Data!P307,'Safety Action Tracking'!$C$1:$C$7377,"Anom")</f>
        <v>2</v>
      </c>
      <c r="Q314" s="15">
        <f>COUNTIFS('Safety Action Tracking'!$B$1:$B$7377,"BOSRIA Action",'Safety Action Tracking'!$E$1:$E$7377,Data!Q307,'Safety Action Tracking'!$C$1:$C$7377,"Anom")</f>
        <v>0</v>
      </c>
      <c r="R314" s="15">
        <f>COUNTIFS('Safety Action Tracking'!$B$1:$B$7377,"BOSRIA Action",'Safety Action Tracking'!$E$1:$E$7377,Data!R307,'Safety Action Tracking'!$C$1:$C$7377,"Anom")</f>
        <v>0</v>
      </c>
      <c r="S314" s="15">
        <f>COUNTIFS('Safety Action Tracking'!$B$1:$B$7377,"BOSRIA Action",'Safety Action Tracking'!$E$1:$E$7377,Data!S307,'Safety Action Tracking'!$C$1:$C$7377,"Anom")</f>
        <v>0</v>
      </c>
      <c r="T314" s="15">
        <f>COUNTIFS('Safety Action Tracking'!$B$1:$B$7377,"BOSRIA Action",'Safety Action Tracking'!$E$1:$E$7377,Data!T307,'Safety Action Tracking'!$C$1:$C$7377,"Anom")</f>
        <v>2</v>
      </c>
      <c r="U314" s="15">
        <f>COUNTIFS('Safety Action Tracking'!$B$1:$B$7377,"BOSRIA Action",'Safety Action Tracking'!$E$1:$E$7377,Data!U307,'Safety Action Tracking'!$C$1:$C$7377,"Anom")</f>
        <v>6</v>
      </c>
      <c r="V314" s="15">
        <f>COUNTIFS('Safety Action Tracking'!$B$1:$B$7377,"BOSRIA Action",'Safety Action Tracking'!$E$1:$E$7377,Data!V307,'Safety Action Tracking'!$C$1:$C$7377,"Anom")</f>
        <v>0</v>
      </c>
      <c r="W314" s="15">
        <f>COUNTIFS('Safety Action Tracking'!$B$1:$B$7377,"BOSRIA Action",'Safety Action Tracking'!$E$1:$E$7377,Data!W307,'Safety Action Tracking'!$C$1:$C$7377,"Anom")</f>
        <v>0</v>
      </c>
      <c r="X314" s="15">
        <f>COUNTIFS('Safety Action Tracking'!$B$1:$B$7377,"BOSRIA Action",'Safety Action Tracking'!$E$1:$E$7377,Data!X307,'Safety Action Tracking'!$C$1:$C$7377,"Anom")</f>
        <v>1</v>
      </c>
      <c r="Y314" s="15">
        <f>COUNTIFS('Safety Action Tracking'!$B$1:$B$7377,"BOSRIA Action",'Safety Action Tracking'!$E$1:$E$7377,Data!Y307,'Safety Action Tracking'!$C$1:$C$7377,"Anom")</f>
        <v>0</v>
      </c>
      <c r="Z314" s="15">
        <f>COUNTIFS('Safety Action Tracking'!$B$1:$B$7377,"BOSRIA Action",'Safety Action Tracking'!$E$1:$E$7377,Data!Z307,'Safety Action Tracking'!$C$1:$C$7377,"Anom")</f>
        <v>6</v>
      </c>
    </row>
    <row r="315" spans="1:41" x14ac:dyDescent="0.35">
      <c r="A315" s="152" t="s">
        <v>107</v>
      </c>
      <c r="B315" s="399">
        <f t="shared" ref="B315:N315" ca="1" si="220">B312-B314</f>
        <v>0</v>
      </c>
      <c r="C315" s="399">
        <f t="shared" ca="1" si="220"/>
        <v>0</v>
      </c>
      <c r="D315" s="399">
        <f t="shared" ca="1" si="220"/>
        <v>0</v>
      </c>
      <c r="E315" s="399">
        <f t="shared" ca="1" si="220"/>
        <v>0</v>
      </c>
      <c r="F315" s="399">
        <f t="shared" ca="1" si="220"/>
        <v>0</v>
      </c>
      <c r="G315" s="399">
        <f t="shared" ca="1" si="220"/>
        <v>0</v>
      </c>
      <c r="H315" s="399">
        <f t="shared" ca="1" si="220"/>
        <v>0</v>
      </c>
      <c r="I315" s="399">
        <f t="shared" ca="1" si="220"/>
        <v>0</v>
      </c>
      <c r="J315" s="25">
        <f t="shared" ca="1" si="220"/>
        <v>0</v>
      </c>
      <c r="K315" s="25">
        <f t="shared" ca="1" si="220"/>
        <v>12</v>
      </c>
      <c r="L315" s="25">
        <f t="shared" ca="1" si="220"/>
        <v>13</v>
      </c>
      <c r="M315" s="25">
        <f t="shared" ca="1" si="220"/>
        <v>5</v>
      </c>
      <c r="N315" s="25">
        <f t="shared" ca="1" si="220"/>
        <v>0</v>
      </c>
      <c r="O315" s="25">
        <f t="shared" ref="O315:Z315" ca="1" si="221">O312-O314</f>
        <v>13</v>
      </c>
      <c r="P315" s="25">
        <f t="shared" ca="1" si="221"/>
        <v>9</v>
      </c>
      <c r="Q315" s="25">
        <f t="shared" ca="1" si="221"/>
        <v>5</v>
      </c>
      <c r="R315" s="25">
        <f t="shared" ca="1" si="221"/>
        <v>11</v>
      </c>
      <c r="S315" s="25">
        <f t="shared" ca="1" si="221"/>
        <v>9</v>
      </c>
      <c r="T315" s="25">
        <f t="shared" ca="1" si="221"/>
        <v>3</v>
      </c>
      <c r="U315" s="25">
        <f t="shared" ca="1" si="221"/>
        <v>6</v>
      </c>
      <c r="V315" s="25">
        <f t="shared" ca="1" si="221"/>
        <v>3</v>
      </c>
      <c r="W315" s="25">
        <f t="shared" ca="1" si="221"/>
        <v>5</v>
      </c>
      <c r="X315" s="25">
        <f t="shared" ca="1" si="221"/>
        <v>1</v>
      </c>
      <c r="Y315" s="25">
        <f t="shared" ca="1" si="221"/>
        <v>0</v>
      </c>
      <c r="Z315" s="25">
        <f t="shared" ca="1" si="221"/>
        <v>0</v>
      </c>
    </row>
    <row r="316" spans="1:41" ht="15" thickBot="1" x14ac:dyDescent="0.4"/>
    <row r="317" spans="1:41" ht="15" thickBot="1" x14ac:dyDescent="0.4">
      <c r="A317" s="17" t="s">
        <v>108</v>
      </c>
      <c r="B317" s="396">
        <v>2301</v>
      </c>
      <c r="C317" s="396">
        <v>2302</v>
      </c>
      <c r="D317" s="396">
        <v>2303</v>
      </c>
      <c r="E317" s="396">
        <v>2304</v>
      </c>
      <c r="F317" s="396">
        <v>2305</v>
      </c>
      <c r="G317" s="396">
        <v>2306</v>
      </c>
      <c r="H317" s="396">
        <v>2307</v>
      </c>
      <c r="I317" s="396">
        <v>2308</v>
      </c>
      <c r="J317" s="206">
        <v>2309</v>
      </c>
      <c r="K317" s="206">
        <v>2310</v>
      </c>
      <c r="L317" s="206">
        <v>2311</v>
      </c>
      <c r="M317" s="206">
        <v>2312</v>
      </c>
      <c r="N317" s="206">
        <v>2313</v>
      </c>
      <c r="O317" s="211">
        <v>2401</v>
      </c>
      <c r="P317" s="206">
        <v>2402</v>
      </c>
      <c r="Q317" s="206">
        <v>2403</v>
      </c>
      <c r="R317" s="206">
        <v>2404</v>
      </c>
      <c r="S317" s="206">
        <v>2405</v>
      </c>
      <c r="T317" s="206">
        <v>2406</v>
      </c>
      <c r="U317" s="206">
        <v>2407</v>
      </c>
      <c r="V317" s="206">
        <v>2408</v>
      </c>
      <c r="W317" s="206">
        <v>2409</v>
      </c>
      <c r="X317" s="206">
        <v>2410</v>
      </c>
      <c r="Y317" s="206">
        <v>2411</v>
      </c>
      <c r="Z317" s="212">
        <v>2412</v>
      </c>
      <c r="AA317" s="282">
        <v>2413</v>
      </c>
      <c r="AB317" s="284">
        <v>2501</v>
      </c>
      <c r="AC317" s="284">
        <v>2502</v>
      </c>
      <c r="AD317" s="284">
        <v>2503</v>
      </c>
      <c r="AE317" s="284">
        <v>2504</v>
      </c>
      <c r="AF317" s="284">
        <v>2505</v>
      </c>
      <c r="AG317" s="284">
        <v>2506</v>
      </c>
      <c r="AH317" s="284">
        <v>2507</v>
      </c>
      <c r="AI317" s="284">
        <v>2508</v>
      </c>
      <c r="AJ317" s="284">
        <v>2509</v>
      </c>
      <c r="AK317" s="284">
        <v>2510</v>
      </c>
      <c r="AL317" s="284">
        <v>2511</v>
      </c>
      <c r="AM317" s="284">
        <v>2512</v>
      </c>
      <c r="AN317" s="284">
        <v>2513</v>
      </c>
    </row>
    <row r="318" spans="1:41" x14ac:dyDescent="0.35">
      <c r="A318" s="142" t="s">
        <v>103</v>
      </c>
      <c r="B318" s="449" cm="1">
        <f t="array" aca="1" ref="B318" ca="1">SUM(($A$318='Safety Action Tracking'!$A$3:$A$7377)*(B317='Safety Action Tracking'!$E$3:$E$7377))</f>
        <v>0</v>
      </c>
      <c r="C318" s="449" cm="1">
        <f t="array" aca="1" ref="C318" ca="1">SUM(($A$318='Safety Action Tracking'!$A$3:$A$7377)*(C317='Safety Action Tracking'!$E$3:$E$7377))</f>
        <v>0</v>
      </c>
      <c r="D318" s="449" cm="1">
        <f t="array" aca="1" ref="D318" ca="1">SUM(($A$318='Safety Action Tracking'!$A$3:$A$7377)*(D317='Safety Action Tracking'!$E$3:$E$7377))</f>
        <v>0</v>
      </c>
      <c r="E318" s="449" cm="1">
        <f t="array" aca="1" ref="E318" ca="1">SUM(($A$318='Safety Action Tracking'!$A$3:$A$7377)*(E317='Safety Action Tracking'!$E$3:$E$7377))</f>
        <v>0</v>
      </c>
      <c r="F318" s="449" cm="1">
        <f t="array" aca="1" ref="F318" ca="1">SUM(($A$318='Safety Action Tracking'!$A$3:$A$7377)*(F317='Safety Action Tracking'!$E$3:$E$7377))</f>
        <v>0</v>
      </c>
      <c r="G318" s="449" cm="1">
        <f t="array" aca="1" ref="G318" ca="1">SUM(($A$318='Safety Action Tracking'!$A$3:$A$7377)*(G317='Safety Action Tracking'!$E$3:$E$7377))</f>
        <v>0</v>
      </c>
      <c r="H318" s="449" cm="1">
        <f t="array" aca="1" ref="H318" ca="1">SUM(($A$318='Safety Action Tracking'!$A$3:$A$7377)*(H317='Safety Action Tracking'!$E$3:$E$7377))</f>
        <v>0</v>
      </c>
      <c r="I318" s="449" cm="1">
        <f t="array" aca="1" ref="I318" ca="1">SUM(($A$318='Safety Action Tracking'!$A$3:$A$7377)*(I317='Safety Action Tracking'!$E$3:$E$7377))</f>
        <v>0</v>
      </c>
      <c r="J318" s="62" cm="1">
        <f t="array" aca="1" ref="J318" ca="1">SUM(($A$318='Safety Action Tracking'!$A$3:$A$7377)*(J317='Safety Action Tracking'!$E$3:$E$7377))</f>
        <v>0</v>
      </c>
      <c r="K318" s="62" cm="1">
        <f t="array" aca="1" ref="K318" ca="1">SUM(($A$318='Safety Action Tracking'!$A$3:$A$7377)*(K317='Safety Action Tracking'!$E$3:$E$7377))</f>
        <v>0</v>
      </c>
      <c r="L318" s="62" cm="1">
        <f t="array" aca="1" ref="L318" ca="1">SUM(($A$318='Safety Action Tracking'!$A$3:$A$7377)*(L317='Safety Action Tracking'!$E$3:$E$7377))</f>
        <v>0</v>
      </c>
      <c r="M318" s="62" cm="1">
        <f t="array" aca="1" ref="M318" ca="1">SUM(($A$318='Safety Action Tracking'!$A$3:$A$7377)*(M317='Safety Action Tracking'!$E$3:$E$7377))</f>
        <v>0</v>
      </c>
      <c r="N318" s="62" cm="1">
        <f t="array" aca="1" ref="N318" ca="1">SUM(($A$318='Safety Action Tracking'!$A$3:$A$7377)*(N317='Safety Action Tracking'!$E$3:$E$7377))</f>
        <v>0</v>
      </c>
      <c r="O318" s="62" cm="1">
        <f t="array" aca="1" ref="O318" ca="1">SUM(($A$318='Safety Action Tracking'!$A$3:$A$7377)*(O317='Safety Action Tracking'!$E$3:$E$7377))</f>
        <v>1</v>
      </c>
      <c r="P318" s="62" cm="1">
        <f t="array" aca="1" ref="P318" ca="1">SUM(($A$318='Safety Action Tracking'!$A$3:$A$7377)*(P317='Safety Action Tracking'!$E$3:$E$7377))</f>
        <v>1</v>
      </c>
      <c r="Q318" s="62" cm="1">
        <f t="array" aca="1" ref="Q318" ca="1">SUM(($A$318='Safety Action Tracking'!$A$3:$A$7377)*(Q317='Safety Action Tracking'!$E$3:$E$7377))</f>
        <v>0</v>
      </c>
      <c r="R318" s="62" cm="1">
        <f t="array" aca="1" ref="R318" ca="1">SUM(($A$318='Safety Action Tracking'!$A$3:$A$7377)*(R317='Safety Action Tracking'!$E$3:$E$7377))</f>
        <v>0</v>
      </c>
      <c r="S318" s="62" cm="1">
        <f t="array" aca="1" ref="S318" ca="1">SUM(($A$318='Safety Action Tracking'!$A$3:$A$7377)*(S317='Safety Action Tracking'!$E$3:$E$7377))</f>
        <v>0</v>
      </c>
      <c r="T318" s="62" cm="1">
        <f t="array" aca="1" ref="T318" ca="1">SUM(($A$318='Safety Action Tracking'!$A$3:$A$7377)*(T317='Safety Action Tracking'!$E$3:$E$7377))</f>
        <v>0</v>
      </c>
      <c r="U318" s="62" cm="1">
        <f t="array" aca="1" ref="U318" ca="1">SUM(($A$318='Safety Action Tracking'!$A$3:$A$7377)*(U317='Safety Action Tracking'!$E$3:$E$7377))</f>
        <v>0</v>
      </c>
      <c r="V318" s="62" cm="1">
        <f t="array" aca="1" ref="V318" ca="1">SUM(($A$318='Safety Action Tracking'!$A$3:$A$7377)*(V317='Safety Action Tracking'!$E$3:$E$7377))</f>
        <v>0</v>
      </c>
      <c r="W318" s="62" cm="1">
        <f t="array" aca="1" ref="W318" ca="1">SUM(($A$318='Safety Action Tracking'!$A$3:$A$7377)*(W317='Safety Action Tracking'!$E$3:$E$7377))</f>
        <v>0</v>
      </c>
      <c r="X318" s="62" cm="1">
        <f t="array" aca="1" ref="X318" ca="1">SUM(($A$318='Safety Action Tracking'!$A$3:$A$7377)*(X317='Safety Action Tracking'!$E$3:$E$7377))</f>
        <v>1</v>
      </c>
      <c r="Y318" s="62" cm="1">
        <f t="array" aca="1" ref="Y318" ca="1">SUM(($A$318='Safety Action Tracking'!$A$3:$A$7377)*(Y317='Safety Action Tracking'!$E$3:$E$7377))</f>
        <v>1</v>
      </c>
      <c r="Z318" s="62" cm="1">
        <f t="array" aca="1" ref="Z318" ca="1">SUM(($A$318='Safety Action Tracking'!$A$3:$A$7377)*(Z317='Safety Action Tracking'!$E$3:$E$7377))</f>
        <v>1</v>
      </c>
      <c r="AA318" s="62" cm="1">
        <f t="array" aca="1" ref="AA318" ca="1">SUM(($A$318='Safety Action Tracking'!$A$3:$A$7377)*(AA317='Safety Action Tracking'!$E$3:$E$7377))</f>
        <v>0</v>
      </c>
      <c r="AB318" s="62" cm="1">
        <f t="array" aca="1" ref="AB318" ca="1">SUM(($A$318='Safety Action Tracking'!$A$3:$A$7377)*(AB317='Safety Action Tracking'!$E$3:$E$7377))</f>
        <v>0</v>
      </c>
      <c r="AC318" s="62" cm="1">
        <f t="array" aca="1" ref="AC318" ca="1">SUM(($A$318='Safety Action Tracking'!$A$3:$A$7377)*(AC317='Safety Action Tracking'!$E$3:$E$7377))</f>
        <v>0</v>
      </c>
      <c r="AD318" s="62" cm="1">
        <f t="array" aca="1" ref="AD318" ca="1">SUM(($A$318='Safety Action Tracking'!$A$3:$A$7377)*(AD317='Safety Action Tracking'!$E$3:$E$7377))</f>
        <v>0</v>
      </c>
      <c r="AE318" s="62" cm="1">
        <f t="array" aca="1" ref="AE318" ca="1">SUM(($A$318='Safety Action Tracking'!$A$3:$A$7377)*(AE317='Safety Action Tracking'!$E$3:$E$7377))</f>
        <v>0</v>
      </c>
      <c r="AF318" s="62" cm="1">
        <f t="array" aca="1" ref="AF318" ca="1">SUM(($A$318='Safety Action Tracking'!$A$3:$A$7377)*(AF317='Safety Action Tracking'!$E$3:$E$7377))</f>
        <v>0</v>
      </c>
      <c r="AG318" s="62" cm="1">
        <f t="array" aca="1" ref="AG318" ca="1">SUM(($A$318='Safety Action Tracking'!$A$3:$A$7377)*(AG317='Safety Action Tracking'!$E$3:$E$7377))</f>
        <v>1</v>
      </c>
      <c r="AH318" s="62" cm="1">
        <f t="array" aca="1" ref="AH318" ca="1">SUM(($A$318='Safety Action Tracking'!$A$3:$A$7377)*(AH317='Safety Action Tracking'!$E$3:$E$7377))</f>
        <v>1</v>
      </c>
      <c r="AI318" s="62" cm="1">
        <f t="array" aca="1" ref="AI318" ca="1">SUM(($A$318='Safety Action Tracking'!$A$3:$A$7377)*(AI317='Safety Action Tracking'!$E$3:$E$7377))</f>
        <v>0</v>
      </c>
      <c r="AJ318" s="62" cm="1">
        <f t="array" aca="1" ref="AJ318" ca="1">SUM(($A$318='Safety Action Tracking'!$A$3:$A$7377)*(AJ317='Safety Action Tracking'!$E$3:$E$7377))</f>
        <v>1</v>
      </c>
      <c r="AK318" s="62" cm="1">
        <f t="array" aca="1" ref="AK318" ca="1">SUM(($A$318='Safety Action Tracking'!$A$3:$A$7377)*(AK317='Safety Action Tracking'!$E$3:$E$7377))</f>
        <v>1</v>
      </c>
      <c r="AL318" s="62" cm="1">
        <f t="array" aca="1" ref="AL318" ca="1">SUM(($A$318='Safety Action Tracking'!$A$3:$A$7377)*(AL317='Safety Action Tracking'!$E$3:$E$7377))</f>
        <v>9</v>
      </c>
      <c r="AM318" s="62" cm="1">
        <f t="array" aca="1" ref="AM318" ca="1">SUM(($A$318='Safety Action Tracking'!$A$3:$A$7377)*(AM317='Safety Action Tracking'!$E$3:$E$7377))</f>
        <v>0</v>
      </c>
      <c r="AN318" s="62" cm="1">
        <f t="array" aca="1" ref="AN318" ca="1">SUM(($A$318='Safety Action Tracking'!$A$3:$A$7377)*(AN317='Safety Action Tracking'!$E$3:$E$7377))</f>
        <v>0</v>
      </c>
      <c r="AO318" s="53">
        <f ca="1">SUM(AB318:AN318)</f>
        <v>13</v>
      </c>
    </row>
    <row r="319" spans="1:41" x14ac:dyDescent="0.35">
      <c r="A319" s="142" t="s">
        <v>104</v>
      </c>
      <c r="B319" s="448" cm="1">
        <f t="array" aca="1" ref="B319" ca="1">SUM(($A$319='Safety Action Tracking'!$A$3:$A$7377)*(B317='Safety Action Tracking'!$E$3:$E$7377))</f>
        <v>0</v>
      </c>
      <c r="C319" s="448" cm="1">
        <f t="array" aca="1" ref="C319" ca="1">SUM(($A$319='Safety Action Tracking'!$A$3:$A$7377)*(C317='Safety Action Tracking'!$E$3:$E$7377))</f>
        <v>0</v>
      </c>
      <c r="D319" s="448" cm="1">
        <f t="array" aca="1" ref="D319" ca="1">SUM(($A$319='Safety Action Tracking'!$A$3:$A$7377)*(D317='Safety Action Tracking'!$E$3:$E$7377))</f>
        <v>7</v>
      </c>
      <c r="E319" s="448" cm="1">
        <f t="array" aca="1" ref="E319" ca="1">SUM(($A$319='Safety Action Tracking'!$A$3:$A$7377)*(E317='Safety Action Tracking'!$E$3:$E$7377))</f>
        <v>0</v>
      </c>
      <c r="F319" s="448" cm="1">
        <f t="array" aca="1" ref="F319" ca="1">SUM(($A$319='Safety Action Tracking'!$A$3:$A$7377)*(F317='Safety Action Tracking'!$E$3:$E$7377))</f>
        <v>2</v>
      </c>
      <c r="G319" s="448" cm="1">
        <f t="array" aca="1" ref="G319" ca="1">SUM(($A$319='Safety Action Tracking'!$A$3:$A$7377)*(G317='Safety Action Tracking'!$E$3:$E$7377))</f>
        <v>0</v>
      </c>
      <c r="H319" s="448" cm="1">
        <f t="array" aca="1" ref="H319" ca="1">SUM(($A$319='Safety Action Tracking'!$A$3:$A$7377)*(H317='Safety Action Tracking'!$E$3:$E$7377))</f>
        <v>0</v>
      </c>
      <c r="I319" s="448" cm="1">
        <f t="array" aca="1" ref="I319" ca="1">SUM(($A$319='Safety Action Tracking'!$A$3:$A$7377)*(I317='Safety Action Tracking'!$E$3:$E$7377))</f>
        <v>0</v>
      </c>
      <c r="J319" s="53" cm="1">
        <f t="array" aca="1" ref="J319" ca="1">SUM(($A$319='Safety Action Tracking'!$A$3:$A$7377)*(J317='Safety Action Tracking'!$E$3:$E$7377))</f>
        <v>1</v>
      </c>
      <c r="K319" s="53" cm="1">
        <f t="array" aca="1" ref="K319" ca="1">SUM(($A$319='Safety Action Tracking'!$A$3:$A$7377)*(K317='Safety Action Tracking'!$E$3:$E$7377))</f>
        <v>36</v>
      </c>
      <c r="L319" s="53" cm="1">
        <f t="array" aca="1" ref="L319" ca="1">SUM(($A$319='Safety Action Tracking'!$A$3:$A$7377)*(L317='Safety Action Tracking'!$E$3:$E$7377))</f>
        <v>31</v>
      </c>
      <c r="M319" s="53" cm="1">
        <f t="array" aca="1" ref="M319" ca="1">SUM(($A$319='Safety Action Tracking'!$A$3:$A$7377)*(M317='Safety Action Tracking'!$E$3:$E$7377))</f>
        <v>13</v>
      </c>
      <c r="N319" s="53" cm="1">
        <f t="array" aca="1" ref="N319" ca="1">SUM(($A$319='Safety Action Tracking'!$A$3:$A$7377)*(N317='Safety Action Tracking'!$E$3:$E$7377))</f>
        <v>1</v>
      </c>
      <c r="O319" s="53" cm="1">
        <f t="array" aca="1" ref="O319" ca="1">SUM(($A$319='Safety Action Tracking'!$A$3:$A$7377)*(O317='Safety Action Tracking'!$E$3:$E$7377))</f>
        <v>35</v>
      </c>
      <c r="P319" s="53" cm="1">
        <f t="array" aca="1" ref="P319" ca="1">SUM(($A$319='Safety Action Tracking'!$A$3:$A$7377)*(P317='Safety Action Tracking'!$E$3:$E$7377))</f>
        <v>59</v>
      </c>
      <c r="Q319" s="53" cm="1">
        <f t="array" aca="1" ref="Q319" ca="1">SUM(($A$319='Safety Action Tracking'!$A$3:$A$7377)*(Q317='Safety Action Tracking'!$E$3:$E$7377))</f>
        <v>13</v>
      </c>
      <c r="R319" s="53" cm="1">
        <f t="array" aca="1" ref="R319" ca="1">SUM(($A$319='Safety Action Tracking'!$A$3:$A$7377)*(R317='Safety Action Tracking'!$E$3:$E$7377))</f>
        <v>17</v>
      </c>
      <c r="S319" s="53" cm="1">
        <f t="array" aca="1" ref="S319" ca="1">SUM(($A$319='Safety Action Tracking'!$A$3:$A$7377)*(S317='Safety Action Tracking'!$E$3:$E$7377))</f>
        <v>28</v>
      </c>
      <c r="T319" s="53" cm="1">
        <f t="array" aca="1" ref="T319" ca="1">SUM(($A$319='Safety Action Tracking'!$A$3:$A$7377)*(T317='Safety Action Tracking'!$E$3:$E$7377))</f>
        <v>19</v>
      </c>
      <c r="U319" s="53" cm="1">
        <f t="array" aca="1" ref="U319" ca="1">SUM(($A$319='Safety Action Tracking'!$A$3:$A$7377)*(U317='Safety Action Tracking'!$E$3:$E$7377))</f>
        <v>21</v>
      </c>
      <c r="V319" s="53" cm="1">
        <f t="array" aca="1" ref="V319" ca="1">SUM(($A$319='Safety Action Tracking'!$A$3:$A$7377)*(V317='Safety Action Tracking'!$E$3:$E$7377))</f>
        <v>18</v>
      </c>
      <c r="W319" s="53" cm="1">
        <f t="array" aca="1" ref="W319" ca="1">SUM(($A$319='Safety Action Tracking'!$A$3:$A$7377)*(W317='Safety Action Tracking'!$E$3:$E$7377))</f>
        <v>16</v>
      </c>
      <c r="X319" s="53" cm="1">
        <f t="array" aca="1" ref="X319" ca="1">SUM(($A$319='Safety Action Tracking'!$A$3:$A$7377)*(X317='Safety Action Tracking'!$E$3:$E$7377))</f>
        <v>13</v>
      </c>
      <c r="Y319" s="53" cm="1">
        <f t="array" aca="1" ref="Y319" ca="1">SUM(($A$319='Safety Action Tracking'!$A$3:$A$7377)*(Y317='Safety Action Tracking'!$E$3:$E$7377))</f>
        <v>6</v>
      </c>
      <c r="Z319" s="53" cm="1">
        <f t="array" aca="1" ref="Z319" ca="1">SUM(($A$319='Safety Action Tracking'!$A$3:$A$7377)*(Z317='Safety Action Tracking'!$E$3:$E$7377))</f>
        <v>14</v>
      </c>
      <c r="AA319" s="53" cm="1">
        <f t="array" aca="1" ref="AA319" ca="1">SUM(($A$319='Safety Action Tracking'!$A$3:$A$7377)*(AA317='Safety Action Tracking'!$E$3:$E$7377))</f>
        <v>13</v>
      </c>
      <c r="AB319" s="53" cm="1">
        <f t="array" aca="1" ref="AB319" ca="1">SUM(($A$319='Safety Action Tracking'!$A$3:$A$7377)*(AB317='Safety Action Tracking'!$E$3:$E$7377))</f>
        <v>7</v>
      </c>
      <c r="AC319" s="53" cm="1">
        <f t="array" aca="1" ref="AC319" ca="1">SUM(($A$319='Safety Action Tracking'!$A$3:$A$7377)*(AC317='Safety Action Tracking'!$E$3:$E$7377))</f>
        <v>8</v>
      </c>
      <c r="AD319" s="53" cm="1">
        <f t="array" aca="1" ref="AD319" ca="1">SUM(($A$319='Safety Action Tracking'!$A$3:$A$7377)*(AD317='Safety Action Tracking'!$E$3:$E$7377))</f>
        <v>4</v>
      </c>
      <c r="AE319" s="53" cm="1">
        <f t="array" aca="1" ref="AE319" ca="1">SUM(($A$319='Safety Action Tracking'!$A$3:$A$7377)*(AE317='Safety Action Tracking'!$E$3:$E$7377))</f>
        <v>3</v>
      </c>
      <c r="AF319" s="53" cm="1">
        <f t="array" aca="1" ref="AF319" ca="1">SUM(($A$319='Safety Action Tracking'!$A$3:$A$7377)*(AF317='Safety Action Tracking'!$E$3:$E$7377))</f>
        <v>2</v>
      </c>
      <c r="AG319" s="53" cm="1">
        <f t="array" aca="1" ref="AG319" ca="1">SUM(($A$319='Safety Action Tracking'!$A$3:$A$7377)*(AG317='Safety Action Tracking'!$E$3:$E$7377))</f>
        <v>12</v>
      </c>
      <c r="AH319" s="53" cm="1">
        <f t="array" aca="1" ref="AH319" ca="1">SUM(($A$319='Safety Action Tracking'!$A$3:$A$7377)*(AH317='Safety Action Tracking'!$E$3:$E$7377))</f>
        <v>15</v>
      </c>
      <c r="AI319" s="53" cm="1">
        <f t="array" aca="1" ref="AI319" ca="1">SUM(($A$319='Safety Action Tracking'!$A$3:$A$7377)*(AI317='Safety Action Tracking'!$E$3:$E$7377))</f>
        <v>4</v>
      </c>
      <c r="AJ319" s="53" cm="1">
        <f t="array" aca="1" ref="AJ319" ca="1">SUM(($A$319='Safety Action Tracking'!$A$3:$A$7377)*(AJ317='Safety Action Tracking'!$E$3:$E$7377))</f>
        <v>9</v>
      </c>
      <c r="AK319" s="53" cm="1">
        <f t="array" aca="1" ref="AK319" ca="1">SUM(($A$319='Safety Action Tracking'!$A$3:$A$7377)*(AK317='Safety Action Tracking'!$E$3:$E$7377))</f>
        <v>6</v>
      </c>
      <c r="AL319" s="53" cm="1">
        <f t="array" aca="1" ref="AL319" ca="1">SUM(($A$319='Safety Action Tracking'!$A$3:$A$7377)*(AL317='Safety Action Tracking'!$E$3:$E$7377))</f>
        <v>8</v>
      </c>
      <c r="AM319" s="53" cm="1">
        <f t="array" aca="1" ref="AM319" ca="1">SUM(($A$319='Safety Action Tracking'!$A$3:$A$7377)*(AM317='Safety Action Tracking'!$E$3:$E$7377))</f>
        <v>0</v>
      </c>
      <c r="AN319" s="53" cm="1">
        <f t="array" aca="1" ref="AN319" ca="1">SUM(($A$319='Safety Action Tracking'!$A$3:$A$7377)*(AN317='Safety Action Tracking'!$E$3:$E$7377))</f>
        <v>0</v>
      </c>
      <c r="AO319" s="53">
        <f ca="1">SUM(AB319:AN319)</f>
        <v>78</v>
      </c>
    </row>
    <row r="320" spans="1:41" x14ac:dyDescent="0.35">
      <c r="A320" s="142" t="s">
        <v>105</v>
      </c>
      <c r="B320" s="448" cm="1">
        <f t="array" aca="1" ref="B320" ca="1">SUM(($A$320='Safety Action Tracking'!$A$3:$A$7377)*(B317='Safety Action Tracking'!$E$3:$E$7377))</f>
        <v>0</v>
      </c>
      <c r="C320" s="448" cm="1">
        <f t="array" aca="1" ref="C320" ca="1">SUM(($A$320='Safety Action Tracking'!$A$3:$A$7377)*(C317='Safety Action Tracking'!$E$3:$E$7377))</f>
        <v>0</v>
      </c>
      <c r="D320" s="448" cm="1">
        <f t="array" aca="1" ref="D320" ca="1">SUM(($A$320='Safety Action Tracking'!$A$3:$A$7377)*(D317='Safety Action Tracking'!$E$3:$E$7377))</f>
        <v>1</v>
      </c>
      <c r="E320" s="448" cm="1">
        <f t="array" aca="1" ref="E320" ca="1">SUM(($A$320='Safety Action Tracking'!$A$3:$A$7377)*(E317='Safety Action Tracking'!$E$3:$E$7377))</f>
        <v>0</v>
      </c>
      <c r="F320" s="448" cm="1">
        <f t="array" aca="1" ref="F320" ca="1">SUM(($A$320='Safety Action Tracking'!$A$3:$A$7377)*(F317='Safety Action Tracking'!$E$3:$E$7377))</f>
        <v>0</v>
      </c>
      <c r="G320" s="448" cm="1">
        <f t="array" aca="1" ref="G320" ca="1">SUM(($A$320='Safety Action Tracking'!$A$3:$A$7377)*(G317='Safety Action Tracking'!$E$3:$E$7377))</f>
        <v>0</v>
      </c>
      <c r="H320" s="448" cm="1">
        <f t="array" aca="1" ref="H320" ca="1">SUM(($A$320='Safety Action Tracking'!$A$3:$A$7377)*(H317='Safety Action Tracking'!$E$3:$E$7377))</f>
        <v>0</v>
      </c>
      <c r="I320" s="448" cm="1">
        <f t="array" aca="1" ref="I320" ca="1">SUM(($A$320='Safety Action Tracking'!$A$3:$A$7377)*(I317='Safety Action Tracking'!$E$3:$E$7377))</f>
        <v>0</v>
      </c>
      <c r="J320" s="53" cm="1">
        <f t="array" aca="1" ref="J320" ca="1">SUM(($A$320='Safety Action Tracking'!$A$3:$A$7377)*(J317='Safety Action Tracking'!$E$3:$E$7377))</f>
        <v>0</v>
      </c>
      <c r="K320" s="53" cm="1">
        <f t="array" aca="1" ref="K320" ca="1">SUM(($A$320='Safety Action Tracking'!$A$3:$A$7377)*(K317='Safety Action Tracking'!$E$3:$E$7377))</f>
        <v>1</v>
      </c>
      <c r="L320" s="53" cm="1">
        <f t="array" aca="1" ref="L320" ca="1">SUM(($A$320='Safety Action Tracking'!$A$3:$A$7377)*(L317='Safety Action Tracking'!$E$3:$E$7377))</f>
        <v>0</v>
      </c>
      <c r="M320" s="53" cm="1">
        <f t="array" aca="1" ref="M320" ca="1">SUM(($A$320='Safety Action Tracking'!$A$3:$A$7377)*(M317='Safety Action Tracking'!$E$3:$E$7377))</f>
        <v>0</v>
      </c>
      <c r="N320" s="53" cm="1">
        <f t="array" aca="1" ref="N320" ca="1">SUM(($A$320='Safety Action Tracking'!$A$3:$A$7377)*(N317='Safety Action Tracking'!$E$3:$E$7377))</f>
        <v>0</v>
      </c>
      <c r="O320" s="53" cm="1">
        <f t="array" aca="1" ref="O320" ca="1">SUM(($A$320='Safety Action Tracking'!$A$3:$A$7377)*(O317='Safety Action Tracking'!$E$3:$E$7377))</f>
        <v>0</v>
      </c>
      <c r="P320" s="53" cm="1">
        <f t="array" aca="1" ref="P320" ca="1">SUM(($A$320='Safety Action Tracking'!$A$3:$A$7377)*(P317='Safety Action Tracking'!$E$3:$E$7377))</f>
        <v>0</v>
      </c>
      <c r="Q320" s="53" cm="1">
        <f t="array" aca="1" ref="Q320" ca="1">SUM(($A$320='Safety Action Tracking'!$A$3:$A$7377)*(Q317='Safety Action Tracking'!$E$3:$E$7377))</f>
        <v>0</v>
      </c>
      <c r="R320" s="53" cm="1">
        <f t="array" aca="1" ref="R320" ca="1">SUM(($A$320='Safety Action Tracking'!$A$3:$A$7377)*(R317='Safety Action Tracking'!$E$3:$E$7377))</f>
        <v>2</v>
      </c>
      <c r="S320" s="53" cm="1">
        <f t="array" aca="1" ref="S320" ca="1">SUM(($A$320='Safety Action Tracking'!$A$3:$A$7377)*(S317='Safety Action Tracking'!$E$3:$E$7377))</f>
        <v>0</v>
      </c>
      <c r="T320" s="53" cm="1">
        <f t="array" aca="1" ref="T320" ca="1">SUM(($A$320='Safety Action Tracking'!$A$3:$A$7377)*(T317='Safety Action Tracking'!$E$3:$E$7377))</f>
        <v>1</v>
      </c>
      <c r="U320" s="53" cm="1">
        <f t="array" aca="1" ref="U320" ca="1">SUM(($A$320='Safety Action Tracking'!$A$3:$A$7377)*(U317='Safety Action Tracking'!$E$3:$E$7377))</f>
        <v>0</v>
      </c>
      <c r="V320" s="53" cm="1">
        <f t="array" aca="1" ref="V320" ca="1">SUM(($A$320='Safety Action Tracking'!$A$3:$A$7377)*(V317='Safety Action Tracking'!$E$3:$E$7377))</f>
        <v>4</v>
      </c>
      <c r="W320" s="53" cm="1">
        <f t="array" aca="1" ref="W320" ca="1">SUM(($A$320='Safety Action Tracking'!$A$3:$A$7377)*(W317='Safety Action Tracking'!$E$3:$E$7377))</f>
        <v>0</v>
      </c>
      <c r="X320" s="53" cm="1">
        <f t="array" aca="1" ref="X320" ca="1">SUM(($A$320='Safety Action Tracking'!$A$3:$A$7377)*(X317='Safety Action Tracking'!$E$3:$E$7377))</f>
        <v>1</v>
      </c>
      <c r="Y320" s="53" cm="1">
        <f t="array" aca="1" ref="Y320" ca="1">SUM(($A$320='Safety Action Tracking'!$A$3:$A$7377)*(Y317='Safety Action Tracking'!$E$3:$E$7377))</f>
        <v>0</v>
      </c>
      <c r="Z320" s="53" cm="1">
        <f t="array" aca="1" ref="Z320" ca="1">SUM(($A$320='Safety Action Tracking'!$A$3:$A$7377)*(Z317='Safety Action Tracking'!$E$3:$E$7377))</f>
        <v>0</v>
      </c>
      <c r="AA320" s="53" cm="1">
        <f t="array" aca="1" ref="AA320" ca="1">SUM(($A$320='Safety Action Tracking'!$A$3:$A$7377)*(AA317='Safety Action Tracking'!$E$3:$E$7377))</f>
        <v>0</v>
      </c>
      <c r="AB320" s="53" cm="1">
        <f t="array" aca="1" ref="AB320" ca="1">SUM(($A$320='Safety Action Tracking'!$A$3:$A$7377)*(AB317='Safety Action Tracking'!$E$3:$E$7377))</f>
        <v>1</v>
      </c>
      <c r="AC320" s="53" cm="1">
        <f t="array" aca="1" ref="AC320" ca="1">SUM(($A$320='Safety Action Tracking'!$A$3:$A$7377)*(AC317='Safety Action Tracking'!$E$3:$E$7377))</f>
        <v>1</v>
      </c>
      <c r="AD320" s="53" cm="1">
        <f t="array" aca="1" ref="AD320" ca="1">SUM(($A$320='Safety Action Tracking'!$A$3:$A$7377)*(AD317='Safety Action Tracking'!$E$3:$E$7377))</f>
        <v>0</v>
      </c>
      <c r="AE320" s="53" cm="1">
        <f t="array" aca="1" ref="AE320" ca="1">SUM(($A$320='Safety Action Tracking'!$A$3:$A$7377)*(AE317='Safety Action Tracking'!$E$3:$E$7377))</f>
        <v>2</v>
      </c>
      <c r="AF320" s="53" cm="1">
        <f t="array" aca="1" ref="AF320" ca="1">SUM(($A$320='Safety Action Tracking'!$A$3:$A$7377)*(AF317='Safety Action Tracking'!$E$3:$E$7377))</f>
        <v>0</v>
      </c>
      <c r="AG320" s="53" cm="1">
        <f t="array" aca="1" ref="AG320" ca="1">SUM(($A$320='Safety Action Tracking'!$A$3:$A$7377)*(AG317='Safety Action Tracking'!$E$3:$E$7377))</f>
        <v>3</v>
      </c>
      <c r="AH320" s="53" cm="1">
        <f t="array" aca="1" ref="AH320" ca="1">SUM(($A$320='Safety Action Tracking'!$A$3:$A$7377)*(AH317='Safety Action Tracking'!$E$3:$E$7377))</f>
        <v>4</v>
      </c>
      <c r="AI320" s="53" cm="1">
        <f t="array" aca="1" ref="AI320" ca="1">SUM(($A$320='Safety Action Tracking'!$A$3:$A$7377)*(AI317='Safety Action Tracking'!$E$3:$E$7377))</f>
        <v>1</v>
      </c>
      <c r="AJ320" s="53" cm="1">
        <f t="array" aca="1" ref="AJ320" ca="1">SUM(($A$320='Safety Action Tracking'!$A$3:$A$7377)*(AJ317='Safety Action Tracking'!$E$3:$E$7377))</f>
        <v>0</v>
      </c>
      <c r="AK320" s="53" cm="1">
        <f t="array" aca="1" ref="AK320" ca="1">SUM(($A$320='Safety Action Tracking'!$A$3:$A$7377)*(AK317='Safety Action Tracking'!$E$3:$E$7377))</f>
        <v>3</v>
      </c>
      <c r="AL320" s="53" cm="1">
        <f t="array" aca="1" ref="AL320" ca="1">SUM(($A$320='Safety Action Tracking'!$A$3:$A$7377)*(AL317='Safety Action Tracking'!$E$3:$E$7377))</f>
        <v>0</v>
      </c>
      <c r="AM320" s="53" cm="1">
        <f t="array" aca="1" ref="AM320" ca="1">SUM(($A$320='Safety Action Tracking'!$A$3:$A$7377)*(AM317='Safety Action Tracking'!$E$3:$E$7377))</f>
        <v>0</v>
      </c>
      <c r="AN320" s="53" cm="1">
        <f t="array" aca="1" ref="AN320" ca="1">SUM(($A$320='Safety Action Tracking'!$A$3:$A$7377)*(AN317='Safety Action Tracking'!$E$3:$E$7377))</f>
        <v>0</v>
      </c>
      <c r="AO320" s="53">
        <f ca="1">SUM(AB320:AN320)</f>
        <v>15</v>
      </c>
    </row>
    <row r="321" spans="1:41" x14ac:dyDescent="0.35">
      <c r="A321" s="151" t="s">
        <v>14</v>
      </c>
      <c r="B321" s="448">
        <f t="shared" ref="B321:N321" ca="1" si="222">SUM(B318:B320)</f>
        <v>0</v>
      </c>
      <c r="C321" s="448">
        <f t="shared" ca="1" si="222"/>
        <v>0</v>
      </c>
      <c r="D321" s="448">
        <f t="shared" ca="1" si="222"/>
        <v>8</v>
      </c>
      <c r="E321" s="448">
        <f t="shared" ca="1" si="222"/>
        <v>0</v>
      </c>
      <c r="F321" s="448">
        <f t="shared" ca="1" si="222"/>
        <v>2</v>
      </c>
      <c r="G321" s="448">
        <f t="shared" ca="1" si="222"/>
        <v>0</v>
      </c>
      <c r="H321" s="448">
        <f t="shared" ca="1" si="222"/>
        <v>0</v>
      </c>
      <c r="I321" s="448">
        <f t="shared" ca="1" si="222"/>
        <v>0</v>
      </c>
      <c r="J321" s="53">
        <f t="shared" ca="1" si="222"/>
        <v>1</v>
      </c>
      <c r="K321" s="53">
        <f t="shared" ca="1" si="222"/>
        <v>37</v>
      </c>
      <c r="L321" s="53">
        <f t="shared" ca="1" si="222"/>
        <v>31</v>
      </c>
      <c r="M321" s="53">
        <f t="shared" ca="1" si="222"/>
        <v>13</v>
      </c>
      <c r="N321" s="53">
        <f t="shared" ca="1" si="222"/>
        <v>1</v>
      </c>
      <c r="O321" s="53">
        <f t="shared" ref="O321:Z321" ca="1" si="223">SUM(O318:O320)</f>
        <v>36</v>
      </c>
      <c r="P321" s="53">
        <f t="shared" ca="1" si="223"/>
        <v>60</v>
      </c>
      <c r="Q321" s="53">
        <f t="shared" ca="1" si="223"/>
        <v>13</v>
      </c>
      <c r="R321" s="53">
        <f t="shared" ca="1" si="223"/>
        <v>19</v>
      </c>
      <c r="S321" s="53">
        <f t="shared" ca="1" si="223"/>
        <v>28</v>
      </c>
      <c r="T321" s="53">
        <f t="shared" ca="1" si="223"/>
        <v>20</v>
      </c>
      <c r="U321" s="53">
        <f t="shared" ca="1" si="223"/>
        <v>21</v>
      </c>
      <c r="V321" s="53">
        <f t="shared" ca="1" si="223"/>
        <v>22</v>
      </c>
      <c r="W321" s="53">
        <f t="shared" ca="1" si="223"/>
        <v>16</v>
      </c>
      <c r="X321" s="53">
        <f t="shared" ca="1" si="223"/>
        <v>15</v>
      </c>
      <c r="Y321" s="53">
        <f t="shared" ca="1" si="223"/>
        <v>7</v>
      </c>
      <c r="Z321" s="53">
        <f t="shared" ca="1" si="223"/>
        <v>15</v>
      </c>
      <c r="AA321" s="53">
        <f t="shared" ref="AA321:AN321" ca="1" si="224">SUM(AA318:AA320)</f>
        <v>13</v>
      </c>
      <c r="AB321" s="53">
        <f t="shared" ca="1" si="224"/>
        <v>8</v>
      </c>
      <c r="AC321" s="53">
        <f t="shared" ca="1" si="224"/>
        <v>9</v>
      </c>
      <c r="AD321" s="53">
        <f t="shared" ca="1" si="224"/>
        <v>4</v>
      </c>
      <c r="AE321" s="53">
        <f t="shared" ca="1" si="224"/>
        <v>5</v>
      </c>
      <c r="AF321" s="53">
        <f t="shared" ca="1" si="224"/>
        <v>2</v>
      </c>
      <c r="AG321" s="53">
        <f t="shared" ca="1" si="224"/>
        <v>16</v>
      </c>
      <c r="AH321" s="53">
        <f t="shared" ca="1" si="224"/>
        <v>20</v>
      </c>
      <c r="AI321" s="53">
        <f t="shared" ca="1" si="224"/>
        <v>5</v>
      </c>
      <c r="AJ321" s="53">
        <f t="shared" ca="1" si="224"/>
        <v>10</v>
      </c>
      <c r="AK321" s="53">
        <f t="shared" ca="1" si="224"/>
        <v>10</v>
      </c>
      <c r="AL321" s="53">
        <f t="shared" ca="1" si="224"/>
        <v>17</v>
      </c>
      <c r="AM321" s="53">
        <f t="shared" ca="1" si="224"/>
        <v>0</v>
      </c>
      <c r="AN321" s="53">
        <f t="shared" ca="1" si="224"/>
        <v>0</v>
      </c>
      <c r="AO321" s="53">
        <f ca="1">SUM(AB321:AN321)</f>
        <v>106</v>
      </c>
    </row>
    <row r="322" spans="1:41" ht="15" thickBot="1" x14ac:dyDescent="0.4"/>
    <row r="323" spans="1:41" ht="15" thickBot="1" x14ac:dyDescent="0.4">
      <c r="A323" s="17" t="s">
        <v>109</v>
      </c>
      <c r="B323" s="396">
        <v>2301</v>
      </c>
      <c r="C323" s="396">
        <v>2302</v>
      </c>
      <c r="D323" s="396">
        <v>2303</v>
      </c>
      <c r="E323" s="396">
        <v>2304</v>
      </c>
      <c r="F323" s="396">
        <v>2305</v>
      </c>
      <c r="G323" s="396">
        <v>2306</v>
      </c>
      <c r="H323" s="396">
        <v>2307</v>
      </c>
      <c r="I323" s="396">
        <v>2308</v>
      </c>
      <c r="J323" s="206">
        <v>2309</v>
      </c>
      <c r="K323" s="206">
        <v>2310</v>
      </c>
      <c r="L323" s="206">
        <v>2311</v>
      </c>
      <c r="M323" s="206">
        <v>2312</v>
      </c>
      <c r="N323" s="206">
        <v>2313</v>
      </c>
      <c r="O323" s="211">
        <v>2401</v>
      </c>
      <c r="P323" s="206">
        <v>2402</v>
      </c>
      <c r="Q323" s="206">
        <v>2403</v>
      </c>
      <c r="R323" s="206">
        <v>2404</v>
      </c>
      <c r="S323" s="206">
        <v>2405</v>
      </c>
      <c r="T323" s="206">
        <v>2406</v>
      </c>
      <c r="U323" s="206">
        <v>2407</v>
      </c>
      <c r="V323" s="206">
        <v>2408</v>
      </c>
      <c r="W323" s="206">
        <v>2409</v>
      </c>
      <c r="X323" s="206">
        <v>2410</v>
      </c>
      <c r="Y323" s="206">
        <v>2411</v>
      </c>
      <c r="Z323" s="212">
        <v>2412</v>
      </c>
      <c r="AA323" s="208">
        <v>2413</v>
      </c>
      <c r="AB323" s="284">
        <v>2501</v>
      </c>
      <c r="AC323" s="284">
        <v>2502</v>
      </c>
      <c r="AD323" s="284">
        <v>2503</v>
      </c>
      <c r="AE323" s="284">
        <v>2504</v>
      </c>
      <c r="AF323" s="284">
        <v>2505</v>
      </c>
      <c r="AG323" s="284">
        <v>2506</v>
      </c>
      <c r="AH323" s="284">
        <v>2507</v>
      </c>
      <c r="AI323" s="284">
        <v>2508</v>
      </c>
      <c r="AJ323" s="284">
        <v>2509</v>
      </c>
      <c r="AK323" s="284">
        <v>2510</v>
      </c>
      <c r="AL323" s="284">
        <v>2511</v>
      </c>
      <c r="AM323" s="284">
        <v>2512</v>
      </c>
      <c r="AN323" s="284">
        <v>2513</v>
      </c>
    </row>
    <row r="324" spans="1:41" x14ac:dyDescent="0.35">
      <c r="A324" s="174" t="s">
        <v>103</v>
      </c>
      <c r="B324" s="448" cm="1">
        <f t="array" aca="1" ref="B324" ca="1">SUM(($A$318='Accident &amp; Incident Detail'!$A$1:$A$3433)*(B323='Accident &amp; Incident Detail'!$C$1:$C$3433))</f>
        <v>0</v>
      </c>
      <c r="C324" s="448" cm="1">
        <f t="array" aca="1" ref="C324" ca="1">SUM(($A$318='Accident &amp; Incident Detail'!$A$1:$A$3433)*(C323='Accident &amp; Incident Detail'!$C$1:$C$3433))</f>
        <v>0</v>
      </c>
      <c r="D324" s="448" cm="1">
        <f t="array" aca="1" ref="D324" ca="1">SUM(($A$318='Accident &amp; Incident Detail'!$A$1:$A$3433)*(D323='Accident &amp; Incident Detail'!$C$1:$C$3433))</f>
        <v>0</v>
      </c>
      <c r="E324" s="448" cm="1">
        <f t="array" aca="1" ref="E324" ca="1">SUM(($A$318='Accident &amp; Incident Detail'!$A$1:$A$3433)*(E323='Accident &amp; Incident Detail'!$C$1:$C$3433))</f>
        <v>0</v>
      </c>
      <c r="F324" s="448" cm="1">
        <f t="array" aca="1" ref="F324" ca="1">SUM(($A$318='Accident &amp; Incident Detail'!$A$1:$A$3433)*(F323='Accident &amp; Incident Detail'!$C$1:$C$3433))</f>
        <v>0</v>
      </c>
      <c r="G324" s="448" cm="1">
        <f t="array" aca="1" ref="G324" ca="1">SUM(($A$318='Accident &amp; Incident Detail'!$A$1:$A$3433)*(G323='Accident &amp; Incident Detail'!$C$1:$C$3433))</f>
        <v>0</v>
      </c>
      <c r="H324" s="448" cm="1">
        <f t="array" aca="1" ref="H324" ca="1">SUM(($A$318='Accident &amp; Incident Detail'!$A$1:$A$3433)*(H323='Accident &amp; Incident Detail'!$C$1:$C$3433))</f>
        <v>0</v>
      </c>
      <c r="I324" s="448" cm="1">
        <f t="array" aca="1" ref="I324" ca="1">SUM(($A$318='Accident &amp; Incident Detail'!$A$1:$A$3433)*(I323='Accident &amp; Incident Detail'!$C$1:$C$3433))</f>
        <v>0</v>
      </c>
      <c r="J324" s="53" cm="1">
        <f t="array" aca="1" ref="J324" ca="1">SUM(($A$318='Accident &amp; Incident Detail'!$A$1:$A$3433)*(J323='Accident &amp; Incident Detail'!$C$1:$C$3433))</f>
        <v>0</v>
      </c>
      <c r="K324" s="53" cm="1">
        <f t="array" aca="1" ref="K324" ca="1">SUM(($A$318='Accident &amp; Incident Detail'!$A$1:$A$3433)*(K323='Accident &amp; Incident Detail'!$C$1:$C$3433))</f>
        <v>0</v>
      </c>
      <c r="L324" s="53" cm="1">
        <f t="array" aca="1" ref="L324" ca="1">SUM(($A$318='Accident &amp; Incident Detail'!$A$1:$A$3433)*(L323='Accident &amp; Incident Detail'!$C$1:$C$3433))</f>
        <v>0</v>
      </c>
      <c r="M324" s="53" cm="1">
        <f t="array" aca="1" ref="M324" ca="1">SUM(($A$318='Accident &amp; Incident Detail'!$A$1:$A$3433)*(M323='Accident &amp; Incident Detail'!$C$1:$C$3433))</f>
        <v>0</v>
      </c>
      <c r="N324" s="53" cm="1">
        <f t="array" aca="1" ref="N324" ca="1">SUM(($A$318='Accident &amp; Incident Detail'!$A$1:$A$3433)*(N323='Accident &amp; Incident Detail'!$C$1:$C$3433))</f>
        <v>0</v>
      </c>
      <c r="O324" s="53" cm="1">
        <f t="array" aca="1" ref="O324" ca="1">SUM(($A$318='Accident &amp; Incident Detail'!$A$1:$A$3433)*(O323='Accident &amp; Incident Detail'!$C$1:$C$3433))</f>
        <v>0</v>
      </c>
      <c r="P324" s="53" cm="1">
        <f t="array" aca="1" ref="P324" ca="1">SUM(($A$318='Accident &amp; Incident Detail'!$A$1:$A$3433)*(P323='Accident &amp; Incident Detail'!$C$1:$C$3433))</f>
        <v>0</v>
      </c>
      <c r="Q324" s="53" cm="1">
        <f t="array" aca="1" ref="Q324" ca="1">SUM(($A$318='Accident &amp; Incident Detail'!$A$1:$A$3433)*(Q323='Accident &amp; Incident Detail'!$C$1:$C$3433))</f>
        <v>0</v>
      </c>
      <c r="R324" s="53" cm="1">
        <f t="array" aca="1" ref="R324" ca="1">SUM(($A$318='Accident &amp; Incident Detail'!$A$1:$A$3433)*(R323='Accident &amp; Incident Detail'!$C$1:$C$3433))</f>
        <v>0</v>
      </c>
      <c r="S324" s="53" cm="1">
        <f t="array" aca="1" ref="S324" ca="1">SUM(($A$318='Accident &amp; Incident Detail'!$A$1:$A$3433)*(S323='Accident &amp; Incident Detail'!$C$1:$C$3433))</f>
        <v>0</v>
      </c>
      <c r="T324" s="53" cm="1">
        <f t="array" aca="1" ref="T324" ca="1">SUM(($A$318='Accident &amp; Incident Detail'!$A$1:$A$3433)*(T323='Accident &amp; Incident Detail'!$C$1:$C$3433))</f>
        <v>0</v>
      </c>
      <c r="U324" s="53" cm="1">
        <f t="array" aca="1" ref="U324" ca="1">SUM(($A$318='Accident &amp; Incident Detail'!$A$1:$A$3433)*(U323='Accident &amp; Incident Detail'!$C$1:$C$3433))</f>
        <v>0</v>
      </c>
      <c r="V324" s="53" cm="1">
        <f t="array" aca="1" ref="V324" ca="1">SUM(($A$318='Accident &amp; Incident Detail'!$A$1:$A$3433)*(V323='Accident &amp; Incident Detail'!$C$1:$C$3433))</f>
        <v>0</v>
      </c>
      <c r="W324" s="53" cm="1">
        <f t="array" aca="1" ref="W324" ca="1">SUM(($A$318='Accident &amp; Incident Detail'!$A$1:$A$3433)*(W323='Accident &amp; Incident Detail'!$C$1:$C$3433))</f>
        <v>0</v>
      </c>
      <c r="X324" s="53" cm="1">
        <f t="array" aca="1" ref="X324" ca="1">SUM(($A$318='Accident &amp; Incident Detail'!$A$1:$A$3433)*(X323='Accident &amp; Incident Detail'!$C$1:$C$3433))</f>
        <v>0</v>
      </c>
      <c r="Y324" s="53" cm="1">
        <f t="array" aca="1" ref="Y324" ca="1">SUM(($A$318='Accident &amp; Incident Detail'!$A$1:$A$3433)*(Y323='Accident &amp; Incident Detail'!$C$1:$C$3433))</f>
        <v>0</v>
      </c>
      <c r="Z324" s="53" cm="1">
        <f t="array" aca="1" ref="Z324" ca="1">SUM(($A$318='Accident &amp; Incident Detail'!$A$1:$A$3433)*(Z323='Accident &amp; Incident Detail'!$C$1:$C$3433))</f>
        <v>0</v>
      </c>
      <c r="AA324" s="53" cm="1">
        <f t="array" aca="1" ref="AA324" ca="1">SUM(($A$318='Accident &amp; Incident Detail'!$A$1:$A$3433)*(AA323='Accident &amp; Incident Detail'!$C$1:$C$3433))</f>
        <v>0</v>
      </c>
      <c r="AB324" s="53" cm="1">
        <f t="array" aca="1" ref="AB324" ca="1">SUM(($A$318='Accident &amp; Incident Detail'!$A$1:$A$3433)*(AB323='Accident &amp; Incident Detail'!$C$1:$C$3433))</f>
        <v>0</v>
      </c>
      <c r="AC324" s="53" cm="1">
        <f t="array" aca="1" ref="AC324" ca="1">SUM(($A$318='Accident &amp; Incident Detail'!$A$1:$A$3433)*(AC323='Accident &amp; Incident Detail'!$C$1:$C$3433))</f>
        <v>0</v>
      </c>
      <c r="AD324" s="53" cm="1">
        <f t="array" aca="1" ref="AD324" ca="1">SUM(($A$318='Accident &amp; Incident Detail'!$A$1:$A$3433)*(AD323='Accident &amp; Incident Detail'!$C$1:$C$3433))</f>
        <v>0</v>
      </c>
      <c r="AE324" s="53" cm="1">
        <f t="array" aca="1" ref="AE324" ca="1">SUM(($A$318='Accident &amp; Incident Detail'!$A$1:$A$3433)*(AE323='Accident &amp; Incident Detail'!$C$1:$C$3433))</f>
        <v>0</v>
      </c>
      <c r="AF324" s="53" cm="1">
        <f t="array" aca="1" ref="AF324" ca="1">SUM(($A$318='Accident &amp; Incident Detail'!$A$1:$A$3433)*(AF323='Accident &amp; Incident Detail'!$C$1:$C$3433))</f>
        <v>0</v>
      </c>
      <c r="AG324" s="53" cm="1">
        <f t="array" aca="1" ref="AG324" ca="1">SUM(($A$318='Accident &amp; Incident Detail'!$A$1:$A$3433)*(AG323='Accident &amp; Incident Detail'!$C$1:$C$3433))</f>
        <v>0</v>
      </c>
      <c r="AH324" s="53" cm="1">
        <f t="array" aca="1" ref="AH324" ca="1">SUM(($A$318='Accident &amp; Incident Detail'!$A$1:$A$3433)*(AH323='Accident &amp; Incident Detail'!$C$1:$C$3433))</f>
        <v>1</v>
      </c>
      <c r="AI324" s="53" cm="1">
        <f t="array" aca="1" ref="AI324" ca="1">SUM(($A$318='Accident &amp; Incident Detail'!$A$1:$A$3433)*(AI323='Accident &amp; Incident Detail'!$C$1:$C$3433))</f>
        <v>0</v>
      </c>
      <c r="AJ324" s="53" cm="1">
        <f t="array" aca="1" ref="AJ324" ca="1">SUM(($A$318='Accident &amp; Incident Detail'!$A$1:$A$3433)*(AJ323='Accident &amp; Incident Detail'!$C$1:$C$3433))</f>
        <v>0</v>
      </c>
      <c r="AK324" s="53" cm="1">
        <f t="array" aca="1" ref="AK324" ca="1">SUM(($A$318='Accident &amp; Incident Detail'!$A$1:$A$3433)*(AK323='Accident &amp; Incident Detail'!$C$1:$C$3433))</f>
        <v>0</v>
      </c>
      <c r="AL324" s="53" cm="1">
        <f t="array" aca="1" ref="AL324" ca="1">SUM(($A$318='Accident &amp; Incident Detail'!$A$1:$A$3433)*(AL323='Accident &amp; Incident Detail'!$C$1:$C$3433))</f>
        <v>13</v>
      </c>
      <c r="AM324" s="53" cm="1">
        <f t="array" aca="1" ref="AM324" ca="1">SUM(($A$318='Accident &amp; Incident Detail'!$A$1:$A$3433)*(AM323='Accident &amp; Incident Detail'!$C$1:$C$3433))</f>
        <v>0</v>
      </c>
      <c r="AN324" s="53" cm="1">
        <f t="array" aca="1" ref="AN324" ca="1">SUM(($A$318='Accident &amp; Incident Detail'!$A$1:$A$3433)*(AN323='Accident &amp; Incident Detail'!$C$1:$C$3433))</f>
        <v>0</v>
      </c>
    </row>
    <row r="325" spans="1:41" x14ac:dyDescent="0.35">
      <c r="A325" s="174" t="s">
        <v>104</v>
      </c>
      <c r="B325" s="448" cm="1">
        <f t="array" aca="1" ref="B325" ca="1">SUM(($A$319='Accident &amp; Incident Detail'!$A$1:$A$3433)*(B323='Accident &amp; Incident Detail'!$C$1:$C$3433))</f>
        <v>0</v>
      </c>
      <c r="C325" s="448" cm="1">
        <f t="array" aca="1" ref="C325" ca="1">SUM(($A$319='Accident &amp; Incident Detail'!$A$1:$A$3433)*(C323='Accident &amp; Incident Detail'!$C$1:$C$3433))</f>
        <v>0</v>
      </c>
      <c r="D325" s="448" cm="1">
        <f t="array" aca="1" ref="D325" ca="1">SUM(($A$319='Accident &amp; Incident Detail'!$A$1:$A$3433)*(D323='Accident &amp; Incident Detail'!$C$1:$C$3433))</f>
        <v>0</v>
      </c>
      <c r="E325" s="448" cm="1">
        <f t="array" aca="1" ref="E325" ca="1">SUM(($A$319='Accident &amp; Incident Detail'!$A$1:$A$3433)*(E323='Accident &amp; Incident Detail'!$C$1:$C$3433))</f>
        <v>0</v>
      </c>
      <c r="F325" s="448" cm="1">
        <f t="array" aca="1" ref="F325" ca="1">SUM(($A$319='Accident &amp; Incident Detail'!$A$1:$A$3433)*(F323='Accident &amp; Incident Detail'!$C$1:$C$3433))</f>
        <v>0</v>
      </c>
      <c r="G325" s="448" cm="1">
        <f t="array" aca="1" ref="G325" ca="1">SUM(($A$319='Accident &amp; Incident Detail'!$A$1:$A$3433)*(G323='Accident &amp; Incident Detail'!$C$1:$C$3433))</f>
        <v>0</v>
      </c>
      <c r="H325" s="448" cm="1">
        <f t="array" aca="1" ref="H325" ca="1">SUM(($A$319='Accident &amp; Incident Detail'!$A$1:$A$3433)*(H323='Accident &amp; Incident Detail'!$C$1:$C$3433))</f>
        <v>0</v>
      </c>
      <c r="I325" s="448" cm="1">
        <f t="array" aca="1" ref="I325" ca="1">SUM(($A$319='Accident &amp; Incident Detail'!$A$1:$A$3433)*(I323='Accident &amp; Incident Detail'!$C$1:$C$3433))</f>
        <v>0</v>
      </c>
      <c r="J325" s="53" cm="1">
        <f t="array" aca="1" ref="J325" ca="1">SUM(($A$319='Accident &amp; Incident Detail'!$A$1:$A$3433)*(J323='Accident &amp; Incident Detail'!$C$1:$C$3433))</f>
        <v>12</v>
      </c>
      <c r="K325" s="53" cm="1">
        <f t="array" aca="1" ref="K325" ca="1">SUM(($A$319='Accident &amp; Incident Detail'!$A$1:$A$3433)*(K323='Accident &amp; Incident Detail'!$C$1:$C$3433))</f>
        <v>59</v>
      </c>
      <c r="L325" s="53" cm="1">
        <f t="array" aca="1" ref="L325" ca="1">SUM(($A$319='Accident &amp; Incident Detail'!$A$1:$A$3433)*(L323='Accident &amp; Incident Detail'!$C$1:$C$3433))</f>
        <v>77</v>
      </c>
      <c r="M325" s="53" cm="1">
        <f t="array" aca="1" ref="M325" ca="1">SUM(($A$319='Accident &amp; Incident Detail'!$A$1:$A$3433)*(M323='Accident &amp; Incident Detail'!$C$1:$C$3433))</f>
        <v>48</v>
      </c>
      <c r="N325" s="53" cm="1">
        <f t="array" aca="1" ref="N325" ca="1">SUM(($A$319='Accident &amp; Incident Detail'!$A$1:$A$3433)*(N323='Accident &amp; Incident Detail'!$C$1:$C$3433))</f>
        <v>0</v>
      </c>
      <c r="O325" s="53" cm="1">
        <f t="array" aca="1" ref="O325" ca="1">SUM(($A$319='Accident &amp; Incident Detail'!$A$1:$A$3433)*(O323='Accident &amp; Incident Detail'!$C$1:$C$3433))</f>
        <v>62</v>
      </c>
      <c r="P325" s="53" cm="1">
        <f t="array" aca="1" ref="P325" ca="1">SUM(($A$319='Accident &amp; Incident Detail'!$A$1:$A$3433)*(P323='Accident &amp; Incident Detail'!$C$1:$C$3433))</f>
        <v>56</v>
      </c>
      <c r="Q325" s="53" cm="1">
        <f t="array" aca="1" ref="Q325" ca="1">SUM(($A$319='Accident &amp; Incident Detail'!$A$1:$A$3433)*(Q323='Accident &amp; Incident Detail'!$C$1:$C$3433))</f>
        <v>65</v>
      </c>
      <c r="R325" s="53" cm="1">
        <f t="array" aca="1" ref="R325" ca="1">SUM(($A$319='Accident &amp; Incident Detail'!$A$1:$A$3433)*(R323='Accident &amp; Incident Detail'!$C$1:$C$3433))</f>
        <v>57</v>
      </c>
      <c r="S325" s="53" cm="1">
        <f t="array" aca="1" ref="S325" ca="1">SUM(($A$319='Accident &amp; Incident Detail'!$A$1:$A$3433)*(S323='Accident &amp; Incident Detail'!$C$1:$C$3433))</f>
        <v>40</v>
      </c>
      <c r="T325" s="53" cm="1">
        <f t="array" aca="1" ref="T325" ca="1">SUM(($A$319='Accident &amp; Incident Detail'!$A$1:$A$3433)*(T323='Accident &amp; Incident Detail'!$C$1:$C$3433))</f>
        <v>61</v>
      </c>
      <c r="U325" s="53" cm="1">
        <f t="array" aca="1" ref="U325" ca="1">SUM(($A$319='Accident &amp; Incident Detail'!$A$1:$A$3433)*(U323='Accident &amp; Incident Detail'!$C$1:$C$3433))</f>
        <v>78</v>
      </c>
      <c r="V325" s="53" cm="1">
        <f t="array" aca="1" ref="V325" ca="1">SUM(($A$319='Accident &amp; Incident Detail'!$A$1:$A$3433)*(V323='Accident &amp; Incident Detail'!$C$1:$C$3433))</f>
        <v>74</v>
      </c>
      <c r="W325" s="53" cm="1">
        <f t="array" aca="1" ref="W325" ca="1">SUM(($A$319='Accident &amp; Incident Detail'!$A$1:$A$3433)*(W323='Accident &amp; Incident Detail'!$C$1:$C$3433))</f>
        <v>68</v>
      </c>
      <c r="X325" s="53" cm="1">
        <f t="array" aca="1" ref="X325" ca="1">SUM(($A$319='Accident &amp; Incident Detail'!$A$1:$A$3433)*(X323='Accident &amp; Incident Detail'!$C$1:$C$3433))</f>
        <v>46</v>
      </c>
      <c r="Y325" s="53" cm="1">
        <f t="array" aca="1" ref="Y325" ca="1">SUM(($A$319='Accident &amp; Incident Detail'!$A$1:$A$3433)*(Y323='Accident &amp; Incident Detail'!$C$1:$C$3433))</f>
        <v>77</v>
      </c>
      <c r="Z325" s="53" cm="1">
        <f t="array" aca="1" ref="Z325" ca="1">SUM(($A$319='Accident &amp; Incident Detail'!$A$1:$A$3433)*(Z323='Accident &amp; Incident Detail'!$C$1:$C$3433))</f>
        <v>61</v>
      </c>
      <c r="AA325" s="53" cm="1">
        <f t="array" aca="1" ref="AA325" ca="1">SUM(($A$319='Accident &amp; Incident Detail'!$A$1:$A$3433)*(AA323='Accident &amp; Incident Detail'!$C$1:$C$3433))</f>
        <v>68</v>
      </c>
      <c r="AB325" s="53" cm="1">
        <f t="array" aca="1" ref="AB325" ca="1">SUM(($A$319='Accident &amp; Incident Detail'!$A$1:$A$3433)*(AB323='Accident &amp; Incident Detail'!$C$1:$C$3433))</f>
        <v>53</v>
      </c>
      <c r="AC325" s="53" cm="1">
        <f t="array" aca="1" ref="AC325" ca="1">SUM(($A$319='Accident &amp; Incident Detail'!$A$1:$A$3433)*(AC323='Accident &amp; Incident Detail'!$C$1:$C$3433))</f>
        <v>55</v>
      </c>
      <c r="AD325" s="53" cm="1">
        <f t="array" aca="1" ref="AD325" ca="1">SUM(($A$319='Accident &amp; Incident Detail'!$A$1:$A$3433)*(AD323='Accident &amp; Incident Detail'!$C$1:$C$3433))</f>
        <v>58</v>
      </c>
      <c r="AE325" s="53" cm="1">
        <f t="array" aca="1" ref="AE325" ca="1">SUM(($A$319='Accident &amp; Incident Detail'!$A$1:$A$3433)*(AE323='Accident &amp; Incident Detail'!$C$1:$C$3433))</f>
        <v>39</v>
      </c>
      <c r="AF325" s="53" cm="1">
        <f t="array" aca="1" ref="AF325" ca="1">SUM(($A$319='Accident &amp; Incident Detail'!$A$1:$A$3433)*(AF323='Accident &amp; Incident Detail'!$C$1:$C$3433))</f>
        <v>34</v>
      </c>
      <c r="AG325" s="53" cm="1">
        <f t="array" aca="1" ref="AG325" ca="1">SUM(($A$319='Accident &amp; Incident Detail'!$A$1:$A$3433)*(AG323='Accident &amp; Incident Detail'!$C$1:$C$3433))</f>
        <v>61</v>
      </c>
      <c r="AH325" s="53" cm="1">
        <f t="array" aca="1" ref="AH325" ca="1">SUM(($A$319='Accident &amp; Incident Detail'!$A$1:$A$3433)*(AH323='Accident &amp; Incident Detail'!$C$1:$C$3433))</f>
        <v>47</v>
      </c>
      <c r="AI325" s="53" cm="1">
        <f t="array" aca="1" ref="AI325" ca="1">SUM(($A$319='Accident &amp; Incident Detail'!$A$1:$A$3433)*(AI323='Accident &amp; Incident Detail'!$C$1:$C$3433))</f>
        <v>36</v>
      </c>
      <c r="AJ325" s="53" cm="1">
        <f t="array" aca="1" ref="AJ325" ca="1">SUM(($A$319='Accident &amp; Incident Detail'!$A$1:$A$3433)*(AJ323='Accident &amp; Incident Detail'!$C$1:$C$3433))</f>
        <v>35</v>
      </c>
      <c r="AK325" s="53" cm="1">
        <f t="array" aca="1" ref="AK325" ca="1">SUM(($A$319='Accident &amp; Incident Detail'!$A$1:$A$3433)*(AK323='Accident &amp; Incident Detail'!$C$1:$C$3433))</f>
        <v>35</v>
      </c>
      <c r="AL325" s="53" cm="1">
        <f t="array" aca="1" ref="AL325" ca="1">SUM(($A$319='Accident &amp; Incident Detail'!$A$1:$A$3433)*(AL323='Accident &amp; Incident Detail'!$C$1:$C$3433))</f>
        <v>17</v>
      </c>
      <c r="AM325" s="53" cm="1">
        <f t="array" aca="1" ref="AM325" ca="1">SUM(($A$319='Accident &amp; Incident Detail'!$A$1:$A$3433)*(AM323='Accident &amp; Incident Detail'!$C$1:$C$3433))</f>
        <v>1</v>
      </c>
      <c r="AN325" s="53" cm="1">
        <f t="array" aca="1" ref="AN325" ca="1">SUM(($A$319='Accident &amp; Incident Detail'!$A$1:$A$3433)*(AN323='Accident &amp; Incident Detail'!$C$1:$C$3433))</f>
        <v>0</v>
      </c>
    </row>
    <row r="326" spans="1:41" x14ac:dyDescent="0.35">
      <c r="A326" s="174" t="s">
        <v>105</v>
      </c>
      <c r="B326" s="448" cm="1">
        <f t="array" aca="1" ref="B326" ca="1">SUM(($A$320='Accident &amp; Incident Detail'!$A$1:$A$3433)*(B323='Accident &amp; Incident Detail'!$C$1:$C$3433))</f>
        <v>0</v>
      </c>
      <c r="C326" s="448" cm="1">
        <f t="array" aca="1" ref="C326" ca="1">SUM(($A$320='Accident &amp; Incident Detail'!$A$1:$A$3433)*(C323='Accident &amp; Incident Detail'!$C$1:$C$3433))</f>
        <v>0</v>
      </c>
      <c r="D326" s="448" cm="1">
        <f t="array" aca="1" ref="D326" ca="1">SUM(($A$320='Accident &amp; Incident Detail'!$A$1:$A$3433)*(D323='Accident &amp; Incident Detail'!$C$1:$C$3433))</f>
        <v>0</v>
      </c>
      <c r="E326" s="448" cm="1">
        <f t="array" aca="1" ref="E326" ca="1">SUM(($A$320='Accident &amp; Incident Detail'!$A$1:$A$3433)*(E323='Accident &amp; Incident Detail'!$C$1:$C$3433))</f>
        <v>0</v>
      </c>
      <c r="F326" s="448" cm="1">
        <f t="array" aca="1" ref="F326" ca="1">SUM(($A$320='Accident &amp; Incident Detail'!$A$1:$A$3433)*(F323='Accident &amp; Incident Detail'!$C$1:$C$3433))</f>
        <v>0</v>
      </c>
      <c r="G326" s="448" cm="1">
        <f t="array" aca="1" ref="G326" ca="1">SUM(($A$320='Accident &amp; Incident Detail'!$A$1:$A$3433)*(G323='Accident &amp; Incident Detail'!$C$1:$C$3433))</f>
        <v>0</v>
      </c>
      <c r="H326" s="448" cm="1">
        <f t="array" aca="1" ref="H326" ca="1">SUM(($A$320='Accident &amp; Incident Detail'!$A$1:$A$3433)*(H323='Accident &amp; Incident Detail'!$C$1:$C$3433))</f>
        <v>0</v>
      </c>
      <c r="I326" s="448" cm="1">
        <f t="array" aca="1" ref="I326" ca="1">SUM(($A$320='Accident &amp; Incident Detail'!$A$1:$A$3433)*(I323='Accident &amp; Incident Detail'!$C$1:$C$3433))</f>
        <v>0</v>
      </c>
      <c r="J326" s="53" cm="1">
        <f t="array" aca="1" ref="J326" ca="1">SUM(($A$320='Accident &amp; Incident Detail'!$A$1:$A$3433)*(J323='Accident &amp; Incident Detail'!$C$1:$C$3433))</f>
        <v>0</v>
      </c>
      <c r="K326" s="53" cm="1">
        <f t="array" aca="1" ref="K326" ca="1">SUM(($A$320='Accident &amp; Incident Detail'!$A$1:$A$3433)*(K323='Accident &amp; Incident Detail'!$C$1:$C$3433))</f>
        <v>0</v>
      </c>
      <c r="L326" s="53" cm="1">
        <f t="array" aca="1" ref="L326" ca="1">SUM(($A$320='Accident &amp; Incident Detail'!$A$1:$A$3433)*(L323='Accident &amp; Incident Detail'!$C$1:$C$3433))</f>
        <v>0</v>
      </c>
      <c r="M326" s="53" cm="1">
        <f t="array" aca="1" ref="M326" ca="1">SUM(($A$320='Accident &amp; Incident Detail'!$A$1:$A$3433)*(M323='Accident &amp; Incident Detail'!$C$1:$C$3433))</f>
        <v>0</v>
      </c>
      <c r="N326" s="53" cm="1">
        <f t="array" aca="1" ref="N326" ca="1">SUM(($A$320='Accident &amp; Incident Detail'!$A$1:$A$3433)*(N323='Accident &amp; Incident Detail'!$C$1:$C$3433))</f>
        <v>0</v>
      </c>
      <c r="O326" s="53" cm="1">
        <f t="array" aca="1" ref="O326" ca="1">SUM(($A$320='Accident &amp; Incident Detail'!$A$1:$A$3433)*(O323='Accident &amp; Incident Detail'!$C$1:$C$3433))</f>
        <v>0</v>
      </c>
      <c r="P326" s="53" cm="1">
        <f t="array" aca="1" ref="P326" ca="1">SUM(($A$320='Accident &amp; Incident Detail'!$A$1:$A$3433)*(P323='Accident &amp; Incident Detail'!$C$1:$C$3433))</f>
        <v>0</v>
      </c>
      <c r="Q326" s="53" cm="1">
        <f t="array" aca="1" ref="Q326" ca="1">SUM(($A$320='Accident &amp; Incident Detail'!$A$1:$A$3433)*(Q323='Accident &amp; Incident Detail'!$C$1:$C$3433))</f>
        <v>0</v>
      </c>
      <c r="R326" s="53" cm="1">
        <f t="array" aca="1" ref="R326" ca="1">SUM(($A$320='Accident &amp; Incident Detail'!$A$1:$A$3433)*(R323='Accident &amp; Incident Detail'!$C$1:$C$3433))</f>
        <v>0</v>
      </c>
      <c r="S326" s="53" cm="1">
        <f t="array" aca="1" ref="S326" ca="1">SUM(($A$320='Accident &amp; Incident Detail'!$A$1:$A$3433)*(S323='Accident &amp; Incident Detail'!$C$1:$C$3433))</f>
        <v>0</v>
      </c>
      <c r="T326" s="53" cm="1">
        <f t="array" aca="1" ref="T326" ca="1">SUM(($A$320='Accident &amp; Incident Detail'!$A$1:$A$3433)*(T323='Accident &amp; Incident Detail'!$C$1:$C$3433))</f>
        <v>0</v>
      </c>
      <c r="U326" s="53" cm="1">
        <f t="array" aca="1" ref="U326" ca="1">SUM(($A$320='Accident &amp; Incident Detail'!$A$1:$A$3433)*(U323='Accident &amp; Incident Detail'!$C$1:$C$3433))</f>
        <v>0</v>
      </c>
      <c r="V326" s="53" cm="1">
        <f t="array" aca="1" ref="V326" ca="1">SUM(($A$320='Accident &amp; Incident Detail'!$A$1:$A$3433)*(V323='Accident &amp; Incident Detail'!$C$1:$C$3433))</f>
        <v>0</v>
      </c>
      <c r="W326" s="53" cm="1">
        <f t="array" aca="1" ref="W326" ca="1">SUM(($A$320='Accident &amp; Incident Detail'!$A$1:$A$3433)*(W323='Accident &amp; Incident Detail'!$C$1:$C$3433))</f>
        <v>0</v>
      </c>
      <c r="X326" s="53" cm="1">
        <f t="array" aca="1" ref="X326" ca="1">SUM(($A$320='Accident &amp; Incident Detail'!$A$1:$A$3433)*(X323='Accident &amp; Incident Detail'!$C$1:$C$3433))</f>
        <v>0</v>
      </c>
      <c r="Y326" s="53" cm="1">
        <f t="array" aca="1" ref="Y326" ca="1">SUM(($A$320='Accident &amp; Incident Detail'!$A$1:$A$3433)*(Y323='Accident &amp; Incident Detail'!$C$1:$C$3433))</f>
        <v>0</v>
      </c>
      <c r="Z326" s="53" cm="1">
        <f t="array" aca="1" ref="Z326" ca="1">SUM(($A$320='Accident &amp; Incident Detail'!$A$1:$A$3433)*(Z323='Accident &amp; Incident Detail'!$C$1:$C$3433))</f>
        <v>0</v>
      </c>
      <c r="AA326" s="53" cm="1">
        <f t="array" aca="1" ref="AA326" ca="1">SUM(($A$320='Accident &amp; Incident Detail'!$A$1:$A$3433)*(AA323='Accident &amp; Incident Detail'!$C$1:$C$3433))</f>
        <v>0</v>
      </c>
      <c r="AB326" s="53" cm="1">
        <f t="array" aca="1" ref="AB326" ca="1">SUM(($A$320='Accident &amp; Incident Detail'!$A$1:$A$3433)*(AB323='Accident &amp; Incident Detail'!$C$1:$C$3433))</f>
        <v>0</v>
      </c>
      <c r="AC326" s="53" cm="1">
        <f t="array" aca="1" ref="AC326" ca="1">SUM(($A$320='Accident &amp; Incident Detail'!$A$1:$A$3433)*(AC323='Accident &amp; Incident Detail'!$C$1:$C$3433))</f>
        <v>0</v>
      </c>
      <c r="AD326" s="53" cm="1">
        <f t="array" aca="1" ref="AD326" ca="1">SUM(($A$320='Accident &amp; Incident Detail'!$A$1:$A$3433)*(AD323='Accident &amp; Incident Detail'!$C$1:$C$3433))</f>
        <v>0</v>
      </c>
      <c r="AE326" s="53" cm="1">
        <f t="array" aca="1" ref="AE326" ca="1">SUM(($A$320='Accident &amp; Incident Detail'!$A$1:$A$3433)*(AE323='Accident &amp; Incident Detail'!$C$1:$C$3433))</f>
        <v>4</v>
      </c>
      <c r="AF326" s="53" cm="1">
        <f t="array" aca="1" ref="AF326" ca="1">SUM(($A$320='Accident &amp; Incident Detail'!$A$1:$A$3433)*(AF323='Accident &amp; Incident Detail'!$C$1:$C$3433))</f>
        <v>6</v>
      </c>
      <c r="AG326" s="53" cm="1">
        <f t="array" aca="1" ref="AG326" ca="1">SUM(($A$320='Accident &amp; Incident Detail'!$A$1:$A$3433)*(AG323='Accident &amp; Incident Detail'!$C$1:$C$3433))</f>
        <v>8</v>
      </c>
      <c r="AH326" s="53" cm="1">
        <f t="array" aca="1" ref="AH326" ca="1">SUM(($A$320='Accident &amp; Incident Detail'!$A$1:$A$3433)*(AH323='Accident &amp; Incident Detail'!$C$1:$C$3433))</f>
        <v>14</v>
      </c>
      <c r="AI326" s="53" cm="1">
        <f t="array" aca="1" ref="AI326" ca="1">SUM(($A$320='Accident &amp; Incident Detail'!$A$1:$A$3433)*(AI323='Accident &amp; Incident Detail'!$C$1:$C$3433))</f>
        <v>18</v>
      </c>
      <c r="AJ326" s="53" cm="1">
        <f t="array" aca="1" ref="AJ326" ca="1">SUM(($A$320='Accident &amp; Incident Detail'!$A$1:$A$3433)*(AJ323='Accident &amp; Incident Detail'!$C$1:$C$3433))</f>
        <v>17</v>
      </c>
      <c r="AK326" s="53" cm="1">
        <f t="array" aca="1" ref="AK326" ca="1">SUM(($A$320='Accident &amp; Incident Detail'!$A$1:$A$3433)*(AK323='Accident &amp; Incident Detail'!$C$1:$C$3433))</f>
        <v>8</v>
      </c>
      <c r="AL326" s="53" cm="1">
        <f t="array" aca="1" ref="AL326" ca="1">SUM(($A$320='Accident &amp; Incident Detail'!$A$1:$A$3433)*(AL323='Accident &amp; Incident Detail'!$C$1:$C$3433))</f>
        <v>0</v>
      </c>
      <c r="AM326" s="53" cm="1">
        <f t="array" aca="1" ref="AM326" ca="1">SUM(($A$320='Accident &amp; Incident Detail'!$A$1:$A$3433)*(AM323='Accident &amp; Incident Detail'!$C$1:$C$3433))</f>
        <v>0</v>
      </c>
      <c r="AN326" s="53" cm="1">
        <f t="array" aca="1" ref="AN326" ca="1">SUM(($A$320='Accident &amp; Incident Detail'!$A$1:$A$3433)*(AN323='Accident &amp; Incident Detail'!$C$1:$C$3433))</f>
        <v>0</v>
      </c>
    </row>
    <row r="327" spans="1:41" x14ac:dyDescent="0.35">
      <c r="A327" s="151" t="s">
        <v>14</v>
      </c>
      <c r="B327" s="448">
        <f t="shared" ref="B327:N327" ca="1" si="225">SUM(B324:B326)</f>
        <v>0</v>
      </c>
      <c r="C327" s="448">
        <f t="shared" ca="1" si="225"/>
        <v>0</v>
      </c>
      <c r="D327" s="448">
        <f t="shared" ca="1" si="225"/>
        <v>0</v>
      </c>
      <c r="E327" s="448">
        <f t="shared" ca="1" si="225"/>
        <v>0</v>
      </c>
      <c r="F327" s="448">
        <f t="shared" ca="1" si="225"/>
        <v>0</v>
      </c>
      <c r="G327" s="448">
        <f t="shared" ca="1" si="225"/>
        <v>0</v>
      </c>
      <c r="H327" s="448">
        <f t="shared" ca="1" si="225"/>
        <v>0</v>
      </c>
      <c r="I327" s="448">
        <f t="shared" ca="1" si="225"/>
        <v>0</v>
      </c>
      <c r="J327" s="53">
        <f t="shared" ca="1" si="225"/>
        <v>12</v>
      </c>
      <c r="K327" s="53">
        <f t="shared" ca="1" si="225"/>
        <v>59</v>
      </c>
      <c r="L327" s="53">
        <f t="shared" ca="1" si="225"/>
        <v>77</v>
      </c>
      <c r="M327" s="53">
        <f t="shared" ca="1" si="225"/>
        <v>48</v>
      </c>
      <c r="N327" s="53">
        <f t="shared" ca="1" si="225"/>
        <v>0</v>
      </c>
      <c r="O327" s="53">
        <f t="shared" ref="O327:Z327" ca="1" si="226">SUM(O324:O326)</f>
        <v>62</v>
      </c>
      <c r="P327" s="53">
        <f t="shared" ca="1" si="226"/>
        <v>56</v>
      </c>
      <c r="Q327" s="53">
        <f t="shared" ca="1" si="226"/>
        <v>65</v>
      </c>
      <c r="R327" s="53">
        <f t="shared" ca="1" si="226"/>
        <v>57</v>
      </c>
      <c r="S327" s="53">
        <f t="shared" ca="1" si="226"/>
        <v>40</v>
      </c>
      <c r="T327" s="53">
        <f t="shared" ca="1" si="226"/>
        <v>61</v>
      </c>
      <c r="U327" s="53">
        <f t="shared" ca="1" si="226"/>
        <v>78</v>
      </c>
      <c r="V327" s="53">
        <f t="shared" ca="1" si="226"/>
        <v>74</v>
      </c>
      <c r="W327" s="53">
        <f t="shared" ca="1" si="226"/>
        <v>68</v>
      </c>
      <c r="X327" s="53">
        <f t="shared" ca="1" si="226"/>
        <v>46</v>
      </c>
      <c r="Y327" s="53">
        <f t="shared" ca="1" si="226"/>
        <v>77</v>
      </c>
      <c r="Z327" s="53">
        <f t="shared" ca="1" si="226"/>
        <v>61</v>
      </c>
      <c r="AA327" s="53">
        <f t="shared" ref="AA327:AN327" ca="1" si="227">SUM(AA324:AA326)</f>
        <v>68</v>
      </c>
      <c r="AB327" s="53">
        <f t="shared" ca="1" si="227"/>
        <v>53</v>
      </c>
      <c r="AC327" s="53">
        <f t="shared" ca="1" si="227"/>
        <v>55</v>
      </c>
      <c r="AD327" s="53">
        <f t="shared" ca="1" si="227"/>
        <v>58</v>
      </c>
      <c r="AE327" s="53">
        <f t="shared" ca="1" si="227"/>
        <v>43</v>
      </c>
      <c r="AF327" s="53">
        <f t="shared" ca="1" si="227"/>
        <v>40</v>
      </c>
      <c r="AG327" s="53">
        <f t="shared" ca="1" si="227"/>
        <v>69</v>
      </c>
      <c r="AH327" s="53">
        <f t="shared" ca="1" si="227"/>
        <v>62</v>
      </c>
      <c r="AI327" s="53">
        <f t="shared" ca="1" si="227"/>
        <v>54</v>
      </c>
      <c r="AJ327" s="53">
        <f t="shared" ca="1" si="227"/>
        <v>52</v>
      </c>
      <c r="AK327" s="53">
        <f t="shared" ca="1" si="227"/>
        <v>43</v>
      </c>
      <c r="AL327" s="53">
        <f t="shared" ca="1" si="227"/>
        <v>30</v>
      </c>
      <c r="AM327" s="53">
        <f t="shared" ca="1" si="227"/>
        <v>1</v>
      </c>
      <c r="AN327" s="53">
        <f t="shared" ca="1" si="227"/>
        <v>0</v>
      </c>
    </row>
    <row r="328" spans="1:41" ht="15" thickBot="1" x14ac:dyDescent="0.4">
      <c r="A328" s="105"/>
      <c r="B328" s="450"/>
      <c r="C328" s="450"/>
      <c r="D328" s="450"/>
      <c r="E328" s="450"/>
      <c r="F328" s="450"/>
      <c r="G328" s="450"/>
      <c r="H328" s="450"/>
      <c r="I328" s="450"/>
      <c r="J328" s="12"/>
      <c r="K328" s="12"/>
      <c r="L328" s="12"/>
      <c r="M328" s="12"/>
      <c r="N328" s="12"/>
      <c r="O328" s="12"/>
      <c r="P328" s="12"/>
      <c r="Q328" s="12"/>
      <c r="R328" s="12"/>
      <c r="S328" s="12"/>
      <c r="T328" s="12"/>
      <c r="U328" s="12"/>
      <c r="V328" s="12"/>
      <c r="W328" s="12"/>
      <c r="X328" s="12"/>
      <c r="Y328" s="12"/>
      <c r="Z328" s="12"/>
    </row>
    <row r="329" spans="1:41" ht="15" thickBot="1" x14ac:dyDescent="0.4">
      <c r="A329" s="207"/>
      <c r="B329" s="448"/>
      <c r="C329" s="396">
        <v>2302</v>
      </c>
      <c r="D329" s="396">
        <v>2303</v>
      </c>
      <c r="E329" s="396">
        <v>2304</v>
      </c>
      <c r="F329" s="396">
        <v>2305</v>
      </c>
      <c r="G329" s="396">
        <v>2306</v>
      </c>
      <c r="H329" s="396">
        <v>2307</v>
      </c>
      <c r="I329" s="396">
        <v>2308</v>
      </c>
      <c r="J329" s="206">
        <v>2309</v>
      </c>
      <c r="K329" s="206">
        <v>2310</v>
      </c>
      <c r="L329" s="206">
        <v>2311</v>
      </c>
      <c r="M329" s="206">
        <v>2312</v>
      </c>
      <c r="N329" s="210">
        <v>2313</v>
      </c>
      <c r="O329" s="211">
        <v>2401</v>
      </c>
      <c r="P329" s="206">
        <v>2402</v>
      </c>
      <c r="Q329" s="206">
        <v>2403</v>
      </c>
      <c r="R329" s="206">
        <v>2404</v>
      </c>
      <c r="S329" s="206">
        <v>2405</v>
      </c>
      <c r="T329" s="206">
        <v>2406</v>
      </c>
      <c r="U329" s="206">
        <v>2407</v>
      </c>
      <c r="V329" s="206">
        <v>2408</v>
      </c>
      <c r="W329" s="206">
        <v>2409</v>
      </c>
      <c r="X329" s="206">
        <v>2410</v>
      </c>
      <c r="Y329" s="206">
        <v>2411</v>
      </c>
      <c r="Z329" s="212">
        <v>2412</v>
      </c>
      <c r="AA329" s="208">
        <v>2413</v>
      </c>
      <c r="AB329" s="284">
        <v>2501</v>
      </c>
      <c r="AC329" s="284">
        <v>2502</v>
      </c>
      <c r="AD329" s="284">
        <v>2503</v>
      </c>
      <c r="AE329" s="284">
        <v>2504</v>
      </c>
      <c r="AF329" s="284">
        <v>2505</v>
      </c>
      <c r="AG329" s="284">
        <v>2506</v>
      </c>
      <c r="AH329" s="284">
        <v>2507</v>
      </c>
      <c r="AI329" s="284">
        <v>2508</v>
      </c>
      <c r="AJ329" s="284">
        <v>2509</v>
      </c>
      <c r="AK329" s="284">
        <v>2510</v>
      </c>
      <c r="AL329" s="284">
        <v>2511</v>
      </c>
      <c r="AM329" s="284">
        <v>2512</v>
      </c>
      <c r="AN329" s="284">
        <v>2513</v>
      </c>
    </row>
    <row r="330" spans="1:41" x14ac:dyDescent="0.35">
      <c r="A330" s="152" t="s">
        <v>110</v>
      </c>
      <c r="B330" s="400" t="e" cm="1">
        <f t="array" ref="B330">SUM((B329='Safety Action Tracking'!$E$3:$E$7377)*($A$330='Safety Action Tracking'!$B$3:$B$7377)*(Data!#REF!='Safety Action Tracking'!$A$3:$A$7377))</f>
        <v>#REF!</v>
      </c>
      <c r="C330" s="448" t="e">
        <f t="array" ref="C330">SUM((C329='Safety Action Tracking'!$E$3:$E$7377)*($A$330='Safety Action Tracking'!$B$3:$B$7377)*(Data!#REF!='Safety Action Tracking'!$A$3:$A$7377))</f>
        <v>#REF!</v>
      </c>
      <c r="D330" s="448" t="e" cm="1">
        <f t="array" ref="D330">SUM((D329='Safety Action Tracking'!$E$3:$E$7377)*($A$330='Safety Action Tracking'!$B$3:$B$7377)*(Data!#REF!='Safety Action Tracking'!$A$3:$A$7377))</f>
        <v>#REF!</v>
      </c>
      <c r="E330" s="448" t="e" cm="1">
        <f t="array" ref="E330">SUM((E329='Safety Action Tracking'!$E$3:$E$7377)*($A$330='Safety Action Tracking'!$B$3:$B$7377)*(Data!#REF!='Safety Action Tracking'!$A$3:$A$7377))</f>
        <v>#REF!</v>
      </c>
      <c r="F330" s="448" t="e" cm="1">
        <f t="array" ref="F330">SUM((F329='Safety Action Tracking'!$E$3:$E$7377)*($A$330='Safety Action Tracking'!$B$3:$B$7377)*(Data!#REF!='Safety Action Tracking'!$A$3:$A$7377))</f>
        <v>#REF!</v>
      </c>
      <c r="G330" s="448" t="e" cm="1">
        <f t="array" ref="G330">SUM((G329='Safety Action Tracking'!$E$3:$E$7377)*($A$330='Safety Action Tracking'!$B$3:$B$7377)*(Data!#REF!='Safety Action Tracking'!$A$3:$A$7377))</f>
        <v>#REF!</v>
      </c>
      <c r="H330" s="448" t="e" cm="1">
        <f t="array" ref="H330">SUM((H329='Safety Action Tracking'!$E$3:$E$7377)*($A$330='Safety Action Tracking'!$B$3:$B$7377)*(Data!#REF!='Safety Action Tracking'!$A$3:$A$7377))</f>
        <v>#REF!</v>
      </c>
      <c r="I330" s="448" t="e" cm="1">
        <f t="array" ref="I330">SUM((I329='Safety Action Tracking'!$E$3:$E$7377)*($A$330='Safety Action Tracking'!$B$3:$B$7377)*(Data!#REF!='Safety Action Tracking'!$A$3:$A$7377))</f>
        <v>#REF!</v>
      </c>
      <c r="J330" s="53" t="e" cm="1">
        <f t="array" ref="J330">SUM((J329='Safety Action Tracking'!$E$3:$E$7377)*($A$330='Safety Action Tracking'!$B$3:$B$7377)*(Data!#REF!='Safety Action Tracking'!$A$3:$A$7377))</f>
        <v>#REF!</v>
      </c>
      <c r="K330" s="53" t="e" cm="1">
        <f t="array" ref="K330">SUM((K329='Safety Action Tracking'!$E$3:$E$7377)*($A$330='Safety Action Tracking'!$B$3:$B$7377)*(Data!#REF!='Safety Action Tracking'!$A$3:$A$7377))</f>
        <v>#REF!</v>
      </c>
      <c r="L330" s="53" t="e" cm="1">
        <f t="array" ref="L330">SUM((L329='Safety Action Tracking'!$E$3:$E$7377)*($A$330='Safety Action Tracking'!$B$3:$B$7377)*(Data!#REF!='Safety Action Tracking'!$A$3:$A$7377))</f>
        <v>#REF!</v>
      </c>
      <c r="M330" s="53" t="e" cm="1">
        <f t="array" ref="M330">SUM((M329='Safety Action Tracking'!$E$3:$E$7377)*($A$330='Safety Action Tracking'!$B$3:$B$7377)*(Data!#REF!='Safety Action Tracking'!$A$3:$A$7377))</f>
        <v>#REF!</v>
      </c>
      <c r="N330" s="53" t="e" cm="1">
        <f t="array" ref="N330">SUM((N329='Safety Action Tracking'!$E$3:$E$7377)*($A$330='Safety Action Tracking'!$B$3:$B$7377)*(Data!#REF!='Safety Action Tracking'!$A$3:$A$7377))</f>
        <v>#REF!</v>
      </c>
      <c r="O330" s="53" t="e" cm="1">
        <f t="array" ref="O330">SUM((O329='Safety Action Tracking'!$E$3:$E$7377)*($A$330='Safety Action Tracking'!$B$3:$B$7377)*(Data!#REF!='Safety Action Tracking'!$A$3:$A$7377))</f>
        <v>#REF!</v>
      </c>
      <c r="P330" s="53" t="e" cm="1">
        <f t="array" ref="P330">SUM((P329='Safety Action Tracking'!$E$3:$E$7377)*($A$330='Safety Action Tracking'!$B$3:$B$7377)*(Data!#REF!='Safety Action Tracking'!$A$3:$A$7377))</f>
        <v>#REF!</v>
      </c>
      <c r="Q330" s="53" t="e" cm="1">
        <f t="array" ref="Q330">SUM((Q329='Safety Action Tracking'!$E$3:$E$7377)*($A$330='Safety Action Tracking'!$B$3:$B$7377)*(Data!#REF!='Safety Action Tracking'!$A$3:$A$7377))</f>
        <v>#REF!</v>
      </c>
      <c r="R330" s="53" t="e" cm="1">
        <f t="array" ref="R330">SUM((R329='Safety Action Tracking'!$E$3:$E$7377)*($A$330='Safety Action Tracking'!$B$3:$B$7377)*(Data!#REF!='Safety Action Tracking'!$A$3:$A$7377))</f>
        <v>#REF!</v>
      </c>
      <c r="S330" s="53" t="e" cm="1">
        <f t="array" ref="S330">SUM((S329='Safety Action Tracking'!$E$3:$E$7377)*($A$330='Safety Action Tracking'!$B$3:$B$7377)*(Data!#REF!='Safety Action Tracking'!$A$3:$A$7377))</f>
        <v>#REF!</v>
      </c>
      <c r="T330" s="53" t="e" cm="1">
        <f t="array" ref="T330">SUM((T329='Safety Action Tracking'!$E$3:$E$7377)*($A$330='Safety Action Tracking'!$B$3:$B$7377)*(Data!#REF!='Safety Action Tracking'!$A$3:$A$7377))</f>
        <v>#REF!</v>
      </c>
      <c r="U330" s="53" t="e" cm="1">
        <f t="array" ref="U330">SUM((U329='Safety Action Tracking'!$E$3:$E$7377)*($A$330='Safety Action Tracking'!$B$3:$B$7377)*(Data!#REF!='Safety Action Tracking'!$A$3:$A$7377))</f>
        <v>#REF!</v>
      </c>
      <c r="V330" s="53" t="e" cm="1">
        <f t="array" ref="V330">SUM((V329='Safety Action Tracking'!$E$3:$E$7377)*($A$330='Safety Action Tracking'!$B$3:$B$7377)*(Data!#REF!='Safety Action Tracking'!$A$3:$A$7377))</f>
        <v>#REF!</v>
      </c>
      <c r="W330" s="53" t="e" cm="1">
        <f t="array" ref="W330">SUM((W329='Safety Action Tracking'!$E$3:$E$7377)*($A$330='Safety Action Tracking'!$B$3:$B$7377)*(Data!#REF!='Safety Action Tracking'!$A$3:$A$7377))</f>
        <v>#REF!</v>
      </c>
      <c r="X330" s="53" t="e" cm="1">
        <f t="array" ref="X330">SUM((X329='Safety Action Tracking'!$E$3:$E$7377)*($A$330='Safety Action Tracking'!$B$3:$B$7377)*(Data!#REF!='Safety Action Tracking'!$A$3:$A$7377))</f>
        <v>#REF!</v>
      </c>
      <c r="Y330" s="53" t="e" cm="1">
        <f t="array" ref="Y330">SUM((Y329='Safety Action Tracking'!$E$3:$E$7377)*($A$330='Safety Action Tracking'!$B$3:$B$7377)*(Data!#REF!='Safety Action Tracking'!$A$3:$A$7377))</f>
        <v>#REF!</v>
      </c>
      <c r="Z330" s="53" t="e" cm="1">
        <f t="array" ref="Z330">SUM((Z329='Safety Action Tracking'!$E$3:$E$7377)*($A$330='Safety Action Tracking'!$B$3:$B$7377)*(Data!#REF!='Safety Action Tracking'!$A$3:$A$7377))</f>
        <v>#REF!</v>
      </c>
      <c r="AA330" s="53" t="e" cm="1">
        <f t="array" ref="AA330">SUM((AA329='Safety Action Tracking'!$E$3:$E$7377)*($A$330='Safety Action Tracking'!$B$3:$B$7377)*(Data!#REF!='Safety Action Tracking'!$A$3:$A$7377))</f>
        <v>#REF!</v>
      </c>
      <c r="AB330" s="53" t="e" cm="1">
        <f t="array" ref="AB330">SUM((AB329='Safety Action Tracking'!$E$3:$E$7377)*($A$330='Safety Action Tracking'!$B$3:$B$7377)*(Data!#REF!='Safety Action Tracking'!$A$3:$A$7377))</f>
        <v>#REF!</v>
      </c>
      <c r="AC330" s="53" t="e" cm="1">
        <f t="array" ref="AC330">SUM((AC329='Safety Action Tracking'!$E$3:$E$7377)*($A$330='Safety Action Tracking'!$B$3:$B$7377)*(Data!#REF!='Safety Action Tracking'!$A$3:$A$7377))</f>
        <v>#REF!</v>
      </c>
      <c r="AD330" s="53" t="e" cm="1">
        <f t="array" ref="AD330">SUM((AD329='Safety Action Tracking'!$E$3:$E$7377)*($A$330='Safety Action Tracking'!$B$3:$B$7377)*(Data!#REF!='Safety Action Tracking'!$A$3:$A$7377))</f>
        <v>#REF!</v>
      </c>
      <c r="AE330" s="53" t="e" cm="1">
        <f t="array" ref="AE330">SUM((AE329='Safety Action Tracking'!$E$3:$E$7377)*($A$330='Safety Action Tracking'!$B$3:$B$7377)*(Data!#REF!='Safety Action Tracking'!$A$3:$A$7377))</f>
        <v>#REF!</v>
      </c>
      <c r="AF330" s="53" t="e" cm="1">
        <f t="array" ref="AF330">SUM((AF329='Safety Action Tracking'!$E$3:$E$7377)*($A$330='Safety Action Tracking'!$B$3:$B$7377)*(Data!#REF!='Safety Action Tracking'!$A$3:$A$7377))</f>
        <v>#REF!</v>
      </c>
      <c r="AG330" s="53" t="e" cm="1">
        <f t="array" ref="AG330">SUM((AG329='Safety Action Tracking'!$E$3:$E$7377)*($A$330='Safety Action Tracking'!$B$3:$B$7377)*(Data!#REF!='Safety Action Tracking'!$A$3:$A$7377))</f>
        <v>#REF!</v>
      </c>
      <c r="AH330" s="53" t="e" cm="1">
        <f t="array" ref="AH330">SUM((AH329='Safety Action Tracking'!$E$3:$E$7377)*($A$330='Safety Action Tracking'!$B$3:$B$7377)*(Data!#REF!='Safety Action Tracking'!$A$3:$A$7377))</f>
        <v>#REF!</v>
      </c>
      <c r="AI330" s="53" t="e" cm="1">
        <f t="array" ref="AI330">SUM((AI329='Safety Action Tracking'!$E$3:$E$7377)*($A$330='Safety Action Tracking'!$B$3:$B$7377)*(Data!#REF!='Safety Action Tracking'!$A$3:$A$7377))</f>
        <v>#REF!</v>
      </c>
      <c r="AJ330" s="53" t="e" cm="1">
        <f t="array" ref="AJ330">SUM((AJ329='Safety Action Tracking'!$E$3:$E$7377)*($A$330='Safety Action Tracking'!$B$3:$B$7377)*(Data!#REF!='Safety Action Tracking'!$A$3:$A$7377))</f>
        <v>#REF!</v>
      </c>
      <c r="AK330" s="53" t="e" cm="1">
        <f t="array" ref="AK330">SUM((AK329='Safety Action Tracking'!$E$3:$E$7377)*($A$330='Safety Action Tracking'!$B$3:$B$7377)*(Data!#REF!='Safety Action Tracking'!$A$3:$A$7377))</f>
        <v>#REF!</v>
      </c>
      <c r="AL330" s="53" t="e" cm="1">
        <f t="array" ref="AL330">SUM((AL329='Safety Action Tracking'!$E$3:$E$7377)*($A$330='Safety Action Tracking'!$B$3:$B$7377)*(Data!#REF!='Safety Action Tracking'!$A$3:$A$7377))</f>
        <v>#REF!</v>
      </c>
      <c r="AM330" s="53" t="e" cm="1">
        <f t="array" ref="AM330">SUM((AM329='Safety Action Tracking'!$E$3:$E$7377)*($A$330='Safety Action Tracking'!$B$3:$B$7377)*(Data!#REF!='Safety Action Tracking'!$A$3:$A$7377))</f>
        <v>#REF!</v>
      </c>
      <c r="AN330" s="53" t="e" cm="1">
        <f t="array" ref="AN330">SUM((AN329='Safety Action Tracking'!$E$3:$E$7377)*($A$330='Safety Action Tracking'!$B$3:$B$7377)*(Data!#REF!='Safety Action Tracking'!$A$3:$A$7377))</f>
        <v>#REF!</v>
      </c>
      <c r="AO330" s="288" t="e">
        <f>SUM(AB330:AN330)</f>
        <v>#REF!</v>
      </c>
    </row>
    <row r="331" spans="1:41" x14ac:dyDescent="0.35">
      <c r="A331" s="152" t="s">
        <v>110</v>
      </c>
      <c r="B331" s="400"/>
      <c r="C331" s="448" t="e">
        <f t="array" ref="C331">SUM((C329='Safety Action Tracking'!$E$3:$E$7377)*($A$331='Safety Action Tracking'!$B$3:$B$7377)*(Data!#REF!='Safety Action Tracking'!$A$3:$A$7377))</f>
        <v>#REF!</v>
      </c>
      <c r="D331" s="448" t="e">
        <f t="array" ref="D331">SUM((D329='Safety Action Tracking'!$E$3:$E$7377)*($A$331='Safety Action Tracking'!$B$3:$B$7377)*(Data!#REF!='Safety Action Tracking'!$A$3:$A$7377))</f>
        <v>#REF!</v>
      </c>
      <c r="E331" s="448" t="e">
        <f t="array" ref="E331">SUM((E329='Safety Action Tracking'!$E$3:$E$7377)*($A$331='Safety Action Tracking'!$B$3:$B$7377)*(Data!#REF!='Safety Action Tracking'!$A$3:$A$7377))</f>
        <v>#REF!</v>
      </c>
      <c r="F331" s="448" t="e">
        <f t="array" ref="F331">SUM((F329='Safety Action Tracking'!$E$3:$E$7377)*($A$331='Safety Action Tracking'!$B$3:$B$7377)*(Data!#REF!='Safety Action Tracking'!$A$3:$A$7377))</f>
        <v>#REF!</v>
      </c>
      <c r="G331" s="448" t="e">
        <f t="array" ref="G331">SUM((G329='Safety Action Tracking'!$E$3:$E$7377)*($A$331='Safety Action Tracking'!$B$3:$B$7377)*(Data!#REF!='Safety Action Tracking'!$A$3:$A$7377))</f>
        <v>#REF!</v>
      </c>
      <c r="H331" s="448" t="e">
        <f t="array" ref="H331">SUM((H329='Safety Action Tracking'!$E$3:$E$7377)*($A$331='Safety Action Tracking'!$B$3:$B$7377)*(Data!#REF!='Safety Action Tracking'!$A$3:$A$7377))</f>
        <v>#REF!</v>
      </c>
      <c r="I331" s="448">
        <v>1</v>
      </c>
      <c r="J331" s="53" t="e">
        <f t="array" ref="J331">SUM((J329='Safety Action Tracking'!$E$3:$E$7377)*($A$331='Safety Action Tracking'!$B$3:$B$7377)*(Data!#REF!='Safety Action Tracking'!$A$3:$A$7377))</f>
        <v>#REF!</v>
      </c>
      <c r="K331" s="53" t="e">
        <f t="array" ref="K331">SUM((K329='Safety Action Tracking'!$E$3:$E$7377)*($A$331='Safety Action Tracking'!$B$3:$B$7377)*(Data!#REF!='Safety Action Tracking'!$A$3:$A$7377))</f>
        <v>#REF!</v>
      </c>
      <c r="L331" s="53" t="e">
        <f t="array" ref="L331">SUM((L329='Safety Action Tracking'!$E$3:$E$7377)*($A$331='Safety Action Tracking'!$B$3:$B$7377)*(Data!#REF!='Safety Action Tracking'!$A$3:$A$7377))</f>
        <v>#REF!</v>
      </c>
      <c r="M331" s="53" t="e">
        <f t="array" ref="M331">SUM((M329='Safety Action Tracking'!$E$3:$E$7377)*($A$331='Safety Action Tracking'!$B$3:$B$7377)*(Data!#REF!='Safety Action Tracking'!$A$3:$A$7377))</f>
        <v>#REF!</v>
      </c>
      <c r="N331" s="53" t="e">
        <f t="array" ref="N331">SUM((N329='Safety Action Tracking'!$E$3:$E$7377)*($A$331='Safety Action Tracking'!$B$3:$B$7377)*(Data!#REF!='Safety Action Tracking'!$A$3:$A$7377))</f>
        <v>#REF!</v>
      </c>
      <c r="O331" s="53" t="e">
        <f t="array" ref="O331">SUM((O329='Safety Action Tracking'!$E$3:$E$7377)*($A$331='Safety Action Tracking'!$B$3:$B$7377)*(Data!#REF!='Safety Action Tracking'!$A$3:$A$7377))</f>
        <v>#REF!</v>
      </c>
      <c r="P331" s="53" t="e">
        <f t="array" ref="P331">SUM((P329='Safety Action Tracking'!$E$3:$E$7377)*($A$331='Safety Action Tracking'!$B$3:$B$7377)*(Data!#REF!='Safety Action Tracking'!$A$3:$A$7377))</f>
        <v>#REF!</v>
      </c>
      <c r="Q331" s="53" t="e">
        <f t="array" ref="Q331">SUM((Q329='Safety Action Tracking'!$E$3:$E$7377)*($A$331='Safety Action Tracking'!$B$3:$B$7377)*(Data!#REF!='Safety Action Tracking'!$A$3:$A$7377))</f>
        <v>#REF!</v>
      </c>
      <c r="R331" s="53" t="e">
        <f t="array" ref="R331">SUM((R329='Safety Action Tracking'!$E$3:$E$7377)*($A$331='Safety Action Tracking'!$B$3:$B$7377)*(Data!#REF!='Safety Action Tracking'!$A$3:$A$7377))</f>
        <v>#REF!</v>
      </c>
      <c r="S331" s="53" t="e">
        <f t="array" ref="S331">SUM((S329='Safety Action Tracking'!$E$3:$E$7377)*($A$331='Safety Action Tracking'!$B$3:$B$7377)*(Data!#REF!='Safety Action Tracking'!$A$3:$A$7377))</f>
        <v>#REF!</v>
      </c>
      <c r="T331" s="53" t="e">
        <f t="array" ref="T331">SUM((T329='Safety Action Tracking'!$E$3:$E$7377)*($A$331='Safety Action Tracking'!$B$3:$B$7377)*(Data!#REF!='Safety Action Tracking'!$A$3:$A$7377))</f>
        <v>#REF!</v>
      </c>
      <c r="U331" s="53" t="e">
        <f t="array" ref="U331">SUM((U329='Safety Action Tracking'!$E$3:$E$7377)*($A$331='Safety Action Tracking'!$B$3:$B$7377)*(Data!#REF!='Safety Action Tracking'!$A$3:$A$7377))</f>
        <v>#REF!</v>
      </c>
      <c r="V331" s="53" t="e">
        <f t="array" ref="V331">SUM((V329='Safety Action Tracking'!$E$3:$E$7377)*($A$331='Safety Action Tracking'!$B$3:$B$7377)*(Data!#REF!='Safety Action Tracking'!$A$3:$A$7377))</f>
        <v>#REF!</v>
      </c>
      <c r="W331" s="53" t="e">
        <f t="array" ref="W331">SUM((W329='Safety Action Tracking'!$E$3:$E$7377)*($A$331='Safety Action Tracking'!$B$3:$B$7377)*(Data!#REF!='Safety Action Tracking'!$A$3:$A$7377))</f>
        <v>#REF!</v>
      </c>
      <c r="X331" s="53" t="e">
        <f t="array" ref="X331">SUM((X329='Safety Action Tracking'!$E$3:$E$7377)*($A$331='Safety Action Tracking'!$B$3:$B$7377)*(Data!#REF!='Safety Action Tracking'!$A$3:$A$7377))</f>
        <v>#REF!</v>
      </c>
      <c r="Y331" s="53" t="e">
        <f t="array" ref="Y331">SUM((Y329='Safety Action Tracking'!$E$3:$E$7377)*($A$331='Safety Action Tracking'!$B$3:$B$7377)*(Data!#REF!='Safety Action Tracking'!$A$3:$A$7377))</f>
        <v>#REF!</v>
      </c>
      <c r="Z331" s="53" t="e">
        <f t="array" ref="Z331">SUM((Z329='Safety Action Tracking'!$E$3:$E$7377)*($A$331='Safety Action Tracking'!$B$3:$B$7377)*(Data!#REF!='Safety Action Tracking'!$A$3:$A$7377))</f>
        <v>#REF!</v>
      </c>
      <c r="AA331" s="53" t="e">
        <f t="array" ref="AA331">SUM((AA329='Safety Action Tracking'!$E$3:$E$7377)*($A$331='Safety Action Tracking'!$B$3:$B$7377)*(Data!#REF!='Safety Action Tracking'!$A$3:$A$7377))</f>
        <v>#REF!</v>
      </c>
      <c r="AB331" s="53" t="e">
        <f t="array" ref="AB331">SUM((AB329='Safety Action Tracking'!$E$3:$E$7377)*($A$331='Safety Action Tracking'!$B$3:$B$7377)*(Data!#REF!='Safety Action Tracking'!$A$3:$A$7377))</f>
        <v>#REF!</v>
      </c>
      <c r="AC331" s="53" t="e">
        <f t="array" ref="AC331">SUM((AC329='Safety Action Tracking'!$E$3:$E$7377)*($A$331='Safety Action Tracking'!$B$3:$B$7377)*(Data!#REF!='Safety Action Tracking'!$A$3:$A$7377))</f>
        <v>#REF!</v>
      </c>
      <c r="AD331" s="53" t="e">
        <f t="array" ref="AD331">SUM((AD329='Safety Action Tracking'!$E$3:$E$7377)*($A$331='Safety Action Tracking'!$B$3:$B$7377)*(Data!#REF!='Safety Action Tracking'!$A$3:$A$7377))</f>
        <v>#REF!</v>
      </c>
      <c r="AE331" s="53" t="e">
        <f t="array" ref="AE331">SUM((AE329='Safety Action Tracking'!$E$3:$E$7377)*($A$331='Safety Action Tracking'!$B$3:$B$7377)*(Data!#REF!='Safety Action Tracking'!$A$3:$A$7377))</f>
        <v>#REF!</v>
      </c>
      <c r="AF331" s="53" t="e">
        <f t="array" ref="AF331">SUM((AF329='Safety Action Tracking'!$E$3:$E$7377)*($A$331='Safety Action Tracking'!$B$3:$B$7377)*(Data!#REF!='Safety Action Tracking'!$A$3:$A$7377))</f>
        <v>#REF!</v>
      </c>
      <c r="AG331" s="53" t="e">
        <f t="array" ref="AG331">SUM((AG329='Safety Action Tracking'!$E$3:$E$7377)*($A$331='Safety Action Tracking'!$B$3:$B$7377)*(Data!#REF!='Safety Action Tracking'!$A$3:$A$7377))</f>
        <v>#REF!</v>
      </c>
      <c r="AH331" s="53" t="e">
        <f t="array" ref="AH331">SUM((AH329='Safety Action Tracking'!$E$3:$E$7377)*($A$331='Safety Action Tracking'!$B$3:$B$7377)*(Data!#REF!='Safety Action Tracking'!$A$3:$A$7377))</f>
        <v>#REF!</v>
      </c>
      <c r="AI331" s="53" t="e">
        <f t="array" ref="AI331">SUM((AI329='Safety Action Tracking'!$E$3:$E$7377)*($A$331='Safety Action Tracking'!$B$3:$B$7377)*(Data!#REF!='Safety Action Tracking'!$A$3:$A$7377))</f>
        <v>#REF!</v>
      </c>
      <c r="AJ331" s="53" t="e">
        <f t="array" ref="AJ331">SUM((AJ329='Safety Action Tracking'!$E$3:$E$7377)*($A$331='Safety Action Tracking'!$B$3:$B$7377)*(Data!#REF!='Safety Action Tracking'!$A$3:$A$7377))</f>
        <v>#REF!</v>
      </c>
      <c r="AK331" s="53" t="e">
        <f t="array" ref="AK331">SUM((AK329='Safety Action Tracking'!$E$3:$E$7377)*($A$331='Safety Action Tracking'!$B$3:$B$7377)*(Data!#REF!='Safety Action Tracking'!$A$3:$A$7377))</f>
        <v>#REF!</v>
      </c>
      <c r="AL331" s="53" t="e">
        <f t="array" ref="AL331">SUM((AL329='Safety Action Tracking'!$E$3:$E$7377)*($A$331='Safety Action Tracking'!$B$3:$B$7377)*(Data!#REF!='Safety Action Tracking'!$A$3:$A$7377))</f>
        <v>#REF!</v>
      </c>
      <c r="AM331" s="53" t="e">
        <f t="array" ref="AM331">SUM((AM329='Safety Action Tracking'!$E$3:$E$7377)*($A$331='Safety Action Tracking'!$B$3:$B$7377)*(Data!#REF!='Safety Action Tracking'!$A$3:$A$7377))</f>
        <v>#REF!</v>
      </c>
      <c r="AN331" s="53" t="e">
        <f t="array" ref="AN331">SUM((AN329='Safety Action Tracking'!$E$3:$E$7377)*($A$331='Safety Action Tracking'!$B$3:$B$7377)*(Data!#REF!='Safety Action Tracking'!$A$3:$A$7377))</f>
        <v>#REF!</v>
      </c>
      <c r="AO331" s="288" t="e">
        <f>SUM(AB331:AN331)</f>
        <v>#REF!</v>
      </c>
    </row>
    <row r="332" spans="1:41" x14ac:dyDescent="0.35">
      <c r="A332" s="152" t="s">
        <v>110</v>
      </c>
      <c r="B332" s="400"/>
      <c r="C332" s="448" t="e">
        <f t="array" ref="C332">SUM((C329='Safety Action Tracking'!$E$3:$E$7377)*($A$332='Safety Action Tracking'!$B$3:$B$7377)*(Data!#REF!='Safety Action Tracking'!$A$3:$A$7377))</f>
        <v>#REF!</v>
      </c>
      <c r="D332" s="448" t="e" cm="1">
        <f t="array" ref="D332">SUM((D329='Safety Action Tracking'!$E$3:$E$7377)*($A$332='Safety Action Tracking'!$B$3:$B$7377)*(Data!#REF!='Safety Action Tracking'!$A$3:$A$7377))</f>
        <v>#REF!</v>
      </c>
      <c r="E332" s="448" t="e" cm="1">
        <f t="array" ref="E332">SUM((E329='Safety Action Tracking'!$E$3:$E$7377)*($A$332='Safety Action Tracking'!$B$3:$B$7377)*(Data!#REF!='Safety Action Tracking'!$A$3:$A$7377))</f>
        <v>#REF!</v>
      </c>
      <c r="F332" s="448" t="e" cm="1">
        <f t="array" ref="F332">SUM((F329='Safety Action Tracking'!$E$3:$E$7377)*($A$332='Safety Action Tracking'!$B$3:$B$7377)*(Data!#REF!='Safety Action Tracking'!$A$3:$A$7377))</f>
        <v>#REF!</v>
      </c>
      <c r="G332" s="448" t="e" cm="1">
        <f t="array" ref="G332">SUM((G329='Safety Action Tracking'!$E$3:$E$7377)*($A$332='Safety Action Tracking'!$B$3:$B$7377)*(Data!#REF!='Safety Action Tracking'!$A$3:$A$7377))</f>
        <v>#REF!</v>
      </c>
      <c r="H332" s="448" t="e" cm="1">
        <f t="array" ref="H332">SUM((H329='Safety Action Tracking'!$E$3:$E$7377)*($A$332='Safety Action Tracking'!$B$3:$B$7377)*(Data!#REF!='Safety Action Tracking'!$A$3:$A$7377))</f>
        <v>#REF!</v>
      </c>
      <c r="I332" s="448" t="e" cm="1">
        <f t="array" ref="I332">SUM((I329='Safety Action Tracking'!$E$3:$E$7377)*($A$332='Safety Action Tracking'!$B$3:$B$7377)*(Data!#REF!='Safety Action Tracking'!$A$3:$A$7377))</f>
        <v>#REF!</v>
      </c>
      <c r="J332" s="53" t="e" cm="1">
        <f t="array" ref="J332">SUM((J329='Safety Action Tracking'!$E$3:$E$7377)*($A$332='Safety Action Tracking'!$B$3:$B$7377)*(Data!#REF!='Safety Action Tracking'!$A$3:$A$7377))</f>
        <v>#REF!</v>
      </c>
      <c r="K332" s="53" t="e" cm="1">
        <f t="array" ref="K332">SUM((K329='Safety Action Tracking'!$E$3:$E$7377)*($A$332='Safety Action Tracking'!$B$3:$B$7377)*(Data!#REF!='Safety Action Tracking'!$A$3:$A$7377))</f>
        <v>#REF!</v>
      </c>
      <c r="L332" s="53" t="e" cm="1">
        <f t="array" ref="L332">SUM((L329='Safety Action Tracking'!$E$3:$E$7377)*($A$332='Safety Action Tracking'!$B$3:$B$7377)*(Data!#REF!='Safety Action Tracking'!$A$3:$A$7377))</f>
        <v>#REF!</v>
      </c>
      <c r="M332" s="53" t="e" cm="1">
        <f t="array" ref="M332">SUM((M329='Safety Action Tracking'!$E$3:$E$7377)*($A$332='Safety Action Tracking'!$B$3:$B$7377)*(Data!#REF!='Safety Action Tracking'!$A$3:$A$7377))</f>
        <v>#REF!</v>
      </c>
      <c r="N332" s="53" t="e" cm="1">
        <f t="array" ref="N332">SUM((N329='Safety Action Tracking'!$E$3:$E$7377)*($A$332='Safety Action Tracking'!$B$3:$B$7377)*(Data!#REF!='Safety Action Tracking'!$A$3:$A$7377))</f>
        <v>#REF!</v>
      </c>
      <c r="O332" s="53" t="e" cm="1">
        <f t="array" ref="O332">SUM((O329='Safety Action Tracking'!$E$3:$E$7377)*($A$332='Safety Action Tracking'!$B$3:$B$7377)*(Data!#REF!='Safety Action Tracking'!$A$3:$A$7377))</f>
        <v>#REF!</v>
      </c>
      <c r="P332" s="53" t="e" cm="1">
        <f t="array" ref="P332">SUM((P329='Safety Action Tracking'!$E$3:$E$7377)*($A$332='Safety Action Tracking'!$B$3:$B$7377)*(Data!#REF!='Safety Action Tracking'!$A$3:$A$7377))</f>
        <v>#REF!</v>
      </c>
      <c r="Q332" s="53" t="e" cm="1">
        <f t="array" ref="Q332">SUM((Q329='Safety Action Tracking'!$E$3:$E$7377)*($A$332='Safety Action Tracking'!$B$3:$B$7377)*(Data!#REF!='Safety Action Tracking'!$A$3:$A$7377))</f>
        <v>#REF!</v>
      </c>
      <c r="R332" s="53" t="e" cm="1">
        <f t="array" ref="R332">SUM((R329='Safety Action Tracking'!$E$3:$E$7377)*($A$332='Safety Action Tracking'!$B$3:$B$7377)*(Data!#REF!='Safety Action Tracking'!$A$3:$A$7377))</f>
        <v>#REF!</v>
      </c>
      <c r="S332" s="53" t="e" cm="1">
        <f t="array" ref="S332">SUM((S329='Safety Action Tracking'!$E$3:$E$7377)*($A$332='Safety Action Tracking'!$B$3:$B$7377)*(Data!#REF!='Safety Action Tracking'!$A$3:$A$7377))</f>
        <v>#REF!</v>
      </c>
      <c r="T332" s="53" t="e" cm="1">
        <f t="array" ref="T332">SUM((T329='Safety Action Tracking'!$E$3:$E$7377)*($A$332='Safety Action Tracking'!$B$3:$B$7377)*(Data!#REF!='Safety Action Tracking'!$A$3:$A$7377))</f>
        <v>#REF!</v>
      </c>
      <c r="U332" s="53" t="e" cm="1">
        <f t="array" ref="U332">SUM((U329='Safety Action Tracking'!$E$3:$E$7377)*($A$332='Safety Action Tracking'!$B$3:$B$7377)*(Data!#REF!='Safety Action Tracking'!$A$3:$A$7377))</f>
        <v>#REF!</v>
      </c>
      <c r="V332" s="53" t="e" cm="1">
        <f t="array" ref="V332">SUM((V329='Safety Action Tracking'!$E$3:$E$7377)*($A$332='Safety Action Tracking'!$B$3:$B$7377)*(Data!#REF!='Safety Action Tracking'!$A$3:$A$7377))</f>
        <v>#REF!</v>
      </c>
      <c r="W332" s="53" t="e" cm="1">
        <f t="array" ref="W332">SUM((W329='Safety Action Tracking'!$E$3:$E$7377)*($A$332='Safety Action Tracking'!$B$3:$B$7377)*(Data!#REF!='Safety Action Tracking'!$A$3:$A$7377))</f>
        <v>#REF!</v>
      </c>
      <c r="X332" s="53" t="e" cm="1">
        <f t="array" ref="X332">SUM((X329='Safety Action Tracking'!$E$3:$E$7377)*($A$332='Safety Action Tracking'!$B$3:$B$7377)*(Data!#REF!='Safety Action Tracking'!$A$3:$A$7377))</f>
        <v>#REF!</v>
      </c>
      <c r="Y332" s="53" t="e" cm="1">
        <f t="array" ref="Y332">SUM((Y329='Safety Action Tracking'!$E$3:$E$7377)*($A$332='Safety Action Tracking'!$B$3:$B$7377)*(Data!#REF!='Safety Action Tracking'!$A$3:$A$7377))</f>
        <v>#REF!</v>
      </c>
      <c r="Z332" s="53" t="e" cm="1">
        <f t="array" ref="Z332">SUM((Z329='Safety Action Tracking'!$E$3:$E$7377)*($A$332='Safety Action Tracking'!$B$3:$B$7377)*(Data!#REF!='Safety Action Tracking'!$A$3:$A$7377))</f>
        <v>#REF!</v>
      </c>
      <c r="AA332" s="53" t="e" cm="1">
        <f t="array" ref="AA332">SUM((AA329='Safety Action Tracking'!$E$3:$E$7377)*($A$332='Safety Action Tracking'!$B$3:$B$7377)*(Data!#REF!='Safety Action Tracking'!$A$3:$A$7377))</f>
        <v>#REF!</v>
      </c>
      <c r="AB332" s="53" t="e" cm="1">
        <f t="array" ref="AB332">SUM((AB329='Safety Action Tracking'!$E$3:$E$7377)*($A$332='Safety Action Tracking'!$B$3:$B$7377)*(Data!#REF!='Safety Action Tracking'!$A$3:$A$7377))</f>
        <v>#REF!</v>
      </c>
      <c r="AC332" s="53" t="e" cm="1">
        <f t="array" ref="AC332">SUM((AC329='Safety Action Tracking'!$E$3:$E$7377)*($A$332='Safety Action Tracking'!$B$3:$B$7377)*(Data!#REF!='Safety Action Tracking'!$A$3:$A$7377))</f>
        <v>#REF!</v>
      </c>
      <c r="AD332" s="53" t="e" cm="1">
        <f t="array" ref="AD332">SUM((AD329='Safety Action Tracking'!$E$3:$E$7377)*($A$332='Safety Action Tracking'!$B$3:$B$7377)*(Data!#REF!='Safety Action Tracking'!$A$3:$A$7377))</f>
        <v>#REF!</v>
      </c>
      <c r="AE332" s="53" t="e" cm="1">
        <f t="array" ref="AE332">SUM((AE329='Safety Action Tracking'!$E$3:$E$7377)*($A$332='Safety Action Tracking'!$B$3:$B$7377)*(Data!#REF!='Safety Action Tracking'!$A$3:$A$7377))</f>
        <v>#REF!</v>
      </c>
      <c r="AF332" s="53" t="e" cm="1">
        <f t="array" ref="AF332">SUM((AF329='Safety Action Tracking'!$E$3:$E$7377)*($A$332='Safety Action Tracking'!$B$3:$B$7377)*(Data!#REF!='Safety Action Tracking'!$A$3:$A$7377))</f>
        <v>#REF!</v>
      </c>
      <c r="AG332" s="53" t="e" cm="1">
        <f t="array" ref="AG332">SUM((AG329='Safety Action Tracking'!$E$3:$E$7377)*($A$332='Safety Action Tracking'!$B$3:$B$7377)*(Data!#REF!='Safety Action Tracking'!$A$3:$A$7377))</f>
        <v>#REF!</v>
      </c>
      <c r="AH332" s="53" t="e" cm="1">
        <f t="array" ref="AH332">SUM((AH329='Safety Action Tracking'!$E$3:$E$7377)*($A$332='Safety Action Tracking'!$B$3:$B$7377)*(Data!#REF!='Safety Action Tracking'!$A$3:$A$7377))</f>
        <v>#REF!</v>
      </c>
      <c r="AI332" s="53" t="e" cm="1">
        <f t="array" ref="AI332">SUM((AI329='Safety Action Tracking'!$E$3:$E$7377)*($A$332='Safety Action Tracking'!$B$3:$B$7377)*(Data!#REF!='Safety Action Tracking'!$A$3:$A$7377))</f>
        <v>#REF!</v>
      </c>
      <c r="AJ332" s="53" t="e" cm="1">
        <f t="array" ref="AJ332">SUM((AJ329='Safety Action Tracking'!$E$3:$E$7377)*($A$332='Safety Action Tracking'!$B$3:$B$7377)*(Data!#REF!='Safety Action Tracking'!$A$3:$A$7377))</f>
        <v>#REF!</v>
      </c>
      <c r="AK332" s="53" t="e" cm="1">
        <f t="array" ref="AK332">SUM((AK329='Safety Action Tracking'!$E$3:$E$7377)*($A$332='Safety Action Tracking'!$B$3:$B$7377)*(Data!#REF!='Safety Action Tracking'!$A$3:$A$7377))</f>
        <v>#REF!</v>
      </c>
      <c r="AL332" s="53" t="e" cm="1">
        <f t="array" ref="AL332">SUM((AL329='Safety Action Tracking'!$E$3:$E$7377)*($A$332='Safety Action Tracking'!$B$3:$B$7377)*(Data!#REF!='Safety Action Tracking'!$A$3:$A$7377))</f>
        <v>#REF!</v>
      </c>
      <c r="AM332" s="53" t="e" cm="1">
        <f t="array" ref="AM332">SUM((AM329='Safety Action Tracking'!$E$3:$E$7377)*($A$332='Safety Action Tracking'!$B$3:$B$7377)*(Data!#REF!='Safety Action Tracking'!$A$3:$A$7377))</f>
        <v>#REF!</v>
      </c>
      <c r="AN332" s="53" t="e" cm="1">
        <f t="array" ref="AN332">SUM((AN329='Safety Action Tracking'!$E$3:$E$7377)*($A$332='Safety Action Tracking'!$B$3:$B$7377)*(Data!#REF!='Safety Action Tracking'!$A$3:$A$7377))</f>
        <v>#REF!</v>
      </c>
      <c r="AO332" s="288" t="e">
        <f>SUM(AB332:AN332)</f>
        <v>#REF!</v>
      </c>
    </row>
    <row r="333" spans="1:41" x14ac:dyDescent="0.35">
      <c r="A333" s="152" t="s">
        <v>14</v>
      </c>
      <c r="B333" s="451"/>
      <c r="C333" s="448" t="e">
        <f>SUM(C330:C332)</f>
        <v>#REF!</v>
      </c>
      <c r="D333" s="448" t="e">
        <f t="shared" ref="D333:N333" si="228">SUM(D330:D332)</f>
        <v>#REF!</v>
      </c>
      <c r="E333" s="448" t="e">
        <f t="shared" si="228"/>
        <v>#REF!</v>
      </c>
      <c r="F333" s="448" t="e">
        <f t="shared" si="228"/>
        <v>#REF!</v>
      </c>
      <c r="G333" s="448" t="e">
        <f t="shared" si="228"/>
        <v>#REF!</v>
      </c>
      <c r="H333" s="448" t="e">
        <f t="shared" si="228"/>
        <v>#REF!</v>
      </c>
      <c r="I333" s="448" t="e">
        <f t="shared" si="228"/>
        <v>#REF!</v>
      </c>
      <c r="J333" s="53" t="e">
        <f t="shared" si="228"/>
        <v>#REF!</v>
      </c>
      <c r="K333" s="53" t="e">
        <f t="shared" si="228"/>
        <v>#REF!</v>
      </c>
      <c r="L333" s="53" t="e">
        <f t="shared" si="228"/>
        <v>#REF!</v>
      </c>
      <c r="M333" s="53" t="e">
        <f t="shared" si="228"/>
        <v>#REF!</v>
      </c>
      <c r="N333" s="53" t="e">
        <f t="shared" si="228"/>
        <v>#REF!</v>
      </c>
      <c r="O333" s="53" t="e">
        <f t="shared" ref="O333:Z333" si="229">SUM(O330:O332)</f>
        <v>#REF!</v>
      </c>
      <c r="P333" s="53" t="e">
        <f t="shared" si="229"/>
        <v>#REF!</v>
      </c>
      <c r="Q333" s="53" t="e">
        <f t="shared" si="229"/>
        <v>#REF!</v>
      </c>
      <c r="R333" s="53" t="e">
        <f t="shared" si="229"/>
        <v>#REF!</v>
      </c>
      <c r="S333" s="53" t="e">
        <f t="shared" si="229"/>
        <v>#REF!</v>
      </c>
      <c r="T333" s="53" t="e">
        <f t="shared" si="229"/>
        <v>#REF!</v>
      </c>
      <c r="U333" s="53" t="e">
        <f t="shared" si="229"/>
        <v>#REF!</v>
      </c>
      <c r="V333" s="53" t="e">
        <f t="shared" si="229"/>
        <v>#REF!</v>
      </c>
      <c r="W333" s="53" t="e">
        <f t="shared" si="229"/>
        <v>#REF!</v>
      </c>
      <c r="X333" s="53" t="e">
        <f t="shared" si="229"/>
        <v>#REF!</v>
      </c>
      <c r="Y333" s="53" t="e">
        <f t="shared" si="229"/>
        <v>#REF!</v>
      </c>
      <c r="Z333" s="53" t="e">
        <f t="shared" si="229"/>
        <v>#REF!</v>
      </c>
      <c r="AA333" s="53" t="e">
        <f t="shared" ref="AA333:AN333" si="230">SUM(AA330:AA332)</f>
        <v>#REF!</v>
      </c>
      <c r="AB333" s="53" t="e">
        <f t="shared" si="230"/>
        <v>#REF!</v>
      </c>
      <c r="AC333" s="53" t="e">
        <f t="shared" si="230"/>
        <v>#REF!</v>
      </c>
      <c r="AD333" s="53" t="e">
        <f t="shared" si="230"/>
        <v>#REF!</v>
      </c>
      <c r="AE333" s="53" t="e">
        <f t="shared" si="230"/>
        <v>#REF!</v>
      </c>
      <c r="AF333" s="53" t="e">
        <f t="shared" si="230"/>
        <v>#REF!</v>
      </c>
      <c r="AG333" s="53" t="e">
        <f t="shared" si="230"/>
        <v>#REF!</v>
      </c>
      <c r="AH333" s="53" t="e">
        <f t="shared" si="230"/>
        <v>#REF!</v>
      </c>
      <c r="AI333" s="53" t="e">
        <f t="shared" si="230"/>
        <v>#REF!</v>
      </c>
      <c r="AJ333" s="53" t="e">
        <f t="shared" si="230"/>
        <v>#REF!</v>
      </c>
      <c r="AK333" s="53" t="e">
        <f t="shared" si="230"/>
        <v>#REF!</v>
      </c>
      <c r="AL333" s="53" t="e">
        <f t="shared" si="230"/>
        <v>#REF!</v>
      </c>
      <c r="AM333" s="53" t="e">
        <f t="shared" si="230"/>
        <v>#REF!</v>
      </c>
      <c r="AN333" s="53" t="e">
        <f t="shared" si="230"/>
        <v>#REF!</v>
      </c>
      <c r="AO333" s="288" t="e">
        <f>SUM(AB333:AN333)</f>
        <v>#REF!</v>
      </c>
    </row>
    <row r="334" spans="1:41" ht="15" thickBot="1" x14ac:dyDescent="0.4">
      <c r="A334" s="105"/>
      <c r="B334" s="450"/>
      <c r="C334" s="450"/>
      <c r="D334" s="450"/>
      <c r="E334" s="450"/>
      <c r="F334" s="450"/>
      <c r="G334" s="450"/>
      <c r="H334" s="450"/>
      <c r="I334" s="450"/>
      <c r="J334" s="12"/>
      <c r="K334" s="12"/>
      <c r="L334" s="12"/>
      <c r="M334" s="12"/>
      <c r="N334" s="12"/>
      <c r="O334" s="12"/>
      <c r="P334" s="12"/>
      <c r="Q334" s="12"/>
      <c r="R334" s="12"/>
      <c r="S334" s="12"/>
      <c r="T334" s="12"/>
      <c r="U334" s="12"/>
      <c r="V334" s="12"/>
      <c r="W334" s="12"/>
      <c r="X334" s="12"/>
      <c r="Y334" s="12"/>
      <c r="Z334" s="12"/>
    </row>
    <row r="335" spans="1:41" ht="15" thickBot="1" x14ac:dyDescent="0.4">
      <c r="A335" s="207"/>
      <c r="B335" s="448"/>
      <c r="C335" s="396">
        <v>2302</v>
      </c>
      <c r="D335" s="396">
        <v>2303</v>
      </c>
      <c r="E335" s="396">
        <v>2304</v>
      </c>
      <c r="F335" s="396">
        <v>2305</v>
      </c>
      <c r="G335" s="396">
        <v>2306</v>
      </c>
      <c r="H335" s="396">
        <v>2307</v>
      </c>
      <c r="I335" s="396">
        <v>2308</v>
      </c>
      <c r="J335" s="206">
        <v>2309</v>
      </c>
      <c r="K335" s="206">
        <v>2310</v>
      </c>
      <c r="L335" s="206">
        <v>2311</v>
      </c>
      <c r="M335" s="210">
        <v>2312</v>
      </c>
      <c r="N335" s="211">
        <v>2313</v>
      </c>
      <c r="O335" s="206">
        <v>2401</v>
      </c>
      <c r="P335" s="206">
        <v>2402</v>
      </c>
      <c r="Q335" s="206">
        <v>2403</v>
      </c>
      <c r="R335" s="206">
        <v>2404</v>
      </c>
      <c r="S335" s="206">
        <v>2405</v>
      </c>
      <c r="T335" s="206">
        <v>2406</v>
      </c>
      <c r="U335" s="206">
        <v>2407</v>
      </c>
      <c r="V335" s="206">
        <v>2408</v>
      </c>
      <c r="W335" s="206">
        <v>2409</v>
      </c>
      <c r="X335" s="206">
        <v>2410</v>
      </c>
      <c r="Y335" s="206">
        <v>2411</v>
      </c>
      <c r="Z335" s="212">
        <v>2412</v>
      </c>
      <c r="AA335" s="208">
        <v>2413</v>
      </c>
      <c r="AB335" s="284">
        <v>2501</v>
      </c>
      <c r="AC335" s="284">
        <v>2502</v>
      </c>
      <c r="AD335" s="284">
        <v>2503</v>
      </c>
      <c r="AE335" s="284">
        <v>2504</v>
      </c>
      <c r="AF335" s="284">
        <v>2505</v>
      </c>
      <c r="AG335" s="284">
        <v>2506</v>
      </c>
      <c r="AH335" s="284">
        <v>2507</v>
      </c>
      <c r="AI335" s="284">
        <v>2508</v>
      </c>
      <c r="AJ335" s="284">
        <v>2509</v>
      </c>
      <c r="AK335" s="284">
        <v>2510</v>
      </c>
      <c r="AL335" s="284">
        <v>2511</v>
      </c>
      <c r="AM335" s="284">
        <v>2512</v>
      </c>
      <c r="AN335" s="284">
        <v>2513</v>
      </c>
    </row>
    <row r="336" spans="1:41" ht="14.15" customHeight="1" x14ac:dyDescent="0.35">
      <c r="A336" s="152" t="s">
        <v>111</v>
      </c>
      <c r="B336" s="448"/>
      <c r="C336" s="448" t="e" cm="1">
        <f t="array" ref="C336">SUM((C329='Safety Action Tracking'!$E$3:$E$7377)*($A$336='Safety Action Tracking'!$B$3:$B$7377)*(Data!#REF!='Safety Action Tracking'!$A$3:$A$7377))</f>
        <v>#REF!</v>
      </c>
      <c r="D336" s="448" t="e" cm="1">
        <f t="array" ref="D336">SUM((D329='Safety Action Tracking'!$E$3:$E$7377)*($A$336='Safety Action Tracking'!$B$3:$B$7377)*(Data!#REF!='Safety Action Tracking'!$A$3:$A$7377))</f>
        <v>#REF!</v>
      </c>
      <c r="E336" s="448" t="e" cm="1">
        <f t="array" ref="E336">SUM((E329='Safety Action Tracking'!$E$3:$E$7377)*($A$336='Safety Action Tracking'!$B$3:$B$7377)*(Data!#REF!='Safety Action Tracking'!$A$3:$A$7377))</f>
        <v>#REF!</v>
      </c>
      <c r="F336" s="448" t="e" cm="1">
        <f t="array" ref="F336">SUM((F329='Safety Action Tracking'!$E$3:$E$7377)*($A$336='Safety Action Tracking'!$B$3:$B$7377)*(Data!#REF!='Safety Action Tracking'!$A$3:$A$7377))</f>
        <v>#REF!</v>
      </c>
      <c r="G336" s="448" t="e" cm="1">
        <f t="array" ref="G336">SUM((G329='Safety Action Tracking'!$E$3:$E$7377)*($A$336='Safety Action Tracking'!$B$3:$B$7377)*(Data!#REF!='Safety Action Tracking'!$A$3:$A$7377))</f>
        <v>#REF!</v>
      </c>
      <c r="H336" s="448" t="e" cm="1">
        <f t="array" ref="H336">SUM((H329='Safety Action Tracking'!$E$3:$E$7377)*($A$336='Safety Action Tracking'!$B$3:$B$7377)*(Data!#REF!='Safety Action Tracking'!$A$3:$A$7377))</f>
        <v>#REF!</v>
      </c>
      <c r="I336" s="448" t="e" cm="1">
        <f t="array" ref="I336">SUM((I329='Safety Action Tracking'!$E$3:$E$7377)*($A$336='Safety Action Tracking'!$B$3:$B$7377)*(Data!#REF!='Safety Action Tracking'!$A$3:$A$7377))</f>
        <v>#REF!</v>
      </c>
      <c r="J336" s="53" t="e" cm="1">
        <f t="array" ref="J336">SUM((J329='Safety Action Tracking'!$E$3:$E$7377)*($A$336='Safety Action Tracking'!$B$3:$B$7377)*(Data!#REF!='Safety Action Tracking'!$A$3:$A$7377))</f>
        <v>#REF!</v>
      </c>
      <c r="K336" s="53" t="e" cm="1">
        <f t="array" ref="K336">SUM((K329='Safety Action Tracking'!$E$3:$E$7377)*($A$336='Safety Action Tracking'!$B$3:$B$7377)*(Data!#REF!='Safety Action Tracking'!$A$3:$A$7377))</f>
        <v>#REF!</v>
      </c>
      <c r="L336" s="53" t="e" cm="1">
        <f t="array" ref="L336">SUM((L329='Safety Action Tracking'!$E$3:$E$7377)*($A$336='Safety Action Tracking'!$B$3:$B$7377)*(Data!#REF!='Safety Action Tracking'!$A$3:$A$7377))</f>
        <v>#REF!</v>
      </c>
      <c r="M336" s="53" t="e" cm="1">
        <f t="array" ref="M336">SUM((M329='Safety Action Tracking'!$E$3:$E$7377)*($A$336='Safety Action Tracking'!$B$3:$B$7377)*(Data!#REF!='Safety Action Tracking'!$A$3:$A$7377))</f>
        <v>#REF!</v>
      </c>
      <c r="N336" s="53" t="e" cm="1">
        <f t="array" ref="N336">SUM((N329='Safety Action Tracking'!$E$3:$E$7377)*($A$336='Safety Action Tracking'!$B$3:$B$7377)*(Data!#REF!='Safety Action Tracking'!$A$3:$A$7377))</f>
        <v>#REF!</v>
      </c>
      <c r="O336" s="53" t="e" cm="1">
        <f t="array" ref="O336">SUM((O329='Safety Action Tracking'!$E$3:$E$7377)*($A$336='Safety Action Tracking'!$B$3:$B$7377)*(Data!#REF!='Safety Action Tracking'!$A$3:$A$7377))</f>
        <v>#REF!</v>
      </c>
      <c r="P336" s="53" t="e" cm="1">
        <f t="array" ref="P336">SUM((P329='Safety Action Tracking'!$E$3:$E$7377)*($A$336='Safety Action Tracking'!$B$3:$B$7377)*(Data!#REF!='Safety Action Tracking'!$A$3:$A$7377))</f>
        <v>#REF!</v>
      </c>
      <c r="Q336" s="53" t="e" cm="1">
        <f t="array" ref="Q336">SUM((Q329='Safety Action Tracking'!$E$3:$E$7377)*($A$336='Safety Action Tracking'!$B$3:$B$7377)*(Data!#REF!='Safety Action Tracking'!$A$3:$A$7377))</f>
        <v>#REF!</v>
      </c>
      <c r="R336" s="53" t="e" cm="1">
        <f t="array" ref="R336">SUM((R329='Safety Action Tracking'!$E$3:$E$7377)*($A$336='Safety Action Tracking'!$B$3:$B$7377)*(Data!#REF!='Safety Action Tracking'!$A$3:$A$7377))</f>
        <v>#REF!</v>
      </c>
      <c r="S336" s="53" t="e" cm="1">
        <f t="array" ref="S336">SUM((S329='Safety Action Tracking'!$E$3:$E$7377)*($A$336='Safety Action Tracking'!$B$3:$B$7377)*(Data!#REF!='Safety Action Tracking'!$A$3:$A$7377))</f>
        <v>#REF!</v>
      </c>
      <c r="T336" s="53" t="e" cm="1">
        <f t="array" ref="T336">SUM((T329='Safety Action Tracking'!$E$3:$E$7377)*($A$336='Safety Action Tracking'!$B$3:$B$7377)*(Data!#REF!='Safety Action Tracking'!$A$3:$A$7377))</f>
        <v>#REF!</v>
      </c>
      <c r="U336" s="53" t="e" cm="1">
        <f t="array" ref="U336">SUM((U329='Safety Action Tracking'!$E$3:$E$7377)*($A$336='Safety Action Tracking'!$B$3:$B$7377)*(Data!#REF!='Safety Action Tracking'!$A$3:$A$7377))</f>
        <v>#REF!</v>
      </c>
      <c r="V336" s="53" t="e" cm="1">
        <f t="array" ref="V336">SUM((V329='Safety Action Tracking'!$E$3:$E$7377)*($A$336='Safety Action Tracking'!$B$3:$B$7377)*(Data!#REF!='Safety Action Tracking'!$A$3:$A$7377))</f>
        <v>#REF!</v>
      </c>
      <c r="W336" s="53" t="e" cm="1">
        <f t="array" ref="W336">SUM((W329='Safety Action Tracking'!$E$3:$E$7377)*($A$336='Safety Action Tracking'!$B$3:$B$7377)*(Data!#REF!='Safety Action Tracking'!$A$3:$A$7377))</f>
        <v>#REF!</v>
      </c>
      <c r="X336" s="53" t="e" cm="1">
        <f t="array" ref="X336">SUM((X329='Safety Action Tracking'!$E$3:$E$7377)*($A$336='Safety Action Tracking'!$B$3:$B$7377)*(Data!#REF!='Safety Action Tracking'!$A$3:$A$7377))</f>
        <v>#REF!</v>
      </c>
      <c r="Y336" s="53" t="e" cm="1">
        <f t="array" ref="Y336">SUM((Y329='Safety Action Tracking'!$E$3:$E$7377)*($A$336='Safety Action Tracking'!$B$3:$B$7377)*(Data!#REF!='Safety Action Tracking'!$A$3:$A$7377))</f>
        <v>#REF!</v>
      </c>
      <c r="Z336" s="53" t="e" cm="1">
        <f t="array" ref="Z336">SUM((Z329='Safety Action Tracking'!$E$3:$E$7377)*($A$336='Safety Action Tracking'!$B$3:$B$7377)*(Data!#REF!='Safety Action Tracking'!$A$3:$A$7377))</f>
        <v>#REF!</v>
      </c>
      <c r="AA336" s="53" t="e" cm="1">
        <f t="array" ref="AA336">SUM((AA329='Safety Action Tracking'!$E$3:$E$7377)*($A$336='Safety Action Tracking'!$B$3:$B$7377)*(Data!#REF!='Safety Action Tracking'!$A$3:$A$7377))</f>
        <v>#REF!</v>
      </c>
      <c r="AB336" s="53" t="e" cm="1">
        <f t="array" ref="AB336">SUM((AB329='Safety Action Tracking'!$E$3:$E$7377)*($A$336='Safety Action Tracking'!$B$3:$B$7377)*(Data!#REF!='Safety Action Tracking'!$A$3:$A$7377))</f>
        <v>#REF!</v>
      </c>
      <c r="AC336" s="53" t="e" cm="1">
        <f t="array" ref="AC336">SUM((AC329='Safety Action Tracking'!$E$3:$E$7377)*($A$336='Safety Action Tracking'!$B$3:$B$7377)*(Data!#REF!='Safety Action Tracking'!$A$3:$A$7377))</f>
        <v>#REF!</v>
      </c>
      <c r="AD336" s="53" t="e" cm="1">
        <f t="array" ref="AD336">SUM((AD329='Safety Action Tracking'!$E$3:$E$7377)*($A$336='Safety Action Tracking'!$B$3:$B$7377)*(Data!#REF!='Safety Action Tracking'!$A$3:$A$7377))</f>
        <v>#REF!</v>
      </c>
      <c r="AE336" s="53" t="e" cm="1">
        <f t="array" ref="AE336">SUM((AE329='Safety Action Tracking'!$E$3:$E$7377)*($A$336='Safety Action Tracking'!$B$3:$B$7377)*(Data!#REF!='Safety Action Tracking'!$A$3:$A$7377))</f>
        <v>#REF!</v>
      </c>
      <c r="AF336" s="53" t="e" cm="1">
        <f t="array" ref="AF336">SUM((AF329='Safety Action Tracking'!$E$3:$E$7377)*($A$336='Safety Action Tracking'!$B$3:$B$7377)*(Data!#REF!='Safety Action Tracking'!$A$3:$A$7377))</f>
        <v>#REF!</v>
      </c>
      <c r="AG336" s="53" t="e" cm="1">
        <f t="array" ref="AG336">SUM((AG329='Safety Action Tracking'!$E$3:$E$7377)*($A$336='Safety Action Tracking'!$B$3:$B$7377)*(Data!#REF!='Safety Action Tracking'!$A$3:$A$7377))</f>
        <v>#REF!</v>
      </c>
      <c r="AH336" s="53" t="e" cm="1">
        <f t="array" ref="AH336">SUM((AH329='Safety Action Tracking'!$E$3:$E$7377)*($A$336='Safety Action Tracking'!$B$3:$B$7377)*(Data!#REF!='Safety Action Tracking'!$A$3:$A$7377))</f>
        <v>#REF!</v>
      </c>
      <c r="AI336" s="53" t="e" cm="1">
        <f t="array" ref="AI336">SUM((AI329='Safety Action Tracking'!$E$3:$E$7377)*($A$336='Safety Action Tracking'!$B$3:$B$7377)*(Data!#REF!='Safety Action Tracking'!$A$3:$A$7377))</f>
        <v>#REF!</v>
      </c>
      <c r="AJ336" s="53" t="e" cm="1">
        <f t="array" ref="AJ336">SUM((AJ329='Safety Action Tracking'!$E$3:$E$7377)*($A$336='Safety Action Tracking'!$B$3:$B$7377)*(Data!#REF!='Safety Action Tracking'!$A$3:$A$7377))</f>
        <v>#REF!</v>
      </c>
      <c r="AK336" s="53" t="e" cm="1">
        <f t="array" ref="AK336">SUM((AK329='Safety Action Tracking'!$E$3:$E$7377)*($A$336='Safety Action Tracking'!$B$3:$B$7377)*(Data!#REF!='Safety Action Tracking'!$A$3:$A$7377))</f>
        <v>#REF!</v>
      </c>
      <c r="AL336" s="53" t="e" cm="1">
        <f t="array" ref="AL336">SUM((AL329='Safety Action Tracking'!$E$3:$E$7377)*($A$336='Safety Action Tracking'!$B$3:$B$7377)*(Data!#REF!='Safety Action Tracking'!$A$3:$A$7377))</f>
        <v>#REF!</v>
      </c>
      <c r="AM336" s="53" t="e" cm="1">
        <f t="array" ref="AM336">SUM((AM329='Safety Action Tracking'!$E$3:$E$7377)*($A$336='Safety Action Tracking'!$B$3:$B$7377)*(Data!#REF!='Safety Action Tracking'!$A$3:$A$7377))</f>
        <v>#REF!</v>
      </c>
      <c r="AN336" s="53" t="e" cm="1">
        <f t="array" ref="AN336">SUM((AN329='Safety Action Tracking'!$E$3:$E$7377)*($A$336='Safety Action Tracking'!$B$3:$B$7377)*(Data!#REF!='Safety Action Tracking'!$A$3:$A$7377))</f>
        <v>#REF!</v>
      </c>
      <c r="AO336" s="288" t="e">
        <f>SUM(AB336:AN336)</f>
        <v>#REF!</v>
      </c>
    </row>
    <row r="337" spans="1:41" ht="14.15" customHeight="1" x14ac:dyDescent="0.35">
      <c r="A337" s="152" t="s">
        <v>111</v>
      </c>
      <c r="B337" s="448"/>
      <c r="C337" s="448" t="e" cm="1">
        <f t="array" ref="C337">SUM((C329='Safety Action Tracking'!$E$3:$E$7377)*($A$337='Safety Action Tracking'!$B$3:$B$7377)*(Data!#REF!='Safety Action Tracking'!$A$3:$A$7377))</f>
        <v>#REF!</v>
      </c>
      <c r="D337" s="448" t="e" cm="1">
        <f t="array" ref="D337">SUM((D329='Safety Action Tracking'!$E$3:$E$7377)*($A$337='Safety Action Tracking'!$B$3:$B$7377)*(Data!#REF!='Safety Action Tracking'!$A$3:$A$7377))</f>
        <v>#REF!</v>
      </c>
      <c r="E337" s="448" t="e" cm="1">
        <f t="array" ref="E337">SUM((E329='Safety Action Tracking'!$E$3:$E$7377)*($A$337='Safety Action Tracking'!$B$3:$B$7377)*(Data!#REF!='Safety Action Tracking'!$A$3:$A$7377))</f>
        <v>#REF!</v>
      </c>
      <c r="F337" s="448" t="e" cm="1">
        <f t="array" ref="F337">SUM((F329='Safety Action Tracking'!$E$3:$E$7377)*($A$337='Safety Action Tracking'!$B$3:$B$7377)*(Data!#REF!='Safety Action Tracking'!$A$3:$A$7377))</f>
        <v>#REF!</v>
      </c>
      <c r="G337" s="448" t="e" cm="1">
        <f t="array" ref="G337">SUM((G329='Safety Action Tracking'!$E$3:$E$7377)*($A$337='Safety Action Tracking'!$B$3:$B$7377)*(Data!#REF!='Safety Action Tracking'!$A$3:$A$7377))</f>
        <v>#REF!</v>
      </c>
      <c r="H337" s="448" t="e" cm="1">
        <f t="array" ref="H337">SUM((H329='Safety Action Tracking'!$E$3:$E$7377)*($A$337='Safety Action Tracking'!$B$3:$B$7377)*(Data!#REF!='Safety Action Tracking'!$A$3:$A$7377))</f>
        <v>#REF!</v>
      </c>
      <c r="I337" s="448" t="e" cm="1">
        <f t="array" ref="I337">SUM((I329='Safety Action Tracking'!$E$3:$E$7377)*($A$337='Safety Action Tracking'!$B$3:$B$7377)*(Data!#REF!='Safety Action Tracking'!$A$3:$A$7377))</f>
        <v>#REF!</v>
      </c>
      <c r="J337" s="53" t="e" cm="1">
        <f t="array" ref="J337">SUM((J329='Safety Action Tracking'!$E$3:$E$7377)*($A$337='Safety Action Tracking'!$B$3:$B$7377)*(Data!#REF!='Safety Action Tracking'!$A$3:$A$7377))</f>
        <v>#REF!</v>
      </c>
      <c r="K337" s="53" t="e" cm="1">
        <f t="array" ref="K337">SUM((K329='Safety Action Tracking'!$E$3:$E$7377)*($A$337='Safety Action Tracking'!$B$3:$B$7377)*(Data!#REF!='Safety Action Tracking'!$A$3:$A$7377))</f>
        <v>#REF!</v>
      </c>
      <c r="L337" s="53" t="e" cm="1">
        <f t="array" ref="L337">SUM((L329='Safety Action Tracking'!$E$3:$E$7377)*($A$337='Safety Action Tracking'!$B$3:$B$7377)*(Data!#REF!='Safety Action Tracking'!$A$3:$A$7377))</f>
        <v>#REF!</v>
      </c>
      <c r="M337" s="53" t="e" cm="1">
        <f t="array" ref="M337">SUM((M329='Safety Action Tracking'!$E$3:$E$7377)*($A$337='Safety Action Tracking'!$B$3:$B$7377)*(Data!#REF!='Safety Action Tracking'!$A$3:$A$7377))</f>
        <v>#REF!</v>
      </c>
      <c r="N337" s="53" t="e" cm="1">
        <f t="array" ref="N337">SUM((N329='Safety Action Tracking'!$E$3:$E$7377)*($A$337='Safety Action Tracking'!$B$3:$B$7377)*(Data!#REF!='Safety Action Tracking'!$A$3:$A$7377))</f>
        <v>#REF!</v>
      </c>
      <c r="O337" s="53" t="e" cm="1">
        <f t="array" ref="O337">SUM((O329='Safety Action Tracking'!$E$3:$E$7377)*($A$337='Safety Action Tracking'!$B$3:$B$7377)*(Data!#REF!='Safety Action Tracking'!$A$3:$A$7377))</f>
        <v>#REF!</v>
      </c>
      <c r="P337" s="53" t="e" cm="1">
        <f t="array" ref="P337">SUM((P329='Safety Action Tracking'!$E$3:$E$7377)*($A$337='Safety Action Tracking'!$B$3:$B$7377)*(Data!#REF!='Safety Action Tracking'!$A$3:$A$7377))</f>
        <v>#REF!</v>
      </c>
      <c r="Q337" s="53" t="e" cm="1">
        <f t="array" ref="Q337">SUM((Q329='Safety Action Tracking'!$E$3:$E$7377)*($A$337='Safety Action Tracking'!$B$3:$B$7377)*(Data!#REF!='Safety Action Tracking'!$A$3:$A$7377))</f>
        <v>#REF!</v>
      </c>
      <c r="R337" s="53" t="e" cm="1">
        <f t="array" ref="R337">SUM((R329='Safety Action Tracking'!$E$3:$E$7377)*($A$337='Safety Action Tracking'!$B$3:$B$7377)*(Data!#REF!='Safety Action Tracking'!$A$3:$A$7377))</f>
        <v>#REF!</v>
      </c>
      <c r="S337" s="53" t="e" cm="1">
        <f t="array" ref="S337">SUM((S329='Safety Action Tracking'!$E$3:$E$7377)*($A$337='Safety Action Tracking'!$B$3:$B$7377)*(Data!#REF!='Safety Action Tracking'!$A$3:$A$7377))</f>
        <v>#REF!</v>
      </c>
      <c r="T337" s="53" t="e" cm="1">
        <f t="array" ref="T337">SUM((T329='Safety Action Tracking'!$E$3:$E$7377)*($A$337='Safety Action Tracking'!$B$3:$B$7377)*(Data!#REF!='Safety Action Tracking'!$A$3:$A$7377))</f>
        <v>#REF!</v>
      </c>
      <c r="U337" s="53" t="e" cm="1">
        <f t="array" ref="U337">SUM((U329='Safety Action Tracking'!$E$3:$E$7377)*($A$337='Safety Action Tracking'!$B$3:$B$7377)*(Data!#REF!='Safety Action Tracking'!$A$3:$A$7377))</f>
        <v>#REF!</v>
      </c>
      <c r="V337" s="53" t="e" cm="1">
        <f t="array" ref="V337">SUM((V329='Safety Action Tracking'!$E$3:$E$7377)*($A$337='Safety Action Tracking'!$B$3:$B$7377)*(Data!#REF!='Safety Action Tracking'!$A$3:$A$7377))</f>
        <v>#REF!</v>
      </c>
      <c r="W337" s="53" t="e" cm="1">
        <f t="array" ref="W337">SUM((W329='Safety Action Tracking'!$E$3:$E$7377)*($A$337='Safety Action Tracking'!$B$3:$B$7377)*(Data!#REF!='Safety Action Tracking'!$A$3:$A$7377))</f>
        <v>#REF!</v>
      </c>
      <c r="X337" s="53" t="e" cm="1">
        <f t="array" ref="X337">SUM((X329='Safety Action Tracking'!$E$3:$E$7377)*($A$337='Safety Action Tracking'!$B$3:$B$7377)*(Data!#REF!='Safety Action Tracking'!$A$3:$A$7377))</f>
        <v>#REF!</v>
      </c>
      <c r="Y337" s="53" t="e" cm="1">
        <f t="array" ref="Y337">SUM((Y329='Safety Action Tracking'!$E$3:$E$7377)*($A$337='Safety Action Tracking'!$B$3:$B$7377)*(Data!#REF!='Safety Action Tracking'!$A$3:$A$7377))</f>
        <v>#REF!</v>
      </c>
      <c r="Z337" s="53" t="e" cm="1">
        <f t="array" ref="Z337">SUM((Z329='Safety Action Tracking'!$E$3:$E$7377)*($A$337='Safety Action Tracking'!$B$3:$B$7377)*(Data!#REF!='Safety Action Tracking'!$A$3:$A$7377))</f>
        <v>#REF!</v>
      </c>
      <c r="AA337" s="53" t="e" cm="1">
        <f t="array" ref="AA337">SUM((AA329='Safety Action Tracking'!$E$3:$E$7377)*($A$337='Safety Action Tracking'!$B$3:$B$7377)*(Data!#REF!='Safety Action Tracking'!$A$3:$A$7377))</f>
        <v>#REF!</v>
      </c>
      <c r="AB337" s="53" t="e" cm="1">
        <f t="array" ref="AB337">SUM((AB329='Safety Action Tracking'!$E$3:$E$7377)*($A$337='Safety Action Tracking'!$B$3:$B$7377)*(Data!#REF!='Safety Action Tracking'!$A$3:$A$7377))</f>
        <v>#REF!</v>
      </c>
      <c r="AC337" s="53" t="e" cm="1">
        <f t="array" ref="AC337">SUM((AC329='Safety Action Tracking'!$E$3:$E$7377)*($A$337='Safety Action Tracking'!$B$3:$B$7377)*(Data!#REF!='Safety Action Tracking'!$A$3:$A$7377))</f>
        <v>#REF!</v>
      </c>
      <c r="AD337" s="53" t="e" cm="1">
        <f t="array" ref="AD337">SUM((AD329='Safety Action Tracking'!$E$3:$E$7377)*($A$337='Safety Action Tracking'!$B$3:$B$7377)*(Data!#REF!='Safety Action Tracking'!$A$3:$A$7377))</f>
        <v>#REF!</v>
      </c>
      <c r="AE337" s="53" t="e" cm="1">
        <f t="array" ref="AE337">SUM((AE329='Safety Action Tracking'!$E$3:$E$7377)*($A$337='Safety Action Tracking'!$B$3:$B$7377)*(Data!#REF!='Safety Action Tracking'!$A$3:$A$7377))</f>
        <v>#REF!</v>
      </c>
      <c r="AF337" s="53" t="e" cm="1">
        <f t="array" ref="AF337">SUM((AF329='Safety Action Tracking'!$E$3:$E$7377)*($A$337='Safety Action Tracking'!$B$3:$B$7377)*(Data!#REF!='Safety Action Tracking'!$A$3:$A$7377))</f>
        <v>#REF!</v>
      </c>
      <c r="AG337" s="53" t="e" cm="1">
        <f t="array" ref="AG337">SUM((AG329='Safety Action Tracking'!$E$3:$E$7377)*($A$337='Safety Action Tracking'!$B$3:$B$7377)*(Data!#REF!='Safety Action Tracking'!$A$3:$A$7377))</f>
        <v>#REF!</v>
      </c>
      <c r="AH337" s="53" t="e" cm="1">
        <f t="array" ref="AH337">SUM((AH329='Safety Action Tracking'!$E$3:$E$7377)*($A$337='Safety Action Tracking'!$B$3:$B$7377)*(Data!#REF!='Safety Action Tracking'!$A$3:$A$7377))</f>
        <v>#REF!</v>
      </c>
      <c r="AI337" s="53" t="e" cm="1">
        <f t="array" ref="AI337">SUM((AI329='Safety Action Tracking'!$E$3:$E$7377)*($A$337='Safety Action Tracking'!$B$3:$B$7377)*(Data!#REF!='Safety Action Tracking'!$A$3:$A$7377))</f>
        <v>#REF!</v>
      </c>
      <c r="AJ337" s="53" t="e" cm="1">
        <f t="array" ref="AJ337">SUM((AJ329='Safety Action Tracking'!$E$3:$E$7377)*($A$337='Safety Action Tracking'!$B$3:$B$7377)*(Data!#REF!='Safety Action Tracking'!$A$3:$A$7377))</f>
        <v>#REF!</v>
      </c>
      <c r="AK337" s="53" t="e" cm="1">
        <f t="array" ref="AK337">SUM((AK329='Safety Action Tracking'!$E$3:$E$7377)*($A$337='Safety Action Tracking'!$B$3:$B$7377)*(Data!#REF!='Safety Action Tracking'!$A$3:$A$7377))</f>
        <v>#REF!</v>
      </c>
      <c r="AL337" s="53" t="e" cm="1">
        <f t="array" ref="AL337">SUM((AL329='Safety Action Tracking'!$E$3:$E$7377)*($A$337='Safety Action Tracking'!$B$3:$B$7377)*(Data!#REF!='Safety Action Tracking'!$A$3:$A$7377))</f>
        <v>#REF!</v>
      </c>
      <c r="AM337" s="53" t="e" cm="1">
        <f t="array" ref="AM337">SUM((AM329='Safety Action Tracking'!$E$3:$E$7377)*($A$337='Safety Action Tracking'!$B$3:$B$7377)*(Data!#REF!='Safety Action Tracking'!$A$3:$A$7377))</f>
        <v>#REF!</v>
      </c>
      <c r="AN337" s="53" t="e" cm="1">
        <f t="array" ref="AN337">SUM((AN329='Safety Action Tracking'!$E$3:$E$7377)*($A$337='Safety Action Tracking'!$B$3:$B$7377)*(Data!#REF!='Safety Action Tracking'!$A$3:$A$7377))</f>
        <v>#REF!</v>
      </c>
      <c r="AO337" s="288" t="e">
        <f>SUM(AB337:AN337)</f>
        <v>#REF!</v>
      </c>
    </row>
    <row r="338" spans="1:41" ht="14.15" customHeight="1" x14ac:dyDescent="0.35">
      <c r="A338" s="152" t="s">
        <v>111</v>
      </c>
      <c r="B338" s="448"/>
      <c r="C338" s="448" t="e" cm="1">
        <f t="array" ref="C338">SUM((C329='Safety Action Tracking'!$E$3:$E$7377)*($A$338='Safety Action Tracking'!$B$3:$B$7377)*(Data!#REF!='Safety Action Tracking'!$A$3:$A$7377))</f>
        <v>#REF!</v>
      </c>
      <c r="D338" s="448" t="e" cm="1">
        <f t="array" ref="D338">SUM((D329='Safety Action Tracking'!$E$3:$E$7377)*($A$338='Safety Action Tracking'!$B$3:$B$7377)*(Data!#REF!='Safety Action Tracking'!$A$3:$A$7377))</f>
        <v>#REF!</v>
      </c>
      <c r="E338" s="448" t="e" cm="1">
        <f t="array" ref="E338">SUM((E329='Safety Action Tracking'!$E$3:$E$7377)*($A$338='Safety Action Tracking'!$B$3:$B$7377)*(Data!#REF!='Safety Action Tracking'!$A$3:$A$7377))</f>
        <v>#REF!</v>
      </c>
      <c r="F338" s="448" t="e" cm="1">
        <f t="array" ref="F338">SUM((F329='Safety Action Tracking'!$E$3:$E$7377)*($A$338='Safety Action Tracking'!$B$3:$B$7377)*(Data!#REF!='Safety Action Tracking'!$A$3:$A$7377))</f>
        <v>#REF!</v>
      </c>
      <c r="G338" s="448" t="e" cm="1">
        <f t="array" ref="G338">SUM((G329='Safety Action Tracking'!$E$3:$E$7377)*($A$338='Safety Action Tracking'!$B$3:$B$7377)*(Data!#REF!='Safety Action Tracking'!$A$3:$A$7377))</f>
        <v>#REF!</v>
      </c>
      <c r="H338" s="448" t="e" cm="1">
        <f t="array" ref="H338">SUM((H329='Safety Action Tracking'!$E$3:$E$7377)*($A$338='Safety Action Tracking'!$B$3:$B$7377)*(Data!#REF!='Safety Action Tracking'!$A$3:$A$7377))</f>
        <v>#REF!</v>
      </c>
      <c r="I338" s="448" t="e" cm="1">
        <f t="array" ref="I338">SUM((I329='Safety Action Tracking'!$E$3:$E$7377)*($A$338='Safety Action Tracking'!$B$3:$B$7377)*(Data!#REF!='Safety Action Tracking'!$A$3:$A$7377))</f>
        <v>#REF!</v>
      </c>
      <c r="J338" s="53" t="e" cm="1">
        <f t="array" ref="J338">SUM((J329='Safety Action Tracking'!$E$3:$E$7377)*($A$338='Safety Action Tracking'!$B$3:$B$7377)*(Data!#REF!='Safety Action Tracking'!$A$3:$A$7377))</f>
        <v>#REF!</v>
      </c>
      <c r="K338" s="53" t="e" cm="1">
        <f t="array" ref="K338">SUM((K329='Safety Action Tracking'!$E$3:$E$7377)*($A$338='Safety Action Tracking'!$B$3:$B$7377)*(Data!#REF!='Safety Action Tracking'!$A$3:$A$7377))</f>
        <v>#REF!</v>
      </c>
      <c r="L338" s="53" t="e" cm="1">
        <f t="array" ref="L338">SUM((L329='Safety Action Tracking'!$E$3:$E$7377)*($A$338='Safety Action Tracking'!$B$3:$B$7377)*(Data!#REF!='Safety Action Tracking'!$A$3:$A$7377))</f>
        <v>#REF!</v>
      </c>
      <c r="M338" s="53" t="e" cm="1">
        <f t="array" ref="M338">SUM((M329='Safety Action Tracking'!$E$3:$E$7377)*($A$338='Safety Action Tracking'!$B$3:$B$7377)*(Data!#REF!='Safety Action Tracking'!$A$3:$A$7377))</f>
        <v>#REF!</v>
      </c>
      <c r="N338" s="53" t="e" cm="1">
        <f t="array" ref="N338">SUM((N329='Safety Action Tracking'!$E$3:$E$7377)*($A$338='Safety Action Tracking'!$B$3:$B$7377)*(Data!#REF!='Safety Action Tracking'!$A$3:$A$7377))</f>
        <v>#REF!</v>
      </c>
      <c r="O338" s="53" t="e" cm="1">
        <f t="array" ref="O338">SUM((O329='Safety Action Tracking'!$E$3:$E$7377)*($A$338='Safety Action Tracking'!$B$3:$B$7377)*(Data!#REF!='Safety Action Tracking'!$A$3:$A$7377))</f>
        <v>#REF!</v>
      </c>
      <c r="P338" s="53" t="e" cm="1">
        <f t="array" ref="P338">SUM((P329='Safety Action Tracking'!$E$3:$E$7377)*($A$338='Safety Action Tracking'!$B$3:$B$7377)*(Data!#REF!='Safety Action Tracking'!$A$3:$A$7377))</f>
        <v>#REF!</v>
      </c>
      <c r="Q338" s="53" t="e" cm="1">
        <f t="array" ref="Q338">SUM((Q329='Safety Action Tracking'!$E$3:$E$7377)*($A$338='Safety Action Tracking'!$B$3:$B$7377)*(Data!#REF!='Safety Action Tracking'!$A$3:$A$7377))</f>
        <v>#REF!</v>
      </c>
      <c r="R338" s="53" t="e" cm="1">
        <f t="array" ref="R338">SUM((R329='Safety Action Tracking'!$E$3:$E$7377)*($A$338='Safety Action Tracking'!$B$3:$B$7377)*(Data!#REF!='Safety Action Tracking'!$A$3:$A$7377))</f>
        <v>#REF!</v>
      </c>
      <c r="S338" s="53" t="e" cm="1">
        <f t="array" ref="S338">SUM((S329='Safety Action Tracking'!$E$3:$E$7377)*($A$338='Safety Action Tracking'!$B$3:$B$7377)*(Data!#REF!='Safety Action Tracking'!$A$3:$A$7377))</f>
        <v>#REF!</v>
      </c>
      <c r="T338" s="53" t="e" cm="1">
        <f t="array" ref="T338">SUM((T329='Safety Action Tracking'!$E$3:$E$7377)*($A$338='Safety Action Tracking'!$B$3:$B$7377)*(Data!#REF!='Safety Action Tracking'!$A$3:$A$7377))</f>
        <v>#REF!</v>
      </c>
      <c r="U338" s="53" t="e" cm="1">
        <f t="array" ref="U338">SUM((U329='Safety Action Tracking'!$E$3:$E$7377)*($A$338='Safety Action Tracking'!$B$3:$B$7377)*(Data!#REF!='Safety Action Tracking'!$A$3:$A$7377))</f>
        <v>#REF!</v>
      </c>
      <c r="V338" s="53" t="e" cm="1">
        <f t="array" ref="V338">SUM((V329='Safety Action Tracking'!$E$3:$E$7377)*($A$338='Safety Action Tracking'!$B$3:$B$7377)*(Data!#REF!='Safety Action Tracking'!$A$3:$A$7377))</f>
        <v>#REF!</v>
      </c>
      <c r="W338" s="53" t="e" cm="1">
        <f t="array" ref="W338">SUM((W329='Safety Action Tracking'!$E$3:$E$7377)*($A$338='Safety Action Tracking'!$B$3:$B$7377)*(Data!#REF!='Safety Action Tracking'!$A$3:$A$7377))</f>
        <v>#REF!</v>
      </c>
      <c r="X338" s="53" t="e" cm="1">
        <f t="array" ref="X338">SUM((X329='Safety Action Tracking'!$E$3:$E$7377)*($A$338='Safety Action Tracking'!$B$3:$B$7377)*(Data!#REF!='Safety Action Tracking'!$A$3:$A$7377))</f>
        <v>#REF!</v>
      </c>
      <c r="Y338" s="53" t="e" cm="1">
        <f t="array" ref="Y338">SUM((Y329='Safety Action Tracking'!$E$3:$E$7377)*($A$338='Safety Action Tracking'!$B$3:$B$7377)*(Data!#REF!='Safety Action Tracking'!$A$3:$A$7377))</f>
        <v>#REF!</v>
      </c>
      <c r="Z338" s="53" t="e" cm="1">
        <f t="array" ref="Z338">SUM((Z329='Safety Action Tracking'!$E$3:$E$7377)*($A$338='Safety Action Tracking'!$B$3:$B$7377)*(Data!#REF!='Safety Action Tracking'!$A$3:$A$7377))</f>
        <v>#REF!</v>
      </c>
      <c r="AA338" s="53" t="e" cm="1">
        <f t="array" ref="AA338">SUM((AA329='Safety Action Tracking'!$E$3:$E$7377)*($A$338='Safety Action Tracking'!$B$3:$B$7377)*(Data!#REF!='Safety Action Tracking'!$A$3:$A$7377))</f>
        <v>#REF!</v>
      </c>
      <c r="AB338" s="53" t="e" cm="1">
        <f t="array" ref="AB338">SUM((AB329='Safety Action Tracking'!$E$3:$E$7377)*($A$338='Safety Action Tracking'!$B$3:$B$7377)*(Data!#REF!='Safety Action Tracking'!$A$3:$A$7377))</f>
        <v>#REF!</v>
      </c>
      <c r="AC338" s="53" t="e" cm="1">
        <f t="array" ref="AC338">SUM((AC329='Safety Action Tracking'!$E$3:$E$7377)*($A$338='Safety Action Tracking'!$B$3:$B$7377)*(Data!#REF!='Safety Action Tracking'!$A$3:$A$7377))</f>
        <v>#REF!</v>
      </c>
      <c r="AD338" s="53" t="e" cm="1">
        <f t="array" ref="AD338">SUM((AD329='Safety Action Tracking'!$E$3:$E$7377)*($A$338='Safety Action Tracking'!$B$3:$B$7377)*(Data!#REF!='Safety Action Tracking'!$A$3:$A$7377))</f>
        <v>#REF!</v>
      </c>
      <c r="AE338" s="53" t="e" cm="1">
        <f t="array" ref="AE338">SUM((AE329='Safety Action Tracking'!$E$3:$E$7377)*($A$338='Safety Action Tracking'!$B$3:$B$7377)*(Data!#REF!='Safety Action Tracking'!$A$3:$A$7377))</f>
        <v>#REF!</v>
      </c>
      <c r="AF338" s="53" t="e" cm="1">
        <f t="array" ref="AF338">SUM((AF329='Safety Action Tracking'!$E$3:$E$7377)*($A$338='Safety Action Tracking'!$B$3:$B$7377)*(Data!#REF!='Safety Action Tracking'!$A$3:$A$7377))</f>
        <v>#REF!</v>
      </c>
      <c r="AG338" s="53" t="e" cm="1">
        <f t="array" ref="AG338">SUM((AG329='Safety Action Tracking'!$E$3:$E$7377)*($A$338='Safety Action Tracking'!$B$3:$B$7377)*(Data!#REF!='Safety Action Tracking'!$A$3:$A$7377))</f>
        <v>#REF!</v>
      </c>
      <c r="AH338" s="53" t="e" cm="1">
        <f t="array" ref="AH338">SUM((AH329='Safety Action Tracking'!$E$3:$E$7377)*($A$338='Safety Action Tracking'!$B$3:$B$7377)*(Data!#REF!='Safety Action Tracking'!$A$3:$A$7377))</f>
        <v>#REF!</v>
      </c>
      <c r="AI338" s="53" t="e" cm="1">
        <f t="array" ref="AI338">SUM((AI329='Safety Action Tracking'!$E$3:$E$7377)*($A$338='Safety Action Tracking'!$B$3:$B$7377)*(Data!#REF!='Safety Action Tracking'!$A$3:$A$7377))</f>
        <v>#REF!</v>
      </c>
      <c r="AJ338" s="53" t="e" cm="1">
        <f t="array" ref="AJ338">SUM((AJ329='Safety Action Tracking'!$E$3:$E$7377)*($A$338='Safety Action Tracking'!$B$3:$B$7377)*(Data!#REF!='Safety Action Tracking'!$A$3:$A$7377))</f>
        <v>#REF!</v>
      </c>
      <c r="AK338" s="53" t="e" cm="1">
        <f t="array" ref="AK338">SUM((AK329='Safety Action Tracking'!$E$3:$E$7377)*($A$338='Safety Action Tracking'!$B$3:$B$7377)*(Data!#REF!='Safety Action Tracking'!$A$3:$A$7377))</f>
        <v>#REF!</v>
      </c>
      <c r="AL338" s="53" t="e" cm="1">
        <f t="array" ref="AL338">SUM((AL329='Safety Action Tracking'!$E$3:$E$7377)*($A$338='Safety Action Tracking'!$B$3:$B$7377)*(Data!#REF!='Safety Action Tracking'!$A$3:$A$7377))</f>
        <v>#REF!</v>
      </c>
      <c r="AM338" s="53" t="e" cm="1">
        <f t="array" ref="AM338">SUM((AM329='Safety Action Tracking'!$E$3:$E$7377)*($A$338='Safety Action Tracking'!$B$3:$B$7377)*(Data!#REF!='Safety Action Tracking'!$A$3:$A$7377))</f>
        <v>#REF!</v>
      </c>
      <c r="AN338" s="53" t="e" cm="1">
        <f t="array" ref="AN338">SUM((AN329='Safety Action Tracking'!$E$3:$E$7377)*($A$338='Safety Action Tracking'!$B$3:$B$7377)*(Data!#REF!='Safety Action Tracking'!$A$3:$A$7377))</f>
        <v>#REF!</v>
      </c>
      <c r="AO338" s="288" t="e">
        <f>SUM(AB338:AN338)</f>
        <v>#REF!</v>
      </c>
    </row>
    <row r="339" spans="1:41" ht="14.15" customHeight="1" x14ac:dyDescent="0.35">
      <c r="A339" s="152" t="s">
        <v>14</v>
      </c>
      <c r="B339" s="450"/>
      <c r="C339" s="448" t="e">
        <f>SUM(C336:C338)</f>
        <v>#REF!</v>
      </c>
      <c r="D339" s="448" t="e">
        <f t="shared" ref="D339:N339" si="231">SUM(D336:D338)</f>
        <v>#REF!</v>
      </c>
      <c r="E339" s="448" t="e">
        <f t="shared" si="231"/>
        <v>#REF!</v>
      </c>
      <c r="F339" s="448" t="e">
        <f t="shared" si="231"/>
        <v>#REF!</v>
      </c>
      <c r="G339" s="448" t="e">
        <f t="shared" si="231"/>
        <v>#REF!</v>
      </c>
      <c r="H339" s="448" t="e">
        <f t="shared" si="231"/>
        <v>#REF!</v>
      </c>
      <c r="I339" s="448" t="e">
        <f t="shared" si="231"/>
        <v>#REF!</v>
      </c>
      <c r="J339" s="53" t="e">
        <f t="shared" si="231"/>
        <v>#REF!</v>
      </c>
      <c r="K339" s="53" t="e">
        <f t="shared" si="231"/>
        <v>#REF!</v>
      </c>
      <c r="L339" s="53" t="e">
        <f t="shared" si="231"/>
        <v>#REF!</v>
      </c>
      <c r="M339" s="53" t="e">
        <f t="shared" si="231"/>
        <v>#REF!</v>
      </c>
      <c r="N339" s="53" t="e">
        <f t="shared" si="231"/>
        <v>#REF!</v>
      </c>
      <c r="O339" s="53" t="e">
        <f t="shared" ref="O339:Z339" si="232">SUM(O336:O338)</f>
        <v>#REF!</v>
      </c>
      <c r="P339" s="53" t="e">
        <f t="shared" si="232"/>
        <v>#REF!</v>
      </c>
      <c r="Q339" s="53" t="e">
        <f t="shared" si="232"/>
        <v>#REF!</v>
      </c>
      <c r="R339" s="53" t="e">
        <f t="shared" si="232"/>
        <v>#REF!</v>
      </c>
      <c r="S339" s="53" t="e">
        <f t="shared" si="232"/>
        <v>#REF!</v>
      </c>
      <c r="T339" s="53" t="e">
        <f t="shared" si="232"/>
        <v>#REF!</v>
      </c>
      <c r="U339" s="53" t="e">
        <f t="shared" si="232"/>
        <v>#REF!</v>
      </c>
      <c r="V339" s="53" t="e">
        <f t="shared" si="232"/>
        <v>#REF!</v>
      </c>
      <c r="W339" s="53" t="e">
        <f t="shared" si="232"/>
        <v>#REF!</v>
      </c>
      <c r="X339" s="53" t="e">
        <f t="shared" si="232"/>
        <v>#REF!</v>
      </c>
      <c r="Y339" s="53" t="e">
        <f t="shared" si="232"/>
        <v>#REF!</v>
      </c>
      <c r="Z339" s="53" t="e">
        <f t="shared" si="232"/>
        <v>#REF!</v>
      </c>
      <c r="AA339" s="53" t="e">
        <f t="shared" ref="AA339:AN339" si="233">SUM(AA336:AA338)</f>
        <v>#REF!</v>
      </c>
      <c r="AB339" s="53" t="e">
        <f t="shared" si="233"/>
        <v>#REF!</v>
      </c>
      <c r="AC339" s="53" t="e">
        <f t="shared" si="233"/>
        <v>#REF!</v>
      </c>
      <c r="AD339" s="53" t="e">
        <f t="shared" si="233"/>
        <v>#REF!</v>
      </c>
      <c r="AE339" s="53" t="e">
        <f t="shared" si="233"/>
        <v>#REF!</v>
      </c>
      <c r="AF339" s="53" t="e">
        <f t="shared" si="233"/>
        <v>#REF!</v>
      </c>
      <c r="AG339" s="53" t="e">
        <f t="shared" si="233"/>
        <v>#REF!</v>
      </c>
      <c r="AH339" s="53" t="e">
        <f t="shared" si="233"/>
        <v>#REF!</v>
      </c>
      <c r="AI339" s="53" t="e">
        <f t="shared" si="233"/>
        <v>#REF!</v>
      </c>
      <c r="AJ339" s="53" t="e">
        <f t="shared" si="233"/>
        <v>#REF!</v>
      </c>
      <c r="AK339" s="53" t="e">
        <f t="shared" si="233"/>
        <v>#REF!</v>
      </c>
      <c r="AL339" s="53" t="e">
        <f t="shared" si="233"/>
        <v>#REF!</v>
      </c>
      <c r="AM339" s="53" t="e">
        <f t="shared" si="233"/>
        <v>#REF!</v>
      </c>
      <c r="AN339" s="53" t="e">
        <f t="shared" si="233"/>
        <v>#REF!</v>
      </c>
      <c r="AO339" s="288" t="e">
        <f>SUM(AB339:AN339)</f>
        <v>#REF!</v>
      </c>
    </row>
    <row r="340" spans="1:41" ht="15.65" customHeight="1" thickBot="1" x14ac:dyDescent="0.4">
      <c r="A340" s="105"/>
    </row>
    <row r="341" spans="1:41" ht="15" thickBot="1" x14ac:dyDescent="0.4">
      <c r="A341" s="19" t="s">
        <v>12</v>
      </c>
    </row>
    <row r="342" spans="1:41" x14ac:dyDescent="0.35">
      <c r="A342" s="135" t="s">
        <v>45</v>
      </c>
    </row>
    <row r="343" spans="1:41" x14ac:dyDescent="0.35">
      <c r="A343" s="130" t="s">
        <v>15</v>
      </c>
    </row>
    <row r="344" spans="1:41" x14ac:dyDescent="0.35">
      <c r="A344" s="130" t="s">
        <v>46</v>
      </c>
    </row>
    <row r="345" spans="1:41" x14ac:dyDescent="0.35">
      <c r="A345" s="130" t="s">
        <v>15</v>
      </c>
    </row>
    <row r="346" spans="1:41" x14ac:dyDescent="0.35">
      <c r="A346" s="130" t="s">
        <v>47</v>
      </c>
    </row>
    <row r="347" spans="1:41" x14ac:dyDescent="0.35">
      <c r="A347" s="130" t="s">
        <v>15</v>
      </c>
    </row>
    <row r="348" spans="1:41" x14ac:dyDescent="0.35">
      <c r="A348" s="130" t="s">
        <v>48</v>
      </c>
    </row>
    <row r="349" spans="1:41" x14ac:dyDescent="0.35">
      <c r="A349" s="130" t="s">
        <v>15</v>
      </c>
    </row>
    <row r="350" spans="1:41" x14ac:dyDescent="0.35">
      <c r="A350" s="130" t="s">
        <v>49</v>
      </c>
    </row>
    <row r="351" spans="1:41" x14ac:dyDescent="0.35">
      <c r="A351" s="130" t="s">
        <v>15</v>
      </c>
    </row>
    <row r="352" spans="1:41" x14ac:dyDescent="0.35">
      <c r="A352" s="130" t="s">
        <v>50</v>
      </c>
    </row>
    <row r="353" spans="1:1" x14ac:dyDescent="0.35">
      <c r="A353" s="130" t="s">
        <v>15</v>
      </c>
    </row>
    <row r="354" spans="1:1" x14ac:dyDescent="0.35">
      <c r="A354" s="130" t="s">
        <v>51</v>
      </c>
    </row>
    <row r="355" spans="1:1" x14ac:dyDescent="0.35">
      <c r="A355" s="130" t="s">
        <v>15</v>
      </c>
    </row>
    <row r="356" spans="1:1" x14ac:dyDescent="0.35">
      <c r="A356" s="130" t="s">
        <v>52</v>
      </c>
    </row>
    <row r="357" spans="1:1" x14ac:dyDescent="0.35">
      <c r="A357" s="130" t="s">
        <v>15</v>
      </c>
    </row>
    <row r="358" spans="1:1" x14ac:dyDescent="0.35">
      <c r="A358" s="130" t="s">
        <v>53</v>
      </c>
    </row>
    <row r="359" spans="1:1" x14ac:dyDescent="0.35">
      <c r="A359" s="130" t="s">
        <v>15</v>
      </c>
    </row>
    <row r="360" spans="1:1" x14ac:dyDescent="0.35">
      <c r="A360" s="130" t="s">
        <v>54</v>
      </c>
    </row>
    <row r="361" spans="1:1" x14ac:dyDescent="0.35">
      <c r="A361" s="130" t="s">
        <v>15</v>
      </c>
    </row>
    <row r="362" spans="1:1" x14ac:dyDescent="0.35">
      <c r="A362" s="130" t="s">
        <v>55</v>
      </c>
    </row>
    <row r="363" spans="1:1" x14ac:dyDescent="0.35">
      <c r="A363" s="130" t="s">
        <v>15</v>
      </c>
    </row>
    <row r="364" spans="1:1" x14ac:dyDescent="0.35">
      <c r="A364" s="130" t="s">
        <v>56</v>
      </c>
    </row>
    <row r="365" spans="1:1" x14ac:dyDescent="0.35">
      <c r="A365" s="130" t="s">
        <v>15</v>
      </c>
    </row>
    <row r="366" spans="1:1" x14ac:dyDescent="0.35">
      <c r="A366" s="130" t="s">
        <v>57</v>
      </c>
    </row>
    <row r="367" spans="1:1" x14ac:dyDescent="0.35">
      <c r="A367" s="130" t="s">
        <v>15</v>
      </c>
    </row>
    <row r="368" spans="1:1" x14ac:dyDescent="0.35">
      <c r="A368" s="130" t="s">
        <v>58</v>
      </c>
    </row>
    <row r="369" spans="1:1" x14ac:dyDescent="0.35">
      <c r="A369" s="130" t="s">
        <v>15</v>
      </c>
    </row>
    <row r="370" spans="1:1" x14ac:dyDescent="0.35">
      <c r="A370" s="130" t="s">
        <v>59</v>
      </c>
    </row>
    <row r="371" spans="1:1" x14ac:dyDescent="0.35">
      <c r="A371" s="130" t="s">
        <v>15</v>
      </c>
    </row>
    <row r="372" spans="1:1" x14ac:dyDescent="0.35">
      <c r="A372" s="130" t="s">
        <v>60</v>
      </c>
    </row>
    <row r="373" spans="1:1" x14ac:dyDescent="0.35">
      <c r="A373" s="130" t="s">
        <v>15</v>
      </c>
    </row>
    <row r="374" spans="1:1" x14ac:dyDescent="0.35">
      <c r="A374" s="130" t="s">
        <v>61</v>
      </c>
    </row>
    <row r="375" spans="1:1" x14ac:dyDescent="0.35">
      <c r="A375" s="130" t="s">
        <v>15</v>
      </c>
    </row>
    <row r="376" spans="1:1" x14ac:dyDescent="0.35">
      <c r="A376" s="130" t="s">
        <v>62</v>
      </c>
    </row>
    <row r="377" spans="1:1" x14ac:dyDescent="0.35">
      <c r="A377" s="130" t="s">
        <v>15</v>
      </c>
    </row>
    <row r="378" spans="1:1" x14ac:dyDescent="0.35">
      <c r="A378" s="130" t="s">
        <v>63</v>
      </c>
    </row>
    <row r="379" spans="1:1" x14ac:dyDescent="0.35">
      <c r="A379" s="130" t="s">
        <v>15</v>
      </c>
    </row>
    <row r="380" spans="1:1" x14ac:dyDescent="0.35">
      <c r="A380" s="130" t="s">
        <v>64</v>
      </c>
    </row>
    <row r="381" spans="1:1" x14ac:dyDescent="0.35">
      <c r="A381" s="130" t="s">
        <v>15</v>
      </c>
    </row>
    <row r="382" spans="1:1" x14ac:dyDescent="0.35">
      <c r="A382" s="130" t="s">
        <v>65</v>
      </c>
    </row>
    <row r="383" spans="1:1" x14ac:dyDescent="0.35">
      <c r="A383" s="130" t="s">
        <v>15</v>
      </c>
    </row>
    <row r="384" spans="1:1" x14ac:dyDescent="0.35">
      <c r="A384" s="130" t="s">
        <v>66</v>
      </c>
    </row>
    <row r="385" spans="1:1" x14ac:dyDescent="0.35">
      <c r="A385" s="130" t="s">
        <v>15</v>
      </c>
    </row>
    <row r="386" spans="1:1" x14ac:dyDescent="0.35">
      <c r="A386" s="130" t="s">
        <v>67</v>
      </c>
    </row>
    <row r="387" spans="1:1" x14ac:dyDescent="0.35">
      <c r="A387" s="130" t="s">
        <v>15</v>
      </c>
    </row>
    <row r="388" spans="1:1" x14ac:dyDescent="0.35">
      <c r="A388" s="130" t="s">
        <v>68</v>
      </c>
    </row>
    <row r="389" spans="1:1" x14ac:dyDescent="0.35">
      <c r="A389" s="131" t="s">
        <v>15</v>
      </c>
    </row>
    <row r="390" spans="1:1" x14ac:dyDescent="0.35">
      <c r="A390" s="136" t="s">
        <v>69</v>
      </c>
    </row>
    <row r="391" spans="1:1" ht="15" thickBot="1" x14ac:dyDescent="0.4">
      <c r="A391" s="136" t="s">
        <v>15</v>
      </c>
    </row>
    <row r="392" spans="1:1" x14ac:dyDescent="0.35">
      <c r="A392" s="122" t="s">
        <v>14</v>
      </c>
    </row>
    <row r="393" spans="1:1" ht="15" thickBot="1" x14ac:dyDescent="0.4">
      <c r="A393" s="121" t="s">
        <v>15</v>
      </c>
    </row>
  </sheetData>
  <pageMargins left="0.25" right="0.25"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5"/>
  <sheetViews>
    <sheetView topLeftCell="B5" workbookViewId="0">
      <selection activeCell="O34" sqref="O34"/>
    </sheetView>
  </sheetViews>
  <sheetFormatPr defaultRowHeight="14.5" outlineLevelCol="2" x14ac:dyDescent="0.35"/>
  <cols>
    <col min="1" max="1" width="38.26953125" style="389" customWidth="1"/>
    <col min="3" max="3" width="11.26953125" customWidth="1"/>
    <col min="4" max="4" width="52.453125" bestFit="1" customWidth="1" outlineLevel="2"/>
    <col min="5" max="5" width="33.54296875" customWidth="1"/>
    <col min="6" max="6" width="14.7265625" customWidth="1"/>
    <col min="8" max="8" width="23.26953125" customWidth="1"/>
    <col min="10" max="10" width="16" bestFit="1" customWidth="1"/>
    <col min="11" max="11" width="11.7265625" customWidth="1"/>
    <col min="12" max="12" width="11.54296875" customWidth="1"/>
    <col min="13" max="13" width="12.7265625" bestFit="1" customWidth="1"/>
    <col min="14" max="16" width="17.453125" bestFit="1" customWidth="1"/>
    <col min="17" max="17" width="16" customWidth="1"/>
    <col min="18" max="18" width="14.7265625" customWidth="1"/>
    <col min="19" max="19" width="14.26953125" customWidth="1"/>
    <col min="20" max="20" width="20.54296875" customWidth="1"/>
    <col min="21" max="21" width="13.26953125" customWidth="1"/>
    <col min="23" max="23" width="11.1796875" customWidth="1"/>
    <col min="24" max="24" width="14.54296875" customWidth="1"/>
  </cols>
  <sheetData>
    <row r="1" spans="1:24" s="1" customFormat="1" ht="42.5" thickBot="1" x14ac:dyDescent="0.35">
      <c r="A1" s="388" t="s">
        <v>112</v>
      </c>
      <c r="B1" s="5" t="s">
        <v>113</v>
      </c>
      <c r="C1" s="6" t="s">
        <v>114</v>
      </c>
      <c r="D1" s="6" t="s">
        <v>115</v>
      </c>
      <c r="E1" s="7" t="s">
        <v>116</v>
      </c>
      <c r="F1" s="7" t="s">
        <v>117</v>
      </c>
      <c r="G1" s="7" t="s">
        <v>118</v>
      </c>
      <c r="H1" s="7" t="s">
        <v>119</v>
      </c>
      <c r="I1" s="7" t="s">
        <v>120</v>
      </c>
      <c r="J1" s="9" t="s">
        <v>121</v>
      </c>
      <c r="K1" s="4" t="s">
        <v>122</v>
      </c>
      <c r="L1" s="10" t="s">
        <v>86</v>
      </c>
      <c r="M1" s="7" t="s">
        <v>123</v>
      </c>
      <c r="N1" s="7" t="s">
        <v>124</v>
      </c>
      <c r="O1" s="9" t="s">
        <v>125</v>
      </c>
      <c r="P1" s="4" t="s">
        <v>126</v>
      </c>
      <c r="Q1" s="10" t="s">
        <v>127</v>
      </c>
      <c r="R1" s="7" t="s">
        <v>128</v>
      </c>
      <c r="S1" s="7" t="s">
        <v>129</v>
      </c>
      <c r="T1" s="7" t="s">
        <v>130</v>
      </c>
      <c r="U1" s="7" t="s">
        <v>131</v>
      </c>
      <c r="V1" s="7"/>
      <c r="W1" s="8" t="s">
        <v>132</v>
      </c>
      <c r="X1" s="8" t="s">
        <v>133</v>
      </c>
    </row>
    <row r="2" spans="1:24" x14ac:dyDescent="0.35">
      <c r="C2" s="13">
        <v>1613</v>
      </c>
      <c r="E2" s="12" t="s">
        <v>48</v>
      </c>
      <c r="G2">
        <v>106</v>
      </c>
      <c r="H2" s="12" t="s">
        <v>6</v>
      </c>
      <c r="I2" s="12" t="s">
        <v>134</v>
      </c>
      <c r="O2" t="s">
        <v>135</v>
      </c>
      <c r="X2" t="s">
        <v>136</v>
      </c>
    </row>
    <row r="3" spans="1:24" x14ac:dyDescent="0.35">
      <c r="C3" s="13">
        <v>1701</v>
      </c>
      <c r="E3" s="12" t="s">
        <v>45</v>
      </c>
      <c r="G3">
        <v>101</v>
      </c>
      <c r="H3" s="12" t="s">
        <v>2</v>
      </c>
      <c r="I3" s="13" t="s">
        <v>137</v>
      </c>
      <c r="O3" t="s">
        <v>138</v>
      </c>
      <c r="X3" t="s">
        <v>139</v>
      </c>
    </row>
    <row r="4" spans="1:24" x14ac:dyDescent="0.35">
      <c r="C4" s="13">
        <v>1702</v>
      </c>
      <c r="E4" s="12" t="s">
        <v>46</v>
      </c>
      <c r="G4">
        <v>103</v>
      </c>
      <c r="H4" s="99" t="s">
        <v>140</v>
      </c>
      <c r="I4" s="13" t="s">
        <v>141</v>
      </c>
      <c r="O4" t="s">
        <v>142</v>
      </c>
      <c r="X4" t="s">
        <v>143</v>
      </c>
    </row>
    <row r="5" spans="1:24" x14ac:dyDescent="0.35">
      <c r="C5" s="13">
        <v>1703</v>
      </c>
      <c r="E5" s="12" t="s">
        <v>47</v>
      </c>
      <c r="G5">
        <v>104</v>
      </c>
      <c r="H5" s="12" t="s">
        <v>144</v>
      </c>
      <c r="I5" s="13" t="s">
        <v>145</v>
      </c>
      <c r="O5" t="s">
        <v>146</v>
      </c>
      <c r="X5" t="s">
        <v>147</v>
      </c>
    </row>
    <row r="6" spans="1:24" x14ac:dyDescent="0.35">
      <c r="C6" s="13">
        <v>1704</v>
      </c>
      <c r="E6" s="12" t="s">
        <v>148</v>
      </c>
      <c r="G6">
        <v>102</v>
      </c>
      <c r="H6" s="12" t="s">
        <v>4</v>
      </c>
      <c r="I6" s="13" t="s">
        <v>149</v>
      </c>
      <c r="O6" t="s">
        <v>150</v>
      </c>
      <c r="X6" t="s">
        <v>151</v>
      </c>
    </row>
    <row r="7" spans="1:24" x14ac:dyDescent="0.35">
      <c r="C7" s="13">
        <v>1705</v>
      </c>
      <c r="E7" s="13" t="s">
        <v>23</v>
      </c>
      <c r="G7">
        <v>105</v>
      </c>
      <c r="H7" s="12" t="s">
        <v>5</v>
      </c>
      <c r="I7" s="13" t="s">
        <v>152</v>
      </c>
      <c r="O7" t="s">
        <v>153</v>
      </c>
      <c r="X7" t="s">
        <v>154</v>
      </c>
    </row>
    <row r="8" spans="1:24" x14ac:dyDescent="0.35">
      <c r="C8" s="13">
        <v>1706</v>
      </c>
      <c r="E8" s="13" t="s">
        <v>24</v>
      </c>
      <c r="G8">
        <v>107</v>
      </c>
      <c r="H8" s="12" t="s">
        <v>155</v>
      </c>
      <c r="I8" s="13" t="s">
        <v>156</v>
      </c>
      <c r="O8" t="s">
        <v>157</v>
      </c>
      <c r="X8" t="s">
        <v>21</v>
      </c>
    </row>
    <row r="9" spans="1:24" x14ac:dyDescent="0.35">
      <c r="C9" s="13">
        <v>1707</v>
      </c>
      <c r="E9" s="12" t="s">
        <v>158</v>
      </c>
      <c r="G9">
        <v>108</v>
      </c>
      <c r="H9" s="12" t="s">
        <v>11</v>
      </c>
      <c r="I9" s="13" t="s">
        <v>159</v>
      </c>
      <c r="O9" t="s">
        <v>160</v>
      </c>
      <c r="X9" t="s">
        <v>161</v>
      </c>
    </row>
    <row r="10" spans="1:24" ht="29" x14ac:dyDescent="0.35">
      <c r="C10" s="13">
        <v>1708</v>
      </c>
      <c r="E10" s="12" t="s">
        <v>76</v>
      </c>
      <c r="G10">
        <v>109</v>
      </c>
      <c r="H10" s="12"/>
      <c r="I10" s="30" t="s">
        <v>162</v>
      </c>
      <c r="O10" t="s">
        <v>163</v>
      </c>
    </row>
    <row r="11" spans="1:24" x14ac:dyDescent="0.35">
      <c r="C11" s="13">
        <v>1709</v>
      </c>
      <c r="E11" s="13" t="s">
        <v>80</v>
      </c>
      <c r="G11">
        <v>110</v>
      </c>
      <c r="H11" s="12" t="s">
        <v>21</v>
      </c>
      <c r="O11" t="s">
        <v>164</v>
      </c>
    </row>
    <row r="12" spans="1:24" x14ac:dyDescent="0.35">
      <c r="C12" s="13">
        <v>1710</v>
      </c>
      <c r="E12" s="12" t="s">
        <v>165</v>
      </c>
      <c r="G12">
        <v>111</v>
      </c>
      <c r="H12" s="12"/>
      <c r="O12" t="s">
        <v>166</v>
      </c>
    </row>
    <row r="13" spans="1:24" x14ac:dyDescent="0.35">
      <c r="C13" s="13">
        <v>1711</v>
      </c>
      <c r="E13" s="13" t="s">
        <v>84</v>
      </c>
      <c r="G13">
        <v>112</v>
      </c>
      <c r="H13" s="12"/>
      <c r="O13" t="s">
        <v>167</v>
      </c>
    </row>
    <row r="14" spans="1:24" x14ac:dyDescent="0.35">
      <c r="C14" s="13">
        <v>1712</v>
      </c>
      <c r="E14" s="13" t="s">
        <v>37</v>
      </c>
      <c r="G14">
        <v>113</v>
      </c>
      <c r="H14" s="12"/>
      <c r="O14" t="s">
        <v>168</v>
      </c>
    </row>
    <row r="15" spans="1:24" x14ac:dyDescent="0.35">
      <c r="C15" s="13">
        <v>1713</v>
      </c>
      <c r="E15" s="12" t="s">
        <v>49</v>
      </c>
      <c r="G15">
        <v>114</v>
      </c>
      <c r="H15" s="12"/>
      <c r="O15" t="s">
        <v>169</v>
      </c>
    </row>
    <row r="16" spans="1:24" x14ac:dyDescent="0.35">
      <c r="C16" s="13">
        <v>1801</v>
      </c>
      <c r="E16" s="12" t="s">
        <v>50</v>
      </c>
      <c r="G16">
        <v>115</v>
      </c>
      <c r="H16" s="12"/>
      <c r="O16" t="s">
        <v>170</v>
      </c>
    </row>
    <row r="17" spans="3:15" x14ac:dyDescent="0.35">
      <c r="C17" s="13">
        <v>1802</v>
      </c>
      <c r="E17" s="12" t="s">
        <v>51</v>
      </c>
      <c r="G17">
        <v>116</v>
      </c>
      <c r="H17" s="12"/>
      <c r="O17" t="s">
        <v>171</v>
      </c>
    </row>
    <row r="18" spans="3:15" x14ac:dyDescent="0.35">
      <c r="C18" s="13">
        <v>1803</v>
      </c>
      <c r="E18" s="13" t="s">
        <v>52</v>
      </c>
      <c r="G18">
        <v>117</v>
      </c>
      <c r="O18" t="s">
        <v>172</v>
      </c>
    </row>
    <row r="19" spans="3:15" x14ac:dyDescent="0.35">
      <c r="C19" s="13">
        <v>1804</v>
      </c>
      <c r="E19" s="12" t="s">
        <v>69</v>
      </c>
      <c r="G19">
        <v>118</v>
      </c>
      <c r="O19" t="s">
        <v>173</v>
      </c>
    </row>
    <row r="20" spans="3:15" x14ac:dyDescent="0.35">
      <c r="C20" s="13">
        <v>1805</v>
      </c>
      <c r="E20" s="12" t="s">
        <v>53</v>
      </c>
      <c r="G20">
        <v>119</v>
      </c>
      <c r="O20" t="s">
        <v>174</v>
      </c>
    </row>
    <row r="21" spans="3:15" x14ac:dyDescent="0.35">
      <c r="C21" s="13">
        <v>1806</v>
      </c>
      <c r="E21" s="12" t="s">
        <v>54</v>
      </c>
      <c r="G21">
        <v>120</v>
      </c>
      <c r="O21" t="s">
        <v>175</v>
      </c>
    </row>
    <row r="22" spans="3:15" x14ac:dyDescent="0.35">
      <c r="C22" s="13">
        <v>1906</v>
      </c>
      <c r="E22" s="13" t="s">
        <v>40</v>
      </c>
      <c r="O22" t="s">
        <v>176</v>
      </c>
    </row>
    <row r="23" spans="3:15" x14ac:dyDescent="0.35">
      <c r="C23" s="13">
        <v>1807</v>
      </c>
      <c r="E23" s="13" t="s">
        <v>72</v>
      </c>
      <c r="G23">
        <v>121</v>
      </c>
      <c r="O23" t="s">
        <v>177</v>
      </c>
    </row>
    <row r="24" spans="3:15" x14ac:dyDescent="0.35">
      <c r="C24" s="13">
        <v>1808</v>
      </c>
      <c r="E24" s="13" t="s">
        <v>178</v>
      </c>
      <c r="G24">
        <v>122</v>
      </c>
      <c r="H24" s="12"/>
      <c r="O24" t="s">
        <v>179</v>
      </c>
    </row>
    <row r="25" spans="3:15" x14ac:dyDescent="0.35">
      <c r="C25" s="13">
        <v>1809</v>
      </c>
      <c r="E25" s="12" t="s">
        <v>180</v>
      </c>
      <c r="G25">
        <v>123</v>
      </c>
      <c r="O25" t="s">
        <v>181</v>
      </c>
    </row>
    <row r="26" spans="3:15" x14ac:dyDescent="0.35">
      <c r="C26" s="13">
        <v>1810</v>
      </c>
      <c r="E26" s="13" t="s">
        <v>182</v>
      </c>
      <c r="G26">
        <v>124</v>
      </c>
      <c r="O26" t="s">
        <v>183</v>
      </c>
    </row>
    <row r="27" spans="3:15" x14ac:dyDescent="0.35">
      <c r="C27" s="13">
        <v>1907</v>
      </c>
      <c r="E27" s="12" t="s">
        <v>58</v>
      </c>
      <c r="G27">
        <v>125</v>
      </c>
      <c r="O27" t="s">
        <v>184</v>
      </c>
    </row>
    <row r="28" spans="3:15" x14ac:dyDescent="0.35">
      <c r="C28" s="13">
        <v>1811</v>
      </c>
      <c r="E28" s="12" t="s">
        <v>55</v>
      </c>
      <c r="G28">
        <v>201</v>
      </c>
      <c r="O28" t="s">
        <v>185</v>
      </c>
    </row>
    <row r="29" spans="3:15" x14ac:dyDescent="0.35">
      <c r="C29" s="13">
        <v>1812</v>
      </c>
      <c r="E29" s="13" t="s">
        <v>35</v>
      </c>
      <c r="G29">
        <v>202</v>
      </c>
      <c r="O29" t="s">
        <v>186</v>
      </c>
    </row>
    <row r="30" spans="3:15" x14ac:dyDescent="0.35">
      <c r="C30" s="13"/>
      <c r="E30" s="13" t="s">
        <v>187</v>
      </c>
      <c r="G30">
        <v>203</v>
      </c>
      <c r="O30" t="s">
        <v>188</v>
      </c>
    </row>
    <row r="31" spans="3:15" x14ac:dyDescent="0.35">
      <c r="C31" s="13">
        <v>1813</v>
      </c>
      <c r="E31" s="13" t="s">
        <v>31</v>
      </c>
      <c r="G31">
        <v>204</v>
      </c>
      <c r="H31" s="13"/>
      <c r="O31" t="s">
        <v>189</v>
      </c>
    </row>
    <row r="32" spans="3:15" x14ac:dyDescent="0.35">
      <c r="C32" s="13">
        <v>1901</v>
      </c>
      <c r="E32" s="12" t="s">
        <v>56</v>
      </c>
      <c r="G32">
        <v>205</v>
      </c>
      <c r="O32" t="s">
        <v>190</v>
      </c>
    </row>
    <row r="33" spans="1:15" x14ac:dyDescent="0.35">
      <c r="C33" s="13">
        <v>1902</v>
      </c>
      <c r="E33" s="13" t="s">
        <v>26</v>
      </c>
      <c r="G33">
        <v>206</v>
      </c>
      <c r="O33" t="s">
        <v>191</v>
      </c>
    </row>
    <row r="34" spans="1:15" x14ac:dyDescent="0.35">
      <c r="C34" s="13">
        <v>1903</v>
      </c>
      <c r="E34" s="13" t="s">
        <v>192</v>
      </c>
      <c r="G34">
        <v>207</v>
      </c>
      <c r="O34" t="s">
        <v>193</v>
      </c>
    </row>
    <row r="35" spans="1:15" x14ac:dyDescent="0.35">
      <c r="C35" s="13">
        <v>1904</v>
      </c>
      <c r="E35" s="12" t="s">
        <v>57</v>
      </c>
      <c r="G35" s="13" t="s">
        <v>134</v>
      </c>
    </row>
    <row r="36" spans="1:15" x14ac:dyDescent="0.35">
      <c r="C36" s="13">
        <v>1905</v>
      </c>
      <c r="E36" s="13" t="s">
        <v>74</v>
      </c>
    </row>
    <row r="37" spans="1:15" x14ac:dyDescent="0.35">
      <c r="C37" s="13"/>
      <c r="E37" s="12" t="s">
        <v>194</v>
      </c>
    </row>
    <row r="38" spans="1:15" x14ac:dyDescent="0.35">
      <c r="C38" s="13">
        <v>1908</v>
      </c>
      <c r="E38" s="13" t="s">
        <v>195</v>
      </c>
    </row>
    <row r="39" spans="1:15" x14ac:dyDescent="0.35">
      <c r="C39" s="13">
        <v>1909</v>
      </c>
      <c r="E39" s="12" t="s">
        <v>59</v>
      </c>
    </row>
    <row r="40" spans="1:15" x14ac:dyDescent="0.35">
      <c r="C40" s="13">
        <v>1910</v>
      </c>
      <c r="E40" s="13" t="s">
        <v>78</v>
      </c>
    </row>
    <row r="41" spans="1:15" x14ac:dyDescent="0.35">
      <c r="C41" s="13">
        <v>1911</v>
      </c>
      <c r="E41" s="13" t="s">
        <v>83</v>
      </c>
    </row>
    <row r="42" spans="1:15" x14ac:dyDescent="0.35">
      <c r="C42" s="13">
        <v>1912</v>
      </c>
      <c r="E42" s="12" t="s">
        <v>60</v>
      </c>
    </row>
    <row r="43" spans="1:15" x14ac:dyDescent="0.35">
      <c r="C43" s="13">
        <v>1913</v>
      </c>
      <c r="E43" s="12" t="s">
        <v>68</v>
      </c>
    </row>
    <row r="44" spans="1:15" x14ac:dyDescent="0.35">
      <c r="A44" s="390"/>
      <c r="C44" s="13">
        <v>2001</v>
      </c>
      <c r="E44" s="13" t="s">
        <v>61</v>
      </c>
    </row>
    <row r="45" spans="1:15" x14ac:dyDescent="0.35">
      <c r="C45" s="13">
        <v>2002</v>
      </c>
      <c r="E45" s="13" t="s">
        <v>196</v>
      </c>
    </row>
    <row r="46" spans="1:15" x14ac:dyDescent="0.35">
      <c r="C46" s="13">
        <v>2003</v>
      </c>
      <c r="E46" s="13" t="s">
        <v>62</v>
      </c>
    </row>
    <row r="47" spans="1:15" x14ac:dyDescent="0.35">
      <c r="C47" s="13">
        <v>2004</v>
      </c>
      <c r="E47" s="13" t="s">
        <v>197</v>
      </c>
    </row>
    <row r="48" spans="1:15" x14ac:dyDescent="0.35">
      <c r="C48" s="13">
        <v>2005</v>
      </c>
      <c r="E48" s="12" t="s">
        <v>63</v>
      </c>
    </row>
    <row r="49" spans="3:5" x14ac:dyDescent="0.35">
      <c r="C49" s="13">
        <v>2006</v>
      </c>
      <c r="E49" s="13" t="s">
        <v>27</v>
      </c>
    </row>
    <row r="50" spans="3:5" x14ac:dyDescent="0.35">
      <c r="C50" s="13">
        <v>2007</v>
      </c>
      <c r="E50" s="13" t="s">
        <v>38</v>
      </c>
    </row>
    <row r="51" spans="3:5" x14ac:dyDescent="0.35">
      <c r="C51" s="13">
        <v>2008</v>
      </c>
      <c r="E51" s="13" t="s">
        <v>198</v>
      </c>
    </row>
    <row r="52" spans="3:5" x14ac:dyDescent="0.35">
      <c r="C52" s="13">
        <v>2009</v>
      </c>
      <c r="E52" s="12" t="s">
        <v>199</v>
      </c>
    </row>
    <row r="53" spans="3:5" x14ac:dyDescent="0.35">
      <c r="C53" s="13">
        <v>2010</v>
      </c>
      <c r="E53" s="13" t="s">
        <v>85</v>
      </c>
    </row>
    <row r="54" spans="3:5" x14ac:dyDescent="0.35">
      <c r="C54" s="13">
        <v>2011</v>
      </c>
      <c r="E54" s="13" t="s">
        <v>152</v>
      </c>
    </row>
    <row r="55" spans="3:5" x14ac:dyDescent="0.35">
      <c r="C55" s="13">
        <v>2012</v>
      </c>
      <c r="E55" s="13" t="s">
        <v>41</v>
      </c>
    </row>
    <row r="56" spans="3:5" x14ac:dyDescent="0.35">
      <c r="C56" s="13">
        <v>2013</v>
      </c>
      <c r="E56" s="13" t="s">
        <v>200</v>
      </c>
    </row>
    <row r="57" spans="3:5" x14ac:dyDescent="0.35">
      <c r="C57" s="13">
        <v>2101</v>
      </c>
      <c r="E57" s="12" t="s">
        <v>64</v>
      </c>
    </row>
    <row r="58" spans="3:5" x14ac:dyDescent="0.35">
      <c r="C58" s="13">
        <v>2102</v>
      </c>
      <c r="E58" s="13" t="s">
        <v>201</v>
      </c>
    </row>
    <row r="59" spans="3:5" x14ac:dyDescent="0.35">
      <c r="C59" s="13">
        <v>2103</v>
      </c>
      <c r="E59" s="13" t="s">
        <v>202</v>
      </c>
    </row>
    <row r="60" spans="3:5" x14ac:dyDescent="0.35">
      <c r="C60" s="13">
        <v>2104</v>
      </c>
      <c r="E60" s="13" t="s">
        <v>8</v>
      </c>
    </row>
    <row r="61" spans="3:5" x14ac:dyDescent="0.35">
      <c r="C61" s="13">
        <v>2105</v>
      </c>
      <c r="E61" s="12" t="s">
        <v>65</v>
      </c>
    </row>
    <row r="62" spans="3:5" x14ac:dyDescent="0.35">
      <c r="C62" s="13">
        <v>2106</v>
      </c>
      <c r="E62" s="13" t="s">
        <v>42</v>
      </c>
    </row>
    <row r="63" spans="3:5" x14ac:dyDescent="0.35">
      <c r="C63" s="13">
        <v>2107</v>
      </c>
      <c r="E63" s="12" t="s">
        <v>66</v>
      </c>
    </row>
    <row r="64" spans="3:5" x14ac:dyDescent="0.35">
      <c r="C64" s="13">
        <v>2108</v>
      </c>
      <c r="E64" s="12" t="s">
        <v>203</v>
      </c>
    </row>
    <row r="65" spans="1:5" x14ac:dyDescent="0.35">
      <c r="C65" s="13">
        <v>2109</v>
      </c>
      <c r="E65" s="12" t="s">
        <v>67</v>
      </c>
    </row>
    <row r="66" spans="1:5" x14ac:dyDescent="0.35">
      <c r="C66" s="13">
        <v>2110</v>
      </c>
      <c r="E66" s="13" t="s">
        <v>204</v>
      </c>
    </row>
    <row r="67" spans="1:5" x14ac:dyDescent="0.35">
      <c r="C67" s="13">
        <v>2111</v>
      </c>
      <c r="E67" s="13" t="s">
        <v>205</v>
      </c>
    </row>
    <row r="68" spans="1:5" x14ac:dyDescent="0.35">
      <c r="C68" s="13">
        <v>2112</v>
      </c>
      <c r="E68" s="13" t="s">
        <v>206</v>
      </c>
    </row>
    <row r="69" spans="1:5" x14ac:dyDescent="0.35">
      <c r="A69" s="391" t="s">
        <v>207</v>
      </c>
      <c r="C69" s="13">
        <v>2113</v>
      </c>
      <c r="D69" t="s">
        <v>208</v>
      </c>
      <c r="E69" s="13" t="s">
        <v>209</v>
      </c>
    </row>
    <row r="70" spans="1:5" x14ac:dyDescent="0.35">
      <c r="A70" s="109" t="s">
        <v>91</v>
      </c>
      <c r="C70" s="13">
        <v>2201</v>
      </c>
      <c r="D70" t="s">
        <v>210</v>
      </c>
      <c r="E70" s="13" t="s">
        <v>211</v>
      </c>
    </row>
    <row r="71" spans="1:5" x14ac:dyDescent="0.35">
      <c r="A71" s="109" t="s">
        <v>92</v>
      </c>
      <c r="C71" s="13">
        <v>2202</v>
      </c>
      <c r="D71" t="s">
        <v>212</v>
      </c>
      <c r="E71" s="13" t="s">
        <v>213</v>
      </c>
    </row>
    <row r="72" spans="1:5" x14ac:dyDescent="0.35">
      <c r="A72" s="109" t="s">
        <v>93</v>
      </c>
      <c r="C72" s="13">
        <v>2203</v>
      </c>
      <c r="D72" t="s">
        <v>214</v>
      </c>
      <c r="E72" s="13" t="s">
        <v>215</v>
      </c>
    </row>
    <row r="73" spans="1:5" x14ac:dyDescent="0.35">
      <c r="A73" s="109" t="s">
        <v>94</v>
      </c>
      <c r="C73" s="13">
        <v>2204</v>
      </c>
      <c r="D73" t="s">
        <v>216</v>
      </c>
      <c r="E73" s="13" t="s">
        <v>217</v>
      </c>
    </row>
    <row r="74" spans="1:5" x14ac:dyDescent="0.35">
      <c r="A74" s="109" t="s">
        <v>95</v>
      </c>
      <c r="C74" s="13">
        <v>2205</v>
      </c>
      <c r="D74" t="s">
        <v>218</v>
      </c>
      <c r="E74" s="13" t="s">
        <v>219</v>
      </c>
    </row>
    <row r="75" spans="1:5" x14ac:dyDescent="0.35">
      <c r="A75" s="109" t="s">
        <v>96</v>
      </c>
      <c r="C75" s="13">
        <v>2206</v>
      </c>
      <c r="D75" t="s">
        <v>220</v>
      </c>
      <c r="E75" s="13" t="s">
        <v>221</v>
      </c>
    </row>
    <row r="76" spans="1:5" x14ac:dyDescent="0.35">
      <c r="A76" s="109" t="s">
        <v>97</v>
      </c>
      <c r="C76" s="13">
        <v>2207</v>
      </c>
      <c r="D76" t="s">
        <v>222</v>
      </c>
      <c r="E76" s="13" t="s">
        <v>192</v>
      </c>
    </row>
    <row r="77" spans="1:5" ht="29" x14ac:dyDescent="0.35">
      <c r="A77" s="109" t="s">
        <v>98</v>
      </c>
      <c r="C77" s="13">
        <v>2208</v>
      </c>
      <c r="D77" t="s">
        <v>223</v>
      </c>
    </row>
    <row r="78" spans="1:5" x14ac:dyDescent="0.35">
      <c r="A78" s="109" t="s">
        <v>99</v>
      </c>
      <c r="C78" s="13">
        <v>2209</v>
      </c>
      <c r="D78" t="s">
        <v>224</v>
      </c>
    </row>
    <row r="79" spans="1:5" x14ac:dyDescent="0.35">
      <c r="A79" s="109" t="s">
        <v>100</v>
      </c>
      <c r="C79" s="13">
        <v>2210</v>
      </c>
      <c r="D79" t="s">
        <v>225</v>
      </c>
    </row>
    <row r="80" spans="1:5" x14ac:dyDescent="0.35">
      <c r="A80" s="109" t="s">
        <v>101</v>
      </c>
      <c r="C80" s="13">
        <v>2211</v>
      </c>
      <c r="D80" t="s">
        <v>226</v>
      </c>
    </row>
    <row r="81" spans="1:4" x14ac:dyDescent="0.35">
      <c r="A81" s="109" t="s">
        <v>102</v>
      </c>
      <c r="C81" s="13">
        <v>2212</v>
      </c>
      <c r="D81" t="s">
        <v>227</v>
      </c>
    </row>
    <row r="82" spans="1:4" x14ac:dyDescent="0.35">
      <c r="A82" s="109" t="s">
        <v>228</v>
      </c>
      <c r="C82" s="13">
        <v>2213</v>
      </c>
      <c r="D82" t="s">
        <v>229</v>
      </c>
    </row>
    <row r="83" spans="1:4" x14ac:dyDescent="0.35">
      <c r="A83" s="109" t="s">
        <v>230</v>
      </c>
      <c r="C83" s="13">
        <v>2201</v>
      </c>
      <c r="D83" t="s">
        <v>231</v>
      </c>
    </row>
    <row r="84" spans="1:4" x14ac:dyDescent="0.35">
      <c r="A84" s="109" t="s">
        <v>232</v>
      </c>
      <c r="C84" s="13">
        <v>2202</v>
      </c>
      <c r="D84" t="s">
        <v>233</v>
      </c>
    </row>
    <row r="85" spans="1:4" x14ac:dyDescent="0.35">
      <c r="A85" s="109" t="s">
        <v>234</v>
      </c>
      <c r="C85" s="13">
        <v>2203</v>
      </c>
      <c r="D85" t="s">
        <v>235</v>
      </c>
    </row>
    <row r="86" spans="1:4" x14ac:dyDescent="0.35">
      <c r="A86" s="109" t="s">
        <v>236</v>
      </c>
      <c r="C86" s="13">
        <v>2204</v>
      </c>
      <c r="D86" t="s">
        <v>237</v>
      </c>
    </row>
    <row r="87" spans="1:4" x14ac:dyDescent="0.35">
      <c r="A87" s="109" t="s">
        <v>238</v>
      </c>
      <c r="C87" s="13">
        <v>2205</v>
      </c>
      <c r="D87" t="s">
        <v>239</v>
      </c>
    </row>
    <row r="88" spans="1:4" x14ac:dyDescent="0.35">
      <c r="A88" s="109" t="s">
        <v>224</v>
      </c>
      <c r="C88" s="13">
        <v>2206</v>
      </c>
      <c r="D88" t="s">
        <v>240</v>
      </c>
    </row>
    <row r="89" spans="1:4" x14ac:dyDescent="0.35">
      <c r="A89" s="109">
        <v>0</v>
      </c>
      <c r="C89" s="13"/>
    </row>
    <row r="90" spans="1:4" x14ac:dyDescent="0.35">
      <c r="A90" s="109" t="s">
        <v>241</v>
      </c>
      <c r="C90" s="13">
        <v>2207</v>
      </c>
      <c r="D90" t="s">
        <v>242</v>
      </c>
    </row>
    <row r="91" spans="1:4" x14ac:dyDescent="0.35">
      <c r="A91" s="109" t="s">
        <v>243</v>
      </c>
      <c r="C91" s="13">
        <v>2208</v>
      </c>
      <c r="D91" t="s">
        <v>244</v>
      </c>
    </row>
    <row r="92" spans="1:4" x14ac:dyDescent="0.35">
      <c r="A92" s="109" t="s">
        <v>245</v>
      </c>
      <c r="C92" s="13">
        <v>2209</v>
      </c>
      <c r="D92" t="s">
        <v>246</v>
      </c>
    </row>
    <row r="93" spans="1:4" x14ac:dyDescent="0.35">
      <c r="A93" s="109" t="s">
        <v>247</v>
      </c>
      <c r="C93" s="13">
        <v>2210</v>
      </c>
      <c r="D93" t="s">
        <v>248</v>
      </c>
    </row>
    <row r="94" spans="1:4" x14ac:dyDescent="0.35">
      <c r="A94" s="109" t="s">
        <v>249</v>
      </c>
      <c r="C94" s="13">
        <v>2211</v>
      </c>
      <c r="D94" t="s">
        <v>250</v>
      </c>
    </row>
    <row r="95" spans="1:4" x14ac:dyDescent="0.35">
      <c r="A95" s="392" t="s">
        <v>251</v>
      </c>
      <c r="C95" s="13">
        <v>2212</v>
      </c>
      <c r="D95" t="s">
        <v>252</v>
      </c>
    </row>
    <row r="96" spans="1:4" x14ac:dyDescent="0.35">
      <c r="A96" s="109" t="s">
        <v>253</v>
      </c>
      <c r="C96" s="13">
        <v>2213</v>
      </c>
      <c r="D96" t="s">
        <v>254</v>
      </c>
    </row>
    <row r="97" spans="1:4" x14ac:dyDescent="0.35">
      <c r="A97" s="109" t="s">
        <v>110</v>
      </c>
      <c r="C97" s="13">
        <v>2301</v>
      </c>
      <c r="D97" t="s">
        <v>255</v>
      </c>
    </row>
    <row r="98" spans="1:4" x14ac:dyDescent="0.35">
      <c r="A98" s="109" t="s">
        <v>111</v>
      </c>
      <c r="C98" s="13">
        <v>2302</v>
      </c>
      <c r="D98" t="s">
        <v>256</v>
      </c>
    </row>
    <row r="99" spans="1:4" x14ac:dyDescent="0.35">
      <c r="C99" s="13">
        <v>2303</v>
      </c>
      <c r="D99" t="s">
        <v>257</v>
      </c>
    </row>
    <row r="100" spans="1:4" x14ac:dyDescent="0.35">
      <c r="C100" s="13">
        <v>2304</v>
      </c>
      <c r="D100" t="s">
        <v>176</v>
      </c>
    </row>
    <row r="101" spans="1:4" x14ac:dyDescent="0.35">
      <c r="C101" s="13">
        <v>2305</v>
      </c>
      <c r="D101" t="s">
        <v>258</v>
      </c>
    </row>
    <row r="102" spans="1:4" x14ac:dyDescent="0.35">
      <c r="C102" s="13">
        <v>2306</v>
      </c>
      <c r="D102" t="s">
        <v>259</v>
      </c>
    </row>
    <row r="103" spans="1:4" x14ac:dyDescent="0.35">
      <c r="C103" s="13">
        <v>2307</v>
      </c>
      <c r="D103" t="s">
        <v>260</v>
      </c>
    </row>
    <row r="104" spans="1:4" x14ac:dyDescent="0.35">
      <c r="C104" s="13">
        <v>2308</v>
      </c>
      <c r="D104" t="s">
        <v>261</v>
      </c>
    </row>
    <row r="105" spans="1:4" x14ac:dyDescent="0.35">
      <c r="C105" s="13">
        <v>2309</v>
      </c>
      <c r="D105" t="s">
        <v>262</v>
      </c>
    </row>
    <row r="106" spans="1:4" x14ac:dyDescent="0.35">
      <c r="C106" s="13">
        <v>2310</v>
      </c>
      <c r="D106" t="s">
        <v>263</v>
      </c>
    </row>
    <row r="107" spans="1:4" x14ac:dyDescent="0.35">
      <c r="C107" s="13">
        <v>2311</v>
      </c>
      <c r="D107" t="s">
        <v>264</v>
      </c>
    </row>
    <row r="108" spans="1:4" x14ac:dyDescent="0.35">
      <c r="C108" s="13">
        <v>2312</v>
      </c>
      <c r="D108" t="s">
        <v>239</v>
      </c>
    </row>
    <row r="109" spans="1:4" x14ac:dyDescent="0.35">
      <c r="C109" s="13">
        <v>2313</v>
      </c>
      <c r="D109" t="s">
        <v>265</v>
      </c>
    </row>
    <row r="110" spans="1:4" x14ac:dyDescent="0.35">
      <c r="C110" s="13">
        <v>2401</v>
      </c>
      <c r="D110" t="s">
        <v>266</v>
      </c>
    </row>
    <row r="111" spans="1:4" x14ac:dyDescent="0.35">
      <c r="C111" s="13">
        <v>2402</v>
      </c>
      <c r="D111" t="s">
        <v>179</v>
      </c>
    </row>
    <row r="112" spans="1:4" x14ac:dyDescent="0.35">
      <c r="C112" s="13">
        <v>2403</v>
      </c>
      <c r="D112" t="s">
        <v>267</v>
      </c>
    </row>
    <row r="113" spans="3:4" x14ac:dyDescent="0.35">
      <c r="C113" s="13">
        <v>2404</v>
      </c>
      <c r="D113" t="s">
        <v>268</v>
      </c>
    </row>
    <row r="114" spans="3:4" x14ac:dyDescent="0.35">
      <c r="C114" s="13">
        <v>2405</v>
      </c>
      <c r="D114" t="s">
        <v>269</v>
      </c>
    </row>
    <row r="115" spans="3:4" x14ac:dyDescent="0.35">
      <c r="C115" s="13">
        <v>2406</v>
      </c>
      <c r="D115" t="s">
        <v>270</v>
      </c>
    </row>
    <row r="116" spans="3:4" x14ac:dyDescent="0.35">
      <c r="C116" s="13">
        <v>2407</v>
      </c>
      <c r="D116" t="s">
        <v>271</v>
      </c>
    </row>
    <row r="117" spans="3:4" x14ac:dyDescent="0.35">
      <c r="C117" s="13">
        <v>2408</v>
      </c>
      <c r="D117" t="s">
        <v>272</v>
      </c>
    </row>
    <row r="118" spans="3:4" x14ac:dyDescent="0.35">
      <c r="C118" s="13">
        <v>2409</v>
      </c>
      <c r="D118" t="s">
        <v>273</v>
      </c>
    </row>
    <row r="119" spans="3:4" x14ac:dyDescent="0.35">
      <c r="C119" s="13">
        <v>2410</v>
      </c>
    </row>
    <row r="120" spans="3:4" x14ac:dyDescent="0.35">
      <c r="C120" s="13">
        <v>2411</v>
      </c>
    </row>
    <row r="121" spans="3:4" x14ac:dyDescent="0.35">
      <c r="C121" s="13">
        <v>2412</v>
      </c>
    </row>
    <row r="122" spans="3:4" x14ac:dyDescent="0.35">
      <c r="C122" s="13">
        <v>2413</v>
      </c>
    </row>
    <row r="123" spans="3:4" x14ac:dyDescent="0.35">
      <c r="C123" s="13">
        <v>2501</v>
      </c>
    </row>
    <row r="124" spans="3:4" x14ac:dyDescent="0.35">
      <c r="C124" s="13">
        <v>2502</v>
      </c>
    </row>
    <row r="125" spans="3:4" x14ac:dyDescent="0.35">
      <c r="C125" s="13">
        <v>2503</v>
      </c>
    </row>
    <row r="126" spans="3:4" x14ac:dyDescent="0.35">
      <c r="C126" s="13">
        <v>2504</v>
      </c>
    </row>
    <row r="127" spans="3:4" x14ac:dyDescent="0.35">
      <c r="C127" s="13">
        <v>2505</v>
      </c>
    </row>
    <row r="128" spans="3:4" x14ac:dyDescent="0.35">
      <c r="C128" s="13">
        <v>2506</v>
      </c>
    </row>
    <row r="129" spans="3:3" x14ac:dyDescent="0.35">
      <c r="C129" s="13">
        <v>2507</v>
      </c>
    </row>
    <row r="130" spans="3:3" x14ac:dyDescent="0.35">
      <c r="C130" s="13">
        <v>2508</v>
      </c>
    </row>
    <row r="131" spans="3:3" x14ac:dyDescent="0.35">
      <c r="C131" s="13">
        <v>2509</v>
      </c>
    </row>
    <row r="132" spans="3:3" x14ac:dyDescent="0.35">
      <c r="C132" s="13">
        <v>2510</v>
      </c>
    </row>
    <row r="133" spans="3:3" x14ac:dyDescent="0.35">
      <c r="C133" s="13">
        <v>2511</v>
      </c>
    </row>
    <row r="134" spans="3:3" x14ac:dyDescent="0.35">
      <c r="C134" s="13">
        <v>2512</v>
      </c>
    </row>
    <row r="135" spans="3:3" x14ac:dyDescent="0.35">
      <c r="C135" s="13">
        <v>2513</v>
      </c>
    </row>
  </sheetData>
  <autoFilter ref="A1:U127" xr:uid="{00000000-0009-0000-0000-000003000000}"/>
  <sortState xmlns:xlrd2="http://schemas.microsoft.com/office/spreadsheetml/2017/richdata2" ref="O2:O39">
    <sortCondition ref="O2:O39"/>
  </sortState>
  <dataConsolidate/>
  <dataValidations count="1">
    <dataValidation type="list" allowBlank="1" showInputMessage="1" showErrorMessage="1" sqref="O2:O23 O29:O33" xr:uid="{00000000-0002-0000-0300-000000000000}">
      <formula1>$O$2:$O$33</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44"/>
  <sheetViews>
    <sheetView zoomScaleNormal="100" workbookViewId="0">
      <selection activeCell="Z7" sqref="Z7"/>
    </sheetView>
  </sheetViews>
  <sheetFormatPr defaultRowHeight="14.5" x14ac:dyDescent="0.35"/>
  <cols>
    <col min="1" max="1" width="30.54296875" style="11" customWidth="1"/>
    <col min="2" max="4" width="14.7265625" style="11" customWidth="1"/>
    <col min="5" max="5" width="14.7265625" style="11" hidden="1" customWidth="1"/>
    <col min="6" max="6" width="12.81640625" customWidth="1"/>
    <col min="7" max="7" width="14.7265625" style="11" customWidth="1"/>
    <col min="11" max="12" width="9.1796875" style="11" customWidth="1"/>
    <col min="13" max="13" width="16.54296875" style="11" bestFit="1" customWidth="1"/>
    <col min="14" max="14" width="5.26953125" style="11" bestFit="1" customWidth="1"/>
    <col min="15" max="16" width="5" style="11" bestFit="1" customWidth="1"/>
    <col min="17" max="17" width="7.453125" style="11" customWidth="1"/>
    <col min="18" max="18" width="5" style="11" customWidth="1"/>
    <col min="19" max="19" width="6.26953125" style="11" customWidth="1"/>
    <col min="20" max="20" width="5" style="11" customWidth="1"/>
    <col min="21" max="21" width="5.81640625" style="11" bestFit="1" customWidth="1"/>
    <col min="22" max="22" width="9" style="11" bestFit="1" customWidth="1"/>
    <col min="23" max="23" width="7" style="11" bestFit="1" customWidth="1"/>
    <col min="24" max="24" width="6" style="11" bestFit="1" customWidth="1"/>
    <col min="25" max="25" width="5.54296875" style="11" customWidth="1"/>
    <col min="26" max="26" width="6" style="11" customWidth="1"/>
    <col min="28" max="28" width="12" style="11" customWidth="1"/>
    <col min="29" max="40" width="5" style="11" bestFit="1" customWidth="1"/>
    <col min="41" max="41" width="5" style="11" customWidth="1"/>
  </cols>
  <sheetData>
    <row r="1" spans="1:41" x14ac:dyDescent="0.35">
      <c r="A1" s="11" t="s">
        <v>114</v>
      </c>
      <c r="B1" s="11">
        <v>2510</v>
      </c>
      <c r="C1" s="11" t="s">
        <v>274</v>
      </c>
      <c r="D1" s="11">
        <v>2510</v>
      </c>
    </row>
    <row r="2" spans="1:41" x14ac:dyDescent="0.35">
      <c r="A2" s="11" t="s">
        <v>275</v>
      </c>
      <c r="B2" s="11">
        <v>2059</v>
      </c>
    </row>
    <row r="3" spans="1:41" ht="15" thickBot="1" x14ac:dyDescent="0.4"/>
    <row r="4" spans="1:41" ht="19.5" customHeight="1" thickBot="1" x14ac:dyDescent="0.5">
      <c r="A4" s="486" t="s">
        <v>276</v>
      </c>
      <c r="B4" s="487"/>
      <c r="C4" s="487"/>
      <c r="D4" s="487"/>
      <c r="E4" s="487"/>
      <c r="F4" s="487"/>
      <c r="G4" s="488"/>
      <c r="M4" s="489" t="s">
        <v>277</v>
      </c>
      <c r="N4" s="490"/>
      <c r="O4" s="490"/>
      <c r="P4" s="490"/>
      <c r="Q4" s="490"/>
      <c r="R4" s="490"/>
      <c r="S4" s="490"/>
      <c r="T4" s="490"/>
      <c r="U4" s="490"/>
      <c r="V4" s="490"/>
      <c r="W4" s="490"/>
      <c r="X4" s="490"/>
      <c r="Y4" s="490"/>
      <c r="Z4" s="491"/>
      <c r="AB4" s="492" t="s">
        <v>278</v>
      </c>
      <c r="AC4" s="493"/>
      <c r="AD4" s="493"/>
      <c r="AE4" s="493"/>
      <c r="AF4" s="493"/>
      <c r="AG4" s="493"/>
      <c r="AH4" s="493"/>
      <c r="AI4" s="493"/>
      <c r="AJ4" s="493"/>
      <c r="AK4" s="493"/>
      <c r="AL4" s="493"/>
      <c r="AM4" s="493"/>
      <c r="AN4" s="493"/>
      <c r="AO4" s="494"/>
    </row>
    <row r="5" spans="1:41" ht="19.5" customHeight="1" thickBot="1" x14ac:dyDescent="0.5">
      <c r="A5" s="231"/>
      <c r="B5" s="172">
        <f>B1</f>
        <v>2510</v>
      </c>
      <c r="C5" s="508" t="s">
        <v>279</v>
      </c>
      <c r="D5" s="475" t="s">
        <v>280</v>
      </c>
      <c r="E5" s="477" t="s">
        <v>281</v>
      </c>
      <c r="F5" s="232" t="s">
        <v>282</v>
      </c>
      <c r="G5" s="233"/>
      <c r="K5"/>
      <c r="L5"/>
      <c r="M5" s="261"/>
      <c r="N5" s="262"/>
      <c r="O5" s="262"/>
      <c r="P5" s="262"/>
      <c r="Q5" s="262"/>
      <c r="R5" s="262"/>
      <c r="S5" s="262"/>
      <c r="T5" s="262"/>
      <c r="U5" s="262"/>
      <c r="V5" s="262"/>
      <c r="W5" s="262"/>
      <c r="X5" s="262"/>
      <c r="Y5" s="262"/>
      <c r="Z5" s="263"/>
      <c r="AB5" s="273"/>
      <c r="AC5" s="274"/>
      <c r="AD5" s="274"/>
      <c r="AE5" s="274"/>
      <c r="AF5" s="274"/>
      <c r="AG5" s="274"/>
      <c r="AH5" s="274"/>
      <c r="AI5" s="274"/>
      <c r="AJ5" s="274"/>
      <c r="AK5" s="274"/>
      <c r="AL5" s="274"/>
      <c r="AM5" s="274"/>
      <c r="AN5" s="274"/>
      <c r="AO5" s="275"/>
    </row>
    <row r="6" spans="1:41" ht="15" thickBot="1" x14ac:dyDescent="0.4">
      <c r="A6" s="144"/>
      <c r="B6" s="173" t="s">
        <v>283</v>
      </c>
      <c r="C6" s="509"/>
      <c r="D6" s="476"/>
      <c r="E6" s="478"/>
      <c r="F6" s="115" t="s">
        <v>284</v>
      </c>
      <c r="G6" s="233"/>
      <c r="M6" s="70" t="s">
        <v>285</v>
      </c>
      <c r="N6" s="393">
        <v>2411</v>
      </c>
      <c r="O6" s="393">
        <v>2412</v>
      </c>
      <c r="P6" s="393">
        <v>2413</v>
      </c>
      <c r="Q6" s="393">
        <v>2501</v>
      </c>
      <c r="R6" s="393">
        <v>2502</v>
      </c>
      <c r="S6" s="393">
        <v>2503</v>
      </c>
      <c r="T6" s="393">
        <v>2504</v>
      </c>
      <c r="U6" s="393">
        <v>2505</v>
      </c>
      <c r="V6" s="393">
        <v>2506</v>
      </c>
      <c r="W6" s="393">
        <v>2507</v>
      </c>
      <c r="X6" s="393">
        <v>2508</v>
      </c>
      <c r="Y6" s="393">
        <v>2509</v>
      </c>
      <c r="Z6" s="393">
        <v>2510</v>
      </c>
      <c r="AB6" s="77"/>
      <c r="AC6" s="264">
        <v>2411</v>
      </c>
      <c r="AD6" s="264">
        <v>2412</v>
      </c>
      <c r="AE6" s="264">
        <v>2413</v>
      </c>
      <c r="AF6" s="264">
        <v>2501</v>
      </c>
      <c r="AG6" s="264">
        <v>2502</v>
      </c>
      <c r="AH6" s="264">
        <v>2503</v>
      </c>
      <c r="AI6" s="264">
        <v>2504</v>
      </c>
      <c r="AJ6" s="264">
        <v>2505</v>
      </c>
      <c r="AK6" s="264">
        <v>2506</v>
      </c>
      <c r="AL6" s="264">
        <v>2507</v>
      </c>
      <c r="AM6" s="264">
        <v>2508</v>
      </c>
      <c r="AN6" s="264">
        <v>2509</v>
      </c>
      <c r="AO6" s="264">
        <v>2510</v>
      </c>
    </row>
    <row r="7" spans="1:41" ht="14.5" customHeight="1" x14ac:dyDescent="0.35">
      <c r="A7" s="81" t="s">
        <v>286</v>
      </c>
      <c r="B7" s="92">
        <f>HLOOKUP(B1,Data!$AB$4:$AN$18,3)</f>
        <v>1</v>
      </c>
      <c r="C7" s="234">
        <f t="shared" ref="C7:C18" si="0">F7/13</f>
        <v>1.3846153846153846</v>
      </c>
      <c r="D7" s="92">
        <f>Data!AO6</f>
        <v>22</v>
      </c>
      <c r="E7" s="301">
        <v>18</v>
      </c>
      <c r="F7" s="92">
        <v>18</v>
      </c>
      <c r="G7" s="235"/>
      <c r="M7" s="265" t="s">
        <v>105</v>
      </c>
      <c r="N7" s="63">
        <f ca="1">HLOOKUP(N6,Data!$O317:$AN$320,4)</f>
        <v>0</v>
      </c>
      <c r="O7" s="63">
        <f ca="1">HLOOKUP(O6,Data!$O317:$AN$320,4)</f>
        <v>0</v>
      </c>
      <c r="P7" s="63">
        <f ca="1">HLOOKUP(P6,Data!$O317:$AN$320,4)</f>
        <v>0</v>
      </c>
      <c r="Q7" s="63">
        <f ca="1">HLOOKUP(Q6,Data!$O317:$AN$320,4)</f>
        <v>1</v>
      </c>
      <c r="R7" s="63">
        <f ca="1">HLOOKUP(R6,Data!$O317:$AN$320,4)</f>
        <v>1</v>
      </c>
      <c r="S7" s="63">
        <f ca="1">HLOOKUP(S6,Data!$O317:$AN$320,4)</f>
        <v>0</v>
      </c>
      <c r="T7" s="63">
        <f ca="1">HLOOKUP(T6,Data!$O317:$AN$320,4)</f>
        <v>2</v>
      </c>
      <c r="U7" s="63">
        <f ca="1">HLOOKUP(U6,Data!$O317:$AN$320,4)</f>
        <v>0</v>
      </c>
      <c r="V7" s="63">
        <f ca="1">HLOOKUP(V6,Data!$O317:$AN$320,4)</f>
        <v>3</v>
      </c>
      <c r="W7" s="63">
        <f ca="1">HLOOKUP(W6,Data!$O317:$AN$320,4)</f>
        <v>4</v>
      </c>
      <c r="X7" s="63">
        <f ca="1">HLOOKUP(X6,Data!$O317:$AN$320,4)</f>
        <v>1</v>
      </c>
      <c r="Y7" s="63">
        <f ca="1">HLOOKUP(Y6,Data!$O317:$AN$320,4)</f>
        <v>0</v>
      </c>
      <c r="Z7" s="63">
        <f ca="1">HLOOKUP(Z6,Data!$O317:$AN$320,4)</f>
        <v>3</v>
      </c>
      <c r="AB7" s="265" t="s">
        <v>287</v>
      </c>
      <c r="AC7" s="60">
        <f ca="1">HLOOKUP(AC6,Data!$O$307:$AN$315,5)</f>
        <v>0</v>
      </c>
      <c r="AD7" s="60">
        <f ca="1">HLOOKUP(AD6,Data!$O$307:$AN$315,5)</f>
        <v>0</v>
      </c>
      <c r="AE7" s="60">
        <f ca="1">HLOOKUP(AE6,Data!$O$307:$AN$315,5)</f>
        <v>0</v>
      </c>
      <c r="AF7" s="60">
        <f ca="1">HLOOKUP(AF6,Data!$O$307:$AN$315,5)</f>
        <v>0</v>
      </c>
      <c r="AG7" s="60">
        <f ca="1">HLOOKUP(AG6,Data!$O$307:$AN$315,5)</f>
        <v>1</v>
      </c>
      <c r="AH7" s="60">
        <f ca="1">HLOOKUP(AH6,Data!$O$307:$AN$315,5)</f>
        <v>0</v>
      </c>
      <c r="AI7" s="60">
        <f ca="1">HLOOKUP(AI6,Data!$O$307:$AN$315,5)</f>
        <v>1</v>
      </c>
      <c r="AJ7" s="60">
        <f ca="1">HLOOKUP(AJ6,Data!$O$307:$AN$315,5)</f>
        <v>0</v>
      </c>
      <c r="AK7" s="60">
        <f ca="1">HLOOKUP(AK6,Data!$O$307:$AN$315,5)</f>
        <v>0</v>
      </c>
      <c r="AL7" s="60">
        <f ca="1">HLOOKUP(AL6,Data!$O$307:$AN$315,5)</f>
        <v>0</v>
      </c>
      <c r="AM7" s="60">
        <f ca="1">HLOOKUP(AM6,Data!$O$307:$AN$315,5)</f>
        <v>1</v>
      </c>
      <c r="AN7" s="60">
        <f ca="1">HLOOKUP(AN6,Data!$O$307:$AN$315,5)</f>
        <v>0</v>
      </c>
      <c r="AO7" s="60">
        <f ca="1">HLOOKUP(AO6,Data!$O$307:$AN$315,5)</f>
        <v>3</v>
      </c>
    </row>
    <row r="8" spans="1:41" ht="14.5" customHeight="1" x14ac:dyDescent="0.35">
      <c r="A8" s="83" t="s">
        <v>288</v>
      </c>
      <c r="B8" s="15">
        <f>HLOOKUP(B1,Data!$AB$4:$AN$18,4)</f>
        <v>0</v>
      </c>
      <c r="C8" s="236">
        <f>F8/13</f>
        <v>0.30769230769230771</v>
      </c>
      <c r="D8" s="15">
        <f>Data!AO7</f>
        <v>2</v>
      </c>
      <c r="E8" s="302">
        <v>5</v>
      </c>
      <c r="F8" s="15">
        <v>4</v>
      </c>
      <c r="G8" s="235"/>
      <c r="M8" s="266" t="s">
        <v>289</v>
      </c>
      <c r="N8" s="267">
        <f ca="1">HLOOKUP(N6,Data!$O$317:$AN$318,2)</f>
        <v>1</v>
      </c>
      <c r="O8" s="267">
        <f ca="1">HLOOKUP(O6,Data!$O$317:$AN$318,2)</f>
        <v>1</v>
      </c>
      <c r="P8" s="267">
        <f ca="1">HLOOKUP(P6,Data!$O$317:$AN$318,2)</f>
        <v>0</v>
      </c>
      <c r="Q8" s="267">
        <f ca="1">HLOOKUP(Q6,Data!$O$317:$AN$318,2)</f>
        <v>0</v>
      </c>
      <c r="R8" s="267">
        <f ca="1">HLOOKUP(R6,Data!$O$317:$AN$318,2)</f>
        <v>0</v>
      </c>
      <c r="S8" s="267">
        <f ca="1">HLOOKUP(S6,Data!$O$317:$AN$318,2)</f>
        <v>0</v>
      </c>
      <c r="T8" s="267">
        <f ca="1">HLOOKUP(T6,Data!$O$317:$AN$318,2)</f>
        <v>0</v>
      </c>
      <c r="U8" s="267">
        <f ca="1">HLOOKUP(U6,Data!$O$317:$AN$318,2)</f>
        <v>0</v>
      </c>
      <c r="V8" s="267">
        <f ca="1">HLOOKUP(V6,Data!$O$317:$AN$318,2)</f>
        <v>1</v>
      </c>
      <c r="W8" s="267">
        <f ca="1">HLOOKUP(W6,Data!$O$317:$AN$318,2)</f>
        <v>1</v>
      </c>
      <c r="X8" s="267">
        <f ca="1">HLOOKUP(X6,Data!$O$317:$AN$318,2)</f>
        <v>0</v>
      </c>
      <c r="Y8" s="267">
        <f ca="1">HLOOKUP(Y6,Data!$O$317:$AN$318,2)</f>
        <v>1</v>
      </c>
      <c r="Z8" s="267">
        <f ca="1">HLOOKUP(Z6,Data!$O$317:$AN$318,2)</f>
        <v>1</v>
      </c>
      <c r="AB8" s="266" t="s">
        <v>103</v>
      </c>
      <c r="AC8" s="267">
        <f ca="1">HLOOKUP(AC6,Data!$O$307:$AN$315,3)</f>
        <v>0</v>
      </c>
      <c r="AD8" s="267">
        <f ca="1">HLOOKUP(AD6,Data!$O$307:$AN$315,3)</f>
        <v>0</v>
      </c>
      <c r="AE8" s="267">
        <f ca="1">HLOOKUP(AE6,Data!$O$307:$AN$315,3)</f>
        <v>0</v>
      </c>
      <c r="AF8" s="267">
        <f ca="1">HLOOKUP(AF6,Data!$O$307:$AN$315,3)</f>
        <v>0</v>
      </c>
      <c r="AG8" s="267">
        <f ca="1">HLOOKUP(AG6,Data!$O$307:$AN$315,3)</f>
        <v>0</v>
      </c>
      <c r="AH8" s="267">
        <f ca="1">HLOOKUP(AH6,Data!$O$307:$AN$315,3)</f>
        <v>0</v>
      </c>
      <c r="AI8" s="267">
        <f ca="1">HLOOKUP(AI6,Data!$O$307:$AN$315,3)</f>
        <v>0</v>
      </c>
      <c r="AJ8" s="267">
        <f ca="1">HLOOKUP(AJ6,Data!$O$307:$AN$315,3)</f>
        <v>0</v>
      </c>
      <c r="AK8" s="267">
        <f ca="1">HLOOKUP(AK6,Data!$O$307:$AN$315,3)</f>
        <v>1</v>
      </c>
      <c r="AL8" s="267">
        <f ca="1">HLOOKUP(AL6,Data!$O$307:$AN$315,3)</f>
        <v>0</v>
      </c>
      <c r="AM8" s="267">
        <f ca="1">HLOOKUP(AM6,Data!$O$307:$AN$315,3)</f>
        <v>0</v>
      </c>
      <c r="AN8" s="267">
        <f ca="1">HLOOKUP(AN6,Data!$O$307:$AN$315,3)</f>
        <v>1</v>
      </c>
      <c r="AO8" s="267">
        <f ca="1">HLOOKUP(AO6,Data!$O$307:$AN$315,3)</f>
        <v>0</v>
      </c>
    </row>
    <row r="9" spans="1:41" ht="15" customHeight="1" thickBot="1" x14ac:dyDescent="0.4">
      <c r="A9" s="83" t="s">
        <v>4</v>
      </c>
      <c r="B9" s="15">
        <f>HLOOKUP(B1,Data!$AB$4:$AN$18,5)</f>
        <v>3</v>
      </c>
      <c r="C9" s="236">
        <f t="shared" si="0"/>
        <v>3.4615384615384617</v>
      </c>
      <c r="D9" s="15">
        <f>Data!AO8</f>
        <v>22</v>
      </c>
      <c r="E9" s="302">
        <v>37</v>
      </c>
      <c r="F9" s="237">
        <v>45</v>
      </c>
      <c r="G9" s="238"/>
      <c r="M9" s="268" t="s">
        <v>104</v>
      </c>
      <c r="N9" s="269">
        <f ca="1">HLOOKUP(N6,Data!$O$317:$AN$319,3)</f>
        <v>6</v>
      </c>
      <c r="O9" s="269">
        <f ca="1">HLOOKUP(O6,Data!$O$317:$AN$319,3)</f>
        <v>14</v>
      </c>
      <c r="P9" s="269">
        <f ca="1">HLOOKUP(P6,Data!$O$317:$AN$319,3)</f>
        <v>13</v>
      </c>
      <c r="Q9" s="269">
        <f ca="1">HLOOKUP(Q6,Data!$O$317:$AN$319,3)</f>
        <v>7</v>
      </c>
      <c r="R9" s="269">
        <f ca="1">HLOOKUP(R6,Data!$O$317:$AN$319,3)</f>
        <v>8</v>
      </c>
      <c r="S9" s="269">
        <f ca="1">HLOOKUP(S6,Data!$O$317:$AN$319,3)</f>
        <v>4</v>
      </c>
      <c r="T9" s="269">
        <f ca="1">HLOOKUP(T6,Data!$O$317:$AN$319,3)</f>
        <v>3</v>
      </c>
      <c r="U9" s="269">
        <f ca="1">HLOOKUP(U6,Data!$O$317:$AN$319,3)</f>
        <v>2</v>
      </c>
      <c r="V9" s="269">
        <f ca="1">HLOOKUP(V6,Data!$O$317:$AN$319,3)</f>
        <v>12</v>
      </c>
      <c r="W9" s="269">
        <f ca="1">HLOOKUP(W6,Data!$O$317:$AN$319,3)</f>
        <v>15</v>
      </c>
      <c r="X9" s="269">
        <f ca="1">HLOOKUP(X6,Data!$O$317:$AN$319,3)</f>
        <v>4</v>
      </c>
      <c r="Y9" s="269">
        <f ca="1">HLOOKUP(Y6,Data!$O$317:$AN$319,3)</f>
        <v>9</v>
      </c>
      <c r="Z9" s="269">
        <f ca="1">HLOOKUP(Z6,Data!$O$317:$AN$319,3)</f>
        <v>6</v>
      </c>
      <c r="AB9" s="268" t="s">
        <v>104</v>
      </c>
      <c r="AC9" s="276">
        <f ca="1">HLOOKUP(AC6,Data!$O$307:$AN$315,4)</f>
        <v>0</v>
      </c>
      <c r="AD9" s="276">
        <f ca="1">HLOOKUP(AD6,Data!$O$307:$AN$315,4)</f>
        <v>6</v>
      </c>
      <c r="AE9" s="276">
        <f ca="1">HLOOKUP(AE6,Data!$O$307:$AN$315,4)</f>
        <v>2</v>
      </c>
      <c r="AF9" s="276">
        <f ca="1">HLOOKUP(AF6,Data!$O$307:$AN$315,4)</f>
        <v>1</v>
      </c>
      <c r="AG9" s="276">
        <f ca="1">HLOOKUP(AG6,Data!$O$307:$AN$315,4)</f>
        <v>0</v>
      </c>
      <c r="AH9" s="276">
        <f ca="1">HLOOKUP(AH6,Data!$O$307:$AN$315,4)</f>
        <v>2</v>
      </c>
      <c r="AI9" s="276">
        <f ca="1">HLOOKUP(AI6,Data!$O$307:$AN$315,4)</f>
        <v>0</v>
      </c>
      <c r="AJ9" s="276">
        <f ca="1">HLOOKUP(AJ6,Data!$O$307:$AN$315,4)</f>
        <v>0</v>
      </c>
      <c r="AK9" s="276">
        <f ca="1">HLOOKUP(AK6,Data!$O$307:$AN$315,4)</f>
        <v>1</v>
      </c>
      <c r="AL9" s="276">
        <f ca="1">HLOOKUP(AL6,Data!$O$307:$AN$315,4)</f>
        <v>1</v>
      </c>
      <c r="AM9" s="276">
        <f ca="1">HLOOKUP(AM6,Data!$O$307:$AN$315,4)</f>
        <v>0</v>
      </c>
      <c r="AN9" s="276">
        <f ca="1">HLOOKUP(AN6,Data!$O$307:$AN$315,4)</f>
        <v>8</v>
      </c>
      <c r="AO9" s="276">
        <f ca="1">HLOOKUP(AO6,Data!$O$307:$AN$315,4)</f>
        <v>6</v>
      </c>
    </row>
    <row r="10" spans="1:41" ht="15" customHeight="1" thickBot="1" x14ac:dyDescent="0.4">
      <c r="A10" s="83" t="s">
        <v>5</v>
      </c>
      <c r="B10" s="15">
        <f>HLOOKUP(B1,Data!$AB$4:$AN$18,6)</f>
        <v>3</v>
      </c>
      <c r="C10" s="236">
        <f t="shared" si="0"/>
        <v>5.5384615384615383</v>
      </c>
      <c r="D10" s="15">
        <f>Data!AO9</f>
        <v>46</v>
      </c>
      <c r="E10" s="302">
        <v>102</v>
      </c>
      <c r="F10" s="286">
        <v>72</v>
      </c>
      <c r="G10" s="238"/>
      <c r="M10" s="70" t="s">
        <v>14</v>
      </c>
      <c r="N10" s="270">
        <f ca="1">SUM(N7:N9)</f>
        <v>7</v>
      </c>
      <c r="O10" s="270">
        <f t="shared" ref="O10:Z10" ca="1" si="1">SUM(O7:O9)</f>
        <v>15</v>
      </c>
      <c r="P10" s="270">
        <f t="shared" ca="1" si="1"/>
        <v>13</v>
      </c>
      <c r="Q10" s="270">
        <f t="shared" ca="1" si="1"/>
        <v>8</v>
      </c>
      <c r="R10" s="270">
        <f t="shared" ca="1" si="1"/>
        <v>9</v>
      </c>
      <c r="S10" s="270">
        <f t="shared" ca="1" si="1"/>
        <v>4</v>
      </c>
      <c r="T10" s="270">
        <f t="shared" ca="1" si="1"/>
        <v>5</v>
      </c>
      <c r="U10" s="270">
        <f t="shared" ca="1" si="1"/>
        <v>2</v>
      </c>
      <c r="V10" s="270">
        <f t="shared" ca="1" si="1"/>
        <v>16</v>
      </c>
      <c r="W10" s="270">
        <f t="shared" ca="1" si="1"/>
        <v>20</v>
      </c>
      <c r="X10" s="270">
        <f t="shared" ca="1" si="1"/>
        <v>5</v>
      </c>
      <c r="Y10" s="270">
        <f t="shared" ca="1" si="1"/>
        <v>10</v>
      </c>
      <c r="Z10" s="270">
        <f t="shared" ca="1" si="1"/>
        <v>10</v>
      </c>
      <c r="AB10" s="277" t="s">
        <v>106</v>
      </c>
      <c r="AC10" s="60">
        <f>HLOOKUP(AC6,Data!$O$307:$AN$315,8)</f>
        <v>0</v>
      </c>
      <c r="AD10" s="60">
        <f>HLOOKUP(AD6,Data!$O$307:$AN$315,8)</f>
        <v>6</v>
      </c>
      <c r="AE10" s="60">
        <f>HLOOKUP(AE6,Data!$O$307:$AN$315,8)</f>
        <v>0</v>
      </c>
      <c r="AF10" s="60">
        <f>HLOOKUP(AF6,Data!$O$307:$AN$315,8)</f>
        <v>0</v>
      </c>
      <c r="AG10" s="60">
        <f>HLOOKUP(AG6,Data!$O$307:$AN$315,8)</f>
        <v>0</v>
      </c>
      <c r="AH10" s="60">
        <f>HLOOKUP(AH6,Data!$O$307:$AN$315,8)</f>
        <v>0</v>
      </c>
      <c r="AI10" s="60">
        <f>HLOOKUP(AI6,Data!$O$307:$AN$315,8)</f>
        <v>0</v>
      </c>
      <c r="AJ10" s="60">
        <f>HLOOKUP(AJ6,Data!$O$307:$AN$315,8)</f>
        <v>0</v>
      </c>
      <c r="AK10" s="60">
        <f>HLOOKUP(AK6,Data!$O$307:$AN$315,8)</f>
        <v>0</v>
      </c>
      <c r="AL10" s="60">
        <f>HLOOKUP(AL6,Data!$O$307:$AN$315,8)</f>
        <v>0</v>
      </c>
      <c r="AM10" s="60">
        <f>HLOOKUP(AM6,Data!$O$307:$AN$315,8)</f>
        <v>0</v>
      </c>
      <c r="AN10" s="60">
        <f>HLOOKUP(AN6,Data!$O$307:$AN$315,8)</f>
        <v>0</v>
      </c>
      <c r="AO10" s="60">
        <f>HLOOKUP(AO6,Data!$O$307:$AN$315,8)</f>
        <v>0</v>
      </c>
    </row>
    <row r="11" spans="1:41" ht="15" customHeight="1" thickBot="1" x14ac:dyDescent="0.4">
      <c r="A11" s="82" t="s">
        <v>6</v>
      </c>
      <c r="B11" s="15">
        <f>HLOOKUP(B1,Data!$AB$4:$AN$18,7)</f>
        <v>0</v>
      </c>
      <c r="C11" s="236">
        <f>F11/13</f>
        <v>0.46153846153846156</v>
      </c>
      <c r="D11" s="15">
        <f>Data!AO10</f>
        <v>1</v>
      </c>
      <c r="E11" s="302">
        <v>13</v>
      </c>
      <c r="F11" s="286">
        <v>6</v>
      </c>
      <c r="G11" s="238"/>
      <c r="AB11" s="278" t="s">
        <v>107</v>
      </c>
      <c r="AC11" s="269">
        <f ca="1">HLOOKUP(AC6,Data!$O$307:$AN$315,9)</f>
        <v>0</v>
      </c>
      <c r="AD11" s="269">
        <f ca="1">HLOOKUP(AD6,Data!$O$307:$AN$315,9)</f>
        <v>0</v>
      </c>
      <c r="AE11" s="269">
        <f>HLOOKUP(AE6,Data!$O$307:$AN$315,9)</f>
        <v>0</v>
      </c>
      <c r="AF11" s="269">
        <f>HLOOKUP(AF6,Data!$O$307:$AN$315,9)</f>
        <v>0</v>
      </c>
      <c r="AG11" s="269">
        <f>HLOOKUP(AG6,Data!$O$307:$AN$315,9)</f>
        <v>0</v>
      </c>
      <c r="AH11" s="269">
        <f>HLOOKUP(AH6,Data!$O$307:$AN$315,9)</f>
        <v>0</v>
      </c>
      <c r="AI11" s="269">
        <f>HLOOKUP(AI6,Data!$O$307:$AN$315,9)</f>
        <v>0</v>
      </c>
      <c r="AJ11" s="269">
        <f>HLOOKUP(AJ6,Data!$O$307:$AN$315,9)</f>
        <v>0</v>
      </c>
      <c r="AK11" s="269">
        <f>HLOOKUP(AK6,Data!$O$307:$AN$315,9)</f>
        <v>0</v>
      </c>
      <c r="AL11" s="269">
        <f>HLOOKUP(AL6,Data!$O$307:$AN$315,9)</f>
        <v>0</v>
      </c>
      <c r="AM11" s="269">
        <f>HLOOKUP(AM6,Data!$O$307:$AN$315,9)</f>
        <v>0</v>
      </c>
      <c r="AN11" s="269">
        <f>HLOOKUP(AN6,Data!$O$307:$AN$315,9)</f>
        <v>0</v>
      </c>
      <c r="AO11" s="269">
        <f>HLOOKUP(AO6,Data!$O$307:$AN$315,9)</f>
        <v>0</v>
      </c>
    </row>
    <row r="12" spans="1:41" ht="15" customHeight="1" thickBot="1" x14ac:dyDescent="0.4">
      <c r="A12" s="70" t="s">
        <v>14</v>
      </c>
      <c r="B12" s="239">
        <f>HLOOKUP(B1,Data!$AB$4:$AN$18,8)</f>
        <v>7</v>
      </c>
      <c r="C12" s="240">
        <v>18</v>
      </c>
      <c r="D12" s="239">
        <f>SUM(D7:D11)</f>
        <v>93</v>
      </c>
      <c r="E12" s="303">
        <f>SUM(E7:E11)</f>
        <v>175</v>
      </c>
      <c r="F12" s="285">
        <f>SUM(F7:F11)</f>
        <v>145</v>
      </c>
      <c r="G12" s="241"/>
      <c r="M12" s="479" t="s">
        <v>290</v>
      </c>
      <c r="N12" s="480"/>
      <c r="O12" s="480"/>
      <c r="P12" s="480"/>
      <c r="Q12" s="480"/>
      <c r="R12" s="480"/>
      <c r="S12" s="480"/>
      <c r="T12" s="480"/>
      <c r="U12" s="480"/>
      <c r="V12" s="480"/>
      <c r="W12" s="480"/>
      <c r="X12" s="480"/>
      <c r="Y12" s="480"/>
      <c r="Z12" s="481"/>
      <c r="AB12" s="72" t="s">
        <v>291</v>
      </c>
      <c r="AC12" s="279">
        <f ca="1">SUM(AC7:AC9)</f>
        <v>0</v>
      </c>
      <c r="AD12" s="279">
        <f t="shared" ref="AD12:AO12" ca="1" si="2">SUM(AD7:AD9)</f>
        <v>6</v>
      </c>
      <c r="AE12" s="279">
        <f t="shared" ca="1" si="2"/>
        <v>2</v>
      </c>
      <c r="AF12" s="279">
        <f t="shared" ca="1" si="2"/>
        <v>1</v>
      </c>
      <c r="AG12" s="279">
        <f t="shared" ca="1" si="2"/>
        <v>1</v>
      </c>
      <c r="AH12" s="279">
        <f t="shared" ca="1" si="2"/>
        <v>2</v>
      </c>
      <c r="AI12" s="279">
        <f t="shared" ca="1" si="2"/>
        <v>1</v>
      </c>
      <c r="AJ12" s="279">
        <f t="shared" ca="1" si="2"/>
        <v>0</v>
      </c>
      <c r="AK12" s="279">
        <f t="shared" ca="1" si="2"/>
        <v>2</v>
      </c>
      <c r="AL12" s="279">
        <f t="shared" ca="1" si="2"/>
        <v>1</v>
      </c>
      <c r="AM12" s="279">
        <f t="shared" ca="1" si="2"/>
        <v>1</v>
      </c>
      <c r="AN12" s="279">
        <f t="shared" ca="1" si="2"/>
        <v>9</v>
      </c>
      <c r="AO12" s="280">
        <f t="shared" ca="1" si="2"/>
        <v>9</v>
      </c>
    </row>
    <row r="13" spans="1:41" ht="15" thickBot="1" x14ac:dyDescent="0.4">
      <c r="A13" s="84" t="s">
        <v>8</v>
      </c>
      <c r="B13" s="92">
        <f>HLOOKUP(B1,Data!$AB$4:$AN$18,9)</f>
        <v>11</v>
      </c>
      <c r="C13" s="234">
        <f t="shared" si="0"/>
        <v>8.8461538461538467</v>
      </c>
      <c r="D13" s="160">
        <f>Data!AO12</f>
        <v>113</v>
      </c>
      <c r="E13" s="302">
        <v>106</v>
      </c>
      <c r="F13" s="287">
        <v>115</v>
      </c>
      <c r="G13" s="238"/>
      <c r="L13"/>
      <c r="M13" s="482" t="s">
        <v>292</v>
      </c>
      <c r="N13" s="483"/>
      <c r="O13" s="483"/>
      <c r="P13" s="483"/>
      <c r="Q13" s="483"/>
      <c r="R13" s="484"/>
      <c r="S13" s="468" t="s">
        <v>105</v>
      </c>
      <c r="T13" s="469"/>
      <c r="U13" s="468" t="s">
        <v>103</v>
      </c>
      <c r="V13" s="469"/>
      <c r="W13" s="468" t="s">
        <v>104</v>
      </c>
      <c r="X13" s="469"/>
      <c r="Y13" s="468" t="s">
        <v>14</v>
      </c>
      <c r="Z13" s="485"/>
    </row>
    <row r="14" spans="1:41" x14ac:dyDescent="0.35">
      <c r="A14" s="81" t="s">
        <v>293</v>
      </c>
      <c r="B14" s="15">
        <f>HLOOKUP(B1,Data!$AB$4:$AO$18,10)</f>
        <v>5</v>
      </c>
      <c r="C14" s="236">
        <f>F14/13</f>
        <v>6.1538461538461542</v>
      </c>
      <c r="D14" s="113">
        <f>Data!AO13</f>
        <v>66</v>
      </c>
      <c r="E14" s="302">
        <v>74</v>
      </c>
      <c r="F14" s="237">
        <v>80</v>
      </c>
      <c r="G14" s="238"/>
      <c r="L14"/>
      <c r="M14" s="470" t="s">
        <v>91</v>
      </c>
      <c r="N14" s="471"/>
      <c r="O14" s="471"/>
      <c r="P14" s="471"/>
      <c r="Q14" s="471"/>
      <c r="R14" s="472"/>
      <c r="S14" s="468" t="e">
        <f ca="1">SUM(Data!$O$270:$AN$270)</f>
        <v>#N/A</v>
      </c>
      <c r="T14" s="469"/>
      <c r="U14" s="468" t="e">
        <f ca="1">SUM(Data!$O$270:$AN$270)</f>
        <v>#N/A</v>
      </c>
      <c r="V14" s="469"/>
      <c r="W14" s="468" t="e">
        <f ca="1">SUM(Data!$O$270:$AN$270)</f>
        <v>#N/A</v>
      </c>
      <c r="X14" s="469"/>
      <c r="Y14" s="468" t="e">
        <f ca="1">SUM(Data!$O$270:$AN$270)</f>
        <v>#N/A</v>
      </c>
      <c r="Z14" s="469"/>
    </row>
    <row r="15" spans="1:41" ht="15.75" customHeight="1" thickBot="1" x14ac:dyDescent="0.4">
      <c r="A15" s="82" t="s">
        <v>294</v>
      </c>
      <c r="B15" s="15">
        <f>HLOOKUP(B1,Data!$AB$4:$AO$18,11)</f>
        <v>0</v>
      </c>
      <c r="C15" s="236">
        <f>F15/13</f>
        <v>0.53846153846153844</v>
      </c>
      <c r="D15" s="32">
        <f>Data!AA14</f>
        <v>1</v>
      </c>
      <c r="E15" s="302">
        <v>6</v>
      </c>
      <c r="F15" s="236">
        <v>7</v>
      </c>
      <c r="G15" s="238"/>
      <c r="L15"/>
      <c r="M15" s="470" t="s">
        <v>92</v>
      </c>
      <c r="N15" s="471"/>
      <c r="O15" s="471"/>
      <c r="P15" s="471"/>
      <c r="Q15" s="471"/>
      <c r="R15" s="472"/>
      <c r="S15" s="468">
        <f ca="1">SUM(Data!$O$273:$AN$273)</f>
        <v>0</v>
      </c>
      <c r="T15" s="469"/>
      <c r="U15" s="468">
        <f ca="1">SUM(Data!$O$273:$AN$273)</f>
        <v>0</v>
      </c>
      <c r="V15" s="469"/>
      <c r="W15" s="468">
        <f ca="1">SUM(Data!$O$273:$AN$273)</f>
        <v>0</v>
      </c>
      <c r="X15" s="469"/>
      <c r="Y15" s="468">
        <f ca="1">SUM(Data!$O$273:$AN$273)</f>
        <v>0</v>
      </c>
      <c r="Z15" s="469"/>
    </row>
    <row r="16" spans="1:41" ht="15" thickBot="1" x14ac:dyDescent="0.4">
      <c r="A16" s="242" t="s">
        <v>295</v>
      </c>
      <c r="B16" s="15">
        <v>0</v>
      </c>
      <c r="C16" s="243">
        <f t="shared" si="0"/>
        <v>2</v>
      </c>
      <c r="D16" s="32">
        <f>Data!AO218</f>
        <v>45</v>
      </c>
      <c r="E16" s="304">
        <v>24</v>
      </c>
      <c r="F16" s="244">
        <v>26</v>
      </c>
      <c r="G16" s="245"/>
      <c r="L16"/>
      <c r="M16" s="470" t="s">
        <v>93</v>
      </c>
      <c r="N16" s="471"/>
      <c r="O16" s="471"/>
      <c r="P16" s="471"/>
      <c r="Q16" s="471"/>
      <c r="R16" s="472"/>
      <c r="S16" s="468">
        <f ca="1">SUM(Data!$O$276:$AN$276)</f>
        <v>0</v>
      </c>
      <c r="T16" s="469"/>
      <c r="U16" s="468">
        <f ca="1">SUM(Data!$O$276:$AN$276)</f>
        <v>0</v>
      </c>
      <c r="V16" s="469"/>
      <c r="W16" s="468">
        <f ca="1">SUM(Data!$O$276:$AN$276)</f>
        <v>0</v>
      </c>
      <c r="X16" s="469"/>
      <c r="Y16" s="468">
        <f ca="1">SUM(Data!$O$276:$AN$276)</f>
        <v>0</v>
      </c>
      <c r="Z16" s="469"/>
    </row>
    <row r="17" spans="1:26" x14ac:dyDescent="0.35">
      <c r="A17" s="242" t="s">
        <v>91</v>
      </c>
      <c r="B17" s="246">
        <v>8</v>
      </c>
      <c r="C17" s="247">
        <f t="shared" si="0"/>
        <v>7.0769230769230766</v>
      </c>
      <c r="D17" s="113">
        <f ca="1">Data!AO309</f>
        <v>6</v>
      </c>
      <c r="E17" s="305">
        <v>85</v>
      </c>
      <c r="F17" s="23">
        <v>92</v>
      </c>
      <c r="G17" s="245"/>
      <c r="L17"/>
      <c r="M17" s="470" t="s">
        <v>94</v>
      </c>
      <c r="N17" s="471"/>
      <c r="O17" s="471"/>
      <c r="P17" s="471"/>
      <c r="Q17" s="471"/>
      <c r="R17" s="472"/>
      <c r="S17" s="468">
        <f ca="1">SUM(Data!$O$279:$AN$279)</f>
        <v>0</v>
      </c>
      <c r="T17" s="469"/>
      <c r="U17" s="468">
        <f ca="1">SUM(Data!$O$279:$AN$279)</f>
        <v>0</v>
      </c>
      <c r="V17" s="469"/>
      <c r="W17" s="468">
        <f ca="1">SUM(Data!$O$279:$AN$279)</f>
        <v>0</v>
      </c>
      <c r="X17" s="469"/>
      <c r="Y17" s="468">
        <f ca="1">SUM(Data!$O$279:$AN$279)</f>
        <v>0</v>
      </c>
      <c r="Z17" s="469"/>
    </row>
    <row r="18" spans="1:26" x14ac:dyDescent="0.35">
      <c r="A18" s="3" t="s">
        <v>110</v>
      </c>
      <c r="B18" s="246">
        <v>0</v>
      </c>
      <c r="C18" s="247">
        <f t="shared" si="0"/>
        <v>0.69230769230769229</v>
      </c>
      <c r="D18" s="248">
        <f>Data!AO313</f>
        <v>0</v>
      </c>
      <c r="E18" s="305">
        <v>8</v>
      </c>
      <c r="F18" s="15">
        <v>9</v>
      </c>
      <c r="G18" s="245"/>
      <c r="L18"/>
      <c r="M18" s="470" t="s">
        <v>96</v>
      </c>
      <c r="N18" s="471"/>
      <c r="O18" s="471"/>
      <c r="P18" s="471"/>
      <c r="Q18" s="471"/>
      <c r="R18" s="472"/>
      <c r="S18" s="468">
        <f ca="1">SUM(Data!$O$285:$AN$285)</f>
        <v>0</v>
      </c>
      <c r="T18" s="469"/>
      <c r="U18" s="468">
        <f ca="1">SUM(Data!$O$285:$AN$285)</f>
        <v>0</v>
      </c>
      <c r="V18" s="469"/>
      <c r="W18" s="468">
        <f ca="1">SUM(Data!$O$285:$AN$285)</f>
        <v>0</v>
      </c>
      <c r="X18" s="469"/>
      <c r="Y18" s="468">
        <f ca="1">SUM(Data!$O$285:$AN$285)</f>
        <v>0</v>
      </c>
      <c r="Z18" s="469"/>
    </row>
    <row r="19" spans="1:26" ht="15" customHeight="1" thickBot="1" x14ac:dyDescent="0.4">
      <c r="A19" s="3" t="s">
        <v>111</v>
      </c>
      <c r="B19" s="237">
        <v>0</v>
      </c>
      <c r="C19" s="243">
        <f>F19/13</f>
        <v>0.30769230769230771</v>
      </c>
      <c r="D19" s="32" t="e">
        <f>Data!AO339</f>
        <v>#REF!</v>
      </c>
      <c r="E19" s="304">
        <v>4</v>
      </c>
      <c r="F19" s="15">
        <v>4</v>
      </c>
      <c r="G19" s="238"/>
      <c r="L19"/>
      <c r="M19" s="499" t="s">
        <v>97</v>
      </c>
      <c r="N19" s="500"/>
      <c r="O19" s="500"/>
      <c r="P19" s="500"/>
      <c r="Q19" s="500"/>
      <c r="R19" s="501"/>
      <c r="S19" s="468">
        <f ca="1">SUM(Data!$O$288:$AN$288)</f>
        <v>0</v>
      </c>
      <c r="T19" s="469"/>
      <c r="U19" s="468">
        <f ca="1">SUM(Data!$O$288:$AN$288)</f>
        <v>0</v>
      </c>
      <c r="V19" s="469"/>
      <c r="W19" s="468">
        <f ca="1">SUM(Data!$O$288:$AN$288)</f>
        <v>0</v>
      </c>
      <c r="X19" s="469"/>
      <c r="Y19" s="468">
        <f ca="1">SUM(Data!$O$288:$AN$288)</f>
        <v>0</v>
      </c>
      <c r="Z19" s="469"/>
    </row>
    <row r="20" spans="1:26" ht="19" thickBot="1" x14ac:dyDescent="0.4">
      <c r="A20" s="486"/>
      <c r="B20" s="487"/>
      <c r="C20" s="487"/>
      <c r="D20" s="487" t="s">
        <v>296</v>
      </c>
      <c r="E20" s="487"/>
      <c r="F20" s="487"/>
      <c r="G20" s="488"/>
      <c r="L20"/>
      <c r="M20" s="470" t="s">
        <v>98</v>
      </c>
      <c r="N20" s="471"/>
      <c r="O20" s="471"/>
      <c r="P20" s="471"/>
      <c r="Q20" s="471"/>
      <c r="R20" s="472"/>
      <c r="S20" s="468">
        <f ca="1">SUM(Data!$O$291:$AN$291)</f>
        <v>0</v>
      </c>
      <c r="T20" s="469"/>
      <c r="U20" s="468">
        <f ca="1">SUM(Data!$O$291:$AN$291)</f>
        <v>0</v>
      </c>
      <c r="V20" s="469"/>
      <c r="W20" s="468">
        <f ca="1">SUM(Data!$O$291:$AN$291)</f>
        <v>0</v>
      </c>
      <c r="X20" s="469"/>
      <c r="Y20" s="468">
        <f ca="1">SUM(Data!$O$291:$AN$291)</f>
        <v>0</v>
      </c>
      <c r="Z20" s="469"/>
    </row>
    <row r="21" spans="1:26" x14ac:dyDescent="0.35">
      <c r="L21"/>
      <c r="M21" s="470" t="s">
        <v>99</v>
      </c>
      <c r="N21" s="471"/>
      <c r="O21" s="471"/>
      <c r="P21" s="471"/>
      <c r="Q21" s="471"/>
      <c r="R21" s="472"/>
      <c r="S21" s="468" t="e">
        <f ca="1">SUM(Data!$O$294:$AN$294)</f>
        <v>#N/A</v>
      </c>
      <c r="T21" s="469"/>
      <c r="U21" s="468" t="e">
        <f ca="1">SUM(Data!$O$294:$AN$294)</f>
        <v>#N/A</v>
      </c>
      <c r="V21" s="469"/>
      <c r="W21" s="468" t="e">
        <f ca="1">SUM(Data!$O$294:$AN$294)</f>
        <v>#N/A</v>
      </c>
      <c r="X21" s="469"/>
      <c r="Y21" s="468" t="e">
        <f ca="1">SUM(Data!$O$294:$AN$294)</f>
        <v>#N/A</v>
      </c>
      <c r="Z21" s="469"/>
    </row>
    <row r="22" spans="1:26" x14ac:dyDescent="0.35">
      <c r="L22"/>
      <c r="M22" s="470" t="s">
        <v>100</v>
      </c>
      <c r="N22" s="471"/>
      <c r="O22" s="471"/>
      <c r="P22" s="471"/>
      <c r="Q22" s="471"/>
      <c r="R22" s="472"/>
      <c r="S22" s="468">
        <f ca="1">SUM(Data!$O$296:$AN$296)</f>
        <v>0</v>
      </c>
      <c r="T22" s="469"/>
      <c r="U22" s="468">
        <f ca="1">SUM(Data!$O$296:$AN$296)</f>
        <v>0</v>
      </c>
      <c r="V22" s="469"/>
      <c r="W22" s="468">
        <f ca="1">SUM(Data!$O$296:$AN$296)</f>
        <v>0</v>
      </c>
      <c r="X22" s="469"/>
      <c r="Y22" s="468">
        <f ca="1">SUM(Data!$O$296:$AN$296)</f>
        <v>0</v>
      </c>
      <c r="Z22" s="469"/>
    </row>
    <row r="23" spans="1:26" x14ac:dyDescent="0.35">
      <c r="L23"/>
      <c r="M23" s="470" t="s">
        <v>102</v>
      </c>
      <c r="N23" s="471"/>
      <c r="O23" s="471"/>
      <c r="P23" s="471"/>
      <c r="Q23" s="471"/>
      <c r="R23" s="472"/>
      <c r="S23" s="468">
        <f ca="1">SUM(Data!$O$303:$Z$303)</f>
        <v>0</v>
      </c>
      <c r="T23" s="469"/>
      <c r="U23" s="468">
        <f ca="1">SUM(Data!$O$303:$Z$303)</f>
        <v>0</v>
      </c>
      <c r="V23" s="469"/>
      <c r="W23" s="468">
        <f ca="1">SUM(Data!$O$303:$Z$303)</f>
        <v>0</v>
      </c>
      <c r="X23" s="469"/>
      <c r="Y23" s="468">
        <f ca="1">SUM(Data!$O$303:$Z$303)</f>
        <v>0</v>
      </c>
      <c r="Z23" s="469"/>
    </row>
    <row r="24" spans="1:26" ht="15" thickBot="1" x14ac:dyDescent="0.4">
      <c r="L24"/>
      <c r="M24" s="470" t="s">
        <v>14</v>
      </c>
      <c r="N24" s="471"/>
      <c r="O24" s="471"/>
      <c r="P24" s="471"/>
      <c r="Q24" s="471"/>
      <c r="R24" s="472"/>
      <c r="S24" s="473" t="e">
        <f ca="1">SUM(S14:T23)</f>
        <v>#N/A</v>
      </c>
      <c r="T24" s="474"/>
      <c r="U24" s="473" t="e">
        <f ca="1">SUM(U14:V23)</f>
        <v>#N/A</v>
      </c>
      <c r="V24" s="474"/>
      <c r="W24" s="473" t="e">
        <f ca="1">SUM(W14:X23)</f>
        <v>#N/A</v>
      </c>
      <c r="X24" s="474"/>
      <c r="Y24" s="473" t="e">
        <f ca="1">SUM(S24:X24)</f>
        <v>#N/A</v>
      </c>
      <c r="Z24" s="519"/>
    </row>
    <row r="25" spans="1:26" ht="15" thickBot="1" x14ac:dyDescent="0.4"/>
    <row r="26" spans="1:26" x14ac:dyDescent="0.35">
      <c r="M26" s="502" t="s">
        <v>297</v>
      </c>
      <c r="N26" s="503"/>
      <c r="O26" s="503"/>
      <c r="P26" s="503"/>
      <c r="Q26" s="503"/>
      <c r="R26" s="503"/>
      <c r="S26" s="503"/>
      <c r="T26" s="503"/>
      <c r="U26" s="503"/>
      <c r="V26" s="503"/>
      <c r="W26" s="503"/>
      <c r="X26" s="503"/>
      <c r="Y26" s="503"/>
      <c r="Z26" s="504"/>
    </row>
    <row r="27" spans="1:26" ht="15" thickBot="1" x14ac:dyDescent="0.4">
      <c r="M27" s="505"/>
      <c r="N27" s="506"/>
      <c r="O27" s="506"/>
      <c r="P27" s="506"/>
      <c r="Q27" s="506"/>
      <c r="R27" s="506"/>
      <c r="S27" s="506"/>
      <c r="T27" s="506"/>
      <c r="U27" s="506"/>
      <c r="V27" s="506"/>
      <c r="W27" s="506"/>
      <c r="X27" s="506"/>
      <c r="Y27" s="506"/>
      <c r="Z27" s="507"/>
    </row>
    <row r="28" spans="1:26" ht="15" thickBot="1" x14ac:dyDescent="0.4">
      <c r="M28" s="17" t="s">
        <v>298</v>
      </c>
      <c r="N28" s="264">
        <v>2411</v>
      </c>
      <c r="O28" s="264">
        <v>2412</v>
      </c>
      <c r="P28" s="264">
        <v>2413</v>
      </c>
      <c r="Q28" s="264">
        <v>2501</v>
      </c>
      <c r="R28" s="264">
        <v>2502</v>
      </c>
      <c r="S28" s="264">
        <v>2503</v>
      </c>
      <c r="T28" s="264">
        <v>2504</v>
      </c>
      <c r="U28" s="264">
        <v>2505</v>
      </c>
      <c r="V28" s="264">
        <v>2506</v>
      </c>
      <c r="W28" s="264">
        <v>2507</v>
      </c>
      <c r="X28" s="264">
        <v>2508</v>
      </c>
      <c r="Y28" s="264">
        <v>2509</v>
      </c>
      <c r="Z28" s="264">
        <v>2510</v>
      </c>
    </row>
    <row r="29" spans="1:26" ht="19" thickBot="1" x14ac:dyDescent="0.5">
      <c r="A29" s="495" t="s">
        <v>86</v>
      </c>
      <c r="B29" s="496"/>
      <c r="C29" s="497"/>
      <c r="M29" s="265" t="s">
        <v>105</v>
      </c>
      <c r="N29" s="60">
        <f ca="1">HLOOKUP(Summary!N28,Data!$O$323:$AN326,4)</f>
        <v>0</v>
      </c>
      <c r="O29" s="60">
        <f ca="1">HLOOKUP(Summary!O28,Data!$O$323:$AN326,4)</f>
        <v>0</v>
      </c>
      <c r="P29" s="60">
        <f ca="1">HLOOKUP(Summary!P28,Data!$O$323:$AN326,4)</f>
        <v>0</v>
      </c>
      <c r="Q29" s="60">
        <f ca="1">HLOOKUP(Summary!Q28,Data!$O$323:$AN326,4)</f>
        <v>0</v>
      </c>
      <c r="R29" s="60">
        <f ca="1">HLOOKUP(Summary!R28,Data!$O$323:$AN326,4)</f>
        <v>0</v>
      </c>
      <c r="S29" s="60">
        <f ca="1">HLOOKUP(Summary!S28,Data!$O$323:$AN326,4)</f>
        <v>0</v>
      </c>
      <c r="T29" s="60">
        <f ca="1">HLOOKUP(Summary!T28,Data!$O$323:$AN326,4)</f>
        <v>4</v>
      </c>
      <c r="U29" s="60">
        <f ca="1">HLOOKUP(Summary!U28,Data!$O$323:$AN326,4)</f>
        <v>6</v>
      </c>
      <c r="V29" s="60">
        <f ca="1">HLOOKUP(Summary!V28,Data!$O$323:$AN326,4)</f>
        <v>8</v>
      </c>
      <c r="W29" s="60">
        <f ca="1">HLOOKUP(Summary!W28,Data!$O$323:$AN326,4)</f>
        <v>14</v>
      </c>
      <c r="X29" s="60">
        <f ca="1">HLOOKUP(Summary!X28,Data!$O$323:$AN326,4)</f>
        <v>18</v>
      </c>
      <c r="Y29" s="60">
        <f ca="1">HLOOKUP(Summary!Y28,Data!$O$323:$AN326,4)</f>
        <v>17</v>
      </c>
      <c r="Z29" s="60">
        <f ca="1">HLOOKUP(Summary!Z28,Data!$O$323:$AN326,4)</f>
        <v>8</v>
      </c>
    </row>
    <row r="30" spans="1:26" ht="18.5" x14ac:dyDescent="0.45">
      <c r="A30" s="520" t="s">
        <v>86</v>
      </c>
      <c r="B30" s="521"/>
      <c r="C30" s="522"/>
      <c r="M30" s="266" t="s">
        <v>289</v>
      </c>
      <c r="N30" s="267">
        <f ca="1">HLOOKUP(Summary!N28,Data!$O$323:$AN324,2)</f>
        <v>0</v>
      </c>
      <c r="O30" s="267">
        <f ca="1">HLOOKUP(Summary!O28,Data!$O$323:$AN324,2)</f>
        <v>0</v>
      </c>
      <c r="P30" s="267">
        <f ca="1">HLOOKUP(Summary!P28,Data!$O$323:$AN324,2)</f>
        <v>0</v>
      </c>
      <c r="Q30" s="267">
        <f ca="1">HLOOKUP(Summary!Q28,Data!$O$323:$AN324,2)</f>
        <v>0</v>
      </c>
      <c r="R30" s="267">
        <f ca="1">HLOOKUP(Summary!R28,Data!$O$323:$AN324,2)</f>
        <v>0</v>
      </c>
      <c r="S30" s="267">
        <f ca="1">HLOOKUP(Summary!S28,Data!$O$323:$AN324,2)</f>
        <v>0</v>
      </c>
      <c r="T30" s="267">
        <f ca="1">HLOOKUP(Summary!T28,Data!$O$323:$AN324,2)</f>
        <v>0</v>
      </c>
      <c r="U30" s="267">
        <f ca="1">HLOOKUP(Summary!U28,Data!$O$323:$AN324,2)</f>
        <v>0</v>
      </c>
      <c r="V30" s="267">
        <f ca="1">HLOOKUP(Summary!V28,Data!$O$323:$AN324,2)</f>
        <v>0</v>
      </c>
      <c r="W30" s="267">
        <f ca="1">HLOOKUP(Summary!W28,Data!$O$323:$AN324,2)</f>
        <v>1</v>
      </c>
      <c r="X30" s="267">
        <f ca="1">HLOOKUP(Summary!X28,Data!$O$323:$AN324,2)</f>
        <v>0</v>
      </c>
      <c r="Y30" s="267">
        <f ca="1">HLOOKUP(Summary!Y28,Data!$O$323:$AN324,2)</f>
        <v>0</v>
      </c>
      <c r="Z30" s="267">
        <f ca="1">HLOOKUP(Summary!Z28,Data!$O$323:$AN324,2)</f>
        <v>0</v>
      </c>
    </row>
    <row r="31" spans="1:26" ht="15" thickBot="1" x14ac:dyDescent="0.4">
      <c r="A31" s="57"/>
      <c r="B31" s="53" t="s">
        <v>299</v>
      </c>
      <c r="C31" s="249" t="s">
        <v>300</v>
      </c>
      <c r="M31" s="266" t="s">
        <v>301</v>
      </c>
      <c r="N31" s="269">
        <f ca="1">HLOOKUP(Summary!N28,Data!$O$323:$AN325,3)</f>
        <v>77</v>
      </c>
      <c r="O31" s="269">
        <f ca="1">HLOOKUP(Summary!O28,Data!$O$323:$AN325,3)</f>
        <v>61</v>
      </c>
      <c r="P31" s="269">
        <f ca="1">HLOOKUP(Summary!P28,Data!$O$323:$AN325,3)</f>
        <v>68</v>
      </c>
      <c r="Q31" s="269">
        <f ca="1">HLOOKUP(Summary!Q28,Data!$O$323:$AN325,3)</f>
        <v>53</v>
      </c>
      <c r="R31" s="269">
        <f ca="1">HLOOKUP(Summary!R28,Data!$O$323:$AN325,3)</f>
        <v>55</v>
      </c>
      <c r="S31" s="269">
        <f ca="1">HLOOKUP(Summary!S28,Data!$O$323:$AN325,3)</f>
        <v>58</v>
      </c>
      <c r="T31" s="269">
        <f ca="1">HLOOKUP(Summary!T28,Data!$O$323:$AN325,3)</f>
        <v>39</v>
      </c>
      <c r="U31" s="269">
        <f ca="1">HLOOKUP(Summary!U28,Data!$O$323:$AN325,3)</f>
        <v>34</v>
      </c>
      <c r="V31" s="269">
        <f ca="1">HLOOKUP(Summary!V28,Data!$O$323:$AN325,3)</f>
        <v>61</v>
      </c>
      <c r="W31" s="269">
        <f ca="1">HLOOKUP(Summary!W28,Data!$O$323:$AN325,3)</f>
        <v>47</v>
      </c>
      <c r="X31" s="269">
        <f ca="1">HLOOKUP(Summary!X28,Data!$O$323:$AN325,3)</f>
        <v>36</v>
      </c>
      <c r="Y31" s="269">
        <f ca="1">HLOOKUP(Summary!Y28,Data!$O$323:$AN325,3)</f>
        <v>35</v>
      </c>
      <c r="Z31" s="269">
        <f ca="1">HLOOKUP(Summary!Z28,Data!$O$323:$AN325,3)</f>
        <v>35</v>
      </c>
    </row>
    <row r="32" spans="1:26" ht="15" thickBot="1" x14ac:dyDescent="0.4">
      <c r="A32" s="58" t="s">
        <v>86</v>
      </c>
      <c r="B32" s="250">
        <f>HLOOKUP(B1,Data!AB256:AN258,2)</f>
        <v>3</v>
      </c>
      <c r="C32" s="250">
        <f>Data!AO257</f>
        <v>27</v>
      </c>
      <c r="M32" s="271" t="s">
        <v>14</v>
      </c>
      <c r="N32" s="272">
        <f ca="1">SUM(N29:N31)</f>
        <v>77</v>
      </c>
      <c r="O32" s="272">
        <f t="shared" ref="O32:Y32" ca="1" si="3">SUM(O29:O31)</f>
        <v>61</v>
      </c>
      <c r="P32" s="272">
        <f t="shared" ca="1" si="3"/>
        <v>68</v>
      </c>
      <c r="Q32" s="272">
        <f t="shared" ca="1" si="3"/>
        <v>53</v>
      </c>
      <c r="R32" s="272">
        <f t="shared" ca="1" si="3"/>
        <v>55</v>
      </c>
      <c r="S32" s="272">
        <f t="shared" ca="1" si="3"/>
        <v>58</v>
      </c>
      <c r="T32" s="272">
        <f t="shared" ca="1" si="3"/>
        <v>43</v>
      </c>
      <c r="U32" s="272">
        <f t="shared" ca="1" si="3"/>
        <v>40</v>
      </c>
      <c r="V32" s="272">
        <f t="shared" ca="1" si="3"/>
        <v>69</v>
      </c>
      <c r="W32" s="272">
        <f t="shared" ca="1" si="3"/>
        <v>62</v>
      </c>
      <c r="X32" s="272">
        <f t="shared" ca="1" si="3"/>
        <v>54</v>
      </c>
      <c r="Y32" s="272">
        <f t="shared" ca="1" si="3"/>
        <v>52</v>
      </c>
      <c r="Z32" s="272">
        <f ca="1">SUM(Z29:Z31)</f>
        <v>43</v>
      </c>
    </row>
    <row r="33" spans="1:26" ht="18.5" x14ac:dyDescent="0.45">
      <c r="A33" s="510"/>
      <c r="B33" s="511"/>
      <c r="C33" s="512"/>
    </row>
    <row r="34" spans="1:26" ht="15" thickBot="1" x14ac:dyDescent="0.4">
      <c r="M34" s="498"/>
      <c r="N34" s="498"/>
      <c r="O34" s="498"/>
      <c r="P34" s="498"/>
      <c r="Q34" s="498"/>
      <c r="R34" s="498"/>
      <c r="S34" s="498"/>
      <c r="T34" s="498"/>
      <c r="U34" s="498"/>
      <c r="V34" s="498"/>
      <c r="W34" s="498"/>
      <c r="X34" s="498"/>
      <c r="Y34" s="498"/>
      <c r="Z34"/>
    </row>
    <row r="35" spans="1:26" ht="19" thickBot="1" x14ac:dyDescent="0.5">
      <c r="A35" s="251" t="s">
        <v>302</v>
      </c>
      <c r="B35" s="252"/>
      <c r="C35" s="252"/>
      <c r="D35" s="252"/>
      <c r="E35" s="252"/>
      <c r="F35" s="253"/>
      <c r="G35"/>
      <c r="M35"/>
      <c r="N35"/>
      <c r="O35"/>
      <c r="P35"/>
      <c r="Q35"/>
      <c r="R35"/>
      <c r="S35"/>
      <c r="T35"/>
      <c r="U35"/>
      <c r="V35"/>
      <c r="W35"/>
      <c r="X35"/>
      <c r="Y35"/>
      <c r="Z35"/>
    </row>
    <row r="36" spans="1:26" x14ac:dyDescent="0.35">
      <c r="A36"/>
      <c r="D36"/>
      <c r="M36"/>
      <c r="N36"/>
      <c r="O36"/>
      <c r="P36"/>
      <c r="Q36"/>
      <c r="R36"/>
      <c r="S36"/>
      <c r="T36"/>
      <c r="U36"/>
      <c r="V36"/>
      <c r="W36"/>
      <c r="X36"/>
      <c r="Y36"/>
      <c r="Z36"/>
    </row>
    <row r="37" spans="1:26" x14ac:dyDescent="0.35">
      <c r="A37"/>
      <c r="D37"/>
      <c r="M37"/>
      <c r="N37"/>
      <c r="O37"/>
      <c r="P37"/>
      <c r="Q37"/>
      <c r="R37"/>
      <c r="S37"/>
      <c r="T37"/>
      <c r="U37"/>
      <c r="V37"/>
      <c r="W37"/>
      <c r="X37"/>
      <c r="Y37"/>
      <c r="Z37"/>
    </row>
    <row r="38" spans="1:26" x14ac:dyDescent="0.35">
      <c r="A38"/>
      <c r="D38"/>
      <c r="M38"/>
      <c r="N38"/>
      <c r="O38"/>
      <c r="P38"/>
      <c r="Q38"/>
      <c r="R38"/>
      <c r="S38"/>
      <c r="T38"/>
      <c r="U38"/>
      <c r="V38"/>
      <c r="W38"/>
      <c r="X38"/>
      <c r="Y38"/>
      <c r="Z38"/>
    </row>
    <row r="39" spans="1:26" x14ac:dyDescent="0.35">
      <c r="A39"/>
      <c r="D39"/>
      <c r="M39"/>
      <c r="N39"/>
      <c r="O39"/>
      <c r="P39"/>
      <c r="Q39"/>
      <c r="R39"/>
      <c r="S39"/>
      <c r="T39"/>
      <c r="U39"/>
      <c r="V39"/>
      <c r="W39"/>
      <c r="X39"/>
      <c r="Y39"/>
      <c r="Z39"/>
    </row>
    <row r="40" spans="1:26" x14ac:dyDescent="0.35">
      <c r="A40"/>
      <c r="D40"/>
    </row>
    <row r="41" spans="1:26" ht="19" customHeight="1" x14ac:dyDescent="0.35">
      <c r="A41"/>
      <c r="D41"/>
    </row>
    <row r="42" spans="1:26" x14ac:dyDescent="0.35">
      <c r="A42"/>
      <c r="D42"/>
    </row>
    <row r="43" spans="1:26" x14ac:dyDescent="0.35">
      <c r="A43"/>
      <c r="D43"/>
    </row>
    <row r="44" spans="1:26" ht="19" customHeight="1" x14ac:dyDescent="0.35">
      <c r="A44"/>
      <c r="D44"/>
    </row>
    <row r="45" spans="1:26" x14ac:dyDescent="0.35">
      <c r="A45"/>
      <c r="D45"/>
    </row>
    <row r="46" spans="1:26" x14ac:dyDescent="0.35">
      <c r="A46"/>
      <c r="D46"/>
    </row>
    <row r="47" spans="1:26" x14ac:dyDescent="0.35">
      <c r="A47"/>
      <c r="D47"/>
    </row>
    <row r="48" spans="1:26" x14ac:dyDescent="0.35">
      <c r="A48"/>
      <c r="D48"/>
    </row>
    <row r="49" spans="1:17" x14ac:dyDescent="0.35">
      <c r="A49"/>
      <c r="D49"/>
    </row>
    <row r="50" spans="1:17" ht="15" thickBot="1" x14ac:dyDescent="0.4">
      <c r="A50"/>
      <c r="B50"/>
      <c r="C50"/>
      <c r="D50"/>
    </row>
    <row r="51" spans="1:17" x14ac:dyDescent="0.35">
      <c r="A51"/>
    </row>
    <row r="52" spans="1:17" ht="15" thickBot="1" x14ac:dyDescent="0.4">
      <c r="A52"/>
    </row>
    <row r="53" spans="1:17" ht="19" thickBot="1" x14ac:dyDescent="0.5">
      <c r="A53" s="251" t="s">
        <v>39</v>
      </c>
      <c r="B53" s="252"/>
      <c r="C53" s="252"/>
      <c r="D53" s="254"/>
      <c r="E53" s="252"/>
      <c r="F53" s="252"/>
      <c r="G53" s="252"/>
      <c r="H53" s="252"/>
      <c r="I53" s="253"/>
      <c r="Q53" s="11" t="s">
        <v>303</v>
      </c>
    </row>
    <row r="54" spans="1:17" x14ac:dyDescent="0.35">
      <c r="A54"/>
    </row>
    <row r="55" spans="1:17" x14ac:dyDescent="0.35">
      <c r="A55"/>
    </row>
    <row r="56" spans="1:17" x14ac:dyDescent="0.35">
      <c r="A56"/>
    </row>
    <row r="57" spans="1:17" x14ac:dyDescent="0.35">
      <c r="A57"/>
    </row>
    <row r="58" spans="1:17" x14ac:dyDescent="0.35">
      <c r="A58"/>
    </row>
    <row r="59" spans="1:17" x14ac:dyDescent="0.35">
      <c r="A59"/>
    </row>
    <row r="60" spans="1:17" x14ac:dyDescent="0.35">
      <c r="A60"/>
    </row>
    <row r="61" spans="1:17" x14ac:dyDescent="0.35">
      <c r="A61"/>
    </row>
    <row r="62" spans="1:17" x14ac:dyDescent="0.35">
      <c r="A62"/>
    </row>
    <row r="63" spans="1:17" x14ac:dyDescent="0.35">
      <c r="A63"/>
    </row>
    <row r="64" spans="1:17" x14ac:dyDescent="0.35">
      <c r="A64"/>
    </row>
    <row r="65" spans="1:7" x14ac:dyDescent="0.35">
      <c r="A65"/>
    </row>
    <row r="66" spans="1:7" x14ac:dyDescent="0.35">
      <c r="A66"/>
    </row>
    <row r="67" spans="1:7" x14ac:dyDescent="0.35">
      <c r="A67"/>
    </row>
    <row r="68" spans="1:7" ht="15" thickBot="1" x14ac:dyDescent="0.4">
      <c r="A68"/>
      <c r="B68"/>
      <c r="C68"/>
      <c r="D68"/>
      <c r="E68"/>
      <c r="G68"/>
    </row>
    <row r="70" spans="1:7" ht="18.5" x14ac:dyDescent="0.45">
      <c r="A70" s="255" t="s">
        <v>8</v>
      </c>
      <c r="B70" s="256"/>
      <c r="C70" s="256"/>
      <c r="D70" s="255"/>
      <c r="E70" s="255"/>
      <c r="F70" s="255"/>
    </row>
    <row r="86" spans="1:6" ht="15" thickBot="1" x14ac:dyDescent="0.4"/>
    <row r="87" spans="1:6" ht="19" thickBot="1" x14ac:dyDescent="0.5">
      <c r="A87" s="251" t="s">
        <v>85</v>
      </c>
      <c r="B87" s="252"/>
      <c r="C87" s="252"/>
      <c r="D87" s="252"/>
      <c r="E87" s="252"/>
      <c r="F87" s="253"/>
    </row>
    <row r="105" spans="1:4" ht="15" thickBot="1" x14ac:dyDescent="0.4"/>
    <row r="106" spans="1:4" ht="18.649999999999999" customHeight="1" x14ac:dyDescent="0.45">
      <c r="A106" s="513" t="s">
        <v>34</v>
      </c>
      <c r="B106" s="514"/>
      <c r="C106" s="514"/>
      <c r="D106" s="515"/>
    </row>
    <row r="107" spans="1:4" x14ac:dyDescent="0.35">
      <c r="A107"/>
      <c r="D107"/>
    </row>
    <row r="108" spans="1:4" x14ac:dyDescent="0.35">
      <c r="A108"/>
      <c r="D108"/>
    </row>
    <row r="109" spans="1:4" x14ac:dyDescent="0.35">
      <c r="A109"/>
      <c r="D109"/>
    </row>
    <row r="110" spans="1:4" x14ac:dyDescent="0.35">
      <c r="A110"/>
      <c r="D110"/>
    </row>
    <row r="111" spans="1:4" x14ac:dyDescent="0.35">
      <c r="A111"/>
      <c r="D111"/>
    </row>
    <row r="112" spans="1:4" x14ac:dyDescent="0.35">
      <c r="A112"/>
      <c r="D112"/>
    </row>
    <row r="113" spans="1:8" x14ac:dyDescent="0.35">
      <c r="A113"/>
      <c r="D113"/>
    </row>
    <row r="114" spans="1:8" x14ac:dyDescent="0.35">
      <c r="A114"/>
      <c r="D114"/>
    </row>
    <row r="115" spans="1:8" x14ac:dyDescent="0.35">
      <c r="A115"/>
      <c r="D115"/>
    </row>
    <row r="116" spans="1:8" x14ac:dyDescent="0.35">
      <c r="A116"/>
      <c r="D116"/>
    </row>
    <row r="117" spans="1:8" x14ac:dyDescent="0.35">
      <c r="A117"/>
      <c r="D117"/>
    </row>
    <row r="118" spans="1:8" x14ac:dyDescent="0.35">
      <c r="A118"/>
      <c r="D118"/>
    </row>
    <row r="119" spans="1:8" x14ac:dyDescent="0.35">
      <c r="A119"/>
      <c r="D119"/>
    </row>
    <row r="120" spans="1:8" x14ac:dyDescent="0.35">
      <c r="A120"/>
      <c r="D120"/>
    </row>
    <row r="121" spans="1:8" x14ac:dyDescent="0.35">
      <c r="A121"/>
      <c r="D121"/>
    </row>
    <row r="122" spans="1:8" ht="15" thickBot="1" x14ac:dyDescent="0.4">
      <c r="A122"/>
      <c r="B122"/>
      <c r="C122"/>
      <c r="D122"/>
    </row>
    <row r="123" spans="1:8" ht="15" thickBot="1" x14ac:dyDescent="0.4"/>
    <row r="124" spans="1:8" ht="18.75" customHeight="1" x14ac:dyDescent="0.45">
      <c r="A124" s="230" t="s">
        <v>304</v>
      </c>
      <c r="B124" s="171"/>
      <c r="C124" s="171"/>
      <c r="D124" s="171"/>
      <c r="E124" s="171"/>
      <c r="F124" s="171"/>
      <c r="G124" s="171"/>
      <c r="H124" s="257"/>
    </row>
    <row r="149" spans="1:8" ht="15" thickBot="1" x14ac:dyDescent="0.4"/>
    <row r="150" spans="1:8" ht="18.75" customHeight="1" thickBot="1" x14ac:dyDescent="0.5">
      <c r="A150" s="251" t="s">
        <v>305</v>
      </c>
      <c r="B150" s="252"/>
      <c r="C150" s="252"/>
      <c r="D150" s="252"/>
      <c r="E150" s="252"/>
      <c r="F150" s="252"/>
      <c r="G150" s="252"/>
      <c r="H150" s="253"/>
    </row>
    <row r="174" spans="1:4" ht="15" thickBot="1" x14ac:dyDescent="0.4"/>
    <row r="175" spans="1:4" ht="18.5" x14ac:dyDescent="0.45">
      <c r="A175" s="513" t="s">
        <v>31</v>
      </c>
      <c r="B175" s="514"/>
      <c r="C175" s="514"/>
      <c r="D175" s="515"/>
    </row>
    <row r="176" spans="1:4" x14ac:dyDescent="0.35">
      <c r="A176"/>
      <c r="D176"/>
    </row>
    <row r="177" spans="1:4" x14ac:dyDescent="0.35">
      <c r="A177"/>
      <c r="D177"/>
    </row>
    <row r="178" spans="1:4" x14ac:dyDescent="0.35">
      <c r="A178"/>
      <c r="D178"/>
    </row>
    <row r="179" spans="1:4" x14ac:dyDescent="0.35">
      <c r="A179"/>
      <c r="D179"/>
    </row>
    <row r="180" spans="1:4" x14ac:dyDescent="0.35">
      <c r="A180"/>
      <c r="D180"/>
    </row>
    <row r="181" spans="1:4" x14ac:dyDescent="0.35">
      <c r="A181"/>
      <c r="D181"/>
    </row>
    <row r="182" spans="1:4" x14ac:dyDescent="0.35">
      <c r="A182"/>
      <c r="D182"/>
    </row>
    <row r="183" spans="1:4" x14ac:dyDescent="0.35">
      <c r="A183"/>
      <c r="D183"/>
    </row>
    <row r="184" spans="1:4" x14ac:dyDescent="0.35">
      <c r="A184"/>
      <c r="D184"/>
    </row>
    <row r="185" spans="1:4" x14ac:dyDescent="0.35">
      <c r="A185"/>
      <c r="D185"/>
    </row>
    <row r="186" spans="1:4" x14ac:dyDescent="0.35">
      <c r="A186"/>
      <c r="D186"/>
    </row>
    <row r="187" spans="1:4" x14ac:dyDescent="0.35">
      <c r="A187"/>
      <c r="D187"/>
    </row>
    <row r="188" spans="1:4" x14ac:dyDescent="0.35">
      <c r="A188"/>
      <c r="D188"/>
    </row>
    <row r="189" spans="1:4" x14ac:dyDescent="0.35">
      <c r="A189"/>
      <c r="D189"/>
    </row>
    <row r="190" spans="1:4" ht="15" thickBot="1" x14ac:dyDescent="0.4">
      <c r="A190"/>
      <c r="B190"/>
      <c r="C190"/>
      <c r="D190"/>
    </row>
    <row r="191" spans="1:4" ht="15" thickBot="1" x14ac:dyDescent="0.4"/>
    <row r="192" spans="1:4" ht="19" customHeight="1" thickBot="1" x14ac:dyDescent="0.4">
      <c r="A192" s="516" t="s">
        <v>306</v>
      </c>
      <c r="B192" s="517"/>
      <c r="C192" s="518"/>
    </row>
    <row r="193" spans="1:4" ht="29.5" thickBot="1" x14ac:dyDescent="0.4">
      <c r="A193" s="65"/>
      <c r="B193" s="145" t="s">
        <v>307</v>
      </c>
      <c r="C193" s="157" t="s">
        <v>308</v>
      </c>
    </row>
    <row r="194" spans="1:4" x14ac:dyDescent="0.35">
      <c r="A194" s="81" t="s">
        <v>286</v>
      </c>
      <c r="B194" s="146">
        <f>HLOOKUP(Summary!B1,Data!$O$21:$AN$35,2)</f>
        <v>1.7692307692307692</v>
      </c>
      <c r="C194" s="146">
        <v>1.77</v>
      </c>
    </row>
    <row r="195" spans="1:4" x14ac:dyDescent="0.35">
      <c r="A195" s="83" t="s">
        <v>288</v>
      </c>
      <c r="B195" s="147">
        <f>HLOOKUP(Summary!B1,Data!$O$21:$AN$35,3)</f>
        <v>0.15384615384615385</v>
      </c>
      <c r="C195" s="147">
        <v>0.08</v>
      </c>
    </row>
    <row r="196" spans="1:4" x14ac:dyDescent="0.35">
      <c r="A196" s="83" t="s">
        <v>4</v>
      </c>
      <c r="B196" s="147">
        <f>HLOOKUP(Summary!B1,Data!$O$21:$AN$35,4)</f>
        <v>1.6923076923076923</v>
      </c>
      <c r="C196" s="147">
        <v>4.2300000000000004</v>
      </c>
    </row>
    <row r="197" spans="1:4" x14ac:dyDescent="0.35">
      <c r="A197" s="83" t="s">
        <v>5</v>
      </c>
      <c r="B197" s="147">
        <f>HLOOKUP(Summary!B1,Data!$O$21:$AN$35,5)</f>
        <v>3.6153846153846154</v>
      </c>
      <c r="C197" s="147">
        <v>5.96</v>
      </c>
    </row>
    <row r="198" spans="1:4" ht="15" thickBot="1" x14ac:dyDescent="0.4">
      <c r="A198" s="82" t="s">
        <v>6</v>
      </c>
      <c r="B198" s="147">
        <f>HLOOKUP(Summary!B1,Data!$O$21:$AN$35,7)</f>
        <v>7.6923076923076927E-2</v>
      </c>
      <c r="C198" s="258">
        <v>0.54</v>
      </c>
    </row>
    <row r="199" spans="1:4" ht="15" thickBot="1" x14ac:dyDescent="0.4">
      <c r="A199" s="70" t="s">
        <v>14</v>
      </c>
      <c r="B199" s="259">
        <f>HLOOKUP(Summary!B1,Data!$I$21:$AN$35,9)</f>
        <v>7.3076923076923075</v>
      </c>
      <c r="C199" s="260">
        <f>SUM(C194:C198)</f>
        <v>12.579999999999998</v>
      </c>
    </row>
    <row r="200" spans="1:4" x14ac:dyDescent="0.35">
      <c r="A200" s="81" t="s">
        <v>8</v>
      </c>
      <c r="B200" s="148">
        <f>HLOOKUP(Summary!B1,Data!$O$21:$AN$35,10)</f>
        <v>10.076923076923077</v>
      </c>
      <c r="C200" s="148">
        <v>6.38</v>
      </c>
    </row>
    <row r="201" spans="1:4" x14ac:dyDescent="0.35">
      <c r="A201" s="83" t="s">
        <v>293</v>
      </c>
      <c r="B201" s="147">
        <f>HLOOKUP(Summary!B1,Data!$O$21:$AN$35,11)</f>
        <v>6.3076923076923075</v>
      </c>
      <c r="C201" s="147">
        <v>5.46</v>
      </c>
    </row>
    <row r="202" spans="1:4" x14ac:dyDescent="0.35">
      <c r="A202" s="83" t="s">
        <v>294</v>
      </c>
      <c r="B202" s="147">
        <f>HLOOKUP(Summary!B1,Data!$B$21:$AN$35,12)</f>
        <v>0.61538461538461542</v>
      </c>
      <c r="C202" s="147">
        <v>1.23</v>
      </c>
    </row>
    <row r="203" spans="1:4" ht="15" thickBot="1" x14ac:dyDescent="0.4"/>
    <row r="204" spans="1:4" ht="18.5" x14ac:dyDescent="0.45">
      <c r="A204" s="513" t="s">
        <v>309</v>
      </c>
      <c r="B204" s="514"/>
      <c r="C204" s="514"/>
      <c r="D204" s="515"/>
    </row>
    <row r="205" spans="1:4" x14ac:dyDescent="0.35">
      <c r="A205"/>
      <c r="D205"/>
    </row>
    <row r="206" spans="1:4" x14ac:dyDescent="0.35">
      <c r="A206"/>
      <c r="D206"/>
    </row>
    <row r="207" spans="1:4" x14ac:dyDescent="0.35">
      <c r="A207"/>
      <c r="D207"/>
    </row>
    <row r="208" spans="1:4" x14ac:dyDescent="0.35">
      <c r="A208"/>
      <c r="D208"/>
    </row>
    <row r="209" spans="1:4" x14ac:dyDescent="0.35">
      <c r="A209"/>
      <c r="D209"/>
    </row>
    <row r="210" spans="1:4" x14ac:dyDescent="0.35">
      <c r="A210"/>
      <c r="D210"/>
    </row>
    <row r="211" spans="1:4" x14ac:dyDescent="0.35">
      <c r="A211"/>
      <c r="D211"/>
    </row>
    <row r="212" spans="1:4" x14ac:dyDescent="0.35">
      <c r="A212"/>
      <c r="D212"/>
    </row>
    <row r="213" spans="1:4" x14ac:dyDescent="0.35">
      <c r="A213"/>
      <c r="D213"/>
    </row>
    <row r="214" spans="1:4" x14ac:dyDescent="0.35">
      <c r="A214"/>
      <c r="D214"/>
    </row>
    <row r="215" spans="1:4" x14ac:dyDescent="0.35">
      <c r="A215"/>
      <c r="D215"/>
    </row>
    <row r="216" spans="1:4" x14ac:dyDescent="0.35">
      <c r="A216"/>
      <c r="D216"/>
    </row>
    <row r="217" spans="1:4" x14ac:dyDescent="0.35">
      <c r="A217"/>
      <c r="D217"/>
    </row>
    <row r="218" spans="1:4" x14ac:dyDescent="0.35">
      <c r="A218"/>
      <c r="D218"/>
    </row>
    <row r="219" spans="1:4" x14ac:dyDescent="0.35">
      <c r="A219"/>
      <c r="D219"/>
    </row>
    <row r="220" spans="1:4" ht="15" thickBot="1" x14ac:dyDescent="0.4">
      <c r="A220"/>
      <c r="B220"/>
      <c r="C220"/>
      <c r="D220"/>
    </row>
    <row r="223" spans="1:4" ht="15" thickBot="1" x14ac:dyDescent="0.4"/>
    <row r="224" spans="1:4" ht="18.5" x14ac:dyDescent="0.45">
      <c r="A224" s="513" t="s">
        <v>310</v>
      </c>
      <c r="B224" s="514"/>
      <c r="C224" s="514"/>
      <c r="D224" s="515"/>
    </row>
    <row r="243" spans="1:4" ht="15" thickBot="1" x14ac:dyDescent="0.4"/>
    <row r="244" spans="1:4" ht="18.5" x14ac:dyDescent="0.45">
      <c r="A244" s="513" t="s">
        <v>86</v>
      </c>
      <c r="B244" s="514"/>
      <c r="C244" s="514"/>
      <c r="D244" s="515"/>
    </row>
  </sheetData>
  <mergeCells count="79">
    <mergeCell ref="A224:D224"/>
    <mergeCell ref="A244:D244"/>
    <mergeCell ref="A204:D204"/>
    <mergeCell ref="A192:C192"/>
    <mergeCell ref="Y23:Z23"/>
    <mergeCell ref="Y24:Z24"/>
    <mergeCell ref="A175:D175"/>
    <mergeCell ref="A30:C30"/>
    <mergeCell ref="A106:D106"/>
    <mergeCell ref="A20:G20"/>
    <mergeCell ref="A33:C33"/>
    <mergeCell ref="W15:X15"/>
    <mergeCell ref="W16:X16"/>
    <mergeCell ref="W17:X17"/>
    <mergeCell ref="W18:X18"/>
    <mergeCell ref="W24:X24"/>
    <mergeCell ref="W19:X19"/>
    <mergeCell ref="Y17:Z17"/>
    <mergeCell ref="U23:V23"/>
    <mergeCell ref="U20:V20"/>
    <mergeCell ref="U21:V21"/>
    <mergeCell ref="U22:V22"/>
    <mergeCell ref="U17:V17"/>
    <mergeCell ref="Y18:Z18"/>
    <mergeCell ref="Y19:Z19"/>
    <mergeCell ref="Y20:Z20"/>
    <mergeCell ref="Y21:Z21"/>
    <mergeCell ref="Y22:Z22"/>
    <mergeCell ref="U18:V18"/>
    <mergeCell ref="W14:X14"/>
    <mergeCell ref="U14:V14"/>
    <mergeCell ref="Y14:Z14"/>
    <mergeCell ref="U24:V24"/>
    <mergeCell ref="S19:T19"/>
    <mergeCell ref="S20:T20"/>
    <mergeCell ref="S21:T21"/>
    <mergeCell ref="S22:T22"/>
    <mergeCell ref="S23:T23"/>
    <mergeCell ref="U19:V19"/>
    <mergeCell ref="W20:X20"/>
    <mergeCell ref="W21:X21"/>
    <mergeCell ref="W22:X22"/>
    <mergeCell ref="W23:X23"/>
    <mergeCell ref="Y15:Z15"/>
    <mergeCell ref="Y16:Z16"/>
    <mergeCell ref="A4:G4"/>
    <mergeCell ref="M4:Z4"/>
    <mergeCell ref="AB4:AO4"/>
    <mergeCell ref="A29:C29"/>
    <mergeCell ref="M34:Y34"/>
    <mergeCell ref="M19:R19"/>
    <mergeCell ref="M17:R17"/>
    <mergeCell ref="S18:T18"/>
    <mergeCell ref="S13:T13"/>
    <mergeCell ref="U13:V13"/>
    <mergeCell ref="S15:T15"/>
    <mergeCell ref="S16:T16"/>
    <mergeCell ref="M26:Z27"/>
    <mergeCell ref="U15:V15"/>
    <mergeCell ref="U16:V16"/>
    <mergeCell ref="C5:C6"/>
    <mergeCell ref="D5:D6"/>
    <mergeCell ref="E5:E6"/>
    <mergeCell ref="M12:Z12"/>
    <mergeCell ref="M13:R13"/>
    <mergeCell ref="W13:X13"/>
    <mergeCell ref="Y13:Z13"/>
    <mergeCell ref="S14:T14"/>
    <mergeCell ref="M24:R24"/>
    <mergeCell ref="M20:R20"/>
    <mergeCell ref="M21:R21"/>
    <mergeCell ref="M22:R22"/>
    <mergeCell ref="M23:R23"/>
    <mergeCell ref="M14:R14"/>
    <mergeCell ref="M15:R15"/>
    <mergeCell ref="M16:R16"/>
    <mergeCell ref="M18:R18"/>
    <mergeCell ref="S24:T24"/>
    <mergeCell ref="S17:T17"/>
  </mergeCells>
  <conditionalFormatting sqref="B7:B19">
    <cfRule type="cellIs" dxfId="21" priority="7" operator="lessThanOrEqual">
      <formula>C7</formula>
    </cfRule>
    <cfRule type="cellIs" dxfId="20" priority="8" operator="greaterThan">
      <formula>C7</formula>
    </cfRule>
  </conditionalFormatting>
  <conditionalFormatting sqref="B13:B19">
    <cfRule type="cellIs" dxfId="19" priority="3" operator="lessThanOrEqual">
      <formula>C13</formula>
    </cfRule>
    <cfRule type="cellIs" dxfId="18" priority="4" operator="greaterThan">
      <formula>C13</formula>
    </cfRule>
  </conditionalFormatting>
  <conditionalFormatting sqref="B194:B202">
    <cfRule type="cellIs" dxfId="17" priority="1" operator="lessThanOrEqual">
      <formula>C194</formula>
    </cfRule>
    <cfRule type="cellIs" dxfId="16" priority="2" operator="greaterThan">
      <formula>C194</formula>
    </cfRule>
  </conditionalFormatting>
  <conditionalFormatting sqref="D7:D19">
    <cfRule type="cellIs" dxfId="15" priority="5" operator="lessThanOrEqual">
      <formula>E7</formula>
    </cfRule>
    <cfRule type="cellIs" dxfId="14" priority="6" operator="greaterThan">
      <formula>E7</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W1045331"/>
  <sheetViews>
    <sheetView tabSelected="1" topLeftCell="A3" zoomScale="95" zoomScaleNormal="95" workbookViewId="0">
      <pane ySplit="1" topLeftCell="A409" activePane="bottomLeft" state="frozen"/>
      <selection activeCell="A3" sqref="A3"/>
      <selection pane="bottomLeft" activeCell="A409" sqref="A409"/>
    </sheetView>
  </sheetViews>
  <sheetFormatPr defaultColWidth="9.1796875" defaultRowHeight="14.5" x14ac:dyDescent="0.35"/>
  <cols>
    <col min="1" max="1" width="11.1796875" style="102" customWidth="1"/>
    <col min="2" max="2" width="29.54296875" style="14" customWidth="1"/>
    <col min="3" max="3" width="23" style="14" customWidth="1"/>
    <col min="4" max="4" width="17" style="79" customWidth="1"/>
    <col min="5" max="5" width="19.7265625" style="14" customWidth="1"/>
    <col min="6" max="6" width="20.7265625" style="14" customWidth="1"/>
    <col min="7" max="7" width="18" style="14" customWidth="1"/>
    <col min="8" max="8" width="22.81640625" style="14" customWidth="1"/>
    <col min="9" max="9" width="83.26953125" style="14" customWidth="1"/>
    <col min="10" max="10" width="14.81640625" style="14" customWidth="1"/>
    <col min="11" max="11" width="21" style="14" customWidth="1"/>
    <col min="12" max="12" width="11.54296875" style="14" customWidth="1"/>
    <col min="13" max="13" width="14.81640625" style="79" customWidth="1"/>
    <col min="14" max="14" width="13.26953125" style="14" customWidth="1"/>
    <col min="15" max="15" width="13" style="79" customWidth="1"/>
    <col min="16" max="16" width="14.1796875" style="14" customWidth="1"/>
    <col min="17" max="17" width="73.453125" style="14" customWidth="1"/>
    <col min="18" max="18" width="18.26953125" style="14" customWidth="1"/>
    <col min="19" max="19" width="9.1796875" style="14" customWidth="1"/>
    <col min="20" max="21" width="11" style="112" customWidth="1"/>
    <col min="22" max="23" width="9.1796875" style="112" customWidth="1"/>
    <col min="24" max="16384" width="9.1796875" style="112"/>
  </cols>
  <sheetData>
    <row r="1" spans="1:22" hidden="1" x14ac:dyDescent="0.35"/>
    <row r="2" spans="1:22" hidden="1" x14ac:dyDescent="0.35">
      <c r="A2" s="215">
        <f ca="1">'Accident &amp; Incident Detail'!A1</f>
        <v>46057</v>
      </c>
    </row>
    <row r="3" spans="1:22" s="218" customFormat="1" ht="82.9" customHeight="1" x14ac:dyDescent="0.35">
      <c r="A3" s="218" t="s">
        <v>112</v>
      </c>
      <c r="B3" s="218" t="s">
        <v>207</v>
      </c>
      <c r="C3" s="218" t="s">
        <v>311</v>
      </c>
      <c r="D3" s="219" t="s">
        <v>312</v>
      </c>
      <c r="E3" s="218" t="s">
        <v>313</v>
      </c>
      <c r="F3" s="218" t="s">
        <v>314</v>
      </c>
      <c r="G3" s="218" t="s">
        <v>315</v>
      </c>
      <c r="H3" s="218" t="s">
        <v>316</v>
      </c>
      <c r="I3" s="218" t="s">
        <v>317</v>
      </c>
      <c r="J3" s="218" t="s">
        <v>318</v>
      </c>
      <c r="K3" s="218" t="s">
        <v>208</v>
      </c>
      <c r="L3" s="218" t="s">
        <v>319</v>
      </c>
      <c r="M3" s="219" t="s">
        <v>320</v>
      </c>
      <c r="O3" s="219" t="s">
        <v>321</v>
      </c>
      <c r="P3" s="218" t="s">
        <v>322</v>
      </c>
      <c r="Q3" s="218" t="s">
        <v>131</v>
      </c>
      <c r="R3" s="218" t="s">
        <v>323</v>
      </c>
      <c r="S3" s="218" t="s">
        <v>324</v>
      </c>
      <c r="T3" s="218" t="s">
        <v>301</v>
      </c>
      <c r="U3" s="218" t="s">
        <v>103</v>
      </c>
      <c r="V3" s="218" t="s">
        <v>105</v>
      </c>
    </row>
    <row r="4" spans="1:22" ht="29" x14ac:dyDescent="0.35">
      <c r="A4" s="102" t="str">
        <f t="shared" ref="A4:A30" si="0">IF(O4&gt;1,"Closed",IF(N4=1,"Overdue",IF(N4=3,"","Open")))</f>
        <v>Closed</v>
      </c>
      <c r="B4" s="14" t="s">
        <v>91</v>
      </c>
      <c r="C4" s="14" t="s">
        <v>325</v>
      </c>
      <c r="D4" s="79">
        <v>45292</v>
      </c>
      <c r="E4" s="14">
        <v>2402</v>
      </c>
      <c r="G4" s="14" t="e">
        <f>VLOOKUP(F4,'Accident &amp; Incident Detail'!$D$3:$E$165,2,FALSE)</f>
        <v>#N/A</v>
      </c>
      <c r="H4" s="14" t="s">
        <v>326</v>
      </c>
      <c r="I4" s="14" t="s">
        <v>327</v>
      </c>
      <c r="J4" s="14" t="s">
        <v>328</v>
      </c>
      <c r="K4" s="14" t="s">
        <v>214</v>
      </c>
      <c r="L4" s="14" t="s">
        <v>236</v>
      </c>
      <c r="M4" s="79">
        <f t="shared" ref="M4:M10" si="1">IF(D4="","",D4+28)</f>
        <v>45320</v>
      </c>
      <c r="N4" s="14">
        <f t="shared" ref="N4:N22" ca="1" si="2">IF(D4="",3,IF(M4&lt;$A$2,1,0))</f>
        <v>1</v>
      </c>
      <c r="O4" s="79">
        <v>45637</v>
      </c>
      <c r="Q4" s="14" t="s">
        <v>329</v>
      </c>
      <c r="T4" s="14"/>
      <c r="U4" s="14"/>
      <c r="V4" s="14"/>
    </row>
    <row r="5" spans="1:22" ht="29" x14ac:dyDescent="0.35">
      <c r="A5" s="102" t="str">
        <f t="shared" si="0"/>
        <v>Closed</v>
      </c>
      <c r="B5" s="14" t="s">
        <v>95</v>
      </c>
      <c r="C5" s="14" t="s">
        <v>135</v>
      </c>
      <c r="D5" s="79">
        <v>45300</v>
      </c>
      <c r="E5" s="14">
        <v>2310</v>
      </c>
      <c r="F5" s="14" t="s">
        <v>330</v>
      </c>
      <c r="G5" s="14" t="str">
        <f>VLOOKUP(F5,'Accident &amp; Incident Detail'!$D$3:$E$165,2,FALSE)</f>
        <v>Near Miss</v>
      </c>
      <c r="H5" s="14" t="s">
        <v>331</v>
      </c>
      <c r="I5" s="14" t="s">
        <v>332</v>
      </c>
      <c r="J5" s="14" t="s">
        <v>234</v>
      </c>
      <c r="K5" s="14" t="s">
        <v>265</v>
      </c>
      <c r="L5" s="14" t="s">
        <v>234</v>
      </c>
      <c r="M5" s="79">
        <f t="shared" si="1"/>
        <v>45328</v>
      </c>
      <c r="N5" s="14">
        <f t="shared" ca="1" si="2"/>
        <v>1</v>
      </c>
      <c r="O5" s="79">
        <v>45350</v>
      </c>
      <c r="T5" s="14"/>
      <c r="U5" s="14"/>
      <c r="V5" s="14"/>
    </row>
    <row r="6" spans="1:22" ht="72.5" x14ac:dyDescent="0.35">
      <c r="A6" s="102" t="str">
        <f t="shared" si="0"/>
        <v>Closed</v>
      </c>
      <c r="B6" s="14" t="s">
        <v>91</v>
      </c>
      <c r="C6" s="14" t="s">
        <v>325</v>
      </c>
      <c r="D6" s="79">
        <v>45304</v>
      </c>
      <c r="E6" s="14">
        <v>2310</v>
      </c>
      <c r="G6" s="14" t="e">
        <f>VLOOKUP(F6,'Accident &amp; Incident Detail'!$D$3:$E$165,2,FALSE)</f>
        <v>#N/A</v>
      </c>
      <c r="H6" s="14" t="s">
        <v>333</v>
      </c>
      <c r="I6" s="14" t="s">
        <v>334</v>
      </c>
      <c r="J6" s="14" t="s">
        <v>241</v>
      </c>
      <c r="K6" s="14" t="s">
        <v>239</v>
      </c>
      <c r="L6" s="14" t="s">
        <v>241</v>
      </c>
      <c r="M6" s="79">
        <f t="shared" si="1"/>
        <v>45332</v>
      </c>
      <c r="N6" s="14">
        <f t="shared" ca="1" si="2"/>
        <v>1</v>
      </c>
      <c r="O6" s="79">
        <v>45304</v>
      </c>
      <c r="Q6" s="14" t="s">
        <v>335</v>
      </c>
      <c r="T6" s="14"/>
      <c r="U6" s="14"/>
      <c r="V6" s="14"/>
    </row>
    <row r="7" spans="1:22" ht="29" x14ac:dyDescent="0.35">
      <c r="A7" s="102" t="str">
        <f t="shared" si="0"/>
        <v>Closed</v>
      </c>
      <c r="B7" s="14" t="s">
        <v>95</v>
      </c>
      <c r="C7" s="14" t="s">
        <v>336</v>
      </c>
      <c r="D7" s="79">
        <v>45305</v>
      </c>
      <c r="E7" s="14">
        <v>2310</v>
      </c>
      <c r="F7" s="14" t="s">
        <v>337</v>
      </c>
      <c r="G7" s="14" t="e">
        <f>VLOOKUP(F7,'Accident &amp; Incident Detail'!$D$3:$E$165,2,FALSE)</f>
        <v>#N/A</v>
      </c>
      <c r="H7" s="14" t="s">
        <v>338</v>
      </c>
      <c r="I7" s="14" t="s">
        <v>339</v>
      </c>
      <c r="J7" s="14" t="s">
        <v>234</v>
      </c>
      <c r="K7" s="14" t="s">
        <v>255</v>
      </c>
      <c r="L7" s="14" t="s">
        <v>234</v>
      </c>
      <c r="M7" s="79">
        <f t="shared" si="1"/>
        <v>45333</v>
      </c>
      <c r="N7" s="14">
        <f t="shared" ca="1" si="2"/>
        <v>1</v>
      </c>
      <c r="O7" s="79">
        <v>45336</v>
      </c>
      <c r="T7" s="14"/>
      <c r="U7" s="14"/>
      <c r="V7" s="14"/>
    </row>
    <row r="8" spans="1:22" ht="43.5" x14ac:dyDescent="0.35">
      <c r="A8" s="102" t="str">
        <f t="shared" si="0"/>
        <v>Closed</v>
      </c>
      <c r="B8" s="14" t="s">
        <v>93</v>
      </c>
      <c r="D8" s="79">
        <v>45308</v>
      </c>
      <c r="E8" s="14">
        <v>2310</v>
      </c>
      <c r="G8" s="14" t="e">
        <f>VLOOKUP(F8,'Accident &amp; Incident Detail'!$D$3:$E$165,2,FALSE)</f>
        <v>#N/A</v>
      </c>
      <c r="H8" s="14" t="s">
        <v>340</v>
      </c>
      <c r="I8" s="14" t="s">
        <v>341</v>
      </c>
      <c r="J8" s="14" t="s">
        <v>328</v>
      </c>
      <c r="K8" s="14" t="s">
        <v>250</v>
      </c>
      <c r="L8" s="14" t="s">
        <v>236</v>
      </c>
      <c r="M8" s="79">
        <f t="shared" si="1"/>
        <v>45336</v>
      </c>
      <c r="N8" s="14">
        <f t="shared" ca="1" si="2"/>
        <v>1</v>
      </c>
      <c r="O8" s="79">
        <v>45902</v>
      </c>
      <c r="Q8" s="14" t="s">
        <v>342</v>
      </c>
      <c r="T8" s="14"/>
      <c r="U8" s="14"/>
      <c r="V8" s="14"/>
    </row>
    <row r="9" spans="1:22" x14ac:dyDescent="0.35">
      <c r="A9" s="102" t="str">
        <f t="shared" si="0"/>
        <v>Closed</v>
      </c>
      <c r="B9" s="14" t="s">
        <v>93</v>
      </c>
      <c r="D9" s="79">
        <v>45308</v>
      </c>
      <c r="E9" s="14">
        <v>2310</v>
      </c>
      <c r="G9" s="14" t="e">
        <f>VLOOKUP(F9,'Accident &amp; Incident Detail'!$D$3:$E$165,2,FALSE)</f>
        <v>#N/A</v>
      </c>
      <c r="H9" s="14" t="s">
        <v>343</v>
      </c>
      <c r="I9" s="14" t="s">
        <v>344</v>
      </c>
      <c r="J9" s="14" t="s">
        <v>345</v>
      </c>
      <c r="L9" s="14" t="s">
        <v>236</v>
      </c>
      <c r="M9" s="79">
        <f t="shared" si="1"/>
        <v>45336</v>
      </c>
      <c r="N9" s="14">
        <f t="shared" ca="1" si="2"/>
        <v>1</v>
      </c>
      <c r="O9" s="79">
        <v>45311</v>
      </c>
      <c r="Q9" s="14" t="s">
        <v>346</v>
      </c>
      <c r="T9" s="14"/>
      <c r="U9" s="14"/>
      <c r="V9" s="14"/>
    </row>
    <row r="10" spans="1:22" ht="29" x14ac:dyDescent="0.35">
      <c r="A10" s="102" t="str">
        <f t="shared" si="0"/>
        <v>Closed</v>
      </c>
      <c r="B10" s="14" t="s">
        <v>93</v>
      </c>
      <c r="D10" s="79">
        <v>45308</v>
      </c>
      <c r="E10" s="14">
        <v>2310</v>
      </c>
      <c r="G10" s="14" t="e">
        <f>VLOOKUP(F10,'Accident &amp; Incident Detail'!$D$3:$E$165,2,FALSE)</f>
        <v>#N/A</v>
      </c>
      <c r="H10" s="14" t="s">
        <v>347</v>
      </c>
      <c r="I10" s="14" t="s">
        <v>348</v>
      </c>
      <c r="J10" s="14" t="s">
        <v>345</v>
      </c>
      <c r="K10" s="14" t="s">
        <v>248</v>
      </c>
      <c r="L10" s="14" t="s">
        <v>236</v>
      </c>
      <c r="M10" s="79">
        <f t="shared" si="1"/>
        <v>45336</v>
      </c>
      <c r="N10" s="14">
        <f t="shared" ca="1" si="2"/>
        <v>1</v>
      </c>
      <c r="O10" s="79">
        <v>45902</v>
      </c>
      <c r="P10" s="14" t="s">
        <v>349</v>
      </c>
      <c r="Q10" s="14" t="s">
        <v>350</v>
      </c>
      <c r="T10" s="14"/>
      <c r="U10" s="14"/>
      <c r="V10" s="14"/>
    </row>
    <row r="11" spans="1:22" ht="72.5" x14ac:dyDescent="0.35">
      <c r="A11" s="102" t="str">
        <f t="shared" si="0"/>
        <v>Closed</v>
      </c>
      <c r="B11" s="14" t="s">
        <v>93</v>
      </c>
      <c r="D11" s="79">
        <v>45308</v>
      </c>
      <c r="E11" s="14">
        <v>2310</v>
      </c>
      <c r="G11" s="14" t="e">
        <f>VLOOKUP(F11,'Accident &amp; Incident Detail'!$D$3:$E$165,2,FALSE)</f>
        <v>#N/A</v>
      </c>
      <c r="H11" s="14" t="s">
        <v>351</v>
      </c>
      <c r="I11" s="14" t="s">
        <v>352</v>
      </c>
      <c r="J11" s="14" t="s">
        <v>241</v>
      </c>
      <c r="K11" s="14" t="s">
        <v>239</v>
      </c>
      <c r="L11" s="14" t="s">
        <v>241</v>
      </c>
      <c r="M11" s="79">
        <v>45687</v>
      </c>
      <c r="N11" s="14">
        <f t="shared" ca="1" si="2"/>
        <v>1</v>
      </c>
      <c r="O11" s="168">
        <v>45902</v>
      </c>
      <c r="P11" s="112"/>
      <c r="Q11" s="112" t="s">
        <v>353</v>
      </c>
      <c r="T11" s="14"/>
      <c r="U11" s="14"/>
      <c r="V11" s="14"/>
    </row>
    <row r="12" spans="1:22" ht="58" x14ac:dyDescent="0.35">
      <c r="A12" s="102" t="str">
        <f t="shared" si="0"/>
        <v>Closed</v>
      </c>
      <c r="B12" s="14" t="s">
        <v>93</v>
      </c>
      <c r="D12" s="79">
        <v>45308</v>
      </c>
      <c r="E12" s="14">
        <v>2310</v>
      </c>
      <c r="G12" s="14" t="e">
        <f>VLOOKUP(F12,'Accident &amp; Incident Detail'!$D$3:$E$165,2,FALSE)</f>
        <v>#N/A</v>
      </c>
      <c r="H12" s="14" t="s">
        <v>354</v>
      </c>
      <c r="I12" s="14" t="s">
        <v>355</v>
      </c>
      <c r="J12" s="14" t="s">
        <v>345</v>
      </c>
      <c r="K12" s="14" t="s">
        <v>239</v>
      </c>
      <c r="L12" s="14" t="s">
        <v>236</v>
      </c>
      <c r="M12" s="79">
        <v>45687</v>
      </c>
      <c r="N12" s="14">
        <f t="shared" ca="1" si="2"/>
        <v>1</v>
      </c>
      <c r="O12" s="79">
        <v>45902</v>
      </c>
      <c r="Q12" s="14" t="s">
        <v>356</v>
      </c>
      <c r="T12" s="14"/>
      <c r="U12" s="14"/>
      <c r="V12" s="14"/>
    </row>
    <row r="13" spans="1:22" ht="29" x14ac:dyDescent="0.35">
      <c r="A13" s="102" t="str">
        <f t="shared" si="0"/>
        <v>Closed</v>
      </c>
      <c r="B13" s="14" t="s">
        <v>93</v>
      </c>
      <c r="D13" s="79">
        <v>45308</v>
      </c>
      <c r="E13" s="14">
        <v>2310</v>
      </c>
      <c r="G13" s="14" t="e">
        <f>VLOOKUP(F13,'Accident &amp; Incident Detail'!$D$3:$E$165,2,FALSE)</f>
        <v>#N/A</v>
      </c>
      <c r="H13" s="14" t="s">
        <v>357</v>
      </c>
      <c r="I13" s="14" t="s">
        <v>358</v>
      </c>
      <c r="J13" s="14" t="s">
        <v>345</v>
      </c>
      <c r="K13" s="14" t="s">
        <v>248</v>
      </c>
      <c r="L13" s="14" t="s">
        <v>236</v>
      </c>
      <c r="M13" s="79">
        <f t="shared" ref="M13:M54" si="3">IF(D13="","",D13+28)</f>
        <v>45336</v>
      </c>
      <c r="N13" s="14">
        <f t="shared" ca="1" si="2"/>
        <v>1</v>
      </c>
      <c r="O13" s="79">
        <v>45381</v>
      </c>
      <c r="T13" s="14"/>
      <c r="U13" s="14"/>
      <c r="V13" s="14"/>
    </row>
    <row r="14" spans="1:22" ht="29" x14ac:dyDescent="0.35">
      <c r="A14" s="102" t="str">
        <f t="shared" si="0"/>
        <v>Closed</v>
      </c>
      <c r="B14" s="14" t="s">
        <v>111</v>
      </c>
      <c r="C14" s="14" t="s">
        <v>170</v>
      </c>
      <c r="D14" s="79">
        <v>45308</v>
      </c>
      <c r="E14" s="14">
        <v>2310</v>
      </c>
      <c r="G14" s="14" t="e">
        <f>VLOOKUP(F14,'Accident &amp; Incident Detail'!$D$3:$E$165,2,FALSE)</f>
        <v>#N/A</v>
      </c>
      <c r="H14" s="14" t="s">
        <v>359</v>
      </c>
      <c r="I14" s="14" t="s">
        <v>360</v>
      </c>
      <c r="J14" s="14" t="s">
        <v>241</v>
      </c>
      <c r="K14" s="14" t="s">
        <v>239</v>
      </c>
      <c r="L14" s="14" t="s">
        <v>241</v>
      </c>
      <c r="M14" s="79">
        <f t="shared" si="3"/>
        <v>45336</v>
      </c>
      <c r="N14" s="14">
        <f t="shared" ca="1" si="2"/>
        <v>1</v>
      </c>
      <c r="O14" s="79">
        <v>45308</v>
      </c>
      <c r="T14" s="14"/>
      <c r="U14" s="14"/>
      <c r="V14" s="14"/>
    </row>
    <row r="15" spans="1:22" ht="43.5" x14ac:dyDescent="0.35">
      <c r="A15" s="102" t="str">
        <f t="shared" si="0"/>
        <v>Closed</v>
      </c>
      <c r="B15" s="14" t="s">
        <v>91</v>
      </c>
      <c r="C15" s="14" t="s">
        <v>361</v>
      </c>
      <c r="D15" s="79">
        <v>45308</v>
      </c>
      <c r="E15" s="14">
        <v>2310</v>
      </c>
      <c r="G15" s="14" t="e">
        <f>VLOOKUP(F15,'Accident &amp; Incident Detail'!$D$3:$E$165,2,FALSE)</f>
        <v>#N/A</v>
      </c>
      <c r="H15" s="14" t="s">
        <v>362</v>
      </c>
      <c r="I15" s="14" t="s">
        <v>363</v>
      </c>
      <c r="J15" s="14" t="s">
        <v>345</v>
      </c>
      <c r="K15" s="14" t="s">
        <v>248</v>
      </c>
      <c r="L15" s="14" t="s">
        <v>236</v>
      </c>
      <c r="M15" s="79">
        <f t="shared" si="3"/>
        <v>45336</v>
      </c>
      <c r="N15" s="14">
        <f t="shared" ca="1" si="2"/>
        <v>1</v>
      </c>
      <c r="O15" s="79">
        <v>45308</v>
      </c>
      <c r="Q15" s="14" t="s">
        <v>364</v>
      </c>
      <c r="T15" s="14"/>
      <c r="U15" s="14"/>
      <c r="V15" s="14"/>
    </row>
    <row r="16" spans="1:22" ht="29" x14ac:dyDescent="0.35">
      <c r="A16" s="102" t="str">
        <f t="shared" si="0"/>
        <v>Closed</v>
      </c>
      <c r="B16" s="14" t="s">
        <v>91</v>
      </c>
      <c r="C16" s="14" t="s">
        <v>365</v>
      </c>
      <c r="D16" s="79">
        <v>45308</v>
      </c>
      <c r="E16" s="14">
        <v>2310</v>
      </c>
      <c r="G16" s="14" t="e">
        <f>VLOOKUP(F16,'Accident &amp; Incident Detail'!$D$3:$E$165,2,FALSE)</f>
        <v>#N/A</v>
      </c>
      <c r="H16" s="14" t="s">
        <v>366</v>
      </c>
      <c r="I16" s="14" t="s">
        <v>367</v>
      </c>
      <c r="J16" s="14" t="s">
        <v>241</v>
      </c>
      <c r="K16" s="14" t="s">
        <v>240</v>
      </c>
      <c r="L16" s="14" t="s">
        <v>241</v>
      </c>
      <c r="M16" s="79">
        <f t="shared" si="3"/>
        <v>45336</v>
      </c>
      <c r="N16" s="14">
        <f t="shared" ca="1" si="2"/>
        <v>1</v>
      </c>
      <c r="O16" s="79">
        <v>45336</v>
      </c>
      <c r="Q16" s="14" t="s">
        <v>368</v>
      </c>
      <c r="T16" s="14"/>
      <c r="U16" s="14"/>
      <c r="V16" s="14"/>
    </row>
    <row r="17" spans="1:22" ht="29" x14ac:dyDescent="0.35">
      <c r="A17" s="102" t="str">
        <f t="shared" si="0"/>
        <v>Closed</v>
      </c>
      <c r="B17" s="14" t="s">
        <v>93</v>
      </c>
      <c r="C17" s="14" t="s">
        <v>369</v>
      </c>
      <c r="D17" s="79">
        <v>45309</v>
      </c>
      <c r="E17" s="14">
        <v>2310</v>
      </c>
      <c r="G17" s="14" t="e">
        <f>VLOOKUP(F17,'Accident &amp; Incident Detail'!$D$3:$E$165,2,FALSE)</f>
        <v>#N/A</v>
      </c>
      <c r="H17" s="14" t="s">
        <v>370</v>
      </c>
      <c r="I17" s="14" t="s">
        <v>371</v>
      </c>
      <c r="J17" s="14" t="s">
        <v>372</v>
      </c>
      <c r="K17" s="14" t="s">
        <v>244</v>
      </c>
      <c r="L17" s="14" t="s">
        <v>236</v>
      </c>
      <c r="M17" s="79">
        <f t="shared" si="3"/>
        <v>45337</v>
      </c>
      <c r="N17" s="14">
        <f t="shared" ca="1" si="2"/>
        <v>1</v>
      </c>
      <c r="O17" s="79">
        <v>45536</v>
      </c>
      <c r="T17" s="14"/>
      <c r="U17" s="14"/>
      <c r="V17" s="14"/>
    </row>
    <row r="18" spans="1:22" ht="29" x14ac:dyDescent="0.35">
      <c r="A18" s="102" t="str">
        <f t="shared" si="0"/>
        <v>Closed</v>
      </c>
      <c r="B18" s="14" t="s">
        <v>93</v>
      </c>
      <c r="C18" s="14" t="s">
        <v>369</v>
      </c>
      <c r="D18" s="79">
        <v>45309</v>
      </c>
      <c r="E18" s="14">
        <v>2310</v>
      </c>
      <c r="G18" s="14" t="e">
        <f>VLOOKUP(F18,'Accident &amp; Incident Detail'!$D$3:$E$165,2,FALSE)</f>
        <v>#N/A</v>
      </c>
      <c r="H18" s="14" t="s">
        <v>373</v>
      </c>
      <c r="I18" s="14" t="s">
        <v>374</v>
      </c>
      <c r="J18" s="14" t="s">
        <v>372</v>
      </c>
      <c r="K18" s="14" t="s">
        <v>244</v>
      </c>
      <c r="L18" s="14" t="s">
        <v>236</v>
      </c>
      <c r="M18" s="79">
        <f t="shared" si="3"/>
        <v>45337</v>
      </c>
      <c r="N18" s="14">
        <f t="shared" ca="1" si="2"/>
        <v>1</v>
      </c>
      <c r="O18" s="79">
        <v>45320</v>
      </c>
      <c r="Q18" s="14" t="s">
        <v>375</v>
      </c>
      <c r="T18" s="14"/>
      <c r="U18" s="14"/>
      <c r="V18" s="14"/>
    </row>
    <row r="19" spans="1:22" ht="29" x14ac:dyDescent="0.35">
      <c r="A19" s="102" t="str">
        <f t="shared" si="0"/>
        <v>Closed</v>
      </c>
      <c r="B19" s="14" t="s">
        <v>93</v>
      </c>
      <c r="C19" s="14" t="s">
        <v>369</v>
      </c>
      <c r="D19" s="79">
        <v>45309</v>
      </c>
      <c r="E19" s="14">
        <v>2310</v>
      </c>
      <c r="G19" s="14" t="e">
        <f>VLOOKUP(F19,'Accident &amp; Incident Detail'!$D$3:$E$165,2,FALSE)</f>
        <v>#N/A</v>
      </c>
      <c r="H19" s="14" t="s">
        <v>376</v>
      </c>
      <c r="I19" s="14" t="s">
        <v>377</v>
      </c>
      <c r="J19" s="14" t="s">
        <v>345</v>
      </c>
      <c r="K19" s="14" t="s">
        <v>248</v>
      </c>
      <c r="L19" s="14" t="s">
        <v>236</v>
      </c>
      <c r="M19" s="79">
        <f t="shared" si="3"/>
        <v>45337</v>
      </c>
      <c r="N19" s="14">
        <f t="shared" ca="1" si="2"/>
        <v>1</v>
      </c>
      <c r="O19" s="79">
        <v>45311</v>
      </c>
      <c r="Q19" s="14" t="s">
        <v>375</v>
      </c>
      <c r="T19" s="14"/>
      <c r="U19" s="14"/>
      <c r="V19" s="14"/>
    </row>
    <row r="20" spans="1:22" ht="43.5" x14ac:dyDescent="0.35">
      <c r="A20" s="102" t="str">
        <f t="shared" si="0"/>
        <v>Closed</v>
      </c>
      <c r="B20" s="14" t="s">
        <v>91</v>
      </c>
      <c r="C20" s="14" t="s">
        <v>325</v>
      </c>
      <c r="D20" s="79">
        <v>45309</v>
      </c>
      <c r="E20" s="14">
        <v>2310</v>
      </c>
      <c r="G20" s="14" t="e">
        <f>VLOOKUP(F20,'Accident &amp; Incident Detail'!$D$3:$E$165,2,FALSE)</f>
        <v>#N/A</v>
      </c>
      <c r="H20" s="14" t="s">
        <v>378</v>
      </c>
      <c r="I20" s="14" t="s">
        <v>379</v>
      </c>
      <c r="J20" s="14" t="s">
        <v>241</v>
      </c>
      <c r="K20" s="14" t="s">
        <v>239</v>
      </c>
      <c r="L20" s="14" t="s">
        <v>241</v>
      </c>
      <c r="M20" s="79">
        <f t="shared" si="3"/>
        <v>45337</v>
      </c>
      <c r="N20" s="14">
        <f t="shared" ca="1" si="2"/>
        <v>1</v>
      </c>
      <c r="O20" s="79">
        <v>45309</v>
      </c>
      <c r="Q20" s="14" t="s">
        <v>335</v>
      </c>
      <c r="T20" s="14"/>
      <c r="U20" s="14"/>
      <c r="V20" s="14"/>
    </row>
    <row r="21" spans="1:22" ht="101.5" x14ac:dyDescent="0.35">
      <c r="A21" s="102" t="str">
        <f t="shared" si="0"/>
        <v>Closed</v>
      </c>
      <c r="B21" s="14" t="s">
        <v>91</v>
      </c>
      <c r="C21" s="14" t="s">
        <v>380</v>
      </c>
      <c r="D21" s="79">
        <v>45309</v>
      </c>
      <c r="E21" s="14">
        <v>2310</v>
      </c>
      <c r="G21" s="14" t="e">
        <f>VLOOKUP(F21,'Accident &amp; Incident Detail'!$D$3:$E$165,2,FALSE)</f>
        <v>#N/A</v>
      </c>
      <c r="H21" s="14" t="s">
        <v>381</v>
      </c>
      <c r="I21" s="14" t="s">
        <v>382</v>
      </c>
      <c r="J21" s="14" t="s">
        <v>241</v>
      </c>
      <c r="K21" s="14" t="s">
        <v>239</v>
      </c>
      <c r="L21" s="14" t="s">
        <v>241</v>
      </c>
      <c r="M21" s="79">
        <f t="shared" si="3"/>
        <v>45337</v>
      </c>
      <c r="N21" s="14">
        <f t="shared" ca="1" si="2"/>
        <v>1</v>
      </c>
      <c r="O21" s="79">
        <v>44952</v>
      </c>
      <c r="Q21" s="14" t="s">
        <v>383</v>
      </c>
      <c r="T21" s="14"/>
      <c r="U21" s="14"/>
      <c r="V21" s="14"/>
    </row>
    <row r="22" spans="1:22" ht="29" x14ac:dyDescent="0.35">
      <c r="A22" s="102" t="str">
        <f t="shared" si="0"/>
        <v>Closed</v>
      </c>
      <c r="B22" s="14" t="s">
        <v>91</v>
      </c>
      <c r="C22" s="14" t="s">
        <v>361</v>
      </c>
      <c r="D22" s="79">
        <v>45309</v>
      </c>
      <c r="E22" s="14">
        <v>2310</v>
      </c>
      <c r="G22" s="14" t="e">
        <f>VLOOKUP(F22,'Accident &amp; Incident Detail'!$D$3:$E$165,2,FALSE)</f>
        <v>#N/A</v>
      </c>
      <c r="H22" s="14" t="s">
        <v>384</v>
      </c>
      <c r="I22" s="14" t="s">
        <v>385</v>
      </c>
      <c r="J22" s="14" t="s">
        <v>241</v>
      </c>
      <c r="K22" s="14" t="s">
        <v>239</v>
      </c>
      <c r="L22" s="14" t="s">
        <v>241</v>
      </c>
      <c r="M22" s="79">
        <f t="shared" si="3"/>
        <v>45337</v>
      </c>
      <c r="N22" s="14">
        <f t="shared" ca="1" si="2"/>
        <v>1</v>
      </c>
      <c r="O22" s="79">
        <v>45331</v>
      </c>
      <c r="Q22" s="14" t="s">
        <v>386</v>
      </c>
      <c r="T22" s="14"/>
      <c r="U22" s="14"/>
      <c r="V22" s="14"/>
    </row>
    <row r="23" spans="1:22" ht="87" x14ac:dyDescent="0.35">
      <c r="A23" s="102" t="str">
        <f t="shared" si="0"/>
        <v>Closed</v>
      </c>
      <c r="B23" s="14" t="s">
        <v>91</v>
      </c>
      <c r="C23" s="14" t="s">
        <v>325</v>
      </c>
      <c r="D23" s="79">
        <v>45310</v>
      </c>
      <c r="E23" s="14">
        <v>2310</v>
      </c>
      <c r="G23" s="14" t="e">
        <f>VLOOKUP(F23,'Accident &amp; Incident Detail'!$D$3:$E$165,2,FALSE)</f>
        <v>#N/A</v>
      </c>
      <c r="H23" s="14" t="s">
        <v>387</v>
      </c>
      <c r="I23" s="14" t="s">
        <v>388</v>
      </c>
      <c r="J23" s="14" t="s">
        <v>241</v>
      </c>
      <c r="K23" s="14" t="s">
        <v>239</v>
      </c>
      <c r="L23" s="14" t="s">
        <v>241</v>
      </c>
      <c r="M23" s="79">
        <f t="shared" si="3"/>
        <v>45338</v>
      </c>
      <c r="N23" s="14">
        <v>0</v>
      </c>
      <c r="O23" s="79">
        <v>45413</v>
      </c>
      <c r="Q23" s="14" t="s">
        <v>389</v>
      </c>
      <c r="T23" s="14"/>
      <c r="U23" s="14"/>
      <c r="V23" s="14"/>
    </row>
    <row r="24" spans="1:22" ht="58" x14ac:dyDescent="0.35">
      <c r="A24" s="102" t="str">
        <f t="shared" si="0"/>
        <v>Closed</v>
      </c>
      <c r="B24" s="14" t="s">
        <v>91</v>
      </c>
      <c r="C24" s="14" t="s">
        <v>390</v>
      </c>
      <c r="D24" s="79">
        <v>45313</v>
      </c>
      <c r="E24" s="14">
        <v>2310</v>
      </c>
      <c r="G24" s="14" t="e">
        <f>VLOOKUP(F24,'Accident &amp; Incident Detail'!$D$3:$E$165,2,FALSE)</f>
        <v>#N/A</v>
      </c>
      <c r="H24" s="14" t="s">
        <v>391</v>
      </c>
      <c r="I24" s="14" t="s">
        <v>392</v>
      </c>
      <c r="J24" s="14" t="s">
        <v>241</v>
      </c>
      <c r="K24" s="14" t="s">
        <v>239</v>
      </c>
      <c r="L24" s="14" t="s">
        <v>241</v>
      </c>
      <c r="M24" s="79">
        <f t="shared" si="3"/>
        <v>45341</v>
      </c>
      <c r="N24" s="14">
        <f t="shared" ref="N24:N55" ca="1" si="4">IF(D24="",3,IF(M24&lt;$A$2,1,0))</f>
        <v>1</v>
      </c>
      <c r="O24" s="79">
        <v>45353</v>
      </c>
      <c r="Q24" s="14" t="s">
        <v>393</v>
      </c>
      <c r="T24" s="14"/>
      <c r="U24" s="14"/>
      <c r="V24" s="14"/>
    </row>
    <row r="25" spans="1:22" ht="29" x14ac:dyDescent="0.35">
      <c r="A25" s="102" t="str">
        <f t="shared" si="0"/>
        <v>Closed</v>
      </c>
      <c r="B25" s="14" t="s">
        <v>95</v>
      </c>
      <c r="C25" s="14" t="s">
        <v>138</v>
      </c>
      <c r="D25" s="79">
        <v>45313</v>
      </c>
      <c r="E25" s="14">
        <v>2310</v>
      </c>
      <c r="F25" s="14" t="s">
        <v>394</v>
      </c>
      <c r="G25" s="14" t="str">
        <f>VLOOKUP(F25,'Accident &amp; Incident Detail'!$D$3:$E$165,2,FALSE)</f>
        <v>Verbal Abuse</v>
      </c>
      <c r="H25" s="14" t="s">
        <v>395</v>
      </c>
      <c r="I25" s="14" t="s">
        <v>396</v>
      </c>
      <c r="J25" s="14" t="s">
        <v>234</v>
      </c>
      <c r="K25" s="14" t="s">
        <v>210</v>
      </c>
      <c r="L25" s="14" t="s">
        <v>234</v>
      </c>
      <c r="M25" s="79">
        <f t="shared" si="3"/>
        <v>45341</v>
      </c>
      <c r="N25" s="14">
        <f t="shared" ca="1" si="4"/>
        <v>1</v>
      </c>
      <c r="O25" s="79">
        <v>45313</v>
      </c>
      <c r="Q25" s="14" t="s">
        <v>397</v>
      </c>
      <c r="T25" s="14"/>
      <c r="U25" s="14"/>
      <c r="V25" s="14"/>
    </row>
    <row r="26" spans="1:22" ht="29" x14ac:dyDescent="0.35">
      <c r="A26" s="102" t="str">
        <f t="shared" si="0"/>
        <v>Closed</v>
      </c>
      <c r="B26" s="14" t="s">
        <v>95</v>
      </c>
      <c r="C26" s="14" t="s">
        <v>160</v>
      </c>
      <c r="D26" s="79">
        <v>45313</v>
      </c>
      <c r="E26" s="14">
        <v>2310</v>
      </c>
      <c r="F26" s="14" t="s">
        <v>398</v>
      </c>
      <c r="G26" s="14" t="e">
        <f>VLOOKUP(F26,'Accident &amp; Incident Detail'!$D$3:$E$165,2,FALSE)</f>
        <v>#N/A</v>
      </c>
      <c r="H26" s="14" t="s">
        <v>399</v>
      </c>
      <c r="I26" s="14" t="s">
        <v>400</v>
      </c>
      <c r="J26" s="14" t="s">
        <v>401</v>
      </c>
      <c r="K26" s="14" t="s">
        <v>263</v>
      </c>
      <c r="L26" s="14" t="s">
        <v>234</v>
      </c>
      <c r="M26" s="79">
        <f t="shared" si="3"/>
        <v>45341</v>
      </c>
      <c r="N26" s="14">
        <f t="shared" ca="1" si="4"/>
        <v>1</v>
      </c>
      <c r="O26" s="79">
        <v>45321</v>
      </c>
      <c r="T26" s="14"/>
      <c r="U26" s="14"/>
      <c r="V26" s="14"/>
    </row>
    <row r="27" spans="1:22" ht="58" x14ac:dyDescent="0.35">
      <c r="A27" s="102" t="str">
        <f t="shared" si="0"/>
        <v>Closed</v>
      </c>
      <c r="B27" s="14" t="s">
        <v>95</v>
      </c>
      <c r="C27" s="14" t="s">
        <v>160</v>
      </c>
      <c r="D27" s="79">
        <v>45313</v>
      </c>
      <c r="E27" s="14">
        <v>2310</v>
      </c>
      <c r="F27" s="14" t="s">
        <v>398</v>
      </c>
      <c r="G27" s="14" t="e">
        <f>VLOOKUP(F27,'Accident &amp; Incident Detail'!$D$3:$E$165,2,FALSE)</f>
        <v>#N/A</v>
      </c>
      <c r="H27" s="14" t="s">
        <v>402</v>
      </c>
      <c r="I27" s="14" t="s">
        <v>403</v>
      </c>
      <c r="J27" s="14" t="s">
        <v>372</v>
      </c>
      <c r="K27" s="14" t="s">
        <v>263</v>
      </c>
      <c r="L27" s="14" t="s">
        <v>236</v>
      </c>
      <c r="M27" s="79">
        <f t="shared" si="3"/>
        <v>45341</v>
      </c>
      <c r="N27" s="14">
        <f t="shared" ca="1" si="4"/>
        <v>1</v>
      </c>
      <c r="O27" s="79">
        <v>45746</v>
      </c>
      <c r="Q27" s="14" t="s">
        <v>404</v>
      </c>
      <c r="T27" s="14"/>
      <c r="U27" s="14"/>
      <c r="V27" s="14"/>
    </row>
    <row r="28" spans="1:22" ht="43.5" x14ac:dyDescent="0.35">
      <c r="A28" s="102" t="str">
        <f t="shared" si="0"/>
        <v>Closed</v>
      </c>
      <c r="B28" s="14" t="s">
        <v>91</v>
      </c>
      <c r="C28" s="14" t="s">
        <v>405</v>
      </c>
      <c r="D28" s="79">
        <v>45314</v>
      </c>
      <c r="E28" s="14">
        <v>2310</v>
      </c>
      <c r="G28" s="14" t="e">
        <f>VLOOKUP(F28,'Accident &amp; Incident Detail'!$D$3:$E$165,2,FALSE)</f>
        <v>#N/A</v>
      </c>
      <c r="H28" s="14" t="s">
        <v>406</v>
      </c>
      <c r="I28" s="14" t="s">
        <v>407</v>
      </c>
      <c r="J28" s="14" t="s">
        <v>241</v>
      </c>
      <c r="K28" s="14" t="s">
        <v>239</v>
      </c>
      <c r="L28" s="14" t="s">
        <v>241</v>
      </c>
      <c r="M28" s="79">
        <f t="shared" si="3"/>
        <v>45342</v>
      </c>
      <c r="N28" s="14">
        <f t="shared" ca="1" si="4"/>
        <v>1</v>
      </c>
      <c r="O28" s="79">
        <v>45353</v>
      </c>
      <c r="Q28" s="14" t="s">
        <v>408</v>
      </c>
      <c r="T28" s="14"/>
      <c r="U28" s="14"/>
      <c r="V28" s="14"/>
    </row>
    <row r="29" spans="1:22" ht="43.5" x14ac:dyDescent="0.35">
      <c r="A29" s="102" t="str">
        <f t="shared" si="0"/>
        <v>Closed</v>
      </c>
      <c r="B29" s="14" t="s">
        <v>91</v>
      </c>
      <c r="C29" s="14" t="s">
        <v>409</v>
      </c>
      <c r="D29" s="79">
        <v>45314</v>
      </c>
      <c r="E29" s="14">
        <v>2310</v>
      </c>
      <c r="G29" s="14" t="e">
        <f>VLOOKUP(F29,'Accident &amp; Incident Detail'!$D$3:$E$165,2,FALSE)</f>
        <v>#N/A</v>
      </c>
      <c r="H29" s="14" t="s">
        <v>410</v>
      </c>
      <c r="I29" s="14" t="s">
        <v>411</v>
      </c>
      <c r="J29" s="14" t="s">
        <v>412</v>
      </c>
      <c r="K29" s="14" t="s">
        <v>216</v>
      </c>
      <c r="L29" s="14" t="s">
        <v>234</v>
      </c>
      <c r="M29" s="79">
        <f t="shared" si="3"/>
        <v>45342</v>
      </c>
      <c r="N29" s="14">
        <f t="shared" ca="1" si="4"/>
        <v>1</v>
      </c>
      <c r="O29" s="79">
        <v>45331</v>
      </c>
      <c r="Q29" s="14" t="s">
        <v>413</v>
      </c>
      <c r="T29" s="14"/>
      <c r="U29" s="14"/>
      <c r="V29" s="14"/>
    </row>
    <row r="30" spans="1:22" ht="43.5" x14ac:dyDescent="0.35">
      <c r="A30" s="102" t="str">
        <f t="shared" si="0"/>
        <v>Closed</v>
      </c>
      <c r="B30" s="14" t="s">
        <v>91</v>
      </c>
      <c r="C30" s="14" t="s">
        <v>325</v>
      </c>
      <c r="D30" s="79">
        <v>45315</v>
      </c>
      <c r="E30" s="14">
        <v>2310</v>
      </c>
      <c r="G30" s="14" t="e">
        <f>VLOOKUP(F30,'Accident &amp; Incident Detail'!$D$3:$E$165,2,FALSE)</f>
        <v>#N/A</v>
      </c>
      <c r="H30" s="14" t="s">
        <v>414</v>
      </c>
      <c r="I30" s="14" t="s">
        <v>415</v>
      </c>
      <c r="J30" s="14" t="s">
        <v>236</v>
      </c>
      <c r="K30" s="14" t="s">
        <v>244</v>
      </c>
      <c r="L30" s="14" t="s">
        <v>236</v>
      </c>
      <c r="M30" s="79">
        <f t="shared" si="3"/>
        <v>45343</v>
      </c>
      <c r="N30" s="14">
        <f t="shared" ca="1" si="4"/>
        <v>1</v>
      </c>
      <c r="O30" s="79">
        <v>45320</v>
      </c>
      <c r="Q30" s="14" t="s">
        <v>416</v>
      </c>
      <c r="T30" s="14"/>
      <c r="U30" s="14"/>
      <c r="V30" s="14"/>
    </row>
    <row r="31" spans="1:22" ht="29" x14ac:dyDescent="0.35">
      <c r="A31" s="102" t="str">
        <f>IF(O30&gt;1,"Closed",IF(N31=1,"Overdue",IF(N31=3,"","Open")))</f>
        <v>Closed</v>
      </c>
      <c r="B31" s="14" t="s">
        <v>95</v>
      </c>
      <c r="C31" s="14" t="s">
        <v>417</v>
      </c>
      <c r="D31" s="79">
        <v>45315</v>
      </c>
      <c r="E31" s="14">
        <v>2310</v>
      </c>
      <c r="F31" s="14" t="s">
        <v>418</v>
      </c>
      <c r="G31" s="14" t="e">
        <f>VLOOKUP(F31,'Accident &amp; Incident Detail'!$D$3:$E$165,2,FALSE)</f>
        <v>#N/A</v>
      </c>
      <c r="H31" s="14" t="s">
        <v>419</v>
      </c>
      <c r="I31" s="14" t="s">
        <v>420</v>
      </c>
      <c r="J31" s="14" t="s">
        <v>234</v>
      </c>
      <c r="K31" s="14" t="s">
        <v>210</v>
      </c>
      <c r="L31" s="14" t="s">
        <v>234</v>
      </c>
      <c r="M31" s="79">
        <f t="shared" si="3"/>
        <v>45343</v>
      </c>
      <c r="N31" s="14">
        <f t="shared" ca="1" si="4"/>
        <v>1</v>
      </c>
      <c r="O31" s="79">
        <v>45350</v>
      </c>
      <c r="T31" s="14"/>
      <c r="U31" s="14"/>
      <c r="V31" s="14"/>
    </row>
    <row r="32" spans="1:22" ht="43.5" x14ac:dyDescent="0.35">
      <c r="A32" s="102" t="str">
        <f t="shared" ref="A32:A63" si="5">IF(O32&gt;1,"Closed",IF(N32=1,"Overdue",IF(N32=3,"","Open")))</f>
        <v>Closed</v>
      </c>
      <c r="B32" s="14" t="s">
        <v>91</v>
      </c>
      <c r="C32" s="14" t="s">
        <v>325</v>
      </c>
      <c r="D32" s="79">
        <v>45316</v>
      </c>
      <c r="E32" s="14">
        <v>2310</v>
      </c>
      <c r="G32" s="14" t="e">
        <f>VLOOKUP(F32,'Accident &amp; Incident Detail'!$D$3:$E$165,2,FALSE)</f>
        <v>#N/A</v>
      </c>
      <c r="H32" s="14" t="s">
        <v>421</v>
      </c>
      <c r="I32" s="14" t="s">
        <v>422</v>
      </c>
      <c r="J32" s="14" t="s">
        <v>241</v>
      </c>
      <c r="K32" s="14" t="s">
        <v>239</v>
      </c>
      <c r="L32" s="14" t="s">
        <v>241</v>
      </c>
      <c r="M32" s="79">
        <f t="shared" si="3"/>
        <v>45344</v>
      </c>
      <c r="N32" s="14">
        <f t="shared" ca="1" si="4"/>
        <v>1</v>
      </c>
      <c r="O32" s="79">
        <v>45331</v>
      </c>
      <c r="Q32" s="14" t="s">
        <v>423</v>
      </c>
      <c r="T32" s="14"/>
      <c r="U32" s="14"/>
      <c r="V32" s="14"/>
    </row>
    <row r="33" spans="1:22" ht="290" x14ac:dyDescent="0.35">
      <c r="A33" s="102" t="str">
        <f t="shared" si="5"/>
        <v>Closed</v>
      </c>
      <c r="B33" s="14" t="s">
        <v>91</v>
      </c>
      <c r="C33" s="14" t="s">
        <v>424</v>
      </c>
      <c r="D33" s="79">
        <v>45317</v>
      </c>
      <c r="E33" s="14">
        <v>2310</v>
      </c>
      <c r="G33" s="14" t="e">
        <f>VLOOKUP(F33,'Accident &amp; Incident Detail'!$D$3:$E$165,2,FALSE)</f>
        <v>#N/A</v>
      </c>
      <c r="H33" s="14" t="s">
        <v>425</v>
      </c>
      <c r="I33" s="14" t="s">
        <v>426</v>
      </c>
      <c r="J33" s="14" t="s">
        <v>236</v>
      </c>
      <c r="K33" s="14" t="s">
        <v>244</v>
      </c>
      <c r="L33" s="14" t="s">
        <v>236</v>
      </c>
      <c r="M33" s="79">
        <f t="shared" si="3"/>
        <v>45345</v>
      </c>
      <c r="N33" s="14">
        <f t="shared" ca="1" si="4"/>
        <v>1</v>
      </c>
      <c r="O33" s="79">
        <v>45323</v>
      </c>
      <c r="Q33" s="14" t="s">
        <v>427</v>
      </c>
      <c r="T33" s="14"/>
      <c r="U33" s="14"/>
      <c r="V33" s="14"/>
    </row>
    <row r="34" spans="1:22" ht="159.5" x14ac:dyDescent="0.35">
      <c r="A34" s="102" t="str">
        <f t="shared" si="5"/>
        <v>Closed</v>
      </c>
      <c r="B34" s="14" t="s">
        <v>91</v>
      </c>
      <c r="C34" s="14" t="s">
        <v>325</v>
      </c>
      <c r="D34" s="79">
        <v>45317</v>
      </c>
      <c r="E34" s="14">
        <v>2310</v>
      </c>
      <c r="G34" s="14" t="e">
        <f>VLOOKUP(F34,'Accident &amp; Incident Detail'!$D$3:$E$165,2,FALSE)</f>
        <v>#N/A</v>
      </c>
      <c r="H34" s="14" t="s">
        <v>428</v>
      </c>
      <c r="I34" s="14" t="s">
        <v>429</v>
      </c>
      <c r="J34" s="14" t="s">
        <v>328</v>
      </c>
      <c r="K34" s="14" t="s">
        <v>430</v>
      </c>
      <c r="L34" s="14" t="s">
        <v>236</v>
      </c>
      <c r="M34" s="79">
        <f t="shared" si="3"/>
        <v>45345</v>
      </c>
      <c r="N34" s="14">
        <f t="shared" ca="1" si="4"/>
        <v>1</v>
      </c>
      <c r="O34" s="79">
        <v>45321</v>
      </c>
      <c r="Q34" s="14" t="s">
        <v>431</v>
      </c>
      <c r="T34" s="14"/>
      <c r="U34" s="14"/>
      <c r="V34" s="14"/>
    </row>
    <row r="35" spans="1:22" ht="43.5" x14ac:dyDescent="0.35">
      <c r="A35" s="102" t="str">
        <f t="shared" si="5"/>
        <v>Closed</v>
      </c>
      <c r="B35" s="14" t="s">
        <v>91</v>
      </c>
      <c r="C35" s="14" t="s">
        <v>135</v>
      </c>
      <c r="D35" s="79">
        <v>45317</v>
      </c>
      <c r="E35" s="14">
        <v>2310</v>
      </c>
      <c r="G35" s="14" t="e">
        <f>VLOOKUP(F35,'Accident &amp; Incident Detail'!$D$3:$E$165,2,FALSE)</f>
        <v>#N/A</v>
      </c>
      <c r="H35" s="14" t="s">
        <v>432</v>
      </c>
      <c r="I35" s="14" t="s">
        <v>433</v>
      </c>
      <c r="J35" s="14" t="s">
        <v>241</v>
      </c>
      <c r="K35" s="14" t="s">
        <v>239</v>
      </c>
      <c r="L35" s="14" t="s">
        <v>241</v>
      </c>
      <c r="M35" s="79">
        <f t="shared" si="3"/>
        <v>45345</v>
      </c>
      <c r="N35" s="14">
        <f t="shared" ca="1" si="4"/>
        <v>1</v>
      </c>
      <c r="O35" s="79">
        <v>45413</v>
      </c>
      <c r="Q35" s="14" t="s">
        <v>434</v>
      </c>
      <c r="T35" s="14"/>
      <c r="U35" s="14"/>
      <c r="V35" s="14"/>
    </row>
    <row r="36" spans="1:22" ht="29" x14ac:dyDescent="0.35">
      <c r="A36" s="102" t="str">
        <f t="shared" si="5"/>
        <v>Closed</v>
      </c>
      <c r="B36" s="14" t="s">
        <v>91</v>
      </c>
      <c r="C36" s="14" t="s">
        <v>325</v>
      </c>
      <c r="D36" s="79">
        <v>45320</v>
      </c>
      <c r="E36" s="14">
        <v>2310</v>
      </c>
      <c r="G36" s="14" t="e">
        <f>VLOOKUP(F36,'Accident &amp; Incident Detail'!$D$3:$E$165,2,FALSE)</f>
        <v>#N/A</v>
      </c>
      <c r="H36" s="14" t="s">
        <v>435</v>
      </c>
      <c r="I36" s="14" t="s">
        <v>436</v>
      </c>
      <c r="J36" s="14" t="s">
        <v>241</v>
      </c>
      <c r="K36" s="14" t="s">
        <v>239</v>
      </c>
      <c r="L36" s="14" t="s">
        <v>241</v>
      </c>
      <c r="M36" s="79">
        <f t="shared" si="3"/>
        <v>45348</v>
      </c>
      <c r="N36" s="14">
        <f t="shared" ca="1" si="4"/>
        <v>1</v>
      </c>
      <c r="O36" s="79">
        <v>45349</v>
      </c>
      <c r="Q36" s="14" t="s">
        <v>437</v>
      </c>
      <c r="T36" s="14"/>
      <c r="U36" s="14"/>
      <c r="V36" s="14"/>
    </row>
    <row r="37" spans="1:22" ht="58" x14ac:dyDescent="0.35">
      <c r="A37" s="102" t="str">
        <f t="shared" si="5"/>
        <v>Closed</v>
      </c>
      <c r="B37" s="14" t="s">
        <v>91</v>
      </c>
      <c r="C37" s="14" t="s">
        <v>190</v>
      </c>
      <c r="D37" s="79">
        <v>45320</v>
      </c>
      <c r="E37" s="14">
        <v>2310</v>
      </c>
      <c r="G37" s="14" t="e">
        <f>VLOOKUP(F37,'Accident &amp; Incident Detail'!$D$3:$E$165,2,FALSE)</f>
        <v>#N/A</v>
      </c>
      <c r="H37" s="14" t="s">
        <v>438</v>
      </c>
      <c r="I37" s="14" t="s">
        <v>439</v>
      </c>
      <c r="J37" s="14" t="s">
        <v>241</v>
      </c>
      <c r="K37" s="14" t="s">
        <v>239</v>
      </c>
      <c r="L37" s="14" t="s">
        <v>236</v>
      </c>
      <c r="M37" s="79">
        <f t="shared" si="3"/>
        <v>45348</v>
      </c>
      <c r="N37" s="14">
        <f t="shared" ca="1" si="4"/>
        <v>1</v>
      </c>
      <c r="O37" s="79">
        <v>45385</v>
      </c>
      <c r="Q37" s="14" t="s">
        <v>440</v>
      </c>
      <c r="T37" s="14"/>
      <c r="U37" s="14"/>
      <c r="V37" s="14"/>
    </row>
    <row r="38" spans="1:22" ht="101.5" x14ac:dyDescent="0.35">
      <c r="A38" s="102" t="str">
        <f t="shared" si="5"/>
        <v>Closed</v>
      </c>
      <c r="B38" s="14" t="s">
        <v>91</v>
      </c>
      <c r="C38" s="14" t="s">
        <v>183</v>
      </c>
      <c r="D38" s="79">
        <v>45324</v>
      </c>
      <c r="E38" s="14">
        <v>2310</v>
      </c>
      <c r="G38" s="14" t="e">
        <f>VLOOKUP(F38,'Accident &amp; Incident Detail'!$D$3:$E$165,2,FALSE)</f>
        <v>#N/A</v>
      </c>
      <c r="H38" s="14" t="s">
        <v>441</v>
      </c>
      <c r="I38" s="14" t="s">
        <v>442</v>
      </c>
      <c r="J38" s="14" t="s">
        <v>328</v>
      </c>
      <c r="K38" s="14" t="s">
        <v>430</v>
      </c>
      <c r="L38" s="14" t="s">
        <v>236</v>
      </c>
      <c r="M38" s="79">
        <f t="shared" si="3"/>
        <v>45352</v>
      </c>
      <c r="N38" s="14">
        <f t="shared" ca="1" si="4"/>
        <v>1</v>
      </c>
      <c r="O38" s="79">
        <v>45355</v>
      </c>
      <c r="Q38" s="14" t="s">
        <v>443</v>
      </c>
      <c r="T38" s="14"/>
      <c r="U38" s="14"/>
      <c r="V38" s="14"/>
    </row>
    <row r="39" spans="1:22" ht="58" x14ac:dyDescent="0.35">
      <c r="A39" s="102" t="str">
        <f t="shared" si="5"/>
        <v>Closed</v>
      </c>
      <c r="B39" s="14" t="s">
        <v>91</v>
      </c>
      <c r="C39" s="14" t="s">
        <v>409</v>
      </c>
      <c r="D39" s="79">
        <v>45324</v>
      </c>
      <c r="E39" s="14">
        <v>2310</v>
      </c>
      <c r="G39" s="14" t="e">
        <f>VLOOKUP(F39,'Accident &amp; Incident Detail'!$D$3:$E$165,2,FALSE)</f>
        <v>#N/A</v>
      </c>
      <c r="H39" s="14" t="s">
        <v>444</v>
      </c>
      <c r="I39" s="14" t="s">
        <v>445</v>
      </c>
      <c r="J39" s="14" t="s">
        <v>234</v>
      </c>
      <c r="K39" s="14" t="s">
        <v>226</v>
      </c>
      <c r="L39" s="14" t="s">
        <v>234</v>
      </c>
      <c r="M39" s="79">
        <f t="shared" si="3"/>
        <v>45352</v>
      </c>
      <c r="N39" s="14">
        <f t="shared" ca="1" si="4"/>
        <v>1</v>
      </c>
      <c r="O39" s="79">
        <v>45334</v>
      </c>
      <c r="Q39" s="14" t="s">
        <v>446</v>
      </c>
      <c r="T39" s="14"/>
      <c r="U39" s="14"/>
      <c r="V39" s="14"/>
    </row>
    <row r="40" spans="1:22" ht="29" x14ac:dyDescent="0.35">
      <c r="A40" s="102" t="str">
        <f t="shared" si="5"/>
        <v>Closed</v>
      </c>
      <c r="B40" s="14" t="s">
        <v>95</v>
      </c>
      <c r="C40" s="14" t="s">
        <v>174</v>
      </c>
      <c r="D40" s="79">
        <v>45325</v>
      </c>
      <c r="E40" s="14">
        <v>2311</v>
      </c>
      <c r="F40" s="14" t="s">
        <v>447</v>
      </c>
      <c r="G40" s="14" t="e">
        <f>VLOOKUP(F40,'Accident &amp; Incident Detail'!$D$3:$E$165,2,FALSE)</f>
        <v>#N/A</v>
      </c>
      <c r="H40" s="14" t="s">
        <v>448</v>
      </c>
      <c r="I40" s="14" t="s">
        <v>449</v>
      </c>
      <c r="J40" s="14" t="s">
        <v>234</v>
      </c>
      <c r="K40" s="14" t="s">
        <v>254</v>
      </c>
      <c r="L40" s="14" t="s">
        <v>234</v>
      </c>
      <c r="M40" s="79">
        <f t="shared" si="3"/>
        <v>45353</v>
      </c>
      <c r="N40" s="14">
        <f t="shared" ca="1" si="4"/>
        <v>1</v>
      </c>
      <c r="O40" s="79">
        <v>45325</v>
      </c>
      <c r="T40" s="14"/>
      <c r="U40" s="14"/>
      <c r="V40" s="14"/>
    </row>
    <row r="41" spans="1:22" ht="29" x14ac:dyDescent="0.35">
      <c r="A41" s="102" t="str">
        <f t="shared" si="5"/>
        <v>Closed</v>
      </c>
      <c r="B41" s="14" t="s">
        <v>95</v>
      </c>
      <c r="C41" s="14" t="s">
        <v>174</v>
      </c>
      <c r="D41" s="79">
        <v>45325</v>
      </c>
      <c r="E41" s="14">
        <v>2311</v>
      </c>
      <c r="F41" s="14" t="s">
        <v>447</v>
      </c>
      <c r="G41" s="14" t="e">
        <f>VLOOKUP(F41,'Accident &amp; Incident Detail'!$D$3:$E$165,2,FALSE)</f>
        <v>#N/A</v>
      </c>
      <c r="H41" s="14" t="s">
        <v>450</v>
      </c>
      <c r="I41" s="112" t="s">
        <v>451</v>
      </c>
      <c r="J41" s="14" t="s">
        <v>234</v>
      </c>
      <c r="K41" s="14" t="s">
        <v>254</v>
      </c>
      <c r="L41" s="14" t="s">
        <v>234</v>
      </c>
      <c r="M41" s="79">
        <f t="shared" si="3"/>
        <v>45353</v>
      </c>
      <c r="N41" s="14">
        <f t="shared" ca="1" si="4"/>
        <v>1</v>
      </c>
      <c r="O41" s="79">
        <v>45325</v>
      </c>
      <c r="T41" s="14"/>
      <c r="U41" s="14"/>
      <c r="V41" s="14"/>
    </row>
    <row r="42" spans="1:22" ht="87" x14ac:dyDescent="0.35">
      <c r="A42" s="102" t="str">
        <f t="shared" si="5"/>
        <v>Closed</v>
      </c>
      <c r="B42" s="14" t="s">
        <v>91</v>
      </c>
      <c r="C42" s="14" t="s">
        <v>177</v>
      </c>
      <c r="D42" s="79">
        <v>45326</v>
      </c>
      <c r="E42" s="14">
        <v>2311</v>
      </c>
      <c r="G42" s="14" t="e">
        <f>VLOOKUP(F42,'Accident &amp; Incident Detail'!$D$3:$E$165,2,FALSE)</f>
        <v>#N/A</v>
      </c>
      <c r="H42" s="14" t="s">
        <v>452</v>
      </c>
      <c r="I42" s="14" t="s">
        <v>453</v>
      </c>
      <c r="J42" s="14" t="s">
        <v>241</v>
      </c>
      <c r="K42" s="14" t="s">
        <v>239</v>
      </c>
      <c r="L42" s="14" t="s">
        <v>241</v>
      </c>
      <c r="M42" s="79">
        <f t="shared" si="3"/>
        <v>45354</v>
      </c>
      <c r="N42" s="14">
        <f t="shared" ca="1" si="4"/>
        <v>1</v>
      </c>
      <c r="O42" s="79">
        <v>45349</v>
      </c>
      <c r="Q42" s="14" t="s">
        <v>454</v>
      </c>
      <c r="T42" s="14"/>
      <c r="U42" s="14"/>
      <c r="V42" s="14"/>
    </row>
    <row r="43" spans="1:22" ht="72.5" x14ac:dyDescent="0.35">
      <c r="A43" s="102" t="str">
        <f t="shared" si="5"/>
        <v>Closed</v>
      </c>
      <c r="B43" s="14" t="s">
        <v>91</v>
      </c>
      <c r="C43" s="14" t="s">
        <v>157</v>
      </c>
      <c r="D43" s="79">
        <v>45326</v>
      </c>
      <c r="E43" s="14">
        <v>2311</v>
      </c>
      <c r="G43" s="14" t="e">
        <f>VLOOKUP(F43,'Accident &amp; Incident Detail'!$D$3:$E$165,2,FALSE)</f>
        <v>#N/A</v>
      </c>
      <c r="H43" s="14" t="s">
        <v>455</v>
      </c>
      <c r="I43" s="14" t="s">
        <v>456</v>
      </c>
      <c r="J43" s="14" t="s">
        <v>345</v>
      </c>
      <c r="K43" s="14" t="s">
        <v>248</v>
      </c>
      <c r="L43" s="14" t="s">
        <v>236</v>
      </c>
      <c r="M43" s="79">
        <f t="shared" si="3"/>
        <v>45354</v>
      </c>
      <c r="N43" s="14">
        <f t="shared" ca="1" si="4"/>
        <v>1</v>
      </c>
      <c r="O43" s="79">
        <v>45336</v>
      </c>
      <c r="Q43" s="14" t="s">
        <v>457</v>
      </c>
      <c r="T43" s="14"/>
      <c r="U43" s="14"/>
      <c r="V43" s="14"/>
    </row>
    <row r="44" spans="1:22" ht="29" x14ac:dyDescent="0.35">
      <c r="A44" s="102" t="str">
        <f t="shared" si="5"/>
        <v>Closed</v>
      </c>
      <c r="B44" s="14" t="s">
        <v>95</v>
      </c>
      <c r="C44" s="14" t="s">
        <v>174</v>
      </c>
      <c r="D44" s="79">
        <v>45326</v>
      </c>
      <c r="E44" s="14">
        <v>2311</v>
      </c>
      <c r="F44" s="14" t="s">
        <v>458</v>
      </c>
      <c r="G44" s="14" t="e">
        <f>VLOOKUP(F44,'Accident &amp; Incident Detail'!$D$3:$E$165,2,FALSE)</f>
        <v>#N/A</v>
      </c>
      <c r="H44" s="14" t="s">
        <v>459</v>
      </c>
      <c r="I44" s="14" t="s">
        <v>460</v>
      </c>
      <c r="J44" s="14" t="s">
        <v>234</v>
      </c>
      <c r="K44" s="14" t="s">
        <v>254</v>
      </c>
      <c r="L44" s="14" t="s">
        <v>234</v>
      </c>
      <c r="M44" s="79">
        <f t="shared" si="3"/>
        <v>45354</v>
      </c>
      <c r="N44" s="14">
        <f t="shared" ca="1" si="4"/>
        <v>1</v>
      </c>
      <c r="O44" s="79">
        <v>45287</v>
      </c>
      <c r="T44" s="14"/>
      <c r="U44" s="14"/>
      <c r="V44" s="14"/>
    </row>
    <row r="45" spans="1:22" ht="29" x14ac:dyDescent="0.35">
      <c r="A45" s="102" t="str">
        <f t="shared" si="5"/>
        <v>Closed</v>
      </c>
      <c r="B45" s="14" t="s">
        <v>95</v>
      </c>
      <c r="C45" s="14" t="s">
        <v>336</v>
      </c>
      <c r="D45" s="79">
        <v>45326</v>
      </c>
      <c r="E45" s="14">
        <v>2311</v>
      </c>
      <c r="F45" s="14" t="s">
        <v>461</v>
      </c>
      <c r="G45" s="14" t="str">
        <f>VLOOKUP(F45,'Accident &amp; Incident Detail'!$D$3:$E$165,2,FALSE)</f>
        <v>Wrong routing</v>
      </c>
      <c r="H45" s="14" t="s">
        <v>462</v>
      </c>
      <c r="I45" s="14" t="s">
        <v>449</v>
      </c>
      <c r="J45" s="14" t="s">
        <v>234</v>
      </c>
      <c r="K45" s="14" t="s">
        <v>255</v>
      </c>
      <c r="L45" s="14" t="s">
        <v>234</v>
      </c>
      <c r="M45" s="79">
        <f t="shared" si="3"/>
        <v>45354</v>
      </c>
      <c r="N45" s="14">
        <f t="shared" ca="1" si="4"/>
        <v>1</v>
      </c>
      <c r="O45" s="79">
        <v>45350</v>
      </c>
      <c r="T45" s="14"/>
      <c r="U45" s="14"/>
      <c r="V45" s="14"/>
    </row>
    <row r="46" spans="1:22" ht="43.5" x14ac:dyDescent="0.35">
      <c r="A46" s="102" t="str">
        <f t="shared" si="5"/>
        <v>Closed</v>
      </c>
      <c r="B46" s="14" t="s">
        <v>91</v>
      </c>
      <c r="C46" s="14" t="s">
        <v>365</v>
      </c>
      <c r="D46" s="79">
        <v>45327</v>
      </c>
      <c r="E46" s="14">
        <v>2311</v>
      </c>
      <c r="G46" s="14" t="e">
        <f>VLOOKUP(F46,'Accident &amp; Incident Detail'!$D$3:$E$165,2,FALSE)</f>
        <v>#N/A</v>
      </c>
      <c r="H46" s="14" t="s">
        <v>463</v>
      </c>
      <c r="I46" s="14" t="s">
        <v>464</v>
      </c>
      <c r="J46" s="14" t="s">
        <v>345</v>
      </c>
      <c r="K46" s="14" t="s">
        <v>248</v>
      </c>
      <c r="L46" s="14" t="s">
        <v>236</v>
      </c>
      <c r="M46" s="79">
        <f t="shared" si="3"/>
        <v>45355</v>
      </c>
      <c r="N46" s="14">
        <f t="shared" ca="1" si="4"/>
        <v>1</v>
      </c>
      <c r="O46" s="79">
        <v>45335</v>
      </c>
      <c r="Q46" s="14" t="s">
        <v>465</v>
      </c>
      <c r="T46" s="14"/>
      <c r="U46" s="14"/>
      <c r="V46" s="14"/>
    </row>
    <row r="47" spans="1:22" ht="87" x14ac:dyDescent="0.35">
      <c r="A47" s="102" t="str">
        <f t="shared" si="5"/>
        <v>Closed</v>
      </c>
      <c r="B47" s="14" t="s">
        <v>91</v>
      </c>
      <c r="C47" s="14" t="s">
        <v>167</v>
      </c>
      <c r="D47" s="79">
        <v>45327</v>
      </c>
      <c r="E47" s="14">
        <v>2311</v>
      </c>
      <c r="G47" s="14" t="e">
        <f>VLOOKUP(F47,'Accident &amp; Incident Detail'!$D$3:$E$165,2,FALSE)</f>
        <v>#N/A</v>
      </c>
      <c r="H47" s="14" t="s">
        <v>466</v>
      </c>
      <c r="I47" s="14" t="s">
        <v>467</v>
      </c>
      <c r="J47" s="14" t="s">
        <v>241</v>
      </c>
      <c r="K47" s="14" t="s">
        <v>239</v>
      </c>
      <c r="L47" s="14" t="s">
        <v>241</v>
      </c>
      <c r="M47" s="79">
        <f t="shared" si="3"/>
        <v>45355</v>
      </c>
      <c r="N47" s="14">
        <f t="shared" ca="1" si="4"/>
        <v>1</v>
      </c>
      <c r="O47" s="79">
        <v>45353</v>
      </c>
      <c r="Q47" s="14" t="s">
        <v>468</v>
      </c>
      <c r="T47" s="14"/>
      <c r="U47" s="14"/>
      <c r="V47" s="14"/>
    </row>
    <row r="48" spans="1:22" ht="43.5" x14ac:dyDescent="0.35">
      <c r="A48" s="102" t="str">
        <f t="shared" si="5"/>
        <v>Closed</v>
      </c>
      <c r="B48" s="14" t="s">
        <v>95</v>
      </c>
      <c r="C48" s="14" t="s">
        <v>153</v>
      </c>
      <c r="D48" s="79">
        <v>45327</v>
      </c>
      <c r="E48" s="14">
        <v>2311</v>
      </c>
      <c r="F48" s="14" t="s">
        <v>469</v>
      </c>
      <c r="G48" s="14" t="str">
        <f>VLOOKUP(F48,'Accident &amp; Incident Detail'!$D$3:$E$165,2,FALSE)</f>
        <v>Minor - RTC</v>
      </c>
      <c r="H48" s="14" t="s">
        <v>470</v>
      </c>
      <c r="I48" s="14" t="s">
        <v>471</v>
      </c>
      <c r="J48" s="14" t="s">
        <v>234</v>
      </c>
      <c r="K48" s="14" t="s">
        <v>264</v>
      </c>
      <c r="L48" s="14" t="s">
        <v>234</v>
      </c>
      <c r="M48" s="79">
        <f t="shared" si="3"/>
        <v>45355</v>
      </c>
      <c r="N48" s="14">
        <f t="shared" ca="1" si="4"/>
        <v>1</v>
      </c>
      <c r="O48" s="79">
        <v>45322</v>
      </c>
      <c r="T48" s="14"/>
      <c r="U48" s="14"/>
      <c r="V48" s="14"/>
    </row>
    <row r="49" spans="1:22" ht="29" x14ac:dyDescent="0.35">
      <c r="A49" s="102" t="str">
        <f t="shared" si="5"/>
        <v>Closed</v>
      </c>
      <c r="B49" s="14" t="s">
        <v>95</v>
      </c>
      <c r="C49" s="14" t="s">
        <v>153</v>
      </c>
      <c r="D49" s="79">
        <v>45327</v>
      </c>
      <c r="E49" s="14">
        <v>2311</v>
      </c>
      <c r="F49" s="14" t="s">
        <v>472</v>
      </c>
      <c r="G49" s="14" t="e">
        <f>VLOOKUP(F49,'Accident &amp; Incident Detail'!$D$3:$E$165,2,FALSE)</f>
        <v>#N/A</v>
      </c>
      <c r="H49" s="14" t="s">
        <v>473</v>
      </c>
      <c r="I49" s="14" t="s">
        <v>474</v>
      </c>
      <c r="J49" s="14" t="s">
        <v>234</v>
      </c>
      <c r="K49" s="14" t="s">
        <v>264</v>
      </c>
      <c r="L49" s="14" t="s">
        <v>234</v>
      </c>
      <c r="M49" s="79">
        <f t="shared" si="3"/>
        <v>45355</v>
      </c>
      <c r="N49" s="14">
        <f t="shared" ca="1" si="4"/>
        <v>1</v>
      </c>
      <c r="O49" s="79">
        <v>45310</v>
      </c>
      <c r="T49" s="14"/>
      <c r="U49" s="14"/>
      <c r="V49" s="14"/>
    </row>
    <row r="50" spans="1:22" ht="29" x14ac:dyDescent="0.35">
      <c r="A50" s="102" t="str">
        <f t="shared" si="5"/>
        <v>Closed</v>
      </c>
      <c r="B50" s="14" t="s">
        <v>95</v>
      </c>
      <c r="C50" s="14" t="s">
        <v>153</v>
      </c>
      <c r="D50" s="79">
        <v>45327</v>
      </c>
      <c r="E50" s="14">
        <v>2311</v>
      </c>
      <c r="F50" s="14" t="s">
        <v>472</v>
      </c>
      <c r="G50" s="14" t="e">
        <f>VLOOKUP(F50,'Accident &amp; Incident Detail'!$D$3:$E$165,2,FALSE)</f>
        <v>#N/A</v>
      </c>
      <c r="H50" s="14" t="s">
        <v>475</v>
      </c>
      <c r="I50" s="14" t="s">
        <v>476</v>
      </c>
      <c r="J50" s="14" t="s">
        <v>234</v>
      </c>
      <c r="K50" s="14" t="s">
        <v>264</v>
      </c>
      <c r="L50" s="14" t="s">
        <v>234</v>
      </c>
      <c r="M50" s="79">
        <f t="shared" si="3"/>
        <v>45355</v>
      </c>
      <c r="N50" s="14">
        <f t="shared" ca="1" si="4"/>
        <v>1</v>
      </c>
      <c r="O50" s="79">
        <v>45327</v>
      </c>
      <c r="T50" s="14"/>
      <c r="U50" s="14"/>
      <c r="V50" s="14"/>
    </row>
    <row r="51" spans="1:22" ht="43.5" x14ac:dyDescent="0.35">
      <c r="A51" s="102" t="str">
        <f t="shared" si="5"/>
        <v>Closed</v>
      </c>
      <c r="B51" s="14" t="s">
        <v>91</v>
      </c>
      <c r="C51" s="14" t="s">
        <v>325</v>
      </c>
      <c r="D51" s="79">
        <v>45328</v>
      </c>
      <c r="E51" s="14">
        <v>2311</v>
      </c>
      <c r="G51" s="14" t="e">
        <f>VLOOKUP(F51,'Accident &amp; Incident Detail'!$D$3:$E$165,2,FALSE)</f>
        <v>#N/A</v>
      </c>
      <c r="H51" s="14" t="s">
        <v>477</v>
      </c>
      <c r="I51" s="14" t="s">
        <v>478</v>
      </c>
      <c r="J51" s="14" t="s">
        <v>328</v>
      </c>
      <c r="L51" s="14" t="s">
        <v>236</v>
      </c>
      <c r="M51" s="79">
        <f t="shared" si="3"/>
        <v>45356</v>
      </c>
      <c r="N51" s="14">
        <f t="shared" ca="1" si="4"/>
        <v>1</v>
      </c>
      <c r="O51" s="79">
        <v>45328</v>
      </c>
      <c r="Q51" s="14" t="s">
        <v>479</v>
      </c>
      <c r="T51" s="14"/>
      <c r="U51" s="14"/>
      <c r="V51" s="14"/>
    </row>
    <row r="52" spans="1:22" ht="29" x14ac:dyDescent="0.35">
      <c r="A52" s="102" t="str">
        <f t="shared" si="5"/>
        <v>Closed</v>
      </c>
      <c r="B52" s="14" t="s">
        <v>91</v>
      </c>
      <c r="C52" s="14" t="s">
        <v>480</v>
      </c>
      <c r="D52" s="79">
        <v>45329</v>
      </c>
      <c r="E52" s="14">
        <v>2311</v>
      </c>
      <c r="I52" s="14" t="s">
        <v>481</v>
      </c>
      <c r="J52" s="14" t="s">
        <v>345</v>
      </c>
      <c r="K52" s="14" t="s">
        <v>248</v>
      </c>
      <c r="L52" s="14" t="s">
        <v>236</v>
      </c>
      <c r="M52" s="79">
        <f t="shared" si="3"/>
        <v>45357</v>
      </c>
      <c r="N52" s="14">
        <f t="shared" ca="1" si="4"/>
        <v>1</v>
      </c>
      <c r="O52" s="79">
        <v>45331</v>
      </c>
      <c r="Q52" s="14" t="s">
        <v>482</v>
      </c>
      <c r="T52" s="14"/>
      <c r="U52" s="14"/>
      <c r="V52" s="14"/>
    </row>
    <row r="53" spans="1:22" ht="43.5" x14ac:dyDescent="0.35">
      <c r="A53" s="102" t="str">
        <f t="shared" si="5"/>
        <v>Closed</v>
      </c>
      <c r="B53" s="14" t="s">
        <v>91</v>
      </c>
      <c r="C53" s="14" t="s">
        <v>365</v>
      </c>
      <c r="D53" s="79">
        <v>45330</v>
      </c>
      <c r="E53" s="14">
        <v>2311</v>
      </c>
      <c r="G53" s="14" t="e">
        <f>VLOOKUP(F53,'Accident &amp; Incident Detail'!$D$3:$E$165,2,FALSE)</f>
        <v>#N/A</v>
      </c>
      <c r="H53" s="14" t="s">
        <v>483</v>
      </c>
      <c r="I53" s="14" t="s">
        <v>484</v>
      </c>
      <c r="J53" s="14" t="s">
        <v>328</v>
      </c>
      <c r="K53" s="14" t="s">
        <v>430</v>
      </c>
      <c r="L53" s="14" t="s">
        <v>236</v>
      </c>
      <c r="M53" s="79">
        <f t="shared" si="3"/>
        <v>45358</v>
      </c>
      <c r="N53" s="14">
        <f t="shared" ca="1" si="4"/>
        <v>1</v>
      </c>
      <c r="O53" s="79">
        <v>45334</v>
      </c>
      <c r="Q53" s="14" t="s">
        <v>485</v>
      </c>
      <c r="T53" s="14"/>
      <c r="U53" s="14"/>
      <c r="V53" s="14"/>
    </row>
    <row r="54" spans="1:22" ht="58" x14ac:dyDescent="0.35">
      <c r="A54" s="102" t="str">
        <f t="shared" si="5"/>
        <v>Closed</v>
      </c>
      <c r="B54" s="14" t="s">
        <v>91</v>
      </c>
      <c r="C54" s="14" t="s">
        <v>361</v>
      </c>
      <c r="D54" s="79">
        <v>45330</v>
      </c>
      <c r="E54" s="14">
        <v>2311</v>
      </c>
      <c r="G54" s="14" t="e">
        <f>VLOOKUP(F54,'Accident &amp; Incident Detail'!$D$3:$E$165,2,FALSE)</f>
        <v>#N/A</v>
      </c>
      <c r="H54" s="14" t="s">
        <v>486</v>
      </c>
      <c r="I54" s="14" t="s">
        <v>487</v>
      </c>
      <c r="J54" s="14" t="s">
        <v>328</v>
      </c>
      <c r="K54" s="14" t="s">
        <v>430</v>
      </c>
      <c r="L54" s="14" t="s">
        <v>236</v>
      </c>
      <c r="M54" s="79">
        <f t="shared" si="3"/>
        <v>45358</v>
      </c>
      <c r="N54" s="14">
        <f t="shared" ca="1" si="4"/>
        <v>1</v>
      </c>
      <c r="O54" s="79">
        <v>45376</v>
      </c>
      <c r="Q54" s="14" t="s">
        <v>488</v>
      </c>
      <c r="T54" s="14"/>
      <c r="U54" s="14"/>
      <c r="V54" s="14"/>
    </row>
    <row r="55" spans="1:22" ht="130.5" x14ac:dyDescent="0.35">
      <c r="A55" s="102" t="str">
        <f t="shared" si="5"/>
        <v>Closed</v>
      </c>
      <c r="B55" s="14" t="s">
        <v>91</v>
      </c>
      <c r="C55" s="14" t="s">
        <v>489</v>
      </c>
      <c r="D55" s="79">
        <v>45335</v>
      </c>
      <c r="E55" s="14">
        <v>2311</v>
      </c>
      <c r="G55" s="14" t="e">
        <f>VLOOKUP(F55,'Accident &amp; Incident Detail'!$D$3:$E$165,2,FALSE)</f>
        <v>#N/A</v>
      </c>
      <c r="H55" s="14" t="s">
        <v>490</v>
      </c>
      <c r="I55" s="14" t="s">
        <v>491</v>
      </c>
      <c r="J55" s="14" t="s">
        <v>241</v>
      </c>
      <c r="K55" s="14" t="s">
        <v>239</v>
      </c>
      <c r="L55" s="14" t="s">
        <v>241</v>
      </c>
      <c r="M55" s="79">
        <v>45687</v>
      </c>
      <c r="N55" s="14">
        <f t="shared" ca="1" si="4"/>
        <v>1</v>
      </c>
      <c r="O55" s="79">
        <v>45713</v>
      </c>
      <c r="Q55" s="14" t="s">
        <v>492</v>
      </c>
      <c r="T55" s="14"/>
      <c r="U55" s="14"/>
      <c r="V55" s="14"/>
    </row>
    <row r="56" spans="1:22" ht="29" x14ac:dyDescent="0.35">
      <c r="A56" s="102" t="str">
        <f t="shared" si="5"/>
        <v>Closed</v>
      </c>
      <c r="B56" s="14" t="s">
        <v>95</v>
      </c>
      <c r="C56" s="14" t="s">
        <v>417</v>
      </c>
      <c r="D56" s="79">
        <v>45335</v>
      </c>
      <c r="E56" s="14">
        <v>2311</v>
      </c>
      <c r="F56" s="14" t="s">
        <v>493</v>
      </c>
      <c r="G56" s="14" t="str">
        <f>VLOOKUP(F56,'Accident &amp; Incident Detail'!$D$3:$E$165,2,FALSE)</f>
        <v>Threatening Behaviour</v>
      </c>
      <c r="H56" s="14" t="s">
        <v>494</v>
      </c>
      <c r="I56" s="14" t="s">
        <v>495</v>
      </c>
      <c r="J56" s="14" t="s">
        <v>234</v>
      </c>
      <c r="K56" s="14" t="s">
        <v>210</v>
      </c>
      <c r="L56" s="14" t="s">
        <v>234</v>
      </c>
      <c r="M56" s="79">
        <f t="shared" ref="M56:M86" si="6">IF(D56="","",D56+28)</f>
        <v>45363</v>
      </c>
      <c r="N56" s="14">
        <f t="shared" ref="N56:N85" ca="1" si="7">IF(D56="",3,IF(M56&lt;$A$2,1,0))</f>
        <v>1</v>
      </c>
      <c r="O56" s="79">
        <v>45333</v>
      </c>
      <c r="T56" s="14"/>
      <c r="U56" s="14"/>
      <c r="V56" s="14"/>
    </row>
    <row r="57" spans="1:22" ht="29" x14ac:dyDescent="0.35">
      <c r="A57" s="102" t="str">
        <f t="shared" si="5"/>
        <v>Closed</v>
      </c>
      <c r="B57" s="14" t="s">
        <v>95</v>
      </c>
      <c r="C57" s="14" t="s">
        <v>417</v>
      </c>
      <c r="D57" s="79">
        <v>45336</v>
      </c>
      <c r="E57" s="14">
        <v>2311</v>
      </c>
      <c r="F57" s="14" t="s">
        <v>496</v>
      </c>
      <c r="G57" s="14" t="str">
        <f>VLOOKUP(F57,'Accident &amp; Incident Detail'!$D$3:$E$165,2,FALSE)</f>
        <v>Verbal Abuse</v>
      </c>
      <c r="H57" s="14" t="s">
        <v>497</v>
      </c>
      <c r="I57" s="14" t="s">
        <v>498</v>
      </c>
      <c r="J57" s="14" t="s">
        <v>234</v>
      </c>
      <c r="K57" s="14" t="s">
        <v>210</v>
      </c>
      <c r="L57" s="14" t="s">
        <v>234</v>
      </c>
      <c r="M57" s="79">
        <f t="shared" si="6"/>
        <v>45364</v>
      </c>
      <c r="N57" s="14">
        <f t="shared" ca="1" si="7"/>
        <v>1</v>
      </c>
      <c r="O57" s="79">
        <v>45001</v>
      </c>
      <c r="T57" s="14"/>
      <c r="U57" s="14"/>
      <c r="V57" s="14"/>
    </row>
    <row r="58" spans="1:22" ht="29" x14ac:dyDescent="0.35">
      <c r="A58" s="102" t="str">
        <f t="shared" si="5"/>
        <v>Closed</v>
      </c>
      <c r="B58" s="14" t="s">
        <v>95</v>
      </c>
      <c r="C58" s="14" t="s">
        <v>135</v>
      </c>
      <c r="D58" s="79">
        <v>45336</v>
      </c>
      <c r="E58" s="14">
        <v>2311</v>
      </c>
      <c r="F58" s="14" t="s">
        <v>499</v>
      </c>
      <c r="G58" s="14" t="str">
        <f>VLOOKUP(F58,'Accident &amp; Incident Detail'!$D$3:$E$165,2,FALSE)</f>
        <v>Minor - RTC</v>
      </c>
      <c r="H58" s="14" t="s">
        <v>500</v>
      </c>
      <c r="I58" s="14" t="s">
        <v>501</v>
      </c>
      <c r="J58" s="14" t="s">
        <v>401</v>
      </c>
      <c r="K58" s="14" t="s">
        <v>263</v>
      </c>
      <c r="L58" s="14" t="s">
        <v>234</v>
      </c>
      <c r="M58" s="79">
        <f t="shared" si="6"/>
        <v>45364</v>
      </c>
      <c r="N58" s="14">
        <f t="shared" ca="1" si="7"/>
        <v>1</v>
      </c>
      <c r="O58" s="79">
        <v>45121</v>
      </c>
      <c r="T58" s="14"/>
      <c r="U58" s="14"/>
      <c r="V58" s="14"/>
    </row>
    <row r="59" spans="1:22" ht="409.5" x14ac:dyDescent="0.35">
      <c r="A59" s="102" t="str">
        <f t="shared" si="5"/>
        <v>Closed</v>
      </c>
      <c r="B59" s="14" t="s">
        <v>91</v>
      </c>
      <c r="C59" s="14" t="s">
        <v>502</v>
      </c>
      <c r="D59" s="79">
        <v>45338</v>
      </c>
      <c r="E59" s="14">
        <v>2311</v>
      </c>
      <c r="G59" s="14" t="e">
        <f>VLOOKUP(F59,'Accident &amp; Incident Detail'!$D$3:$E$165,2,FALSE)</f>
        <v>#N/A</v>
      </c>
      <c r="H59" s="14" t="s">
        <v>503</v>
      </c>
      <c r="I59" s="14" t="s">
        <v>504</v>
      </c>
      <c r="J59" s="14" t="s">
        <v>412</v>
      </c>
      <c r="K59" s="14" t="s">
        <v>216</v>
      </c>
      <c r="L59" s="14" t="s">
        <v>234</v>
      </c>
      <c r="M59" s="79">
        <f t="shared" si="6"/>
        <v>45366</v>
      </c>
      <c r="N59" s="14">
        <f t="shared" ca="1" si="7"/>
        <v>1</v>
      </c>
      <c r="O59" s="79">
        <v>45365</v>
      </c>
      <c r="Q59" s="14" t="s">
        <v>505</v>
      </c>
      <c r="T59" s="14"/>
      <c r="U59" s="14"/>
      <c r="V59" s="14"/>
    </row>
    <row r="60" spans="1:22" ht="43.5" x14ac:dyDescent="0.35">
      <c r="A60" s="102" t="str">
        <f t="shared" si="5"/>
        <v>Closed</v>
      </c>
      <c r="B60" s="14" t="s">
        <v>91</v>
      </c>
      <c r="C60" s="14" t="s">
        <v>502</v>
      </c>
      <c r="D60" s="79">
        <v>45340</v>
      </c>
      <c r="E60" s="14">
        <v>2311</v>
      </c>
      <c r="G60" s="14" t="e">
        <f>VLOOKUP(F60,'Accident &amp; Incident Detail'!$D$3:$E$165,2,FALSE)</f>
        <v>#N/A</v>
      </c>
      <c r="H60" s="14" t="s">
        <v>506</v>
      </c>
      <c r="I60" s="14" t="s">
        <v>507</v>
      </c>
      <c r="J60" s="14" t="s">
        <v>328</v>
      </c>
      <c r="K60" s="14" t="s">
        <v>250</v>
      </c>
      <c r="L60" s="14" t="s">
        <v>236</v>
      </c>
      <c r="M60" s="79">
        <f t="shared" si="6"/>
        <v>45368</v>
      </c>
      <c r="N60" s="14">
        <f t="shared" ca="1" si="7"/>
        <v>1</v>
      </c>
      <c r="O60" s="79">
        <v>45377</v>
      </c>
      <c r="Q60" s="14" t="s">
        <v>508</v>
      </c>
      <c r="T60" s="14"/>
      <c r="U60" s="14"/>
      <c r="V60" s="14"/>
    </row>
    <row r="61" spans="1:22" ht="43.5" x14ac:dyDescent="0.35">
      <c r="A61" s="102" t="str">
        <f t="shared" si="5"/>
        <v>Closed</v>
      </c>
      <c r="B61" s="14" t="s">
        <v>91</v>
      </c>
      <c r="C61" s="14" t="s">
        <v>502</v>
      </c>
      <c r="D61" s="79">
        <v>45341</v>
      </c>
      <c r="E61" s="14">
        <v>2311</v>
      </c>
      <c r="G61" s="14" t="e">
        <f>VLOOKUP(F61,'Accident &amp; Incident Detail'!$D$3:$E$165,2,FALSE)</f>
        <v>#N/A</v>
      </c>
      <c r="H61" s="14" t="s">
        <v>509</v>
      </c>
      <c r="I61" s="14" t="s">
        <v>510</v>
      </c>
      <c r="J61" s="14" t="s">
        <v>345</v>
      </c>
      <c r="K61" s="14" t="s">
        <v>248</v>
      </c>
      <c r="L61" s="14" t="s">
        <v>236</v>
      </c>
      <c r="M61" s="79">
        <f t="shared" si="6"/>
        <v>45369</v>
      </c>
      <c r="N61" s="14">
        <f t="shared" ca="1" si="7"/>
        <v>1</v>
      </c>
      <c r="O61" s="79">
        <v>45377</v>
      </c>
      <c r="Q61" s="14" t="s">
        <v>511</v>
      </c>
      <c r="T61" s="14"/>
      <c r="U61" s="14"/>
      <c r="V61" s="14"/>
    </row>
    <row r="62" spans="1:22" ht="29" x14ac:dyDescent="0.35">
      <c r="A62" s="102" t="str">
        <f t="shared" si="5"/>
        <v>Closed</v>
      </c>
      <c r="B62" s="14" t="s">
        <v>91</v>
      </c>
      <c r="C62" s="14" t="s">
        <v>502</v>
      </c>
      <c r="D62" s="79">
        <v>45342</v>
      </c>
      <c r="E62" s="14">
        <v>2311</v>
      </c>
      <c r="G62" s="14" t="e">
        <f>VLOOKUP(F62,'Accident &amp; Incident Detail'!$D$3:$E$165,2,FALSE)</f>
        <v>#N/A</v>
      </c>
      <c r="H62" s="14" t="s">
        <v>512</v>
      </c>
      <c r="I62" s="14" t="s">
        <v>513</v>
      </c>
      <c r="J62" s="14" t="s">
        <v>328</v>
      </c>
      <c r="K62" s="14" t="s">
        <v>223</v>
      </c>
      <c r="L62" s="14" t="s">
        <v>236</v>
      </c>
      <c r="M62" s="79">
        <f t="shared" si="6"/>
        <v>45370</v>
      </c>
      <c r="N62" s="14">
        <f t="shared" ca="1" si="7"/>
        <v>1</v>
      </c>
      <c r="O62" s="79">
        <v>45377</v>
      </c>
      <c r="Q62" s="14" t="s">
        <v>514</v>
      </c>
      <c r="T62" s="14"/>
      <c r="U62" s="14"/>
      <c r="V62" s="14"/>
    </row>
    <row r="63" spans="1:22" ht="29" x14ac:dyDescent="0.35">
      <c r="A63" s="102" t="str">
        <f t="shared" si="5"/>
        <v>Closed</v>
      </c>
      <c r="B63" s="14" t="s">
        <v>95</v>
      </c>
      <c r="C63" s="14" t="s">
        <v>174</v>
      </c>
      <c r="D63" s="79">
        <v>45343</v>
      </c>
      <c r="E63" s="14">
        <v>2311</v>
      </c>
      <c r="G63" s="14" t="e">
        <f>VLOOKUP(F63,'Accident &amp; Incident Detail'!$D$3:$E$1154,2,FALSE)</f>
        <v>#N/A</v>
      </c>
      <c r="H63" s="14" t="s">
        <v>515</v>
      </c>
      <c r="I63" s="14" t="s">
        <v>516</v>
      </c>
      <c r="J63" s="14" t="s">
        <v>401</v>
      </c>
      <c r="K63" s="14" t="s">
        <v>263</v>
      </c>
      <c r="L63" s="14" t="s">
        <v>234</v>
      </c>
      <c r="M63" s="79">
        <f t="shared" si="6"/>
        <v>45371</v>
      </c>
      <c r="N63" s="14">
        <f t="shared" ca="1" si="7"/>
        <v>1</v>
      </c>
      <c r="O63" s="79">
        <v>45343</v>
      </c>
    </row>
    <row r="64" spans="1:22" ht="29" x14ac:dyDescent="0.35">
      <c r="A64" s="102" t="str">
        <f t="shared" ref="A64:A95" si="8">IF(O64&gt;1,"Closed",IF(N64=1,"Overdue",IF(N64=3,"","Open")))</f>
        <v>Closed</v>
      </c>
      <c r="B64" s="14" t="s">
        <v>95</v>
      </c>
      <c r="C64" s="14" t="s">
        <v>174</v>
      </c>
      <c r="D64" s="79">
        <v>45343</v>
      </c>
      <c r="E64" s="14">
        <v>2311</v>
      </c>
      <c r="G64" s="14" t="e">
        <f>VLOOKUP(F64,'Accident &amp; Incident Detail'!$D$3:$E$1154,2,FALSE)</f>
        <v>#N/A</v>
      </c>
      <c r="H64" s="14" t="s">
        <v>517</v>
      </c>
      <c r="I64" s="14" t="s">
        <v>518</v>
      </c>
      <c r="J64" s="14" t="s">
        <v>234</v>
      </c>
      <c r="K64" s="14" t="s">
        <v>254</v>
      </c>
      <c r="L64" s="14" t="s">
        <v>236</v>
      </c>
      <c r="M64" s="79">
        <f t="shared" si="6"/>
        <v>45371</v>
      </c>
      <c r="N64" s="14">
        <f t="shared" ca="1" si="7"/>
        <v>1</v>
      </c>
      <c r="O64" s="79">
        <v>45343</v>
      </c>
    </row>
    <row r="65" spans="1:22" ht="29" x14ac:dyDescent="0.35">
      <c r="A65" s="102" t="str">
        <f t="shared" si="8"/>
        <v>Closed</v>
      </c>
      <c r="B65" s="14" t="s">
        <v>91</v>
      </c>
      <c r="C65" s="14" t="s">
        <v>502</v>
      </c>
      <c r="D65" s="79">
        <v>45348</v>
      </c>
      <c r="E65" s="14">
        <v>2311</v>
      </c>
      <c r="G65" s="14" t="e">
        <f>VLOOKUP(F65,'Accident &amp; Incident Detail'!$D$3:$E$165,2,FALSE)</f>
        <v>#N/A</v>
      </c>
      <c r="H65" s="14" t="s">
        <v>519</v>
      </c>
      <c r="I65" s="14" t="s">
        <v>520</v>
      </c>
      <c r="J65" s="14" t="s">
        <v>241</v>
      </c>
      <c r="K65" s="14" t="s">
        <v>237</v>
      </c>
      <c r="L65" s="14" t="s">
        <v>241</v>
      </c>
      <c r="M65" s="79">
        <f t="shared" si="6"/>
        <v>45376</v>
      </c>
      <c r="N65" s="14">
        <f t="shared" ca="1" si="7"/>
        <v>1</v>
      </c>
      <c r="O65" s="79" t="s">
        <v>521</v>
      </c>
      <c r="Q65" s="14" t="s">
        <v>522</v>
      </c>
      <c r="T65" s="14"/>
      <c r="U65" s="14"/>
      <c r="V65" s="14"/>
    </row>
    <row r="66" spans="1:22" ht="29" x14ac:dyDescent="0.35">
      <c r="A66" s="102" t="str">
        <f t="shared" si="8"/>
        <v>Closed</v>
      </c>
      <c r="B66" s="14" t="s">
        <v>96</v>
      </c>
      <c r="C66" s="14" t="s">
        <v>523</v>
      </c>
      <c r="D66" s="79">
        <v>45350</v>
      </c>
      <c r="E66" s="14">
        <v>2311</v>
      </c>
      <c r="F66" s="14" t="s">
        <v>524</v>
      </c>
      <c r="G66" s="14" t="e">
        <f>VLOOKUP(F66,'Accident &amp; Incident Detail'!$D$3:$E$165,2,FALSE)</f>
        <v>#N/A</v>
      </c>
      <c r="H66" s="14" t="s">
        <v>525</v>
      </c>
      <c r="I66" s="14" t="s">
        <v>526</v>
      </c>
      <c r="J66" s="14" t="s">
        <v>234</v>
      </c>
      <c r="K66" s="14" t="s">
        <v>258</v>
      </c>
      <c r="L66" s="14" t="s">
        <v>234</v>
      </c>
      <c r="M66" s="79">
        <f t="shared" si="6"/>
        <v>45378</v>
      </c>
      <c r="N66" s="14">
        <f t="shared" ca="1" si="7"/>
        <v>1</v>
      </c>
      <c r="O66" s="79">
        <v>45350</v>
      </c>
      <c r="Q66" s="14" t="s">
        <v>527</v>
      </c>
      <c r="T66" s="14"/>
      <c r="U66" s="14"/>
      <c r="V66" s="14"/>
    </row>
    <row r="67" spans="1:22" ht="29" x14ac:dyDescent="0.35">
      <c r="A67" s="102" t="str">
        <f t="shared" si="8"/>
        <v>Closed</v>
      </c>
      <c r="B67" s="14" t="s">
        <v>96</v>
      </c>
      <c r="C67" s="14" t="s">
        <v>523</v>
      </c>
      <c r="D67" s="79">
        <v>45350</v>
      </c>
      <c r="E67" s="14">
        <v>2311</v>
      </c>
      <c r="F67" s="14" t="s">
        <v>524</v>
      </c>
      <c r="G67" s="14" t="e">
        <f>VLOOKUP(F67,'Accident &amp; Incident Detail'!$D$3:$E$165,2,FALSE)</f>
        <v>#N/A</v>
      </c>
      <c r="H67" s="14" t="s">
        <v>528</v>
      </c>
      <c r="I67" s="14" t="s">
        <v>529</v>
      </c>
      <c r="J67" s="14" t="s">
        <v>241</v>
      </c>
      <c r="K67" s="14" t="s">
        <v>239</v>
      </c>
      <c r="L67" s="14" t="s">
        <v>241</v>
      </c>
      <c r="M67" s="79">
        <f t="shared" si="6"/>
        <v>45378</v>
      </c>
      <c r="N67" s="14">
        <f t="shared" ca="1" si="7"/>
        <v>1</v>
      </c>
      <c r="O67" s="79">
        <v>45680</v>
      </c>
      <c r="Q67" s="14" t="s">
        <v>530</v>
      </c>
      <c r="T67" s="14"/>
      <c r="U67" s="14"/>
      <c r="V67" s="14"/>
    </row>
    <row r="68" spans="1:22" ht="43.5" x14ac:dyDescent="0.35">
      <c r="A68" s="102" t="str">
        <f t="shared" si="8"/>
        <v>Closed</v>
      </c>
      <c r="B68" s="14" t="s">
        <v>93</v>
      </c>
      <c r="C68" s="14" t="s">
        <v>531</v>
      </c>
      <c r="D68" s="79">
        <v>45355</v>
      </c>
      <c r="E68" s="14">
        <v>2312</v>
      </c>
      <c r="G68" s="14" t="e">
        <f>VLOOKUP(F68,'Accident &amp; Incident Detail'!$D$3:$E$165,2,FALSE)</f>
        <v>#N/A</v>
      </c>
      <c r="H68" s="14" t="s">
        <v>532</v>
      </c>
      <c r="I68" s="14" t="s">
        <v>533</v>
      </c>
      <c r="J68" s="14" t="s">
        <v>372</v>
      </c>
      <c r="K68" s="14" t="s">
        <v>222</v>
      </c>
      <c r="L68" s="14" t="s">
        <v>236</v>
      </c>
      <c r="M68" s="79">
        <f t="shared" si="6"/>
        <v>45383</v>
      </c>
      <c r="N68" s="14">
        <f t="shared" ca="1" si="7"/>
        <v>1</v>
      </c>
      <c r="O68" s="79">
        <v>45412</v>
      </c>
      <c r="T68" s="14"/>
      <c r="U68" s="14"/>
      <c r="V68" s="14"/>
    </row>
    <row r="69" spans="1:22" ht="29" x14ac:dyDescent="0.35">
      <c r="A69" s="102" t="str">
        <f t="shared" si="8"/>
        <v>Closed</v>
      </c>
      <c r="B69" s="14" t="s">
        <v>93</v>
      </c>
      <c r="C69" s="14" t="s">
        <v>531</v>
      </c>
      <c r="D69" s="79">
        <v>45355</v>
      </c>
      <c r="E69" s="14">
        <v>2312</v>
      </c>
      <c r="G69" s="14" t="e">
        <f>VLOOKUP(F69,'Accident &amp; Incident Detail'!$D$3:$E$165,2,FALSE)</f>
        <v>#N/A</v>
      </c>
      <c r="H69" s="14" t="s">
        <v>534</v>
      </c>
      <c r="I69" s="14" t="s">
        <v>535</v>
      </c>
      <c r="J69" s="14" t="s">
        <v>372</v>
      </c>
      <c r="K69" s="14" t="s">
        <v>222</v>
      </c>
      <c r="L69" s="14" t="s">
        <v>236</v>
      </c>
      <c r="M69" s="79">
        <f t="shared" si="6"/>
        <v>45383</v>
      </c>
      <c r="N69" s="14">
        <f t="shared" ca="1" si="7"/>
        <v>1</v>
      </c>
      <c r="O69" s="79">
        <v>45902</v>
      </c>
      <c r="Q69" s="14" t="s">
        <v>536</v>
      </c>
      <c r="T69" s="14"/>
      <c r="U69" s="14"/>
      <c r="V69" s="14"/>
    </row>
    <row r="70" spans="1:22" ht="29" x14ac:dyDescent="0.35">
      <c r="A70" s="102" t="str">
        <f t="shared" si="8"/>
        <v>Closed</v>
      </c>
      <c r="B70" s="14" t="s">
        <v>93</v>
      </c>
      <c r="C70" s="14" t="s">
        <v>531</v>
      </c>
      <c r="D70" s="79">
        <v>45355</v>
      </c>
      <c r="E70" s="14">
        <v>2312</v>
      </c>
      <c r="G70" s="14" t="e">
        <f>VLOOKUP(F70,'Accident &amp; Incident Detail'!$D$3:$E$165,2,FALSE)</f>
        <v>#N/A</v>
      </c>
      <c r="H70" s="14" t="s">
        <v>537</v>
      </c>
      <c r="I70" s="14" t="s">
        <v>538</v>
      </c>
      <c r="J70" s="14" t="s">
        <v>345</v>
      </c>
      <c r="K70" s="14" t="s">
        <v>248</v>
      </c>
      <c r="L70" s="14" t="s">
        <v>236</v>
      </c>
      <c r="M70" s="79">
        <f t="shared" si="6"/>
        <v>45383</v>
      </c>
      <c r="N70" s="14">
        <f t="shared" ca="1" si="7"/>
        <v>1</v>
      </c>
      <c r="O70" s="79">
        <v>45368</v>
      </c>
      <c r="T70" s="14"/>
      <c r="U70" s="14"/>
      <c r="V70" s="14"/>
    </row>
    <row r="71" spans="1:22" ht="29" x14ac:dyDescent="0.35">
      <c r="A71" s="102" t="str">
        <f t="shared" si="8"/>
        <v>Closed</v>
      </c>
      <c r="B71" s="14" t="s">
        <v>93</v>
      </c>
      <c r="C71" s="14" t="s">
        <v>531</v>
      </c>
      <c r="D71" s="79">
        <v>45355</v>
      </c>
      <c r="E71" s="14">
        <v>2312</v>
      </c>
      <c r="G71" s="14" t="e">
        <f>VLOOKUP(F71,'Accident &amp; Incident Detail'!$D$3:$E$165,2,FALSE)</f>
        <v>#N/A</v>
      </c>
      <c r="H71" s="14" t="s">
        <v>539</v>
      </c>
      <c r="I71" s="14" t="s">
        <v>540</v>
      </c>
      <c r="J71" s="14" t="s">
        <v>345</v>
      </c>
      <c r="K71" s="14" t="s">
        <v>248</v>
      </c>
      <c r="L71" s="14" t="s">
        <v>236</v>
      </c>
      <c r="M71" s="79">
        <f t="shared" si="6"/>
        <v>45383</v>
      </c>
      <c r="N71" s="14">
        <f t="shared" ca="1" si="7"/>
        <v>1</v>
      </c>
      <c r="O71" s="79">
        <v>45376</v>
      </c>
      <c r="T71" s="14"/>
      <c r="U71" s="14"/>
      <c r="V71" s="14"/>
    </row>
    <row r="72" spans="1:22" ht="29" x14ac:dyDescent="0.35">
      <c r="A72" s="102" t="str">
        <f t="shared" si="8"/>
        <v>Closed</v>
      </c>
      <c r="B72" s="14" t="s">
        <v>91</v>
      </c>
      <c r="C72" s="14" t="s">
        <v>541</v>
      </c>
      <c r="D72" s="79">
        <v>45358</v>
      </c>
      <c r="E72" s="14">
        <v>2312</v>
      </c>
      <c r="G72" s="14" t="e">
        <f>VLOOKUP(F72,'Accident &amp; Incident Detail'!$D$3:$E$165,2,FALSE)</f>
        <v>#N/A</v>
      </c>
      <c r="H72" s="14" t="s">
        <v>542</v>
      </c>
      <c r="I72" s="14" t="s">
        <v>543</v>
      </c>
      <c r="J72" s="14" t="s">
        <v>241</v>
      </c>
      <c r="K72" s="14" t="s">
        <v>240</v>
      </c>
      <c r="L72" s="14" t="s">
        <v>241</v>
      </c>
      <c r="M72" s="79">
        <f t="shared" si="6"/>
        <v>45386</v>
      </c>
      <c r="N72" s="14">
        <f t="shared" ca="1" si="7"/>
        <v>1</v>
      </c>
      <c r="O72" s="79">
        <v>45366</v>
      </c>
      <c r="Q72" s="14" t="s">
        <v>544</v>
      </c>
      <c r="T72" s="14"/>
      <c r="U72" s="14"/>
      <c r="V72" s="14"/>
    </row>
    <row r="73" spans="1:22" ht="29" x14ac:dyDescent="0.35">
      <c r="A73" s="102" t="str">
        <f t="shared" si="8"/>
        <v>Closed</v>
      </c>
      <c r="B73" s="14" t="s">
        <v>91</v>
      </c>
      <c r="C73" s="14" t="s">
        <v>545</v>
      </c>
      <c r="D73" s="79">
        <v>45358</v>
      </c>
      <c r="E73" s="14">
        <v>2312</v>
      </c>
      <c r="G73" s="14" t="e">
        <f>VLOOKUP(F73,'Accident &amp; Incident Detail'!$D$3:$E$165,2,FALSE)</f>
        <v>#N/A</v>
      </c>
      <c r="H73" s="14" t="s">
        <v>546</v>
      </c>
      <c r="I73" s="14" t="s">
        <v>547</v>
      </c>
      <c r="J73" s="14" t="s">
        <v>241</v>
      </c>
      <c r="K73" s="14" t="s">
        <v>240</v>
      </c>
      <c r="L73" s="14" t="s">
        <v>241</v>
      </c>
      <c r="M73" s="79">
        <f t="shared" si="6"/>
        <v>45386</v>
      </c>
      <c r="N73" s="14">
        <f t="shared" ca="1" si="7"/>
        <v>1</v>
      </c>
      <c r="O73" s="79">
        <v>45362</v>
      </c>
      <c r="Q73" s="14" t="s">
        <v>548</v>
      </c>
      <c r="T73" s="14"/>
      <c r="U73" s="14"/>
      <c r="V73" s="14"/>
    </row>
    <row r="74" spans="1:22" ht="43.5" x14ac:dyDescent="0.35">
      <c r="A74" s="102" t="str">
        <f t="shared" si="8"/>
        <v>Closed</v>
      </c>
      <c r="B74" s="14" t="s">
        <v>91</v>
      </c>
      <c r="C74" s="14" t="s">
        <v>502</v>
      </c>
      <c r="D74" s="79">
        <v>45359</v>
      </c>
      <c r="E74" s="14">
        <v>2312</v>
      </c>
      <c r="G74" s="14" t="e">
        <f>VLOOKUP(F74,'Accident &amp; Incident Detail'!$D$3:$E$165,2,FALSE)</f>
        <v>#N/A</v>
      </c>
      <c r="H74" s="14" t="s">
        <v>549</v>
      </c>
      <c r="I74" s="14" t="s">
        <v>550</v>
      </c>
      <c r="J74" s="14" t="s">
        <v>241</v>
      </c>
      <c r="K74" s="14" t="s">
        <v>239</v>
      </c>
      <c r="L74" s="14" t="s">
        <v>241</v>
      </c>
      <c r="M74" s="79">
        <f t="shared" si="6"/>
        <v>45387</v>
      </c>
      <c r="N74" s="14">
        <f t="shared" ca="1" si="7"/>
        <v>1</v>
      </c>
      <c r="O74" s="79">
        <v>45387</v>
      </c>
      <c r="Q74" s="14" t="s">
        <v>551</v>
      </c>
      <c r="T74" s="14"/>
      <c r="U74" s="14"/>
      <c r="V74" s="14"/>
    </row>
    <row r="75" spans="1:22" ht="29" x14ac:dyDescent="0.35">
      <c r="A75" s="102" t="str">
        <f t="shared" si="8"/>
        <v>Closed</v>
      </c>
      <c r="B75" s="14" t="s">
        <v>91</v>
      </c>
      <c r="C75" s="14" t="s">
        <v>160</v>
      </c>
      <c r="D75" s="79">
        <v>45364</v>
      </c>
      <c r="E75" s="14">
        <v>2312</v>
      </c>
      <c r="G75" s="14" t="e">
        <f>VLOOKUP(F75,'Accident &amp; Incident Detail'!$D$3:$E$165,2,FALSE)</f>
        <v>#N/A</v>
      </c>
      <c r="H75" s="14" t="s">
        <v>552</v>
      </c>
      <c r="I75" s="14" t="s">
        <v>553</v>
      </c>
      <c r="J75" s="14" t="s">
        <v>345</v>
      </c>
      <c r="K75" s="14" t="s">
        <v>248</v>
      </c>
      <c r="L75" s="14" t="s">
        <v>236</v>
      </c>
      <c r="M75" s="79">
        <f t="shared" si="6"/>
        <v>45392</v>
      </c>
      <c r="N75" s="14">
        <f t="shared" ca="1" si="7"/>
        <v>1</v>
      </c>
      <c r="O75" s="79">
        <v>45415</v>
      </c>
      <c r="Q75" s="14" t="s">
        <v>554</v>
      </c>
      <c r="T75" s="14"/>
      <c r="U75" s="14"/>
      <c r="V75" s="14"/>
    </row>
    <row r="76" spans="1:22" ht="29" x14ac:dyDescent="0.35">
      <c r="A76" s="102" t="str">
        <f t="shared" si="8"/>
        <v>Closed</v>
      </c>
      <c r="B76" s="14" t="s">
        <v>91</v>
      </c>
      <c r="C76" s="14" t="s">
        <v>160</v>
      </c>
      <c r="D76" s="79">
        <v>45364</v>
      </c>
      <c r="E76" s="14">
        <v>2312</v>
      </c>
      <c r="G76" s="14" t="e">
        <f>VLOOKUP(F76,'Accident &amp; Incident Detail'!$D$3:$E$165,2,FALSE)</f>
        <v>#N/A</v>
      </c>
      <c r="H76" s="14" t="s">
        <v>555</v>
      </c>
      <c r="I76" s="14" t="s">
        <v>556</v>
      </c>
      <c r="J76" s="14" t="s">
        <v>345</v>
      </c>
      <c r="K76" s="14" t="s">
        <v>248</v>
      </c>
      <c r="L76" s="14" t="s">
        <v>236</v>
      </c>
      <c r="M76" s="79">
        <f t="shared" si="6"/>
        <v>45392</v>
      </c>
      <c r="N76" s="14">
        <f t="shared" ca="1" si="7"/>
        <v>1</v>
      </c>
      <c r="O76" s="79">
        <v>45415</v>
      </c>
      <c r="Q76" s="14" t="s">
        <v>557</v>
      </c>
      <c r="T76" s="14"/>
      <c r="U76" s="14"/>
      <c r="V76" s="14"/>
    </row>
    <row r="77" spans="1:22" ht="29" x14ac:dyDescent="0.35">
      <c r="A77" s="102" t="str">
        <f t="shared" si="8"/>
        <v>Closed</v>
      </c>
      <c r="B77" s="14" t="s">
        <v>241</v>
      </c>
      <c r="C77" s="14" t="s">
        <v>531</v>
      </c>
      <c r="D77" s="79">
        <v>45364</v>
      </c>
      <c r="E77" s="14">
        <v>2312</v>
      </c>
      <c r="G77" s="14" t="e">
        <f>VLOOKUP(F77,'Accident &amp; Incident Detail'!$D$3:$E$165,2,FALSE)</f>
        <v>#N/A</v>
      </c>
      <c r="H77" s="14" t="s">
        <v>558</v>
      </c>
      <c r="I77" s="14" t="s">
        <v>559</v>
      </c>
      <c r="J77" s="14" t="s">
        <v>372</v>
      </c>
      <c r="K77" s="14" t="s">
        <v>222</v>
      </c>
      <c r="L77" s="14" t="s">
        <v>236</v>
      </c>
      <c r="M77" s="79">
        <f t="shared" si="6"/>
        <v>45392</v>
      </c>
      <c r="N77" s="14">
        <f t="shared" ca="1" si="7"/>
        <v>1</v>
      </c>
      <c r="O77" s="79">
        <v>45383</v>
      </c>
      <c r="T77" s="14"/>
      <c r="U77" s="14"/>
      <c r="V77" s="14"/>
    </row>
    <row r="78" spans="1:22" ht="29" x14ac:dyDescent="0.35">
      <c r="A78" s="102" t="str">
        <f t="shared" si="8"/>
        <v>Closed</v>
      </c>
      <c r="B78" s="14" t="s">
        <v>241</v>
      </c>
      <c r="C78" s="14" t="s">
        <v>531</v>
      </c>
      <c r="D78" s="79">
        <v>45365</v>
      </c>
      <c r="E78" s="14">
        <v>2312</v>
      </c>
      <c r="G78" s="14" t="e">
        <f>VLOOKUP(F78,'Accident &amp; Incident Detail'!$D$3:$E$165,2,FALSE)</f>
        <v>#N/A</v>
      </c>
      <c r="H78" s="14" t="s">
        <v>560</v>
      </c>
      <c r="I78" s="14" t="s">
        <v>561</v>
      </c>
      <c r="J78" s="14" t="s">
        <v>241</v>
      </c>
      <c r="K78" s="14" t="s">
        <v>239</v>
      </c>
      <c r="L78" s="14" t="s">
        <v>241</v>
      </c>
      <c r="M78" s="79">
        <f t="shared" si="6"/>
        <v>45393</v>
      </c>
      <c r="N78" s="14">
        <f t="shared" ca="1" si="7"/>
        <v>1</v>
      </c>
      <c r="O78" s="79">
        <v>45534</v>
      </c>
      <c r="T78" s="14"/>
      <c r="U78" s="14"/>
      <c r="V78" s="14"/>
    </row>
    <row r="79" spans="1:22" ht="29" x14ac:dyDescent="0.35">
      <c r="A79" s="102" t="str">
        <f t="shared" si="8"/>
        <v>Closed</v>
      </c>
      <c r="B79" s="14" t="s">
        <v>95</v>
      </c>
      <c r="C79" s="14" t="s">
        <v>174</v>
      </c>
      <c r="D79" s="79">
        <v>45370</v>
      </c>
      <c r="E79" s="14">
        <v>2311</v>
      </c>
      <c r="F79" s="14" t="s">
        <v>562</v>
      </c>
      <c r="G79" s="14" t="str">
        <f>VLOOKUP(F79,'Accident &amp; Incident Detail'!$D$3:$E$1154,2,FALSE)</f>
        <v xml:space="preserve">Tramstop Overrun </v>
      </c>
      <c r="H79" s="14" t="s">
        <v>563</v>
      </c>
      <c r="I79" s="112" t="s">
        <v>564</v>
      </c>
      <c r="J79" s="14" t="s">
        <v>234</v>
      </c>
      <c r="K79" s="14" t="s">
        <v>255</v>
      </c>
      <c r="L79" s="14" t="s">
        <v>234</v>
      </c>
      <c r="M79" s="79">
        <f t="shared" si="6"/>
        <v>45398</v>
      </c>
      <c r="N79" s="14">
        <f t="shared" ca="1" si="7"/>
        <v>1</v>
      </c>
      <c r="O79" s="79">
        <v>45370</v>
      </c>
    </row>
    <row r="80" spans="1:22" ht="29" x14ac:dyDescent="0.35">
      <c r="A80" s="102" t="str">
        <f t="shared" si="8"/>
        <v>Closed</v>
      </c>
      <c r="B80" s="14" t="s">
        <v>95</v>
      </c>
      <c r="C80" s="14" t="s">
        <v>174</v>
      </c>
      <c r="D80" s="79">
        <v>45370</v>
      </c>
      <c r="E80" s="14">
        <v>2311</v>
      </c>
      <c r="F80" s="14" t="s">
        <v>562</v>
      </c>
      <c r="G80" s="14" t="str">
        <f>VLOOKUP(F80,'Accident &amp; Incident Detail'!$D$3:$E$1154,2,FALSE)</f>
        <v xml:space="preserve">Tramstop Overrun </v>
      </c>
      <c r="H80" s="14" t="s">
        <v>565</v>
      </c>
      <c r="I80" s="112" t="s">
        <v>449</v>
      </c>
      <c r="J80" s="14" t="s">
        <v>234</v>
      </c>
      <c r="K80" s="14" t="s">
        <v>255</v>
      </c>
      <c r="L80" s="14" t="s">
        <v>234</v>
      </c>
      <c r="M80" s="79">
        <f t="shared" si="6"/>
        <v>45398</v>
      </c>
      <c r="N80" s="14">
        <f t="shared" ca="1" si="7"/>
        <v>1</v>
      </c>
      <c r="O80" s="79">
        <v>45370</v>
      </c>
    </row>
    <row r="81" spans="1:22" ht="29" x14ac:dyDescent="0.35">
      <c r="A81" s="102" t="str">
        <f t="shared" si="8"/>
        <v>Closed</v>
      </c>
      <c r="B81" s="14" t="s">
        <v>95</v>
      </c>
      <c r="C81" s="14" t="s">
        <v>174</v>
      </c>
      <c r="D81" s="79">
        <v>45370</v>
      </c>
      <c r="E81" s="14">
        <v>2311</v>
      </c>
      <c r="F81" s="14" t="s">
        <v>562</v>
      </c>
      <c r="G81" s="14" t="str">
        <f>VLOOKUP(F81,'Accident &amp; Incident Detail'!$D$3:$E$1154,2,FALSE)</f>
        <v xml:space="preserve">Tramstop Overrun </v>
      </c>
      <c r="H81" s="14" t="s">
        <v>566</v>
      </c>
      <c r="I81" s="14" t="s">
        <v>567</v>
      </c>
      <c r="J81" s="14" t="s">
        <v>401</v>
      </c>
      <c r="K81" s="14" t="s">
        <v>263</v>
      </c>
      <c r="L81" s="14" t="s">
        <v>234</v>
      </c>
      <c r="M81" s="79">
        <f t="shared" si="6"/>
        <v>45398</v>
      </c>
      <c r="N81" s="14">
        <f t="shared" ca="1" si="7"/>
        <v>1</v>
      </c>
      <c r="O81" s="79">
        <v>45428</v>
      </c>
    </row>
    <row r="82" spans="1:22" ht="43.5" x14ac:dyDescent="0.35">
      <c r="A82" s="102" t="str">
        <f t="shared" si="8"/>
        <v>Closed</v>
      </c>
      <c r="B82" s="14" t="s">
        <v>96</v>
      </c>
      <c r="C82" s="14" t="s">
        <v>365</v>
      </c>
      <c r="D82" s="79">
        <v>45375</v>
      </c>
      <c r="E82" s="14">
        <v>2402</v>
      </c>
      <c r="F82" s="14" t="s">
        <v>568</v>
      </c>
      <c r="G82" s="14" t="str">
        <f>VLOOKUP(F82,'Accident &amp; Incident Detail'!$D$3:$E$1154,2,FALSE)</f>
        <v>Near Miss</v>
      </c>
      <c r="H82" s="14" t="s">
        <v>569</v>
      </c>
      <c r="I82" s="14" t="s">
        <v>570</v>
      </c>
      <c r="J82" s="14" t="s">
        <v>372</v>
      </c>
      <c r="K82" s="14" t="s">
        <v>571</v>
      </c>
      <c r="L82" s="14" t="s">
        <v>236</v>
      </c>
      <c r="M82" s="79">
        <f t="shared" si="6"/>
        <v>45403</v>
      </c>
      <c r="N82" s="14">
        <f t="shared" ca="1" si="7"/>
        <v>1</v>
      </c>
      <c r="O82" s="79">
        <v>45443</v>
      </c>
    </row>
    <row r="83" spans="1:22" ht="29" x14ac:dyDescent="0.35">
      <c r="A83" s="102" t="str">
        <f t="shared" si="8"/>
        <v>Closed</v>
      </c>
      <c r="B83" s="14" t="s">
        <v>96</v>
      </c>
      <c r="C83" s="14" t="s">
        <v>365</v>
      </c>
      <c r="D83" s="79">
        <v>45375</v>
      </c>
      <c r="E83" s="14">
        <v>2402</v>
      </c>
      <c r="F83" s="14" t="s">
        <v>568</v>
      </c>
      <c r="G83" s="14" t="str">
        <f>VLOOKUP(F83,'Accident &amp; Incident Detail'!$D$3:$E$1154,2,FALSE)</f>
        <v>Near Miss</v>
      </c>
      <c r="H83" s="14" t="s">
        <v>572</v>
      </c>
      <c r="I83" s="14" t="s">
        <v>573</v>
      </c>
      <c r="J83" s="14" t="s">
        <v>401</v>
      </c>
      <c r="K83" s="14" t="s">
        <v>263</v>
      </c>
      <c r="L83" s="14" t="s">
        <v>234</v>
      </c>
      <c r="M83" s="79">
        <f t="shared" si="6"/>
        <v>45403</v>
      </c>
      <c r="N83" s="14">
        <f t="shared" ca="1" si="7"/>
        <v>1</v>
      </c>
      <c r="O83" s="79">
        <v>45443</v>
      </c>
    </row>
    <row r="84" spans="1:22" ht="29" x14ac:dyDescent="0.35">
      <c r="A84" s="102" t="str">
        <f t="shared" si="8"/>
        <v>Closed</v>
      </c>
      <c r="B84" s="14" t="s">
        <v>96</v>
      </c>
      <c r="C84" s="14" t="s">
        <v>365</v>
      </c>
      <c r="D84" s="79">
        <v>45375</v>
      </c>
      <c r="E84" s="14">
        <v>2402</v>
      </c>
      <c r="F84" s="14" t="s">
        <v>568</v>
      </c>
      <c r="G84" s="14" t="str">
        <f>VLOOKUP(F84,'Accident &amp; Incident Detail'!$D$3:$E$1154,2,FALSE)</f>
        <v>Near Miss</v>
      </c>
      <c r="H84" s="14" t="s">
        <v>574</v>
      </c>
      <c r="I84" s="14" t="s">
        <v>575</v>
      </c>
      <c r="J84" s="14" t="s">
        <v>401</v>
      </c>
      <c r="K84" s="14" t="s">
        <v>263</v>
      </c>
      <c r="L84" s="14" t="s">
        <v>234</v>
      </c>
      <c r="M84" s="79">
        <f t="shared" si="6"/>
        <v>45403</v>
      </c>
      <c r="N84" s="14">
        <f t="shared" ca="1" si="7"/>
        <v>1</v>
      </c>
      <c r="O84" s="79">
        <v>45443</v>
      </c>
    </row>
    <row r="85" spans="1:22" ht="43.5" x14ac:dyDescent="0.35">
      <c r="A85" s="102" t="str">
        <f t="shared" si="8"/>
        <v>Closed</v>
      </c>
      <c r="B85" s="14" t="s">
        <v>94</v>
      </c>
      <c r="C85" s="14" t="s">
        <v>531</v>
      </c>
      <c r="D85" s="79">
        <v>45376</v>
      </c>
      <c r="E85" s="14">
        <v>2401</v>
      </c>
      <c r="G85" s="14" t="e">
        <f>VLOOKUP(F85,'Accident &amp; Incident Detail'!$D$3:$E$165,2,FALSE)</f>
        <v>#N/A</v>
      </c>
      <c r="H85" s="14" t="s">
        <v>576</v>
      </c>
      <c r="I85" s="14" t="s">
        <v>577</v>
      </c>
      <c r="J85" s="14" t="s">
        <v>241</v>
      </c>
      <c r="K85" s="14" t="s">
        <v>239</v>
      </c>
      <c r="L85" s="14" t="s">
        <v>241</v>
      </c>
      <c r="M85" s="79">
        <f t="shared" si="6"/>
        <v>45404</v>
      </c>
      <c r="N85" s="14">
        <f t="shared" ca="1" si="7"/>
        <v>1</v>
      </c>
      <c r="O85" s="79">
        <v>45635</v>
      </c>
      <c r="Q85" s="14" t="s">
        <v>578</v>
      </c>
      <c r="T85" s="14"/>
      <c r="U85" s="14"/>
      <c r="V85" s="14"/>
    </row>
    <row r="86" spans="1:22" ht="29" x14ac:dyDescent="0.35">
      <c r="A86" s="102" t="str">
        <f t="shared" si="8"/>
        <v>Closed</v>
      </c>
      <c r="B86" s="14" t="s">
        <v>94</v>
      </c>
      <c r="C86" s="14" t="s">
        <v>531</v>
      </c>
      <c r="D86" s="79">
        <v>45376</v>
      </c>
      <c r="E86" s="14">
        <v>2401</v>
      </c>
      <c r="G86" s="14" t="e">
        <f>VLOOKUP(F86,'Accident &amp; Incident Detail'!$D$3:$E$165,2,FALSE)</f>
        <v>#N/A</v>
      </c>
      <c r="H86" s="14" t="s">
        <v>579</v>
      </c>
      <c r="I86" s="14" t="s">
        <v>580</v>
      </c>
      <c r="J86" s="14" t="s">
        <v>372</v>
      </c>
      <c r="K86" s="14" t="s">
        <v>271</v>
      </c>
      <c r="L86" s="14" t="s">
        <v>236</v>
      </c>
      <c r="M86" s="79">
        <f t="shared" si="6"/>
        <v>45404</v>
      </c>
      <c r="N86" s="14">
        <f ca="1">IF(D86="",3,IF(L86&lt;$A$2,1,0))</f>
        <v>0</v>
      </c>
      <c r="O86" s="79">
        <v>46066</v>
      </c>
      <c r="Q86" s="79"/>
      <c r="T86" s="14"/>
      <c r="U86" s="14"/>
      <c r="V86" s="14"/>
    </row>
    <row r="87" spans="1:22" ht="72.5" x14ac:dyDescent="0.35">
      <c r="A87" s="102" t="str">
        <f t="shared" si="8"/>
        <v>Closed</v>
      </c>
      <c r="B87" s="14" t="s">
        <v>94</v>
      </c>
      <c r="C87" s="14" t="s">
        <v>531</v>
      </c>
      <c r="D87" s="79">
        <v>45376</v>
      </c>
      <c r="E87" s="14">
        <v>2401</v>
      </c>
      <c r="G87" s="14" t="e">
        <f>VLOOKUP(F87,'Accident &amp; Incident Detail'!$D$3:$E$165,2,FALSE)</f>
        <v>#N/A</v>
      </c>
      <c r="H87" s="14" t="s">
        <v>581</v>
      </c>
      <c r="I87" s="14" t="s">
        <v>582</v>
      </c>
      <c r="J87" s="14" t="s">
        <v>372</v>
      </c>
      <c r="K87" s="14" t="s">
        <v>222</v>
      </c>
      <c r="L87" s="14" t="s">
        <v>236</v>
      </c>
      <c r="M87" s="79">
        <v>45473</v>
      </c>
      <c r="N87" s="14">
        <f t="shared" ref="N87:N118" ca="1" si="9">IF(D87="",3,IF(M87&lt;$A$2,1,0))</f>
        <v>1</v>
      </c>
      <c r="O87" s="79">
        <v>45555</v>
      </c>
      <c r="Q87" s="14" t="s">
        <v>583</v>
      </c>
      <c r="T87" s="14"/>
      <c r="U87" s="14"/>
      <c r="V87" s="14"/>
    </row>
    <row r="88" spans="1:22" ht="72.5" x14ac:dyDescent="0.35">
      <c r="A88" s="102" t="str">
        <f t="shared" si="8"/>
        <v>Closed</v>
      </c>
      <c r="B88" s="14" t="s">
        <v>94</v>
      </c>
      <c r="C88" s="14" t="s">
        <v>531</v>
      </c>
      <c r="D88" s="79">
        <v>45376</v>
      </c>
      <c r="E88" s="14">
        <v>2401</v>
      </c>
      <c r="G88" s="14" t="e">
        <f>VLOOKUP(F88,'Accident &amp; Incident Detail'!$D$3:$E$165,2,FALSE)</f>
        <v>#N/A</v>
      </c>
      <c r="H88" s="14" t="s">
        <v>584</v>
      </c>
      <c r="I88" s="14" t="s">
        <v>585</v>
      </c>
      <c r="J88" s="14" t="s">
        <v>372</v>
      </c>
      <c r="K88" s="14" t="s">
        <v>222</v>
      </c>
      <c r="L88" s="14" t="s">
        <v>236</v>
      </c>
      <c r="M88" s="79">
        <f t="shared" ref="M88:M96" si="10">IF(D88="","",D88+28)</f>
        <v>45404</v>
      </c>
      <c r="N88" s="14">
        <f t="shared" ca="1" si="9"/>
        <v>1</v>
      </c>
      <c r="O88" s="79">
        <v>46042</v>
      </c>
      <c r="Q88" s="14" t="s">
        <v>586</v>
      </c>
      <c r="T88" s="14"/>
      <c r="U88" s="14"/>
      <c r="V88" s="14"/>
    </row>
    <row r="89" spans="1:22" ht="72.5" x14ac:dyDescent="0.35">
      <c r="A89" s="102" t="str">
        <f t="shared" si="8"/>
        <v>Closed</v>
      </c>
      <c r="B89" s="14" t="s">
        <v>94</v>
      </c>
      <c r="C89" s="14" t="s">
        <v>531</v>
      </c>
      <c r="D89" s="79">
        <v>45376</v>
      </c>
      <c r="E89" s="14">
        <v>2401</v>
      </c>
      <c r="G89" s="14" t="e">
        <f>VLOOKUP(F89,'Accident &amp; Incident Detail'!$D$3:$E$165,2,FALSE)</f>
        <v>#N/A</v>
      </c>
      <c r="H89" s="14" t="s">
        <v>587</v>
      </c>
      <c r="I89" s="14" t="s">
        <v>588</v>
      </c>
      <c r="J89" s="14" t="s">
        <v>372</v>
      </c>
      <c r="K89" s="14" t="s">
        <v>222</v>
      </c>
      <c r="L89" s="14" t="s">
        <v>236</v>
      </c>
      <c r="M89" s="79">
        <f t="shared" si="10"/>
        <v>45404</v>
      </c>
      <c r="N89" s="14">
        <f t="shared" ca="1" si="9"/>
        <v>1</v>
      </c>
      <c r="O89" s="79">
        <v>46042</v>
      </c>
      <c r="Q89" s="14" t="s">
        <v>589</v>
      </c>
      <c r="T89" s="14"/>
      <c r="U89" s="14"/>
      <c r="V89" s="14"/>
    </row>
    <row r="90" spans="1:22" ht="72.5" x14ac:dyDescent="0.35">
      <c r="A90" s="102" t="str">
        <f t="shared" si="8"/>
        <v>Closed</v>
      </c>
      <c r="B90" s="14" t="s">
        <v>94</v>
      </c>
      <c r="C90" s="14" t="s">
        <v>531</v>
      </c>
      <c r="D90" s="79">
        <v>45376</v>
      </c>
      <c r="E90" s="14">
        <v>2401</v>
      </c>
      <c r="G90" s="14" t="e">
        <f>VLOOKUP(F90,'Accident &amp; Incident Detail'!$D$3:$E$165,2,FALSE)</f>
        <v>#N/A</v>
      </c>
      <c r="H90" s="14" t="s">
        <v>590</v>
      </c>
      <c r="I90" s="14" t="s">
        <v>591</v>
      </c>
      <c r="J90" s="14" t="s">
        <v>372</v>
      </c>
      <c r="K90" s="14" t="s">
        <v>222</v>
      </c>
      <c r="L90" s="14" t="s">
        <v>236</v>
      </c>
      <c r="M90" s="79">
        <f t="shared" si="10"/>
        <v>45404</v>
      </c>
      <c r="N90" s="14">
        <f t="shared" ca="1" si="9"/>
        <v>1</v>
      </c>
      <c r="O90" s="79">
        <v>46042</v>
      </c>
      <c r="Q90" s="14" t="s">
        <v>592</v>
      </c>
      <c r="T90" s="14"/>
      <c r="U90" s="14"/>
      <c r="V90" s="14"/>
    </row>
    <row r="91" spans="1:22" ht="72.5" x14ac:dyDescent="0.35">
      <c r="A91" s="102" t="str">
        <f t="shared" ca="1" si="8"/>
        <v>Open</v>
      </c>
      <c r="B91" s="14" t="s">
        <v>94</v>
      </c>
      <c r="C91" s="14" t="s">
        <v>531</v>
      </c>
      <c r="D91" s="79">
        <v>45376</v>
      </c>
      <c r="E91" s="14">
        <v>2401</v>
      </c>
      <c r="G91" s="14" t="e">
        <f>VLOOKUP(F91,'Accident &amp; Incident Detail'!$D$3:$E$165,2,FALSE)</f>
        <v>#N/A</v>
      </c>
      <c r="H91" s="14" t="s">
        <v>593</v>
      </c>
      <c r="I91" s="14" t="s">
        <v>594</v>
      </c>
      <c r="J91" s="14" t="s">
        <v>372</v>
      </c>
      <c r="K91" s="14" t="s">
        <v>271</v>
      </c>
      <c r="L91" s="14" t="s">
        <v>236</v>
      </c>
      <c r="M91" s="79">
        <v>46066</v>
      </c>
      <c r="N91" s="14">
        <f t="shared" ca="1" si="9"/>
        <v>0</v>
      </c>
      <c r="Q91" s="14" t="s">
        <v>595</v>
      </c>
      <c r="T91" s="14"/>
      <c r="U91" s="14"/>
      <c r="V91" s="14"/>
    </row>
    <row r="92" spans="1:22" ht="29" x14ac:dyDescent="0.35">
      <c r="A92" s="102" t="str">
        <f t="shared" si="8"/>
        <v>Closed</v>
      </c>
      <c r="B92" s="14" t="s">
        <v>91</v>
      </c>
      <c r="C92" s="14" t="s">
        <v>596</v>
      </c>
      <c r="D92" s="79">
        <v>45378</v>
      </c>
      <c r="E92" s="14">
        <v>2401</v>
      </c>
      <c r="G92" s="14" t="e">
        <f>VLOOKUP(F92,'Accident &amp; Incident Detail'!$D$3:$E$165,2,FALSE)</f>
        <v>#N/A</v>
      </c>
      <c r="H92" s="14" t="s">
        <v>597</v>
      </c>
      <c r="I92" s="14" t="s">
        <v>598</v>
      </c>
      <c r="J92" s="14" t="s">
        <v>328</v>
      </c>
      <c r="K92" s="14" t="s">
        <v>244</v>
      </c>
      <c r="L92" s="14" t="s">
        <v>236</v>
      </c>
      <c r="M92" s="79">
        <f t="shared" si="10"/>
        <v>45406</v>
      </c>
      <c r="N92" s="14">
        <f t="shared" ca="1" si="9"/>
        <v>1</v>
      </c>
      <c r="O92" s="79">
        <v>45378</v>
      </c>
      <c r="T92" s="14"/>
      <c r="U92" s="14"/>
      <c r="V92" s="14"/>
    </row>
    <row r="93" spans="1:22" ht="72.5" x14ac:dyDescent="0.35">
      <c r="A93" s="102" t="str">
        <f t="shared" si="8"/>
        <v>Closed</v>
      </c>
      <c r="B93" s="14" t="s">
        <v>91</v>
      </c>
      <c r="C93" s="14" t="s">
        <v>599</v>
      </c>
      <c r="D93" s="79">
        <v>45385</v>
      </c>
      <c r="E93" s="14">
        <v>2401</v>
      </c>
      <c r="G93" s="14" t="e">
        <f>VLOOKUP(F93,'Accident &amp; Incident Detail'!$D$3:$E$165,2,FALSE)</f>
        <v>#N/A</v>
      </c>
      <c r="H93" s="14" t="s">
        <v>600</v>
      </c>
      <c r="I93" s="14" t="s">
        <v>601</v>
      </c>
      <c r="J93" s="14" t="s">
        <v>345</v>
      </c>
      <c r="K93" s="14" t="s">
        <v>248</v>
      </c>
      <c r="L93" s="14" t="s">
        <v>236</v>
      </c>
      <c r="M93" s="79">
        <f t="shared" si="10"/>
        <v>45413</v>
      </c>
      <c r="N93" s="14">
        <f t="shared" ca="1" si="9"/>
        <v>1</v>
      </c>
      <c r="O93" s="79">
        <v>45415</v>
      </c>
      <c r="Q93" s="14" t="s">
        <v>602</v>
      </c>
      <c r="T93" s="14"/>
      <c r="U93" s="14"/>
      <c r="V93" s="14"/>
    </row>
    <row r="94" spans="1:22" ht="101.5" x14ac:dyDescent="0.35">
      <c r="A94" s="102" t="str">
        <f t="shared" si="8"/>
        <v>Closed</v>
      </c>
      <c r="B94" s="14" t="s">
        <v>91</v>
      </c>
      <c r="C94" s="14" t="s">
        <v>181</v>
      </c>
      <c r="D94" s="79">
        <v>45385</v>
      </c>
      <c r="E94" s="14">
        <v>2401</v>
      </c>
      <c r="G94" s="14" t="e">
        <f>VLOOKUP(F94,'Accident &amp; Incident Detail'!$D$3:$E$165,2,FALSE)</f>
        <v>#N/A</v>
      </c>
      <c r="H94" s="14" t="s">
        <v>603</v>
      </c>
      <c r="I94" s="112" t="s">
        <v>604</v>
      </c>
      <c r="J94" s="14" t="s">
        <v>234</v>
      </c>
      <c r="K94" s="14" t="s">
        <v>259</v>
      </c>
      <c r="L94" s="14" t="s">
        <v>234</v>
      </c>
      <c r="M94" s="79">
        <f t="shared" si="10"/>
        <v>45413</v>
      </c>
      <c r="N94" s="14">
        <f t="shared" ca="1" si="9"/>
        <v>1</v>
      </c>
      <c r="O94" s="79">
        <v>45400</v>
      </c>
      <c r="Q94" s="14" t="s">
        <v>605</v>
      </c>
      <c r="T94" s="14"/>
      <c r="U94" s="14"/>
      <c r="V94" s="14"/>
    </row>
    <row r="95" spans="1:22" ht="58" x14ac:dyDescent="0.35">
      <c r="A95" s="102" t="str">
        <f t="shared" si="8"/>
        <v>Closed</v>
      </c>
      <c r="B95" s="14" t="s">
        <v>91</v>
      </c>
      <c r="C95" s="14" t="s">
        <v>185</v>
      </c>
      <c r="D95" s="79">
        <v>45385</v>
      </c>
      <c r="E95" s="14">
        <v>2401</v>
      </c>
      <c r="G95" s="14" t="e">
        <f>VLOOKUP(F95,'Accident &amp; Incident Detail'!$D$3:$E$165,2,FALSE)</f>
        <v>#N/A</v>
      </c>
      <c r="H95" s="14" t="s">
        <v>606</v>
      </c>
      <c r="I95" s="14" t="s">
        <v>607</v>
      </c>
      <c r="J95" s="14" t="s">
        <v>234</v>
      </c>
      <c r="K95" s="14" t="s">
        <v>226</v>
      </c>
      <c r="L95" s="14" t="s">
        <v>234</v>
      </c>
      <c r="M95" s="79">
        <f t="shared" si="10"/>
        <v>45413</v>
      </c>
      <c r="N95" s="14">
        <f t="shared" ca="1" si="9"/>
        <v>1</v>
      </c>
      <c r="O95" s="79">
        <v>45397</v>
      </c>
      <c r="Q95" s="14" t="s">
        <v>608</v>
      </c>
      <c r="T95" s="14"/>
      <c r="U95" s="14"/>
      <c r="V95" s="14"/>
    </row>
    <row r="96" spans="1:22" ht="48.65" customHeight="1" x14ac:dyDescent="0.35">
      <c r="A96" s="102" t="str">
        <f t="shared" ref="A96:A127" si="11">IF(O96&gt;1,"Closed",IF(N96=1,"Overdue",IF(N96=3,"","Open")))</f>
        <v>Closed</v>
      </c>
      <c r="B96" s="14" t="s">
        <v>99</v>
      </c>
      <c r="C96" s="14" t="s">
        <v>531</v>
      </c>
      <c r="D96" s="79">
        <v>45386</v>
      </c>
      <c r="E96" s="14">
        <v>2402</v>
      </c>
      <c r="G96" s="14" t="e">
        <f>VLOOKUP(F96,'Accident &amp; Incident Detail'!$D$3:$E$165,2,FALSE)</f>
        <v>#N/A</v>
      </c>
      <c r="H96" s="14" t="s">
        <v>609</v>
      </c>
      <c r="I96" s="14" t="s">
        <v>610</v>
      </c>
      <c r="J96" s="14" t="s">
        <v>345</v>
      </c>
      <c r="K96" s="14" t="s">
        <v>248</v>
      </c>
      <c r="L96" s="14" t="s">
        <v>236</v>
      </c>
      <c r="M96" s="79">
        <f t="shared" si="10"/>
        <v>45414</v>
      </c>
      <c r="N96" s="14">
        <f t="shared" ca="1" si="9"/>
        <v>1</v>
      </c>
      <c r="O96" s="79">
        <v>45392</v>
      </c>
      <c r="T96" s="14"/>
      <c r="U96" s="14"/>
      <c r="V96" s="14"/>
    </row>
    <row r="97" spans="1:22" ht="58" x14ac:dyDescent="0.35">
      <c r="A97" s="102" t="str">
        <f t="shared" ca="1" si="11"/>
        <v>Open</v>
      </c>
      <c r="B97" s="14" t="s">
        <v>93</v>
      </c>
      <c r="C97" s="14" t="s">
        <v>531</v>
      </c>
      <c r="D97" s="79">
        <v>45387</v>
      </c>
      <c r="E97" s="14">
        <v>2402</v>
      </c>
      <c r="G97" s="14" t="e">
        <f>VLOOKUP(F97,'Accident &amp; Incident Detail'!$D$3:$E$165,2,FALSE)</f>
        <v>#N/A</v>
      </c>
      <c r="H97" s="14" t="s">
        <v>611</v>
      </c>
      <c r="I97" s="14" t="s">
        <v>612</v>
      </c>
      <c r="J97" s="14" t="s">
        <v>241</v>
      </c>
      <c r="K97" s="14" t="s">
        <v>239</v>
      </c>
      <c r="L97" s="14" t="s">
        <v>241</v>
      </c>
      <c r="M97" s="79">
        <v>46116</v>
      </c>
      <c r="N97" s="14">
        <f t="shared" ca="1" si="9"/>
        <v>0</v>
      </c>
      <c r="T97" s="14"/>
      <c r="U97" s="14"/>
      <c r="V97" s="14"/>
    </row>
    <row r="98" spans="1:22" ht="72.5" x14ac:dyDescent="0.35">
      <c r="A98" s="102" t="str">
        <f t="shared" si="11"/>
        <v>Closed</v>
      </c>
      <c r="B98" s="14" t="s">
        <v>91</v>
      </c>
      <c r="C98" s="14" t="s">
        <v>325</v>
      </c>
      <c r="D98" s="79">
        <v>45391</v>
      </c>
      <c r="E98" s="14">
        <v>2401</v>
      </c>
      <c r="G98" s="14" t="e">
        <f>VLOOKUP(F98,'Accident &amp; Incident Detail'!$D$3:$E$165,2,FALSE)</f>
        <v>#N/A</v>
      </c>
      <c r="H98" s="14" t="s">
        <v>613</v>
      </c>
      <c r="I98" s="14" t="s">
        <v>614</v>
      </c>
      <c r="J98" s="14" t="s">
        <v>372</v>
      </c>
      <c r="K98" s="14" t="s">
        <v>222</v>
      </c>
      <c r="L98" s="14" t="s">
        <v>236</v>
      </c>
      <c r="M98" s="79">
        <f t="shared" ref="M98:M129" si="12">IF(D98="","",D98+28)</f>
        <v>45419</v>
      </c>
      <c r="N98" s="14">
        <f t="shared" ca="1" si="9"/>
        <v>1</v>
      </c>
      <c r="O98" s="79">
        <v>45422</v>
      </c>
      <c r="Q98" s="14" t="s">
        <v>615</v>
      </c>
      <c r="T98" s="14"/>
      <c r="U98" s="14"/>
      <c r="V98" s="14"/>
    </row>
    <row r="99" spans="1:22" ht="29" x14ac:dyDescent="0.35">
      <c r="A99" s="102" t="str">
        <f t="shared" si="11"/>
        <v>Closed</v>
      </c>
      <c r="B99" s="14" t="s">
        <v>95</v>
      </c>
      <c r="C99" s="14" t="s">
        <v>177</v>
      </c>
      <c r="D99" s="79">
        <v>45391</v>
      </c>
      <c r="E99" s="14">
        <v>2402</v>
      </c>
      <c r="F99" s="14" t="s">
        <v>616</v>
      </c>
      <c r="G99" s="14" t="e">
        <f>VLOOKUP(F99,'Accident &amp; Incident Detail'!$D$3:$E$165,2,FALSE)</f>
        <v>#N/A</v>
      </c>
      <c r="H99" s="14" t="s">
        <v>617</v>
      </c>
      <c r="I99" s="14" t="s">
        <v>618</v>
      </c>
      <c r="J99" s="14" t="s">
        <v>234</v>
      </c>
      <c r="K99" s="14" t="s">
        <v>258</v>
      </c>
      <c r="L99" s="14" t="s">
        <v>234</v>
      </c>
      <c r="M99" s="79">
        <f t="shared" si="12"/>
        <v>45419</v>
      </c>
      <c r="N99" s="14">
        <f t="shared" ca="1" si="9"/>
        <v>1</v>
      </c>
      <c r="O99" s="79">
        <v>45390</v>
      </c>
      <c r="T99" s="14"/>
      <c r="U99" s="14"/>
      <c r="V99" s="14"/>
    </row>
    <row r="100" spans="1:22" ht="72.5" x14ac:dyDescent="0.35">
      <c r="A100" s="102" t="str">
        <f t="shared" si="11"/>
        <v>Closed</v>
      </c>
      <c r="B100" s="14" t="s">
        <v>95</v>
      </c>
      <c r="C100" s="14" t="s">
        <v>523</v>
      </c>
      <c r="D100" s="79">
        <v>45391</v>
      </c>
      <c r="E100" s="14">
        <v>2402</v>
      </c>
      <c r="F100" s="14" t="s">
        <v>616</v>
      </c>
      <c r="G100" s="14" t="e">
        <f>VLOOKUP(F100,'Accident &amp; Incident Detail'!$D$3:$E$165,2,FALSE)</f>
        <v>#N/A</v>
      </c>
      <c r="H100" s="14" t="s">
        <v>619</v>
      </c>
      <c r="I100" s="14" t="s">
        <v>620</v>
      </c>
      <c r="J100" s="14" t="s">
        <v>234</v>
      </c>
      <c r="K100" s="14" t="s">
        <v>430</v>
      </c>
      <c r="L100" s="14" t="s">
        <v>236</v>
      </c>
      <c r="M100" s="79">
        <f t="shared" si="12"/>
        <v>45419</v>
      </c>
      <c r="N100" s="14">
        <f t="shared" ca="1" si="9"/>
        <v>1</v>
      </c>
      <c r="O100" s="79" t="s">
        <v>621</v>
      </c>
      <c r="Q100" s="14" t="s">
        <v>622</v>
      </c>
      <c r="T100" s="14"/>
      <c r="U100" s="14"/>
      <c r="V100" s="14"/>
    </row>
    <row r="101" spans="1:22" ht="43.5" x14ac:dyDescent="0.35">
      <c r="A101" s="102" t="str">
        <f t="shared" si="11"/>
        <v>Closed</v>
      </c>
      <c r="B101" s="14" t="s">
        <v>95</v>
      </c>
      <c r="C101" s="14" t="s">
        <v>523</v>
      </c>
      <c r="D101" s="79">
        <v>45391</v>
      </c>
      <c r="E101" s="14">
        <v>2402</v>
      </c>
      <c r="F101" s="14" t="s">
        <v>616</v>
      </c>
      <c r="G101" s="14" t="e">
        <f>VLOOKUP(F101,'Accident &amp; Incident Detail'!$D$3:$E$165,2,FALSE)</f>
        <v>#N/A</v>
      </c>
      <c r="H101" s="14" t="s">
        <v>623</v>
      </c>
      <c r="I101" s="14" t="s">
        <v>624</v>
      </c>
      <c r="J101" s="14" t="s">
        <v>234</v>
      </c>
      <c r="K101" s="14" t="s">
        <v>259</v>
      </c>
      <c r="L101" s="14" t="s">
        <v>234</v>
      </c>
      <c r="M101" s="79">
        <f t="shared" si="12"/>
        <v>45419</v>
      </c>
      <c r="N101" s="14">
        <f t="shared" ca="1" si="9"/>
        <v>1</v>
      </c>
      <c r="O101" s="79">
        <v>45333</v>
      </c>
      <c r="T101" s="14"/>
      <c r="U101" s="14"/>
      <c r="V101" s="14"/>
    </row>
    <row r="102" spans="1:22" ht="29" x14ac:dyDescent="0.35">
      <c r="A102" s="102" t="str">
        <f t="shared" si="11"/>
        <v>Closed</v>
      </c>
      <c r="B102" s="14" t="s">
        <v>95</v>
      </c>
      <c r="C102" s="14" t="s">
        <v>523</v>
      </c>
      <c r="D102" s="79">
        <v>45391</v>
      </c>
      <c r="E102" s="14">
        <v>2402</v>
      </c>
      <c r="F102" s="14" t="s">
        <v>616</v>
      </c>
      <c r="G102" s="14" t="e">
        <f>VLOOKUP(F102,'Accident &amp; Incident Detail'!$D$3:$E$165,2,FALSE)</f>
        <v>#N/A</v>
      </c>
      <c r="H102" s="14" t="s">
        <v>625</v>
      </c>
      <c r="I102" s="14" t="s">
        <v>626</v>
      </c>
      <c r="J102" s="14" t="s">
        <v>241</v>
      </c>
      <c r="K102" s="14" t="s">
        <v>239</v>
      </c>
      <c r="L102" s="14" t="s">
        <v>241</v>
      </c>
      <c r="M102" s="79">
        <f t="shared" si="12"/>
        <v>45419</v>
      </c>
      <c r="N102" s="14">
        <f t="shared" ca="1" si="9"/>
        <v>1</v>
      </c>
      <c r="O102" s="79">
        <v>45362</v>
      </c>
      <c r="Q102" s="14" t="s">
        <v>627</v>
      </c>
      <c r="T102" s="14"/>
      <c r="U102" s="14"/>
      <c r="V102" s="14"/>
    </row>
    <row r="103" spans="1:22" ht="58" x14ac:dyDescent="0.35">
      <c r="A103" s="102" t="str">
        <f t="shared" si="11"/>
        <v>Closed</v>
      </c>
      <c r="B103" s="14" t="s">
        <v>91</v>
      </c>
      <c r="C103" s="14" t="s">
        <v>531</v>
      </c>
      <c r="D103" s="79">
        <v>45392</v>
      </c>
      <c r="E103" s="14">
        <v>2401</v>
      </c>
      <c r="G103" s="14" t="e">
        <f>VLOOKUP(F103,'Accident &amp; Incident Detail'!$D$3:$E$165,2,FALSE)</f>
        <v>#N/A</v>
      </c>
      <c r="H103" s="14" t="s">
        <v>628</v>
      </c>
      <c r="I103" s="14" t="s">
        <v>629</v>
      </c>
      <c r="J103" s="14" t="s">
        <v>345</v>
      </c>
      <c r="K103" s="14" t="s">
        <v>248</v>
      </c>
      <c r="L103" s="14" t="s">
        <v>236</v>
      </c>
      <c r="M103" s="79">
        <f t="shared" si="12"/>
        <v>45420</v>
      </c>
      <c r="N103" s="14">
        <f t="shared" ca="1" si="9"/>
        <v>1</v>
      </c>
      <c r="O103" s="79">
        <v>45415</v>
      </c>
      <c r="Q103" s="14" t="s">
        <v>630</v>
      </c>
      <c r="T103" s="14"/>
      <c r="U103" s="14"/>
      <c r="V103" s="14"/>
    </row>
    <row r="104" spans="1:22" ht="29" x14ac:dyDescent="0.35">
      <c r="A104" s="102" t="str">
        <f t="shared" si="11"/>
        <v>Closed</v>
      </c>
      <c r="B104" s="14" t="s">
        <v>91</v>
      </c>
      <c r="C104" s="14" t="s">
        <v>531</v>
      </c>
      <c r="D104" s="79">
        <v>45393</v>
      </c>
      <c r="E104" s="14">
        <v>2401</v>
      </c>
      <c r="G104" s="14" t="e">
        <f>VLOOKUP(F104,'Accident &amp; Incident Detail'!$D$3:$E$165,2,FALSE)</f>
        <v>#N/A</v>
      </c>
      <c r="H104" s="14" t="s">
        <v>631</v>
      </c>
      <c r="I104" s="14" t="s">
        <v>632</v>
      </c>
      <c r="J104" s="14" t="s">
        <v>241</v>
      </c>
      <c r="K104" s="14" t="s">
        <v>239</v>
      </c>
      <c r="L104" s="14" t="s">
        <v>241</v>
      </c>
      <c r="M104" s="79">
        <f t="shared" si="12"/>
        <v>45421</v>
      </c>
      <c r="N104" s="14">
        <f t="shared" ca="1" si="9"/>
        <v>1</v>
      </c>
      <c r="O104" s="79">
        <v>45413</v>
      </c>
      <c r="Q104" s="14" t="s">
        <v>633</v>
      </c>
      <c r="T104" s="14"/>
      <c r="U104" s="14"/>
      <c r="V104" s="14"/>
    </row>
    <row r="105" spans="1:22" ht="58" x14ac:dyDescent="0.35">
      <c r="A105" s="102" t="str">
        <f t="shared" si="11"/>
        <v>Closed</v>
      </c>
      <c r="B105" s="14" t="s">
        <v>91</v>
      </c>
      <c r="C105" s="14" t="s">
        <v>531</v>
      </c>
      <c r="D105" s="79">
        <v>45393</v>
      </c>
      <c r="E105" s="14">
        <v>2401</v>
      </c>
      <c r="G105" s="14" t="e">
        <f>VLOOKUP(F105,'Accident &amp; Incident Detail'!$D$3:$E$165,2,FALSE)</f>
        <v>#N/A</v>
      </c>
      <c r="H105" s="14" t="s">
        <v>634</v>
      </c>
      <c r="I105" s="14" t="s">
        <v>635</v>
      </c>
      <c r="J105" s="14" t="s">
        <v>345</v>
      </c>
      <c r="K105" s="14" t="s">
        <v>248</v>
      </c>
      <c r="L105" s="14" t="s">
        <v>241</v>
      </c>
      <c r="M105" s="79">
        <f t="shared" si="12"/>
        <v>45421</v>
      </c>
      <c r="N105" s="14">
        <f t="shared" ca="1" si="9"/>
        <v>1</v>
      </c>
      <c r="O105" s="79">
        <v>45396</v>
      </c>
      <c r="Q105" s="14" t="s">
        <v>636</v>
      </c>
      <c r="T105" s="14"/>
      <c r="U105" s="14"/>
      <c r="V105" s="14"/>
    </row>
    <row r="106" spans="1:22" ht="72.5" x14ac:dyDescent="0.35">
      <c r="A106" s="102" t="str">
        <f t="shared" si="11"/>
        <v>Closed</v>
      </c>
      <c r="B106" s="14" t="s">
        <v>91</v>
      </c>
      <c r="C106" s="14" t="s">
        <v>637</v>
      </c>
      <c r="D106" s="79">
        <v>45393</v>
      </c>
      <c r="E106" s="14">
        <v>2401</v>
      </c>
      <c r="G106" s="14" t="e">
        <f>VLOOKUP(F106,'Accident &amp; Incident Detail'!$D$3:$E$165,2,FALSE)</f>
        <v>#N/A</v>
      </c>
      <c r="H106" s="14" t="s">
        <v>638</v>
      </c>
      <c r="I106" s="14" t="s">
        <v>639</v>
      </c>
      <c r="J106" s="14" t="s">
        <v>328</v>
      </c>
      <c r="K106" s="14" t="s">
        <v>430</v>
      </c>
      <c r="L106" s="14" t="s">
        <v>236</v>
      </c>
      <c r="M106" s="79">
        <f t="shared" si="12"/>
        <v>45421</v>
      </c>
      <c r="N106" s="14">
        <f t="shared" ca="1" si="9"/>
        <v>1</v>
      </c>
      <c r="O106" s="79">
        <v>45415</v>
      </c>
      <c r="Q106" s="14" t="s">
        <v>640</v>
      </c>
      <c r="T106" s="14"/>
      <c r="U106" s="14"/>
      <c r="V106" s="14"/>
    </row>
    <row r="107" spans="1:22" ht="72.5" x14ac:dyDescent="0.35">
      <c r="A107" s="102" t="str">
        <f t="shared" si="11"/>
        <v>Closed</v>
      </c>
      <c r="B107" s="14" t="s">
        <v>91</v>
      </c>
      <c r="C107" s="14">
        <v>7541</v>
      </c>
      <c r="D107" s="79">
        <v>45401</v>
      </c>
      <c r="E107" s="14">
        <v>2401</v>
      </c>
      <c r="G107" s="14" t="e">
        <f>VLOOKUP(F107,'Accident &amp; Incident Detail'!$D$3:$E$165,2,FALSE)</f>
        <v>#N/A</v>
      </c>
      <c r="H107" s="14" t="s">
        <v>641</v>
      </c>
      <c r="I107" s="14" t="s">
        <v>642</v>
      </c>
      <c r="J107" s="14" t="s">
        <v>328</v>
      </c>
      <c r="K107" s="14" t="s">
        <v>430</v>
      </c>
      <c r="L107" s="14" t="s">
        <v>236</v>
      </c>
      <c r="M107" s="79">
        <f t="shared" si="12"/>
        <v>45429</v>
      </c>
      <c r="N107" s="14">
        <f t="shared" ca="1" si="9"/>
        <v>1</v>
      </c>
      <c r="O107" s="79">
        <v>45401</v>
      </c>
      <c r="Q107" s="14" t="s">
        <v>643</v>
      </c>
      <c r="T107" s="14"/>
      <c r="U107" s="14"/>
      <c r="V107" s="14"/>
    </row>
    <row r="108" spans="1:22" ht="72.5" x14ac:dyDescent="0.35">
      <c r="A108" s="102" t="str">
        <f t="shared" si="11"/>
        <v>Closed</v>
      </c>
      <c r="B108" s="14" t="s">
        <v>91</v>
      </c>
      <c r="C108" s="14" t="s">
        <v>644</v>
      </c>
      <c r="D108" s="79">
        <v>45401</v>
      </c>
      <c r="E108" s="14">
        <v>2401</v>
      </c>
      <c r="G108" s="14" t="e">
        <f>VLOOKUP(F108,'Accident &amp; Incident Detail'!$D$3:$E$165,2,FALSE)</f>
        <v>#N/A</v>
      </c>
      <c r="H108" s="14" t="s">
        <v>645</v>
      </c>
      <c r="I108" s="14" t="s">
        <v>646</v>
      </c>
      <c r="J108" s="14" t="s">
        <v>241</v>
      </c>
      <c r="K108" s="14" t="s">
        <v>239</v>
      </c>
      <c r="L108" s="14" t="s">
        <v>241</v>
      </c>
      <c r="M108" s="79">
        <f t="shared" si="12"/>
        <v>45429</v>
      </c>
      <c r="N108" s="14">
        <f t="shared" ca="1" si="9"/>
        <v>1</v>
      </c>
      <c r="O108" s="79">
        <v>45713</v>
      </c>
      <c r="Q108" s="14" t="s">
        <v>647</v>
      </c>
      <c r="T108" s="14"/>
      <c r="U108" s="14"/>
      <c r="V108" s="14"/>
    </row>
    <row r="109" spans="1:22" ht="43.5" x14ac:dyDescent="0.35">
      <c r="A109" s="102" t="str">
        <f t="shared" si="11"/>
        <v>Closed</v>
      </c>
      <c r="B109" s="14" t="s">
        <v>253</v>
      </c>
      <c r="C109" s="14" t="s">
        <v>648</v>
      </c>
      <c r="D109" s="79">
        <v>45401</v>
      </c>
      <c r="E109" s="14">
        <v>2402</v>
      </c>
      <c r="G109" s="14" t="e">
        <f>VLOOKUP(F109,'Accident &amp; Incident Detail'!$D$3:$E$165,2,FALSE)</f>
        <v>#N/A</v>
      </c>
      <c r="H109" s="14" t="s">
        <v>649</v>
      </c>
      <c r="I109" s="14" t="s">
        <v>650</v>
      </c>
      <c r="J109" s="14" t="s">
        <v>328</v>
      </c>
      <c r="K109" s="14" t="s">
        <v>430</v>
      </c>
      <c r="L109" s="14" t="s">
        <v>236</v>
      </c>
      <c r="M109" s="79">
        <f t="shared" si="12"/>
        <v>45429</v>
      </c>
      <c r="N109" s="14">
        <f t="shared" ca="1" si="9"/>
        <v>1</v>
      </c>
      <c r="O109" s="79">
        <v>45637</v>
      </c>
      <c r="Q109" s="14" t="s">
        <v>651</v>
      </c>
      <c r="T109" s="14"/>
      <c r="U109" s="14"/>
      <c r="V109" s="14"/>
    </row>
    <row r="110" spans="1:22" ht="58" x14ac:dyDescent="0.35">
      <c r="A110" s="102" t="str">
        <f t="shared" si="11"/>
        <v>Closed</v>
      </c>
      <c r="B110" s="14" t="s">
        <v>91</v>
      </c>
      <c r="C110" s="14" t="s">
        <v>652</v>
      </c>
      <c r="D110" s="79">
        <v>45403</v>
      </c>
      <c r="E110" s="14">
        <v>2402</v>
      </c>
      <c r="G110" s="14" t="e">
        <f>VLOOKUP(F110,'Accident &amp; Incident Detail'!$D$3:$E$165,2,FALSE)</f>
        <v>#N/A</v>
      </c>
      <c r="H110" s="14" t="s">
        <v>653</v>
      </c>
      <c r="I110" s="14" t="s">
        <v>654</v>
      </c>
      <c r="J110" s="14" t="s">
        <v>372</v>
      </c>
      <c r="K110" s="14" t="s">
        <v>222</v>
      </c>
      <c r="L110" s="14" t="s">
        <v>236</v>
      </c>
      <c r="M110" s="79">
        <f t="shared" si="12"/>
        <v>45431</v>
      </c>
      <c r="N110" s="14">
        <f t="shared" ca="1" si="9"/>
        <v>1</v>
      </c>
      <c r="O110" s="79">
        <v>45687</v>
      </c>
      <c r="Q110" s="14" t="s">
        <v>655</v>
      </c>
      <c r="T110" s="14"/>
      <c r="U110" s="14"/>
      <c r="V110" s="14"/>
    </row>
    <row r="111" spans="1:22" ht="43.5" x14ac:dyDescent="0.35">
      <c r="A111" s="102" t="str">
        <f t="shared" si="11"/>
        <v>Closed</v>
      </c>
      <c r="B111" s="14" t="s">
        <v>91</v>
      </c>
      <c r="C111" s="14" t="s">
        <v>531</v>
      </c>
      <c r="D111" s="79">
        <v>45406</v>
      </c>
      <c r="E111" s="14">
        <v>2401</v>
      </c>
      <c r="G111" s="14" t="e">
        <f>VLOOKUP(F111,'Accident &amp; Incident Detail'!$D$3:$E$165,2,FALSE)</f>
        <v>#N/A</v>
      </c>
      <c r="H111" s="14" t="s">
        <v>656</v>
      </c>
      <c r="I111" s="14" t="s">
        <v>657</v>
      </c>
      <c r="J111" s="14" t="s">
        <v>345</v>
      </c>
      <c r="K111" s="14" t="s">
        <v>248</v>
      </c>
      <c r="L111" s="14" t="s">
        <v>236</v>
      </c>
      <c r="M111" s="79">
        <f t="shared" si="12"/>
        <v>45434</v>
      </c>
      <c r="N111" s="14">
        <f t="shared" ca="1" si="9"/>
        <v>1</v>
      </c>
      <c r="O111" s="79">
        <v>45415</v>
      </c>
      <c r="Q111" s="14" t="s">
        <v>658</v>
      </c>
      <c r="T111" s="14"/>
      <c r="U111" s="14"/>
      <c r="V111" s="14"/>
    </row>
    <row r="112" spans="1:22" ht="43.5" x14ac:dyDescent="0.35">
      <c r="A112" s="102" t="str">
        <f t="shared" si="11"/>
        <v>Closed</v>
      </c>
      <c r="B112" s="14" t="s">
        <v>91</v>
      </c>
      <c r="D112" s="79">
        <v>45407</v>
      </c>
      <c r="E112" s="14">
        <v>2401</v>
      </c>
      <c r="G112" s="14" t="e">
        <f>VLOOKUP(F112,'Accident &amp; Incident Detail'!$D$3:$E$165,2,FALSE)</f>
        <v>#N/A</v>
      </c>
      <c r="H112" s="14" t="s">
        <v>296</v>
      </c>
      <c r="I112" s="14" t="s">
        <v>659</v>
      </c>
      <c r="J112" s="14" t="s">
        <v>241</v>
      </c>
      <c r="K112" s="14" t="s">
        <v>239</v>
      </c>
      <c r="L112" s="14" t="s">
        <v>241</v>
      </c>
      <c r="M112" s="79">
        <f t="shared" si="12"/>
        <v>45435</v>
      </c>
      <c r="N112" s="14">
        <f t="shared" ca="1" si="9"/>
        <v>1</v>
      </c>
      <c r="O112" s="79">
        <v>45047</v>
      </c>
      <c r="Q112" s="14" t="s">
        <v>660</v>
      </c>
      <c r="T112" s="14"/>
      <c r="U112" s="14"/>
      <c r="V112" s="14"/>
    </row>
    <row r="113" spans="1:22" ht="29" x14ac:dyDescent="0.35">
      <c r="A113" s="102" t="str">
        <f t="shared" si="11"/>
        <v>Closed</v>
      </c>
      <c r="B113" s="14" t="s">
        <v>91</v>
      </c>
      <c r="C113" s="14" t="s">
        <v>531</v>
      </c>
      <c r="D113" s="79">
        <v>45407</v>
      </c>
      <c r="E113" s="14">
        <v>2401</v>
      </c>
      <c r="G113" s="14" t="e">
        <f>VLOOKUP(F113,'Accident &amp; Incident Detail'!$D$3:$E$165,2,FALSE)</f>
        <v>#N/A</v>
      </c>
      <c r="H113" s="14" t="s">
        <v>661</v>
      </c>
      <c r="I113" s="14" t="s">
        <v>662</v>
      </c>
      <c r="J113" s="14" t="s">
        <v>372</v>
      </c>
      <c r="K113" s="14" t="s">
        <v>222</v>
      </c>
      <c r="L113" s="14" t="s">
        <v>236</v>
      </c>
      <c r="M113" s="79">
        <f t="shared" si="12"/>
        <v>45435</v>
      </c>
      <c r="N113" s="14">
        <f t="shared" ca="1" si="9"/>
        <v>1</v>
      </c>
      <c r="O113" s="79">
        <v>45687</v>
      </c>
      <c r="Q113" s="14" t="s">
        <v>663</v>
      </c>
      <c r="T113" s="14"/>
      <c r="U113" s="14"/>
      <c r="V113" s="14"/>
    </row>
    <row r="114" spans="1:22" ht="29" x14ac:dyDescent="0.35">
      <c r="A114" s="102" t="str">
        <f t="shared" si="11"/>
        <v>Closed</v>
      </c>
      <c r="B114" s="14" t="s">
        <v>95</v>
      </c>
      <c r="C114" s="14" t="s">
        <v>175</v>
      </c>
      <c r="D114" s="79">
        <v>45407</v>
      </c>
      <c r="E114" s="14">
        <v>2402</v>
      </c>
      <c r="G114" s="14" t="e">
        <f>VLOOKUP(F114,'Accident &amp; Incident Detail'!$D$3:$E$165,2,FALSE)</f>
        <v>#N/A</v>
      </c>
      <c r="H114" s="14" t="s">
        <v>664</v>
      </c>
      <c r="I114" s="14" t="s">
        <v>665</v>
      </c>
      <c r="J114" s="14" t="s">
        <v>234</v>
      </c>
      <c r="K114" s="14" t="s">
        <v>255</v>
      </c>
      <c r="L114" s="14" t="s">
        <v>234</v>
      </c>
      <c r="M114" s="79">
        <f t="shared" si="12"/>
        <v>45435</v>
      </c>
      <c r="N114" s="14">
        <f t="shared" ca="1" si="9"/>
        <v>1</v>
      </c>
      <c r="O114" s="79">
        <v>45398</v>
      </c>
      <c r="T114" s="14"/>
      <c r="U114" s="14"/>
      <c r="V114" s="14"/>
    </row>
    <row r="115" spans="1:22" ht="29" x14ac:dyDescent="0.35">
      <c r="A115" s="102" t="str">
        <f t="shared" si="11"/>
        <v>Closed</v>
      </c>
      <c r="B115" s="14" t="s">
        <v>95</v>
      </c>
      <c r="C115" s="14" t="s">
        <v>138</v>
      </c>
      <c r="D115" s="79">
        <v>45407</v>
      </c>
      <c r="E115" s="14">
        <v>2402</v>
      </c>
      <c r="F115" s="14" t="s">
        <v>666</v>
      </c>
      <c r="G115" s="14" t="e">
        <f>VLOOKUP(F115,'Accident &amp; Incident Detail'!$D$3:$E$165,2,FALSE)</f>
        <v>#N/A</v>
      </c>
      <c r="H115" s="14" t="s">
        <v>667</v>
      </c>
      <c r="I115" s="14" t="s">
        <v>668</v>
      </c>
      <c r="J115" s="14" t="s">
        <v>234</v>
      </c>
      <c r="K115" s="14" t="s">
        <v>210</v>
      </c>
      <c r="L115" s="14" t="s">
        <v>234</v>
      </c>
      <c r="M115" s="79">
        <f t="shared" si="12"/>
        <v>45435</v>
      </c>
      <c r="N115" s="14">
        <f t="shared" ca="1" si="9"/>
        <v>1</v>
      </c>
      <c r="O115" s="79">
        <v>45406</v>
      </c>
      <c r="T115" s="14"/>
      <c r="U115" s="14"/>
      <c r="V115" s="14"/>
    </row>
    <row r="116" spans="1:22" ht="29" x14ac:dyDescent="0.35">
      <c r="A116" s="102" t="str">
        <f t="shared" si="11"/>
        <v>Closed</v>
      </c>
      <c r="B116" s="14" t="s">
        <v>95</v>
      </c>
      <c r="C116" s="14" t="s">
        <v>138</v>
      </c>
      <c r="D116" s="79">
        <v>45407</v>
      </c>
      <c r="E116" s="14">
        <v>2402</v>
      </c>
      <c r="F116" s="14" t="s">
        <v>666</v>
      </c>
      <c r="G116" s="14" t="e">
        <f>VLOOKUP(F116,'Accident &amp; Incident Detail'!$D$3:$E$165,2,FALSE)</f>
        <v>#N/A</v>
      </c>
      <c r="H116" s="14" t="s">
        <v>669</v>
      </c>
      <c r="I116" s="14" t="s">
        <v>670</v>
      </c>
      <c r="J116" s="14" t="s">
        <v>234</v>
      </c>
      <c r="K116" s="14" t="s">
        <v>210</v>
      </c>
      <c r="L116" s="14" t="s">
        <v>234</v>
      </c>
      <c r="M116" s="79">
        <f t="shared" si="12"/>
        <v>45435</v>
      </c>
      <c r="N116" s="14">
        <f t="shared" ca="1" si="9"/>
        <v>1</v>
      </c>
      <c r="O116" s="79">
        <v>45406</v>
      </c>
    </row>
    <row r="117" spans="1:22" ht="29" x14ac:dyDescent="0.35">
      <c r="A117" s="102" t="str">
        <f t="shared" si="11"/>
        <v>Closed</v>
      </c>
      <c r="B117" s="14" t="s">
        <v>95</v>
      </c>
      <c r="C117" s="14" t="s">
        <v>135</v>
      </c>
      <c r="D117" s="79">
        <v>45407</v>
      </c>
      <c r="E117" s="14">
        <v>2402</v>
      </c>
      <c r="G117" s="14" t="e">
        <f>VLOOKUP(F117,'Accident &amp; Incident Detail'!$D$3:$E$165,2,FALSE)</f>
        <v>#N/A</v>
      </c>
      <c r="H117" s="14" t="s">
        <v>671</v>
      </c>
      <c r="I117" s="14" t="s">
        <v>672</v>
      </c>
      <c r="J117" s="14" t="s">
        <v>234</v>
      </c>
      <c r="K117" s="14" t="s">
        <v>265</v>
      </c>
      <c r="L117" s="14" t="s">
        <v>234</v>
      </c>
      <c r="M117" s="79">
        <f t="shared" si="12"/>
        <v>45435</v>
      </c>
      <c r="N117" s="14">
        <f t="shared" ca="1" si="9"/>
        <v>1</v>
      </c>
      <c r="O117" s="79">
        <v>45401</v>
      </c>
    </row>
    <row r="118" spans="1:22" ht="29" x14ac:dyDescent="0.35">
      <c r="A118" s="102" t="str">
        <f t="shared" si="11"/>
        <v>Closed</v>
      </c>
      <c r="B118" s="14" t="s">
        <v>95</v>
      </c>
      <c r="C118" s="14" t="s">
        <v>135</v>
      </c>
      <c r="D118" s="79">
        <v>45407</v>
      </c>
      <c r="E118" s="14">
        <v>2402</v>
      </c>
      <c r="G118" s="14" t="e">
        <f>VLOOKUP(F118,'Accident &amp; Incident Detail'!$D$3:$E$165,2,FALSE)</f>
        <v>#N/A</v>
      </c>
      <c r="H118" s="14" t="s">
        <v>673</v>
      </c>
      <c r="I118" s="14" t="s">
        <v>674</v>
      </c>
      <c r="J118" s="14" t="s">
        <v>234</v>
      </c>
      <c r="K118" s="14" t="s">
        <v>265</v>
      </c>
      <c r="L118" s="14" t="s">
        <v>234</v>
      </c>
      <c r="M118" s="79">
        <f t="shared" si="12"/>
        <v>45435</v>
      </c>
      <c r="N118" s="14">
        <f t="shared" ca="1" si="9"/>
        <v>1</v>
      </c>
      <c r="O118" s="79">
        <v>45250</v>
      </c>
    </row>
    <row r="119" spans="1:22" ht="29" x14ac:dyDescent="0.35">
      <c r="A119" s="102" t="str">
        <f t="shared" si="11"/>
        <v>Closed</v>
      </c>
      <c r="B119" s="14" t="s">
        <v>95</v>
      </c>
      <c r="C119" s="14" t="s">
        <v>135</v>
      </c>
      <c r="D119" s="79">
        <v>45407</v>
      </c>
      <c r="E119" s="14">
        <v>2402</v>
      </c>
      <c r="G119" s="14" t="e">
        <f>VLOOKUP(F119,'Accident &amp; Incident Detail'!$D$3:$E$165,2,FALSE)</f>
        <v>#N/A</v>
      </c>
      <c r="H119" s="14" t="s">
        <v>675</v>
      </c>
      <c r="I119" s="14" t="s">
        <v>676</v>
      </c>
      <c r="J119" s="14" t="s">
        <v>234</v>
      </c>
      <c r="K119" s="14" t="s">
        <v>265</v>
      </c>
      <c r="L119" s="14" t="s">
        <v>234</v>
      </c>
      <c r="M119" s="79">
        <f t="shared" si="12"/>
        <v>45435</v>
      </c>
      <c r="N119" s="14">
        <f t="shared" ref="N119:N150" ca="1" si="13">IF(D119="",3,IF(M119&lt;$A$2,1,0))</f>
        <v>1</v>
      </c>
      <c r="O119" s="79">
        <v>45250</v>
      </c>
    </row>
    <row r="120" spans="1:22" ht="29" x14ac:dyDescent="0.35">
      <c r="A120" s="102" t="str">
        <f t="shared" si="11"/>
        <v>Closed</v>
      </c>
      <c r="B120" s="14" t="s">
        <v>95</v>
      </c>
      <c r="C120" s="14" t="s">
        <v>135</v>
      </c>
      <c r="D120" s="79">
        <v>45407</v>
      </c>
      <c r="E120" s="14">
        <v>2402</v>
      </c>
      <c r="G120" s="14" t="e">
        <f>VLOOKUP(F120,'Accident &amp; Incident Detail'!$D$3:$E$165,2,FALSE)</f>
        <v>#N/A</v>
      </c>
      <c r="H120" s="14" t="s">
        <v>677</v>
      </c>
      <c r="I120" s="112" t="s">
        <v>678</v>
      </c>
      <c r="J120" s="14" t="s">
        <v>234</v>
      </c>
      <c r="K120" s="14" t="s">
        <v>265</v>
      </c>
      <c r="L120" s="14" t="s">
        <v>234</v>
      </c>
      <c r="M120" s="79">
        <f t="shared" si="12"/>
        <v>45435</v>
      </c>
      <c r="N120" s="14">
        <f t="shared" ca="1" si="13"/>
        <v>1</v>
      </c>
      <c r="O120" s="79">
        <v>45407</v>
      </c>
    </row>
    <row r="121" spans="1:22" ht="29" x14ac:dyDescent="0.35">
      <c r="A121" s="102" t="str">
        <f t="shared" si="11"/>
        <v>Closed</v>
      </c>
      <c r="B121" s="14" t="s">
        <v>95</v>
      </c>
      <c r="C121" s="14" t="s">
        <v>135</v>
      </c>
      <c r="D121" s="79">
        <v>45407</v>
      </c>
      <c r="E121" s="14">
        <v>2402</v>
      </c>
      <c r="G121" s="14" t="e">
        <f>VLOOKUP(F121,'Accident &amp; Incident Detail'!$D$3:$E$165,2,FALSE)</f>
        <v>#N/A</v>
      </c>
      <c r="H121" s="14" t="s">
        <v>679</v>
      </c>
      <c r="I121" s="112" t="s">
        <v>680</v>
      </c>
      <c r="J121" s="14" t="s">
        <v>234</v>
      </c>
      <c r="K121" s="14" t="s">
        <v>265</v>
      </c>
      <c r="L121" s="14" t="s">
        <v>234</v>
      </c>
      <c r="M121" s="79">
        <f t="shared" si="12"/>
        <v>45435</v>
      </c>
      <c r="N121" s="14">
        <f t="shared" ca="1" si="13"/>
        <v>1</v>
      </c>
      <c r="O121" s="79">
        <v>45407</v>
      </c>
    </row>
    <row r="122" spans="1:22" ht="29" x14ac:dyDescent="0.35">
      <c r="A122" s="102" t="str">
        <f t="shared" si="11"/>
        <v>Closed</v>
      </c>
      <c r="B122" s="14" t="s">
        <v>95</v>
      </c>
      <c r="C122" s="14" t="s">
        <v>135</v>
      </c>
      <c r="D122" s="79">
        <v>45407</v>
      </c>
      <c r="E122" s="14">
        <v>2402</v>
      </c>
      <c r="F122" s="14" t="s">
        <v>681</v>
      </c>
      <c r="G122" s="14" t="e">
        <f>VLOOKUP(F122,'Accident &amp; Incident Detail'!$D$3:$E$165,2,FALSE)</f>
        <v>#N/A</v>
      </c>
      <c r="H122" s="14" t="s">
        <v>682</v>
      </c>
      <c r="I122" s="14" t="s">
        <v>683</v>
      </c>
      <c r="J122" s="14" t="s">
        <v>234</v>
      </c>
      <c r="K122" s="14" t="s">
        <v>265</v>
      </c>
      <c r="L122" s="14" t="s">
        <v>234</v>
      </c>
      <c r="M122" s="79">
        <f t="shared" si="12"/>
        <v>45435</v>
      </c>
      <c r="N122" s="14">
        <f t="shared" ca="1" si="13"/>
        <v>1</v>
      </c>
      <c r="O122" s="79">
        <v>45371</v>
      </c>
    </row>
    <row r="123" spans="1:22" ht="43.5" x14ac:dyDescent="0.35">
      <c r="A123" s="102" t="str">
        <f t="shared" si="11"/>
        <v>Closed</v>
      </c>
      <c r="B123" s="14" t="s">
        <v>95</v>
      </c>
      <c r="C123" s="14" t="s">
        <v>336</v>
      </c>
      <c r="D123" s="79">
        <v>45407</v>
      </c>
      <c r="E123" s="14">
        <v>2402</v>
      </c>
      <c r="F123" s="14" t="s">
        <v>684</v>
      </c>
      <c r="G123" s="14" t="str">
        <f>VLOOKUP(F123,'Accident &amp; Incident Detail'!$D$3:$E$165,2,FALSE)</f>
        <v>Wrong routing</v>
      </c>
      <c r="H123" s="14" t="s">
        <v>685</v>
      </c>
      <c r="I123" s="112" t="s">
        <v>686</v>
      </c>
      <c r="J123" s="14" t="s">
        <v>234</v>
      </c>
      <c r="K123" s="14" t="s">
        <v>255</v>
      </c>
      <c r="L123" s="14" t="s">
        <v>234</v>
      </c>
      <c r="M123" s="79">
        <f t="shared" si="12"/>
        <v>45435</v>
      </c>
      <c r="N123" s="14">
        <f t="shared" ca="1" si="13"/>
        <v>1</v>
      </c>
      <c r="O123" s="79">
        <v>45407</v>
      </c>
    </row>
    <row r="124" spans="1:22" ht="29" x14ac:dyDescent="0.35">
      <c r="A124" s="102" t="str">
        <f t="shared" si="11"/>
        <v>Closed</v>
      </c>
      <c r="B124" s="14" t="s">
        <v>95</v>
      </c>
      <c r="C124" s="14" t="s">
        <v>135</v>
      </c>
      <c r="D124" s="79">
        <v>45410</v>
      </c>
      <c r="E124" s="14">
        <v>2401</v>
      </c>
      <c r="F124" s="14" t="s">
        <v>687</v>
      </c>
      <c r="G124" s="14" t="e">
        <f>VLOOKUP(F124,'Accident &amp; Incident Detail'!$D$3:$E$1154,2,FALSE)</f>
        <v>#N/A</v>
      </c>
      <c r="H124" s="14" t="s">
        <v>688</v>
      </c>
      <c r="I124" s="14" t="s">
        <v>689</v>
      </c>
      <c r="J124" s="14" t="s">
        <v>372</v>
      </c>
      <c r="K124" s="14" t="s">
        <v>176</v>
      </c>
      <c r="L124" s="14" t="s">
        <v>236</v>
      </c>
      <c r="M124" s="79">
        <f t="shared" si="12"/>
        <v>45438</v>
      </c>
      <c r="N124" s="14">
        <f t="shared" ca="1" si="13"/>
        <v>1</v>
      </c>
      <c r="O124" s="79">
        <v>45399</v>
      </c>
    </row>
    <row r="125" spans="1:22" ht="29" x14ac:dyDescent="0.35">
      <c r="A125" s="102" t="str">
        <f t="shared" si="11"/>
        <v>Closed</v>
      </c>
      <c r="B125" s="14" t="s">
        <v>95</v>
      </c>
      <c r="C125" s="14" t="s">
        <v>417</v>
      </c>
      <c r="D125" s="79">
        <v>45413</v>
      </c>
      <c r="E125" s="14">
        <v>2401</v>
      </c>
      <c r="F125" s="14" t="s">
        <v>690</v>
      </c>
      <c r="G125" s="14" t="e">
        <f>VLOOKUP(F125,'Accident &amp; Incident Detail'!$D$3:$E$1154,2,FALSE)</f>
        <v>#N/A</v>
      </c>
      <c r="H125" s="14" t="s">
        <v>691</v>
      </c>
      <c r="I125" s="14" t="s">
        <v>692</v>
      </c>
      <c r="J125" s="14" t="s">
        <v>234</v>
      </c>
      <c r="K125" s="14" t="s">
        <v>210</v>
      </c>
      <c r="L125" s="14" t="s">
        <v>234</v>
      </c>
      <c r="M125" s="79">
        <f t="shared" si="12"/>
        <v>45441</v>
      </c>
      <c r="N125" s="14">
        <f t="shared" ca="1" si="13"/>
        <v>1</v>
      </c>
      <c r="O125" s="79">
        <v>45413</v>
      </c>
    </row>
    <row r="126" spans="1:22" ht="29" x14ac:dyDescent="0.35">
      <c r="A126" s="102" t="str">
        <f t="shared" si="11"/>
        <v>Closed</v>
      </c>
      <c r="B126" s="14" t="s">
        <v>95</v>
      </c>
      <c r="C126" s="14" t="s">
        <v>417</v>
      </c>
      <c r="D126" s="79">
        <v>45413</v>
      </c>
      <c r="E126" s="14">
        <v>2401</v>
      </c>
      <c r="F126" s="14" t="s">
        <v>693</v>
      </c>
      <c r="G126" s="14" t="str">
        <f>VLOOKUP(F126,'Accident &amp; Incident Detail'!$D$3:$E$1154,2,FALSE)</f>
        <v>Passenger  on Passenger Assault</v>
      </c>
      <c r="H126" s="14" t="s">
        <v>694</v>
      </c>
      <c r="I126" s="14" t="s">
        <v>695</v>
      </c>
      <c r="J126" s="14" t="s">
        <v>234</v>
      </c>
      <c r="K126" s="14" t="s">
        <v>210</v>
      </c>
      <c r="L126" s="14" t="s">
        <v>234</v>
      </c>
      <c r="M126" s="79">
        <f t="shared" si="12"/>
        <v>45441</v>
      </c>
      <c r="N126" s="14">
        <f t="shared" ca="1" si="13"/>
        <v>1</v>
      </c>
      <c r="O126" s="79">
        <v>45444</v>
      </c>
    </row>
    <row r="127" spans="1:22" ht="43.5" x14ac:dyDescent="0.35">
      <c r="A127" s="102" t="str">
        <f t="shared" si="11"/>
        <v>Closed</v>
      </c>
      <c r="B127" s="14" t="s">
        <v>91</v>
      </c>
      <c r="C127" s="14" t="s">
        <v>648</v>
      </c>
      <c r="D127" s="79">
        <v>45414</v>
      </c>
      <c r="E127" s="14">
        <v>2402</v>
      </c>
      <c r="G127" s="14" t="e">
        <f>VLOOKUP(F127,'Accident &amp; Incident Detail'!$D$3:$E$165,2,FALSE)</f>
        <v>#N/A</v>
      </c>
      <c r="H127" s="14" t="s">
        <v>696</v>
      </c>
      <c r="I127" s="14" t="s">
        <v>697</v>
      </c>
      <c r="J127" s="14" t="s">
        <v>345</v>
      </c>
      <c r="K127" s="14" t="s">
        <v>248</v>
      </c>
      <c r="L127" s="14" t="s">
        <v>236</v>
      </c>
      <c r="M127" s="79">
        <f t="shared" si="12"/>
        <v>45442</v>
      </c>
      <c r="N127" s="14">
        <f t="shared" ca="1" si="13"/>
        <v>1</v>
      </c>
      <c r="O127" s="79">
        <v>45602</v>
      </c>
      <c r="Q127" s="14" t="s">
        <v>698</v>
      </c>
      <c r="T127" s="14"/>
      <c r="U127" s="14"/>
      <c r="V127" s="14"/>
    </row>
    <row r="128" spans="1:22" ht="145" x14ac:dyDescent="0.35">
      <c r="A128" s="102" t="str">
        <f t="shared" ref="A128:A159" si="14">IF(O128&gt;1,"Closed",IF(N128=1,"Overdue",IF(N128=3,"","Open")))</f>
        <v>Closed</v>
      </c>
      <c r="B128" s="14" t="s">
        <v>91</v>
      </c>
      <c r="C128" s="14" t="s">
        <v>325</v>
      </c>
      <c r="D128" s="79">
        <v>45414</v>
      </c>
      <c r="E128" s="14">
        <v>2402</v>
      </c>
      <c r="G128" s="14" t="e">
        <f>VLOOKUP(F128,'Accident &amp; Incident Detail'!$D$3:$E$165,2,FALSE)</f>
        <v>#N/A</v>
      </c>
      <c r="H128" s="14" t="s">
        <v>699</v>
      </c>
      <c r="I128" s="14" t="s">
        <v>700</v>
      </c>
      <c r="J128" s="14" t="s">
        <v>372</v>
      </c>
      <c r="K128" s="14" t="s">
        <v>244</v>
      </c>
      <c r="L128" s="14" t="s">
        <v>236</v>
      </c>
      <c r="M128" s="79">
        <f t="shared" si="12"/>
        <v>45442</v>
      </c>
      <c r="N128" s="14">
        <f t="shared" ca="1" si="13"/>
        <v>1</v>
      </c>
      <c r="O128" s="79">
        <v>45425</v>
      </c>
      <c r="Q128" s="14" t="s">
        <v>701</v>
      </c>
      <c r="T128" s="14"/>
      <c r="U128" s="14"/>
      <c r="V128" s="14"/>
    </row>
    <row r="129" spans="1:22" ht="29" x14ac:dyDescent="0.35">
      <c r="A129" s="102" t="str">
        <f t="shared" si="14"/>
        <v>Closed</v>
      </c>
      <c r="B129" s="14" t="s">
        <v>95</v>
      </c>
      <c r="C129" s="14" t="s">
        <v>417</v>
      </c>
      <c r="D129" s="79">
        <v>45414</v>
      </c>
      <c r="E129" s="14">
        <v>2401</v>
      </c>
      <c r="F129" s="14" t="s">
        <v>702</v>
      </c>
      <c r="G129" s="14" t="str">
        <f>VLOOKUP(F129,'Accident &amp; Incident Detail'!$D$3:$E$1154,2,FALSE)</f>
        <v>Verbal Abuse</v>
      </c>
      <c r="H129" s="14" t="s">
        <v>703</v>
      </c>
      <c r="I129" s="14" t="s">
        <v>704</v>
      </c>
      <c r="J129" s="14" t="s">
        <v>234</v>
      </c>
      <c r="K129" s="14" t="s">
        <v>210</v>
      </c>
      <c r="L129" s="14" t="s">
        <v>234</v>
      </c>
      <c r="M129" s="79">
        <f t="shared" si="12"/>
        <v>45442</v>
      </c>
      <c r="N129" s="14">
        <f t="shared" ca="1" si="13"/>
        <v>1</v>
      </c>
      <c r="O129" s="79">
        <v>45414</v>
      </c>
    </row>
    <row r="130" spans="1:22" ht="29" x14ac:dyDescent="0.35">
      <c r="A130" s="102" t="str">
        <f t="shared" si="14"/>
        <v>Closed</v>
      </c>
      <c r="B130" s="14" t="s">
        <v>95</v>
      </c>
      <c r="C130" s="14" t="s">
        <v>417</v>
      </c>
      <c r="D130" s="79">
        <v>45414</v>
      </c>
      <c r="E130" s="14">
        <v>2401</v>
      </c>
      <c r="F130" s="14" t="s">
        <v>705</v>
      </c>
      <c r="G130" s="14" t="e">
        <f>VLOOKUP(F130,'Accident &amp; Incident Detail'!$D$3:$E$1154,2,FALSE)</f>
        <v>#N/A</v>
      </c>
      <c r="H130" s="14" t="s">
        <v>706</v>
      </c>
      <c r="I130" s="14" t="s">
        <v>707</v>
      </c>
      <c r="J130" s="14" t="s">
        <v>234</v>
      </c>
      <c r="K130" s="14" t="s">
        <v>210</v>
      </c>
      <c r="L130" s="14" t="s">
        <v>234</v>
      </c>
      <c r="M130" s="79">
        <f t="shared" ref="M130:M161" si="15">IF(D130="","",D130+28)</f>
        <v>45442</v>
      </c>
      <c r="N130" s="14">
        <f t="shared" ca="1" si="13"/>
        <v>1</v>
      </c>
      <c r="O130" s="79">
        <v>45414</v>
      </c>
    </row>
    <row r="131" spans="1:22" ht="29" x14ac:dyDescent="0.35">
      <c r="A131" s="102" t="str">
        <f t="shared" si="14"/>
        <v>Closed</v>
      </c>
      <c r="B131" s="14" t="s">
        <v>95</v>
      </c>
      <c r="C131" s="14" t="s">
        <v>175</v>
      </c>
      <c r="D131" s="79">
        <v>45417</v>
      </c>
      <c r="E131" s="14">
        <v>2401</v>
      </c>
      <c r="F131" s="14" t="s">
        <v>708</v>
      </c>
      <c r="G131" s="14" t="e">
        <f>VLOOKUP(F131,'Accident &amp; Incident Detail'!$D$3:$E$1154,2,FALSE)</f>
        <v>#N/A</v>
      </c>
      <c r="H131" s="14" t="s">
        <v>709</v>
      </c>
      <c r="I131" s="14" t="s">
        <v>710</v>
      </c>
      <c r="J131" s="14" t="s">
        <v>234</v>
      </c>
      <c r="K131" s="14" t="s">
        <v>255</v>
      </c>
      <c r="L131" s="14" t="s">
        <v>234</v>
      </c>
      <c r="M131" s="79">
        <f t="shared" si="15"/>
        <v>45445</v>
      </c>
      <c r="N131" s="14">
        <f t="shared" ca="1" si="13"/>
        <v>1</v>
      </c>
      <c r="O131" s="79">
        <v>45408</v>
      </c>
    </row>
    <row r="132" spans="1:22" ht="29" x14ac:dyDescent="0.35">
      <c r="A132" s="102" t="str">
        <f t="shared" si="14"/>
        <v>Closed</v>
      </c>
      <c r="B132" s="14" t="s">
        <v>95</v>
      </c>
      <c r="C132" s="14" t="s">
        <v>175</v>
      </c>
      <c r="D132" s="79">
        <v>45417</v>
      </c>
      <c r="E132" s="14">
        <v>2401</v>
      </c>
      <c r="F132" s="14" t="s">
        <v>708</v>
      </c>
      <c r="G132" s="14" t="e">
        <f>VLOOKUP(F132,'Accident &amp; Incident Detail'!$D$3:$E$1154,2,FALSE)</f>
        <v>#N/A</v>
      </c>
      <c r="H132" s="14" t="s">
        <v>711</v>
      </c>
      <c r="I132" s="14" t="s">
        <v>712</v>
      </c>
      <c r="J132" s="14" t="s">
        <v>234</v>
      </c>
      <c r="K132" s="14" t="s">
        <v>255</v>
      </c>
      <c r="L132" s="14" t="s">
        <v>234</v>
      </c>
      <c r="M132" s="79">
        <f t="shared" si="15"/>
        <v>45445</v>
      </c>
      <c r="N132" s="14">
        <f t="shared" ca="1" si="13"/>
        <v>1</v>
      </c>
      <c r="O132" s="79">
        <v>45417</v>
      </c>
    </row>
    <row r="133" spans="1:22" ht="130.5" x14ac:dyDescent="0.35">
      <c r="A133" s="102" t="str">
        <f t="shared" si="14"/>
        <v>Closed</v>
      </c>
      <c r="B133" s="14" t="s">
        <v>99</v>
      </c>
      <c r="C133" s="14" t="s">
        <v>531</v>
      </c>
      <c r="D133" s="79">
        <v>45425</v>
      </c>
      <c r="E133" s="14">
        <v>2402</v>
      </c>
      <c r="G133" s="14" t="e">
        <f>VLOOKUP(F133,'Accident &amp; Incident Detail'!$D$3:$E$165,2,FALSE)</f>
        <v>#N/A</v>
      </c>
      <c r="H133" s="14" t="s">
        <v>713</v>
      </c>
      <c r="I133" s="14" t="s">
        <v>714</v>
      </c>
      <c r="J133" s="14" t="s">
        <v>328</v>
      </c>
      <c r="K133" s="14" t="s">
        <v>430</v>
      </c>
      <c r="L133" s="14" t="s">
        <v>236</v>
      </c>
      <c r="M133" s="79">
        <f t="shared" si="15"/>
        <v>45453</v>
      </c>
      <c r="N133" s="14">
        <f t="shared" ca="1" si="13"/>
        <v>1</v>
      </c>
      <c r="O133" s="79">
        <v>45791</v>
      </c>
      <c r="Q133" s="14" t="s">
        <v>715</v>
      </c>
    </row>
    <row r="134" spans="1:22" ht="29" x14ac:dyDescent="0.35">
      <c r="A134" s="102" t="str">
        <f t="shared" si="14"/>
        <v>Closed</v>
      </c>
      <c r="B134" s="14" t="s">
        <v>95</v>
      </c>
      <c r="C134" s="14" t="s">
        <v>716</v>
      </c>
      <c r="D134" s="79">
        <v>45425</v>
      </c>
      <c r="E134" s="14">
        <v>2312</v>
      </c>
      <c r="F134" s="14" t="s">
        <v>717</v>
      </c>
      <c r="G134" s="14" t="str">
        <f>VLOOKUP(F134,'Accident &amp; Incident Detail'!$D$3:$E$1154,2,FALSE)</f>
        <v>Doors</v>
      </c>
      <c r="H134" s="14" t="s">
        <v>718</v>
      </c>
      <c r="I134" s="14" t="s">
        <v>719</v>
      </c>
      <c r="J134" s="14" t="s">
        <v>234</v>
      </c>
      <c r="K134" s="14" t="s">
        <v>255</v>
      </c>
      <c r="L134" s="14" t="s">
        <v>234</v>
      </c>
      <c r="M134" s="79">
        <f t="shared" si="15"/>
        <v>45453</v>
      </c>
      <c r="N134" s="14">
        <f t="shared" ca="1" si="13"/>
        <v>1</v>
      </c>
      <c r="O134" s="79">
        <v>45358</v>
      </c>
    </row>
    <row r="135" spans="1:22" ht="29" x14ac:dyDescent="0.35">
      <c r="A135" s="102" t="str">
        <f t="shared" si="14"/>
        <v>Closed</v>
      </c>
      <c r="B135" s="14" t="s">
        <v>95</v>
      </c>
      <c r="C135" s="14" t="s">
        <v>135</v>
      </c>
      <c r="D135" s="79">
        <v>45425</v>
      </c>
      <c r="E135" s="14">
        <v>2312</v>
      </c>
      <c r="F135" s="14" t="s">
        <v>720</v>
      </c>
      <c r="G135" s="14" t="str">
        <f>VLOOKUP(F135,'Accident &amp; Incident Detail'!$D$3:$E$1154,2,FALSE)</f>
        <v>STF on Tram</v>
      </c>
      <c r="H135" s="14" t="s">
        <v>721</v>
      </c>
      <c r="I135" s="14" t="s">
        <v>722</v>
      </c>
      <c r="J135" s="14" t="s">
        <v>372</v>
      </c>
      <c r="K135" s="14" t="s">
        <v>176</v>
      </c>
      <c r="L135" s="14" t="s">
        <v>236</v>
      </c>
      <c r="M135" s="79">
        <f t="shared" si="15"/>
        <v>45453</v>
      </c>
      <c r="N135" s="14">
        <f t="shared" ca="1" si="13"/>
        <v>1</v>
      </c>
      <c r="O135" s="79">
        <v>45375</v>
      </c>
    </row>
    <row r="136" spans="1:22" ht="72.5" x14ac:dyDescent="0.35">
      <c r="A136" s="102" t="str">
        <f t="shared" si="14"/>
        <v>Closed</v>
      </c>
      <c r="B136" s="112" t="s">
        <v>95</v>
      </c>
      <c r="C136" s="112" t="s">
        <v>135</v>
      </c>
      <c r="D136" s="168">
        <v>45425</v>
      </c>
      <c r="E136" s="112">
        <v>2402</v>
      </c>
      <c r="F136" s="112" t="s">
        <v>723</v>
      </c>
      <c r="G136" s="112" t="str">
        <f>VLOOKUP(F136,'Accident &amp; Incident Detail'!$D$3:$E$1154,2,FALSE)</f>
        <v>Signal Passed against Bar (SPAS)</v>
      </c>
      <c r="H136" s="112" t="s">
        <v>724</v>
      </c>
      <c r="I136" s="112" t="s">
        <v>725</v>
      </c>
      <c r="J136" s="112" t="s">
        <v>241</v>
      </c>
      <c r="K136" s="112" t="s">
        <v>239</v>
      </c>
      <c r="L136" s="112" t="s">
        <v>241</v>
      </c>
      <c r="M136" s="168">
        <f t="shared" si="15"/>
        <v>45453</v>
      </c>
      <c r="N136" s="112">
        <f t="shared" ca="1" si="13"/>
        <v>1</v>
      </c>
      <c r="O136" s="168" t="s">
        <v>726</v>
      </c>
      <c r="P136" s="112"/>
      <c r="Q136" s="112" t="s">
        <v>727</v>
      </c>
    </row>
    <row r="137" spans="1:22" ht="87" x14ac:dyDescent="0.35">
      <c r="A137" s="102" t="str">
        <f t="shared" si="14"/>
        <v>Closed</v>
      </c>
      <c r="B137" s="14" t="s">
        <v>91</v>
      </c>
      <c r="C137" s="14" t="s">
        <v>424</v>
      </c>
      <c r="D137" s="79">
        <v>45426</v>
      </c>
      <c r="E137" s="14">
        <v>2402</v>
      </c>
      <c r="G137" s="14" t="e">
        <f>VLOOKUP(F137,'Accident &amp; Incident Detail'!$D$3:$E$165,2,FALSE)</f>
        <v>#N/A</v>
      </c>
      <c r="H137" s="14" t="s">
        <v>728</v>
      </c>
      <c r="I137" s="14" t="s">
        <v>729</v>
      </c>
      <c r="J137" s="14" t="s">
        <v>241</v>
      </c>
      <c r="K137" s="14" t="s">
        <v>239</v>
      </c>
      <c r="L137" s="14" t="s">
        <v>241</v>
      </c>
      <c r="M137" s="79">
        <f t="shared" si="15"/>
        <v>45454</v>
      </c>
      <c r="N137" s="14">
        <f t="shared" ca="1" si="13"/>
        <v>1</v>
      </c>
      <c r="O137" s="79">
        <v>45713</v>
      </c>
      <c r="Q137" s="14" t="s">
        <v>730</v>
      </c>
      <c r="T137" s="14"/>
      <c r="U137" s="14"/>
      <c r="V137" s="14"/>
    </row>
    <row r="138" spans="1:22" ht="58" x14ac:dyDescent="0.35">
      <c r="A138" s="102" t="str">
        <f t="shared" si="14"/>
        <v>Closed</v>
      </c>
      <c r="B138" s="14" t="s">
        <v>99</v>
      </c>
      <c r="C138" s="14" t="s">
        <v>531</v>
      </c>
      <c r="D138" s="79">
        <v>45426</v>
      </c>
      <c r="E138" s="14">
        <v>2402</v>
      </c>
      <c r="G138" s="14" t="e">
        <f>VLOOKUP(F138,'Accident &amp; Incident Detail'!$D$3:$E$165,2,FALSE)</f>
        <v>#N/A</v>
      </c>
      <c r="H138" s="14" t="s">
        <v>731</v>
      </c>
      <c r="I138" s="14" t="s">
        <v>732</v>
      </c>
      <c r="J138" s="14" t="s">
        <v>345</v>
      </c>
      <c r="K138" s="14" t="s">
        <v>248</v>
      </c>
      <c r="L138" s="14" t="s">
        <v>236</v>
      </c>
      <c r="M138" s="79">
        <f t="shared" si="15"/>
        <v>45454</v>
      </c>
      <c r="N138" s="14">
        <f t="shared" ca="1" si="13"/>
        <v>1</v>
      </c>
      <c r="O138" s="79">
        <v>45585</v>
      </c>
    </row>
    <row r="139" spans="1:22" ht="145" x14ac:dyDescent="0.35">
      <c r="A139" s="102" t="str">
        <f t="shared" si="14"/>
        <v>Closed</v>
      </c>
      <c r="B139" s="14" t="s">
        <v>253</v>
      </c>
      <c r="C139" s="14" t="s">
        <v>531</v>
      </c>
      <c r="D139" s="79">
        <v>45426</v>
      </c>
      <c r="E139" s="14">
        <v>2402</v>
      </c>
      <c r="G139" s="14" t="e">
        <f>VLOOKUP(F139,'Accident &amp; Incident Detail'!$D$3:$E$165,2,FALSE)</f>
        <v>#N/A</v>
      </c>
      <c r="H139" s="14" t="s">
        <v>733</v>
      </c>
      <c r="I139" s="14" t="s">
        <v>734</v>
      </c>
      <c r="J139" s="14" t="s">
        <v>328</v>
      </c>
      <c r="K139" s="14" t="s">
        <v>430</v>
      </c>
      <c r="L139" s="14" t="s">
        <v>236</v>
      </c>
      <c r="M139" s="79">
        <f t="shared" si="15"/>
        <v>45454</v>
      </c>
      <c r="N139" s="14">
        <f t="shared" ca="1" si="13"/>
        <v>1</v>
      </c>
      <c r="O139" s="79">
        <v>45637</v>
      </c>
    </row>
    <row r="140" spans="1:22" ht="58" x14ac:dyDescent="0.35">
      <c r="A140" s="102" t="str">
        <f t="shared" si="14"/>
        <v>Closed</v>
      </c>
      <c r="B140" s="14" t="s">
        <v>253</v>
      </c>
      <c r="C140" s="14" t="s">
        <v>531</v>
      </c>
      <c r="D140" s="79">
        <v>45426</v>
      </c>
      <c r="E140" s="14">
        <v>2402</v>
      </c>
      <c r="G140" s="14" t="e">
        <f>VLOOKUP(F140,'Accident &amp; Incident Detail'!$D$3:$E$165,2,FALSE)</f>
        <v>#N/A</v>
      </c>
      <c r="H140" s="14" t="s">
        <v>735</v>
      </c>
      <c r="I140" s="14" t="s">
        <v>736</v>
      </c>
      <c r="J140" s="14" t="s">
        <v>328</v>
      </c>
      <c r="K140" s="14" t="s">
        <v>430</v>
      </c>
      <c r="L140" s="14" t="s">
        <v>236</v>
      </c>
      <c r="M140" s="79">
        <f t="shared" si="15"/>
        <v>45454</v>
      </c>
      <c r="N140" s="14">
        <f t="shared" ca="1" si="13"/>
        <v>1</v>
      </c>
      <c r="O140" s="79">
        <v>45637</v>
      </c>
      <c r="Q140" s="14" t="s">
        <v>737</v>
      </c>
    </row>
    <row r="141" spans="1:22" ht="58" x14ac:dyDescent="0.35">
      <c r="A141" s="102" t="str">
        <f t="shared" si="14"/>
        <v>Closed</v>
      </c>
      <c r="B141" s="14" t="s">
        <v>253</v>
      </c>
      <c r="C141" s="14" t="s">
        <v>531</v>
      </c>
      <c r="D141" s="79">
        <v>45426</v>
      </c>
      <c r="E141" s="14">
        <v>2402</v>
      </c>
      <c r="G141" s="14" t="e">
        <f>VLOOKUP(F141,'Accident &amp; Incident Detail'!$D$3:$E$165,2,FALSE)</f>
        <v>#N/A</v>
      </c>
      <c r="H141" s="14" t="s">
        <v>738</v>
      </c>
      <c r="I141" s="14" t="s">
        <v>739</v>
      </c>
      <c r="J141" s="14" t="s">
        <v>328</v>
      </c>
      <c r="K141" s="14" t="s">
        <v>430</v>
      </c>
      <c r="L141" s="14" t="s">
        <v>236</v>
      </c>
      <c r="M141" s="79">
        <f t="shared" si="15"/>
        <v>45454</v>
      </c>
      <c r="N141" s="14">
        <f t="shared" ca="1" si="13"/>
        <v>1</v>
      </c>
      <c r="O141" s="79">
        <v>45637</v>
      </c>
    </row>
    <row r="142" spans="1:22" ht="43.5" x14ac:dyDescent="0.35">
      <c r="A142" s="102" t="str">
        <f t="shared" si="14"/>
        <v>Closed</v>
      </c>
      <c r="B142" s="14" t="s">
        <v>253</v>
      </c>
      <c r="C142" s="14" t="s">
        <v>531</v>
      </c>
      <c r="D142" s="79">
        <v>45426</v>
      </c>
      <c r="E142" s="14">
        <v>2402</v>
      </c>
      <c r="G142" s="14" t="e">
        <f>VLOOKUP(F142,'Accident &amp; Incident Detail'!$D$3:$E$165,2,FALSE)</f>
        <v>#N/A</v>
      </c>
      <c r="H142" s="14" t="s">
        <v>740</v>
      </c>
      <c r="I142" s="14" t="s">
        <v>741</v>
      </c>
      <c r="J142" s="14" t="s">
        <v>328</v>
      </c>
      <c r="K142" s="14" t="s">
        <v>430</v>
      </c>
      <c r="L142" s="14" t="s">
        <v>236</v>
      </c>
      <c r="M142" s="79">
        <f t="shared" si="15"/>
        <v>45454</v>
      </c>
      <c r="N142" s="14">
        <f t="shared" ca="1" si="13"/>
        <v>1</v>
      </c>
      <c r="O142" s="79">
        <v>45637</v>
      </c>
    </row>
    <row r="143" spans="1:22" ht="130.5" x14ac:dyDescent="0.35">
      <c r="A143" s="102" t="str">
        <f t="shared" si="14"/>
        <v>Closed</v>
      </c>
      <c r="B143" s="14" t="s">
        <v>253</v>
      </c>
      <c r="C143" s="14" t="s">
        <v>531</v>
      </c>
      <c r="D143" s="79">
        <v>45427</v>
      </c>
      <c r="E143" s="14">
        <v>2402</v>
      </c>
      <c r="G143" s="14" t="e">
        <f>VLOOKUP(F143,'Accident &amp; Incident Detail'!$D$3:$E$165,2,FALSE)</f>
        <v>#N/A</v>
      </c>
      <c r="H143" s="14" t="s">
        <v>742</v>
      </c>
      <c r="I143" s="14" t="s">
        <v>743</v>
      </c>
      <c r="J143" s="14" t="s">
        <v>328</v>
      </c>
      <c r="K143" s="14" t="s">
        <v>430</v>
      </c>
      <c r="L143" s="14" t="s">
        <v>236</v>
      </c>
      <c r="M143" s="79">
        <f t="shared" si="15"/>
        <v>45455</v>
      </c>
      <c r="N143" s="14">
        <f t="shared" ca="1" si="13"/>
        <v>1</v>
      </c>
      <c r="O143" s="79">
        <v>45637</v>
      </c>
      <c r="Q143" s="14" t="s">
        <v>737</v>
      </c>
    </row>
    <row r="144" spans="1:22" ht="87" x14ac:dyDescent="0.35">
      <c r="A144" s="102" t="str">
        <f t="shared" si="14"/>
        <v>Closed</v>
      </c>
      <c r="B144" s="14" t="s">
        <v>253</v>
      </c>
      <c r="C144" s="14" t="s">
        <v>531</v>
      </c>
      <c r="D144" s="79">
        <v>45427</v>
      </c>
      <c r="E144" s="14">
        <v>2402</v>
      </c>
      <c r="G144" s="14" t="e">
        <f>VLOOKUP(F144,'Accident &amp; Incident Detail'!$D$3:$E$165,2,FALSE)</f>
        <v>#N/A</v>
      </c>
      <c r="H144" s="14" t="s">
        <v>744</v>
      </c>
      <c r="I144" s="14" t="s">
        <v>745</v>
      </c>
      <c r="J144" s="14" t="s">
        <v>328</v>
      </c>
      <c r="K144" s="14" t="s">
        <v>430</v>
      </c>
      <c r="L144" s="14" t="s">
        <v>236</v>
      </c>
      <c r="M144" s="79">
        <f t="shared" si="15"/>
        <v>45455</v>
      </c>
      <c r="N144" s="14">
        <f t="shared" ca="1" si="13"/>
        <v>1</v>
      </c>
      <c r="O144" s="79">
        <v>45637</v>
      </c>
      <c r="Q144" s="14" t="s">
        <v>746</v>
      </c>
    </row>
    <row r="145" spans="1:17" ht="145" x14ac:dyDescent="0.35">
      <c r="A145" s="102" t="str">
        <f t="shared" si="14"/>
        <v>Closed</v>
      </c>
      <c r="B145" s="14" t="s">
        <v>253</v>
      </c>
      <c r="C145" s="14" t="s">
        <v>531</v>
      </c>
      <c r="D145" s="79">
        <v>45427</v>
      </c>
      <c r="E145" s="14">
        <v>2402</v>
      </c>
      <c r="G145" s="14" t="e">
        <f>VLOOKUP(F145,'Accident &amp; Incident Detail'!$D$3:$E$165,2,FALSE)</f>
        <v>#N/A</v>
      </c>
      <c r="H145" s="14" t="s">
        <v>747</v>
      </c>
      <c r="I145" s="14" t="s">
        <v>748</v>
      </c>
      <c r="J145" s="14" t="s">
        <v>328</v>
      </c>
      <c r="K145" s="14" t="s">
        <v>430</v>
      </c>
      <c r="L145" s="14" t="s">
        <v>236</v>
      </c>
      <c r="M145" s="79">
        <f t="shared" si="15"/>
        <v>45455</v>
      </c>
      <c r="N145" s="14">
        <f t="shared" ca="1" si="13"/>
        <v>1</v>
      </c>
      <c r="O145" s="79">
        <v>45637</v>
      </c>
    </row>
    <row r="146" spans="1:17" ht="72.5" x14ac:dyDescent="0.35">
      <c r="A146" s="102" t="str">
        <f t="shared" si="14"/>
        <v>Closed</v>
      </c>
      <c r="B146" s="14" t="s">
        <v>253</v>
      </c>
      <c r="C146" s="14" t="s">
        <v>531</v>
      </c>
      <c r="D146" s="79">
        <v>45427</v>
      </c>
      <c r="E146" s="14">
        <v>2402</v>
      </c>
      <c r="G146" s="14" t="e">
        <f>VLOOKUP(F146,'Accident &amp; Incident Detail'!$D$3:$E$165,2,FALSE)</f>
        <v>#N/A</v>
      </c>
      <c r="H146" s="14" t="s">
        <v>749</v>
      </c>
      <c r="I146" s="14" t="s">
        <v>750</v>
      </c>
      <c r="J146" s="14" t="s">
        <v>328</v>
      </c>
      <c r="K146" s="14" t="s">
        <v>430</v>
      </c>
      <c r="L146" s="14" t="s">
        <v>236</v>
      </c>
      <c r="M146" s="79">
        <f t="shared" si="15"/>
        <v>45455</v>
      </c>
      <c r="N146" s="14">
        <f t="shared" ca="1" si="13"/>
        <v>1</v>
      </c>
      <c r="O146" s="79">
        <v>45637</v>
      </c>
    </row>
    <row r="147" spans="1:17" ht="116" x14ac:dyDescent="0.35">
      <c r="A147" s="102" t="str">
        <f t="shared" si="14"/>
        <v>Closed</v>
      </c>
      <c r="B147" s="14" t="s">
        <v>253</v>
      </c>
      <c r="C147" s="14" t="s">
        <v>531</v>
      </c>
      <c r="D147" s="79">
        <v>45427</v>
      </c>
      <c r="E147" s="14">
        <v>2402</v>
      </c>
      <c r="G147" s="14" t="e">
        <f>VLOOKUP(F147,'Accident &amp; Incident Detail'!$D$3:$E$165,2,FALSE)</f>
        <v>#N/A</v>
      </c>
      <c r="H147" s="14" t="s">
        <v>751</v>
      </c>
      <c r="I147" s="14" t="s">
        <v>752</v>
      </c>
      <c r="J147" s="14" t="s">
        <v>328</v>
      </c>
      <c r="K147" s="14" t="s">
        <v>430</v>
      </c>
      <c r="L147" s="14" t="s">
        <v>236</v>
      </c>
      <c r="M147" s="79">
        <f t="shared" si="15"/>
        <v>45455</v>
      </c>
      <c r="N147" s="14">
        <f t="shared" ca="1" si="13"/>
        <v>1</v>
      </c>
      <c r="O147" s="79">
        <v>45637</v>
      </c>
      <c r="Q147" s="14" t="s">
        <v>753</v>
      </c>
    </row>
    <row r="148" spans="1:17" ht="72.5" x14ac:dyDescent="0.35">
      <c r="A148" s="102" t="str">
        <f t="shared" si="14"/>
        <v>Closed</v>
      </c>
      <c r="B148" s="14" t="s">
        <v>253</v>
      </c>
      <c r="C148" s="14" t="s">
        <v>531</v>
      </c>
      <c r="D148" s="79">
        <v>45427</v>
      </c>
      <c r="E148" s="14">
        <v>2402</v>
      </c>
      <c r="G148" s="14" t="e">
        <f>VLOOKUP(F148,'Accident &amp; Incident Detail'!$D$3:$E$165,2,FALSE)</f>
        <v>#N/A</v>
      </c>
      <c r="H148" s="14" t="s">
        <v>754</v>
      </c>
      <c r="I148" s="14" t="s">
        <v>755</v>
      </c>
      <c r="J148" s="14" t="s">
        <v>328</v>
      </c>
      <c r="K148" s="14" t="s">
        <v>430</v>
      </c>
      <c r="L148" s="14" t="s">
        <v>236</v>
      </c>
      <c r="M148" s="79">
        <f t="shared" si="15"/>
        <v>45455</v>
      </c>
      <c r="N148" s="14">
        <f t="shared" ca="1" si="13"/>
        <v>1</v>
      </c>
      <c r="O148" s="79">
        <v>45637</v>
      </c>
    </row>
    <row r="149" spans="1:17" ht="58" x14ac:dyDescent="0.35">
      <c r="A149" s="102" t="str">
        <f t="shared" si="14"/>
        <v>Closed</v>
      </c>
      <c r="B149" s="14" t="s">
        <v>96</v>
      </c>
      <c r="C149" s="14" t="s">
        <v>531</v>
      </c>
      <c r="D149" s="79">
        <v>45428</v>
      </c>
      <c r="E149" s="14">
        <v>2402</v>
      </c>
      <c r="F149" s="14" t="s">
        <v>756</v>
      </c>
      <c r="G149" s="14" t="str">
        <f>VLOOKUP(F149,'Accident &amp; Incident Detail'!$D$3:$E$1154,2,FALSE)</f>
        <v>Derailment</v>
      </c>
      <c r="H149" s="14" t="s">
        <v>757</v>
      </c>
      <c r="I149" s="14" t="s">
        <v>758</v>
      </c>
      <c r="J149" s="14" t="s">
        <v>328</v>
      </c>
      <c r="K149" s="14" t="s">
        <v>239</v>
      </c>
      <c r="L149" s="14" t="s">
        <v>236</v>
      </c>
      <c r="M149" s="79">
        <f t="shared" si="15"/>
        <v>45456</v>
      </c>
      <c r="N149" s="14">
        <f t="shared" ca="1" si="13"/>
        <v>1</v>
      </c>
      <c r="O149" s="79">
        <v>46042</v>
      </c>
      <c r="Q149" s="14" t="s">
        <v>759</v>
      </c>
    </row>
    <row r="150" spans="1:17" ht="58" x14ac:dyDescent="0.35">
      <c r="A150" s="102" t="str">
        <f t="shared" si="14"/>
        <v>Closed</v>
      </c>
      <c r="B150" s="14" t="s">
        <v>96</v>
      </c>
      <c r="C150" s="14" t="s">
        <v>531</v>
      </c>
      <c r="D150" s="79">
        <v>45428</v>
      </c>
      <c r="E150" s="14">
        <v>2402</v>
      </c>
      <c r="F150" s="14" t="s">
        <v>756</v>
      </c>
      <c r="G150" s="14" t="str">
        <f>VLOOKUP(F150,'Accident &amp; Incident Detail'!$D$3:$E$1154,2,FALSE)</f>
        <v>Derailment</v>
      </c>
      <c r="H150" s="14" t="s">
        <v>760</v>
      </c>
      <c r="I150" s="14" t="s">
        <v>761</v>
      </c>
      <c r="J150" s="14" t="s">
        <v>236</v>
      </c>
      <c r="K150" s="14" t="s">
        <v>244</v>
      </c>
      <c r="L150" s="14" t="s">
        <v>236</v>
      </c>
      <c r="M150" s="79">
        <f t="shared" si="15"/>
        <v>45456</v>
      </c>
      <c r="N150" s="14">
        <f t="shared" ca="1" si="13"/>
        <v>1</v>
      </c>
      <c r="O150" s="229">
        <v>45733</v>
      </c>
      <c r="Q150" s="228" t="s">
        <v>762</v>
      </c>
    </row>
    <row r="151" spans="1:17" ht="72.5" x14ac:dyDescent="0.35">
      <c r="A151" s="102" t="str">
        <f t="shared" si="14"/>
        <v>Closed</v>
      </c>
      <c r="B151" s="14" t="s">
        <v>96</v>
      </c>
      <c r="C151" s="14" t="s">
        <v>531</v>
      </c>
      <c r="D151" s="79">
        <v>45428</v>
      </c>
      <c r="E151" s="14">
        <v>2402</v>
      </c>
      <c r="F151" s="14" t="s">
        <v>756</v>
      </c>
      <c r="G151" s="14" t="str">
        <f>VLOOKUP(F151,'Accident &amp; Incident Detail'!$D$3:$E$1154,2,FALSE)</f>
        <v>Derailment</v>
      </c>
      <c r="H151" s="14" t="s">
        <v>763</v>
      </c>
      <c r="I151" s="14" t="s">
        <v>764</v>
      </c>
      <c r="J151" s="14" t="s">
        <v>328</v>
      </c>
      <c r="K151" s="14" t="s">
        <v>430</v>
      </c>
      <c r="L151" s="14" t="s">
        <v>236</v>
      </c>
      <c r="M151" s="79">
        <f t="shared" si="15"/>
        <v>45456</v>
      </c>
      <c r="N151" s="14">
        <f t="shared" ref="N151:N182" ca="1" si="16">IF(D151="",3,IF(M151&lt;$A$2,1,0))</f>
        <v>1</v>
      </c>
      <c r="O151" s="79">
        <v>45712</v>
      </c>
      <c r="Q151" s="14" t="s">
        <v>765</v>
      </c>
    </row>
    <row r="152" spans="1:17" ht="43.5" x14ac:dyDescent="0.35">
      <c r="A152" s="102" t="str">
        <f t="shared" si="14"/>
        <v>Closed</v>
      </c>
      <c r="B152" s="14" t="s">
        <v>96</v>
      </c>
      <c r="C152" s="14" t="s">
        <v>531</v>
      </c>
      <c r="D152" s="79">
        <v>45428</v>
      </c>
      <c r="E152" s="14">
        <v>2402</v>
      </c>
      <c r="F152" s="14" t="s">
        <v>756</v>
      </c>
      <c r="G152" s="14" t="str">
        <f>VLOOKUP(F152,'Accident &amp; Incident Detail'!$D$3:$E$1154,2,FALSE)</f>
        <v>Derailment</v>
      </c>
      <c r="H152" s="14" t="s">
        <v>766</v>
      </c>
      <c r="I152" s="14" t="s">
        <v>767</v>
      </c>
      <c r="J152" s="14" t="s">
        <v>328</v>
      </c>
      <c r="K152" s="14" t="s">
        <v>430</v>
      </c>
      <c r="L152" s="14" t="s">
        <v>236</v>
      </c>
      <c r="M152" s="79">
        <f t="shared" si="15"/>
        <v>45456</v>
      </c>
      <c r="N152" s="14">
        <f t="shared" ca="1" si="16"/>
        <v>1</v>
      </c>
      <c r="O152" s="79">
        <v>45712</v>
      </c>
      <c r="Q152" s="14" t="s">
        <v>768</v>
      </c>
    </row>
    <row r="153" spans="1:17" ht="58" x14ac:dyDescent="0.35">
      <c r="A153" s="102" t="str">
        <f t="shared" si="14"/>
        <v>Closed</v>
      </c>
      <c r="B153" s="14" t="s">
        <v>253</v>
      </c>
      <c r="C153" s="14" t="s">
        <v>531</v>
      </c>
      <c r="D153" s="79">
        <v>45432</v>
      </c>
      <c r="E153" s="14">
        <v>2401</v>
      </c>
      <c r="G153" s="14" t="e">
        <f>VLOOKUP(F153,'Accident &amp; Incident Detail'!$D$3:$E$1154,2,FALSE)</f>
        <v>#N/A</v>
      </c>
      <c r="H153" s="14" t="s">
        <v>769</v>
      </c>
      <c r="I153" s="14" t="s">
        <v>770</v>
      </c>
      <c r="J153" s="14" t="s">
        <v>328</v>
      </c>
      <c r="L153" s="14" t="s">
        <v>236</v>
      </c>
      <c r="M153" s="79">
        <f t="shared" si="15"/>
        <v>45460</v>
      </c>
      <c r="N153" s="14">
        <f t="shared" ca="1" si="16"/>
        <v>1</v>
      </c>
      <c r="O153" s="79">
        <v>45637</v>
      </c>
      <c r="Q153" s="14" t="s">
        <v>771</v>
      </c>
    </row>
    <row r="154" spans="1:17" ht="29" x14ac:dyDescent="0.35">
      <c r="A154" s="102" t="str">
        <f t="shared" si="14"/>
        <v>Closed</v>
      </c>
      <c r="B154" s="14" t="s">
        <v>253</v>
      </c>
      <c r="C154" s="14" t="s">
        <v>531</v>
      </c>
      <c r="D154" s="79">
        <v>45432</v>
      </c>
      <c r="E154" s="14">
        <v>2401</v>
      </c>
      <c r="G154" s="14" t="e">
        <f>VLOOKUP(F154,'Accident &amp; Incident Detail'!$D$3:$E$1154,2,FALSE)</f>
        <v>#N/A</v>
      </c>
      <c r="H154" s="14" t="s">
        <v>772</v>
      </c>
      <c r="I154" s="14" t="s">
        <v>773</v>
      </c>
      <c r="J154" s="14" t="s">
        <v>328</v>
      </c>
      <c r="L154" s="14" t="s">
        <v>236</v>
      </c>
      <c r="M154" s="79">
        <f t="shared" si="15"/>
        <v>45460</v>
      </c>
      <c r="N154" s="14">
        <f t="shared" ca="1" si="16"/>
        <v>1</v>
      </c>
      <c r="O154" s="79">
        <v>45637</v>
      </c>
      <c r="Q154" s="14" t="s">
        <v>737</v>
      </c>
    </row>
    <row r="155" spans="1:17" ht="43.5" x14ac:dyDescent="0.35">
      <c r="A155" s="102" t="str">
        <f t="shared" si="14"/>
        <v>Closed</v>
      </c>
      <c r="B155" s="14" t="s">
        <v>253</v>
      </c>
      <c r="C155" s="14" t="s">
        <v>531</v>
      </c>
      <c r="D155" s="79">
        <v>45432</v>
      </c>
      <c r="E155" s="14">
        <v>2401</v>
      </c>
      <c r="G155" s="14" t="e">
        <f>VLOOKUP(F155,'Accident &amp; Incident Detail'!$D$3:$E$1154,2,FALSE)</f>
        <v>#N/A</v>
      </c>
      <c r="H155" s="14" t="s">
        <v>774</v>
      </c>
      <c r="I155" s="14" t="s">
        <v>775</v>
      </c>
      <c r="J155" s="14" t="s">
        <v>328</v>
      </c>
      <c r="L155" s="14" t="s">
        <v>236</v>
      </c>
      <c r="M155" s="79">
        <f t="shared" si="15"/>
        <v>45460</v>
      </c>
      <c r="N155" s="14">
        <f t="shared" ca="1" si="16"/>
        <v>1</v>
      </c>
      <c r="O155" s="79">
        <v>45637</v>
      </c>
      <c r="Q155" s="14" t="s">
        <v>737</v>
      </c>
    </row>
    <row r="156" spans="1:17" ht="72.5" x14ac:dyDescent="0.35">
      <c r="A156" s="102" t="str">
        <f t="shared" si="14"/>
        <v>Closed</v>
      </c>
      <c r="B156" s="14" t="s">
        <v>253</v>
      </c>
      <c r="C156" s="14" t="s">
        <v>531</v>
      </c>
      <c r="D156" s="79">
        <v>45432</v>
      </c>
      <c r="E156" s="14">
        <v>2401</v>
      </c>
      <c r="G156" s="14" t="e">
        <f>VLOOKUP(F156,'Accident &amp; Incident Detail'!$D$3:$E$1154,2,FALSE)</f>
        <v>#N/A</v>
      </c>
      <c r="H156" s="14" t="s">
        <v>776</v>
      </c>
      <c r="I156" s="14" t="s">
        <v>777</v>
      </c>
      <c r="J156" s="14" t="s">
        <v>328</v>
      </c>
      <c r="L156" s="14" t="s">
        <v>236</v>
      </c>
      <c r="M156" s="79">
        <f t="shared" si="15"/>
        <v>45460</v>
      </c>
      <c r="N156" s="14">
        <f t="shared" ca="1" si="16"/>
        <v>1</v>
      </c>
      <c r="O156" s="79">
        <v>45637</v>
      </c>
      <c r="Q156" s="14" t="s">
        <v>737</v>
      </c>
    </row>
    <row r="157" spans="1:17" ht="58" x14ac:dyDescent="0.35">
      <c r="A157" s="102" t="str">
        <f t="shared" si="14"/>
        <v>Closed</v>
      </c>
      <c r="B157" s="14" t="s">
        <v>253</v>
      </c>
      <c r="C157" s="14" t="s">
        <v>531</v>
      </c>
      <c r="D157" s="79">
        <v>45432</v>
      </c>
      <c r="E157" s="14">
        <v>2401</v>
      </c>
      <c r="G157" s="14" t="e">
        <f>VLOOKUP(F157,'Accident &amp; Incident Detail'!$D$3:$E$1154,2,FALSE)</f>
        <v>#N/A</v>
      </c>
      <c r="H157" s="14" t="s">
        <v>778</v>
      </c>
      <c r="I157" s="14" t="s">
        <v>779</v>
      </c>
      <c r="J157" s="14" t="s">
        <v>328</v>
      </c>
      <c r="L157" s="14" t="s">
        <v>236</v>
      </c>
      <c r="M157" s="79">
        <f t="shared" si="15"/>
        <v>45460</v>
      </c>
      <c r="N157" s="14">
        <f t="shared" ca="1" si="16"/>
        <v>1</v>
      </c>
      <c r="O157" s="79">
        <v>45637</v>
      </c>
      <c r="Q157" s="14" t="s">
        <v>737</v>
      </c>
    </row>
    <row r="158" spans="1:17" ht="29" x14ac:dyDescent="0.35">
      <c r="A158" s="102" t="str">
        <f t="shared" si="14"/>
        <v>Closed</v>
      </c>
      <c r="B158" s="14" t="s">
        <v>253</v>
      </c>
      <c r="C158" s="14" t="s">
        <v>531</v>
      </c>
      <c r="D158" s="79">
        <v>45432</v>
      </c>
      <c r="E158" s="14">
        <v>2401</v>
      </c>
      <c r="G158" s="14" t="e">
        <f>VLOOKUP(F158,'Accident &amp; Incident Detail'!$D$3:$E$1154,2,FALSE)</f>
        <v>#N/A</v>
      </c>
      <c r="H158" s="14" t="s">
        <v>780</v>
      </c>
      <c r="I158" s="14" t="s">
        <v>781</v>
      </c>
      <c r="J158" s="14" t="s">
        <v>328</v>
      </c>
      <c r="L158" s="14" t="s">
        <v>236</v>
      </c>
      <c r="M158" s="79">
        <f t="shared" si="15"/>
        <v>45460</v>
      </c>
      <c r="N158" s="14">
        <f t="shared" ca="1" si="16"/>
        <v>1</v>
      </c>
      <c r="O158" s="79">
        <v>45637</v>
      </c>
    </row>
    <row r="159" spans="1:17" ht="43.5" x14ac:dyDescent="0.35">
      <c r="A159" s="102" t="str">
        <f t="shared" si="14"/>
        <v>Closed</v>
      </c>
      <c r="B159" s="14" t="s">
        <v>253</v>
      </c>
      <c r="C159" s="14" t="s">
        <v>531</v>
      </c>
      <c r="D159" s="79">
        <v>45432</v>
      </c>
      <c r="E159" s="14">
        <v>2401</v>
      </c>
      <c r="G159" s="14" t="e">
        <f>VLOOKUP(F159,'Accident &amp; Incident Detail'!$D$3:$E$1154,2,FALSE)</f>
        <v>#N/A</v>
      </c>
      <c r="H159" s="14" t="s">
        <v>782</v>
      </c>
      <c r="I159" s="14" t="s">
        <v>783</v>
      </c>
      <c r="J159" s="14" t="s">
        <v>328</v>
      </c>
      <c r="L159" s="14" t="s">
        <v>236</v>
      </c>
      <c r="M159" s="79">
        <f t="shared" si="15"/>
        <v>45460</v>
      </c>
      <c r="N159" s="14">
        <f t="shared" ca="1" si="16"/>
        <v>1</v>
      </c>
      <c r="O159" s="79">
        <v>45637</v>
      </c>
    </row>
    <row r="160" spans="1:17" ht="43.5" x14ac:dyDescent="0.35">
      <c r="A160" s="102" t="str">
        <f t="shared" ref="A160:A191" si="17">IF(O160&gt;1,"Closed",IF(N160=1,"Overdue",IF(N160=3,"","Open")))</f>
        <v>Closed</v>
      </c>
      <c r="B160" s="14" t="s">
        <v>253</v>
      </c>
      <c r="C160" s="14" t="s">
        <v>531</v>
      </c>
      <c r="D160" s="79">
        <v>45432</v>
      </c>
      <c r="E160" s="14">
        <v>2401</v>
      </c>
      <c r="G160" s="14" t="e">
        <f>VLOOKUP(F160,'Accident &amp; Incident Detail'!$D$3:$E$1154,2,FALSE)</f>
        <v>#N/A</v>
      </c>
      <c r="H160" s="14" t="s">
        <v>784</v>
      </c>
      <c r="I160" s="14" t="s">
        <v>785</v>
      </c>
      <c r="J160" s="14" t="s">
        <v>328</v>
      </c>
      <c r="L160" s="14" t="s">
        <v>236</v>
      </c>
      <c r="M160" s="79">
        <f t="shared" si="15"/>
        <v>45460</v>
      </c>
      <c r="N160" s="14">
        <f t="shared" ca="1" si="16"/>
        <v>1</v>
      </c>
      <c r="O160" s="79">
        <v>45637</v>
      </c>
    </row>
    <row r="161" spans="1:22" ht="58" x14ac:dyDescent="0.35">
      <c r="A161" s="102" t="str">
        <f t="shared" si="17"/>
        <v>Closed</v>
      </c>
      <c r="B161" s="14" t="s">
        <v>91</v>
      </c>
      <c r="C161" s="14" t="s">
        <v>786</v>
      </c>
      <c r="D161" s="79">
        <v>45433</v>
      </c>
      <c r="E161" s="14">
        <v>2402</v>
      </c>
      <c r="G161" s="14" t="e">
        <f>VLOOKUP(F161,'Accident &amp; Incident Detail'!$D$3:$E$165,2,FALSE)</f>
        <v>#N/A</v>
      </c>
      <c r="H161" s="14" t="s">
        <v>787</v>
      </c>
      <c r="I161" s="14" t="s">
        <v>788</v>
      </c>
      <c r="J161" s="14" t="s">
        <v>234</v>
      </c>
      <c r="K161" s="14" t="s">
        <v>226</v>
      </c>
      <c r="L161" s="14" t="s">
        <v>234</v>
      </c>
      <c r="M161" s="79">
        <f t="shared" si="15"/>
        <v>45461</v>
      </c>
      <c r="N161" s="14">
        <f t="shared" ca="1" si="16"/>
        <v>1</v>
      </c>
      <c r="O161" s="79">
        <v>45448</v>
      </c>
      <c r="Q161" s="14" t="s">
        <v>789</v>
      </c>
      <c r="T161" s="14"/>
      <c r="U161" s="14"/>
      <c r="V161" s="14"/>
    </row>
    <row r="162" spans="1:22" ht="29" x14ac:dyDescent="0.35">
      <c r="A162" s="102" t="str">
        <f t="shared" si="17"/>
        <v>Closed</v>
      </c>
      <c r="B162" s="14" t="s">
        <v>91</v>
      </c>
      <c r="C162" s="14" t="s">
        <v>790</v>
      </c>
      <c r="D162" s="79">
        <v>45433</v>
      </c>
      <c r="E162" s="14">
        <v>2402</v>
      </c>
      <c r="G162" s="14" t="e">
        <f>VLOOKUP(F162,'Accident &amp; Incident Detail'!$D$3:$E$165,2,FALSE)</f>
        <v>#N/A</v>
      </c>
      <c r="H162" s="14" t="s">
        <v>791</v>
      </c>
      <c r="I162" s="14" t="s">
        <v>792</v>
      </c>
      <c r="J162" s="14" t="s">
        <v>345</v>
      </c>
      <c r="K162" s="14" t="s">
        <v>248</v>
      </c>
      <c r="L162" s="14" t="s">
        <v>236</v>
      </c>
      <c r="M162" s="79">
        <f t="shared" ref="M162:M193" si="18">IF(D162="","",D162+28)</f>
        <v>45461</v>
      </c>
      <c r="N162" s="14">
        <f t="shared" ca="1" si="16"/>
        <v>1</v>
      </c>
      <c r="O162" s="79">
        <v>45637</v>
      </c>
      <c r="T162" s="14"/>
      <c r="U162" s="14"/>
      <c r="V162" s="14"/>
    </row>
    <row r="163" spans="1:22" ht="29" x14ac:dyDescent="0.35">
      <c r="A163" s="102" t="str">
        <f t="shared" si="17"/>
        <v>Closed</v>
      </c>
      <c r="B163" s="14" t="s">
        <v>95</v>
      </c>
      <c r="C163" s="14" t="s">
        <v>135</v>
      </c>
      <c r="D163" s="79">
        <v>45433</v>
      </c>
      <c r="E163" s="14">
        <v>2402</v>
      </c>
      <c r="F163" s="14" t="s">
        <v>793</v>
      </c>
      <c r="G163" s="14" t="str">
        <f>VLOOKUP(F163,'Accident &amp; Incident Detail'!$D$3:$E$1154,2,FALSE)</f>
        <v>Other</v>
      </c>
      <c r="H163" s="14" t="s">
        <v>794</v>
      </c>
      <c r="I163" s="14" t="s">
        <v>795</v>
      </c>
      <c r="J163" s="14" t="s">
        <v>234</v>
      </c>
      <c r="K163" s="14" t="s">
        <v>265</v>
      </c>
      <c r="L163" s="14" t="s">
        <v>234</v>
      </c>
      <c r="M163" s="79">
        <f t="shared" si="18"/>
        <v>45461</v>
      </c>
      <c r="N163" s="14">
        <f t="shared" ca="1" si="16"/>
        <v>1</v>
      </c>
      <c r="O163" s="79">
        <v>45432</v>
      </c>
    </row>
    <row r="164" spans="1:22" ht="29" x14ac:dyDescent="0.35">
      <c r="A164" s="102" t="str">
        <f t="shared" si="17"/>
        <v>Closed</v>
      </c>
      <c r="B164" s="14" t="s">
        <v>95</v>
      </c>
      <c r="C164" s="14" t="s">
        <v>135</v>
      </c>
      <c r="D164" s="79">
        <v>45433</v>
      </c>
      <c r="E164" s="14">
        <v>2402</v>
      </c>
      <c r="F164" s="14" t="s">
        <v>796</v>
      </c>
      <c r="G164" s="14" t="str">
        <f>VLOOKUP(F164,'Accident &amp; Incident Detail'!$D$3:$E$1154,2,FALSE)</f>
        <v>Signal Passed against Bar (SPAS)</v>
      </c>
      <c r="H164" s="14" t="s">
        <v>797</v>
      </c>
      <c r="I164" s="112" t="s">
        <v>798</v>
      </c>
      <c r="J164" s="14" t="s">
        <v>234</v>
      </c>
      <c r="K164" s="14" t="s">
        <v>227</v>
      </c>
      <c r="L164" s="14" t="s">
        <v>234</v>
      </c>
      <c r="M164" s="79">
        <f t="shared" si="18"/>
        <v>45461</v>
      </c>
      <c r="N164" s="14">
        <f t="shared" ca="1" si="16"/>
        <v>1</v>
      </c>
      <c r="O164" s="79">
        <v>45433</v>
      </c>
    </row>
    <row r="165" spans="1:22" ht="29" x14ac:dyDescent="0.35">
      <c r="A165" s="102" t="str">
        <f t="shared" si="17"/>
        <v>Closed</v>
      </c>
      <c r="B165" s="14" t="s">
        <v>95</v>
      </c>
      <c r="C165" s="14" t="s">
        <v>135</v>
      </c>
      <c r="D165" s="79">
        <v>45433</v>
      </c>
      <c r="E165" s="14">
        <v>2402</v>
      </c>
      <c r="F165" s="14" t="s">
        <v>796</v>
      </c>
      <c r="G165" s="14" t="str">
        <f>VLOOKUP(F165,'Accident &amp; Incident Detail'!$D$3:$E$1154,2,FALSE)</f>
        <v>Signal Passed against Bar (SPAS)</v>
      </c>
      <c r="H165" s="14" t="s">
        <v>799</v>
      </c>
      <c r="I165" s="112" t="s">
        <v>800</v>
      </c>
      <c r="J165" s="14" t="s">
        <v>234</v>
      </c>
      <c r="K165" s="14" t="s">
        <v>227</v>
      </c>
      <c r="L165" s="14" t="s">
        <v>234</v>
      </c>
      <c r="M165" s="79">
        <f t="shared" si="18"/>
        <v>45461</v>
      </c>
      <c r="N165" s="14">
        <f t="shared" ca="1" si="16"/>
        <v>1</v>
      </c>
      <c r="O165" s="79" t="s">
        <v>801</v>
      </c>
      <c r="Q165" s="14" t="s">
        <v>802</v>
      </c>
    </row>
    <row r="166" spans="1:22" ht="29" x14ac:dyDescent="0.35">
      <c r="A166" s="102" t="str">
        <f t="shared" si="17"/>
        <v>Closed</v>
      </c>
      <c r="B166" s="14" t="s">
        <v>91</v>
      </c>
      <c r="C166" s="14" t="s">
        <v>171</v>
      </c>
      <c r="D166" s="79">
        <v>45435</v>
      </c>
      <c r="E166" s="14">
        <v>2402</v>
      </c>
      <c r="G166" s="14" t="e">
        <f>VLOOKUP(F166,'Accident &amp; Incident Detail'!$D$3:$E$165,2,FALSE)</f>
        <v>#N/A</v>
      </c>
      <c r="H166" s="14" t="s">
        <v>803</v>
      </c>
      <c r="I166" s="14" t="s">
        <v>804</v>
      </c>
      <c r="J166" s="14" t="s">
        <v>372</v>
      </c>
      <c r="K166" s="14" t="s">
        <v>222</v>
      </c>
      <c r="L166" s="14" t="s">
        <v>236</v>
      </c>
      <c r="M166" s="79">
        <f t="shared" si="18"/>
        <v>45463</v>
      </c>
      <c r="N166" s="14">
        <f t="shared" ca="1" si="16"/>
        <v>1</v>
      </c>
      <c r="O166" s="79">
        <v>45436</v>
      </c>
      <c r="T166" s="14"/>
      <c r="U166" s="14"/>
      <c r="V166" s="14"/>
    </row>
    <row r="167" spans="1:22" ht="58" x14ac:dyDescent="0.35">
      <c r="A167" s="102" t="str">
        <f t="shared" si="17"/>
        <v>Closed</v>
      </c>
      <c r="B167" s="14" t="s">
        <v>91</v>
      </c>
      <c r="C167" s="14" t="s">
        <v>805</v>
      </c>
      <c r="D167" s="79">
        <v>45436</v>
      </c>
      <c r="E167" s="14">
        <v>2402</v>
      </c>
      <c r="G167" s="14" t="e">
        <f>VLOOKUP(#REF!,'Accident &amp; Incident Detail'!$D$3:$E$165,2,FALSE)</f>
        <v>#REF!</v>
      </c>
      <c r="H167" s="14" t="s">
        <v>806</v>
      </c>
      <c r="I167" s="14" t="s">
        <v>807</v>
      </c>
      <c r="J167" s="14" t="s">
        <v>345</v>
      </c>
      <c r="K167" s="14" t="s">
        <v>248</v>
      </c>
      <c r="L167" s="14" t="s">
        <v>236</v>
      </c>
      <c r="M167" s="79">
        <f t="shared" si="18"/>
        <v>45464</v>
      </c>
      <c r="N167" s="14">
        <f t="shared" ca="1" si="16"/>
        <v>1</v>
      </c>
      <c r="O167" s="79">
        <v>45637</v>
      </c>
      <c r="Q167" s="14" t="s">
        <v>808</v>
      </c>
      <c r="T167" s="14"/>
      <c r="U167" s="14"/>
      <c r="V167" s="14"/>
    </row>
    <row r="168" spans="1:22" ht="101.5" x14ac:dyDescent="0.35">
      <c r="A168" s="102" t="str">
        <f t="shared" si="17"/>
        <v>Closed</v>
      </c>
      <c r="B168" s="14" t="s">
        <v>91</v>
      </c>
      <c r="C168" s="14" t="s">
        <v>805</v>
      </c>
      <c r="D168" s="79">
        <v>45436</v>
      </c>
      <c r="E168" s="14">
        <v>2402</v>
      </c>
      <c r="G168" s="14" t="e">
        <f>VLOOKUP(F168,'Accident &amp; Incident Detail'!$D$3:$E$165,2,FALSE)</f>
        <v>#N/A</v>
      </c>
      <c r="H168" s="14" t="s">
        <v>809</v>
      </c>
      <c r="I168" s="14" t="s">
        <v>810</v>
      </c>
      <c r="J168" s="14" t="s">
        <v>372</v>
      </c>
      <c r="K168" s="14" t="s">
        <v>222</v>
      </c>
      <c r="L168" s="14" t="s">
        <v>236</v>
      </c>
      <c r="M168" s="79">
        <f t="shared" si="18"/>
        <v>45464</v>
      </c>
      <c r="N168" s="14">
        <f t="shared" ca="1" si="16"/>
        <v>1</v>
      </c>
      <c r="O168" s="79">
        <v>45448</v>
      </c>
      <c r="Q168" s="14" t="s">
        <v>811</v>
      </c>
      <c r="T168" s="14"/>
      <c r="U168" s="14"/>
      <c r="V168" s="14"/>
    </row>
    <row r="169" spans="1:22" ht="87" x14ac:dyDescent="0.35">
      <c r="A169" s="102" t="str">
        <f t="shared" si="17"/>
        <v>Closed</v>
      </c>
      <c r="B169" s="14" t="s">
        <v>91</v>
      </c>
      <c r="C169" s="14" t="s">
        <v>805</v>
      </c>
      <c r="D169" s="79">
        <v>45436</v>
      </c>
      <c r="E169" s="14">
        <v>2402</v>
      </c>
      <c r="G169" s="14" t="e">
        <f>VLOOKUP(F169,'Accident &amp; Incident Detail'!$D$3:$E$165,2,FALSE)</f>
        <v>#N/A</v>
      </c>
      <c r="H169" s="14" t="s">
        <v>812</v>
      </c>
      <c r="I169" s="14" t="s">
        <v>813</v>
      </c>
      <c r="J169" s="14" t="s">
        <v>328</v>
      </c>
      <c r="K169" s="14" t="s">
        <v>430</v>
      </c>
      <c r="L169" s="14" t="s">
        <v>236</v>
      </c>
      <c r="M169" s="79">
        <f t="shared" si="18"/>
        <v>45464</v>
      </c>
      <c r="N169" s="14">
        <f t="shared" ca="1" si="16"/>
        <v>1</v>
      </c>
      <c r="O169" s="79">
        <v>45712</v>
      </c>
      <c r="Q169" s="14" t="s">
        <v>814</v>
      </c>
      <c r="T169" s="14"/>
      <c r="U169" s="14"/>
      <c r="V169" s="14"/>
    </row>
    <row r="170" spans="1:22" ht="29" x14ac:dyDescent="0.35">
      <c r="A170" s="102" t="str">
        <f t="shared" si="17"/>
        <v>Closed</v>
      </c>
      <c r="B170" s="14" t="s">
        <v>95</v>
      </c>
      <c r="C170" s="14" t="s">
        <v>417</v>
      </c>
      <c r="D170" s="79">
        <v>45436</v>
      </c>
      <c r="E170" s="14">
        <v>2402</v>
      </c>
      <c r="F170" s="14" t="s">
        <v>815</v>
      </c>
      <c r="G170" s="14" t="str">
        <f>VLOOKUP(F170,'Accident &amp; Incident Detail'!$D$3:$E$1154,2,FALSE)</f>
        <v>Verbal Abuse</v>
      </c>
      <c r="H170" s="14" t="s">
        <v>816</v>
      </c>
      <c r="I170" s="14" t="s">
        <v>817</v>
      </c>
      <c r="J170" s="14" t="s">
        <v>234</v>
      </c>
      <c r="K170" s="14" t="s">
        <v>210</v>
      </c>
      <c r="L170" s="14" t="s">
        <v>234</v>
      </c>
      <c r="M170" s="79">
        <f t="shared" si="18"/>
        <v>45464</v>
      </c>
      <c r="N170" s="14">
        <f t="shared" ca="1" si="16"/>
        <v>1</v>
      </c>
      <c r="O170" s="79">
        <v>45436</v>
      </c>
    </row>
    <row r="171" spans="1:22" ht="29" x14ac:dyDescent="0.35">
      <c r="A171" s="102" t="str">
        <f t="shared" si="17"/>
        <v>Closed</v>
      </c>
      <c r="B171" s="14" t="s">
        <v>95</v>
      </c>
      <c r="C171" s="14" t="s">
        <v>138</v>
      </c>
      <c r="D171" s="79">
        <v>45436</v>
      </c>
      <c r="E171" s="14">
        <v>2402</v>
      </c>
      <c r="F171" s="14" t="s">
        <v>815</v>
      </c>
      <c r="G171" s="14" t="str">
        <f>VLOOKUP(F171,'Accident &amp; Incident Detail'!$D$3:$E$1154,2,FALSE)</f>
        <v>Verbal Abuse</v>
      </c>
      <c r="H171" s="14" t="s">
        <v>818</v>
      </c>
      <c r="I171" s="14" t="s">
        <v>819</v>
      </c>
      <c r="J171" s="14" t="s">
        <v>234</v>
      </c>
      <c r="K171" s="14" t="s">
        <v>210</v>
      </c>
      <c r="L171" s="14" t="s">
        <v>234</v>
      </c>
      <c r="M171" s="79">
        <f t="shared" si="18"/>
        <v>45464</v>
      </c>
      <c r="N171" s="14">
        <f t="shared" ca="1" si="16"/>
        <v>1</v>
      </c>
      <c r="O171" s="79">
        <v>45436</v>
      </c>
    </row>
    <row r="172" spans="1:22" ht="29" x14ac:dyDescent="0.35">
      <c r="A172" s="102" t="str">
        <f t="shared" si="17"/>
        <v>Closed</v>
      </c>
      <c r="B172" s="14" t="s">
        <v>95</v>
      </c>
      <c r="C172" s="14" t="s">
        <v>135</v>
      </c>
      <c r="D172" s="79">
        <v>45436</v>
      </c>
      <c r="E172" s="14">
        <v>2402</v>
      </c>
      <c r="F172" s="14" t="s">
        <v>820</v>
      </c>
      <c r="G172" s="14" t="str">
        <f>VLOOKUP(F172,'Accident &amp; Incident Detail'!$D$3:$E$1154,2,FALSE)</f>
        <v>Wrong routing</v>
      </c>
      <c r="H172" s="14" t="s">
        <v>821</v>
      </c>
      <c r="I172" s="14" t="s">
        <v>822</v>
      </c>
      <c r="J172" s="14" t="s">
        <v>234</v>
      </c>
      <c r="K172" s="14" t="s">
        <v>265</v>
      </c>
      <c r="L172" s="14" t="s">
        <v>234</v>
      </c>
      <c r="M172" s="79">
        <f t="shared" si="18"/>
        <v>45464</v>
      </c>
      <c r="N172" s="14">
        <f t="shared" ca="1" si="16"/>
        <v>1</v>
      </c>
      <c r="O172" s="79">
        <v>45348</v>
      </c>
    </row>
    <row r="173" spans="1:22" ht="29" x14ac:dyDescent="0.35">
      <c r="A173" s="102" t="str">
        <f t="shared" si="17"/>
        <v>Closed</v>
      </c>
      <c r="B173" s="14" t="s">
        <v>95</v>
      </c>
      <c r="C173" s="14" t="s">
        <v>135</v>
      </c>
      <c r="D173" s="79">
        <v>45436</v>
      </c>
      <c r="E173" s="14">
        <v>2402</v>
      </c>
      <c r="F173" s="14" t="s">
        <v>820</v>
      </c>
      <c r="G173" s="14" t="str">
        <f>VLOOKUP(F173,'Accident &amp; Incident Detail'!$D$3:$E$1154,2,FALSE)</f>
        <v>Wrong routing</v>
      </c>
      <c r="H173" s="14" t="s">
        <v>823</v>
      </c>
      <c r="I173" s="14" t="s">
        <v>449</v>
      </c>
      <c r="J173" s="14" t="s">
        <v>234</v>
      </c>
      <c r="K173" s="14" t="s">
        <v>265</v>
      </c>
      <c r="L173" s="14" t="s">
        <v>234</v>
      </c>
      <c r="M173" s="79">
        <f t="shared" si="18"/>
        <v>45464</v>
      </c>
      <c r="N173" s="14">
        <f t="shared" ca="1" si="16"/>
        <v>1</v>
      </c>
      <c r="O173" s="79">
        <v>45437</v>
      </c>
    </row>
    <row r="174" spans="1:22" ht="29" x14ac:dyDescent="0.35">
      <c r="A174" s="102" t="str">
        <f t="shared" si="17"/>
        <v>Closed</v>
      </c>
      <c r="B174" s="14" t="s">
        <v>111</v>
      </c>
      <c r="C174" s="14" t="s">
        <v>167</v>
      </c>
      <c r="D174" s="79">
        <v>45437</v>
      </c>
      <c r="E174" s="14">
        <v>2402</v>
      </c>
      <c r="G174" s="14" t="e">
        <f>VLOOKUP(F174,'Accident &amp; Incident Detail'!$D$3:$E$1154,2,FALSE)</f>
        <v>#N/A</v>
      </c>
      <c r="H174" s="14" t="s">
        <v>824</v>
      </c>
      <c r="I174" s="14" t="s">
        <v>825</v>
      </c>
      <c r="J174" s="14" t="s">
        <v>234</v>
      </c>
      <c r="K174" s="14" t="s">
        <v>226</v>
      </c>
      <c r="L174" s="14" t="s">
        <v>234</v>
      </c>
      <c r="M174" s="79">
        <f t="shared" si="18"/>
        <v>45465</v>
      </c>
      <c r="N174" s="14">
        <f t="shared" ca="1" si="16"/>
        <v>1</v>
      </c>
      <c r="O174" s="79">
        <v>45437</v>
      </c>
    </row>
    <row r="175" spans="1:22" ht="29" x14ac:dyDescent="0.35">
      <c r="A175" s="102" t="str">
        <f t="shared" si="17"/>
        <v>Closed</v>
      </c>
      <c r="B175" s="14" t="s">
        <v>95</v>
      </c>
      <c r="C175" s="14" t="s">
        <v>826</v>
      </c>
      <c r="D175" s="79">
        <v>45438</v>
      </c>
      <c r="E175" s="14">
        <v>2402</v>
      </c>
      <c r="F175" s="14" t="s">
        <v>827</v>
      </c>
      <c r="G175" s="14" t="e">
        <f>VLOOKUP(F175,'Accident &amp; Incident Detail'!$D$3:$E$165,2,FALSE)</f>
        <v>#N/A</v>
      </c>
      <c r="H175" s="14" t="s">
        <v>828</v>
      </c>
      <c r="I175" s="14" t="s">
        <v>829</v>
      </c>
      <c r="J175" s="14" t="s">
        <v>234</v>
      </c>
      <c r="K175" s="14" t="s">
        <v>264</v>
      </c>
      <c r="L175" s="14" t="s">
        <v>234</v>
      </c>
      <c r="M175" s="79">
        <f t="shared" si="18"/>
        <v>45466</v>
      </c>
      <c r="N175" s="14">
        <f t="shared" ca="1" si="16"/>
        <v>1</v>
      </c>
      <c r="O175" s="79">
        <v>45416</v>
      </c>
    </row>
    <row r="176" spans="1:22" ht="29" x14ac:dyDescent="0.35">
      <c r="A176" s="102" t="str">
        <f t="shared" si="17"/>
        <v>Closed</v>
      </c>
      <c r="B176" s="14" t="s">
        <v>95</v>
      </c>
      <c r="C176" s="14" t="s">
        <v>826</v>
      </c>
      <c r="D176" s="79">
        <v>45438</v>
      </c>
      <c r="E176" s="14">
        <v>2402</v>
      </c>
      <c r="F176" s="14" t="s">
        <v>827</v>
      </c>
      <c r="G176" s="14" t="e">
        <f>VLOOKUP(F176,'Accident &amp; Incident Detail'!$D$3:$E$1154,2,FALSE)</f>
        <v>#N/A</v>
      </c>
      <c r="H176" s="14" t="s">
        <v>830</v>
      </c>
      <c r="I176" s="112" t="s">
        <v>831</v>
      </c>
      <c r="J176" s="14" t="s">
        <v>234</v>
      </c>
      <c r="K176" s="14" t="s">
        <v>264</v>
      </c>
      <c r="L176" s="14" t="s">
        <v>234</v>
      </c>
      <c r="M176" s="79">
        <f t="shared" si="18"/>
        <v>45466</v>
      </c>
      <c r="N176" s="14">
        <f t="shared" ca="1" si="16"/>
        <v>1</v>
      </c>
      <c r="O176" s="79">
        <v>45428</v>
      </c>
    </row>
    <row r="177" spans="1:22" ht="29" x14ac:dyDescent="0.35">
      <c r="A177" s="102" t="str">
        <f t="shared" si="17"/>
        <v>Closed</v>
      </c>
      <c r="B177" s="14" t="s">
        <v>95</v>
      </c>
      <c r="C177" s="14" t="s">
        <v>175</v>
      </c>
      <c r="D177" s="79">
        <v>45441</v>
      </c>
      <c r="E177" s="14">
        <v>2402</v>
      </c>
      <c r="F177" s="14" t="s">
        <v>832</v>
      </c>
      <c r="G177" s="14" t="str">
        <f>VLOOKUP(F177,'Accident &amp; Incident Detail'!$D$3:$E$1154,2,FALSE)</f>
        <v>Near Miss</v>
      </c>
      <c r="H177" s="14" t="s">
        <v>833</v>
      </c>
      <c r="I177" s="14" t="s">
        <v>834</v>
      </c>
      <c r="J177" s="14" t="s">
        <v>234</v>
      </c>
      <c r="K177" s="14" t="s">
        <v>265</v>
      </c>
      <c r="L177" s="14" t="s">
        <v>234</v>
      </c>
      <c r="M177" s="79">
        <f t="shared" si="18"/>
        <v>45469</v>
      </c>
      <c r="N177" s="14">
        <f t="shared" ca="1" si="16"/>
        <v>1</v>
      </c>
      <c r="O177" s="79">
        <v>45442</v>
      </c>
      <c r="Q177" s="14" t="s">
        <v>835</v>
      </c>
    </row>
    <row r="178" spans="1:22" ht="29" x14ac:dyDescent="0.35">
      <c r="A178" s="102" t="str">
        <f t="shared" si="17"/>
        <v>Closed</v>
      </c>
      <c r="B178" s="14" t="s">
        <v>95</v>
      </c>
      <c r="C178" s="14" t="s">
        <v>135</v>
      </c>
      <c r="D178" s="79">
        <v>45447</v>
      </c>
      <c r="E178" s="14">
        <v>2403</v>
      </c>
      <c r="F178" s="14" t="s">
        <v>836</v>
      </c>
      <c r="G178" s="14" t="str">
        <f>VLOOKUP(F178,'Accident &amp; Incident Detail'!$D$3:$E$1154,2,FALSE)</f>
        <v>Minor - RTC</v>
      </c>
      <c r="H178" s="14" t="s">
        <v>837</v>
      </c>
      <c r="I178" s="14" t="s">
        <v>838</v>
      </c>
      <c r="J178" s="14" t="s">
        <v>234</v>
      </c>
      <c r="K178" s="14" t="s">
        <v>265</v>
      </c>
      <c r="L178" s="14" t="s">
        <v>234</v>
      </c>
      <c r="M178" s="79">
        <f t="shared" si="18"/>
        <v>45475</v>
      </c>
      <c r="N178" s="14">
        <f t="shared" ca="1" si="16"/>
        <v>1</v>
      </c>
      <c r="O178" s="79">
        <v>45435</v>
      </c>
    </row>
    <row r="179" spans="1:22" ht="29" x14ac:dyDescent="0.35">
      <c r="A179" s="102" t="str">
        <f t="shared" si="17"/>
        <v>Closed</v>
      </c>
      <c r="B179" s="14" t="s">
        <v>95</v>
      </c>
      <c r="C179" s="14" t="s">
        <v>135</v>
      </c>
      <c r="D179" s="79">
        <v>45447</v>
      </c>
      <c r="E179" s="14">
        <v>2403</v>
      </c>
      <c r="F179" s="14" t="s">
        <v>836</v>
      </c>
      <c r="G179" s="14" t="str">
        <f>VLOOKUP(F179,'Accident &amp; Incident Detail'!$D$3:$E$1154,2,FALSE)</f>
        <v>Minor - RTC</v>
      </c>
      <c r="H179" s="14" t="s">
        <v>839</v>
      </c>
      <c r="I179" s="14" t="s">
        <v>840</v>
      </c>
      <c r="J179" s="14" t="s">
        <v>372</v>
      </c>
      <c r="K179" s="14" t="s">
        <v>222</v>
      </c>
      <c r="L179" s="14" t="s">
        <v>236</v>
      </c>
      <c r="M179" s="79">
        <f t="shared" si="18"/>
        <v>45475</v>
      </c>
      <c r="N179" s="14">
        <f t="shared" ca="1" si="16"/>
        <v>1</v>
      </c>
      <c r="O179" s="79">
        <v>45421</v>
      </c>
    </row>
    <row r="180" spans="1:22" ht="29" x14ac:dyDescent="0.35">
      <c r="A180" s="102" t="str">
        <f t="shared" si="17"/>
        <v>Closed</v>
      </c>
      <c r="B180" s="14" t="s">
        <v>95</v>
      </c>
      <c r="C180" s="14" t="s">
        <v>417</v>
      </c>
      <c r="D180" s="79">
        <v>45447</v>
      </c>
      <c r="E180" s="14">
        <v>2403</v>
      </c>
      <c r="F180" s="14" t="s">
        <v>841</v>
      </c>
      <c r="G180" s="14" t="str">
        <f>VLOOKUP(F180,'Accident &amp; Incident Detail'!$D$3:$E$1154,2,FALSE)</f>
        <v>Physical Assault</v>
      </c>
      <c r="H180" s="14" t="s">
        <v>842</v>
      </c>
      <c r="I180" s="14" t="s">
        <v>843</v>
      </c>
      <c r="J180" s="14" t="s">
        <v>234</v>
      </c>
      <c r="K180" s="14" t="s">
        <v>210</v>
      </c>
      <c r="L180" s="14" t="s">
        <v>234</v>
      </c>
      <c r="M180" s="79">
        <f t="shared" si="18"/>
        <v>45475</v>
      </c>
      <c r="N180" s="14">
        <f t="shared" ca="1" si="16"/>
        <v>1</v>
      </c>
      <c r="O180" s="79">
        <v>45448</v>
      </c>
    </row>
    <row r="181" spans="1:22" ht="261" x14ac:dyDescent="0.35">
      <c r="A181" s="102" t="str">
        <f t="shared" si="17"/>
        <v>Closed</v>
      </c>
      <c r="B181" s="14" t="s">
        <v>91</v>
      </c>
      <c r="C181" s="14" t="s">
        <v>844</v>
      </c>
      <c r="D181" s="79">
        <v>45451</v>
      </c>
      <c r="E181" s="14">
        <v>2403</v>
      </c>
      <c r="G181" s="14" t="e">
        <f>VLOOKUP(F181,'Accident &amp; Incident Detail'!$D$3:$E$1154,2,FALSE)</f>
        <v>#N/A</v>
      </c>
      <c r="H181" s="14" t="s">
        <v>845</v>
      </c>
      <c r="I181" s="14" t="s">
        <v>846</v>
      </c>
      <c r="J181" s="14" t="s">
        <v>372</v>
      </c>
      <c r="K181" s="14" t="s">
        <v>222</v>
      </c>
      <c r="L181" s="14" t="s">
        <v>236</v>
      </c>
      <c r="M181" s="79">
        <f t="shared" si="18"/>
        <v>45479</v>
      </c>
      <c r="N181" s="14">
        <f t="shared" ca="1" si="16"/>
        <v>1</v>
      </c>
      <c r="O181" s="79">
        <v>45456</v>
      </c>
      <c r="Q181" s="14" t="s">
        <v>847</v>
      </c>
      <c r="T181" s="14"/>
      <c r="U181" s="14"/>
      <c r="V181" s="14"/>
    </row>
    <row r="182" spans="1:22" ht="29" x14ac:dyDescent="0.35">
      <c r="A182" s="102" t="str">
        <f t="shared" si="17"/>
        <v>Closed</v>
      </c>
      <c r="B182" s="14" t="s">
        <v>91</v>
      </c>
      <c r="C182" s="14" t="s">
        <v>361</v>
      </c>
      <c r="D182" s="79">
        <v>45452</v>
      </c>
      <c r="E182" s="14">
        <v>2403</v>
      </c>
      <c r="G182" s="14" t="e">
        <f>VLOOKUP(F182,'Accident &amp; Incident Detail'!$D$3:$E$1154,2,FALSE)</f>
        <v>#N/A</v>
      </c>
      <c r="H182" s="14" t="s">
        <v>848</v>
      </c>
      <c r="I182" s="14" t="s">
        <v>849</v>
      </c>
      <c r="J182" s="14" t="s">
        <v>850</v>
      </c>
      <c r="K182" s="14" t="s">
        <v>246</v>
      </c>
      <c r="L182" s="14" t="s">
        <v>238</v>
      </c>
      <c r="M182" s="79">
        <f t="shared" si="18"/>
        <v>45480</v>
      </c>
      <c r="N182" s="14">
        <f t="shared" ca="1" si="16"/>
        <v>1</v>
      </c>
      <c r="O182" s="79">
        <v>45452</v>
      </c>
      <c r="Q182" s="14" t="s">
        <v>851</v>
      </c>
      <c r="T182" s="14"/>
      <c r="U182" s="14"/>
      <c r="V182" s="14"/>
    </row>
    <row r="183" spans="1:22" ht="29" x14ac:dyDescent="0.35">
      <c r="A183" s="102" t="str">
        <f t="shared" si="17"/>
        <v>Closed</v>
      </c>
      <c r="B183" s="14" t="s">
        <v>95</v>
      </c>
      <c r="C183" s="14" t="s">
        <v>523</v>
      </c>
      <c r="D183" s="79">
        <v>45452</v>
      </c>
      <c r="E183" s="14">
        <v>2403</v>
      </c>
      <c r="F183" s="14" t="s">
        <v>852</v>
      </c>
      <c r="G183" s="14" t="str">
        <f>VLOOKUP(F183,'Accident &amp; Incident Detail'!$D$3:$E$1154,2,FALSE)</f>
        <v>STF on Tram</v>
      </c>
      <c r="H183" s="14" t="s">
        <v>853</v>
      </c>
      <c r="I183" s="14" t="s">
        <v>854</v>
      </c>
      <c r="J183" s="14" t="s">
        <v>241</v>
      </c>
      <c r="K183" s="14" t="s">
        <v>239</v>
      </c>
      <c r="L183" s="14" t="s">
        <v>241</v>
      </c>
      <c r="M183" s="79">
        <f t="shared" si="18"/>
        <v>45480</v>
      </c>
      <c r="N183" s="14">
        <f t="shared" ref="N183:N215" ca="1" si="19">IF(D183="",3,IF(M183&lt;$A$2,1,0))</f>
        <v>1</v>
      </c>
      <c r="O183" s="79">
        <v>46042</v>
      </c>
      <c r="Q183" s="14" t="s">
        <v>855</v>
      </c>
    </row>
    <row r="184" spans="1:22" ht="87" x14ac:dyDescent="0.35">
      <c r="A184" s="102" t="str">
        <f t="shared" si="17"/>
        <v>Closed</v>
      </c>
      <c r="B184" s="14" t="s">
        <v>91</v>
      </c>
      <c r="C184" s="14" t="s">
        <v>856</v>
      </c>
      <c r="D184" s="79">
        <v>45453</v>
      </c>
      <c r="E184" s="14">
        <v>2403</v>
      </c>
      <c r="G184" s="14" t="e">
        <f>VLOOKUP(F184,'Accident &amp; Incident Detail'!$D$3:$E$1154,2,FALSE)</f>
        <v>#N/A</v>
      </c>
      <c r="H184" s="14" t="s">
        <v>857</v>
      </c>
      <c r="I184" s="14" t="s">
        <v>858</v>
      </c>
      <c r="J184" s="14" t="s">
        <v>241</v>
      </c>
      <c r="K184" s="14" t="s">
        <v>240</v>
      </c>
      <c r="L184" s="14" t="s">
        <v>241</v>
      </c>
      <c r="M184" s="79">
        <f t="shared" si="18"/>
        <v>45481</v>
      </c>
      <c r="N184" s="14">
        <f t="shared" ca="1" si="19"/>
        <v>1</v>
      </c>
      <c r="O184" s="79">
        <v>45462</v>
      </c>
      <c r="Q184" s="14" t="s">
        <v>859</v>
      </c>
      <c r="T184" s="14"/>
      <c r="U184" s="14"/>
      <c r="V184" s="14"/>
    </row>
    <row r="185" spans="1:22" ht="43.5" x14ac:dyDescent="0.35">
      <c r="A185" s="102" t="str">
        <f t="shared" si="17"/>
        <v>Closed</v>
      </c>
      <c r="B185" s="14" t="s">
        <v>91</v>
      </c>
      <c r="C185" s="14" t="s">
        <v>361</v>
      </c>
      <c r="D185" s="79">
        <v>45453</v>
      </c>
      <c r="E185" s="14">
        <v>2403</v>
      </c>
      <c r="G185" s="14" t="e">
        <f>VLOOKUP(F185,'Accident &amp; Incident Detail'!$D$3:$E$1154,2,FALSE)</f>
        <v>#N/A</v>
      </c>
      <c r="H185" s="14" t="s">
        <v>860</v>
      </c>
      <c r="I185" s="14" t="s">
        <v>861</v>
      </c>
      <c r="J185" s="14" t="s">
        <v>328</v>
      </c>
      <c r="K185" s="14" t="s">
        <v>430</v>
      </c>
      <c r="L185" s="14" t="s">
        <v>236</v>
      </c>
      <c r="M185" s="79">
        <f t="shared" si="18"/>
        <v>45481</v>
      </c>
      <c r="N185" s="14">
        <f t="shared" ca="1" si="19"/>
        <v>1</v>
      </c>
      <c r="O185" s="79">
        <v>45712</v>
      </c>
      <c r="Q185" s="14" t="s">
        <v>862</v>
      </c>
      <c r="T185" s="14"/>
      <c r="U185" s="14"/>
      <c r="V185" s="14"/>
    </row>
    <row r="186" spans="1:22" ht="29" x14ac:dyDescent="0.35">
      <c r="A186" s="102" t="str">
        <f t="shared" si="17"/>
        <v>Closed</v>
      </c>
      <c r="B186" s="14" t="s">
        <v>95</v>
      </c>
      <c r="C186" s="14" t="s">
        <v>168</v>
      </c>
      <c r="D186" s="79">
        <v>45454</v>
      </c>
      <c r="E186" s="14">
        <v>2402</v>
      </c>
      <c r="F186" s="14" t="s">
        <v>863</v>
      </c>
      <c r="G186" s="14" t="str">
        <f>VLOOKUP(F186,'Accident &amp; Incident Detail'!$D$3:$E$1154,2,FALSE)</f>
        <v>STF other</v>
      </c>
      <c r="H186" s="14" t="s">
        <v>864</v>
      </c>
      <c r="I186" s="14" t="s">
        <v>865</v>
      </c>
      <c r="J186" s="14" t="s">
        <v>234</v>
      </c>
      <c r="K186" s="14" t="s">
        <v>227</v>
      </c>
      <c r="L186" s="14" t="s">
        <v>234</v>
      </c>
      <c r="M186" s="79">
        <f t="shared" si="18"/>
        <v>45482</v>
      </c>
      <c r="N186" s="14">
        <f t="shared" ca="1" si="19"/>
        <v>1</v>
      </c>
      <c r="O186" s="79">
        <v>45454</v>
      </c>
    </row>
    <row r="187" spans="1:22" ht="29" x14ac:dyDescent="0.35">
      <c r="A187" s="102" t="str">
        <f t="shared" si="17"/>
        <v>Closed</v>
      </c>
      <c r="B187" s="14" t="s">
        <v>96</v>
      </c>
      <c r="C187" s="14" t="s">
        <v>135</v>
      </c>
      <c r="D187" s="79">
        <v>45454</v>
      </c>
      <c r="E187" s="14">
        <v>2310</v>
      </c>
      <c r="F187" s="14" t="s">
        <v>866</v>
      </c>
      <c r="G187" s="14" t="e">
        <f>VLOOKUP(F187,'Accident &amp; Incident Detail'!$D$3:$E$1154,2,FALSE)</f>
        <v>#N/A</v>
      </c>
      <c r="H187" s="14" t="s">
        <v>867</v>
      </c>
      <c r="I187" s="14" t="s">
        <v>868</v>
      </c>
      <c r="J187" s="14" t="s">
        <v>401</v>
      </c>
      <c r="K187" s="14" t="s">
        <v>263</v>
      </c>
      <c r="L187" s="14" t="s">
        <v>234</v>
      </c>
      <c r="M187" s="79">
        <f t="shared" si="18"/>
        <v>45482</v>
      </c>
      <c r="N187" s="14">
        <f t="shared" ca="1" si="19"/>
        <v>1</v>
      </c>
      <c r="O187" s="79">
        <v>45454</v>
      </c>
    </row>
    <row r="188" spans="1:22" ht="29" x14ac:dyDescent="0.35">
      <c r="A188" s="102" t="str">
        <f t="shared" si="17"/>
        <v>Closed</v>
      </c>
      <c r="B188" s="14" t="s">
        <v>95</v>
      </c>
      <c r="C188" s="14" t="s">
        <v>138</v>
      </c>
      <c r="D188" s="79">
        <v>45455</v>
      </c>
      <c r="E188" s="14">
        <v>2403</v>
      </c>
      <c r="F188" s="14" t="s">
        <v>869</v>
      </c>
      <c r="G188" s="14" t="str">
        <f>VLOOKUP(F188,'Accident &amp; Incident Detail'!$D$3:$E$1154,2,FALSE)</f>
        <v>Verbal Abuse</v>
      </c>
      <c r="H188" s="14" t="s">
        <v>870</v>
      </c>
      <c r="I188" s="14" t="s">
        <v>871</v>
      </c>
      <c r="J188" s="14" t="s">
        <v>234</v>
      </c>
      <c r="K188" s="14" t="s">
        <v>210</v>
      </c>
      <c r="L188" s="14" t="s">
        <v>234</v>
      </c>
      <c r="M188" s="79">
        <f t="shared" si="18"/>
        <v>45483</v>
      </c>
      <c r="N188" s="14">
        <f t="shared" ca="1" si="19"/>
        <v>1</v>
      </c>
      <c r="O188" s="79">
        <v>45455</v>
      </c>
    </row>
    <row r="189" spans="1:22" ht="29" x14ac:dyDescent="0.35">
      <c r="A189" s="102" t="str">
        <f t="shared" si="17"/>
        <v>Closed</v>
      </c>
      <c r="B189" s="14" t="s">
        <v>99</v>
      </c>
      <c r="C189" s="14" t="s">
        <v>531</v>
      </c>
      <c r="D189" s="79">
        <v>45461</v>
      </c>
      <c r="E189" s="14">
        <v>2403</v>
      </c>
      <c r="G189" s="14" t="e">
        <f>VLOOKUP(F189,'Accident &amp; Incident Detail'!$D$3:$E$1154,2,FALSE)</f>
        <v>#N/A</v>
      </c>
      <c r="H189" s="14" t="s">
        <v>872</v>
      </c>
      <c r="I189" s="14" t="s">
        <v>873</v>
      </c>
      <c r="J189" s="14" t="s">
        <v>874</v>
      </c>
      <c r="K189" s="14" t="s">
        <v>875</v>
      </c>
      <c r="L189" s="14" t="s">
        <v>236</v>
      </c>
      <c r="M189" s="79">
        <f t="shared" si="18"/>
        <v>45489</v>
      </c>
      <c r="N189" s="14">
        <f t="shared" ca="1" si="19"/>
        <v>1</v>
      </c>
      <c r="O189" s="79">
        <v>45473</v>
      </c>
    </row>
    <row r="190" spans="1:22" ht="159.5" x14ac:dyDescent="0.35">
      <c r="A190" s="102" t="str">
        <f t="shared" si="17"/>
        <v>Closed</v>
      </c>
      <c r="B190" s="14" t="s">
        <v>91</v>
      </c>
      <c r="C190" s="14" t="s">
        <v>531</v>
      </c>
      <c r="D190" s="79">
        <v>45464</v>
      </c>
      <c r="E190" s="14">
        <v>2403</v>
      </c>
      <c r="G190" s="14" t="e">
        <f>VLOOKUP(F190,'Accident &amp; Incident Detail'!$D$3:$E$1154,2,FALSE)</f>
        <v>#N/A</v>
      </c>
      <c r="H190" s="14" t="s">
        <v>876</v>
      </c>
      <c r="I190" s="14" t="s">
        <v>877</v>
      </c>
      <c r="J190" s="14" t="s">
        <v>345</v>
      </c>
      <c r="L190" s="14" t="s">
        <v>236</v>
      </c>
      <c r="M190" s="79">
        <f t="shared" si="18"/>
        <v>45492</v>
      </c>
      <c r="N190" s="14">
        <f t="shared" ca="1" si="19"/>
        <v>1</v>
      </c>
      <c r="O190" s="79">
        <v>45474</v>
      </c>
      <c r="Q190" s="14" t="s">
        <v>878</v>
      </c>
      <c r="T190" s="14"/>
      <c r="U190" s="14"/>
      <c r="V190" s="14"/>
    </row>
    <row r="191" spans="1:22" ht="43.5" x14ac:dyDescent="0.35">
      <c r="A191" s="102" t="str">
        <f t="shared" si="17"/>
        <v>Closed</v>
      </c>
      <c r="B191" s="14" t="s">
        <v>91</v>
      </c>
      <c r="C191" s="14" t="s">
        <v>531</v>
      </c>
      <c r="D191" s="79">
        <v>45468</v>
      </c>
      <c r="E191" s="14">
        <v>2404</v>
      </c>
      <c r="G191" s="14" t="e">
        <f>VLOOKUP(F191,'Accident &amp; Incident Detail'!$D$3:$E$1154,2,FALSE)</f>
        <v>#N/A</v>
      </c>
      <c r="H191" s="14" t="s">
        <v>879</v>
      </c>
      <c r="I191" s="14" t="s">
        <v>880</v>
      </c>
      <c r="J191" s="14" t="s">
        <v>345</v>
      </c>
      <c r="K191" s="14" t="s">
        <v>248</v>
      </c>
      <c r="L191" s="14" t="s">
        <v>236</v>
      </c>
      <c r="M191" s="79">
        <f t="shared" si="18"/>
        <v>45496</v>
      </c>
      <c r="N191" s="14">
        <f t="shared" ca="1" si="19"/>
        <v>1</v>
      </c>
      <c r="O191" s="79">
        <v>45637</v>
      </c>
      <c r="Q191" s="14" t="s">
        <v>881</v>
      </c>
      <c r="T191" s="14"/>
      <c r="U191" s="14"/>
      <c r="V191" s="14"/>
    </row>
    <row r="192" spans="1:22" ht="43.5" x14ac:dyDescent="0.35">
      <c r="A192" s="102" t="str">
        <f t="shared" ref="A192:A224" si="20">IF(O192&gt;1,"Closed",IF(N192=1,"Overdue",IF(N192=3,"","Open")))</f>
        <v>Closed</v>
      </c>
      <c r="B192" s="14" t="s">
        <v>93</v>
      </c>
      <c r="C192" s="14" t="s">
        <v>531</v>
      </c>
      <c r="D192" s="79">
        <v>45468</v>
      </c>
      <c r="E192" s="14">
        <v>2404</v>
      </c>
      <c r="G192" s="14" t="e">
        <f>VLOOKUP(F192,'Accident &amp; Incident Detail'!$D$3:$E$1154,2,FALSE)</f>
        <v>#N/A</v>
      </c>
      <c r="H192" s="14" t="s">
        <v>882</v>
      </c>
      <c r="I192" s="14" t="s">
        <v>883</v>
      </c>
      <c r="J192" s="14" t="s">
        <v>328</v>
      </c>
      <c r="L192" s="14" t="s">
        <v>236</v>
      </c>
      <c r="M192" s="79">
        <f t="shared" si="18"/>
        <v>45496</v>
      </c>
      <c r="N192" s="14">
        <f t="shared" ca="1" si="19"/>
        <v>1</v>
      </c>
      <c r="O192" s="79">
        <v>45503</v>
      </c>
    </row>
    <row r="193" spans="1:22" ht="29" x14ac:dyDescent="0.35">
      <c r="A193" s="102" t="str">
        <f t="shared" si="20"/>
        <v>Closed</v>
      </c>
      <c r="B193" s="14" t="s">
        <v>93</v>
      </c>
      <c r="C193" s="14" t="s">
        <v>531</v>
      </c>
      <c r="D193" s="79">
        <v>45468</v>
      </c>
      <c r="E193" s="14">
        <v>2404</v>
      </c>
      <c r="G193" s="14" t="e">
        <f>VLOOKUP(F193,'Accident &amp; Incident Detail'!$D$3:$E$1154,2,FALSE)</f>
        <v>#N/A</v>
      </c>
      <c r="H193" s="14" t="s">
        <v>884</v>
      </c>
      <c r="I193" s="14" t="s">
        <v>885</v>
      </c>
      <c r="J193" s="14" t="s">
        <v>328</v>
      </c>
      <c r="K193" s="14" t="s">
        <v>430</v>
      </c>
      <c r="L193" s="14" t="s">
        <v>236</v>
      </c>
      <c r="M193" s="79">
        <f t="shared" si="18"/>
        <v>45496</v>
      </c>
      <c r="N193" s="14">
        <f t="shared" ca="1" si="19"/>
        <v>1</v>
      </c>
      <c r="O193" s="79">
        <v>45712</v>
      </c>
      <c r="Q193" s="14" t="s">
        <v>886</v>
      </c>
    </row>
    <row r="194" spans="1:22" ht="29" x14ac:dyDescent="0.35">
      <c r="A194" s="102" t="str">
        <f t="shared" si="20"/>
        <v>Closed</v>
      </c>
      <c r="B194" s="14" t="s">
        <v>253</v>
      </c>
      <c r="C194" s="14" t="s">
        <v>531</v>
      </c>
      <c r="D194" s="79">
        <v>45469</v>
      </c>
      <c r="E194" s="14">
        <v>2404</v>
      </c>
      <c r="G194" s="14" t="e">
        <f>VLOOKUP(F194,'Accident &amp; Incident Detail'!$D$3:$E$1154,2,FALSE)</f>
        <v>#N/A</v>
      </c>
      <c r="H194" s="14" t="s">
        <v>887</v>
      </c>
      <c r="I194" s="14" t="s">
        <v>888</v>
      </c>
      <c r="J194" s="14" t="s">
        <v>345</v>
      </c>
      <c r="K194" s="14" t="s">
        <v>248</v>
      </c>
      <c r="L194" s="14" t="s">
        <v>236</v>
      </c>
      <c r="M194" s="79">
        <f t="shared" ref="M194:M226" si="21">IF(D194="","",D194+28)</f>
        <v>45497</v>
      </c>
      <c r="N194" s="14">
        <f t="shared" ca="1" si="19"/>
        <v>1</v>
      </c>
      <c r="O194" s="79">
        <v>45488</v>
      </c>
    </row>
    <row r="195" spans="1:22" ht="29" x14ac:dyDescent="0.35">
      <c r="A195" s="102" t="str">
        <f t="shared" si="20"/>
        <v>Closed</v>
      </c>
      <c r="B195" s="14" t="s">
        <v>253</v>
      </c>
      <c r="C195" s="14" t="s">
        <v>531</v>
      </c>
      <c r="D195" s="79">
        <v>45469</v>
      </c>
      <c r="E195" s="14">
        <v>2404</v>
      </c>
      <c r="G195" s="14" t="e">
        <f>VLOOKUP(F195,'Accident &amp; Incident Detail'!$D$3:$E$1154,2,FALSE)</f>
        <v>#N/A</v>
      </c>
      <c r="H195" s="14" t="s">
        <v>889</v>
      </c>
      <c r="I195" s="14" t="s">
        <v>890</v>
      </c>
      <c r="J195" s="14" t="s">
        <v>328</v>
      </c>
      <c r="K195" s="14" t="s">
        <v>430</v>
      </c>
      <c r="L195" s="14" t="s">
        <v>236</v>
      </c>
      <c r="M195" s="79">
        <f t="shared" si="21"/>
        <v>45497</v>
      </c>
      <c r="N195" s="14">
        <f t="shared" ca="1" si="19"/>
        <v>1</v>
      </c>
      <c r="O195" s="79">
        <v>45637</v>
      </c>
    </row>
    <row r="196" spans="1:22" ht="116" x14ac:dyDescent="0.35">
      <c r="A196" s="102" t="str">
        <f t="shared" si="20"/>
        <v>Closed</v>
      </c>
      <c r="B196" s="14" t="s">
        <v>91</v>
      </c>
      <c r="C196" s="14" t="s">
        <v>648</v>
      </c>
      <c r="D196" s="79">
        <v>45474</v>
      </c>
      <c r="E196" s="14">
        <v>2404</v>
      </c>
      <c r="G196" s="14" t="e">
        <f>VLOOKUP(F196,'Accident &amp; Incident Detail'!$D$3:$E$1154,2,FALSE)</f>
        <v>#N/A</v>
      </c>
      <c r="H196" s="14" t="s">
        <v>891</v>
      </c>
      <c r="I196" s="14" t="s">
        <v>892</v>
      </c>
      <c r="J196" s="14" t="s">
        <v>241</v>
      </c>
      <c r="K196" s="14" t="s">
        <v>239</v>
      </c>
      <c r="L196" s="14" t="s">
        <v>241</v>
      </c>
      <c r="M196" s="79">
        <f t="shared" si="21"/>
        <v>45502</v>
      </c>
      <c r="N196" s="14">
        <f t="shared" ca="1" si="19"/>
        <v>1</v>
      </c>
      <c r="O196" s="79">
        <v>45570</v>
      </c>
      <c r="Q196" s="14" t="s">
        <v>893</v>
      </c>
      <c r="T196" s="14"/>
      <c r="U196" s="14"/>
      <c r="V196" s="14"/>
    </row>
    <row r="197" spans="1:22" ht="87" x14ac:dyDescent="0.35">
      <c r="A197" s="102" t="str">
        <f t="shared" si="20"/>
        <v>Closed</v>
      </c>
      <c r="B197" s="14" t="s">
        <v>111</v>
      </c>
      <c r="C197" s="14" t="s">
        <v>894</v>
      </c>
      <c r="D197" s="79">
        <v>45474</v>
      </c>
      <c r="E197" s="14">
        <v>2404</v>
      </c>
      <c r="G197" s="14" t="e">
        <f>VLOOKUP(F197,'Accident &amp; Incident Detail'!$D$3:$E$1154,2,FALSE)</f>
        <v>#N/A</v>
      </c>
      <c r="H197" s="14" t="s">
        <v>895</v>
      </c>
      <c r="I197" s="14" t="s">
        <v>896</v>
      </c>
      <c r="J197" s="14" t="s">
        <v>328</v>
      </c>
      <c r="L197" s="14" t="s">
        <v>236</v>
      </c>
      <c r="M197" s="79">
        <f t="shared" si="21"/>
        <v>45502</v>
      </c>
      <c r="N197" s="14">
        <f t="shared" ca="1" si="19"/>
        <v>1</v>
      </c>
      <c r="O197" s="79">
        <v>45474</v>
      </c>
    </row>
    <row r="198" spans="1:22" ht="29" x14ac:dyDescent="0.35">
      <c r="A198" s="102" t="str">
        <f t="shared" si="20"/>
        <v>Closed</v>
      </c>
      <c r="B198" s="14" t="s">
        <v>99</v>
      </c>
      <c r="C198" s="14" t="s">
        <v>648</v>
      </c>
      <c r="D198" s="79">
        <v>45476</v>
      </c>
      <c r="E198" s="14">
        <v>2404</v>
      </c>
      <c r="G198" s="14" t="e">
        <f>VLOOKUP(F198,'Accident &amp; Incident Detail'!$D$3:$E$1154,2,FALSE)</f>
        <v>#N/A</v>
      </c>
      <c r="H198" s="14" t="s">
        <v>897</v>
      </c>
      <c r="I198" s="14" t="s">
        <v>898</v>
      </c>
      <c r="J198" s="14" t="s">
        <v>241</v>
      </c>
      <c r="K198" s="14" t="s">
        <v>240</v>
      </c>
      <c r="L198" s="14" t="s">
        <v>241</v>
      </c>
      <c r="M198" s="79">
        <f t="shared" si="21"/>
        <v>45504</v>
      </c>
      <c r="N198" s="14">
        <f t="shared" ca="1" si="19"/>
        <v>1</v>
      </c>
      <c r="O198" s="79">
        <v>45534</v>
      </c>
    </row>
    <row r="199" spans="1:22" ht="29" x14ac:dyDescent="0.35">
      <c r="A199" s="102" t="str">
        <f t="shared" si="20"/>
        <v>Closed</v>
      </c>
      <c r="B199" s="14" t="s">
        <v>95</v>
      </c>
      <c r="C199" s="14" t="s">
        <v>174</v>
      </c>
      <c r="D199" s="79">
        <v>45476</v>
      </c>
      <c r="E199" s="14">
        <v>2405</v>
      </c>
      <c r="F199" s="14" t="s">
        <v>899</v>
      </c>
      <c r="G199" s="14" t="str">
        <f>VLOOKUP(F199,'Accident &amp; Incident Detail'!$D$3:$E$1154,2,FALSE)</f>
        <v>Vandalism</v>
      </c>
      <c r="H199" s="14" t="s">
        <v>900</v>
      </c>
      <c r="I199" s="14" t="s">
        <v>901</v>
      </c>
      <c r="J199" s="14" t="s">
        <v>401</v>
      </c>
      <c r="K199" s="14" t="s">
        <v>254</v>
      </c>
      <c r="L199" s="14" t="s">
        <v>234</v>
      </c>
      <c r="M199" s="79">
        <f t="shared" si="21"/>
        <v>45504</v>
      </c>
      <c r="N199" s="14">
        <f t="shared" ca="1" si="19"/>
        <v>1</v>
      </c>
      <c r="O199" s="79">
        <v>45428</v>
      </c>
    </row>
    <row r="200" spans="1:22" ht="29" x14ac:dyDescent="0.35">
      <c r="A200" s="102" t="str">
        <f t="shared" si="20"/>
        <v>Closed</v>
      </c>
      <c r="B200" s="14" t="s">
        <v>91</v>
      </c>
      <c r="C200" s="14" t="s">
        <v>902</v>
      </c>
      <c r="D200" s="79">
        <v>45483</v>
      </c>
      <c r="E200" s="14">
        <v>2404</v>
      </c>
      <c r="G200" s="14" t="e">
        <f>VLOOKUP(F200,'Accident &amp; Incident Detail'!$D$3:$E$1154,2,FALSE)</f>
        <v>#N/A</v>
      </c>
      <c r="H200" s="14" t="s">
        <v>903</v>
      </c>
      <c r="I200" s="14" t="s">
        <v>904</v>
      </c>
      <c r="J200" s="14" t="s">
        <v>345</v>
      </c>
      <c r="K200" s="14" t="s">
        <v>248</v>
      </c>
      <c r="L200" s="14" t="s">
        <v>236</v>
      </c>
      <c r="M200" s="79">
        <f t="shared" si="21"/>
        <v>45511</v>
      </c>
      <c r="N200" s="14">
        <f t="shared" ca="1" si="19"/>
        <v>1</v>
      </c>
      <c r="O200" s="79">
        <v>45492</v>
      </c>
      <c r="T200" s="14"/>
      <c r="U200" s="14"/>
      <c r="V200" s="14"/>
    </row>
    <row r="201" spans="1:22" ht="29" x14ac:dyDescent="0.35">
      <c r="A201" s="102" t="str">
        <f t="shared" si="20"/>
        <v>Closed</v>
      </c>
      <c r="B201" s="14" t="s">
        <v>91</v>
      </c>
      <c r="C201" s="14" t="s">
        <v>902</v>
      </c>
      <c r="D201" s="79">
        <v>45483</v>
      </c>
      <c r="E201" s="14">
        <v>2404</v>
      </c>
      <c r="G201" s="14" t="e">
        <f>VLOOKUP(F201,'Accident &amp; Incident Detail'!$D$3:$E$1154,2,FALSE)</f>
        <v>#N/A</v>
      </c>
      <c r="H201" s="14" t="s">
        <v>905</v>
      </c>
      <c r="I201" s="14" t="s">
        <v>906</v>
      </c>
      <c r="J201" s="14" t="s">
        <v>345</v>
      </c>
      <c r="K201" s="14" t="s">
        <v>248</v>
      </c>
      <c r="L201" s="14" t="s">
        <v>236</v>
      </c>
      <c r="M201" s="79">
        <f t="shared" si="21"/>
        <v>45511</v>
      </c>
      <c r="N201" s="14">
        <f t="shared" ca="1" si="19"/>
        <v>1</v>
      </c>
      <c r="O201" s="79">
        <v>45492</v>
      </c>
      <c r="T201" s="14"/>
      <c r="U201" s="14"/>
      <c r="V201" s="14"/>
    </row>
    <row r="202" spans="1:22" ht="29" x14ac:dyDescent="0.35">
      <c r="A202" s="102" t="str">
        <f ca="1">IF(O202&gt;1,"Closed",IF(N202=1,"Overdue",IF(N202=3,"","Open")))</f>
        <v>Overdue</v>
      </c>
      <c r="B202" s="14" t="s">
        <v>93</v>
      </c>
      <c r="C202" s="14" t="s">
        <v>369</v>
      </c>
      <c r="D202" s="79">
        <v>45309</v>
      </c>
      <c r="E202" s="14">
        <v>2310</v>
      </c>
      <c r="G202" s="14" t="e">
        <f>VLOOKUP(F202,'Accident &amp; Incident Detail'!$D$3:$E$165,2,FALSE)</f>
        <v>#N/A</v>
      </c>
      <c r="H202" s="14" t="s">
        <v>907</v>
      </c>
      <c r="I202" s="14" t="s">
        <v>908</v>
      </c>
      <c r="J202" s="14" t="s">
        <v>328</v>
      </c>
      <c r="K202" s="14" t="s">
        <v>430</v>
      </c>
      <c r="L202" s="14" t="s">
        <v>236</v>
      </c>
      <c r="M202" s="79">
        <f>IF(D202="","",D202+28)</f>
        <v>45337</v>
      </c>
      <c r="N202" s="14">
        <f ca="1">IF(D202="",3,IF(M202&lt;$A$2,1,0))</f>
        <v>1</v>
      </c>
      <c r="Q202" s="14" t="s">
        <v>909</v>
      </c>
      <c r="T202" s="14"/>
      <c r="U202" s="14"/>
      <c r="V202" s="14"/>
    </row>
    <row r="203" spans="1:22" ht="72.5" x14ac:dyDescent="0.35">
      <c r="A203" s="102" t="str">
        <f t="shared" ca="1" si="20"/>
        <v>Overdue</v>
      </c>
      <c r="B203" s="14" t="s">
        <v>91</v>
      </c>
      <c r="C203" s="14" t="s">
        <v>902</v>
      </c>
      <c r="D203" s="79">
        <v>45483</v>
      </c>
      <c r="E203" s="14">
        <v>2404</v>
      </c>
      <c r="G203" s="14" t="e">
        <f>VLOOKUP(F203,'Accident &amp; Incident Detail'!$D$3:$E$1154,2,FALSE)</f>
        <v>#N/A</v>
      </c>
      <c r="H203" s="14" t="s">
        <v>910</v>
      </c>
      <c r="I203" s="14" t="s">
        <v>911</v>
      </c>
      <c r="J203" s="14" t="s">
        <v>328</v>
      </c>
      <c r="K203" s="14" t="s">
        <v>430</v>
      </c>
      <c r="L203" s="14" t="s">
        <v>236</v>
      </c>
      <c r="M203" s="79">
        <f t="shared" si="21"/>
        <v>45511</v>
      </c>
      <c r="N203" s="14">
        <f t="shared" ca="1" si="19"/>
        <v>1</v>
      </c>
      <c r="Q203" s="14" t="s">
        <v>912</v>
      </c>
      <c r="T203" s="14"/>
      <c r="U203" s="14"/>
      <c r="V203" s="14"/>
    </row>
    <row r="204" spans="1:22" ht="29" x14ac:dyDescent="0.35">
      <c r="A204" s="102" t="str">
        <f t="shared" ca="1" si="20"/>
        <v>Overdue</v>
      </c>
      <c r="B204" s="14" t="s">
        <v>91</v>
      </c>
      <c r="C204" s="14" t="s">
        <v>902</v>
      </c>
      <c r="D204" s="79">
        <v>45483</v>
      </c>
      <c r="E204" s="14">
        <v>2404</v>
      </c>
      <c r="G204" s="14" t="e">
        <f>VLOOKUP(F204,'Accident &amp; Incident Detail'!$D$3:$E$1154,2,FALSE)</f>
        <v>#N/A</v>
      </c>
      <c r="H204" s="14" t="s">
        <v>913</v>
      </c>
      <c r="I204" s="14" t="s">
        <v>914</v>
      </c>
      <c r="J204" s="14" t="s">
        <v>328</v>
      </c>
      <c r="K204" s="14" t="s">
        <v>430</v>
      </c>
      <c r="L204" s="14" t="s">
        <v>236</v>
      </c>
      <c r="M204" s="79">
        <f t="shared" si="21"/>
        <v>45511</v>
      </c>
      <c r="N204" s="14">
        <f t="shared" ca="1" si="19"/>
        <v>1</v>
      </c>
      <c r="Q204" s="14" t="s">
        <v>912</v>
      </c>
      <c r="T204" s="14"/>
      <c r="U204" s="14"/>
      <c r="V204" s="14"/>
    </row>
    <row r="205" spans="1:22" ht="29" x14ac:dyDescent="0.35">
      <c r="A205" s="102" t="str">
        <f t="shared" si="20"/>
        <v>Closed</v>
      </c>
      <c r="B205" s="14" t="s">
        <v>91</v>
      </c>
      <c r="C205" s="14" t="s">
        <v>902</v>
      </c>
      <c r="D205" s="79">
        <v>45483</v>
      </c>
      <c r="E205" s="14">
        <v>2404</v>
      </c>
      <c r="G205" s="14" t="e">
        <f>VLOOKUP(F205,'Accident &amp; Incident Detail'!$D$3:$E$1154,2,FALSE)</f>
        <v>#N/A</v>
      </c>
      <c r="H205" s="14" t="s">
        <v>915</v>
      </c>
      <c r="I205" s="14" t="s">
        <v>916</v>
      </c>
      <c r="J205" s="14" t="s">
        <v>328</v>
      </c>
      <c r="K205" s="14" t="s">
        <v>430</v>
      </c>
      <c r="L205" s="14" t="s">
        <v>236</v>
      </c>
      <c r="M205" s="79">
        <f t="shared" si="21"/>
        <v>45511</v>
      </c>
      <c r="N205" s="14">
        <f t="shared" ca="1" si="19"/>
        <v>1</v>
      </c>
      <c r="O205" s="79">
        <v>45712</v>
      </c>
      <c r="Q205" s="14" t="s">
        <v>917</v>
      </c>
      <c r="T205" s="14"/>
      <c r="U205" s="14"/>
      <c r="V205" s="14"/>
    </row>
    <row r="206" spans="1:22" ht="43.5" x14ac:dyDescent="0.35">
      <c r="A206" s="102" t="str">
        <f t="shared" si="20"/>
        <v>Closed</v>
      </c>
      <c r="B206" s="14" t="s">
        <v>91</v>
      </c>
      <c r="C206" s="14" t="s">
        <v>918</v>
      </c>
      <c r="D206" s="79">
        <v>45484</v>
      </c>
      <c r="E206" s="14">
        <v>2404</v>
      </c>
      <c r="G206" s="14" t="e">
        <f>VLOOKUP(F206,'Accident &amp; Incident Detail'!$D$3:$E$1154,2,FALSE)</f>
        <v>#N/A</v>
      </c>
      <c r="H206" s="14" t="s">
        <v>919</v>
      </c>
      <c r="I206" s="14" t="s">
        <v>920</v>
      </c>
      <c r="J206" s="14" t="s">
        <v>241</v>
      </c>
      <c r="K206" s="14" t="s">
        <v>239</v>
      </c>
      <c r="L206" s="14" t="s">
        <v>241</v>
      </c>
      <c r="M206" s="79">
        <f t="shared" si="21"/>
        <v>45512</v>
      </c>
      <c r="N206" s="14">
        <f t="shared" ca="1" si="19"/>
        <v>1</v>
      </c>
      <c r="O206" s="79">
        <v>45713</v>
      </c>
      <c r="Q206" s="14" t="s">
        <v>921</v>
      </c>
      <c r="T206" s="14"/>
      <c r="U206" s="14"/>
      <c r="V206" s="14"/>
    </row>
    <row r="207" spans="1:22" ht="87" x14ac:dyDescent="0.35">
      <c r="A207" s="102" t="str">
        <f t="shared" si="20"/>
        <v>Closed</v>
      </c>
      <c r="B207" s="14" t="s">
        <v>91</v>
      </c>
      <c r="C207" s="14" t="s">
        <v>922</v>
      </c>
      <c r="D207" s="79">
        <v>45485</v>
      </c>
      <c r="E207" s="14">
        <v>2404</v>
      </c>
      <c r="G207" s="14" t="e">
        <f>VLOOKUP(F207,'Accident &amp; Incident Detail'!$D$3:$E$1154,2,FALSE)</f>
        <v>#N/A</v>
      </c>
      <c r="H207" s="14" t="s">
        <v>923</v>
      </c>
      <c r="I207" s="14" t="s">
        <v>924</v>
      </c>
      <c r="J207" s="14" t="s">
        <v>372</v>
      </c>
      <c r="K207" s="14" t="s">
        <v>222</v>
      </c>
      <c r="L207" s="14" t="s">
        <v>236</v>
      </c>
      <c r="M207" s="79">
        <f t="shared" si="21"/>
        <v>45513</v>
      </c>
      <c r="N207" s="14">
        <f t="shared" ca="1" si="19"/>
        <v>1</v>
      </c>
      <c r="O207" s="79">
        <v>45534</v>
      </c>
      <c r="Q207" s="14" t="s">
        <v>925</v>
      </c>
      <c r="T207" s="14"/>
      <c r="U207" s="14"/>
      <c r="V207" s="14"/>
    </row>
    <row r="208" spans="1:22" ht="29" x14ac:dyDescent="0.35">
      <c r="A208" s="102" t="str">
        <f t="shared" si="20"/>
        <v>Closed</v>
      </c>
      <c r="B208" s="14" t="s">
        <v>111</v>
      </c>
      <c r="C208" s="14" t="s">
        <v>173</v>
      </c>
      <c r="D208" s="79">
        <v>45485</v>
      </c>
      <c r="E208" s="14">
        <v>2405</v>
      </c>
      <c r="G208" s="14" t="e">
        <f>VLOOKUP(F208,'Accident &amp; Incident Detail'!$D$3:$E$1154,2,FALSE)</f>
        <v>#N/A</v>
      </c>
      <c r="H208" s="14" t="s">
        <v>926</v>
      </c>
      <c r="I208" s="14" t="s">
        <v>927</v>
      </c>
      <c r="J208" s="14" t="s">
        <v>328</v>
      </c>
      <c r="K208" s="14" t="s">
        <v>244</v>
      </c>
      <c r="L208" s="14" t="s">
        <v>236</v>
      </c>
      <c r="M208" s="79">
        <f t="shared" si="21"/>
        <v>45513</v>
      </c>
      <c r="N208" s="14">
        <f t="shared" ca="1" si="19"/>
        <v>1</v>
      </c>
      <c r="O208" s="79">
        <v>45485</v>
      </c>
    </row>
    <row r="209" spans="1:22" ht="159.5" x14ac:dyDescent="0.35">
      <c r="A209" s="102" t="str">
        <f t="shared" si="20"/>
        <v>Closed</v>
      </c>
      <c r="B209" s="14" t="s">
        <v>91</v>
      </c>
      <c r="C209" s="14" t="s">
        <v>175</v>
      </c>
      <c r="D209" s="79">
        <v>45488</v>
      </c>
      <c r="E209" s="14">
        <v>2404</v>
      </c>
      <c r="G209" s="14" t="e">
        <f>VLOOKUP(F209,'Accident &amp; Incident Detail'!$D$3:$E$1154,2,FALSE)</f>
        <v>#N/A</v>
      </c>
      <c r="H209" s="14" t="s">
        <v>928</v>
      </c>
      <c r="I209" s="14" t="s">
        <v>929</v>
      </c>
      <c r="J209" s="14" t="s">
        <v>234</v>
      </c>
      <c r="K209" s="14" t="s">
        <v>226</v>
      </c>
      <c r="L209" s="14" t="s">
        <v>234</v>
      </c>
      <c r="M209" s="79">
        <f t="shared" si="21"/>
        <v>45516</v>
      </c>
      <c r="N209" s="14">
        <f t="shared" ca="1" si="19"/>
        <v>1</v>
      </c>
      <c r="O209" s="79">
        <v>45496</v>
      </c>
      <c r="Q209" s="14" t="s">
        <v>930</v>
      </c>
      <c r="T209" s="14"/>
      <c r="U209" s="14"/>
      <c r="V209" s="14"/>
    </row>
    <row r="210" spans="1:22" ht="29" x14ac:dyDescent="0.35">
      <c r="A210" s="102" t="str">
        <f t="shared" si="20"/>
        <v>Closed</v>
      </c>
      <c r="B210" s="14" t="s">
        <v>95</v>
      </c>
      <c r="C210" s="14" t="s">
        <v>138</v>
      </c>
      <c r="D210" s="79">
        <v>45490</v>
      </c>
      <c r="E210" s="112">
        <v>2408</v>
      </c>
      <c r="F210" s="14" t="s">
        <v>931</v>
      </c>
      <c r="G210" s="14" t="str">
        <f>VLOOKUP(F210,'Accident &amp; Incident Detail'!$D$3:$E$1154,2,FALSE)</f>
        <v>STF on Tram</v>
      </c>
      <c r="H210" s="14" t="s">
        <v>932</v>
      </c>
      <c r="I210" s="14" t="s">
        <v>933</v>
      </c>
      <c r="J210" s="14" t="s">
        <v>234</v>
      </c>
      <c r="K210" s="14" t="s">
        <v>210</v>
      </c>
      <c r="L210" s="14" t="s">
        <v>234</v>
      </c>
      <c r="M210" s="79">
        <f t="shared" si="21"/>
        <v>45518</v>
      </c>
      <c r="N210" s="14">
        <f t="shared" ca="1" si="19"/>
        <v>1</v>
      </c>
      <c r="O210" s="79">
        <v>45490</v>
      </c>
    </row>
    <row r="211" spans="1:22" ht="29" x14ac:dyDescent="0.35">
      <c r="A211" s="102" t="str">
        <f t="shared" si="20"/>
        <v>Closed</v>
      </c>
      <c r="B211" s="14" t="s">
        <v>95</v>
      </c>
      <c r="C211" s="14" t="s">
        <v>138</v>
      </c>
      <c r="D211" s="79">
        <v>45490</v>
      </c>
      <c r="E211" s="112">
        <v>2408</v>
      </c>
      <c r="F211" s="14" t="s">
        <v>931</v>
      </c>
      <c r="G211" s="14" t="str">
        <f>VLOOKUP(F211,'Accident &amp; Incident Detail'!$D$3:$E$1154,2,FALSE)</f>
        <v>STF on Tram</v>
      </c>
      <c r="H211" s="14" t="s">
        <v>934</v>
      </c>
      <c r="I211" s="14" t="s">
        <v>935</v>
      </c>
      <c r="J211" s="14" t="s">
        <v>234</v>
      </c>
      <c r="K211" s="14" t="s">
        <v>210</v>
      </c>
      <c r="L211" s="14" t="s">
        <v>234</v>
      </c>
      <c r="M211" s="79">
        <f t="shared" si="21"/>
        <v>45518</v>
      </c>
      <c r="N211" s="14">
        <f t="shared" ca="1" si="19"/>
        <v>1</v>
      </c>
      <c r="O211" s="79">
        <v>45490</v>
      </c>
    </row>
    <row r="212" spans="1:22" ht="72.5" x14ac:dyDescent="0.35">
      <c r="A212" s="102" t="str">
        <f t="shared" si="20"/>
        <v>Closed</v>
      </c>
      <c r="B212" s="14" t="s">
        <v>91</v>
      </c>
      <c r="C212" s="14" t="s">
        <v>531</v>
      </c>
      <c r="D212" s="79">
        <v>45492</v>
      </c>
      <c r="E212" s="14">
        <v>2404</v>
      </c>
      <c r="G212" s="14" t="e">
        <f>VLOOKUP(F212,'Accident &amp; Incident Detail'!$D$3:$E$1154,2,FALSE)</f>
        <v>#N/A</v>
      </c>
      <c r="H212" s="14" t="s">
        <v>936</v>
      </c>
      <c r="I212" s="14" t="s">
        <v>937</v>
      </c>
      <c r="J212" s="14" t="s">
        <v>345</v>
      </c>
      <c r="K212" s="14" t="s">
        <v>248</v>
      </c>
      <c r="L212" s="14" t="s">
        <v>236</v>
      </c>
      <c r="M212" s="79">
        <f t="shared" si="21"/>
        <v>45520</v>
      </c>
      <c r="N212" s="14">
        <f t="shared" ca="1" si="19"/>
        <v>1</v>
      </c>
      <c r="O212" s="79">
        <v>45602</v>
      </c>
      <c r="Q212" s="14" t="s">
        <v>938</v>
      </c>
      <c r="T212" s="14"/>
      <c r="U212" s="14"/>
      <c r="V212" s="14"/>
    </row>
    <row r="213" spans="1:22" ht="116" x14ac:dyDescent="0.35">
      <c r="A213" s="102" t="str">
        <f t="shared" si="20"/>
        <v>Closed</v>
      </c>
      <c r="B213" s="14" t="s">
        <v>91</v>
      </c>
      <c r="C213" s="14" t="s">
        <v>939</v>
      </c>
      <c r="D213" s="79">
        <v>45497</v>
      </c>
      <c r="E213" s="14">
        <v>2405</v>
      </c>
      <c r="G213" s="14" t="e">
        <f>VLOOKUP(F213,'Accident &amp; Incident Detail'!$D$3:$E$1154,2,FALSE)</f>
        <v>#N/A</v>
      </c>
      <c r="H213" s="14" t="s">
        <v>940</v>
      </c>
      <c r="I213" s="14" t="s">
        <v>941</v>
      </c>
      <c r="J213" s="14" t="s">
        <v>372</v>
      </c>
      <c r="K213" s="14" t="s">
        <v>222</v>
      </c>
      <c r="L213" s="14" t="s">
        <v>236</v>
      </c>
      <c r="M213" s="79">
        <f t="shared" si="21"/>
        <v>45525</v>
      </c>
      <c r="N213" s="14">
        <f t="shared" ca="1" si="19"/>
        <v>1</v>
      </c>
      <c r="O213" s="79">
        <v>45687</v>
      </c>
      <c r="P213" s="14" t="s">
        <v>303</v>
      </c>
      <c r="Q213" s="14" t="s">
        <v>942</v>
      </c>
      <c r="T213" s="14"/>
      <c r="U213" s="14"/>
      <c r="V213" s="14"/>
    </row>
    <row r="214" spans="1:22" ht="43.5" x14ac:dyDescent="0.35">
      <c r="A214" s="102" t="str">
        <f t="shared" si="20"/>
        <v>Closed</v>
      </c>
      <c r="B214" s="14" t="s">
        <v>91</v>
      </c>
      <c r="C214" s="14" t="s">
        <v>175</v>
      </c>
      <c r="D214" s="79">
        <v>45497</v>
      </c>
      <c r="E214" s="14">
        <v>2405</v>
      </c>
      <c r="G214" s="14" t="e">
        <f>VLOOKUP(F214,'Accident &amp; Incident Detail'!$D$3:$E$1154,2,FALSE)</f>
        <v>#N/A</v>
      </c>
      <c r="H214" s="14" t="s">
        <v>943</v>
      </c>
      <c r="I214" s="14" t="s">
        <v>944</v>
      </c>
      <c r="J214" s="14" t="s">
        <v>345</v>
      </c>
      <c r="K214" s="14" t="s">
        <v>248</v>
      </c>
      <c r="L214" s="14" t="s">
        <v>236</v>
      </c>
      <c r="M214" s="79">
        <f t="shared" si="21"/>
        <v>45525</v>
      </c>
      <c r="N214" s="14">
        <f t="shared" ca="1" si="19"/>
        <v>1</v>
      </c>
      <c r="O214" s="79">
        <v>45501</v>
      </c>
      <c r="T214" s="14"/>
      <c r="U214" s="14"/>
      <c r="V214" s="14"/>
    </row>
    <row r="215" spans="1:22" x14ac:dyDescent="0.35">
      <c r="A215" s="102" t="str">
        <f t="shared" si="20"/>
        <v>Closed</v>
      </c>
      <c r="B215" s="14" t="s">
        <v>110</v>
      </c>
      <c r="C215" s="14" t="s">
        <v>790</v>
      </c>
      <c r="D215" s="79">
        <v>45497</v>
      </c>
      <c r="E215" s="14">
        <v>2405</v>
      </c>
      <c r="G215" s="14" t="e">
        <f>VLOOKUP(F215,'Accident &amp; Incident Detail'!$D$3:$E$1154,2,FALSE)</f>
        <v>#N/A</v>
      </c>
      <c r="H215" s="14" t="s">
        <v>945</v>
      </c>
      <c r="I215" s="14" t="s">
        <v>946</v>
      </c>
      <c r="J215" s="14" t="s">
        <v>234</v>
      </c>
      <c r="K215" s="14" t="s">
        <v>179</v>
      </c>
      <c r="L215" s="14" t="s">
        <v>234</v>
      </c>
      <c r="M215" s="79">
        <f t="shared" si="21"/>
        <v>45525</v>
      </c>
      <c r="N215" s="14">
        <f t="shared" ca="1" si="19"/>
        <v>1</v>
      </c>
      <c r="O215" s="79">
        <v>45497</v>
      </c>
    </row>
    <row r="216" spans="1:22" x14ac:dyDescent="0.35">
      <c r="A216" s="102" t="str">
        <f t="shared" si="20"/>
        <v>Closed</v>
      </c>
      <c r="B216" s="14" t="s">
        <v>110</v>
      </c>
      <c r="C216" s="14" t="s">
        <v>947</v>
      </c>
      <c r="D216" s="79">
        <v>45497</v>
      </c>
      <c r="E216" s="14">
        <v>2405</v>
      </c>
      <c r="G216" s="14" t="e">
        <f>VLOOKUP(F216,'Accident &amp; Incident Detail'!$D$3:$E$1154,2,FALSE)</f>
        <v>#N/A</v>
      </c>
      <c r="H216" s="14" t="s">
        <v>948</v>
      </c>
      <c r="I216" s="14" t="s">
        <v>949</v>
      </c>
      <c r="J216" s="14" t="s">
        <v>234</v>
      </c>
      <c r="K216" s="14" t="s">
        <v>179</v>
      </c>
      <c r="L216" s="14" t="s">
        <v>234</v>
      </c>
      <c r="M216" s="79">
        <f t="shared" si="21"/>
        <v>45525</v>
      </c>
      <c r="N216" s="14">
        <f t="shared" ref="N216:N230" ca="1" si="22">IF(D216="",3,IF(M216&lt;$A$2,1,0))</f>
        <v>1</v>
      </c>
      <c r="O216" s="79">
        <v>45497</v>
      </c>
    </row>
    <row r="217" spans="1:22" ht="29" x14ac:dyDescent="0.35">
      <c r="A217" s="102" t="str">
        <f t="shared" si="20"/>
        <v>Closed</v>
      </c>
      <c r="B217" s="14" t="s">
        <v>95</v>
      </c>
      <c r="C217" s="14" t="s">
        <v>175</v>
      </c>
      <c r="D217" s="79">
        <v>45497</v>
      </c>
      <c r="E217" s="14">
        <v>2404</v>
      </c>
      <c r="F217" s="14" t="s">
        <v>950</v>
      </c>
      <c r="G217" s="14" t="str">
        <f>VLOOKUP(F217,'Accident &amp; Incident Detail'!$D$3:$E$1154,2,FALSE)</f>
        <v>Minor - RTC</v>
      </c>
      <c r="H217" s="14" t="s">
        <v>951</v>
      </c>
      <c r="I217" s="14" t="s">
        <v>952</v>
      </c>
      <c r="J217" s="14" t="s">
        <v>234</v>
      </c>
      <c r="K217" s="14" t="s">
        <v>265</v>
      </c>
      <c r="L217" s="14" t="s">
        <v>234</v>
      </c>
      <c r="M217" s="79">
        <f t="shared" si="21"/>
        <v>45525</v>
      </c>
      <c r="N217" s="14">
        <f t="shared" ca="1" si="22"/>
        <v>1</v>
      </c>
      <c r="O217" s="79">
        <v>45493</v>
      </c>
    </row>
    <row r="218" spans="1:22" ht="43.5" x14ac:dyDescent="0.35">
      <c r="A218" s="102" t="str">
        <f t="shared" si="20"/>
        <v>Closed</v>
      </c>
      <c r="B218" s="14" t="s">
        <v>91</v>
      </c>
      <c r="C218" s="14" t="s">
        <v>953</v>
      </c>
      <c r="D218" s="79">
        <v>45498</v>
      </c>
      <c r="E218" s="14">
        <v>2405</v>
      </c>
      <c r="G218" s="14" t="e">
        <f>VLOOKUP(F218,'Accident &amp; Incident Detail'!$D$3:$E$1154,2,FALSE)</f>
        <v>#N/A</v>
      </c>
      <c r="H218" s="14" t="s">
        <v>954</v>
      </c>
      <c r="I218" s="14" t="s">
        <v>955</v>
      </c>
      <c r="J218" s="14" t="s">
        <v>234</v>
      </c>
      <c r="K218" s="14" t="s">
        <v>226</v>
      </c>
      <c r="L218" s="14" t="s">
        <v>234</v>
      </c>
      <c r="M218" s="79">
        <f t="shared" si="21"/>
        <v>45526</v>
      </c>
      <c r="N218" s="14">
        <f t="shared" ca="1" si="22"/>
        <v>1</v>
      </c>
      <c r="O218" s="79">
        <v>45687</v>
      </c>
      <c r="Q218" s="14" t="s">
        <v>956</v>
      </c>
      <c r="T218" s="14"/>
      <c r="U218" s="14"/>
      <c r="V218" s="14"/>
    </row>
    <row r="219" spans="1:22" ht="43.5" x14ac:dyDescent="0.35">
      <c r="A219" s="102" t="str">
        <f t="shared" si="20"/>
        <v>Closed</v>
      </c>
      <c r="B219" s="14" t="s">
        <v>99</v>
      </c>
      <c r="C219" s="14" t="s">
        <v>648</v>
      </c>
      <c r="D219" s="79">
        <v>45498</v>
      </c>
      <c r="E219" s="14">
        <v>2405</v>
      </c>
      <c r="G219" s="14" t="e">
        <f>VLOOKUP(F219,'Accident &amp; Incident Detail'!$D$3:$E$1154,2,FALSE)</f>
        <v>#N/A</v>
      </c>
      <c r="H219" s="14" t="s">
        <v>957</v>
      </c>
      <c r="I219" s="14" t="s">
        <v>958</v>
      </c>
      <c r="J219" s="14" t="s">
        <v>345</v>
      </c>
      <c r="K219" s="14" t="s">
        <v>248</v>
      </c>
      <c r="L219" s="14" t="s">
        <v>236</v>
      </c>
      <c r="M219" s="79">
        <f t="shared" si="21"/>
        <v>45526</v>
      </c>
      <c r="N219" s="14">
        <f t="shared" ca="1" si="22"/>
        <v>1</v>
      </c>
      <c r="O219" s="79">
        <v>45912</v>
      </c>
      <c r="Q219" s="14" t="s">
        <v>959</v>
      </c>
    </row>
    <row r="220" spans="1:22" ht="174" x14ac:dyDescent="0.35">
      <c r="A220" s="102" t="str">
        <f t="shared" si="20"/>
        <v>Closed</v>
      </c>
      <c r="B220" s="14" t="s">
        <v>253</v>
      </c>
      <c r="C220" s="14" t="s">
        <v>648</v>
      </c>
      <c r="D220" s="79">
        <v>45502</v>
      </c>
      <c r="E220" s="14">
        <v>2405</v>
      </c>
      <c r="G220" s="14" t="e">
        <f>VLOOKUP(F220,'Accident &amp; Incident Detail'!$D$3:$E$1154,2,FALSE)</f>
        <v>#N/A</v>
      </c>
      <c r="H220" s="14" t="s">
        <v>960</v>
      </c>
      <c r="I220" s="14" t="s">
        <v>961</v>
      </c>
      <c r="J220" s="14" t="s">
        <v>328</v>
      </c>
      <c r="L220" s="14" t="s">
        <v>236</v>
      </c>
      <c r="M220" s="79">
        <f t="shared" si="21"/>
        <v>45530</v>
      </c>
      <c r="N220" s="14">
        <f t="shared" ca="1" si="22"/>
        <v>1</v>
      </c>
      <c r="O220" s="79">
        <v>45637</v>
      </c>
    </row>
    <row r="221" spans="1:22" ht="29" x14ac:dyDescent="0.35">
      <c r="A221" s="102" t="str">
        <f t="shared" si="20"/>
        <v>Closed</v>
      </c>
      <c r="B221" s="14" t="s">
        <v>95</v>
      </c>
      <c r="C221" s="14" t="s">
        <v>175</v>
      </c>
      <c r="D221" s="79">
        <v>45507</v>
      </c>
      <c r="E221" s="14">
        <v>2405</v>
      </c>
      <c r="F221" s="14" t="s">
        <v>962</v>
      </c>
      <c r="G221" s="14" t="str">
        <f>VLOOKUP(F221,'Accident &amp; Incident Detail'!$D$3:$E$1154,2,FALSE)</f>
        <v>Signal Passed against Bar (SPAS)</v>
      </c>
      <c r="H221" s="14" t="s">
        <v>963</v>
      </c>
      <c r="I221" s="14" t="s">
        <v>564</v>
      </c>
      <c r="J221" s="14" t="s">
        <v>401</v>
      </c>
      <c r="K221" s="14" t="s">
        <v>263</v>
      </c>
      <c r="L221" s="14" t="s">
        <v>234</v>
      </c>
      <c r="M221" s="79">
        <f t="shared" si="21"/>
        <v>45535</v>
      </c>
      <c r="N221" s="14">
        <f t="shared" ca="1" si="22"/>
        <v>1</v>
      </c>
      <c r="O221" s="79">
        <v>45538</v>
      </c>
      <c r="Q221" s="30"/>
    </row>
    <row r="222" spans="1:22" ht="58" x14ac:dyDescent="0.35">
      <c r="A222" s="102" t="str">
        <f t="shared" si="20"/>
        <v>Closed</v>
      </c>
      <c r="B222" s="14" t="s">
        <v>91</v>
      </c>
      <c r="C222" s="14" t="s">
        <v>531</v>
      </c>
      <c r="D222" s="79">
        <v>45509</v>
      </c>
      <c r="E222" s="14">
        <v>2405</v>
      </c>
      <c r="G222" s="14" t="e">
        <f>VLOOKUP(F222,'Accident &amp; Incident Detail'!$D$3:$E$1154,2,FALSE)</f>
        <v>#N/A</v>
      </c>
      <c r="H222" s="14" t="s">
        <v>964</v>
      </c>
      <c r="I222" s="14" t="s">
        <v>965</v>
      </c>
      <c r="J222" s="14" t="s">
        <v>345</v>
      </c>
      <c r="K222" s="14" t="s">
        <v>248</v>
      </c>
      <c r="L222" s="14" t="s">
        <v>236</v>
      </c>
      <c r="M222" s="79">
        <f t="shared" si="21"/>
        <v>45537</v>
      </c>
      <c r="N222" s="14">
        <f t="shared" ca="1" si="22"/>
        <v>1</v>
      </c>
      <c r="O222" s="79">
        <v>45534</v>
      </c>
      <c r="T222" s="14"/>
      <c r="U222" s="14"/>
      <c r="V222" s="14"/>
    </row>
    <row r="223" spans="1:22" ht="43.5" x14ac:dyDescent="0.35">
      <c r="A223" s="102" t="str">
        <f t="shared" si="20"/>
        <v>Closed</v>
      </c>
      <c r="B223" s="14" t="s">
        <v>91</v>
      </c>
      <c r="C223" s="14" t="s">
        <v>966</v>
      </c>
      <c r="D223" s="79">
        <v>45509</v>
      </c>
      <c r="E223" s="14">
        <v>2405</v>
      </c>
      <c r="G223" s="14" t="e">
        <f>VLOOKUP(F223,'Accident &amp; Incident Detail'!$D$3:$E$1154,2,FALSE)</f>
        <v>#N/A</v>
      </c>
      <c r="H223" s="14" t="s">
        <v>967</v>
      </c>
      <c r="I223" s="14" t="s">
        <v>968</v>
      </c>
      <c r="J223" s="14" t="s">
        <v>345</v>
      </c>
      <c r="K223" s="14" t="s">
        <v>248</v>
      </c>
      <c r="L223" s="14" t="s">
        <v>236</v>
      </c>
      <c r="M223" s="79">
        <f t="shared" si="21"/>
        <v>45537</v>
      </c>
      <c r="N223" s="14">
        <f t="shared" ca="1" si="22"/>
        <v>1</v>
      </c>
      <c r="O223" s="79">
        <v>45534</v>
      </c>
      <c r="T223" s="14"/>
      <c r="U223" s="14"/>
      <c r="V223" s="14"/>
    </row>
    <row r="224" spans="1:22" ht="29" x14ac:dyDescent="0.35">
      <c r="A224" s="102" t="str">
        <f t="shared" si="20"/>
        <v>Closed</v>
      </c>
      <c r="B224" s="14" t="s">
        <v>91</v>
      </c>
      <c r="C224" s="14" t="s">
        <v>966</v>
      </c>
      <c r="D224" s="79">
        <v>45509</v>
      </c>
      <c r="E224" s="14">
        <v>2405</v>
      </c>
      <c r="G224" s="14" t="e">
        <f>VLOOKUP(F224,'Accident &amp; Incident Detail'!$D$3:$E$1154,2,FALSE)</f>
        <v>#N/A</v>
      </c>
      <c r="H224" s="14" t="s">
        <v>969</v>
      </c>
      <c r="I224" s="14" t="s">
        <v>970</v>
      </c>
      <c r="J224" s="14" t="s">
        <v>372</v>
      </c>
      <c r="K224" s="14" t="s">
        <v>244</v>
      </c>
      <c r="L224" s="14" t="s">
        <v>236</v>
      </c>
      <c r="M224" s="79">
        <f t="shared" si="21"/>
        <v>45537</v>
      </c>
      <c r="N224" s="14">
        <f t="shared" ca="1" si="22"/>
        <v>1</v>
      </c>
      <c r="O224" s="79">
        <v>45601</v>
      </c>
      <c r="T224" s="14"/>
      <c r="U224" s="14"/>
      <c r="V224" s="14"/>
    </row>
    <row r="225" spans="1:22" ht="116" x14ac:dyDescent="0.35">
      <c r="A225" s="102" t="str">
        <f t="shared" ref="A225:A230" si="23">IF(O225&gt;1,"Closed",IF(N225=1,"Overdue",IF(N225=3,"","Open")))</f>
        <v>Closed</v>
      </c>
      <c r="B225" s="14" t="s">
        <v>99</v>
      </c>
      <c r="C225" s="14" t="s">
        <v>531</v>
      </c>
      <c r="D225" s="79">
        <v>45512</v>
      </c>
      <c r="E225" s="14">
        <v>2405</v>
      </c>
      <c r="G225" s="14" t="e">
        <f>VLOOKUP(F225,'Accident &amp; Incident Detail'!$D$3:$E$1154,2,FALSE)</f>
        <v>#N/A</v>
      </c>
      <c r="H225" s="14" t="s">
        <v>971</v>
      </c>
      <c r="I225" s="14" t="s">
        <v>972</v>
      </c>
      <c r="J225" s="14" t="s">
        <v>372</v>
      </c>
      <c r="K225" s="14" t="s">
        <v>222</v>
      </c>
      <c r="L225" s="14" t="s">
        <v>236</v>
      </c>
      <c r="M225" s="79">
        <f t="shared" si="21"/>
        <v>45540</v>
      </c>
      <c r="N225" s="14">
        <f t="shared" ca="1" si="22"/>
        <v>1</v>
      </c>
      <c r="O225" s="79">
        <v>45534</v>
      </c>
    </row>
    <row r="226" spans="1:22" ht="29" x14ac:dyDescent="0.35">
      <c r="A226" s="102" t="str">
        <f t="shared" si="23"/>
        <v>Closed</v>
      </c>
      <c r="B226" s="14" t="s">
        <v>93</v>
      </c>
      <c r="C226" s="14" t="s">
        <v>596</v>
      </c>
      <c r="D226" s="79">
        <v>45516</v>
      </c>
      <c r="E226" s="14">
        <v>2405</v>
      </c>
      <c r="G226" s="14" t="e">
        <f>VLOOKUP(F226,'Accident &amp; Incident Detail'!$D$3:$E$1154,2,FALSE)</f>
        <v>#N/A</v>
      </c>
      <c r="H226" s="14" t="s">
        <v>973</v>
      </c>
      <c r="I226" s="14" t="s">
        <v>974</v>
      </c>
      <c r="J226" s="14" t="s">
        <v>236</v>
      </c>
      <c r="K226" s="14" t="s">
        <v>244</v>
      </c>
      <c r="L226" s="14" t="s">
        <v>236</v>
      </c>
      <c r="M226" s="79">
        <f t="shared" si="21"/>
        <v>45544</v>
      </c>
      <c r="N226" s="14">
        <f t="shared" ca="1" si="22"/>
        <v>1</v>
      </c>
      <c r="O226" s="79">
        <v>45516</v>
      </c>
    </row>
    <row r="227" spans="1:22" ht="43.5" x14ac:dyDescent="0.35">
      <c r="A227" s="102" t="str">
        <f t="shared" si="23"/>
        <v>Closed</v>
      </c>
      <c r="B227" s="14" t="s">
        <v>91</v>
      </c>
      <c r="C227" s="14" t="s">
        <v>975</v>
      </c>
      <c r="D227" s="79">
        <v>45517</v>
      </c>
      <c r="E227" s="14">
        <v>2405</v>
      </c>
      <c r="G227" s="14" t="e">
        <f>VLOOKUP(F227,'Accident &amp; Incident Detail'!$D$3:$E$1154,2,FALSE)</f>
        <v>#N/A</v>
      </c>
      <c r="H227" s="14" t="s">
        <v>976</v>
      </c>
      <c r="I227" s="14" t="s">
        <v>977</v>
      </c>
      <c r="J227" s="14" t="s">
        <v>978</v>
      </c>
      <c r="K227" s="14" t="s">
        <v>252</v>
      </c>
      <c r="L227" s="14" t="s">
        <v>238</v>
      </c>
      <c r="M227" s="79">
        <f t="shared" ref="M227:M258" si="24">IF(D227="","",D227+28)</f>
        <v>45545</v>
      </c>
      <c r="N227" s="14">
        <f t="shared" ca="1" si="22"/>
        <v>1</v>
      </c>
      <c r="O227" s="79">
        <v>45687</v>
      </c>
      <c r="Q227" s="14" t="s">
        <v>979</v>
      </c>
      <c r="T227" s="14"/>
      <c r="U227" s="14"/>
      <c r="V227" s="14"/>
    </row>
    <row r="228" spans="1:22" x14ac:dyDescent="0.35">
      <c r="A228" s="102" t="str">
        <f t="shared" si="23"/>
        <v>Closed</v>
      </c>
      <c r="B228" s="14" t="s">
        <v>110</v>
      </c>
      <c r="C228" s="14" t="s">
        <v>980</v>
      </c>
      <c r="D228" s="79">
        <v>45519</v>
      </c>
      <c r="E228" s="14">
        <v>2405</v>
      </c>
      <c r="G228" s="14" t="e">
        <f>VLOOKUP(F228,'Accident &amp; Incident Detail'!$D$3:$E$1154,2,FALSE)</f>
        <v>#N/A</v>
      </c>
      <c r="H228" s="14" t="s">
        <v>981</v>
      </c>
      <c r="I228" s="14" t="s">
        <v>982</v>
      </c>
      <c r="J228" s="14" t="s">
        <v>328</v>
      </c>
      <c r="K228" s="14" t="s">
        <v>179</v>
      </c>
      <c r="L228" s="14" t="s">
        <v>236</v>
      </c>
      <c r="M228" s="79">
        <f t="shared" si="24"/>
        <v>45547</v>
      </c>
      <c r="N228" s="14">
        <f t="shared" ca="1" si="22"/>
        <v>1</v>
      </c>
      <c r="O228" s="79">
        <v>45519</v>
      </c>
    </row>
    <row r="229" spans="1:22" ht="58" x14ac:dyDescent="0.35">
      <c r="A229" s="102" t="str">
        <f t="shared" si="23"/>
        <v>Closed</v>
      </c>
      <c r="B229" s="14" t="s">
        <v>98</v>
      </c>
      <c r="D229" s="79">
        <v>45520</v>
      </c>
      <c r="E229" s="14">
        <v>2303</v>
      </c>
      <c r="G229" s="14" t="e">
        <f>VLOOKUP(F229,'Accident &amp; Incident Detail'!$D$3:$E$1154,2,FALSE)</f>
        <v>#N/A</v>
      </c>
      <c r="H229" s="14" t="s">
        <v>983</v>
      </c>
      <c r="I229" s="14" t="s">
        <v>984</v>
      </c>
      <c r="J229" s="14" t="s">
        <v>328</v>
      </c>
      <c r="K229" s="14" t="s">
        <v>430</v>
      </c>
      <c r="L229" s="14" t="s">
        <v>236</v>
      </c>
      <c r="M229" s="79">
        <f t="shared" si="24"/>
        <v>45548</v>
      </c>
      <c r="N229" s="14">
        <f t="shared" ca="1" si="22"/>
        <v>1</v>
      </c>
      <c r="O229" s="79">
        <v>45677</v>
      </c>
      <c r="Q229" s="14" t="s">
        <v>985</v>
      </c>
    </row>
    <row r="230" spans="1:22" ht="58" x14ac:dyDescent="0.35">
      <c r="A230" s="102" t="str">
        <f t="shared" ca="1" si="23"/>
        <v>Overdue</v>
      </c>
      <c r="B230" s="14" t="s">
        <v>98</v>
      </c>
      <c r="D230" s="79">
        <v>45520</v>
      </c>
      <c r="E230" s="14">
        <v>2303</v>
      </c>
      <c r="G230" s="14" t="e">
        <f>VLOOKUP(F230,'Accident &amp; Incident Detail'!$D$3:$E$1154,2,FALSE)</f>
        <v>#N/A</v>
      </c>
      <c r="H230" s="14" t="s">
        <v>986</v>
      </c>
      <c r="I230" s="14" t="s">
        <v>987</v>
      </c>
      <c r="J230" s="14" t="s">
        <v>328</v>
      </c>
      <c r="K230" s="14" t="s">
        <v>430</v>
      </c>
      <c r="L230" s="14" t="s">
        <v>236</v>
      </c>
      <c r="M230" s="79">
        <f t="shared" si="24"/>
        <v>45548</v>
      </c>
      <c r="N230" s="14">
        <f t="shared" ca="1" si="22"/>
        <v>1</v>
      </c>
      <c r="Q230" s="14" t="s">
        <v>988</v>
      </c>
    </row>
    <row r="231" spans="1:22" ht="188.5" x14ac:dyDescent="0.35">
      <c r="A231" s="102" t="str">
        <f>IF(3503&gt;1,"Closed",IF(P231=1,"Overdue",IF(P231=3,"","Open")))</f>
        <v>Closed</v>
      </c>
      <c r="B231" s="14" t="s">
        <v>98</v>
      </c>
      <c r="D231" s="79">
        <v>45520</v>
      </c>
      <c r="E231" s="14">
        <v>2303</v>
      </c>
      <c r="G231" s="14" t="e">
        <f>VLOOKUP(F231,'Accident &amp; Incident Detail'!$D$3:$E$1154,2,FALSE)</f>
        <v>#N/A</v>
      </c>
      <c r="H231" s="14" t="s">
        <v>989</v>
      </c>
      <c r="I231" s="14" t="s">
        <v>990</v>
      </c>
      <c r="J231" s="14" t="s">
        <v>328</v>
      </c>
      <c r="K231" s="14" t="s">
        <v>430</v>
      </c>
      <c r="L231" s="14" t="s">
        <v>236</v>
      </c>
      <c r="M231" s="79">
        <f t="shared" si="24"/>
        <v>45548</v>
      </c>
      <c r="N231" s="14">
        <v>3</v>
      </c>
      <c r="Q231" s="14" t="s">
        <v>991</v>
      </c>
    </row>
    <row r="232" spans="1:22" ht="174" x14ac:dyDescent="0.35">
      <c r="A232" s="102" t="str">
        <f t="shared" ref="A232:A263" si="25">IF(O232&gt;1,"Closed",IF(N232=1,"Overdue",IF(N232=3,"","Open")))</f>
        <v>Closed</v>
      </c>
      <c r="B232" s="14" t="s">
        <v>98</v>
      </c>
      <c r="D232" s="79">
        <v>45520</v>
      </c>
      <c r="E232" s="112">
        <v>2405</v>
      </c>
      <c r="G232" s="14" t="e">
        <f>VLOOKUP(F232,'Accident &amp; Incident Detail'!$D$3:$E$1154,2,FALSE)</f>
        <v>#N/A</v>
      </c>
      <c r="H232" s="14" t="s">
        <v>992</v>
      </c>
      <c r="I232" s="14" t="s">
        <v>993</v>
      </c>
      <c r="J232" s="14" t="s">
        <v>241</v>
      </c>
      <c r="K232" s="14" t="s">
        <v>240</v>
      </c>
      <c r="L232" s="14" t="s">
        <v>236</v>
      </c>
      <c r="M232" s="79">
        <f t="shared" si="24"/>
        <v>45548</v>
      </c>
      <c r="N232" s="14">
        <f t="shared" ref="N232:N263" ca="1" si="26">IF(D232="",3,IF(M232&lt;$A$2,1,0))</f>
        <v>1</v>
      </c>
      <c r="O232" s="79">
        <v>45637</v>
      </c>
      <c r="Q232" s="14" t="s">
        <v>994</v>
      </c>
    </row>
    <row r="233" spans="1:22" ht="58" x14ac:dyDescent="0.35">
      <c r="A233" s="102" t="str">
        <f t="shared" si="25"/>
        <v>Closed</v>
      </c>
      <c r="B233" s="14" t="s">
        <v>98</v>
      </c>
      <c r="D233" s="79">
        <v>45520</v>
      </c>
      <c r="E233" s="112">
        <v>2405</v>
      </c>
      <c r="G233" s="14" t="e">
        <f>VLOOKUP(F233,'Accident &amp; Incident Detail'!$D$3:$E$1154,2,FALSE)</f>
        <v>#N/A</v>
      </c>
      <c r="H233" s="14" t="s">
        <v>995</v>
      </c>
      <c r="I233" s="14" t="s">
        <v>996</v>
      </c>
      <c r="J233" s="14" t="s">
        <v>241</v>
      </c>
      <c r="K233" s="14" t="s">
        <v>240</v>
      </c>
      <c r="L233" s="14" t="s">
        <v>241</v>
      </c>
      <c r="M233" s="79">
        <f t="shared" si="24"/>
        <v>45548</v>
      </c>
      <c r="N233" s="14">
        <f t="shared" ca="1" si="26"/>
        <v>1</v>
      </c>
      <c r="O233" s="79">
        <v>45616</v>
      </c>
      <c r="Q233" s="14" t="s">
        <v>997</v>
      </c>
    </row>
    <row r="234" spans="1:22" ht="72.5" x14ac:dyDescent="0.35">
      <c r="A234" s="102" t="str">
        <f t="shared" si="25"/>
        <v>Closed</v>
      </c>
      <c r="B234" s="14" t="s">
        <v>98</v>
      </c>
      <c r="D234" s="79">
        <v>45520</v>
      </c>
      <c r="E234" s="112">
        <v>2405</v>
      </c>
      <c r="G234" s="14" t="e">
        <f>VLOOKUP(F234,'Accident &amp; Incident Detail'!$D$3:$E$1154,2,FALSE)</f>
        <v>#N/A</v>
      </c>
      <c r="H234" s="14" t="s">
        <v>998</v>
      </c>
      <c r="I234" s="14" t="s">
        <v>999</v>
      </c>
      <c r="J234" s="14" t="s">
        <v>241</v>
      </c>
      <c r="K234" s="14" t="s">
        <v>239</v>
      </c>
      <c r="L234" s="14" t="s">
        <v>241</v>
      </c>
      <c r="M234" s="79">
        <f t="shared" si="24"/>
        <v>45548</v>
      </c>
      <c r="N234" s="14">
        <f t="shared" ca="1" si="26"/>
        <v>1</v>
      </c>
      <c r="O234" s="79">
        <v>45616</v>
      </c>
      <c r="Q234" s="14" t="s">
        <v>1000</v>
      </c>
    </row>
    <row r="235" spans="1:22" ht="58" x14ac:dyDescent="0.35">
      <c r="A235" s="102" t="str">
        <f t="shared" si="25"/>
        <v>Closed</v>
      </c>
      <c r="B235" s="14" t="s">
        <v>98</v>
      </c>
      <c r="D235" s="79">
        <v>45520</v>
      </c>
      <c r="E235" s="112">
        <v>2405</v>
      </c>
      <c r="G235" s="14" t="e">
        <f>VLOOKUP(F235,'Accident &amp; Incident Detail'!$D$3:$E$1154,2,FALSE)</f>
        <v>#N/A</v>
      </c>
      <c r="H235" s="14" t="s">
        <v>1001</v>
      </c>
      <c r="I235" s="14" t="s">
        <v>1002</v>
      </c>
      <c r="J235" s="14" t="s">
        <v>241</v>
      </c>
      <c r="K235" s="14" t="s">
        <v>239</v>
      </c>
      <c r="L235" s="14" t="s">
        <v>241</v>
      </c>
      <c r="M235" s="79">
        <f t="shared" si="24"/>
        <v>45548</v>
      </c>
      <c r="N235" s="14">
        <f t="shared" ca="1" si="26"/>
        <v>1</v>
      </c>
      <c r="O235" s="79">
        <v>45616</v>
      </c>
      <c r="Q235" s="14" t="s">
        <v>1003</v>
      </c>
    </row>
    <row r="236" spans="1:22" ht="72.5" x14ac:dyDescent="0.35">
      <c r="A236" s="102" t="str">
        <f t="shared" si="25"/>
        <v>Closed</v>
      </c>
      <c r="B236" s="14" t="s">
        <v>98</v>
      </c>
      <c r="D236" s="79">
        <v>45520</v>
      </c>
      <c r="E236" s="14">
        <v>2303</v>
      </c>
      <c r="G236" s="14" t="e">
        <f>VLOOKUP(F236,'Accident &amp; Incident Detail'!$D$3:$E$1154,2,FALSE)</f>
        <v>#N/A</v>
      </c>
      <c r="H236" s="14" t="s">
        <v>1004</v>
      </c>
      <c r="I236" s="14" t="s">
        <v>1005</v>
      </c>
      <c r="J236" s="14" t="s">
        <v>345</v>
      </c>
      <c r="K236" s="14" t="s">
        <v>248</v>
      </c>
      <c r="L236" s="14" t="s">
        <v>236</v>
      </c>
      <c r="M236" s="79">
        <f t="shared" si="24"/>
        <v>45548</v>
      </c>
      <c r="N236" s="14">
        <f t="shared" ca="1" si="26"/>
        <v>1</v>
      </c>
      <c r="O236" s="79">
        <v>45677</v>
      </c>
      <c r="Q236" s="14" t="s">
        <v>1006</v>
      </c>
    </row>
    <row r="237" spans="1:22" ht="101.5" x14ac:dyDescent="0.35">
      <c r="A237" s="102" t="str">
        <f t="shared" si="25"/>
        <v>Closed</v>
      </c>
      <c r="B237" s="14" t="s">
        <v>98</v>
      </c>
      <c r="D237" s="79">
        <v>45520</v>
      </c>
      <c r="E237" s="14">
        <v>2303</v>
      </c>
      <c r="G237" s="14" t="e">
        <f>VLOOKUP(F237,'Accident &amp; Incident Detail'!$D$3:$E$1154,2,FALSE)</f>
        <v>#N/A</v>
      </c>
      <c r="H237" s="14" t="s">
        <v>1007</v>
      </c>
      <c r="I237" s="14" t="s">
        <v>1008</v>
      </c>
      <c r="J237" s="14" t="s">
        <v>234</v>
      </c>
      <c r="K237" s="14" t="s">
        <v>259</v>
      </c>
      <c r="L237" s="14" t="s">
        <v>234</v>
      </c>
      <c r="M237" s="79">
        <f t="shared" si="24"/>
        <v>45548</v>
      </c>
      <c r="N237" s="14">
        <f t="shared" ca="1" si="26"/>
        <v>1</v>
      </c>
      <c r="O237" s="79">
        <v>45818</v>
      </c>
      <c r="Q237" s="14" t="s">
        <v>1009</v>
      </c>
    </row>
    <row r="238" spans="1:22" ht="43.5" x14ac:dyDescent="0.35">
      <c r="A238" s="102" t="str">
        <f t="shared" si="25"/>
        <v>Closed</v>
      </c>
      <c r="B238" s="14" t="s">
        <v>98</v>
      </c>
      <c r="D238" s="79">
        <v>45520</v>
      </c>
      <c r="E238" s="112">
        <v>2405</v>
      </c>
      <c r="G238" s="14" t="e">
        <f>VLOOKUP(F238,'Accident &amp; Incident Detail'!$D$3:$E$1154,2,FALSE)</f>
        <v>#N/A</v>
      </c>
      <c r="H238" s="14" t="s">
        <v>1010</v>
      </c>
      <c r="I238" s="15" t="s">
        <v>1011</v>
      </c>
      <c r="J238" s="296" t="s">
        <v>241</v>
      </c>
      <c r="K238" s="14" t="s">
        <v>240</v>
      </c>
      <c r="L238" s="14" t="s">
        <v>241</v>
      </c>
      <c r="M238" s="79">
        <f t="shared" si="24"/>
        <v>45548</v>
      </c>
      <c r="N238" s="14">
        <f t="shared" ca="1" si="26"/>
        <v>1</v>
      </c>
      <c r="O238" s="79">
        <v>45616</v>
      </c>
      <c r="Q238" s="14" t="s">
        <v>1012</v>
      </c>
    </row>
    <row r="239" spans="1:22" ht="29" x14ac:dyDescent="0.35">
      <c r="A239" s="102" t="str">
        <f t="shared" si="25"/>
        <v>Closed</v>
      </c>
      <c r="B239" s="14" t="s">
        <v>98</v>
      </c>
      <c r="D239" s="79">
        <v>45520</v>
      </c>
      <c r="E239" s="112">
        <v>2405</v>
      </c>
      <c r="G239" s="14" t="e">
        <f>VLOOKUP(F239,'Accident &amp; Incident Detail'!$D$3:$E$1154,2,FALSE)</f>
        <v>#N/A</v>
      </c>
      <c r="H239" s="14" t="s">
        <v>1013</v>
      </c>
      <c r="I239" s="14" t="s">
        <v>1014</v>
      </c>
      <c r="J239" s="14" t="s">
        <v>401</v>
      </c>
      <c r="K239" s="14" t="s">
        <v>263</v>
      </c>
      <c r="L239" s="14" t="s">
        <v>234</v>
      </c>
      <c r="M239" s="79">
        <f t="shared" si="24"/>
        <v>45548</v>
      </c>
      <c r="N239" s="14">
        <f t="shared" ca="1" si="26"/>
        <v>1</v>
      </c>
      <c r="O239" s="79">
        <v>45637</v>
      </c>
      <c r="Q239" s="14" t="s">
        <v>1015</v>
      </c>
    </row>
    <row r="240" spans="1:22" ht="29" x14ac:dyDescent="0.35">
      <c r="A240" s="102" t="str">
        <f t="shared" si="25"/>
        <v>Closed</v>
      </c>
      <c r="B240" s="14" t="s">
        <v>98</v>
      </c>
      <c r="D240" s="79">
        <v>45520</v>
      </c>
      <c r="E240" s="112">
        <v>2405</v>
      </c>
      <c r="G240" s="14" t="e">
        <f>VLOOKUP(F240,'Accident &amp; Incident Detail'!$D$3:$E$1154,2,FALSE)</f>
        <v>#N/A</v>
      </c>
      <c r="H240" s="14" t="s">
        <v>1016</v>
      </c>
      <c r="I240" s="14" t="s">
        <v>1017</v>
      </c>
      <c r="J240" s="14" t="s">
        <v>401</v>
      </c>
      <c r="K240" s="14" t="s">
        <v>263</v>
      </c>
      <c r="L240" s="14" t="s">
        <v>234</v>
      </c>
      <c r="M240" s="79">
        <f t="shared" si="24"/>
        <v>45548</v>
      </c>
      <c r="N240" s="14">
        <f t="shared" ca="1" si="26"/>
        <v>1</v>
      </c>
      <c r="O240" s="79">
        <v>45637</v>
      </c>
      <c r="Q240" s="14" t="s">
        <v>1018</v>
      </c>
    </row>
    <row r="241" spans="1:22" ht="232" x14ac:dyDescent="0.35">
      <c r="A241" s="102" t="str">
        <f t="shared" si="25"/>
        <v>Closed</v>
      </c>
      <c r="B241" s="14" t="s">
        <v>98</v>
      </c>
      <c r="D241" s="79">
        <v>45520</v>
      </c>
      <c r="E241" s="14">
        <v>2303</v>
      </c>
      <c r="G241" s="14" t="e">
        <f>VLOOKUP(F241,'Accident &amp; Incident Detail'!$D$3:$E$1154,2,FALSE)</f>
        <v>#N/A</v>
      </c>
      <c r="H241" s="14" t="s">
        <v>1019</v>
      </c>
      <c r="I241" s="14" t="s">
        <v>1020</v>
      </c>
      <c r="J241" s="14" t="s">
        <v>401</v>
      </c>
      <c r="K241" s="14" t="s">
        <v>263</v>
      </c>
      <c r="L241" s="14" t="s">
        <v>234</v>
      </c>
      <c r="M241" s="79">
        <f t="shared" si="24"/>
        <v>45548</v>
      </c>
      <c r="N241" s="14">
        <f t="shared" ca="1" si="26"/>
        <v>1</v>
      </c>
      <c r="O241" s="79">
        <v>45973</v>
      </c>
      <c r="Q241" s="14" t="s">
        <v>1021</v>
      </c>
    </row>
    <row r="242" spans="1:22" ht="43.5" x14ac:dyDescent="0.35">
      <c r="A242" s="102" t="str">
        <f t="shared" si="25"/>
        <v>Closed</v>
      </c>
      <c r="B242" s="14" t="s">
        <v>98</v>
      </c>
      <c r="D242" s="79">
        <v>45520</v>
      </c>
      <c r="E242" s="14">
        <v>2303</v>
      </c>
      <c r="G242" s="14" t="e">
        <f>VLOOKUP(F242,'Accident &amp; Incident Detail'!$D$3:$E$1154,2,FALSE)</f>
        <v>#N/A</v>
      </c>
      <c r="H242" s="14" t="s">
        <v>1022</v>
      </c>
      <c r="I242" s="14" t="s">
        <v>1023</v>
      </c>
      <c r="J242" s="14" t="s">
        <v>241</v>
      </c>
      <c r="K242" s="14" t="s">
        <v>239</v>
      </c>
      <c r="L242" s="14" t="s">
        <v>241</v>
      </c>
      <c r="M242" s="79">
        <f t="shared" si="24"/>
        <v>45548</v>
      </c>
      <c r="N242" s="14">
        <f t="shared" ca="1" si="26"/>
        <v>1</v>
      </c>
      <c r="O242" s="79">
        <v>45817</v>
      </c>
      <c r="Q242" s="14" t="s">
        <v>1024</v>
      </c>
    </row>
    <row r="243" spans="1:22" ht="29" x14ac:dyDescent="0.35">
      <c r="A243" s="102" t="str">
        <f t="shared" si="25"/>
        <v>Closed</v>
      </c>
      <c r="B243" s="14" t="s">
        <v>98</v>
      </c>
      <c r="D243" s="79">
        <v>45520</v>
      </c>
      <c r="E243" s="14">
        <v>2303</v>
      </c>
      <c r="G243" s="14" t="e">
        <f>VLOOKUP(F243,'Accident &amp; Incident Detail'!$D$3:$E$1154,2,FALSE)</f>
        <v>#N/A</v>
      </c>
      <c r="H243" s="14" t="s">
        <v>1025</v>
      </c>
      <c r="I243" s="344" t="s">
        <v>1026</v>
      </c>
      <c r="J243" s="216" t="s">
        <v>241</v>
      </c>
      <c r="K243" s="14" t="s">
        <v>239</v>
      </c>
      <c r="L243" s="14" t="s">
        <v>241</v>
      </c>
      <c r="M243" s="79">
        <f t="shared" si="24"/>
        <v>45548</v>
      </c>
      <c r="N243" s="14">
        <f t="shared" ca="1" si="26"/>
        <v>1</v>
      </c>
      <c r="O243" s="79">
        <v>45677</v>
      </c>
      <c r="Q243" s="14" t="s">
        <v>1027</v>
      </c>
    </row>
    <row r="244" spans="1:22" ht="43.5" x14ac:dyDescent="0.35">
      <c r="A244" s="102" t="str">
        <f t="shared" si="25"/>
        <v>Closed</v>
      </c>
      <c r="B244" s="14" t="s">
        <v>98</v>
      </c>
      <c r="D244" s="79">
        <v>45520</v>
      </c>
      <c r="E244" s="112">
        <v>2406</v>
      </c>
      <c r="G244" s="14" t="e">
        <f>VLOOKUP(F244,'Accident &amp; Incident Detail'!$D$3:$E$1154,2,FALSE)</f>
        <v>#N/A</v>
      </c>
      <c r="H244" s="14" t="s">
        <v>1028</v>
      </c>
      <c r="I244" s="14" t="s">
        <v>1029</v>
      </c>
      <c r="J244" s="14" t="s">
        <v>372</v>
      </c>
      <c r="K244" s="14" t="s">
        <v>222</v>
      </c>
      <c r="L244" s="14" t="s">
        <v>236</v>
      </c>
      <c r="M244" s="79">
        <f t="shared" si="24"/>
        <v>45548</v>
      </c>
      <c r="N244" s="14">
        <f t="shared" ca="1" si="26"/>
        <v>1</v>
      </c>
      <c r="O244" s="79">
        <v>45972</v>
      </c>
      <c r="Q244" s="14" t="s">
        <v>1030</v>
      </c>
    </row>
    <row r="245" spans="1:22" ht="72.5" x14ac:dyDescent="0.35">
      <c r="A245" s="102" t="str">
        <f t="shared" si="25"/>
        <v>Closed</v>
      </c>
      <c r="B245" s="14" t="s">
        <v>98</v>
      </c>
      <c r="D245" s="79">
        <v>45520</v>
      </c>
      <c r="E245" s="112">
        <v>2406</v>
      </c>
      <c r="G245" s="14" t="e">
        <f>VLOOKUP(F245,'Accident &amp; Incident Detail'!$D$3:$E$1154,2,FALSE)</f>
        <v>#N/A</v>
      </c>
      <c r="H245" s="14" t="s">
        <v>1031</v>
      </c>
      <c r="I245" s="14" t="s">
        <v>1032</v>
      </c>
      <c r="J245" s="14" t="s">
        <v>372</v>
      </c>
      <c r="K245" s="14" t="s">
        <v>222</v>
      </c>
      <c r="L245" s="14" t="s">
        <v>236</v>
      </c>
      <c r="M245" s="79">
        <f t="shared" si="24"/>
        <v>45548</v>
      </c>
      <c r="N245" s="14">
        <f t="shared" ca="1" si="26"/>
        <v>1</v>
      </c>
      <c r="O245" s="79">
        <v>45972</v>
      </c>
      <c r="Q245" s="14" t="s">
        <v>1033</v>
      </c>
    </row>
    <row r="246" spans="1:22" ht="29" x14ac:dyDescent="0.35">
      <c r="A246" s="102" t="str">
        <f t="shared" si="25"/>
        <v>Closed</v>
      </c>
      <c r="B246" s="14" t="s">
        <v>98</v>
      </c>
      <c r="D246" s="79">
        <v>45520</v>
      </c>
      <c r="E246" s="112">
        <v>2406</v>
      </c>
      <c r="G246" s="14" t="e">
        <f>VLOOKUP(F246,'Accident &amp; Incident Detail'!$D$3:$E$1154,2,FALSE)</f>
        <v>#N/A</v>
      </c>
      <c r="H246" s="14" t="s">
        <v>1034</v>
      </c>
      <c r="I246" s="14" t="s">
        <v>1035</v>
      </c>
      <c r="J246" s="14" t="s">
        <v>328</v>
      </c>
      <c r="K246" s="14" t="s">
        <v>430</v>
      </c>
      <c r="L246" s="14" t="s">
        <v>236</v>
      </c>
      <c r="M246" s="79">
        <f t="shared" si="24"/>
        <v>45548</v>
      </c>
      <c r="N246" s="14">
        <f t="shared" ca="1" si="26"/>
        <v>1</v>
      </c>
      <c r="O246" s="79">
        <v>45677</v>
      </c>
      <c r="Q246" s="14" t="s">
        <v>1036</v>
      </c>
    </row>
    <row r="247" spans="1:22" ht="29" x14ac:dyDescent="0.35">
      <c r="A247" s="102" t="str">
        <f t="shared" si="25"/>
        <v>Closed</v>
      </c>
      <c r="B247" s="14" t="s">
        <v>98</v>
      </c>
      <c r="D247" s="79">
        <v>45520</v>
      </c>
      <c r="E247" s="112">
        <v>2406</v>
      </c>
      <c r="G247" s="14" t="e">
        <f>VLOOKUP(F247,'Accident &amp; Incident Detail'!$D$3:$E$1154,2,FALSE)</f>
        <v>#N/A</v>
      </c>
      <c r="H247" s="14" t="s">
        <v>1037</v>
      </c>
      <c r="I247" s="14" t="s">
        <v>1038</v>
      </c>
      <c r="J247" s="14" t="s">
        <v>241</v>
      </c>
      <c r="K247" s="14" t="s">
        <v>239</v>
      </c>
      <c r="L247" s="14" t="s">
        <v>241</v>
      </c>
      <c r="M247" s="79">
        <f t="shared" si="24"/>
        <v>45548</v>
      </c>
      <c r="N247" s="14">
        <f t="shared" ca="1" si="26"/>
        <v>1</v>
      </c>
      <c r="O247" s="79">
        <v>45677</v>
      </c>
      <c r="Q247" s="14" t="s">
        <v>1039</v>
      </c>
    </row>
    <row r="248" spans="1:22" ht="29" x14ac:dyDescent="0.35">
      <c r="A248" s="102" t="str">
        <f t="shared" si="25"/>
        <v>Closed</v>
      </c>
      <c r="B248" s="14" t="s">
        <v>98</v>
      </c>
      <c r="D248" s="79">
        <v>45520</v>
      </c>
      <c r="E248" s="112">
        <v>2406</v>
      </c>
      <c r="G248" s="14" t="e">
        <f>VLOOKUP(F248,'Accident &amp; Incident Detail'!$D$3:$E$1154,2,FALSE)</f>
        <v>#N/A</v>
      </c>
      <c r="H248" s="14" t="s">
        <v>1040</v>
      </c>
      <c r="I248" s="14" t="s">
        <v>1041</v>
      </c>
      <c r="J248" s="14" t="s">
        <v>241</v>
      </c>
      <c r="K248" s="14" t="s">
        <v>239</v>
      </c>
      <c r="L248" s="14" t="s">
        <v>241</v>
      </c>
      <c r="M248" s="79">
        <f t="shared" si="24"/>
        <v>45548</v>
      </c>
      <c r="N248" s="14">
        <f t="shared" ca="1" si="26"/>
        <v>1</v>
      </c>
      <c r="O248" s="79">
        <v>45677</v>
      </c>
      <c r="Q248" s="14" t="s">
        <v>1042</v>
      </c>
    </row>
    <row r="249" spans="1:22" ht="130.5" x14ac:dyDescent="0.35">
      <c r="A249" s="102" t="str">
        <f t="shared" ca="1" si="25"/>
        <v>Overdue</v>
      </c>
      <c r="B249" s="14" t="s">
        <v>98</v>
      </c>
      <c r="D249" s="79">
        <v>45520</v>
      </c>
      <c r="E249" s="112">
        <v>2406</v>
      </c>
      <c r="G249" s="14" t="e">
        <f>VLOOKUP(F249,'Accident &amp; Incident Detail'!$D$3:$E$1154,2,FALSE)</f>
        <v>#N/A</v>
      </c>
      <c r="H249" s="14" t="s">
        <v>1043</v>
      </c>
      <c r="I249" s="14" t="s">
        <v>1044</v>
      </c>
      <c r="J249" s="14" t="s">
        <v>328</v>
      </c>
      <c r="K249" s="14" t="s">
        <v>430</v>
      </c>
      <c r="L249" s="14" t="s">
        <v>236</v>
      </c>
      <c r="M249" s="79">
        <f t="shared" si="24"/>
        <v>45548</v>
      </c>
      <c r="N249" s="14">
        <f t="shared" ca="1" si="26"/>
        <v>1</v>
      </c>
      <c r="Q249" s="14" t="s">
        <v>1045</v>
      </c>
    </row>
    <row r="250" spans="1:22" ht="29" x14ac:dyDescent="0.35">
      <c r="A250" s="102" t="str">
        <f t="shared" si="25"/>
        <v>Closed</v>
      </c>
      <c r="B250" s="14" t="s">
        <v>98</v>
      </c>
      <c r="D250" s="79">
        <v>45520</v>
      </c>
      <c r="E250" s="112">
        <v>2406</v>
      </c>
      <c r="G250" s="14" t="e">
        <f>VLOOKUP(F250,'Accident &amp; Incident Detail'!$D$3:$E$1154,2,FALSE)</f>
        <v>#N/A</v>
      </c>
      <c r="H250" s="14" t="s">
        <v>1046</v>
      </c>
      <c r="I250" s="14" t="s">
        <v>1047</v>
      </c>
      <c r="J250" s="14" t="s">
        <v>241</v>
      </c>
      <c r="K250" s="14" t="s">
        <v>239</v>
      </c>
      <c r="L250" s="14" t="s">
        <v>241</v>
      </c>
      <c r="M250" s="79">
        <f t="shared" si="24"/>
        <v>45548</v>
      </c>
      <c r="N250" s="14">
        <f t="shared" ca="1" si="26"/>
        <v>1</v>
      </c>
      <c r="O250" s="79">
        <v>45677</v>
      </c>
      <c r="Q250" s="14" t="s">
        <v>1048</v>
      </c>
    </row>
    <row r="251" spans="1:22" ht="72.5" x14ac:dyDescent="0.35">
      <c r="A251" s="102" t="str">
        <f t="shared" si="25"/>
        <v>Closed</v>
      </c>
      <c r="B251" s="14" t="s">
        <v>98</v>
      </c>
      <c r="D251" s="79">
        <v>45520</v>
      </c>
      <c r="E251" s="112">
        <v>2406</v>
      </c>
      <c r="G251" s="14" t="e">
        <f>VLOOKUP(F251,'Accident &amp; Incident Detail'!$D$3:$E$1154,2,FALSE)</f>
        <v>#N/A</v>
      </c>
      <c r="H251" s="14" t="s">
        <v>1049</v>
      </c>
      <c r="I251" s="14" t="s">
        <v>1050</v>
      </c>
      <c r="J251" s="14" t="s">
        <v>372</v>
      </c>
      <c r="K251" s="14" t="s">
        <v>222</v>
      </c>
      <c r="L251" s="14" t="s">
        <v>236</v>
      </c>
      <c r="M251" s="79">
        <f t="shared" si="24"/>
        <v>45548</v>
      </c>
      <c r="N251" s="14">
        <f t="shared" ca="1" si="26"/>
        <v>1</v>
      </c>
      <c r="O251" s="79">
        <v>46042</v>
      </c>
      <c r="Q251" s="14" t="s">
        <v>1051</v>
      </c>
    </row>
    <row r="252" spans="1:22" ht="29" x14ac:dyDescent="0.35">
      <c r="A252" s="102" t="str">
        <f t="shared" si="25"/>
        <v>Closed</v>
      </c>
      <c r="B252" s="14" t="s">
        <v>241</v>
      </c>
      <c r="C252" s="14" t="s">
        <v>531</v>
      </c>
      <c r="D252" s="79">
        <v>45521</v>
      </c>
      <c r="E252" s="14">
        <v>2406</v>
      </c>
      <c r="G252" s="14" t="e">
        <f>VLOOKUP(F252,'Accident &amp; Incident Detail'!$D$3:$E$1154,2,FALSE)</f>
        <v>#N/A</v>
      </c>
      <c r="H252" s="14" t="s">
        <v>1052</v>
      </c>
      <c r="I252" s="14" t="s">
        <v>1053</v>
      </c>
      <c r="J252" s="14" t="s">
        <v>345</v>
      </c>
      <c r="K252" s="14" t="s">
        <v>248</v>
      </c>
      <c r="L252" s="14" t="s">
        <v>236</v>
      </c>
      <c r="M252" s="79">
        <f t="shared" si="24"/>
        <v>45549</v>
      </c>
      <c r="N252" s="14">
        <f t="shared" ca="1" si="26"/>
        <v>1</v>
      </c>
      <c r="O252" s="79">
        <v>45519</v>
      </c>
    </row>
    <row r="253" spans="1:22" ht="43.5" x14ac:dyDescent="0.35">
      <c r="A253" s="102" t="str">
        <f t="shared" si="25"/>
        <v>Closed</v>
      </c>
      <c r="B253" s="14" t="s">
        <v>91</v>
      </c>
      <c r="C253" s="14" t="s">
        <v>361</v>
      </c>
      <c r="D253" s="79">
        <v>45522</v>
      </c>
      <c r="E253" s="14">
        <v>2405</v>
      </c>
      <c r="G253" s="14" t="e">
        <f>VLOOKUP(F253,'Accident &amp; Incident Detail'!$D$3:$E$1154,2,FALSE)</f>
        <v>#N/A</v>
      </c>
      <c r="H253" s="14" t="s">
        <v>1054</v>
      </c>
      <c r="I253" s="14" t="s">
        <v>1055</v>
      </c>
      <c r="J253" s="14" t="s">
        <v>241</v>
      </c>
      <c r="K253" s="14" t="s">
        <v>239</v>
      </c>
      <c r="L253" s="14" t="s">
        <v>241</v>
      </c>
      <c r="M253" s="79">
        <f t="shared" si="24"/>
        <v>45550</v>
      </c>
      <c r="N253" s="14">
        <f t="shared" ca="1" si="26"/>
        <v>1</v>
      </c>
      <c r="O253" s="79">
        <v>45524</v>
      </c>
      <c r="T253" s="14"/>
      <c r="U253" s="14"/>
      <c r="V253" s="14"/>
    </row>
    <row r="254" spans="1:22" ht="58" x14ac:dyDescent="0.35">
      <c r="A254" s="102" t="str">
        <f t="shared" si="25"/>
        <v>Closed</v>
      </c>
      <c r="B254" s="14" t="s">
        <v>91</v>
      </c>
      <c r="C254" s="14" t="s">
        <v>1056</v>
      </c>
      <c r="D254" s="79">
        <v>45522</v>
      </c>
      <c r="E254" s="14">
        <v>2405</v>
      </c>
      <c r="G254" s="14" t="e">
        <f>VLOOKUP(F254,'Accident &amp; Incident Detail'!$D$3:$E$1154,2,FALSE)</f>
        <v>#N/A</v>
      </c>
      <c r="H254" s="14" t="s">
        <v>1057</v>
      </c>
      <c r="I254" s="14" t="s">
        <v>1058</v>
      </c>
      <c r="J254" s="14" t="s">
        <v>234</v>
      </c>
      <c r="K254" s="14" t="s">
        <v>226</v>
      </c>
      <c r="L254" s="14" t="s">
        <v>234</v>
      </c>
      <c r="M254" s="79">
        <f t="shared" si="24"/>
        <v>45550</v>
      </c>
      <c r="N254" s="14">
        <f t="shared" ca="1" si="26"/>
        <v>1</v>
      </c>
      <c r="O254" s="79">
        <v>45565</v>
      </c>
      <c r="Q254" s="289" t="s">
        <v>1059</v>
      </c>
      <c r="T254" s="14"/>
      <c r="U254" s="14"/>
      <c r="V254" s="14"/>
    </row>
    <row r="255" spans="1:22" ht="145" x14ac:dyDescent="0.35">
      <c r="A255" s="102" t="str">
        <f t="shared" si="25"/>
        <v>Closed</v>
      </c>
      <c r="B255" s="14" t="s">
        <v>91</v>
      </c>
      <c r="C255" s="14" t="s">
        <v>177</v>
      </c>
      <c r="D255" s="79">
        <v>45524</v>
      </c>
      <c r="E255" s="14">
        <v>2406</v>
      </c>
      <c r="G255" s="14" t="e">
        <f>VLOOKUP(F255,'Accident &amp; Incident Detail'!$D$3:$E$1154,2,FALSE)</f>
        <v>#N/A</v>
      </c>
      <c r="H255" s="14" t="s">
        <v>1060</v>
      </c>
      <c r="I255" s="14" t="s">
        <v>1061</v>
      </c>
      <c r="J255" s="14" t="s">
        <v>234</v>
      </c>
      <c r="K255" s="14" t="s">
        <v>226</v>
      </c>
      <c r="L255" s="14" t="s">
        <v>234</v>
      </c>
      <c r="M255" s="79">
        <f t="shared" si="24"/>
        <v>45552</v>
      </c>
      <c r="N255" s="14">
        <f t="shared" ca="1" si="26"/>
        <v>1</v>
      </c>
      <c r="O255" s="79">
        <v>45607</v>
      </c>
      <c r="Q255" s="14" t="s">
        <v>1062</v>
      </c>
      <c r="T255" s="14"/>
      <c r="U255" s="14"/>
      <c r="V255" s="14"/>
    </row>
    <row r="256" spans="1:22" x14ac:dyDescent="0.35">
      <c r="A256" s="102" t="str">
        <f t="shared" si="25"/>
        <v>Closed</v>
      </c>
      <c r="B256" s="14" t="s">
        <v>110</v>
      </c>
      <c r="C256" s="14" t="s">
        <v>790</v>
      </c>
      <c r="D256" s="79">
        <v>45525</v>
      </c>
      <c r="E256" s="14">
        <v>2406</v>
      </c>
      <c r="G256" s="14" t="e">
        <f>VLOOKUP(F256,'Accident &amp; Incident Detail'!$D$3:$E$1154,2,FALSE)</f>
        <v>#N/A</v>
      </c>
      <c r="H256" s="14" t="s">
        <v>1063</v>
      </c>
      <c r="I256" s="14" t="s">
        <v>1064</v>
      </c>
      <c r="J256" s="14" t="s">
        <v>234</v>
      </c>
      <c r="K256" s="14" t="s">
        <v>179</v>
      </c>
      <c r="L256" s="14" t="s">
        <v>234</v>
      </c>
      <c r="M256" s="79">
        <f t="shared" si="24"/>
        <v>45553</v>
      </c>
      <c r="N256" s="14">
        <f t="shared" ca="1" si="26"/>
        <v>1</v>
      </c>
      <c r="O256" s="79">
        <v>45525</v>
      </c>
    </row>
    <row r="257" spans="1:22" ht="29" x14ac:dyDescent="0.35">
      <c r="A257" s="102" t="str">
        <f t="shared" si="25"/>
        <v>Closed</v>
      </c>
      <c r="B257" s="14" t="s">
        <v>110</v>
      </c>
      <c r="C257" s="14" t="s">
        <v>790</v>
      </c>
      <c r="D257" s="79">
        <v>45525</v>
      </c>
      <c r="E257" s="14">
        <v>2406</v>
      </c>
      <c r="G257" s="14" t="e">
        <f>VLOOKUP(F257,'Accident &amp; Incident Detail'!$D$3:$E$1154,2,FALSE)</f>
        <v>#N/A</v>
      </c>
      <c r="H257" s="14" t="s">
        <v>1065</v>
      </c>
      <c r="I257" s="14" t="s">
        <v>1066</v>
      </c>
      <c r="J257" s="14" t="s">
        <v>234</v>
      </c>
      <c r="K257" s="14" t="s">
        <v>179</v>
      </c>
      <c r="L257" s="14" t="s">
        <v>234</v>
      </c>
      <c r="M257" s="79">
        <f t="shared" si="24"/>
        <v>45553</v>
      </c>
      <c r="N257" s="14">
        <f t="shared" ca="1" si="26"/>
        <v>1</v>
      </c>
      <c r="O257" s="79">
        <v>45525</v>
      </c>
    </row>
    <row r="258" spans="1:22" ht="29" x14ac:dyDescent="0.35">
      <c r="A258" s="102" t="str">
        <f t="shared" si="25"/>
        <v>Closed</v>
      </c>
      <c r="B258" s="14" t="s">
        <v>111</v>
      </c>
      <c r="C258" s="14" t="s">
        <v>171</v>
      </c>
      <c r="D258" s="79">
        <v>45530</v>
      </c>
      <c r="E258" s="14">
        <v>2406</v>
      </c>
      <c r="G258" s="14" t="e">
        <f>VLOOKUP(F258,'Accident &amp; Incident Detail'!$D$3:$E$1154,2,FALSE)</f>
        <v>#N/A</v>
      </c>
      <c r="H258" s="14" t="s">
        <v>1067</v>
      </c>
      <c r="I258" s="30" t="s">
        <v>1068</v>
      </c>
      <c r="J258" s="14" t="s">
        <v>345</v>
      </c>
      <c r="K258" s="14" t="s">
        <v>248</v>
      </c>
      <c r="L258" s="14" t="s">
        <v>236</v>
      </c>
      <c r="M258" s="79">
        <f t="shared" si="24"/>
        <v>45558</v>
      </c>
      <c r="N258" s="14">
        <f t="shared" ca="1" si="26"/>
        <v>1</v>
      </c>
      <c r="O258" s="79">
        <v>45530</v>
      </c>
    </row>
    <row r="259" spans="1:22" ht="29" x14ac:dyDescent="0.35">
      <c r="A259" s="102" t="str">
        <f t="shared" si="25"/>
        <v>Closed</v>
      </c>
      <c r="B259" s="14" t="s">
        <v>241</v>
      </c>
      <c r="C259" s="14" t="s">
        <v>531</v>
      </c>
      <c r="D259" s="79">
        <v>45531</v>
      </c>
      <c r="E259" s="14">
        <v>2406</v>
      </c>
      <c r="G259" s="14" t="e">
        <f>VLOOKUP(F259,'Accident &amp; Incident Detail'!$D$3:$E$1154,2,FALSE)</f>
        <v>#N/A</v>
      </c>
      <c r="H259" s="14" t="s">
        <v>1069</v>
      </c>
      <c r="I259" s="14" t="s">
        <v>1070</v>
      </c>
      <c r="J259" s="14" t="s">
        <v>372</v>
      </c>
      <c r="K259" s="14" t="s">
        <v>222</v>
      </c>
      <c r="L259" s="14" t="s">
        <v>236</v>
      </c>
      <c r="M259" s="79">
        <f t="shared" ref="M259:M268" si="27">IF(D259="","",D259+28)</f>
        <v>45559</v>
      </c>
      <c r="N259" s="14">
        <f t="shared" ca="1" si="26"/>
        <v>1</v>
      </c>
      <c r="O259" s="79">
        <v>45550</v>
      </c>
    </row>
    <row r="260" spans="1:22" ht="58" x14ac:dyDescent="0.35">
      <c r="A260" s="102" t="str">
        <f t="shared" si="25"/>
        <v>Closed</v>
      </c>
      <c r="B260" s="14" t="s">
        <v>91</v>
      </c>
      <c r="C260" s="14" t="s">
        <v>1071</v>
      </c>
      <c r="D260" s="79">
        <v>45532</v>
      </c>
      <c r="E260" s="14">
        <v>2406</v>
      </c>
      <c r="G260" s="14" t="e">
        <f>VLOOKUP(F260,'Accident &amp; Incident Detail'!$D$3:$E$1154,2,FALSE)</f>
        <v>#N/A</v>
      </c>
      <c r="H260" s="14" t="s">
        <v>1072</v>
      </c>
      <c r="I260" s="14" t="s">
        <v>1073</v>
      </c>
      <c r="J260" s="14" t="s">
        <v>874</v>
      </c>
      <c r="K260" s="14" t="s">
        <v>244</v>
      </c>
      <c r="L260" s="14" t="s">
        <v>236</v>
      </c>
      <c r="M260" s="79">
        <f t="shared" si="27"/>
        <v>45560</v>
      </c>
      <c r="N260" s="14">
        <f t="shared" ca="1" si="26"/>
        <v>1</v>
      </c>
      <c r="O260" s="79">
        <v>45687</v>
      </c>
      <c r="Q260" s="14" t="s">
        <v>1074</v>
      </c>
      <c r="T260" s="14"/>
      <c r="U260" s="14"/>
      <c r="V260" s="14"/>
    </row>
    <row r="261" spans="1:22" ht="58" x14ac:dyDescent="0.35">
      <c r="A261" s="102" t="str">
        <f t="shared" si="25"/>
        <v>Closed</v>
      </c>
      <c r="B261" s="14" t="s">
        <v>91</v>
      </c>
      <c r="C261" s="14" t="s">
        <v>790</v>
      </c>
      <c r="D261" s="79">
        <v>45536</v>
      </c>
      <c r="E261" s="14">
        <v>2406</v>
      </c>
      <c r="G261" s="14" t="e">
        <f>VLOOKUP(F261,'Accident &amp; Incident Detail'!$D$3:$E$1154,2,FALSE)</f>
        <v>#N/A</v>
      </c>
      <c r="H261" s="14" t="s">
        <v>1075</v>
      </c>
      <c r="I261" s="14" t="s">
        <v>1076</v>
      </c>
      <c r="J261" s="14" t="s">
        <v>345</v>
      </c>
      <c r="K261" s="14" t="s">
        <v>248</v>
      </c>
      <c r="L261" s="14" t="s">
        <v>236</v>
      </c>
      <c r="M261" s="79">
        <f t="shared" si="27"/>
        <v>45564</v>
      </c>
      <c r="N261" s="14">
        <f t="shared" ca="1" si="26"/>
        <v>1</v>
      </c>
      <c r="O261" s="79">
        <v>45550</v>
      </c>
      <c r="T261" s="14"/>
      <c r="U261" s="14"/>
      <c r="V261" s="14"/>
    </row>
    <row r="262" spans="1:22" ht="188.5" x14ac:dyDescent="0.35">
      <c r="A262" s="102" t="str">
        <f t="shared" si="25"/>
        <v>Closed</v>
      </c>
      <c r="B262" s="14" t="s">
        <v>91</v>
      </c>
      <c r="C262" s="14" t="s">
        <v>325</v>
      </c>
      <c r="D262" s="79">
        <v>45544</v>
      </c>
      <c r="E262" s="14">
        <v>2406</v>
      </c>
      <c r="G262" s="14" t="e">
        <f>VLOOKUP(F262,'Accident &amp; Incident Detail'!$D$3:$E$1154,2,FALSE)</f>
        <v>#N/A</v>
      </c>
      <c r="H262" s="14" t="s">
        <v>1077</v>
      </c>
      <c r="I262" s="14" t="s">
        <v>1078</v>
      </c>
      <c r="J262" s="14" t="s">
        <v>345</v>
      </c>
      <c r="K262" s="14" t="s">
        <v>248</v>
      </c>
      <c r="L262" s="14" t="s">
        <v>236</v>
      </c>
      <c r="M262" s="79">
        <f t="shared" si="27"/>
        <v>45572</v>
      </c>
      <c r="N262" s="14">
        <f t="shared" ca="1" si="26"/>
        <v>1</v>
      </c>
      <c r="O262" s="79">
        <v>45547</v>
      </c>
      <c r="T262" s="14"/>
      <c r="U262" s="14"/>
      <c r="V262" s="14"/>
    </row>
    <row r="263" spans="1:22" ht="29" x14ac:dyDescent="0.35">
      <c r="A263" s="102" t="str">
        <f t="shared" si="25"/>
        <v>Closed</v>
      </c>
      <c r="B263" s="14" t="s">
        <v>95</v>
      </c>
      <c r="C263" s="14" t="s">
        <v>138</v>
      </c>
      <c r="D263" s="79">
        <v>45544</v>
      </c>
      <c r="E263" s="14">
        <v>2406</v>
      </c>
      <c r="F263" s="14" t="s">
        <v>1079</v>
      </c>
      <c r="G263" s="14" t="str">
        <f>VLOOKUP(F263,'Accident &amp; Incident Detail'!$D$3:$E$1154,2,FALSE)</f>
        <v>Verbal Abuse</v>
      </c>
      <c r="H263" s="14" t="s">
        <v>1080</v>
      </c>
      <c r="I263" s="14" t="s">
        <v>1081</v>
      </c>
      <c r="J263" s="14" t="s">
        <v>234</v>
      </c>
      <c r="K263" s="14" t="s">
        <v>210</v>
      </c>
      <c r="L263" s="14" t="s">
        <v>234</v>
      </c>
      <c r="M263" s="79">
        <f t="shared" si="27"/>
        <v>45572</v>
      </c>
      <c r="N263" s="14">
        <f t="shared" ca="1" si="26"/>
        <v>1</v>
      </c>
      <c r="O263" s="79">
        <v>45544</v>
      </c>
    </row>
    <row r="264" spans="1:22" ht="101.5" x14ac:dyDescent="0.35">
      <c r="A264" s="102" t="str">
        <f t="shared" ref="A264:A295" si="28">IF(O264&gt;1,"Closed",IF(N264=1,"Overdue",IF(N264=3,"","Open")))</f>
        <v>Closed</v>
      </c>
      <c r="B264" s="14" t="s">
        <v>91</v>
      </c>
      <c r="C264" s="14" t="s">
        <v>325</v>
      </c>
      <c r="D264" s="79">
        <v>45545</v>
      </c>
      <c r="E264" s="14">
        <v>2406</v>
      </c>
      <c r="G264" s="14" t="e">
        <f>VLOOKUP(F264,'Accident &amp; Incident Detail'!$D$3:$E$1154,2,FALSE)</f>
        <v>#N/A</v>
      </c>
      <c r="H264" s="14" t="s">
        <v>1082</v>
      </c>
      <c r="I264" s="14" t="s">
        <v>1083</v>
      </c>
      <c r="J264" s="14" t="s">
        <v>236</v>
      </c>
      <c r="K264" s="14" t="s">
        <v>244</v>
      </c>
      <c r="L264" s="14" t="s">
        <v>236</v>
      </c>
      <c r="M264" s="79">
        <f t="shared" si="27"/>
        <v>45573</v>
      </c>
      <c r="N264" s="14">
        <f t="shared" ref="N264:N295" ca="1" si="29">IF(D264="",3,IF(M264&lt;$A$2,1,0))</f>
        <v>1</v>
      </c>
      <c r="O264" s="79">
        <v>45637</v>
      </c>
      <c r="Q264" s="14" t="s">
        <v>1084</v>
      </c>
      <c r="T264" s="14"/>
      <c r="U264" s="14"/>
      <c r="V264" s="14"/>
    </row>
    <row r="265" spans="1:22" ht="29" x14ac:dyDescent="0.35">
      <c r="A265" s="102" t="str">
        <f t="shared" si="28"/>
        <v>Closed</v>
      </c>
      <c r="B265" s="14" t="s">
        <v>95</v>
      </c>
      <c r="C265" s="14" t="s">
        <v>168</v>
      </c>
      <c r="D265" s="79">
        <v>45545</v>
      </c>
      <c r="E265" s="112">
        <v>2408</v>
      </c>
      <c r="F265" s="14" t="s">
        <v>1085</v>
      </c>
      <c r="G265" s="14" t="str">
        <f>VLOOKUP(F265,'Accident &amp; Incident Detail'!$D$3:$E$1154,2,FALSE)</f>
        <v>Wrong routing</v>
      </c>
      <c r="H265" s="14" t="s">
        <v>1086</v>
      </c>
      <c r="I265" s="14" t="s">
        <v>1087</v>
      </c>
      <c r="J265" s="14" t="s">
        <v>401</v>
      </c>
      <c r="K265" s="14" t="s">
        <v>263</v>
      </c>
      <c r="L265" s="14" t="s">
        <v>234</v>
      </c>
      <c r="M265" s="79">
        <f t="shared" si="27"/>
        <v>45573</v>
      </c>
      <c r="N265" s="14">
        <f t="shared" ca="1" si="29"/>
        <v>1</v>
      </c>
      <c r="O265" s="79">
        <v>45545</v>
      </c>
    </row>
    <row r="266" spans="1:22" ht="29" x14ac:dyDescent="0.35">
      <c r="A266" s="102" t="str">
        <f t="shared" si="28"/>
        <v>Closed</v>
      </c>
      <c r="B266" s="14" t="s">
        <v>95</v>
      </c>
      <c r="C266" s="14" t="s">
        <v>417</v>
      </c>
      <c r="D266" s="79">
        <v>45545</v>
      </c>
      <c r="E266" s="112">
        <v>2408</v>
      </c>
      <c r="F266" s="14" t="s">
        <v>1088</v>
      </c>
      <c r="G266" s="14" t="str">
        <f>VLOOKUP(F266,'Accident &amp; Incident Detail'!$D$3:$E$1154,2,FALSE)</f>
        <v>Physical Assault</v>
      </c>
      <c r="H266" s="14" t="s">
        <v>1089</v>
      </c>
      <c r="I266" s="14" t="s">
        <v>1090</v>
      </c>
      <c r="J266" s="14" t="s">
        <v>234</v>
      </c>
      <c r="K266" s="14" t="s">
        <v>210</v>
      </c>
      <c r="L266" s="14" t="s">
        <v>234</v>
      </c>
      <c r="M266" s="79">
        <f t="shared" si="27"/>
        <v>45573</v>
      </c>
      <c r="N266" s="14">
        <f t="shared" ca="1" si="29"/>
        <v>1</v>
      </c>
      <c r="O266" s="79">
        <v>45545</v>
      </c>
    </row>
    <row r="267" spans="1:22" ht="29" x14ac:dyDescent="0.35">
      <c r="A267" s="102" t="str">
        <f t="shared" si="28"/>
        <v>Closed</v>
      </c>
      <c r="B267" s="14" t="s">
        <v>95</v>
      </c>
      <c r="C267" s="14" t="s">
        <v>138</v>
      </c>
      <c r="D267" s="79">
        <v>45545</v>
      </c>
      <c r="E267" s="112">
        <v>2408</v>
      </c>
      <c r="F267" s="14" t="s">
        <v>1088</v>
      </c>
      <c r="G267" s="14" t="str">
        <f>VLOOKUP(F267,'Accident &amp; Incident Detail'!$D$3:$E$1154,2,FALSE)</f>
        <v>Physical Assault</v>
      </c>
      <c r="H267" s="14" t="s">
        <v>1091</v>
      </c>
      <c r="I267" s="14" t="s">
        <v>1092</v>
      </c>
      <c r="J267" s="14" t="s">
        <v>234</v>
      </c>
      <c r="K267" s="14" t="s">
        <v>210</v>
      </c>
      <c r="L267" s="14" t="s">
        <v>234</v>
      </c>
      <c r="M267" s="79">
        <f t="shared" si="27"/>
        <v>45573</v>
      </c>
      <c r="N267" s="14">
        <f t="shared" ca="1" si="29"/>
        <v>1</v>
      </c>
      <c r="O267" s="79">
        <v>45545</v>
      </c>
    </row>
    <row r="268" spans="1:22" ht="29" x14ac:dyDescent="0.35">
      <c r="A268" s="102" t="str">
        <f t="shared" si="28"/>
        <v>Closed</v>
      </c>
      <c r="B268" s="14" t="s">
        <v>91</v>
      </c>
      <c r="C268" s="14" t="s">
        <v>325</v>
      </c>
      <c r="D268" s="79">
        <v>45560</v>
      </c>
      <c r="E268" s="14">
        <v>2407</v>
      </c>
      <c r="G268" s="14" t="e">
        <f>VLOOKUP(F268,'Accident &amp; Incident Detail'!$D$3:$E$1154,2,FALSE)</f>
        <v>#N/A</v>
      </c>
      <c r="H268" s="14" t="s">
        <v>1093</v>
      </c>
      <c r="I268" s="14" t="s">
        <v>1094</v>
      </c>
      <c r="J268" s="14" t="s">
        <v>345</v>
      </c>
      <c r="K268" s="14" t="s">
        <v>248</v>
      </c>
      <c r="L268" s="14" t="s">
        <v>236</v>
      </c>
      <c r="M268" s="79">
        <f t="shared" si="27"/>
        <v>45588</v>
      </c>
      <c r="N268" s="14">
        <f t="shared" ca="1" si="29"/>
        <v>1</v>
      </c>
      <c r="O268" s="79">
        <v>45561</v>
      </c>
      <c r="T268" s="14"/>
      <c r="U268" s="14"/>
      <c r="V268" s="14"/>
    </row>
    <row r="269" spans="1:22" ht="43.5" x14ac:dyDescent="0.35">
      <c r="A269" s="102" t="str">
        <f t="shared" si="28"/>
        <v>Closed</v>
      </c>
      <c r="B269" s="14" t="s">
        <v>91</v>
      </c>
      <c r="C269" s="14" t="s">
        <v>361</v>
      </c>
      <c r="D269" s="79">
        <v>45560</v>
      </c>
      <c r="E269" s="14">
        <v>2407</v>
      </c>
      <c r="G269" s="14" t="e">
        <f>VLOOKUP(F269,'Accident &amp; Incident Detail'!$D$3:$E$1154,2,FALSE)</f>
        <v>#N/A</v>
      </c>
      <c r="H269" s="14" t="s">
        <v>1095</v>
      </c>
      <c r="I269" s="14" t="s">
        <v>1096</v>
      </c>
      <c r="J269" s="14" t="s">
        <v>328</v>
      </c>
      <c r="K269" s="14" t="s">
        <v>239</v>
      </c>
      <c r="L269" s="14" t="s">
        <v>236</v>
      </c>
      <c r="M269" s="79">
        <v>45687</v>
      </c>
      <c r="N269" s="14">
        <f t="shared" ca="1" si="29"/>
        <v>1</v>
      </c>
      <c r="O269" s="79">
        <v>45672</v>
      </c>
      <c r="Q269" s="14" t="s">
        <v>1097</v>
      </c>
      <c r="T269" s="14"/>
      <c r="U269" s="14"/>
      <c r="V269" s="14"/>
    </row>
    <row r="270" spans="1:22" ht="29" x14ac:dyDescent="0.35">
      <c r="A270" s="102" t="str">
        <f t="shared" si="28"/>
        <v>Closed</v>
      </c>
      <c r="B270" s="14" t="s">
        <v>91</v>
      </c>
      <c r="C270" s="14" t="s">
        <v>325</v>
      </c>
      <c r="D270" s="79">
        <v>45561</v>
      </c>
      <c r="E270" s="14">
        <v>2407</v>
      </c>
      <c r="G270" s="14" t="e">
        <f>VLOOKUP(F270,'Accident &amp; Incident Detail'!$D$3:$E$1154,2,FALSE)</f>
        <v>#N/A</v>
      </c>
      <c r="H270" s="14" t="s">
        <v>1098</v>
      </c>
      <c r="I270" s="14" t="s">
        <v>1099</v>
      </c>
      <c r="J270" s="14" t="s">
        <v>345</v>
      </c>
      <c r="K270" s="14" t="s">
        <v>244</v>
      </c>
      <c r="L270" s="14" t="s">
        <v>236</v>
      </c>
      <c r="M270" s="79">
        <f t="shared" ref="M270:M317" si="30">IF(D270="","",D270+28)</f>
        <v>45589</v>
      </c>
      <c r="N270" s="14">
        <f t="shared" ca="1" si="29"/>
        <v>1</v>
      </c>
      <c r="O270" s="79">
        <v>45565</v>
      </c>
      <c r="T270" s="14"/>
      <c r="U270" s="14"/>
      <c r="V270" s="14"/>
    </row>
    <row r="271" spans="1:22" ht="130.5" x14ac:dyDescent="0.35">
      <c r="A271" s="102" t="str">
        <f t="shared" si="28"/>
        <v>Closed</v>
      </c>
      <c r="B271" s="14" t="s">
        <v>91</v>
      </c>
      <c r="C271" s="14" t="s">
        <v>325</v>
      </c>
      <c r="D271" s="79">
        <v>45564</v>
      </c>
      <c r="E271" s="14">
        <v>2407</v>
      </c>
      <c r="G271" s="14" t="e">
        <f>VLOOKUP(F271,'Accident &amp; Incident Detail'!$D$3:$E$1154,2,FALSE)</f>
        <v>#N/A</v>
      </c>
      <c r="H271" s="14" t="s">
        <v>1100</v>
      </c>
      <c r="I271" s="14" t="s">
        <v>1101</v>
      </c>
      <c r="J271" s="14" t="s">
        <v>234</v>
      </c>
      <c r="K271" s="14" t="s">
        <v>226</v>
      </c>
      <c r="L271" s="14" t="s">
        <v>234</v>
      </c>
      <c r="M271" s="79">
        <f t="shared" si="30"/>
        <v>45592</v>
      </c>
      <c r="N271" s="14">
        <f t="shared" ca="1" si="29"/>
        <v>1</v>
      </c>
      <c r="O271" s="79">
        <v>45607</v>
      </c>
      <c r="T271" s="14"/>
      <c r="U271" s="14"/>
      <c r="V271" s="14"/>
    </row>
    <row r="272" spans="1:22" ht="29" x14ac:dyDescent="0.35">
      <c r="A272" s="102" t="str">
        <f t="shared" si="28"/>
        <v>Closed</v>
      </c>
      <c r="B272" s="14" t="s">
        <v>95</v>
      </c>
      <c r="C272" s="14" t="s">
        <v>138</v>
      </c>
      <c r="D272" s="79">
        <v>45565</v>
      </c>
      <c r="E272" s="14">
        <v>2407</v>
      </c>
      <c r="F272" s="14" t="s">
        <v>1102</v>
      </c>
      <c r="G272" s="14" t="str">
        <f>VLOOKUP(F272,'Accident &amp; Incident Detail'!$D$3:$E$1154,2,FALSE)</f>
        <v>Verbal Abuse</v>
      </c>
      <c r="H272" s="14" t="s">
        <v>1103</v>
      </c>
      <c r="I272" s="14" t="s">
        <v>1104</v>
      </c>
      <c r="J272" s="14" t="s">
        <v>234</v>
      </c>
      <c r="K272" s="14" t="s">
        <v>210</v>
      </c>
      <c r="L272" s="14" t="s">
        <v>234</v>
      </c>
      <c r="M272" s="79">
        <f t="shared" si="30"/>
        <v>45593</v>
      </c>
      <c r="N272" s="14">
        <f t="shared" ca="1" si="29"/>
        <v>1</v>
      </c>
      <c r="O272" s="79">
        <v>45565</v>
      </c>
    </row>
    <row r="273" spans="1:22" ht="29" x14ac:dyDescent="0.35">
      <c r="A273" s="102" t="str">
        <f t="shared" si="28"/>
        <v>Closed</v>
      </c>
      <c r="B273" s="14" t="s">
        <v>95</v>
      </c>
      <c r="C273" s="14" t="s">
        <v>138</v>
      </c>
      <c r="D273" s="79">
        <v>45565</v>
      </c>
      <c r="E273" s="14">
        <v>2407</v>
      </c>
      <c r="F273" s="14" t="s">
        <v>1102</v>
      </c>
      <c r="G273" s="14" t="str">
        <f>VLOOKUP(F273,'Accident &amp; Incident Detail'!$D$3:$E$1154,2,FALSE)</f>
        <v>Verbal Abuse</v>
      </c>
      <c r="H273" s="14" t="s">
        <v>1105</v>
      </c>
      <c r="I273" s="14" t="s">
        <v>1092</v>
      </c>
      <c r="J273" s="14" t="s">
        <v>234</v>
      </c>
      <c r="K273" s="14" t="s">
        <v>210</v>
      </c>
      <c r="L273" s="14" t="s">
        <v>234</v>
      </c>
      <c r="M273" s="79">
        <f t="shared" si="30"/>
        <v>45593</v>
      </c>
      <c r="N273" s="14">
        <f t="shared" ca="1" si="29"/>
        <v>1</v>
      </c>
      <c r="O273" s="79">
        <v>45565</v>
      </c>
    </row>
    <row r="274" spans="1:22" ht="29" x14ac:dyDescent="0.35">
      <c r="A274" s="102" t="str">
        <f t="shared" si="28"/>
        <v>Closed</v>
      </c>
      <c r="B274" s="14" t="s">
        <v>95</v>
      </c>
      <c r="C274" s="14" t="s">
        <v>138</v>
      </c>
      <c r="D274" s="79">
        <v>45565</v>
      </c>
      <c r="E274" s="14">
        <v>2407</v>
      </c>
      <c r="F274" s="14" t="s">
        <v>1106</v>
      </c>
      <c r="G274" s="14" t="str">
        <f>VLOOKUP(F274,'Accident &amp; Incident Detail'!$D$3:$E$1154,2,FALSE)</f>
        <v>Verbal Abuse</v>
      </c>
      <c r="H274" s="14" t="s">
        <v>1107</v>
      </c>
      <c r="I274" s="14" t="s">
        <v>1108</v>
      </c>
      <c r="J274" s="14" t="s">
        <v>234</v>
      </c>
      <c r="K274" s="14" t="s">
        <v>210</v>
      </c>
      <c r="L274" s="14" t="s">
        <v>234</v>
      </c>
      <c r="M274" s="79">
        <f t="shared" si="30"/>
        <v>45593</v>
      </c>
      <c r="N274" s="14">
        <f t="shared" ca="1" si="29"/>
        <v>1</v>
      </c>
      <c r="O274" s="79">
        <v>45565</v>
      </c>
    </row>
    <row r="275" spans="1:22" ht="43.5" x14ac:dyDescent="0.35">
      <c r="A275" s="102" t="str">
        <f t="shared" si="28"/>
        <v>Closed</v>
      </c>
      <c r="B275" s="14" t="s">
        <v>95</v>
      </c>
      <c r="C275" s="14" t="s">
        <v>138</v>
      </c>
      <c r="D275" s="79">
        <v>45565</v>
      </c>
      <c r="E275" s="14">
        <v>2407</v>
      </c>
      <c r="F275" s="14" t="s">
        <v>1106</v>
      </c>
      <c r="G275" s="14" t="str">
        <f>VLOOKUP(F275,'Accident &amp; Incident Detail'!$D$3:$E$1154,2,FALSE)</f>
        <v>Verbal Abuse</v>
      </c>
      <c r="H275" s="14" t="s">
        <v>1109</v>
      </c>
      <c r="I275" s="14" t="s">
        <v>1110</v>
      </c>
      <c r="J275" s="14" t="s">
        <v>234</v>
      </c>
      <c r="K275" s="14" t="s">
        <v>210</v>
      </c>
      <c r="L275" s="14" t="s">
        <v>234</v>
      </c>
      <c r="M275" s="79">
        <f t="shared" si="30"/>
        <v>45593</v>
      </c>
      <c r="N275" s="14">
        <f t="shared" ca="1" si="29"/>
        <v>1</v>
      </c>
      <c r="O275" s="79">
        <v>45565</v>
      </c>
      <c r="Q275" s="30"/>
    </row>
    <row r="276" spans="1:22" ht="29" x14ac:dyDescent="0.35">
      <c r="A276" s="102" t="str">
        <f t="shared" si="28"/>
        <v>Closed</v>
      </c>
      <c r="B276" s="14" t="s">
        <v>95</v>
      </c>
      <c r="C276" s="14" t="s">
        <v>174</v>
      </c>
      <c r="D276" s="79">
        <v>45566</v>
      </c>
      <c r="E276" s="14">
        <v>2407</v>
      </c>
      <c r="G276" s="14" t="e">
        <f>VLOOKUP(F276,'Accident &amp; Incident Detail'!$D$3:$E$1154,2,FALSE)</f>
        <v>#N/A</v>
      </c>
      <c r="H276" s="14" t="s">
        <v>1111</v>
      </c>
      <c r="I276" s="14" t="s">
        <v>449</v>
      </c>
      <c r="J276" s="14" t="s">
        <v>234</v>
      </c>
      <c r="K276" s="14" t="s">
        <v>210</v>
      </c>
      <c r="L276" s="14" t="s">
        <v>234</v>
      </c>
      <c r="M276" s="79">
        <f t="shared" si="30"/>
        <v>45594</v>
      </c>
      <c r="N276" s="14">
        <f t="shared" ca="1" si="29"/>
        <v>1</v>
      </c>
      <c r="O276" s="79">
        <v>45509</v>
      </c>
    </row>
    <row r="277" spans="1:22" ht="58" x14ac:dyDescent="0.35">
      <c r="A277" s="102" t="str">
        <f t="shared" si="28"/>
        <v>Closed</v>
      </c>
      <c r="B277" s="14" t="s">
        <v>91</v>
      </c>
      <c r="C277" s="14" t="s">
        <v>325</v>
      </c>
      <c r="D277" s="79">
        <v>45567</v>
      </c>
      <c r="E277" s="14">
        <v>2407</v>
      </c>
      <c r="G277" s="14" t="e">
        <f>VLOOKUP(F277,'Accident &amp; Incident Detail'!$D$3:$E$1154,2,FALSE)</f>
        <v>#N/A</v>
      </c>
      <c r="H277" s="14" t="s">
        <v>1112</v>
      </c>
      <c r="I277" s="14" t="s">
        <v>1113</v>
      </c>
      <c r="J277" s="14" t="s">
        <v>328</v>
      </c>
      <c r="K277" s="14" t="s">
        <v>244</v>
      </c>
      <c r="L277" s="14" t="s">
        <v>236</v>
      </c>
      <c r="M277" s="79">
        <f t="shared" si="30"/>
        <v>45595</v>
      </c>
      <c r="N277" s="14">
        <f t="shared" ca="1" si="29"/>
        <v>1</v>
      </c>
      <c r="O277" s="79">
        <v>45595</v>
      </c>
      <c r="Q277" s="14" t="s">
        <v>1114</v>
      </c>
      <c r="T277" s="14"/>
      <c r="U277" s="14"/>
      <c r="V277" s="14"/>
    </row>
    <row r="278" spans="1:22" ht="29" x14ac:dyDescent="0.35">
      <c r="A278" s="102" t="str">
        <f t="shared" si="28"/>
        <v>Closed</v>
      </c>
      <c r="B278" s="14" t="s">
        <v>95</v>
      </c>
      <c r="C278" s="14" t="s">
        <v>153</v>
      </c>
      <c r="D278" s="79">
        <v>45567</v>
      </c>
      <c r="E278" s="14">
        <v>2305</v>
      </c>
      <c r="F278" s="14" t="s">
        <v>1115</v>
      </c>
      <c r="G278" s="14" t="e">
        <f>VLOOKUP(F278,'Accident &amp; Incident Detail'!$D$3:$E$1154,2,FALSE)</f>
        <v>#N/A</v>
      </c>
      <c r="H278" s="14" t="s">
        <v>1116</v>
      </c>
      <c r="I278" s="14" t="s">
        <v>1117</v>
      </c>
      <c r="J278" s="14" t="s">
        <v>234</v>
      </c>
      <c r="K278" s="14" t="s">
        <v>264</v>
      </c>
      <c r="L278" s="14" t="s">
        <v>234</v>
      </c>
      <c r="M278" s="79">
        <f t="shared" si="30"/>
        <v>45595</v>
      </c>
      <c r="N278" s="14">
        <f t="shared" ca="1" si="29"/>
        <v>1</v>
      </c>
      <c r="O278" s="79">
        <v>45197</v>
      </c>
    </row>
    <row r="279" spans="1:22" ht="29" x14ac:dyDescent="0.35">
      <c r="A279" s="102" t="str">
        <f t="shared" si="28"/>
        <v>Closed</v>
      </c>
      <c r="B279" s="14" t="s">
        <v>95</v>
      </c>
      <c r="C279" s="14" t="s">
        <v>153</v>
      </c>
      <c r="D279" s="79">
        <v>45567</v>
      </c>
      <c r="E279" s="14">
        <v>2305</v>
      </c>
      <c r="F279" s="14" t="s">
        <v>1115</v>
      </c>
      <c r="G279" s="14" t="e">
        <f>VLOOKUP(F279,'Accident &amp; Incident Detail'!$D$3:$E$1154,2,FALSE)</f>
        <v>#N/A</v>
      </c>
      <c r="H279" s="14" t="s">
        <v>1118</v>
      </c>
      <c r="I279" s="14" t="s">
        <v>1119</v>
      </c>
      <c r="J279" s="14" t="s">
        <v>234</v>
      </c>
      <c r="K279" s="14" t="s">
        <v>264</v>
      </c>
      <c r="L279" s="14" t="s">
        <v>234</v>
      </c>
      <c r="M279" s="79">
        <f t="shared" si="30"/>
        <v>45595</v>
      </c>
      <c r="N279" s="14">
        <f t="shared" ca="1" si="29"/>
        <v>1</v>
      </c>
      <c r="O279" s="79">
        <v>45231</v>
      </c>
      <c r="Q279" s="30"/>
    </row>
    <row r="280" spans="1:22" ht="29" x14ac:dyDescent="0.35">
      <c r="A280" s="102" t="str">
        <f t="shared" si="28"/>
        <v>Closed</v>
      </c>
      <c r="B280" s="14" t="s">
        <v>91</v>
      </c>
      <c r="C280" s="14" t="s">
        <v>325</v>
      </c>
      <c r="D280" s="79">
        <v>45572</v>
      </c>
      <c r="E280" s="14">
        <v>2407</v>
      </c>
      <c r="G280" s="14" t="e">
        <f>VLOOKUP(F280,'Accident &amp; Incident Detail'!$D$3:$E$1154,2,FALSE)</f>
        <v>#N/A</v>
      </c>
      <c r="H280" s="14" t="s">
        <v>1120</v>
      </c>
      <c r="I280" s="14" t="s">
        <v>1121</v>
      </c>
      <c r="J280" s="14" t="s">
        <v>241</v>
      </c>
      <c r="K280" s="14" t="s">
        <v>240</v>
      </c>
      <c r="L280" s="14" t="s">
        <v>241</v>
      </c>
      <c r="M280" s="79">
        <f t="shared" si="30"/>
        <v>45600</v>
      </c>
      <c r="N280" s="14">
        <f t="shared" ca="1" si="29"/>
        <v>1</v>
      </c>
      <c r="O280" s="79">
        <v>45579</v>
      </c>
      <c r="Q280" s="14" t="s">
        <v>1122</v>
      </c>
      <c r="T280" s="14"/>
      <c r="U280" s="14"/>
      <c r="V280" s="14"/>
    </row>
    <row r="281" spans="1:22" ht="29" x14ac:dyDescent="0.35">
      <c r="A281" s="102" t="str">
        <f t="shared" si="28"/>
        <v>Closed</v>
      </c>
      <c r="B281" s="112" t="s">
        <v>91</v>
      </c>
      <c r="C281" s="112" t="s">
        <v>409</v>
      </c>
      <c r="D281" s="168">
        <v>45573</v>
      </c>
      <c r="E281" s="112">
        <v>2407</v>
      </c>
      <c r="F281" s="112"/>
      <c r="G281" s="112" t="e">
        <f>VLOOKUP(F281,'Accident &amp; Incident Detail'!$D$3:$E$1154,2,FALSE)</f>
        <v>#N/A</v>
      </c>
      <c r="H281" s="112" t="s">
        <v>1123</v>
      </c>
      <c r="I281" s="112" t="s">
        <v>1124</v>
      </c>
      <c r="J281" s="112" t="s">
        <v>241</v>
      </c>
      <c r="K281" s="14" t="s">
        <v>240</v>
      </c>
      <c r="L281" s="14" t="s">
        <v>241</v>
      </c>
      <c r="M281" s="79">
        <f t="shared" si="30"/>
        <v>45601</v>
      </c>
      <c r="N281" s="14">
        <f t="shared" ca="1" si="29"/>
        <v>1</v>
      </c>
      <c r="O281" s="79">
        <v>45573</v>
      </c>
      <c r="Q281" s="14" t="s">
        <v>1125</v>
      </c>
      <c r="T281" s="14"/>
      <c r="U281" s="14"/>
      <c r="V281" s="14"/>
    </row>
    <row r="282" spans="1:22" ht="72.5" x14ac:dyDescent="0.35">
      <c r="A282" s="102" t="str">
        <f t="shared" si="28"/>
        <v>Closed</v>
      </c>
      <c r="B282" s="112" t="s">
        <v>91</v>
      </c>
      <c r="C282" s="112" t="s">
        <v>409</v>
      </c>
      <c r="D282" s="168">
        <v>45573</v>
      </c>
      <c r="E282" s="112">
        <v>2407</v>
      </c>
      <c r="F282" s="112"/>
      <c r="G282" s="112" t="e">
        <f>VLOOKUP(F282,'Accident &amp; Incident Detail'!$D$3:$E$1154,2,FALSE)</f>
        <v>#N/A</v>
      </c>
      <c r="H282" s="112" t="s">
        <v>1126</v>
      </c>
      <c r="I282" s="112" t="s">
        <v>1127</v>
      </c>
      <c r="J282" s="112" t="s">
        <v>412</v>
      </c>
      <c r="K282" s="14" t="s">
        <v>216</v>
      </c>
      <c r="L282" s="14" t="s">
        <v>234</v>
      </c>
      <c r="M282" s="79">
        <f t="shared" si="30"/>
        <v>45601</v>
      </c>
      <c r="N282" s="14">
        <f t="shared" ca="1" si="29"/>
        <v>1</v>
      </c>
      <c r="O282" s="79">
        <v>45575</v>
      </c>
      <c r="T282" s="14"/>
      <c r="U282" s="14"/>
      <c r="V282" s="14"/>
    </row>
    <row r="283" spans="1:22" ht="58" x14ac:dyDescent="0.35">
      <c r="A283" s="102" t="str">
        <f t="shared" si="28"/>
        <v>Closed</v>
      </c>
      <c r="B283" s="112" t="s">
        <v>91</v>
      </c>
      <c r="C283" s="112" t="s">
        <v>409</v>
      </c>
      <c r="D283" s="168">
        <v>45573</v>
      </c>
      <c r="E283" s="112">
        <v>2407</v>
      </c>
      <c r="F283" s="112"/>
      <c r="G283" s="112" t="e">
        <f>VLOOKUP(F283,'Accident &amp; Incident Detail'!$D$3:$E$1154,2,FALSE)</f>
        <v>#N/A</v>
      </c>
      <c r="H283" s="112" t="s">
        <v>1128</v>
      </c>
      <c r="I283" s="294" t="s">
        <v>1129</v>
      </c>
      <c r="J283" s="294" t="s">
        <v>241</v>
      </c>
      <c r="K283" s="14" t="s">
        <v>240</v>
      </c>
      <c r="L283" s="14" t="s">
        <v>241</v>
      </c>
      <c r="M283" s="79">
        <f t="shared" si="30"/>
        <v>45601</v>
      </c>
      <c r="N283" s="14">
        <f t="shared" ca="1" si="29"/>
        <v>1</v>
      </c>
      <c r="O283" s="79">
        <v>45573</v>
      </c>
      <c r="T283" s="14"/>
      <c r="U283" s="14"/>
      <c r="V283" s="14"/>
    </row>
    <row r="284" spans="1:22" ht="58" x14ac:dyDescent="0.35">
      <c r="A284" s="102" t="str">
        <f t="shared" si="28"/>
        <v>Closed</v>
      </c>
      <c r="B284" s="112" t="s">
        <v>91</v>
      </c>
      <c r="C284" s="112" t="s">
        <v>409</v>
      </c>
      <c r="D284" s="168">
        <v>45573</v>
      </c>
      <c r="E284" s="112">
        <v>2407</v>
      </c>
      <c r="F284" s="112"/>
      <c r="G284" s="112" t="e">
        <f>VLOOKUP(F284,'Accident &amp; Incident Detail'!$D$3:$E$1154,2,FALSE)</f>
        <v>#N/A</v>
      </c>
      <c r="H284" s="112" t="s">
        <v>1130</v>
      </c>
      <c r="I284" s="112" t="s">
        <v>1131</v>
      </c>
      <c r="J284" s="112" t="s">
        <v>241</v>
      </c>
      <c r="K284" s="14" t="s">
        <v>240</v>
      </c>
      <c r="L284" s="14" t="s">
        <v>241</v>
      </c>
      <c r="M284" s="79">
        <f t="shared" si="30"/>
        <v>45601</v>
      </c>
      <c r="N284" s="14">
        <f t="shared" ca="1" si="29"/>
        <v>1</v>
      </c>
      <c r="O284" s="79">
        <v>45573</v>
      </c>
      <c r="T284" s="14"/>
      <c r="U284" s="14"/>
      <c r="V284" s="14"/>
    </row>
    <row r="285" spans="1:22" ht="29" x14ac:dyDescent="0.35">
      <c r="A285" s="102" t="str">
        <f t="shared" si="28"/>
        <v>Closed</v>
      </c>
      <c r="B285" s="14" t="s">
        <v>95</v>
      </c>
      <c r="C285" s="14" t="s">
        <v>185</v>
      </c>
      <c r="D285" s="79">
        <v>45573</v>
      </c>
      <c r="E285" s="112">
        <v>2408</v>
      </c>
      <c r="G285" s="14" t="e">
        <f>VLOOKUP(F285,'Accident &amp; Incident Detail'!$D$3:$E$1154,2,FALSE)</f>
        <v>#N/A</v>
      </c>
      <c r="H285" s="14" t="s">
        <v>1132</v>
      </c>
      <c r="I285" s="14" t="s">
        <v>1133</v>
      </c>
      <c r="J285" s="14" t="s">
        <v>234</v>
      </c>
      <c r="L285" s="14" t="s">
        <v>234</v>
      </c>
      <c r="M285" s="79">
        <f t="shared" si="30"/>
        <v>45601</v>
      </c>
      <c r="N285" s="14">
        <f t="shared" ca="1" si="29"/>
        <v>1</v>
      </c>
      <c r="O285" s="79">
        <v>45583</v>
      </c>
    </row>
    <row r="286" spans="1:22" ht="72.5" x14ac:dyDescent="0.35">
      <c r="A286" s="102" t="str">
        <f t="shared" si="28"/>
        <v>Closed</v>
      </c>
      <c r="B286" s="112" t="s">
        <v>91</v>
      </c>
      <c r="C286" s="112" t="s">
        <v>181</v>
      </c>
      <c r="D286" s="168">
        <v>45575</v>
      </c>
      <c r="E286" s="112">
        <v>2407</v>
      </c>
      <c r="F286" s="112"/>
      <c r="G286" s="112" t="e">
        <f>VLOOKUP(F286,'Accident &amp; Incident Detail'!$D$3:$E$1154,2,FALSE)</f>
        <v>#N/A</v>
      </c>
      <c r="H286" s="112" t="s">
        <v>1134</v>
      </c>
      <c r="I286" s="294" t="s">
        <v>1135</v>
      </c>
      <c r="J286" s="112" t="s">
        <v>241</v>
      </c>
      <c r="K286" s="14" t="s">
        <v>240</v>
      </c>
      <c r="L286" s="14" t="s">
        <v>241</v>
      </c>
      <c r="M286" s="79">
        <f t="shared" si="30"/>
        <v>45603</v>
      </c>
      <c r="N286" s="14">
        <f t="shared" ca="1" si="29"/>
        <v>1</v>
      </c>
      <c r="O286" s="79">
        <v>45637</v>
      </c>
      <c r="Q286" s="14" t="s">
        <v>1136</v>
      </c>
      <c r="T286" s="14"/>
      <c r="U286" s="14"/>
      <c r="V286" s="14"/>
    </row>
    <row r="287" spans="1:22" ht="29" x14ac:dyDescent="0.35">
      <c r="A287" s="102" t="str">
        <f t="shared" si="28"/>
        <v>Closed</v>
      </c>
      <c r="B287" s="112" t="s">
        <v>91</v>
      </c>
      <c r="C287" s="112" t="s">
        <v>325</v>
      </c>
      <c r="D287" s="168">
        <v>45575</v>
      </c>
      <c r="E287" s="112">
        <v>2407</v>
      </c>
      <c r="F287" s="112"/>
      <c r="G287" s="112" t="e">
        <f>VLOOKUP(F287,'Accident &amp; Incident Detail'!$D$3:$E$1154,2,FALSE)</f>
        <v>#N/A</v>
      </c>
      <c r="H287" s="112" t="s">
        <v>1137</v>
      </c>
      <c r="I287" s="112" t="s">
        <v>1138</v>
      </c>
      <c r="J287" s="112" t="s">
        <v>241</v>
      </c>
      <c r="K287" s="14" t="s">
        <v>240</v>
      </c>
      <c r="L287" s="14" t="s">
        <v>241</v>
      </c>
      <c r="M287" s="79">
        <f t="shared" si="30"/>
        <v>45603</v>
      </c>
      <c r="N287" s="14">
        <f t="shared" ca="1" si="29"/>
        <v>1</v>
      </c>
      <c r="O287" s="79">
        <v>45575</v>
      </c>
      <c r="T287" s="14"/>
      <c r="U287" s="14"/>
      <c r="V287" s="14"/>
    </row>
    <row r="288" spans="1:22" ht="43.5" x14ac:dyDescent="0.35">
      <c r="A288" s="102" t="str">
        <f t="shared" si="28"/>
        <v>Closed</v>
      </c>
      <c r="B288" s="112" t="s">
        <v>91</v>
      </c>
      <c r="C288" s="14" t="s">
        <v>953</v>
      </c>
      <c r="D288" s="79">
        <v>45580</v>
      </c>
      <c r="E288" s="112">
        <v>2408</v>
      </c>
      <c r="G288" s="14" t="e">
        <f>VLOOKUP(F288,'Accident &amp; Incident Detail'!$D$3:$E$1154,2,FALSE)</f>
        <v>#N/A</v>
      </c>
      <c r="H288" s="14" t="s">
        <v>1139</v>
      </c>
      <c r="I288" s="14" t="s">
        <v>1140</v>
      </c>
      <c r="J288" s="14" t="s">
        <v>372</v>
      </c>
      <c r="K288" s="14" t="s">
        <v>222</v>
      </c>
      <c r="L288" s="14" t="s">
        <v>236</v>
      </c>
      <c r="M288" s="79">
        <f t="shared" si="30"/>
        <v>45608</v>
      </c>
      <c r="N288" s="14">
        <f t="shared" ca="1" si="29"/>
        <v>1</v>
      </c>
      <c r="O288" s="79">
        <v>45595</v>
      </c>
      <c r="Q288" s="14" t="s">
        <v>1141</v>
      </c>
      <c r="T288" s="14"/>
      <c r="U288" s="14"/>
      <c r="V288" s="14"/>
    </row>
    <row r="289" spans="1:23" ht="43.5" x14ac:dyDescent="0.35">
      <c r="A289" s="102" t="str">
        <f t="shared" si="28"/>
        <v>Closed</v>
      </c>
      <c r="B289" s="112" t="s">
        <v>91</v>
      </c>
      <c r="C289" s="14" t="s">
        <v>599</v>
      </c>
      <c r="D289" s="79">
        <v>45582</v>
      </c>
      <c r="E289" s="112">
        <v>2408</v>
      </c>
      <c r="G289" s="14" t="e">
        <f>VLOOKUP(F289,'Accident &amp; Incident Detail'!$D$3:$E$1154,2,FALSE)</f>
        <v>#N/A</v>
      </c>
      <c r="H289" s="14" t="s">
        <v>1142</v>
      </c>
      <c r="I289" s="14" t="s">
        <v>1143</v>
      </c>
      <c r="J289" s="14" t="s">
        <v>372</v>
      </c>
      <c r="K289" s="14" t="s">
        <v>222</v>
      </c>
      <c r="L289" s="14" t="s">
        <v>236</v>
      </c>
      <c r="M289" s="79">
        <f t="shared" si="30"/>
        <v>45610</v>
      </c>
      <c r="N289" s="14">
        <f t="shared" ca="1" si="29"/>
        <v>1</v>
      </c>
      <c r="O289" s="79" t="s">
        <v>1144</v>
      </c>
      <c r="Q289" s="14" t="s">
        <v>1145</v>
      </c>
      <c r="R289" s="14" t="e">
        <f>IF(A289="Closed",O289-D289,$A$2-D289)</f>
        <v>#VALUE!</v>
      </c>
      <c r="S289" s="14">
        <f>IF(B289="DWPI Action",R289,0)</f>
        <v>0</v>
      </c>
      <c r="T289" s="14">
        <f>IF(A289="Closed",S289,0)</f>
        <v>0</v>
      </c>
      <c r="U289" s="14">
        <f>IF(A289="Open",S289,0)</f>
        <v>0</v>
      </c>
      <c r="V289" s="14">
        <f>IF(A289="Overdue",S289,0)</f>
        <v>0</v>
      </c>
      <c r="W289" s="112">
        <f>SUM(U289:V289)</f>
        <v>0</v>
      </c>
    </row>
    <row r="290" spans="1:23" ht="87" x14ac:dyDescent="0.35">
      <c r="A290" s="102" t="str">
        <f t="shared" ca="1" si="28"/>
        <v>Overdue</v>
      </c>
      <c r="B290" s="14" t="s">
        <v>94</v>
      </c>
      <c r="C290" s="14" t="s">
        <v>531</v>
      </c>
      <c r="D290" s="79">
        <v>45583</v>
      </c>
      <c r="E290" s="112">
        <v>2408</v>
      </c>
      <c r="G290" s="14" t="e">
        <f>VLOOKUP(F290,'Accident &amp; Incident Detail'!$D$3:$E$1154,2,FALSE)</f>
        <v>#N/A</v>
      </c>
      <c r="H290" s="14" t="s">
        <v>1146</v>
      </c>
      <c r="I290" s="14" t="s">
        <v>1147</v>
      </c>
      <c r="J290" s="14" t="s">
        <v>345</v>
      </c>
      <c r="K290" s="14" t="s">
        <v>248</v>
      </c>
      <c r="L290" s="14" t="s">
        <v>236</v>
      </c>
      <c r="M290" s="79">
        <f t="shared" si="30"/>
        <v>45611</v>
      </c>
      <c r="N290" s="14">
        <f t="shared" ca="1" si="29"/>
        <v>1</v>
      </c>
      <c r="Q290" s="14" t="s">
        <v>1148</v>
      </c>
    </row>
    <row r="291" spans="1:23" ht="29" x14ac:dyDescent="0.35">
      <c r="A291" s="102" t="str">
        <f t="shared" ca="1" si="28"/>
        <v>Overdue</v>
      </c>
      <c r="B291" s="14" t="s">
        <v>94</v>
      </c>
      <c r="C291" s="14" t="s">
        <v>531</v>
      </c>
      <c r="D291" s="79">
        <v>45583</v>
      </c>
      <c r="E291" s="112">
        <v>2408</v>
      </c>
      <c r="G291" s="14" t="e">
        <f>VLOOKUP(F291,'Accident &amp; Incident Detail'!$D$3:$E$1154,2,FALSE)</f>
        <v>#N/A</v>
      </c>
      <c r="H291" s="14" t="s">
        <v>1149</v>
      </c>
      <c r="I291" s="14" t="s">
        <v>1150</v>
      </c>
      <c r="J291" s="14" t="s">
        <v>345</v>
      </c>
      <c r="K291" s="14" t="s">
        <v>248</v>
      </c>
      <c r="L291" s="14" t="s">
        <v>236</v>
      </c>
      <c r="M291" s="79">
        <f t="shared" si="30"/>
        <v>45611</v>
      </c>
      <c r="N291" s="14">
        <f t="shared" ca="1" si="29"/>
        <v>1</v>
      </c>
      <c r="Q291" s="14" t="s">
        <v>1151</v>
      </c>
    </row>
    <row r="292" spans="1:23" ht="159.5" x14ac:dyDescent="0.35">
      <c r="A292" s="102" t="str">
        <f t="shared" ca="1" si="28"/>
        <v>Overdue</v>
      </c>
      <c r="B292" s="14" t="s">
        <v>94</v>
      </c>
      <c r="C292" s="14" t="s">
        <v>531</v>
      </c>
      <c r="D292" s="79">
        <v>45583</v>
      </c>
      <c r="E292" s="112">
        <v>2408</v>
      </c>
      <c r="G292" s="14" t="e">
        <f>VLOOKUP(F292,'Accident &amp; Incident Detail'!$D$3:$E$1154,2,FALSE)</f>
        <v>#N/A</v>
      </c>
      <c r="H292" s="14" t="s">
        <v>1152</v>
      </c>
      <c r="I292" s="14" t="s">
        <v>1153</v>
      </c>
      <c r="J292" s="14" t="s">
        <v>345</v>
      </c>
      <c r="K292" s="14" t="s">
        <v>248</v>
      </c>
      <c r="L292" s="14" t="s">
        <v>236</v>
      </c>
      <c r="M292" s="79">
        <f t="shared" si="30"/>
        <v>45611</v>
      </c>
      <c r="N292" s="14">
        <f t="shared" ca="1" si="29"/>
        <v>1</v>
      </c>
      <c r="Q292" s="14" t="s">
        <v>1154</v>
      </c>
    </row>
    <row r="293" spans="1:23" ht="43.5" x14ac:dyDescent="0.35">
      <c r="A293" s="102" t="str">
        <f t="shared" ca="1" si="28"/>
        <v>Overdue</v>
      </c>
      <c r="B293" s="14" t="s">
        <v>94</v>
      </c>
      <c r="C293" s="14" t="s">
        <v>531</v>
      </c>
      <c r="D293" s="79">
        <v>45583</v>
      </c>
      <c r="E293" s="112">
        <v>2408</v>
      </c>
      <c r="G293" s="14" t="e">
        <f>VLOOKUP(F293,'Accident &amp; Incident Detail'!$D$3:$E$1154,2,FALSE)</f>
        <v>#N/A</v>
      </c>
      <c r="H293" s="14" t="s">
        <v>1155</v>
      </c>
      <c r="I293" s="14" t="s">
        <v>1156</v>
      </c>
      <c r="J293" s="14" t="s">
        <v>345</v>
      </c>
      <c r="K293" s="14" t="s">
        <v>248</v>
      </c>
      <c r="L293" s="14" t="s">
        <v>236</v>
      </c>
      <c r="M293" s="79">
        <f t="shared" si="30"/>
        <v>45611</v>
      </c>
      <c r="N293" s="14">
        <f t="shared" ca="1" si="29"/>
        <v>1</v>
      </c>
      <c r="Q293" s="14" t="s">
        <v>1154</v>
      </c>
    </row>
    <row r="294" spans="1:23" ht="29" x14ac:dyDescent="0.35">
      <c r="A294" s="102" t="str">
        <f t="shared" si="28"/>
        <v>Closed</v>
      </c>
      <c r="B294" s="14" t="s">
        <v>95</v>
      </c>
      <c r="C294" s="14" t="s">
        <v>175</v>
      </c>
      <c r="D294" s="79">
        <v>45587</v>
      </c>
      <c r="E294" s="112">
        <v>2408</v>
      </c>
      <c r="F294" s="14" t="s">
        <v>1157</v>
      </c>
      <c r="G294" s="14" t="str">
        <f>VLOOKUP(F294,'Accident &amp; Incident Detail'!$D$3:$E$1154,2,FALSE)</f>
        <v>STF on Tram</v>
      </c>
      <c r="H294" s="14" t="s">
        <v>1158</v>
      </c>
      <c r="I294" s="30" t="s">
        <v>1159</v>
      </c>
      <c r="J294" s="14" t="s">
        <v>372</v>
      </c>
      <c r="K294" s="14" t="s">
        <v>176</v>
      </c>
      <c r="L294" s="14" t="s">
        <v>236</v>
      </c>
      <c r="M294" s="79">
        <f t="shared" si="30"/>
        <v>45615</v>
      </c>
      <c r="N294" s="14">
        <f t="shared" ca="1" si="29"/>
        <v>1</v>
      </c>
      <c r="O294" s="79">
        <v>45587</v>
      </c>
    </row>
    <row r="295" spans="1:23" ht="29" x14ac:dyDescent="0.35">
      <c r="A295" s="102" t="str">
        <f t="shared" si="28"/>
        <v>Closed</v>
      </c>
      <c r="B295" s="14" t="s">
        <v>98</v>
      </c>
      <c r="D295" s="79">
        <v>45588</v>
      </c>
      <c r="E295" s="112">
        <v>2408</v>
      </c>
      <c r="G295" s="14" t="e">
        <f>VLOOKUP(F295,'Accident &amp; Incident Detail'!$D$3:$E$1154,2,FALSE)</f>
        <v>#N/A</v>
      </c>
      <c r="H295" s="14" t="s">
        <v>1160</v>
      </c>
      <c r="I295" s="14" t="s">
        <v>1161</v>
      </c>
      <c r="J295" s="14" t="s">
        <v>241</v>
      </c>
      <c r="K295" s="14" t="s">
        <v>240</v>
      </c>
      <c r="L295" s="14" t="s">
        <v>241</v>
      </c>
      <c r="M295" s="79">
        <f t="shared" si="30"/>
        <v>45616</v>
      </c>
      <c r="N295" s="14">
        <f t="shared" ca="1" si="29"/>
        <v>1</v>
      </c>
      <c r="O295" s="79">
        <v>45588</v>
      </c>
      <c r="Q295" s="14" t="s">
        <v>1162</v>
      </c>
    </row>
    <row r="296" spans="1:23" ht="29" x14ac:dyDescent="0.35">
      <c r="A296" s="102" t="str">
        <f t="shared" ref="A296:A327" si="31">IF(O296&gt;1,"Closed",IF(N296=1,"Overdue",IF(N296=3,"","Open")))</f>
        <v>Closed</v>
      </c>
      <c r="B296" s="14" t="s">
        <v>95</v>
      </c>
      <c r="C296" s="14" t="s">
        <v>417</v>
      </c>
      <c r="D296" s="79">
        <v>45592</v>
      </c>
      <c r="E296" s="112">
        <v>2408</v>
      </c>
      <c r="F296" s="14" t="s">
        <v>1163</v>
      </c>
      <c r="G296" s="14" t="str">
        <f>VLOOKUP(F296,'Accident &amp; Incident Detail'!$D$3:$E$1154,2,FALSE)</f>
        <v>Threatening Behaviour</v>
      </c>
      <c r="H296" s="14" t="s">
        <v>1164</v>
      </c>
      <c r="I296" s="14" t="s">
        <v>1165</v>
      </c>
      <c r="J296" s="14" t="s">
        <v>234</v>
      </c>
      <c r="K296" s="14" t="s">
        <v>210</v>
      </c>
      <c r="L296" s="14" t="s">
        <v>234</v>
      </c>
      <c r="M296" s="79">
        <f t="shared" si="30"/>
        <v>45620</v>
      </c>
      <c r="N296" s="14">
        <f t="shared" ref="N296:N318" ca="1" si="32">IF(D296="",3,IF(M296&lt;$A$2,1,0))</f>
        <v>1</v>
      </c>
      <c r="O296" s="79">
        <v>45592</v>
      </c>
    </row>
    <row r="297" spans="1:23" ht="87" x14ac:dyDescent="0.35">
      <c r="A297" s="102" t="str">
        <f t="shared" si="31"/>
        <v>Closed</v>
      </c>
      <c r="B297" s="14" t="s">
        <v>91</v>
      </c>
      <c r="C297" s="14" t="s">
        <v>531</v>
      </c>
      <c r="D297" s="79">
        <v>45594</v>
      </c>
      <c r="E297" s="112">
        <v>2408</v>
      </c>
      <c r="G297" s="14" t="e">
        <f>VLOOKUP(F297,'Accident &amp; Incident Detail'!$D$3:$E$1154,2,FALSE)</f>
        <v>#N/A</v>
      </c>
      <c r="H297" s="14" t="s">
        <v>1166</v>
      </c>
      <c r="I297" s="14" t="s">
        <v>1167</v>
      </c>
      <c r="J297" s="14" t="s">
        <v>345</v>
      </c>
      <c r="K297" s="14" t="s">
        <v>248</v>
      </c>
      <c r="L297" s="14" t="s">
        <v>236</v>
      </c>
      <c r="M297" s="79">
        <f t="shared" si="30"/>
        <v>45622</v>
      </c>
      <c r="N297" s="14">
        <f t="shared" ca="1" si="32"/>
        <v>1</v>
      </c>
      <c r="O297" s="79">
        <v>45687</v>
      </c>
      <c r="Q297" s="14" t="s">
        <v>1168</v>
      </c>
      <c r="R297" s="14">
        <f>IF(A297="Closed",O297-D297,$A$2-D297)</f>
        <v>93</v>
      </c>
      <c r="S297" s="14">
        <f>IF(B297="DWPI Action",R297,0)</f>
        <v>0</v>
      </c>
      <c r="T297" s="14">
        <f>IF(A297="Closed",S297,0)</f>
        <v>0</v>
      </c>
      <c r="U297" s="14">
        <f>IF(A297="Open",S297,0)</f>
        <v>0</v>
      </c>
      <c r="V297" s="14">
        <f>IF(A297="Overdue",S297,0)</f>
        <v>0</v>
      </c>
      <c r="W297" s="112">
        <f>SUM(U297:V297)</f>
        <v>0</v>
      </c>
    </row>
    <row r="298" spans="1:23" ht="29" x14ac:dyDescent="0.35">
      <c r="A298" s="102" t="str">
        <f t="shared" si="31"/>
        <v>Closed</v>
      </c>
      <c r="B298" s="14" t="s">
        <v>99</v>
      </c>
      <c r="C298" s="14" t="s">
        <v>531</v>
      </c>
      <c r="D298" s="79">
        <v>45600</v>
      </c>
      <c r="E298" s="112">
        <v>2408</v>
      </c>
      <c r="G298" s="14" t="e">
        <f>VLOOKUP(F298,'Accident &amp; Incident Detail'!$D$3:$E$1154,2,FALSE)</f>
        <v>#N/A</v>
      </c>
      <c r="H298" s="14" t="s">
        <v>1169</v>
      </c>
      <c r="I298" s="14" t="s">
        <v>1170</v>
      </c>
      <c r="J298" s="14" t="s">
        <v>372</v>
      </c>
      <c r="K298" s="14" t="s">
        <v>222</v>
      </c>
      <c r="L298" s="14" t="s">
        <v>236</v>
      </c>
      <c r="M298" s="79">
        <f t="shared" si="30"/>
        <v>45628</v>
      </c>
      <c r="N298" s="14">
        <f t="shared" ca="1" si="32"/>
        <v>1</v>
      </c>
      <c r="O298" s="79">
        <v>45636</v>
      </c>
      <c r="Q298" s="14" t="s">
        <v>1171</v>
      </c>
    </row>
    <row r="299" spans="1:23" ht="29" x14ac:dyDescent="0.35">
      <c r="A299" s="102" t="str">
        <f t="shared" si="31"/>
        <v>Closed</v>
      </c>
      <c r="B299" s="14" t="s">
        <v>99</v>
      </c>
      <c r="C299" s="14" t="s">
        <v>531</v>
      </c>
      <c r="D299" s="79">
        <v>45600</v>
      </c>
      <c r="E299" s="112">
        <v>2408</v>
      </c>
      <c r="G299" s="14" t="e">
        <f>VLOOKUP(F299,'Accident &amp; Incident Detail'!$D$3:$E$1154,2,FALSE)</f>
        <v>#N/A</v>
      </c>
      <c r="H299" s="14" t="s">
        <v>1172</v>
      </c>
      <c r="I299" s="14" t="s">
        <v>1173</v>
      </c>
      <c r="J299" s="14" t="s">
        <v>372</v>
      </c>
      <c r="K299" s="14" t="s">
        <v>222</v>
      </c>
      <c r="L299" s="14" t="s">
        <v>236</v>
      </c>
      <c r="M299" s="79">
        <f t="shared" si="30"/>
        <v>45628</v>
      </c>
      <c r="N299" s="14">
        <f t="shared" ca="1" si="32"/>
        <v>1</v>
      </c>
      <c r="O299" s="79">
        <v>45636</v>
      </c>
      <c r="Q299" s="14" t="s">
        <v>1171</v>
      </c>
    </row>
    <row r="300" spans="1:23" ht="72.5" x14ac:dyDescent="0.35">
      <c r="A300" s="102" t="str">
        <f t="shared" si="31"/>
        <v>Closed</v>
      </c>
      <c r="B300" s="14" t="s">
        <v>99</v>
      </c>
      <c r="C300" s="14" t="s">
        <v>531</v>
      </c>
      <c r="D300" s="79">
        <v>45600</v>
      </c>
      <c r="E300" s="112">
        <v>2408</v>
      </c>
      <c r="G300" s="14" t="e">
        <f>VLOOKUP(F300,'Accident &amp; Incident Detail'!$D$3:$E$1154,2,FALSE)</f>
        <v>#N/A</v>
      </c>
      <c r="H300" s="14" t="s">
        <v>1174</v>
      </c>
      <c r="I300" s="14" t="s">
        <v>1175</v>
      </c>
      <c r="J300" s="14" t="s">
        <v>372</v>
      </c>
      <c r="K300" s="14" t="s">
        <v>222</v>
      </c>
      <c r="L300" s="14" t="s">
        <v>236</v>
      </c>
      <c r="M300" s="79">
        <f t="shared" si="30"/>
        <v>45628</v>
      </c>
      <c r="N300" s="14">
        <f t="shared" ca="1" si="32"/>
        <v>1</v>
      </c>
      <c r="O300" s="79">
        <v>46042</v>
      </c>
      <c r="Q300" s="14" t="s">
        <v>1176</v>
      </c>
    </row>
    <row r="301" spans="1:23" ht="29" x14ac:dyDescent="0.35">
      <c r="A301" s="102" t="str">
        <f t="shared" si="31"/>
        <v>Closed</v>
      </c>
      <c r="B301" s="14" t="s">
        <v>95</v>
      </c>
      <c r="C301" s="14" t="s">
        <v>135</v>
      </c>
      <c r="D301" s="79">
        <v>45600</v>
      </c>
      <c r="E301" s="112">
        <v>2408</v>
      </c>
      <c r="F301" s="14" t="s">
        <v>1177</v>
      </c>
      <c r="G301" s="14" t="str">
        <f>VLOOKUP(F301,'Accident &amp; Incident Detail'!$D$3:$E$1154,2,FALSE)</f>
        <v>Near Miss</v>
      </c>
      <c r="H301" s="14" t="s">
        <v>1178</v>
      </c>
      <c r="I301" s="14" t="s">
        <v>1179</v>
      </c>
      <c r="J301" s="14" t="s">
        <v>234</v>
      </c>
      <c r="K301" s="14" t="s">
        <v>258</v>
      </c>
      <c r="L301" s="14" t="s">
        <v>234</v>
      </c>
      <c r="M301" s="79">
        <f t="shared" si="30"/>
        <v>45628</v>
      </c>
      <c r="N301" s="14">
        <f t="shared" ca="1" si="32"/>
        <v>1</v>
      </c>
      <c r="O301" s="79">
        <v>45586</v>
      </c>
    </row>
    <row r="302" spans="1:23" ht="58" x14ac:dyDescent="0.35">
      <c r="A302" s="102" t="str">
        <f t="shared" si="31"/>
        <v>Closed</v>
      </c>
      <c r="B302" s="14" t="s">
        <v>95</v>
      </c>
      <c r="C302" s="14" t="s">
        <v>1180</v>
      </c>
      <c r="D302" s="79">
        <v>45601</v>
      </c>
      <c r="E302" s="14">
        <v>2409</v>
      </c>
      <c r="F302" s="14" t="s">
        <v>1181</v>
      </c>
      <c r="G302" s="14" t="str">
        <f>VLOOKUP(F302,'Accident &amp; Incident Detail'!$D$3:$E$1154,2,FALSE)</f>
        <v>STF other</v>
      </c>
      <c r="H302" s="14" t="s">
        <v>1182</v>
      </c>
      <c r="I302" s="14" t="s">
        <v>1183</v>
      </c>
      <c r="J302" s="14" t="s">
        <v>372</v>
      </c>
      <c r="K302" s="14" t="s">
        <v>222</v>
      </c>
      <c r="L302" s="14" t="s">
        <v>236</v>
      </c>
      <c r="M302" s="79">
        <f t="shared" si="30"/>
        <v>45629</v>
      </c>
      <c r="N302" s="14">
        <f t="shared" ca="1" si="32"/>
        <v>1</v>
      </c>
      <c r="O302" s="79">
        <v>45665</v>
      </c>
      <c r="Q302" s="14" t="s">
        <v>602</v>
      </c>
    </row>
    <row r="303" spans="1:23" ht="29" x14ac:dyDescent="0.35">
      <c r="A303" s="102" t="str">
        <f t="shared" si="31"/>
        <v>Closed</v>
      </c>
      <c r="B303" s="14" t="s">
        <v>95</v>
      </c>
      <c r="C303" s="14" t="s">
        <v>1180</v>
      </c>
      <c r="D303" s="79">
        <v>45601</v>
      </c>
      <c r="E303" s="14">
        <v>2409</v>
      </c>
      <c r="F303" s="14" t="s">
        <v>1181</v>
      </c>
      <c r="G303" s="14" t="str">
        <f>VLOOKUP(F303,'Accident &amp; Incident Detail'!$D$3:$E$1154,2,FALSE)</f>
        <v>STF other</v>
      </c>
      <c r="H303" s="14" t="s">
        <v>1184</v>
      </c>
      <c r="I303" s="14" t="s">
        <v>1185</v>
      </c>
      <c r="J303" s="14" t="s">
        <v>372</v>
      </c>
      <c r="K303" s="14" t="s">
        <v>222</v>
      </c>
      <c r="L303" s="14" t="s">
        <v>236</v>
      </c>
      <c r="M303" s="79">
        <f t="shared" si="30"/>
        <v>45629</v>
      </c>
      <c r="N303" s="14">
        <f t="shared" ca="1" si="32"/>
        <v>1</v>
      </c>
      <c r="O303" s="79">
        <v>45902</v>
      </c>
      <c r="Q303" s="14" t="s">
        <v>1186</v>
      </c>
    </row>
    <row r="304" spans="1:23" ht="43.5" x14ac:dyDescent="0.35">
      <c r="A304" s="102" t="str">
        <f t="shared" si="31"/>
        <v>Closed</v>
      </c>
      <c r="B304" s="14" t="s">
        <v>95</v>
      </c>
      <c r="C304" s="14" t="s">
        <v>1180</v>
      </c>
      <c r="D304" s="79">
        <v>45601</v>
      </c>
      <c r="E304" s="14">
        <v>2409</v>
      </c>
      <c r="F304" s="14" t="s">
        <v>1181</v>
      </c>
      <c r="G304" s="14" t="str">
        <f>VLOOKUP(F304,'Accident &amp; Incident Detail'!$D$3:$E$1154,2,FALSE)</f>
        <v>STF other</v>
      </c>
      <c r="H304" s="14" t="s">
        <v>1187</v>
      </c>
      <c r="I304" s="14" t="s">
        <v>1188</v>
      </c>
      <c r="J304" s="14" t="s">
        <v>372</v>
      </c>
      <c r="K304" s="14" t="s">
        <v>222</v>
      </c>
      <c r="L304" s="14" t="s">
        <v>236</v>
      </c>
      <c r="M304" s="79">
        <f t="shared" si="30"/>
        <v>45629</v>
      </c>
      <c r="N304" s="14">
        <f t="shared" ca="1" si="32"/>
        <v>1</v>
      </c>
      <c r="O304" s="79">
        <v>45775</v>
      </c>
      <c r="Q304" s="14" t="s">
        <v>1189</v>
      </c>
    </row>
    <row r="305" spans="1:23" ht="29" x14ac:dyDescent="0.35">
      <c r="A305" s="102" t="str">
        <f t="shared" si="31"/>
        <v>Closed</v>
      </c>
      <c r="B305" s="14" t="s">
        <v>95</v>
      </c>
      <c r="C305" s="14" t="s">
        <v>1180</v>
      </c>
      <c r="D305" s="79">
        <v>45601</v>
      </c>
      <c r="E305" s="14">
        <v>2409</v>
      </c>
      <c r="F305" s="14" t="s">
        <v>1181</v>
      </c>
      <c r="G305" s="14" t="str">
        <f>VLOOKUP(F305,'Accident &amp; Incident Detail'!$D$3:$E$1154,2,FALSE)</f>
        <v>STF other</v>
      </c>
      <c r="H305" s="14" t="s">
        <v>1190</v>
      </c>
      <c r="I305" s="14" t="s">
        <v>1191</v>
      </c>
      <c r="J305" s="14" t="s">
        <v>372</v>
      </c>
      <c r="K305" s="14" t="s">
        <v>222</v>
      </c>
      <c r="L305" s="14" t="s">
        <v>236</v>
      </c>
      <c r="M305" s="79">
        <f t="shared" si="30"/>
        <v>45629</v>
      </c>
      <c r="N305" s="14">
        <f t="shared" ca="1" si="32"/>
        <v>1</v>
      </c>
      <c r="O305" s="79">
        <v>45902</v>
      </c>
      <c r="Q305" s="14" t="s">
        <v>1186</v>
      </c>
    </row>
    <row r="306" spans="1:23" ht="87" x14ac:dyDescent="0.35">
      <c r="A306" s="102" t="str">
        <f t="shared" si="31"/>
        <v>Closed</v>
      </c>
      <c r="B306" s="14" t="s">
        <v>94</v>
      </c>
      <c r="C306" s="14" t="s">
        <v>648</v>
      </c>
      <c r="D306" s="79">
        <v>45611</v>
      </c>
      <c r="E306" s="14">
        <v>2409</v>
      </c>
      <c r="G306" s="14" t="e">
        <f>VLOOKUP(F306,'Accident &amp; Incident Detail'!$D$3:$E$1154,2,FALSE)</f>
        <v>#N/A</v>
      </c>
      <c r="H306" s="14" t="s">
        <v>1192</v>
      </c>
      <c r="I306" s="14" t="s">
        <v>1193</v>
      </c>
      <c r="J306" s="14" t="s">
        <v>345</v>
      </c>
      <c r="K306" s="14" t="s">
        <v>248</v>
      </c>
      <c r="L306" s="14" t="s">
        <v>236</v>
      </c>
      <c r="M306" s="79">
        <f t="shared" si="30"/>
        <v>45639</v>
      </c>
      <c r="N306" s="14">
        <f t="shared" ca="1" si="32"/>
        <v>1</v>
      </c>
      <c r="O306" s="79">
        <v>45615</v>
      </c>
      <c r="Q306" s="14" t="s">
        <v>1194</v>
      </c>
    </row>
    <row r="307" spans="1:23" ht="29" x14ac:dyDescent="0.35">
      <c r="A307" s="102" t="str">
        <f t="shared" si="31"/>
        <v>Closed</v>
      </c>
      <c r="B307" s="14" t="s">
        <v>91</v>
      </c>
      <c r="D307" s="79">
        <v>45616</v>
      </c>
      <c r="E307" s="112">
        <v>2409</v>
      </c>
      <c r="G307" s="14" t="e">
        <f>VLOOKUP(F307,'Accident &amp; Incident Detail'!$D$3:$E$1154,2,FALSE)</f>
        <v>#N/A</v>
      </c>
      <c r="H307" s="14" t="s">
        <v>1195</v>
      </c>
      <c r="I307" s="14" t="s">
        <v>1196</v>
      </c>
      <c r="J307" s="14" t="s">
        <v>328</v>
      </c>
      <c r="K307" s="14" t="s">
        <v>430</v>
      </c>
      <c r="L307" s="14" t="s">
        <v>236</v>
      </c>
      <c r="M307" s="79">
        <f t="shared" si="30"/>
        <v>45644</v>
      </c>
      <c r="N307" s="14">
        <f t="shared" ca="1" si="32"/>
        <v>1</v>
      </c>
      <c r="O307" s="79">
        <v>45712</v>
      </c>
      <c r="Q307" s="14" t="s">
        <v>917</v>
      </c>
      <c r="R307" s="14">
        <f>IF(A307="Closed",O307-D307,$A$2-D307)</f>
        <v>96</v>
      </c>
      <c r="S307" s="14">
        <f>IF(B307="DWPI Action",R307,0)</f>
        <v>0</v>
      </c>
      <c r="T307" s="14">
        <f>IF(A307="Closed",S307,0)</f>
        <v>0</v>
      </c>
      <c r="U307" s="14">
        <f>IF(A307="Open",S307,0)</f>
        <v>0</v>
      </c>
      <c r="V307" s="14">
        <f>IF(A307="Overdue",S307,0)</f>
        <v>0</v>
      </c>
      <c r="W307" s="112">
        <f>SUM(U307:V307)</f>
        <v>0</v>
      </c>
    </row>
    <row r="308" spans="1:23" ht="29" x14ac:dyDescent="0.35">
      <c r="A308" s="102" t="str">
        <f t="shared" si="31"/>
        <v>Closed</v>
      </c>
      <c r="B308" s="14" t="s">
        <v>91</v>
      </c>
      <c r="D308" s="79">
        <v>45616</v>
      </c>
      <c r="E308" s="112">
        <v>2409</v>
      </c>
      <c r="G308" s="14" t="e">
        <f>VLOOKUP(F308,'Accident &amp; Incident Detail'!$D$3:$E$1154,2,FALSE)</f>
        <v>#N/A</v>
      </c>
      <c r="H308" s="14" t="s">
        <v>1197</v>
      </c>
      <c r="I308" s="14" t="s">
        <v>1198</v>
      </c>
      <c r="J308" s="14" t="s">
        <v>241</v>
      </c>
      <c r="K308" s="14" t="s">
        <v>239</v>
      </c>
      <c r="L308" s="14" t="s">
        <v>241</v>
      </c>
      <c r="M308" s="79">
        <f t="shared" si="30"/>
        <v>45644</v>
      </c>
      <c r="N308" s="14">
        <f t="shared" ca="1" si="32"/>
        <v>1</v>
      </c>
      <c r="O308" s="79">
        <v>45637</v>
      </c>
      <c r="Q308" s="14" t="s">
        <v>1199</v>
      </c>
      <c r="R308" s="14">
        <f>IF(A308="Closed",O308-D308,$A$2-D308)</f>
        <v>21</v>
      </c>
      <c r="S308" s="14">
        <f>IF(B308="DWPI Action",R308,0)</f>
        <v>0</v>
      </c>
      <c r="T308" s="14">
        <f>IF(A308="Closed",S308,0)</f>
        <v>0</v>
      </c>
      <c r="U308" s="14">
        <f>IF(A308="Open",S308,0)</f>
        <v>0</v>
      </c>
      <c r="V308" s="14">
        <f>IF(A308="Overdue",S308,0)</f>
        <v>0</v>
      </c>
      <c r="W308" s="112">
        <f>SUM(U308:V308)</f>
        <v>0</v>
      </c>
    </row>
    <row r="309" spans="1:23" ht="29" x14ac:dyDescent="0.35">
      <c r="A309" s="102" t="str">
        <f t="shared" si="31"/>
        <v>Closed</v>
      </c>
      <c r="B309" s="14" t="s">
        <v>91</v>
      </c>
      <c r="D309" s="79">
        <v>45616</v>
      </c>
      <c r="E309" s="112">
        <v>2409</v>
      </c>
      <c r="G309" s="14" t="e">
        <f>VLOOKUP(F309,'Accident &amp; Incident Detail'!$D$3:$E$1154,2,FALSE)</f>
        <v>#N/A</v>
      </c>
      <c r="H309" s="14" t="s">
        <v>1200</v>
      </c>
      <c r="I309" s="14" t="s">
        <v>1201</v>
      </c>
      <c r="J309" s="14" t="s">
        <v>345</v>
      </c>
      <c r="K309" s="14" t="s">
        <v>248</v>
      </c>
      <c r="L309" s="14" t="s">
        <v>236</v>
      </c>
      <c r="M309" s="79">
        <f t="shared" si="30"/>
        <v>45644</v>
      </c>
      <c r="N309" s="14">
        <f t="shared" ca="1" si="32"/>
        <v>1</v>
      </c>
      <c r="O309" s="79">
        <v>45687</v>
      </c>
      <c r="Q309" s="14" t="s">
        <v>1202</v>
      </c>
      <c r="R309" s="14">
        <f>IF(A309="Closed",O309-D309,$A$2-D309)</f>
        <v>71</v>
      </c>
      <c r="S309" s="14">
        <f>IF(B309="DWPI Action",R309,0)</f>
        <v>0</v>
      </c>
      <c r="T309" s="14">
        <f>IF(A309="Closed",S309,0)</f>
        <v>0</v>
      </c>
      <c r="U309" s="14">
        <f>IF(A309="Open",S309,0)</f>
        <v>0</v>
      </c>
      <c r="V309" s="14">
        <f>IF(A309="Overdue",S309,0)</f>
        <v>0</v>
      </c>
      <c r="W309" s="112">
        <f>SUM(U309:V309)</f>
        <v>0</v>
      </c>
    </row>
    <row r="310" spans="1:23" ht="101.5" x14ac:dyDescent="0.35">
      <c r="A310" s="102" t="str">
        <f t="shared" si="31"/>
        <v>Closed</v>
      </c>
      <c r="B310" s="14" t="s">
        <v>91</v>
      </c>
      <c r="D310" s="79">
        <v>45617</v>
      </c>
      <c r="E310" s="112">
        <v>2409</v>
      </c>
      <c r="G310" s="14" t="e">
        <f>VLOOKUP(F310,'Accident &amp; Incident Detail'!$D$3:$E$1154,2,FALSE)</f>
        <v>#N/A</v>
      </c>
      <c r="H310" s="14" t="s">
        <v>1203</v>
      </c>
      <c r="I310" s="30" t="s">
        <v>1204</v>
      </c>
      <c r="J310" s="14" t="s">
        <v>241</v>
      </c>
      <c r="K310" s="14" t="s">
        <v>240</v>
      </c>
      <c r="L310" s="14" t="s">
        <v>241</v>
      </c>
      <c r="M310" s="79">
        <f t="shared" si="30"/>
        <v>45645</v>
      </c>
      <c r="N310" s="14">
        <f t="shared" ca="1" si="32"/>
        <v>1</v>
      </c>
      <c r="O310" s="79">
        <v>45617</v>
      </c>
      <c r="Q310" s="14" t="s">
        <v>1205</v>
      </c>
      <c r="R310" s="14">
        <f>IF(A310="Closed",O310-D310,$A$2-D310)</f>
        <v>0</v>
      </c>
      <c r="S310" s="14">
        <f>IF(B310="DWPI Action",R310,0)</f>
        <v>0</v>
      </c>
      <c r="T310" s="14">
        <f>IF(A310="Closed",S310,0)</f>
        <v>0</v>
      </c>
      <c r="U310" s="14">
        <f>IF(A310="Open",S310,0)</f>
        <v>0</v>
      </c>
      <c r="V310" s="14">
        <f>IF(A310="Overdue",S310,0)</f>
        <v>0</v>
      </c>
      <c r="W310" s="112">
        <f>SUM(U310:V310)</f>
        <v>0</v>
      </c>
    </row>
    <row r="311" spans="1:23" ht="43.5" x14ac:dyDescent="0.35">
      <c r="A311" s="102" t="str">
        <f t="shared" si="31"/>
        <v>Closed</v>
      </c>
      <c r="B311" s="14" t="s">
        <v>95</v>
      </c>
      <c r="C311" s="14" t="s">
        <v>168</v>
      </c>
      <c r="D311" s="79">
        <v>45620</v>
      </c>
      <c r="E311" s="14">
        <v>2409</v>
      </c>
      <c r="F311" s="14" t="s">
        <v>1206</v>
      </c>
      <c r="G311" s="14" t="str">
        <f>VLOOKUP(F311,'Accident &amp; Incident Detail'!$D$3:$E$1154,2,FALSE)</f>
        <v>Minor - RTC</v>
      </c>
      <c r="H311" s="14" t="s">
        <v>1207</v>
      </c>
      <c r="I311" s="14" t="s">
        <v>1208</v>
      </c>
      <c r="J311" s="14" t="s">
        <v>234</v>
      </c>
      <c r="K311" s="14" t="s">
        <v>227</v>
      </c>
      <c r="L311" s="14" t="s">
        <v>234</v>
      </c>
      <c r="M311" s="79">
        <f t="shared" si="30"/>
        <v>45648</v>
      </c>
      <c r="N311" s="14">
        <f t="shared" ca="1" si="32"/>
        <v>1</v>
      </c>
      <c r="O311" s="79">
        <v>45621</v>
      </c>
    </row>
    <row r="312" spans="1:23" ht="29" x14ac:dyDescent="0.35">
      <c r="A312" s="102" t="str">
        <f t="shared" si="31"/>
        <v>Closed</v>
      </c>
      <c r="B312" s="14" t="s">
        <v>95</v>
      </c>
      <c r="C312" s="14" t="s">
        <v>1209</v>
      </c>
      <c r="D312" s="79">
        <v>45624</v>
      </c>
      <c r="E312" s="14">
        <v>2409</v>
      </c>
      <c r="F312" s="14" t="s">
        <v>1210</v>
      </c>
      <c r="G312" s="14" t="str">
        <f>VLOOKUP(F312,'Accident &amp; Incident Detail'!$D$3:$E$1154,2,FALSE)</f>
        <v>Incorrect VIS</v>
      </c>
      <c r="H312" s="14" t="s">
        <v>1211</v>
      </c>
      <c r="I312" s="14" t="s">
        <v>1212</v>
      </c>
      <c r="J312" s="14" t="s">
        <v>234</v>
      </c>
      <c r="K312" s="14" t="s">
        <v>264</v>
      </c>
      <c r="L312" s="14" t="s">
        <v>234</v>
      </c>
      <c r="M312" s="79">
        <f t="shared" si="30"/>
        <v>45652</v>
      </c>
      <c r="N312" s="14">
        <f t="shared" ca="1" si="32"/>
        <v>1</v>
      </c>
      <c r="O312" s="79">
        <v>45624</v>
      </c>
    </row>
    <row r="313" spans="1:23" ht="77.5" x14ac:dyDescent="0.35">
      <c r="A313" s="102" t="str">
        <f t="shared" si="31"/>
        <v>Closed</v>
      </c>
      <c r="B313" s="14" t="s">
        <v>93</v>
      </c>
      <c r="D313" s="79">
        <v>45630</v>
      </c>
      <c r="E313" s="112">
        <v>2410</v>
      </c>
      <c r="G313" s="14" t="e">
        <f>VLOOKUP(F313,'Accident &amp; Incident Detail'!$D$3:$E$1154,2,FALSE)</f>
        <v>#N/A</v>
      </c>
      <c r="H313" s="14" t="s">
        <v>1213</v>
      </c>
      <c r="I313" s="344" t="s">
        <v>1214</v>
      </c>
      <c r="J313" s="14" t="s">
        <v>372</v>
      </c>
      <c r="K313" s="14" t="s">
        <v>222</v>
      </c>
      <c r="L313" s="14" t="s">
        <v>236</v>
      </c>
      <c r="M313" s="79">
        <f t="shared" si="30"/>
        <v>45658</v>
      </c>
      <c r="N313" s="14">
        <f t="shared" ca="1" si="32"/>
        <v>1</v>
      </c>
      <c r="O313" s="79">
        <v>46043</v>
      </c>
      <c r="Q313" s="14" t="s">
        <v>1215</v>
      </c>
    </row>
    <row r="314" spans="1:23" ht="101.5" x14ac:dyDescent="0.35">
      <c r="A314" s="102" t="str">
        <f t="shared" si="31"/>
        <v>Closed</v>
      </c>
      <c r="B314" s="14" t="s">
        <v>91</v>
      </c>
      <c r="C314" s="14" t="s">
        <v>922</v>
      </c>
      <c r="D314" s="79">
        <v>45637</v>
      </c>
      <c r="E314" s="112">
        <v>2409</v>
      </c>
      <c r="G314" s="14" t="e">
        <f>VLOOKUP(F314,'Accident &amp; Incident Detail'!$D$3:$E$1154,2,FALSE)</f>
        <v>#N/A</v>
      </c>
      <c r="H314" s="14" t="s">
        <v>1216</v>
      </c>
      <c r="I314" s="14" t="s">
        <v>1217</v>
      </c>
      <c r="J314" s="14" t="s">
        <v>241</v>
      </c>
      <c r="K314" s="14" t="s">
        <v>239</v>
      </c>
      <c r="L314" s="14" t="s">
        <v>241</v>
      </c>
      <c r="M314" s="79">
        <f t="shared" si="30"/>
        <v>45665</v>
      </c>
      <c r="N314" s="14">
        <f t="shared" ca="1" si="32"/>
        <v>1</v>
      </c>
      <c r="O314" s="79">
        <v>45713</v>
      </c>
      <c r="R314" s="14">
        <f>IF(A314="Closed",O314-D314,$A$2-D314)</f>
        <v>76</v>
      </c>
      <c r="S314" s="14">
        <f>IF(B314="DWPI Action",R314,0)</f>
        <v>0</v>
      </c>
      <c r="T314" s="14">
        <f>IF(A314="Closed",S314,0)</f>
        <v>0</v>
      </c>
      <c r="U314" s="14">
        <f>IF(A314="Open",S314,0)</f>
        <v>0</v>
      </c>
      <c r="V314" s="14">
        <f>IF(A314="Overdue",S314,0)</f>
        <v>0</v>
      </c>
      <c r="W314" s="112">
        <f>SUM(U314:V314)</f>
        <v>0</v>
      </c>
    </row>
    <row r="315" spans="1:23" ht="58" x14ac:dyDescent="0.35">
      <c r="A315" s="102" t="str">
        <f t="shared" si="31"/>
        <v>Closed</v>
      </c>
      <c r="B315" s="14" t="s">
        <v>95</v>
      </c>
      <c r="C315" s="14" t="s">
        <v>138</v>
      </c>
      <c r="D315" s="79">
        <v>45638</v>
      </c>
      <c r="E315" s="112">
        <v>2410</v>
      </c>
      <c r="F315" s="14" t="s">
        <v>1218</v>
      </c>
      <c r="G315" s="14" t="str">
        <f>VLOOKUP(F315,'Accident &amp; Incident Detail'!$D$3:$E$1154,2,FALSE)</f>
        <v>STF other</v>
      </c>
      <c r="H315" s="14" t="s">
        <v>1219</v>
      </c>
      <c r="I315" s="14" t="s">
        <v>1220</v>
      </c>
      <c r="J315" s="14" t="s">
        <v>234</v>
      </c>
      <c r="K315" s="14" t="s">
        <v>240</v>
      </c>
      <c r="L315" s="14" t="s">
        <v>234</v>
      </c>
      <c r="M315" s="79">
        <f t="shared" si="30"/>
        <v>45666</v>
      </c>
      <c r="N315" s="14">
        <f t="shared" ca="1" si="32"/>
        <v>1</v>
      </c>
      <c r="O315" s="79">
        <v>45646</v>
      </c>
      <c r="Q315" s="14" t="s">
        <v>602</v>
      </c>
    </row>
    <row r="316" spans="1:23" ht="29" x14ac:dyDescent="0.35">
      <c r="A316" s="102" t="str">
        <f t="shared" si="31"/>
        <v>Closed</v>
      </c>
      <c r="B316" s="14" t="s">
        <v>95</v>
      </c>
      <c r="C316" s="14" t="s">
        <v>175</v>
      </c>
      <c r="D316" s="79">
        <v>45639</v>
      </c>
      <c r="E316" s="112">
        <v>2410</v>
      </c>
      <c r="G316" s="14" t="e">
        <f>VLOOKUP(F316,'Accident &amp; Incident Detail'!$D$3:$E$1154,2,FALSE)</f>
        <v>#N/A</v>
      </c>
      <c r="H316" s="14" t="s">
        <v>1221</v>
      </c>
      <c r="I316" s="14" t="s">
        <v>1222</v>
      </c>
      <c r="J316" s="14" t="s">
        <v>401</v>
      </c>
      <c r="K316" s="14" t="s">
        <v>255</v>
      </c>
      <c r="L316" s="14" t="s">
        <v>234</v>
      </c>
      <c r="M316" s="79">
        <f t="shared" si="30"/>
        <v>45667</v>
      </c>
      <c r="N316" s="14">
        <f t="shared" ca="1" si="32"/>
        <v>1</v>
      </c>
      <c r="O316" s="79">
        <v>45631</v>
      </c>
    </row>
    <row r="317" spans="1:23" ht="43.5" x14ac:dyDescent="0.35">
      <c r="A317" s="102" t="str">
        <f t="shared" si="31"/>
        <v>Closed</v>
      </c>
      <c r="B317" s="14" t="s">
        <v>95</v>
      </c>
      <c r="C317" s="14" t="s">
        <v>175</v>
      </c>
      <c r="D317" s="79">
        <v>45639</v>
      </c>
      <c r="E317" s="112">
        <v>2410</v>
      </c>
      <c r="G317" s="14" t="e">
        <f>VLOOKUP(F317,'Accident &amp; Incident Detail'!$D$3:$E$1154,2,FALSE)</f>
        <v>#N/A</v>
      </c>
      <c r="H317" s="14" t="s">
        <v>1223</v>
      </c>
      <c r="I317" s="14" t="s">
        <v>1224</v>
      </c>
      <c r="J317" s="14" t="s">
        <v>401</v>
      </c>
      <c r="K317" s="14" t="s">
        <v>260</v>
      </c>
      <c r="L317" s="14" t="s">
        <v>234</v>
      </c>
      <c r="M317" s="79">
        <f t="shared" si="30"/>
        <v>45667</v>
      </c>
      <c r="N317" s="14">
        <f t="shared" ca="1" si="32"/>
        <v>1</v>
      </c>
      <c r="O317" s="79">
        <v>45673</v>
      </c>
    </row>
    <row r="318" spans="1:23" ht="43.5" x14ac:dyDescent="0.35">
      <c r="A318" s="102" t="str">
        <f t="shared" si="31"/>
        <v>Closed</v>
      </c>
      <c r="B318" s="14" t="s">
        <v>91</v>
      </c>
      <c r="C318" s="14" t="s">
        <v>325</v>
      </c>
      <c r="D318" s="79">
        <v>45642</v>
      </c>
      <c r="E318" s="112">
        <v>2410</v>
      </c>
      <c r="G318" s="14" t="e">
        <f>VLOOKUP(F318,'Accident &amp; Incident Detail'!$D$3:$E$1154,2,FALSE)</f>
        <v>#N/A</v>
      </c>
      <c r="H318" s="14" t="s">
        <v>1225</v>
      </c>
      <c r="I318" s="14" t="s">
        <v>1226</v>
      </c>
      <c r="J318" s="14" t="s">
        <v>874</v>
      </c>
      <c r="K318" s="14" t="s">
        <v>225</v>
      </c>
      <c r="L318" s="14" t="s">
        <v>238</v>
      </c>
      <c r="M318" s="79">
        <v>45671</v>
      </c>
      <c r="N318" s="14">
        <f t="shared" ca="1" si="32"/>
        <v>1</v>
      </c>
      <c r="O318" s="79">
        <v>45902</v>
      </c>
      <c r="Q318" s="14" t="s">
        <v>1227</v>
      </c>
      <c r="R318" s="14">
        <f>IF(A318="Closed",O318-D318,$A$2-D318)</f>
        <v>260</v>
      </c>
      <c r="S318" s="14">
        <f>IF(B318="DWPI Action",R318,0)</f>
        <v>0</v>
      </c>
      <c r="T318" s="14">
        <f>IF(A318="Closed",S318,0)</f>
        <v>0</v>
      </c>
      <c r="U318" s="14">
        <f>IF(A318="Open",S318,0)</f>
        <v>0</v>
      </c>
      <c r="V318" s="14">
        <f>IF(A318="Overdue",S318,0)</f>
        <v>0</v>
      </c>
      <c r="W318" s="112">
        <f>SUM(U318:V318)</f>
        <v>0</v>
      </c>
    </row>
    <row r="319" spans="1:23" ht="58" x14ac:dyDescent="0.35">
      <c r="A319" s="102" t="str">
        <f t="shared" si="31"/>
        <v/>
      </c>
      <c r="B319" s="14" t="s">
        <v>241</v>
      </c>
      <c r="C319" s="14" t="s">
        <v>531</v>
      </c>
      <c r="D319" s="79">
        <v>45642</v>
      </c>
      <c r="E319" s="112">
        <v>2410</v>
      </c>
      <c r="G319" s="14" t="e">
        <f>VLOOKUP(F319,'Accident &amp; Incident Detail'!$D$3:$E$1154,2,FALSE)</f>
        <v>#N/A</v>
      </c>
      <c r="H319" s="14" t="s">
        <v>1228</v>
      </c>
      <c r="I319" s="14" t="s">
        <v>1229</v>
      </c>
      <c r="J319" s="14" t="s">
        <v>328</v>
      </c>
      <c r="K319" s="14" t="s">
        <v>430</v>
      </c>
      <c r="L319" s="14" t="s">
        <v>236</v>
      </c>
      <c r="M319" s="79">
        <f t="shared" ref="M319:M339" si="33">IF(D319="","",D319+28)</f>
        <v>45670</v>
      </c>
      <c r="N319" s="14">
        <v>3</v>
      </c>
    </row>
    <row r="320" spans="1:23" ht="29" x14ac:dyDescent="0.35">
      <c r="A320" s="102" t="str">
        <f t="shared" ca="1" si="31"/>
        <v>Overdue</v>
      </c>
      <c r="B320" s="14" t="s">
        <v>241</v>
      </c>
      <c r="C320" s="14" t="s">
        <v>531</v>
      </c>
      <c r="D320" s="79">
        <v>45642</v>
      </c>
      <c r="E320" s="112">
        <v>2410</v>
      </c>
      <c r="G320" s="14" t="e">
        <f>VLOOKUP(F320,'Accident &amp; Incident Detail'!$D$3:$E$1154,2,FALSE)</f>
        <v>#N/A</v>
      </c>
      <c r="H320" s="14" t="s">
        <v>1230</v>
      </c>
      <c r="I320" s="14" t="s">
        <v>1231</v>
      </c>
      <c r="J320" s="14" t="s">
        <v>345</v>
      </c>
      <c r="K320" s="14" t="s">
        <v>248</v>
      </c>
      <c r="L320" s="14" t="s">
        <v>236</v>
      </c>
      <c r="M320" s="79">
        <f t="shared" si="33"/>
        <v>45670</v>
      </c>
      <c r="N320" s="14">
        <f t="shared" ref="N320:N350" ca="1" si="34">IF(D320="",3,IF(M320&lt;$A$2,1,0))</f>
        <v>1</v>
      </c>
      <c r="Q320" s="14" t="s">
        <v>1154</v>
      </c>
    </row>
    <row r="321" spans="1:49" ht="116" x14ac:dyDescent="0.35">
      <c r="A321" s="102" t="str">
        <f t="shared" si="31"/>
        <v>Closed</v>
      </c>
      <c r="B321" s="14" t="s">
        <v>241</v>
      </c>
      <c r="C321" s="14" t="s">
        <v>531</v>
      </c>
      <c r="D321" s="79">
        <v>45642</v>
      </c>
      <c r="E321" s="112">
        <v>2410</v>
      </c>
      <c r="G321" s="14" t="e">
        <f>VLOOKUP(F321,'Accident &amp; Incident Detail'!$D$3:$E$1154,2,FALSE)</f>
        <v>#N/A</v>
      </c>
      <c r="H321" s="14" t="s">
        <v>1232</v>
      </c>
      <c r="I321" s="14" t="s">
        <v>1233</v>
      </c>
      <c r="J321" s="14" t="s">
        <v>401</v>
      </c>
      <c r="K321" s="14" t="s">
        <v>1234</v>
      </c>
      <c r="L321" s="14" t="s">
        <v>234</v>
      </c>
      <c r="M321" s="79">
        <f t="shared" si="33"/>
        <v>45670</v>
      </c>
      <c r="N321" s="14">
        <f t="shared" ca="1" si="34"/>
        <v>1</v>
      </c>
      <c r="O321" s="79">
        <v>45737</v>
      </c>
      <c r="Q321" s="101" t="s">
        <v>1235</v>
      </c>
    </row>
    <row r="322" spans="1:49" ht="62" x14ac:dyDescent="0.35">
      <c r="A322" s="102" t="str">
        <f t="shared" si="31"/>
        <v>Closed</v>
      </c>
      <c r="B322" s="14" t="s">
        <v>241</v>
      </c>
      <c r="C322" s="14" t="s">
        <v>531</v>
      </c>
      <c r="D322" s="79">
        <v>45642</v>
      </c>
      <c r="E322" s="112">
        <v>2410</v>
      </c>
      <c r="G322" s="14" t="e">
        <f>VLOOKUP(F322,'Accident &amp; Incident Detail'!$D$3:$E$1154,2,FALSE)</f>
        <v>#N/A</v>
      </c>
      <c r="H322" s="14" t="s">
        <v>1236</v>
      </c>
      <c r="I322" s="345" t="s">
        <v>1237</v>
      </c>
      <c r="J322" s="14" t="s">
        <v>372</v>
      </c>
      <c r="K322" s="14" t="s">
        <v>222</v>
      </c>
      <c r="L322" s="14" t="s">
        <v>236</v>
      </c>
      <c r="M322" s="79">
        <f t="shared" si="33"/>
        <v>45670</v>
      </c>
      <c r="N322" s="14">
        <f t="shared" ca="1" si="34"/>
        <v>1</v>
      </c>
      <c r="O322" s="79">
        <v>45902</v>
      </c>
      <c r="Q322" s="14" t="s">
        <v>342</v>
      </c>
    </row>
    <row r="323" spans="1:49" ht="145" x14ac:dyDescent="0.35">
      <c r="A323" s="102" t="str">
        <f t="shared" ca="1" si="31"/>
        <v>Open</v>
      </c>
      <c r="B323" s="14" t="s">
        <v>91</v>
      </c>
      <c r="C323" s="14" t="s">
        <v>531</v>
      </c>
      <c r="D323" s="79">
        <v>45643</v>
      </c>
      <c r="E323" s="14">
        <v>2410</v>
      </c>
      <c r="G323" s="14" t="e">
        <f>VLOOKUP(F323,'Accident &amp; Incident Detail'!$D$3:$E$1154,2,FALSE)</f>
        <v>#N/A</v>
      </c>
      <c r="H323" s="14" t="s">
        <v>1238</v>
      </c>
      <c r="I323" s="14" t="s">
        <v>1239</v>
      </c>
      <c r="J323" s="14" t="s">
        <v>236</v>
      </c>
      <c r="K323" s="14" t="s">
        <v>244</v>
      </c>
      <c r="L323" s="14" t="s">
        <v>236</v>
      </c>
      <c r="M323" s="79">
        <v>46066</v>
      </c>
      <c r="N323" s="14">
        <f t="shared" ca="1" si="34"/>
        <v>0</v>
      </c>
      <c r="Q323" s="14" t="s">
        <v>1240</v>
      </c>
      <c r="R323" s="14">
        <f ca="1">IF(A323="Closed",O323-D323,$A$2-D323)</f>
        <v>414</v>
      </c>
      <c r="S323" s="14">
        <f>IF(B323="DWPI Action",R323,0)</f>
        <v>0</v>
      </c>
      <c r="T323" s="14">
        <f ca="1">IF(A323="Closed",S323,0)</f>
        <v>0</v>
      </c>
      <c r="U323" s="14">
        <f ca="1">IF(A323="Open",S323,0)</f>
        <v>0</v>
      </c>
      <c r="V323" s="14">
        <f ca="1">IF(A323="Overdue",S323,0)</f>
        <v>0</v>
      </c>
      <c r="W323" s="112">
        <f ca="1">SUM(U323:V323)</f>
        <v>0</v>
      </c>
    </row>
    <row r="324" spans="1:49" ht="29" x14ac:dyDescent="0.35">
      <c r="A324" s="102" t="str">
        <f t="shared" si="31"/>
        <v>Closed</v>
      </c>
      <c r="B324" s="14" t="s">
        <v>95</v>
      </c>
      <c r="C324" s="14" t="s">
        <v>138</v>
      </c>
      <c r="D324" s="79">
        <v>45645</v>
      </c>
      <c r="E324" s="14">
        <v>2309</v>
      </c>
      <c r="F324" s="14" t="s">
        <v>1241</v>
      </c>
      <c r="G324" s="14" t="e">
        <f>VLOOKUP(F324,'Accident &amp; Incident Detail'!$D$3:$E$1154,2,FALSE)</f>
        <v>#N/A</v>
      </c>
      <c r="H324" s="14" t="s">
        <v>1242</v>
      </c>
      <c r="I324" s="14" t="s">
        <v>1243</v>
      </c>
      <c r="J324" s="14" t="s">
        <v>234</v>
      </c>
      <c r="K324" s="14" t="s">
        <v>210</v>
      </c>
      <c r="L324" s="14" t="s">
        <v>234</v>
      </c>
      <c r="M324" s="79">
        <f t="shared" si="33"/>
        <v>45673</v>
      </c>
      <c r="N324" s="14">
        <f t="shared" ca="1" si="34"/>
        <v>1</v>
      </c>
      <c r="O324" s="79">
        <v>44945</v>
      </c>
    </row>
    <row r="325" spans="1:49" ht="188.5" x14ac:dyDescent="0.35">
      <c r="A325" s="102" t="str">
        <f t="shared" ca="1" si="31"/>
        <v>Open</v>
      </c>
      <c r="B325" s="14" t="s">
        <v>95</v>
      </c>
      <c r="C325" s="14" t="s">
        <v>1244</v>
      </c>
      <c r="D325" s="79">
        <v>45684</v>
      </c>
      <c r="E325" s="14">
        <v>2411</v>
      </c>
      <c r="F325" s="14" t="s">
        <v>1245</v>
      </c>
      <c r="G325" s="14" t="str">
        <f>VLOOKUP(F325,'Accident &amp; Incident Detail'!$D$3:$E$1154,2,FALSE)</f>
        <v>STF other</v>
      </c>
      <c r="H325" s="14" t="s">
        <v>1246</v>
      </c>
      <c r="I325" s="14" t="s">
        <v>1247</v>
      </c>
      <c r="J325" s="14" t="s">
        <v>372</v>
      </c>
      <c r="K325" s="14" t="s">
        <v>271</v>
      </c>
      <c r="L325" s="14" t="s">
        <v>236</v>
      </c>
      <c r="M325" s="79">
        <v>46066</v>
      </c>
      <c r="N325" s="14">
        <f t="shared" ca="1" si="34"/>
        <v>0</v>
      </c>
      <c r="Q325" s="14" t="s">
        <v>1248</v>
      </c>
    </row>
    <row r="326" spans="1:49" ht="72.5" x14ac:dyDescent="0.35">
      <c r="A326" s="102" t="str">
        <f t="shared" si="31"/>
        <v>Closed</v>
      </c>
      <c r="B326" s="14" t="s">
        <v>95</v>
      </c>
      <c r="C326" s="14" t="s">
        <v>1244</v>
      </c>
      <c r="D326" s="79">
        <v>45684</v>
      </c>
      <c r="E326" s="14">
        <v>2411</v>
      </c>
      <c r="F326" s="14" t="s">
        <v>1245</v>
      </c>
      <c r="G326" s="14" t="str">
        <f>VLOOKUP(F326,'Accident &amp; Incident Detail'!$D$3:$E$1154,2,FALSE)</f>
        <v>STF other</v>
      </c>
      <c r="H326" s="14" t="s">
        <v>1249</v>
      </c>
      <c r="I326" s="14" t="s">
        <v>1250</v>
      </c>
      <c r="J326" s="14" t="s">
        <v>372</v>
      </c>
      <c r="K326" s="14" t="s">
        <v>222</v>
      </c>
      <c r="L326" s="14" t="s">
        <v>236</v>
      </c>
      <c r="M326" s="79">
        <f t="shared" si="33"/>
        <v>45712</v>
      </c>
      <c r="N326" s="14">
        <f t="shared" ca="1" si="34"/>
        <v>1</v>
      </c>
      <c r="O326" s="79">
        <v>46042</v>
      </c>
      <c r="Q326" s="14" t="s">
        <v>1251</v>
      </c>
    </row>
    <row r="327" spans="1:49" ht="87" x14ac:dyDescent="0.35">
      <c r="A327" s="102" t="str">
        <f t="shared" si="31"/>
        <v>Closed</v>
      </c>
      <c r="B327" s="14" t="s">
        <v>91</v>
      </c>
      <c r="C327" s="14" t="s">
        <v>325</v>
      </c>
      <c r="D327" s="79">
        <v>45691</v>
      </c>
      <c r="E327" s="14">
        <v>2412</v>
      </c>
      <c r="G327" s="14" t="e">
        <f>VLOOKUP(F327,'Accident &amp; Incident Detail'!$D$3:$E$1154,2,FALSE)</f>
        <v>#N/A</v>
      </c>
      <c r="H327" s="14" t="s">
        <v>1252</v>
      </c>
      <c r="I327" s="14" t="s">
        <v>1253</v>
      </c>
      <c r="J327" s="14" t="s">
        <v>328</v>
      </c>
      <c r="K327" s="14" t="s">
        <v>250</v>
      </c>
      <c r="L327" s="14" t="s">
        <v>236</v>
      </c>
      <c r="M327" s="79">
        <f t="shared" si="33"/>
        <v>45719</v>
      </c>
      <c r="N327" s="14">
        <f t="shared" ca="1" si="34"/>
        <v>1</v>
      </c>
      <c r="O327" s="79">
        <v>45691</v>
      </c>
      <c r="Q327" s="14" t="s">
        <v>1254</v>
      </c>
      <c r="R327" s="14">
        <f>IF(A327="Closed",O327-D327,$A$2-D327)</f>
        <v>0</v>
      </c>
      <c r="S327" s="14">
        <f>IF(B327="DWPI Action",R327,0)</f>
        <v>0</v>
      </c>
      <c r="T327" s="14">
        <f>IF(A327="Closed",S327,0)</f>
        <v>0</v>
      </c>
      <c r="U327" s="14">
        <f>IF(A327="Open",S327,0)</f>
        <v>0</v>
      </c>
      <c r="V327" s="14">
        <f>IF(A327="Overdue",S327,0)</f>
        <v>0</v>
      </c>
      <c r="W327" s="112">
        <f>SUM(U327:V327)</f>
        <v>0</v>
      </c>
    </row>
    <row r="328" spans="1:49" ht="58" x14ac:dyDescent="0.35">
      <c r="A328" s="102" t="str">
        <f t="shared" ref="A328:A358" si="35">IF(O328&gt;1,"Closed",IF(N328=1,"Overdue",IF(N328=3,"","Open")))</f>
        <v>Closed</v>
      </c>
      <c r="B328" s="14" t="s">
        <v>95</v>
      </c>
      <c r="C328" s="14" t="s">
        <v>826</v>
      </c>
      <c r="D328" s="79">
        <v>45691</v>
      </c>
      <c r="E328" s="14">
        <v>2412</v>
      </c>
      <c r="F328" s="14" t="s">
        <v>1255</v>
      </c>
      <c r="G328" s="14" t="str">
        <f>VLOOKUP(F328,'Accident &amp; Incident Detail'!$D$3:$E$1154,2,FALSE)</f>
        <v>Near Miss</v>
      </c>
      <c r="H328" s="14" t="s">
        <v>1256</v>
      </c>
      <c r="I328" s="14" t="s">
        <v>1257</v>
      </c>
      <c r="J328" s="14" t="s">
        <v>234</v>
      </c>
      <c r="K328" s="14" t="s">
        <v>264</v>
      </c>
      <c r="L328" s="14" t="s">
        <v>234</v>
      </c>
      <c r="M328" s="79">
        <f t="shared" si="33"/>
        <v>45719</v>
      </c>
      <c r="N328" s="14">
        <f t="shared" ca="1" si="34"/>
        <v>1</v>
      </c>
      <c r="O328" s="79">
        <v>45696</v>
      </c>
      <c r="Q328" s="14" t="s">
        <v>602</v>
      </c>
    </row>
    <row r="329" spans="1:49" ht="87" x14ac:dyDescent="0.35">
      <c r="A329" s="102" t="str">
        <f t="shared" si="35"/>
        <v>Closed</v>
      </c>
      <c r="B329" s="14" t="s">
        <v>241</v>
      </c>
      <c r="C329" s="14" t="s">
        <v>1258</v>
      </c>
      <c r="D329" s="79">
        <v>45691</v>
      </c>
      <c r="E329" s="14">
        <v>2412</v>
      </c>
      <c r="H329" s="14" t="s">
        <v>1259</v>
      </c>
      <c r="I329" s="14" t="s">
        <v>1260</v>
      </c>
      <c r="J329" s="14" t="s">
        <v>1261</v>
      </c>
      <c r="K329" s="14" t="s">
        <v>235</v>
      </c>
      <c r="L329" s="14" t="s">
        <v>238</v>
      </c>
      <c r="M329" s="79">
        <f t="shared" si="33"/>
        <v>45719</v>
      </c>
      <c r="N329" s="14">
        <f t="shared" ca="1" si="34"/>
        <v>1</v>
      </c>
      <c r="O329" s="79">
        <v>45784</v>
      </c>
      <c r="Q329" s="14" t="s">
        <v>1262</v>
      </c>
    </row>
    <row r="330" spans="1:49" ht="87" x14ac:dyDescent="0.35">
      <c r="A330" s="102" t="str">
        <f t="shared" si="35"/>
        <v>Closed</v>
      </c>
      <c r="B330" s="14" t="s">
        <v>91</v>
      </c>
      <c r="C330" s="14" t="s">
        <v>325</v>
      </c>
      <c r="D330" s="79">
        <v>45692</v>
      </c>
      <c r="E330" s="14">
        <v>2412</v>
      </c>
      <c r="G330" s="14" t="e">
        <f>VLOOKUP(F330,'Accident &amp; Incident Detail'!$D$3:$E$1154,2,FALSE)</f>
        <v>#N/A</v>
      </c>
      <c r="H330" s="14" t="s">
        <v>1263</v>
      </c>
      <c r="I330" s="14" t="s">
        <v>1264</v>
      </c>
      <c r="J330" s="14" t="s">
        <v>241</v>
      </c>
      <c r="K330" s="14" t="s">
        <v>240</v>
      </c>
      <c r="L330" s="14" t="s">
        <v>241</v>
      </c>
      <c r="M330" s="79">
        <f t="shared" si="33"/>
        <v>45720</v>
      </c>
      <c r="N330" s="14">
        <f t="shared" ca="1" si="34"/>
        <v>1</v>
      </c>
      <c r="O330" s="79">
        <v>45692</v>
      </c>
      <c r="Q330" s="14" t="s">
        <v>1265</v>
      </c>
      <c r="R330" s="14">
        <f>IF(A330="Closed",O330-D330,$A$2-D330)</f>
        <v>0</v>
      </c>
      <c r="S330" s="14">
        <f>IF(B330="DWPI Action",R330,0)</f>
        <v>0</v>
      </c>
      <c r="T330" s="14">
        <f>IF(A330="Closed",S330,0)</f>
        <v>0</v>
      </c>
      <c r="U330" s="14">
        <f>IF(A330="Open",S330,0)</f>
        <v>0</v>
      </c>
      <c r="V330" s="14">
        <f>IF(A330="Overdue",S330,0)</f>
        <v>0</v>
      </c>
      <c r="W330" s="112">
        <f>SUM(U330:V330)</f>
        <v>0</v>
      </c>
    </row>
    <row r="331" spans="1:49" ht="29" x14ac:dyDescent="0.35">
      <c r="A331" s="102" t="str">
        <f t="shared" si="35"/>
        <v>Closed</v>
      </c>
      <c r="B331" s="14" t="s">
        <v>91</v>
      </c>
      <c r="C331" s="14" t="s">
        <v>325</v>
      </c>
      <c r="D331" s="79">
        <v>45692</v>
      </c>
      <c r="E331" s="14">
        <v>2412</v>
      </c>
      <c r="G331" s="14" t="e">
        <f>VLOOKUP(F331,'Accident &amp; Incident Detail'!$D$3:$E$1154,2,FALSE)</f>
        <v>#N/A</v>
      </c>
      <c r="H331" s="14" t="s">
        <v>1266</v>
      </c>
      <c r="I331" s="14" t="s">
        <v>1267</v>
      </c>
      <c r="J331" s="14" t="s">
        <v>241</v>
      </c>
      <c r="K331" s="14" t="s">
        <v>240</v>
      </c>
      <c r="L331" s="14" t="s">
        <v>241</v>
      </c>
      <c r="M331" s="79">
        <f t="shared" si="33"/>
        <v>45720</v>
      </c>
      <c r="N331" s="14">
        <f t="shared" ca="1" si="34"/>
        <v>1</v>
      </c>
      <c r="O331" s="79">
        <v>45692</v>
      </c>
      <c r="Q331" s="14" t="s">
        <v>1268</v>
      </c>
      <c r="R331" s="14">
        <f>IF(A331="Closed",O331-D331,$A$2-D331)</f>
        <v>0</v>
      </c>
      <c r="S331" s="14">
        <f>IF(B331="DWPI Action",R331,0)</f>
        <v>0</v>
      </c>
      <c r="T331" s="14">
        <f>IF(A331="Closed",S331,0)</f>
        <v>0</v>
      </c>
      <c r="U331" s="14">
        <f>IF(A331="Open",S331,0)</f>
        <v>0</v>
      </c>
      <c r="V331" s="14">
        <f>IF(A331="Overdue",S331,0)</f>
        <v>0</v>
      </c>
      <c r="W331" s="112">
        <f>SUM(U331:V331)</f>
        <v>0</v>
      </c>
    </row>
    <row r="332" spans="1:49" ht="58" x14ac:dyDescent="0.35">
      <c r="A332" s="102" t="str">
        <f t="shared" si="35"/>
        <v>Closed</v>
      </c>
      <c r="B332" s="14" t="s">
        <v>91</v>
      </c>
      <c r="C332" s="14" t="s">
        <v>325</v>
      </c>
      <c r="D332" s="79">
        <v>45701</v>
      </c>
      <c r="E332" s="14">
        <v>2412</v>
      </c>
      <c r="G332" s="14" t="e">
        <f>VLOOKUP(F332,'Accident &amp; Incident Detail'!$D$3:$E$1154,2,FALSE)</f>
        <v>#N/A</v>
      </c>
      <c r="H332" s="14" t="s">
        <v>1269</v>
      </c>
      <c r="I332" s="14" t="s">
        <v>1270</v>
      </c>
      <c r="J332" s="14" t="s">
        <v>328</v>
      </c>
      <c r="K332" s="14" t="s">
        <v>231</v>
      </c>
      <c r="L332" s="14" t="s">
        <v>236</v>
      </c>
      <c r="M332" s="79">
        <f t="shared" si="33"/>
        <v>45729</v>
      </c>
      <c r="N332" s="14">
        <f t="shared" ca="1" si="34"/>
        <v>1</v>
      </c>
      <c r="O332" s="79">
        <v>45704</v>
      </c>
      <c r="Q332" s="14" t="s">
        <v>1271</v>
      </c>
      <c r="R332" s="14">
        <f>IF(A332="Closed",O332-D332,$A$2-D332)</f>
        <v>3</v>
      </c>
      <c r="S332" s="14">
        <f>IF(B332="DWPI Action",R332,0)</f>
        <v>0</v>
      </c>
      <c r="T332" s="14">
        <f>IF(A332="Closed",S332,0)</f>
        <v>0</v>
      </c>
      <c r="U332" s="14">
        <f>IF(A332="Open",S332,0)</f>
        <v>0</v>
      </c>
      <c r="V332" s="14">
        <f>IF(A332="Overdue",S332,0)</f>
        <v>0</v>
      </c>
      <c r="W332" s="112">
        <f>SUM(U332:V332)</f>
        <v>0</v>
      </c>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row>
    <row r="333" spans="1:49" ht="72.5" x14ac:dyDescent="0.35">
      <c r="A333" s="102" t="str">
        <f t="shared" ca="1" si="35"/>
        <v>Open</v>
      </c>
      <c r="B333" s="14" t="s">
        <v>93</v>
      </c>
      <c r="C333" s="14" t="s">
        <v>531</v>
      </c>
      <c r="D333" s="79">
        <v>45701</v>
      </c>
      <c r="E333" s="14">
        <v>2412</v>
      </c>
      <c r="G333" s="14" t="e">
        <f>VLOOKUP(F333,'Accident &amp; Incident Detail'!$D$3:$E$1154,2,FALSE)</f>
        <v>#N/A</v>
      </c>
      <c r="H333" s="14" t="s">
        <v>1272</v>
      </c>
      <c r="I333" s="14" t="s">
        <v>1273</v>
      </c>
      <c r="J333" s="14" t="s">
        <v>372</v>
      </c>
      <c r="K333" s="14" t="s">
        <v>271</v>
      </c>
      <c r="L333" s="14" t="s">
        <v>236</v>
      </c>
      <c r="M333" s="79">
        <v>46066</v>
      </c>
      <c r="N333" s="14">
        <f t="shared" ca="1" si="34"/>
        <v>0</v>
      </c>
      <c r="Q333" s="14" t="s">
        <v>1274</v>
      </c>
    </row>
    <row r="334" spans="1:49" ht="29" x14ac:dyDescent="0.35">
      <c r="A334" s="102" t="str">
        <f t="shared" si="35"/>
        <v>Closed</v>
      </c>
      <c r="B334" s="14" t="s">
        <v>93</v>
      </c>
      <c r="C334" s="14" t="s">
        <v>531</v>
      </c>
      <c r="D334" s="79">
        <v>45701</v>
      </c>
      <c r="E334" s="14">
        <v>2412</v>
      </c>
      <c r="G334" s="14" t="e">
        <f>VLOOKUP(F334,'Accident &amp; Incident Detail'!$D$3:$E$1154,2,FALSE)</f>
        <v>#N/A</v>
      </c>
      <c r="H334" s="14" t="s">
        <v>1275</v>
      </c>
      <c r="I334" s="14" t="s">
        <v>1276</v>
      </c>
      <c r="J334" s="14" t="s">
        <v>345</v>
      </c>
      <c r="K334" s="14" t="s">
        <v>248</v>
      </c>
      <c r="L334" s="14" t="s">
        <v>236</v>
      </c>
      <c r="M334" s="79">
        <f t="shared" si="33"/>
        <v>45729</v>
      </c>
      <c r="N334" s="14">
        <f t="shared" ca="1" si="34"/>
        <v>1</v>
      </c>
      <c r="O334" s="79">
        <v>45912</v>
      </c>
    </row>
    <row r="335" spans="1:49" ht="58" x14ac:dyDescent="0.35">
      <c r="A335" s="102" t="str">
        <f t="shared" si="35"/>
        <v>Closed</v>
      </c>
      <c r="B335" s="14" t="s">
        <v>93</v>
      </c>
      <c r="C335" s="14" t="s">
        <v>531</v>
      </c>
      <c r="D335" s="79">
        <v>45701</v>
      </c>
      <c r="E335" s="14">
        <v>2412</v>
      </c>
      <c r="G335" s="14" t="e">
        <f>VLOOKUP(F335,'Accident &amp; Incident Detail'!$D$3:$E$1154,2,FALSE)</f>
        <v>#N/A</v>
      </c>
      <c r="H335" s="14" t="s">
        <v>1277</v>
      </c>
      <c r="I335" s="14" t="s">
        <v>1278</v>
      </c>
      <c r="J335" s="14" t="s">
        <v>328</v>
      </c>
      <c r="K335" s="14" t="s">
        <v>430</v>
      </c>
      <c r="L335" s="14" t="s">
        <v>236</v>
      </c>
      <c r="M335" s="79">
        <f t="shared" si="33"/>
        <v>45729</v>
      </c>
      <c r="N335" s="14">
        <f t="shared" ca="1" si="34"/>
        <v>1</v>
      </c>
      <c r="O335" s="79">
        <v>45702</v>
      </c>
      <c r="Q335" s="14" t="s">
        <v>602</v>
      </c>
    </row>
    <row r="336" spans="1:49" ht="29" x14ac:dyDescent="0.35">
      <c r="A336" s="102" t="str">
        <f t="shared" si="35"/>
        <v>Closed</v>
      </c>
      <c r="B336" s="14" t="s">
        <v>93</v>
      </c>
      <c r="C336" s="14" t="s">
        <v>531</v>
      </c>
      <c r="D336" s="79">
        <v>45701</v>
      </c>
      <c r="E336" s="14">
        <v>2412</v>
      </c>
      <c r="G336" s="14" t="e">
        <f>VLOOKUP(F336,'Accident &amp; Incident Detail'!$D$3:$E$1154,2,FALSE)</f>
        <v>#N/A</v>
      </c>
      <c r="H336" s="14" t="s">
        <v>1279</v>
      </c>
      <c r="I336" s="14" t="s">
        <v>1280</v>
      </c>
      <c r="J336" s="14" t="s">
        <v>241</v>
      </c>
      <c r="K336" s="14" t="s">
        <v>240</v>
      </c>
      <c r="L336" s="14" t="s">
        <v>241</v>
      </c>
      <c r="M336" s="79">
        <f t="shared" si="33"/>
        <v>45729</v>
      </c>
      <c r="N336" s="14">
        <f t="shared" ca="1" si="34"/>
        <v>1</v>
      </c>
      <c r="O336" s="79">
        <v>45701</v>
      </c>
    </row>
    <row r="337" spans="1:49" ht="58" x14ac:dyDescent="0.35">
      <c r="A337" s="102" t="str">
        <f t="shared" si="35"/>
        <v>Closed</v>
      </c>
      <c r="B337" s="14" t="s">
        <v>93</v>
      </c>
      <c r="C337" s="14" t="s">
        <v>531</v>
      </c>
      <c r="D337" s="79">
        <v>45701</v>
      </c>
      <c r="E337" s="14">
        <v>2412</v>
      </c>
      <c r="G337" s="14" t="e">
        <f>VLOOKUP(F337,'Accident &amp; Incident Detail'!$D$3:$E$1154,2,FALSE)</f>
        <v>#N/A</v>
      </c>
      <c r="H337" s="14" t="s">
        <v>1281</v>
      </c>
      <c r="I337" s="14" t="s">
        <v>1282</v>
      </c>
      <c r="J337" s="14" t="s">
        <v>328</v>
      </c>
      <c r="K337" s="14" t="s">
        <v>430</v>
      </c>
      <c r="L337" s="14" t="s">
        <v>236</v>
      </c>
      <c r="M337" s="79">
        <f t="shared" si="33"/>
        <v>45729</v>
      </c>
      <c r="N337" s="14">
        <f t="shared" ca="1" si="34"/>
        <v>1</v>
      </c>
      <c r="O337" s="79">
        <v>45731</v>
      </c>
    </row>
    <row r="338" spans="1:49" ht="29" x14ac:dyDescent="0.35">
      <c r="A338" s="102" t="str">
        <f t="shared" si="35"/>
        <v>Closed</v>
      </c>
      <c r="B338" s="14" t="s">
        <v>91</v>
      </c>
      <c r="C338" s="14" t="s">
        <v>325</v>
      </c>
      <c r="D338" s="79">
        <v>45716</v>
      </c>
      <c r="E338" s="14">
        <v>2412</v>
      </c>
      <c r="G338" s="14" t="e">
        <f>VLOOKUP(F338,'Accident &amp; Incident Detail'!$D$3:$E$1154,2,FALSE)</f>
        <v>#N/A</v>
      </c>
      <c r="H338" s="14" t="s">
        <v>1283</v>
      </c>
      <c r="I338" s="14" t="s">
        <v>1284</v>
      </c>
      <c r="J338" s="14" t="s">
        <v>328</v>
      </c>
      <c r="K338" s="14" t="s">
        <v>430</v>
      </c>
      <c r="L338" s="14" t="s">
        <v>236</v>
      </c>
      <c r="M338" s="79">
        <f t="shared" si="33"/>
        <v>45744</v>
      </c>
      <c r="N338" s="14">
        <f t="shared" ca="1" si="34"/>
        <v>1</v>
      </c>
      <c r="O338" s="79">
        <v>45971</v>
      </c>
      <c r="Q338" s="14" t="s">
        <v>1285</v>
      </c>
      <c r="R338" s="14">
        <f>IF(A338="Closed",O338-D338,$A$2-D338)</f>
        <v>255</v>
      </c>
      <c r="S338" s="14">
        <f>IF(B338="DWPI Action",R338,0)</f>
        <v>0</v>
      </c>
      <c r="T338" s="14">
        <f>IF(A338="Closed",S338,0)</f>
        <v>0</v>
      </c>
      <c r="U338" s="14">
        <f>IF(A338="Open",S338,0)</f>
        <v>0</v>
      </c>
      <c r="V338" s="14">
        <f>IF(A338="Overdue",S338,0)</f>
        <v>0</v>
      </c>
      <c r="W338" s="112">
        <f>SUM(U338:V338)</f>
        <v>0</v>
      </c>
    </row>
    <row r="339" spans="1:49" ht="58" x14ac:dyDescent="0.35">
      <c r="A339" s="102" t="str">
        <f t="shared" si="35"/>
        <v>Closed</v>
      </c>
      <c r="B339" s="14" t="s">
        <v>91</v>
      </c>
      <c r="C339" s="14" t="s">
        <v>325</v>
      </c>
      <c r="D339" s="79">
        <v>45716</v>
      </c>
      <c r="E339" s="14">
        <v>2412</v>
      </c>
      <c r="G339" s="14" t="e">
        <f>VLOOKUP(F339,'Accident &amp; Incident Detail'!$D$3:$E$1154,2,FALSE)</f>
        <v>#N/A</v>
      </c>
      <c r="H339" s="14" t="s">
        <v>1286</v>
      </c>
      <c r="I339" s="14" t="s">
        <v>1287</v>
      </c>
      <c r="J339" s="14" t="s">
        <v>236</v>
      </c>
      <c r="K339" s="14" t="s">
        <v>244</v>
      </c>
      <c r="L339" s="14" t="s">
        <v>236</v>
      </c>
      <c r="M339" s="79">
        <f t="shared" si="33"/>
        <v>45744</v>
      </c>
      <c r="N339" s="14">
        <f t="shared" ca="1" si="34"/>
        <v>1</v>
      </c>
      <c r="O339" s="79">
        <v>45945</v>
      </c>
      <c r="Q339" s="228" t="s">
        <v>1288</v>
      </c>
      <c r="R339" s="14">
        <f>IF(A339="Closed",O339-D339,$A$2-D339)</f>
        <v>229</v>
      </c>
      <c r="S339" s="14">
        <f>IF(B339="DWPI Action",R339,0)</f>
        <v>0</v>
      </c>
      <c r="T339" s="14">
        <f>IF(A339="Closed",S339,0)</f>
        <v>0</v>
      </c>
      <c r="U339" s="14">
        <f>IF(A339="Open",S339,0)</f>
        <v>0</v>
      </c>
      <c r="V339" s="14">
        <f>IF(A339="Overdue",S339,0)</f>
        <v>0</v>
      </c>
      <c r="W339" s="112">
        <f>SUM(U339:V339)</f>
        <v>0</v>
      </c>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row>
    <row r="340" spans="1:49" ht="29" x14ac:dyDescent="0.35">
      <c r="A340" s="102" t="str">
        <f t="shared" si="35"/>
        <v>Closed</v>
      </c>
      <c r="B340" s="14" t="s">
        <v>96</v>
      </c>
      <c r="C340" s="14" t="s">
        <v>146</v>
      </c>
      <c r="D340" s="79">
        <v>45722</v>
      </c>
      <c r="E340" s="14">
        <v>2413</v>
      </c>
      <c r="F340" s="14" t="s">
        <v>1289</v>
      </c>
      <c r="G340" s="14" t="str">
        <f>VLOOKUP(F340,'Accident &amp; Incident Detail'!$D$3:$E$1154,2,FALSE)</f>
        <v>OHLE</v>
      </c>
      <c r="H340" s="14" t="s">
        <v>1290</v>
      </c>
      <c r="I340" s="14" t="s">
        <v>1291</v>
      </c>
      <c r="J340" s="14" t="s">
        <v>328</v>
      </c>
      <c r="K340" s="14" t="s">
        <v>1292</v>
      </c>
      <c r="L340" s="14" t="s">
        <v>236</v>
      </c>
      <c r="N340" s="14">
        <f t="shared" ca="1" si="34"/>
        <v>1</v>
      </c>
      <c r="O340" s="79">
        <v>45740</v>
      </c>
      <c r="Q340" s="14" t="s">
        <v>1293</v>
      </c>
    </row>
    <row r="341" spans="1:49" ht="116" x14ac:dyDescent="0.35">
      <c r="A341" s="102" t="str">
        <f t="shared" si="35"/>
        <v>Closed</v>
      </c>
      <c r="B341" s="14" t="s">
        <v>96</v>
      </c>
      <c r="C341" s="14" t="s">
        <v>146</v>
      </c>
      <c r="D341" s="79">
        <v>45722</v>
      </c>
      <c r="E341" s="14">
        <v>2413</v>
      </c>
      <c r="F341" s="14" t="s">
        <v>1289</v>
      </c>
      <c r="G341" s="14" t="str">
        <f>VLOOKUP(F341,'Accident &amp; Incident Detail'!$D$3:$E$1154,2,FALSE)</f>
        <v>OHLE</v>
      </c>
      <c r="H341" s="14" t="s">
        <v>1294</v>
      </c>
      <c r="I341" s="14" t="s">
        <v>1295</v>
      </c>
      <c r="J341" s="14" t="s">
        <v>328</v>
      </c>
      <c r="K341" s="14" t="s">
        <v>1292</v>
      </c>
      <c r="L341" s="14" t="s">
        <v>236</v>
      </c>
      <c r="M341" s="79">
        <f t="shared" ref="M341:M355" si="36">IF(D341="","",D341+28)</f>
        <v>45750</v>
      </c>
      <c r="N341" s="14">
        <f t="shared" ca="1" si="34"/>
        <v>1</v>
      </c>
      <c r="O341" s="79">
        <v>46031</v>
      </c>
      <c r="Q341" s="14" t="s">
        <v>1296</v>
      </c>
    </row>
    <row r="342" spans="1:49" ht="72.5" x14ac:dyDescent="0.35">
      <c r="A342" s="102" t="str">
        <f t="shared" si="35"/>
        <v>Closed</v>
      </c>
      <c r="B342" s="14" t="s">
        <v>91</v>
      </c>
      <c r="C342" s="14" t="s">
        <v>523</v>
      </c>
      <c r="D342" s="79">
        <v>45731</v>
      </c>
      <c r="E342" s="14">
        <v>2413</v>
      </c>
      <c r="G342" s="14" t="e">
        <f>VLOOKUP(F342,'Accident &amp; Incident Detail'!$D$3:$E$1154,2,FALSE)</f>
        <v>#N/A</v>
      </c>
      <c r="H342" s="14" t="s">
        <v>1297</v>
      </c>
      <c r="I342" s="14" t="s">
        <v>1298</v>
      </c>
      <c r="J342" s="14" t="s">
        <v>328</v>
      </c>
      <c r="K342" s="14" t="s">
        <v>430</v>
      </c>
      <c r="L342" s="14" t="s">
        <v>236</v>
      </c>
      <c r="M342" s="79">
        <f t="shared" si="36"/>
        <v>45759</v>
      </c>
      <c r="N342" s="14">
        <f t="shared" ca="1" si="34"/>
        <v>1</v>
      </c>
      <c r="O342" s="79">
        <v>46031</v>
      </c>
      <c r="Q342" s="14" t="s">
        <v>1299</v>
      </c>
      <c r="R342" s="14">
        <f>IF(A342="Closed",O342-D342,$A$2-D342)</f>
        <v>300</v>
      </c>
      <c r="S342" s="14">
        <f>IF(B342="DWPI Action",R342,0)</f>
        <v>0</v>
      </c>
      <c r="T342" s="14">
        <f>IF(A342="Closed",S342,0)</f>
        <v>0</v>
      </c>
      <c r="U342" s="14">
        <f>IF(A342="Open",S342,0)</f>
        <v>0</v>
      </c>
      <c r="V342" s="14">
        <f>IF(A342="Overdue",S342,0)</f>
        <v>0</v>
      </c>
      <c r="W342" s="112">
        <f>SUM(U342:V342)</f>
        <v>0</v>
      </c>
    </row>
    <row r="343" spans="1:49" ht="29" x14ac:dyDescent="0.35">
      <c r="A343" s="102" t="str">
        <f t="shared" si="35"/>
        <v>Closed</v>
      </c>
      <c r="B343" s="14" t="s">
        <v>95</v>
      </c>
      <c r="C343" s="14" t="s">
        <v>171</v>
      </c>
      <c r="D343" s="79">
        <v>45737</v>
      </c>
      <c r="E343" s="14">
        <v>2413</v>
      </c>
      <c r="F343" s="14" t="s">
        <v>1300</v>
      </c>
      <c r="G343" s="14" t="str">
        <f>VLOOKUP(F343,'Accident &amp; Incident Detail'!$D$3:$E$1154,2,FALSE)</f>
        <v>STF other</v>
      </c>
      <c r="H343" s="14" t="s">
        <v>1301</v>
      </c>
      <c r="I343" s="14" t="s">
        <v>1302</v>
      </c>
      <c r="J343" s="14" t="s">
        <v>345</v>
      </c>
      <c r="K343" s="14" t="s">
        <v>248</v>
      </c>
      <c r="L343" s="14" t="s">
        <v>236</v>
      </c>
      <c r="M343" s="79">
        <f t="shared" si="36"/>
        <v>45765</v>
      </c>
      <c r="N343" s="14">
        <f t="shared" ca="1" si="34"/>
        <v>1</v>
      </c>
      <c r="O343" s="79">
        <v>45747</v>
      </c>
    </row>
    <row r="344" spans="1:49" ht="29" x14ac:dyDescent="0.35">
      <c r="A344" s="102" t="str">
        <f t="shared" si="35"/>
        <v>Closed</v>
      </c>
      <c r="B344" s="14" t="s">
        <v>95</v>
      </c>
      <c r="C344" s="14" t="s">
        <v>171</v>
      </c>
      <c r="D344" s="79">
        <v>45737</v>
      </c>
      <c r="E344" s="14">
        <v>2413</v>
      </c>
      <c r="F344" s="14" t="s">
        <v>1300</v>
      </c>
      <c r="G344" s="14" t="str">
        <f>VLOOKUP(F344,'Accident &amp; Incident Detail'!$D$3:$E$1154,2,FALSE)</f>
        <v>STF other</v>
      </c>
      <c r="H344" s="14" t="s">
        <v>1303</v>
      </c>
      <c r="I344" s="14" t="s">
        <v>1304</v>
      </c>
      <c r="J344" s="14" t="s">
        <v>345</v>
      </c>
      <c r="K344" s="14" t="s">
        <v>248</v>
      </c>
      <c r="L344" s="14" t="s">
        <v>236</v>
      </c>
      <c r="M344" s="79">
        <f t="shared" si="36"/>
        <v>45765</v>
      </c>
      <c r="N344" s="14">
        <f t="shared" ca="1" si="34"/>
        <v>1</v>
      </c>
      <c r="O344" s="79">
        <v>45751</v>
      </c>
    </row>
    <row r="345" spans="1:49" ht="29" x14ac:dyDescent="0.35">
      <c r="A345" s="102" t="str">
        <f t="shared" si="35"/>
        <v>Closed</v>
      </c>
      <c r="B345" s="14" t="s">
        <v>95</v>
      </c>
      <c r="C345" s="14" t="s">
        <v>175</v>
      </c>
      <c r="D345" s="79">
        <v>45740</v>
      </c>
      <c r="E345" s="112">
        <v>2413</v>
      </c>
      <c r="F345" s="14" t="s">
        <v>1305</v>
      </c>
      <c r="G345" s="14" t="str">
        <f>VLOOKUP(F345,'Accident &amp; Incident Detail'!$D$3:$E$1154,2,FALSE)</f>
        <v>Minor - RTC</v>
      </c>
      <c r="H345" s="14" t="s">
        <v>1306</v>
      </c>
      <c r="I345" s="14" t="s">
        <v>1307</v>
      </c>
      <c r="J345" s="14" t="s">
        <v>234</v>
      </c>
      <c r="K345" s="14" t="s">
        <v>255</v>
      </c>
      <c r="L345" s="14" t="s">
        <v>234</v>
      </c>
      <c r="M345" s="79">
        <f t="shared" si="36"/>
        <v>45768</v>
      </c>
      <c r="N345" s="14">
        <f t="shared" ca="1" si="34"/>
        <v>1</v>
      </c>
      <c r="O345" s="79">
        <v>45772</v>
      </c>
    </row>
    <row r="346" spans="1:49" ht="29" x14ac:dyDescent="0.35">
      <c r="A346" s="102" t="str">
        <f t="shared" si="35"/>
        <v>Closed</v>
      </c>
      <c r="B346" s="14" t="s">
        <v>91</v>
      </c>
      <c r="C346" s="14" t="s">
        <v>325</v>
      </c>
      <c r="D346" s="79">
        <v>45743</v>
      </c>
      <c r="E346" s="14">
        <v>2413</v>
      </c>
      <c r="I346" s="14" t="s">
        <v>1308</v>
      </c>
      <c r="J346" s="14" t="s">
        <v>241</v>
      </c>
      <c r="K346" s="14" t="s">
        <v>239</v>
      </c>
      <c r="L346" s="14" t="s">
        <v>241</v>
      </c>
      <c r="M346" s="79">
        <f t="shared" si="36"/>
        <v>45771</v>
      </c>
      <c r="N346" s="14">
        <f t="shared" ca="1" si="34"/>
        <v>1</v>
      </c>
      <c r="O346" s="79">
        <v>45762</v>
      </c>
      <c r="Q346" s="14" t="s">
        <v>1309</v>
      </c>
      <c r="R346" s="14">
        <f>IF(A346="Closed",O346-D346,$A$2-D346)</f>
        <v>19</v>
      </c>
      <c r="S346" s="14">
        <f>IF(B346="DWPI Action",R346,0)</f>
        <v>0</v>
      </c>
      <c r="T346" s="14">
        <f>IF(A346="Closed",S346,0)</f>
        <v>0</v>
      </c>
      <c r="U346" s="14">
        <f>IF(A346="Open",S346,0)</f>
        <v>0</v>
      </c>
      <c r="V346" s="14">
        <f>IF(A346="Overdue",S346,0)</f>
        <v>0</v>
      </c>
      <c r="W346" s="112">
        <f>SUM(U346:V346)</f>
        <v>0</v>
      </c>
    </row>
    <row r="347" spans="1:49" ht="58" x14ac:dyDescent="0.35">
      <c r="A347" s="102" t="str">
        <f t="shared" si="35"/>
        <v>Closed</v>
      </c>
      <c r="B347" s="14" t="s">
        <v>94</v>
      </c>
      <c r="C347" s="14" t="s">
        <v>531</v>
      </c>
      <c r="D347" s="79">
        <v>45744</v>
      </c>
      <c r="E347" s="14">
        <v>2413</v>
      </c>
      <c r="G347" s="14" t="e">
        <f>VLOOKUP(F347,'Accident &amp; Incident Detail'!$D$3:$E$1154,2,FALSE)</f>
        <v>#N/A</v>
      </c>
      <c r="H347" s="14" t="s">
        <v>1310</v>
      </c>
      <c r="I347" s="14" t="s">
        <v>1311</v>
      </c>
      <c r="J347" s="14" t="s">
        <v>241</v>
      </c>
      <c r="K347" s="14" t="s">
        <v>239</v>
      </c>
      <c r="L347" s="14" t="s">
        <v>241</v>
      </c>
      <c r="M347" s="79">
        <f t="shared" si="36"/>
        <v>45772</v>
      </c>
      <c r="N347" s="14">
        <f t="shared" ca="1" si="34"/>
        <v>1</v>
      </c>
      <c r="O347" s="79">
        <v>46042</v>
      </c>
      <c r="Q347" s="14" t="s">
        <v>1312</v>
      </c>
    </row>
    <row r="348" spans="1:49" ht="58" x14ac:dyDescent="0.35">
      <c r="A348" s="102" t="str">
        <f t="shared" si="35"/>
        <v>Closed</v>
      </c>
      <c r="B348" s="14" t="s">
        <v>94</v>
      </c>
      <c r="C348" s="14" t="s">
        <v>531</v>
      </c>
      <c r="D348" s="79">
        <v>45744</v>
      </c>
      <c r="E348" s="14">
        <v>2413</v>
      </c>
      <c r="G348" s="14" t="e">
        <f>VLOOKUP(F348,'Accident &amp; Incident Detail'!$D$3:$E$1154,2,FALSE)</f>
        <v>#N/A</v>
      </c>
      <c r="H348" s="14" t="s">
        <v>1313</v>
      </c>
      <c r="I348" s="14" t="s">
        <v>1314</v>
      </c>
      <c r="J348" s="14" t="s">
        <v>241</v>
      </c>
      <c r="K348" s="14" t="s">
        <v>237</v>
      </c>
      <c r="L348" s="14" t="s">
        <v>241</v>
      </c>
      <c r="M348" s="79">
        <f t="shared" si="36"/>
        <v>45772</v>
      </c>
      <c r="N348" s="14">
        <f t="shared" ca="1" si="34"/>
        <v>1</v>
      </c>
      <c r="O348" s="79">
        <v>45744</v>
      </c>
    </row>
    <row r="349" spans="1:49" ht="58" x14ac:dyDescent="0.35">
      <c r="A349" s="102" t="str">
        <f t="shared" si="35"/>
        <v>Closed</v>
      </c>
      <c r="B349" s="14" t="s">
        <v>94</v>
      </c>
      <c r="C349" s="14" t="s">
        <v>531</v>
      </c>
      <c r="D349" s="79">
        <v>45744</v>
      </c>
      <c r="E349" s="14">
        <v>2413</v>
      </c>
      <c r="G349" s="14" t="e">
        <f>VLOOKUP(F349,'Accident &amp; Incident Detail'!$D$3:$E$1154,2,FALSE)</f>
        <v>#N/A</v>
      </c>
      <c r="H349" s="14" t="s">
        <v>1315</v>
      </c>
      <c r="I349" s="14" t="s">
        <v>1316</v>
      </c>
      <c r="J349" s="14" t="s">
        <v>241</v>
      </c>
      <c r="K349" s="14" t="s">
        <v>242</v>
      </c>
      <c r="L349" s="14" t="s">
        <v>241</v>
      </c>
      <c r="M349" s="79">
        <f t="shared" si="36"/>
        <v>45772</v>
      </c>
      <c r="N349" s="14">
        <f t="shared" ca="1" si="34"/>
        <v>1</v>
      </c>
      <c r="O349" s="79">
        <v>45750</v>
      </c>
      <c r="Q349" s="14" t="s">
        <v>1317</v>
      </c>
    </row>
    <row r="350" spans="1:49" ht="72.5" x14ac:dyDescent="0.35">
      <c r="A350" s="102" t="str">
        <f t="shared" si="35"/>
        <v>Closed</v>
      </c>
      <c r="B350" s="14" t="s">
        <v>94</v>
      </c>
      <c r="C350" s="14" t="s">
        <v>531</v>
      </c>
      <c r="D350" s="79">
        <v>45744</v>
      </c>
      <c r="E350" s="14">
        <v>2413</v>
      </c>
      <c r="G350" s="14" t="e">
        <f>VLOOKUP(F350,'Accident &amp; Incident Detail'!$D$3:$E$1154,2,FALSE)</f>
        <v>#N/A</v>
      </c>
      <c r="H350" s="14" t="s">
        <v>1318</v>
      </c>
      <c r="I350" s="14" t="s">
        <v>1319</v>
      </c>
      <c r="J350" s="14" t="s">
        <v>1261</v>
      </c>
      <c r="K350" s="14" t="s">
        <v>225</v>
      </c>
      <c r="L350" s="14" t="s">
        <v>238</v>
      </c>
      <c r="M350" s="79">
        <f t="shared" si="36"/>
        <v>45772</v>
      </c>
      <c r="N350" s="14">
        <f t="shared" ca="1" si="34"/>
        <v>1</v>
      </c>
      <c r="O350" s="79">
        <v>46042</v>
      </c>
      <c r="Q350" s="14" t="s">
        <v>1320</v>
      </c>
    </row>
    <row r="351" spans="1:49" ht="87" x14ac:dyDescent="0.35">
      <c r="A351" s="102" t="str">
        <f t="shared" si="35"/>
        <v>Closed</v>
      </c>
      <c r="B351" s="14" t="s">
        <v>94</v>
      </c>
      <c r="C351" s="14" t="s">
        <v>531</v>
      </c>
      <c r="D351" s="79">
        <v>45744</v>
      </c>
      <c r="E351" s="14">
        <v>2413</v>
      </c>
      <c r="G351" s="14" t="e">
        <f>VLOOKUP(F351,'Accident &amp; Incident Detail'!$D$3:$E$1154,2,FALSE)</f>
        <v>#N/A</v>
      </c>
      <c r="H351" s="14" t="s">
        <v>1321</v>
      </c>
      <c r="I351" s="14" t="s">
        <v>1322</v>
      </c>
      <c r="J351" s="14" t="s">
        <v>241</v>
      </c>
      <c r="K351" s="14" t="s">
        <v>239</v>
      </c>
      <c r="L351" s="14" t="s">
        <v>241</v>
      </c>
      <c r="M351" s="79">
        <f t="shared" si="36"/>
        <v>45772</v>
      </c>
      <c r="N351" s="14">
        <f ca="1">IF(D351="",3,IF(M351&lt;$A$2,1,0))</f>
        <v>1</v>
      </c>
      <c r="O351" s="79">
        <v>46042</v>
      </c>
      <c r="Q351" s="14" t="s">
        <v>1323</v>
      </c>
    </row>
    <row r="352" spans="1:49" ht="72.5" x14ac:dyDescent="0.35">
      <c r="A352" s="102" t="str">
        <f t="shared" si="35"/>
        <v>Closed</v>
      </c>
      <c r="B352" s="14" t="s">
        <v>94</v>
      </c>
      <c r="C352" s="14" t="s">
        <v>531</v>
      </c>
      <c r="D352" s="79">
        <v>45744</v>
      </c>
      <c r="E352" s="14">
        <v>2413</v>
      </c>
      <c r="G352" s="14" t="e">
        <f>VLOOKUP(F352,'Accident &amp; Incident Detail'!$D$3:$E$1154,2,FALSE)</f>
        <v>#N/A</v>
      </c>
      <c r="H352" s="14" t="s">
        <v>1324</v>
      </c>
      <c r="I352" s="14" t="s">
        <v>1325</v>
      </c>
      <c r="J352" s="14" t="s">
        <v>1326</v>
      </c>
      <c r="K352" s="14" t="s">
        <v>240</v>
      </c>
      <c r="L352" s="14" t="s">
        <v>241</v>
      </c>
      <c r="M352" s="79">
        <f t="shared" si="36"/>
        <v>45772</v>
      </c>
      <c r="N352" s="14">
        <f ca="1">IF(D352="",3,IF(M352&lt;$A$2,1,0))</f>
        <v>1</v>
      </c>
      <c r="O352" s="79">
        <v>45750</v>
      </c>
      <c r="Q352" s="14" t="s">
        <v>1327</v>
      </c>
    </row>
    <row r="353" spans="1:23" ht="159.5" x14ac:dyDescent="0.35">
      <c r="A353" s="102" t="str">
        <f t="shared" si="35"/>
        <v>Closed</v>
      </c>
      <c r="B353" s="14" t="s">
        <v>91</v>
      </c>
      <c r="C353" s="14" t="s">
        <v>922</v>
      </c>
      <c r="D353" s="79">
        <v>45748</v>
      </c>
      <c r="E353" s="14">
        <v>2501</v>
      </c>
      <c r="G353" s="14" t="e">
        <f>VLOOKUP(F353,'Accident &amp; Incident Detail'!$D$3:$E$1154,2,FALSE)</f>
        <v>#N/A</v>
      </c>
      <c r="H353" s="14" t="s">
        <v>1328</v>
      </c>
      <c r="I353" s="14" t="s">
        <v>1329</v>
      </c>
      <c r="J353" s="14" t="s">
        <v>241</v>
      </c>
      <c r="K353" s="14" t="s">
        <v>239</v>
      </c>
      <c r="L353" s="14" t="s">
        <v>241</v>
      </c>
      <c r="M353" s="79">
        <f t="shared" si="36"/>
        <v>45776</v>
      </c>
      <c r="N353" s="14">
        <f ca="1">IF(D353="",3,IF(M353&lt;$A$2,1,0))</f>
        <v>1</v>
      </c>
      <c r="O353" s="79">
        <v>45762</v>
      </c>
      <c r="Q353" s="14" t="s">
        <v>1309</v>
      </c>
      <c r="R353" s="14">
        <f>IF(A353="Closed",O353-D353,$A$2-D353)</f>
        <v>14</v>
      </c>
      <c r="S353" s="14">
        <f>IF(B353="DWPI Action",R353,0)</f>
        <v>0</v>
      </c>
      <c r="T353" s="14">
        <f>IF(A353="Closed",S353,0)</f>
        <v>0</v>
      </c>
      <c r="U353" s="14">
        <f>IF(A353="Open",S353,0)</f>
        <v>0</v>
      </c>
      <c r="V353" s="14">
        <f>IF(A353="Overdue",S353,0)</f>
        <v>0</v>
      </c>
      <c r="W353" s="112">
        <f>SUM(U353:V353)</f>
        <v>0</v>
      </c>
    </row>
    <row r="354" spans="1:23" ht="29" x14ac:dyDescent="0.35">
      <c r="A354" s="102" t="str">
        <f t="shared" ca="1" si="35"/>
        <v>Overdue</v>
      </c>
      <c r="B354" s="14" t="s">
        <v>111</v>
      </c>
      <c r="C354" s="14" t="s">
        <v>184</v>
      </c>
      <c r="D354" s="79">
        <v>45750</v>
      </c>
      <c r="E354" s="14">
        <v>2501</v>
      </c>
      <c r="G354" s="14" t="e">
        <f>VLOOKUP(F354,'Accident &amp; Incident Detail'!$D$3:$E$1154,2,FALSE)</f>
        <v>#N/A</v>
      </c>
      <c r="H354" s="14" t="s">
        <v>1330</v>
      </c>
      <c r="I354" s="14" t="s">
        <v>1331</v>
      </c>
      <c r="J354" s="14" t="s">
        <v>345</v>
      </c>
      <c r="K354" s="14" t="s">
        <v>248</v>
      </c>
      <c r="L354" s="14" t="s">
        <v>236</v>
      </c>
      <c r="M354" s="79">
        <f t="shared" si="36"/>
        <v>45778</v>
      </c>
      <c r="N354" s="14">
        <f ca="1">IF(D354="",3,IF(M354&lt;$A$2,1,0))</f>
        <v>1</v>
      </c>
      <c r="Q354" s="14" t="s">
        <v>1332</v>
      </c>
    </row>
    <row r="355" spans="1:23" ht="29" x14ac:dyDescent="0.35">
      <c r="A355" s="102" t="str">
        <f t="shared" si="35"/>
        <v>Closed</v>
      </c>
      <c r="B355" s="14" t="s">
        <v>111</v>
      </c>
      <c r="C355" s="14" t="s">
        <v>184</v>
      </c>
      <c r="D355" s="79">
        <v>45750</v>
      </c>
      <c r="E355" s="14">
        <v>2501</v>
      </c>
      <c r="G355" s="14" t="e">
        <f>VLOOKUP(F355,'Accident &amp; Incident Detail'!$D$3:$E$1154,2,FALSE)</f>
        <v>#N/A</v>
      </c>
      <c r="H355" s="14" t="s">
        <v>1333</v>
      </c>
      <c r="I355" s="14" t="s">
        <v>1334</v>
      </c>
      <c r="J355" s="14" t="s">
        <v>372</v>
      </c>
      <c r="K355" s="14" t="s">
        <v>222</v>
      </c>
      <c r="L355" s="14" t="s">
        <v>236</v>
      </c>
      <c r="M355" s="79">
        <f t="shared" si="36"/>
        <v>45778</v>
      </c>
      <c r="N355" s="14">
        <f ca="1">IF(D355="",3,IF(M355&lt;$A$2,1,0))</f>
        <v>1</v>
      </c>
      <c r="O355" s="79">
        <v>45751</v>
      </c>
    </row>
    <row r="356" spans="1:23" ht="333.5" x14ac:dyDescent="0.35">
      <c r="A356" s="102" t="str">
        <f ca="1">IF(O356&gt;1,"Closed",IF(N356=1,"Overdue",IF(N356=3,"","Open")))</f>
        <v>Overdue</v>
      </c>
      <c r="B356" s="14" t="s">
        <v>91</v>
      </c>
      <c r="C356" s="14" t="s">
        <v>184</v>
      </c>
      <c r="D356" s="79">
        <v>45776</v>
      </c>
      <c r="E356" s="14">
        <v>2502</v>
      </c>
      <c r="G356" s="14" t="e">
        <f>VLOOKUP(F356,'Accident &amp; Incident Detail'!$D$3:$E$1154,2,FALSE)</f>
        <v>#N/A</v>
      </c>
      <c r="H356" s="14" t="s">
        <v>1335</v>
      </c>
      <c r="I356" s="14" t="s">
        <v>1336</v>
      </c>
      <c r="J356" s="14" t="s">
        <v>345</v>
      </c>
      <c r="K356" s="14" t="s">
        <v>248</v>
      </c>
      <c r="L356" s="14" t="s">
        <v>236</v>
      </c>
      <c r="M356" s="79">
        <f t="shared" ref="M356:M392" si="37">IF(D356="","",D356+28)</f>
        <v>45804</v>
      </c>
      <c r="N356" s="14">
        <f t="shared" ref="N356:N392" ca="1" si="38">IF(D356="",3,IF(M356&lt;$A$2,1,0))</f>
        <v>1</v>
      </c>
      <c r="Q356" s="14" t="s">
        <v>1337</v>
      </c>
    </row>
    <row r="357" spans="1:23" x14ac:dyDescent="0.35">
      <c r="A357" s="102" t="str">
        <f t="shared" si="35"/>
        <v>Closed</v>
      </c>
      <c r="B357" s="14" t="s">
        <v>111</v>
      </c>
      <c r="C357" s="14" t="s">
        <v>1338</v>
      </c>
      <c r="D357" s="79">
        <v>45778</v>
      </c>
      <c r="E357" s="14">
        <v>2502</v>
      </c>
      <c r="G357" s="14" t="e">
        <f>VLOOKUP(F357,'Accident &amp; Incident Detail'!$D$3:$E$1154,2,FALSE)</f>
        <v>#N/A</v>
      </c>
      <c r="H357" s="14" t="s">
        <v>1339</v>
      </c>
      <c r="I357" s="14" t="s">
        <v>1340</v>
      </c>
      <c r="J357" s="14" t="s">
        <v>1341</v>
      </c>
      <c r="K357" s="14" t="s">
        <v>225</v>
      </c>
      <c r="L357" s="14" t="s">
        <v>238</v>
      </c>
      <c r="M357" s="79">
        <f t="shared" si="37"/>
        <v>45806</v>
      </c>
      <c r="N357" s="14">
        <f t="shared" ca="1" si="38"/>
        <v>1</v>
      </c>
      <c r="O357" s="79">
        <v>45778</v>
      </c>
    </row>
    <row r="358" spans="1:23" ht="29" x14ac:dyDescent="0.35">
      <c r="A358" s="102" t="str">
        <f t="shared" si="35"/>
        <v>Closed</v>
      </c>
      <c r="B358" s="14" t="s">
        <v>95</v>
      </c>
      <c r="C358" s="14" t="s">
        <v>153</v>
      </c>
      <c r="D358" s="79">
        <v>45797</v>
      </c>
      <c r="E358" s="14">
        <v>2502</v>
      </c>
      <c r="F358" s="14" t="s">
        <v>1342</v>
      </c>
      <c r="G358" s="14" t="str">
        <f>VLOOKUP(F358,'Accident &amp; Incident Detail'!$D$3:$E$1154,2,FALSE)</f>
        <v>Minor - RTC</v>
      </c>
      <c r="H358" s="14" t="s">
        <v>1343</v>
      </c>
      <c r="I358" s="14" t="s">
        <v>1344</v>
      </c>
      <c r="J358" s="14" t="s">
        <v>234</v>
      </c>
      <c r="K358" s="14" t="s">
        <v>263</v>
      </c>
      <c r="L358" s="14" t="s">
        <v>234</v>
      </c>
      <c r="M358" s="79">
        <f t="shared" si="37"/>
        <v>45825</v>
      </c>
      <c r="N358" s="14">
        <f t="shared" ca="1" si="38"/>
        <v>1</v>
      </c>
      <c r="O358" s="79">
        <v>46000</v>
      </c>
      <c r="Q358" s="14" t="s">
        <v>1345</v>
      </c>
    </row>
    <row r="359" spans="1:23" ht="29" x14ac:dyDescent="0.35">
      <c r="A359" s="102" t="str">
        <f t="shared" ref="A359:A385" si="39">IF(O359&gt;1,"Closed",IF(N359=1,"Overdue",IF(N359=3,"","Open")))</f>
        <v>Closed</v>
      </c>
      <c r="B359" s="14" t="s">
        <v>95</v>
      </c>
      <c r="C359" s="14" t="s">
        <v>177</v>
      </c>
      <c r="D359" s="79">
        <v>45797</v>
      </c>
      <c r="E359" s="14">
        <v>2502</v>
      </c>
      <c r="F359" s="14" t="s">
        <v>1346</v>
      </c>
      <c r="G359" s="14" t="str">
        <f>VLOOKUP(F359,'Accident &amp; Incident Detail'!$D$3:$E$1154,2,FALSE)</f>
        <v>Tresspass</v>
      </c>
      <c r="H359" s="14" t="s">
        <v>1347</v>
      </c>
      <c r="I359" s="14" t="s">
        <v>1348</v>
      </c>
      <c r="J359" s="14" t="s">
        <v>234</v>
      </c>
      <c r="K359" s="14" t="s">
        <v>258</v>
      </c>
      <c r="L359" s="14" t="s">
        <v>234</v>
      </c>
      <c r="M359" s="79">
        <f t="shared" si="37"/>
        <v>45825</v>
      </c>
      <c r="N359" s="14">
        <f t="shared" ca="1" si="38"/>
        <v>1</v>
      </c>
      <c r="O359" s="79">
        <v>45797</v>
      </c>
    </row>
    <row r="360" spans="1:23" ht="29" x14ac:dyDescent="0.35">
      <c r="A360" s="102" t="str">
        <f t="shared" si="39"/>
        <v>Closed</v>
      </c>
      <c r="B360" s="14" t="s">
        <v>95</v>
      </c>
      <c r="C360" s="14" t="s">
        <v>175</v>
      </c>
      <c r="D360" s="79">
        <v>45804</v>
      </c>
      <c r="E360" s="14">
        <v>2502</v>
      </c>
      <c r="F360" s="14" t="s">
        <v>1349</v>
      </c>
      <c r="G360" s="14" t="str">
        <f>VLOOKUP(F360,'Accident &amp; Incident Detail'!$D$3:$E$1154,2,FALSE)</f>
        <v>Near Miss</v>
      </c>
      <c r="H360" s="14" t="s">
        <v>1350</v>
      </c>
      <c r="I360" s="14" t="s">
        <v>1351</v>
      </c>
      <c r="J360" s="14" t="s">
        <v>401</v>
      </c>
      <c r="K360" s="14" t="s">
        <v>263</v>
      </c>
      <c r="L360" s="14" t="s">
        <v>234</v>
      </c>
      <c r="M360" s="79">
        <f t="shared" si="37"/>
        <v>45832</v>
      </c>
      <c r="N360" s="14">
        <f t="shared" ca="1" si="38"/>
        <v>1</v>
      </c>
      <c r="O360" s="79">
        <v>46000</v>
      </c>
      <c r="Q360" s="14" t="s">
        <v>1352</v>
      </c>
      <c r="R360" s="14">
        <f>IF(A360="Closed",O360-D360,$A$2-D360)</f>
        <v>196</v>
      </c>
      <c r="S360" s="14">
        <f>IF(B360="DWPI Action",R360,0)</f>
        <v>0</v>
      </c>
      <c r="T360" s="14">
        <f>IF(A360="Closed",S360,0)</f>
        <v>0</v>
      </c>
      <c r="U360" s="14">
        <f>IF(A360="Open",S360,0)</f>
        <v>0</v>
      </c>
      <c r="V360" s="14">
        <f>IF(A360="Overdue",S360,0)</f>
        <v>0</v>
      </c>
      <c r="W360" s="112">
        <f>SUM(U360:V360)</f>
        <v>0</v>
      </c>
    </row>
    <row r="361" spans="1:23" ht="29" x14ac:dyDescent="0.35">
      <c r="A361" s="102" t="str">
        <f t="shared" si="39"/>
        <v>Closed</v>
      </c>
      <c r="B361" s="14" t="s">
        <v>95</v>
      </c>
      <c r="C361" s="14" t="s">
        <v>175</v>
      </c>
      <c r="D361" s="79">
        <v>45802</v>
      </c>
      <c r="E361" s="14">
        <v>2502</v>
      </c>
      <c r="F361" s="14" t="s">
        <v>1353</v>
      </c>
      <c r="G361" s="14" t="str">
        <f>VLOOKUP(F361,'Accident &amp; Incident Detail'!$D$3:$E$1154,2,FALSE)</f>
        <v>Incorrect VIS</v>
      </c>
      <c r="H361" s="14" t="s">
        <v>1354</v>
      </c>
      <c r="I361" s="14" t="s">
        <v>1355</v>
      </c>
      <c r="J361" s="14" t="s">
        <v>401</v>
      </c>
      <c r="K361" s="14" t="s">
        <v>263</v>
      </c>
      <c r="L361" s="14" t="s">
        <v>234</v>
      </c>
      <c r="M361" s="79">
        <f t="shared" si="37"/>
        <v>45830</v>
      </c>
      <c r="N361" s="14">
        <f t="shared" ca="1" si="38"/>
        <v>1</v>
      </c>
      <c r="O361" s="79">
        <v>45805</v>
      </c>
    </row>
    <row r="362" spans="1:23" ht="29" x14ac:dyDescent="0.35">
      <c r="A362" s="102" t="str">
        <f t="shared" si="39"/>
        <v>Closed</v>
      </c>
      <c r="B362" s="14" t="s">
        <v>95</v>
      </c>
      <c r="C362" s="14" t="s">
        <v>175</v>
      </c>
      <c r="D362" s="79">
        <v>45802</v>
      </c>
      <c r="E362" s="14">
        <v>2502</v>
      </c>
      <c r="F362" s="14" t="s">
        <v>1353</v>
      </c>
      <c r="G362" s="14" t="str">
        <f>VLOOKUP(F362,'Accident &amp; Incident Detail'!$D$3:$E$1154,2,FALSE)</f>
        <v>Incorrect VIS</v>
      </c>
      <c r="H362" s="14" t="s">
        <v>1356</v>
      </c>
      <c r="I362" s="14" t="s">
        <v>1357</v>
      </c>
      <c r="J362" s="14" t="s">
        <v>234</v>
      </c>
      <c r="K362" s="14" t="s">
        <v>255</v>
      </c>
      <c r="L362" s="14" t="s">
        <v>234</v>
      </c>
      <c r="M362" s="79">
        <f t="shared" si="37"/>
        <v>45830</v>
      </c>
      <c r="N362" s="14">
        <f t="shared" ca="1" si="38"/>
        <v>1</v>
      </c>
      <c r="O362" s="79">
        <v>45830</v>
      </c>
    </row>
    <row r="363" spans="1:23" ht="224.25" customHeight="1" x14ac:dyDescent="0.35">
      <c r="A363" s="102" t="str">
        <f t="shared" si="39"/>
        <v>Closed</v>
      </c>
      <c r="B363" s="14" t="s">
        <v>95</v>
      </c>
      <c r="C363" s="14" t="s">
        <v>175</v>
      </c>
      <c r="D363" s="79">
        <v>45802</v>
      </c>
      <c r="E363" s="14">
        <v>2502</v>
      </c>
      <c r="F363" s="14" t="s">
        <v>1358</v>
      </c>
      <c r="G363" s="14" t="str">
        <f>VLOOKUP(F363,'Accident &amp; Incident Detail'!$D$3:$E$1154,2,FALSE)</f>
        <v>Minor - RTC</v>
      </c>
      <c r="H363" s="14" t="s">
        <v>1359</v>
      </c>
      <c r="I363" s="14" t="s">
        <v>1360</v>
      </c>
      <c r="J363" s="14" t="s">
        <v>401</v>
      </c>
      <c r="K363" s="14" t="s">
        <v>263</v>
      </c>
      <c r="L363" s="14" t="s">
        <v>234</v>
      </c>
      <c r="M363" s="79">
        <f t="shared" si="37"/>
        <v>45830</v>
      </c>
      <c r="N363" s="14">
        <f t="shared" ca="1" si="38"/>
        <v>1</v>
      </c>
      <c r="O363" s="79">
        <v>45763</v>
      </c>
    </row>
    <row r="364" spans="1:23" s="371" customFormat="1" ht="275.5" x14ac:dyDescent="0.35">
      <c r="A364" s="383" t="str">
        <f t="shared" si="39"/>
        <v>Closed</v>
      </c>
      <c r="B364" s="371" t="s">
        <v>91</v>
      </c>
      <c r="C364" s="371" t="s">
        <v>424</v>
      </c>
      <c r="D364" s="382">
        <v>45811</v>
      </c>
      <c r="E364" s="371">
        <v>2503</v>
      </c>
      <c r="F364" s="14"/>
      <c r="G364" s="371" t="e">
        <f>VLOOKUP(F364,'Accident &amp; Incident Detail'!$D$3:$E$1154,2,FALSE)</f>
        <v>#N/A</v>
      </c>
      <c r="H364" s="14" t="s">
        <v>1361</v>
      </c>
      <c r="I364" s="371" t="s">
        <v>1362</v>
      </c>
      <c r="J364" s="14" t="s">
        <v>328</v>
      </c>
      <c r="K364" s="371" t="s">
        <v>1363</v>
      </c>
      <c r="L364" s="371" t="s">
        <v>236</v>
      </c>
      <c r="M364" s="382">
        <f>IF(D364="","",D364+28)</f>
        <v>45839</v>
      </c>
      <c r="N364" s="371">
        <f t="shared" ca="1" si="38"/>
        <v>1</v>
      </c>
      <c r="O364" s="382">
        <v>45788</v>
      </c>
      <c r="Q364" s="371" t="s">
        <v>1364</v>
      </c>
    </row>
    <row r="365" spans="1:23" ht="174" x14ac:dyDescent="0.35">
      <c r="A365" s="102" t="str">
        <f t="shared" ca="1" si="39"/>
        <v>Overdue</v>
      </c>
      <c r="B365" s="14" t="s">
        <v>92</v>
      </c>
      <c r="C365" s="14" t="s">
        <v>184</v>
      </c>
      <c r="D365" s="79">
        <v>45813</v>
      </c>
      <c r="E365" s="14">
        <v>2504</v>
      </c>
      <c r="G365" s="14" t="e">
        <f>VLOOKUP(F365,'Accident &amp; Incident Detail'!$D$3:$E$1154,2,FALSE)</f>
        <v>#N/A</v>
      </c>
      <c r="H365" s="14" t="s">
        <v>1365</v>
      </c>
      <c r="I365" s="14" t="s">
        <v>1366</v>
      </c>
      <c r="J365" s="14" t="s">
        <v>236</v>
      </c>
      <c r="K365" s="14" t="s">
        <v>430</v>
      </c>
      <c r="L365" s="14" t="s">
        <v>236</v>
      </c>
      <c r="M365" s="79">
        <f t="shared" si="37"/>
        <v>45841</v>
      </c>
      <c r="N365" s="14">
        <f t="shared" ca="1" si="38"/>
        <v>1</v>
      </c>
      <c r="Q365" s="14" t="s">
        <v>1367</v>
      </c>
    </row>
    <row r="366" spans="1:23" ht="29" x14ac:dyDescent="0.35">
      <c r="A366" s="102" t="str">
        <f t="shared" si="39"/>
        <v>Closed</v>
      </c>
      <c r="B366" s="14" t="s">
        <v>95</v>
      </c>
      <c r="C366" s="14" t="s">
        <v>417</v>
      </c>
      <c r="D366" s="79">
        <v>45811</v>
      </c>
      <c r="E366" s="14">
        <v>2503</v>
      </c>
      <c r="G366" s="14" t="e">
        <f>VLOOKUP(F366,'Accident &amp; Incident Detail'!$D$3:$E$1154,2,FALSE)</f>
        <v>#N/A</v>
      </c>
      <c r="H366" s="14" t="s">
        <v>1368</v>
      </c>
      <c r="I366" s="14" t="s">
        <v>1369</v>
      </c>
      <c r="J366" s="14" t="s">
        <v>234</v>
      </c>
      <c r="K366" s="14" t="s">
        <v>210</v>
      </c>
      <c r="L366" s="14" t="s">
        <v>234</v>
      </c>
      <c r="M366" s="79">
        <f t="shared" si="37"/>
        <v>45839</v>
      </c>
      <c r="N366" s="14">
        <f t="shared" ca="1" si="38"/>
        <v>1</v>
      </c>
      <c r="O366" s="79">
        <v>45778</v>
      </c>
    </row>
    <row r="367" spans="1:23" ht="43.5" x14ac:dyDescent="0.35">
      <c r="A367" s="102" t="str">
        <f t="shared" si="39"/>
        <v>Closed</v>
      </c>
      <c r="B367" s="14" t="s">
        <v>95</v>
      </c>
      <c r="C367" s="14" t="s">
        <v>336</v>
      </c>
      <c r="D367" s="79">
        <v>45800</v>
      </c>
      <c r="E367" s="14">
        <v>2503</v>
      </c>
      <c r="F367" s="14" t="s">
        <v>1370</v>
      </c>
      <c r="G367" s="14" t="str">
        <f>VLOOKUP(F367,'Accident &amp; Incident Detail'!$D$3:$E$1154,2,FALSE)</f>
        <v>Minor - RTC</v>
      </c>
      <c r="H367" s="14" t="s">
        <v>1371</v>
      </c>
      <c r="I367" s="14" t="s">
        <v>1355</v>
      </c>
      <c r="J367" s="14" t="s">
        <v>234</v>
      </c>
      <c r="K367" s="14" t="s">
        <v>255</v>
      </c>
      <c r="L367" s="14" t="s">
        <v>234</v>
      </c>
      <c r="M367" s="79">
        <f t="shared" si="37"/>
        <v>45828</v>
      </c>
      <c r="N367" s="14">
        <f t="shared" ca="1" si="38"/>
        <v>1</v>
      </c>
      <c r="O367" s="79">
        <v>45805</v>
      </c>
      <c r="Q367" s="14" t="s">
        <v>1372</v>
      </c>
    </row>
    <row r="368" spans="1:23" ht="101.5" x14ac:dyDescent="0.35">
      <c r="A368" s="102" t="str">
        <f t="shared" si="39"/>
        <v>Closed</v>
      </c>
      <c r="B368" s="14" t="s">
        <v>91</v>
      </c>
      <c r="C368" s="14" t="s">
        <v>1244</v>
      </c>
      <c r="D368" s="79">
        <v>45826</v>
      </c>
      <c r="E368" s="14">
        <v>2503</v>
      </c>
      <c r="G368" s="14" t="e">
        <f>VLOOKUP(F368,'Accident &amp; Incident Detail'!$D$3:$E$1154,2,FALSE)</f>
        <v>#N/A</v>
      </c>
      <c r="H368" s="14" t="s">
        <v>1373</v>
      </c>
      <c r="I368" s="14" t="s">
        <v>1374</v>
      </c>
      <c r="J368" s="14" t="s">
        <v>236</v>
      </c>
      <c r="K368" s="14" t="s">
        <v>244</v>
      </c>
      <c r="L368" s="14" t="s">
        <v>236</v>
      </c>
      <c r="M368" s="79">
        <f t="shared" si="37"/>
        <v>45854</v>
      </c>
      <c r="N368" s="14">
        <f t="shared" ca="1" si="38"/>
        <v>1</v>
      </c>
      <c r="O368" s="79">
        <v>46048</v>
      </c>
    </row>
    <row r="369" spans="1:23" ht="362.5" x14ac:dyDescent="0.35">
      <c r="A369" s="102" t="str">
        <f t="shared" ca="1" si="39"/>
        <v>Overdue</v>
      </c>
      <c r="B369" s="14" t="s">
        <v>91</v>
      </c>
      <c r="C369" s="14" t="s">
        <v>184</v>
      </c>
      <c r="D369" s="79">
        <v>45840</v>
      </c>
      <c r="E369" s="14">
        <v>2504</v>
      </c>
      <c r="G369" s="14" t="e">
        <f>VLOOKUP(F369,'Accident &amp; Incident Detail'!$D$3:$E$1154,2,FALSE)</f>
        <v>#N/A</v>
      </c>
      <c r="H369" s="14" t="s">
        <v>1375</v>
      </c>
      <c r="I369" s="14" t="s">
        <v>1376</v>
      </c>
      <c r="J369" s="14" t="s">
        <v>236</v>
      </c>
      <c r="K369" s="14" t="s">
        <v>244</v>
      </c>
      <c r="L369" s="14" t="s">
        <v>236</v>
      </c>
      <c r="M369" s="79">
        <f t="shared" si="37"/>
        <v>45868</v>
      </c>
      <c r="N369" s="14">
        <f t="shared" ca="1" si="38"/>
        <v>1</v>
      </c>
      <c r="Q369" s="14" t="s">
        <v>1377</v>
      </c>
      <c r="R369" s="14">
        <f ca="1">IF(A369="Closed",O369-D369,$A$2-D369)</f>
        <v>217</v>
      </c>
      <c r="S369" s="14">
        <f>IF(B369="DWPI Action",R369,0)</f>
        <v>0</v>
      </c>
      <c r="T369" s="14">
        <f ca="1">IF(A369="Closed",S369,0)</f>
        <v>0</v>
      </c>
      <c r="U369" s="14">
        <f ca="1">IF(A369="Open",S369,0)</f>
        <v>0</v>
      </c>
      <c r="V369" s="14">
        <f ca="1">IF(A369="Overdue",S369,0)</f>
        <v>0</v>
      </c>
      <c r="W369" s="112">
        <f ca="1">SUM(U369:V369)</f>
        <v>0</v>
      </c>
    </row>
    <row r="370" spans="1:23" ht="29" x14ac:dyDescent="0.35">
      <c r="A370" s="102" t="str">
        <f t="shared" si="39"/>
        <v>Closed</v>
      </c>
      <c r="B370" s="14" t="s">
        <v>95</v>
      </c>
      <c r="C370" s="14" t="s">
        <v>1378</v>
      </c>
      <c r="D370" s="79">
        <v>45765</v>
      </c>
      <c r="E370" s="14">
        <v>2501</v>
      </c>
      <c r="F370" s="14" t="s">
        <v>1379</v>
      </c>
      <c r="G370" s="14" t="str">
        <f>VLOOKUP(F370,'Accident &amp; Incident Detail'!$D$3:$E$1154,2,FALSE)</f>
        <v>Minor - RTC</v>
      </c>
      <c r="H370" s="14" t="s">
        <v>1380</v>
      </c>
      <c r="I370" s="14" t="s">
        <v>1381</v>
      </c>
      <c r="J370" s="14" t="s">
        <v>234</v>
      </c>
      <c r="K370" s="14" t="s">
        <v>268</v>
      </c>
      <c r="L370" s="14" t="s">
        <v>234</v>
      </c>
      <c r="M370" s="79">
        <f t="shared" si="37"/>
        <v>45793</v>
      </c>
      <c r="N370" s="14">
        <f t="shared" ca="1" si="38"/>
        <v>1</v>
      </c>
      <c r="O370" s="79" t="s">
        <v>1382</v>
      </c>
    </row>
    <row r="371" spans="1:23" ht="29" x14ac:dyDescent="0.35">
      <c r="A371" s="102" t="str">
        <f t="shared" si="39"/>
        <v>Closed</v>
      </c>
      <c r="B371" s="14" t="s">
        <v>95</v>
      </c>
      <c r="C371" s="14" t="s">
        <v>188</v>
      </c>
      <c r="D371" s="79">
        <v>45766</v>
      </c>
      <c r="E371" s="14">
        <v>2501</v>
      </c>
      <c r="F371" s="14" t="s">
        <v>1383</v>
      </c>
      <c r="G371" s="14" t="str">
        <f>VLOOKUP(F371,'Accident &amp; Incident Detail'!$D$3:$E$1154,2,FALSE)</f>
        <v>Verbal Abuse</v>
      </c>
      <c r="H371" s="14" t="s">
        <v>1384</v>
      </c>
      <c r="I371" s="14" t="s">
        <v>1385</v>
      </c>
      <c r="J371" s="14" t="s">
        <v>234</v>
      </c>
      <c r="K371" s="14" t="s">
        <v>269</v>
      </c>
      <c r="L371" s="14" t="s">
        <v>234</v>
      </c>
      <c r="M371" s="79">
        <f t="shared" si="37"/>
        <v>45794</v>
      </c>
      <c r="N371" s="14">
        <f t="shared" ca="1" si="38"/>
        <v>1</v>
      </c>
      <c r="O371" s="79" t="s">
        <v>1386</v>
      </c>
    </row>
    <row r="372" spans="1:23" ht="29" x14ac:dyDescent="0.35">
      <c r="A372" s="102" t="str">
        <f t="shared" si="39"/>
        <v>Closed</v>
      </c>
      <c r="B372" s="14" t="s">
        <v>95</v>
      </c>
      <c r="C372" s="14" t="s">
        <v>188</v>
      </c>
      <c r="D372" s="79">
        <v>45766</v>
      </c>
      <c r="E372" s="14">
        <v>2501</v>
      </c>
      <c r="F372" s="14" t="s">
        <v>1383</v>
      </c>
      <c r="G372" s="14" t="str">
        <f>VLOOKUP(F372,'Accident &amp; Incident Detail'!$D$3:$E$1154,2,FALSE)</f>
        <v>Verbal Abuse</v>
      </c>
      <c r="H372" s="14" t="s">
        <v>1387</v>
      </c>
      <c r="I372" s="14" t="s">
        <v>1388</v>
      </c>
      <c r="J372" s="14" t="s">
        <v>234</v>
      </c>
      <c r="K372" s="14" t="s">
        <v>263</v>
      </c>
      <c r="L372" s="14" t="s">
        <v>234</v>
      </c>
      <c r="M372" s="79">
        <f t="shared" si="37"/>
        <v>45794</v>
      </c>
      <c r="N372" s="14">
        <f t="shared" ca="1" si="38"/>
        <v>1</v>
      </c>
      <c r="O372" s="79" t="s">
        <v>1386</v>
      </c>
      <c r="R372" s="14">
        <f>IF(A372="Closed",O372-D372,$A$2-D372)</f>
        <v>0</v>
      </c>
      <c r="S372" s="14">
        <f>IF(B372="DWPI Action",R372,0)</f>
        <v>0</v>
      </c>
      <c r="T372" s="14">
        <f>IF(A372="Closed",S372,0)</f>
        <v>0</v>
      </c>
      <c r="U372" s="14">
        <f>IF(A372="Open",S372,0)</f>
        <v>0</v>
      </c>
      <c r="V372" s="14">
        <f>IF(A372="Overdue",S372,0)</f>
        <v>0</v>
      </c>
      <c r="W372" s="112">
        <f>SUM(U372:V372)</f>
        <v>0</v>
      </c>
    </row>
    <row r="373" spans="1:23" ht="29" x14ac:dyDescent="0.35">
      <c r="A373" s="102" t="str">
        <f t="shared" si="39"/>
        <v>Closed</v>
      </c>
      <c r="B373" s="14" t="s">
        <v>95</v>
      </c>
      <c r="C373" s="14" t="s">
        <v>177</v>
      </c>
      <c r="D373" s="79">
        <v>45774</v>
      </c>
      <c r="E373" s="14">
        <v>2501</v>
      </c>
      <c r="F373" s="14" t="s">
        <v>1389</v>
      </c>
      <c r="G373" s="14" t="s">
        <v>204</v>
      </c>
      <c r="H373" s="14" t="s">
        <v>1390</v>
      </c>
      <c r="I373" s="14" t="s">
        <v>1391</v>
      </c>
      <c r="J373" s="14" t="s">
        <v>234</v>
      </c>
      <c r="K373" s="14" t="s">
        <v>258</v>
      </c>
      <c r="L373" s="14" t="s">
        <v>234</v>
      </c>
      <c r="M373" s="79">
        <f t="shared" si="37"/>
        <v>45802</v>
      </c>
      <c r="N373" s="14">
        <f t="shared" ca="1" si="38"/>
        <v>1</v>
      </c>
      <c r="O373" s="79">
        <v>45774</v>
      </c>
      <c r="R373" s="14">
        <f>IF(A373="Closed",O373-D373,$A$2-D373)</f>
        <v>0</v>
      </c>
      <c r="S373" s="14">
        <f>IF(B373="DWPI Action",R373,0)</f>
        <v>0</v>
      </c>
      <c r="T373" s="14">
        <f>IF(A373="Closed",S373,0)</f>
        <v>0</v>
      </c>
      <c r="U373" s="14">
        <f>IF(A373="Open",S373,0)</f>
        <v>0</v>
      </c>
      <c r="V373" s="14">
        <f>IF(A373="Overdue",S373,0)</f>
        <v>0</v>
      </c>
      <c r="W373" s="112">
        <f>SUM(U373:V373)</f>
        <v>0</v>
      </c>
    </row>
    <row r="374" spans="1:23" ht="29" x14ac:dyDescent="0.35">
      <c r="A374" s="102" t="str">
        <f>IF(O374&gt;1,"Closed",IF(N374=1,"Overdue",IF(N374=3,"","Open")))</f>
        <v>Closed</v>
      </c>
      <c r="B374" s="112" t="s">
        <v>96</v>
      </c>
      <c r="C374" s="14" t="s">
        <v>184</v>
      </c>
      <c r="D374" s="79">
        <v>45887</v>
      </c>
      <c r="E374" s="14">
        <v>2506</v>
      </c>
      <c r="F374" s="14" t="s">
        <v>1392</v>
      </c>
      <c r="G374" s="14" t="s">
        <v>80</v>
      </c>
      <c r="H374" s="14" t="s">
        <v>1393</v>
      </c>
      <c r="I374" s="14" t="s">
        <v>1394</v>
      </c>
      <c r="J374" s="14" t="s">
        <v>234</v>
      </c>
      <c r="K374" s="14" t="s">
        <v>255</v>
      </c>
      <c r="L374" s="14" t="s">
        <v>234</v>
      </c>
      <c r="M374" s="79">
        <f t="shared" si="37"/>
        <v>45915</v>
      </c>
      <c r="N374" s="14">
        <f t="shared" ca="1" si="38"/>
        <v>1</v>
      </c>
      <c r="O374" s="79">
        <v>45887</v>
      </c>
    </row>
    <row r="375" spans="1:23" ht="58" x14ac:dyDescent="0.35">
      <c r="A375" s="102" t="str">
        <f t="shared" si="39"/>
        <v>Closed</v>
      </c>
      <c r="B375" s="14" t="s">
        <v>96</v>
      </c>
      <c r="C375" s="14" t="s">
        <v>184</v>
      </c>
      <c r="D375" s="79">
        <v>45887</v>
      </c>
      <c r="E375" s="14">
        <v>2506</v>
      </c>
      <c r="F375" s="14" t="s">
        <v>1392</v>
      </c>
      <c r="G375" s="14" t="s">
        <v>80</v>
      </c>
      <c r="H375" s="14" t="s">
        <v>1395</v>
      </c>
      <c r="I375" s="14" t="s">
        <v>1396</v>
      </c>
      <c r="J375" s="14" t="s">
        <v>234</v>
      </c>
      <c r="K375" s="14" t="s">
        <v>260</v>
      </c>
      <c r="L375" s="14" t="s">
        <v>234</v>
      </c>
      <c r="M375" s="79">
        <f t="shared" si="37"/>
        <v>45915</v>
      </c>
      <c r="N375" s="14">
        <f t="shared" ca="1" si="38"/>
        <v>1</v>
      </c>
      <c r="O375" s="79">
        <v>46042</v>
      </c>
      <c r="Q375" s="14" t="s">
        <v>1397</v>
      </c>
    </row>
    <row r="376" spans="1:23" ht="43.5" x14ac:dyDescent="0.35">
      <c r="A376" s="102" t="str">
        <f t="shared" si="39"/>
        <v>Closed</v>
      </c>
      <c r="B376" s="14" t="s">
        <v>96</v>
      </c>
      <c r="C376" s="14" t="s">
        <v>184</v>
      </c>
      <c r="D376" s="79">
        <v>45887</v>
      </c>
      <c r="E376" s="14">
        <v>2506</v>
      </c>
      <c r="F376" s="14" t="s">
        <v>1392</v>
      </c>
      <c r="G376" s="14" t="s">
        <v>80</v>
      </c>
      <c r="H376" s="14" t="s">
        <v>1398</v>
      </c>
      <c r="I376" s="14" t="s">
        <v>1399</v>
      </c>
      <c r="J376" s="14" t="s">
        <v>236</v>
      </c>
      <c r="K376" s="14" t="s">
        <v>250</v>
      </c>
      <c r="L376" s="14" t="s">
        <v>236</v>
      </c>
      <c r="M376" s="79">
        <f t="shared" si="37"/>
        <v>45915</v>
      </c>
      <c r="N376" s="14">
        <f t="shared" ca="1" si="38"/>
        <v>1</v>
      </c>
      <c r="O376" s="79">
        <v>45943</v>
      </c>
      <c r="Q376" s="14" t="s">
        <v>1400</v>
      </c>
    </row>
    <row r="377" spans="1:23" ht="43.5" x14ac:dyDescent="0.35">
      <c r="A377" s="102" t="str">
        <f t="shared" si="39"/>
        <v>Closed</v>
      </c>
      <c r="B377" s="14" t="s">
        <v>96</v>
      </c>
      <c r="C377" s="14" t="s">
        <v>184</v>
      </c>
      <c r="D377" s="79">
        <v>45887</v>
      </c>
      <c r="E377" s="14">
        <v>2506</v>
      </c>
      <c r="F377" s="14" t="s">
        <v>1392</v>
      </c>
      <c r="G377" s="14" t="s">
        <v>80</v>
      </c>
      <c r="H377" s="14" t="s">
        <v>1401</v>
      </c>
      <c r="I377" s="14" t="s">
        <v>1402</v>
      </c>
      <c r="J377" s="14" t="s">
        <v>236</v>
      </c>
      <c r="K377" s="14" t="s">
        <v>250</v>
      </c>
      <c r="L377" s="14" t="s">
        <v>236</v>
      </c>
      <c r="M377" s="79">
        <f t="shared" si="37"/>
        <v>45915</v>
      </c>
      <c r="N377" s="14">
        <f t="shared" ca="1" si="38"/>
        <v>1</v>
      </c>
      <c r="O377" s="79">
        <v>45947</v>
      </c>
    </row>
    <row r="378" spans="1:23" ht="43.5" x14ac:dyDescent="0.35">
      <c r="A378" s="102" t="str">
        <f t="shared" si="39"/>
        <v>Closed</v>
      </c>
      <c r="B378" s="14" t="s">
        <v>96</v>
      </c>
      <c r="C378" s="14" t="s">
        <v>184</v>
      </c>
      <c r="D378" s="79">
        <v>45887</v>
      </c>
      <c r="E378" s="14">
        <v>2506</v>
      </c>
      <c r="F378" s="14" t="s">
        <v>1392</v>
      </c>
      <c r="G378" s="14" t="s">
        <v>80</v>
      </c>
      <c r="H378" s="14" t="s">
        <v>1403</v>
      </c>
      <c r="I378" s="14" t="s">
        <v>1404</v>
      </c>
      <c r="J378" s="14" t="s">
        <v>234</v>
      </c>
      <c r="K378" s="14" t="s">
        <v>260</v>
      </c>
      <c r="L378" s="14" t="s">
        <v>234</v>
      </c>
      <c r="M378" s="79">
        <f t="shared" si="37"/>
        <v>45915</v>
      </c>
      <c r="N378" s="14">
        <f t="shared" ca="1" si="38"/>
        <v>1</v>
      </c>
      <c r="O378" s="79">
        <v>45966</v>
      </c>
      <c r="Q378" s="14" t="s">
        <v>1405</v>
      </c>
    </row>
    <row r="379" spans="1:23" ht="43.5" x14ac:dyDescent="0.35">
      <c r="A379" s="102" t="str">
        <f t="shared" si="39"/>
        <v>Closed</v>
      </c>
      <c r="B379" s="14" t="s">
        <v>96</v>
      </c>
      <c r="C379" s="14" t="s">
        <v>184</v>
      </c>
      <c r="D379" s="79">
        <v>45887</v>
      </c>
      <c r="E379" s="14">
        <v>2506</v>
      </c>
      <c r="F379" s="14" t="s">
        <v>1392</v>
      </c>
      <c r="G379" s="14" t="s">
        <v>80</v>
      </c>
      <c r="H379" s="14" t="s">
        <v>1406</v>
      </c>
      <c r="I379" s="14" t="s">
        <v>1407</v>
      </c>
      <c r="J379" s="14" t="s">
        <v>234</v>
      </c>
      <c r="K379" s="14" t="s">
        <v>259</v>
      </c>
      <c r="L379" s="14" t="s">
        <v>234</v>
      </c>
      <c r="M379" s="79">
        <f t="shared" si="37"/>
        <v>45915</v>
      </c>
      <c r="N379" s="14">
        <f t="shared" ca="1" si="38"/>
        <v>1</v>
      </c>
      <c r="O379" s="79">
        <v>46042</v>
      </c>
      <c r="Q379" s="14" t="s">
        <v>1408</v>
      </c>
    </row>
    <row r="380" spans="1:23" ht="72.5" x14ac:dyDescent="0.35">
      <c r="A380" s="102" t="str">
        <f t="shared" si="39"/>
        <v>Closed</v>
      </c>
      <c r="B380" s="14" t="s">
        <v>96</v>
      </c>
      <c r="C380" s="14" t="s">
        <v>184</v>
      </c>
      <c r="D380" s="79">
        <v>45887</v>
      </c>
      <c r="E380" s="14">
        <v>2506</v>
      </c>
      <c r="F380" s="14" t="s">
        <v>1392</v>
      </c>
      <c r="G380" s="14" t="s">
        <v>80</v>
      </c>
      <c r="H380" s="14" t="s">
        <v>1409</v>
      </c>
      <c r="I380" s="14" t="s">
        <v>1410</v>
      </c>
      <c r="J380" s="14" t="s">
        <v>241</v>
      </c>
      <c r="K380" s="14" t="s">
        <v>242</v>
      </c>
      <c r="L380" s="14" t="s">
        <v>241</v>
      </c>
      <c r="M380" s="79">
        <f t="shared" si="37"/>
        <v>45915</v>
      </c>
      <c r="N380" s="14">
        <f t="shared" ca="1" si="38"/>
        <v>1</v>
      </c>
      <c r="O380" s="79">
        <v>46028</v>
      </c>
      <c r="Q380" s="14" t="s">
        <v>1411</v>
      </c>
    </row>
    <row r="381" spans="1:23" ht="29" x14ac:dyDescent="0.35">
      <c r="A381" s="102" t="str">
        <f t="shared" si="39"/>
        <v>Closed</v>
      </c>
      <c r="B381" s="14" t="s">
        <v>96</v>
      </c>
      <c r="C381" s="14" t="s">
        <v>184</v>
      </c>
      <c r="D381" s="79">
        <v>45887</v>
      </c>
      <c r="E381" s="14">
        <v>2506</v>
      </c>
      <c r="F381" s="14" t="s">
        <v>1392</v>
      </c>
      <c r="G381" s="14" t="s">
        <v>80</v>
      </c>
      <c r="H381" s="14" t="s">
        <v>1412</v>
      </c>
      <c r="I381" s="14" t="s">
        <v>1413</v>
      </c>
      <c r="J381" s="14" t="s">
        <v>234</v>
      </c>
      <c r="K381" s="14" t="s">
        <v>226</v>
      </c>
      <c r="L381" s="14" t="s">
        <v>234</v>
      </c>
      <c r="M381" s="79">
        <f t="shared" si="37"/>
        <v>45915</v>
      </c>
      <c r="N381" s="14">
        <f t="shared" ca="1" si="38"/>
        <v>1</v>
      </c>
      <c r="O381" s="79">
        <v>46042</v>
      </c>
      <c r="Q381" s="14" t="s">
        <v>1414</v>
      </c>
    </row>
    <row r="382" spans="1:23" ht="72.5" x14ac:dyDescent="0.35">
      <c r="A382" s="102" t="str">
        <f t="shared" ca="1" si="39"/>
        <v>Overdue</v>
      </c>
      <c r="B382" s="14" t="s">
        <v>96</v>
      </c>
      <c r="C382" s="14" t="s">
        <v>184</v>
      </c>
      <c r="D382" s="79">
        <v>45887</v>
      </c>
      <c r="E382" s="14">
        <v>2506</v>
      </c>
      <c r="F382" s="14" t="s">
        <v>1392</v>
      </c>
      <c r="G382" s="14" t="s">
        <v>80</v>
      </c>
      <c r="H382" s="14" t="s">
        <v>1415</v>
      </c>
      <c r="I382" s="14" t="s">
        <v>1416</v>
      </c>
      <c r="J382" s="14" t="s">
        <v>234</v>
      </c>
      <c r="K382" s="14" t="s">
        <v>216</v>
      </c>
      <c r="L382" s="14" t="s">
        <v>234</v>
      </c>
      <c r="M382" s="79">
        <f t="shared" si="37"/>
        <v>45915</v>
      </c>
      <c r="N382" s="14">
        <f t="shared" ca="1" si="38"/>
        <v>1</v>
      </c>
      <c r="Q382" s="14" t="s">
        <v>1417</v>
      </c>
    </row>
    <row r="383" spans="1:23" ht="72.5" x14ac:dyDescent="0.35">
      <c r="A383" s="102" t="str">
        <f t="shared" ca="1" si="39"/>
        <v>Open</v>
      </c>
      <c r="B383" s="14" t="s">
        <v>91</v>
      </c>
      <c r="C383" s="14" t="s">
        <v>922</v>
      </c>
      <c r="D383" s="79">
        <v>45898</v>
      </c>
      <c r="E383" s="14">
        <v>2506</v>
      </c>
      <c r="G383" s="14" t="e">
        <f>VLOOKUP(F383,'Accident &amp; Incident Detail'!$D$3:$E$1154,2,FALSE)</f>
        <v>#N/A</v>
      </c>
      <c r="H383" s="14" t="s">
        <v>1418</v>
      </c>
      <c r="I383" s="14" t="s">
        <v>1419</v>
      </c>
      <c r="J383" s="14" t="s">
        <v>372</v>
      </c>
      <c r="K383" s="14" t="s">
        <v>271</v>
      </c>
      <c r="L383" s="14" t="s">
        <v>236</v>
      </c>
      <c r="M383" s="79">
        <v>46066</v>
      </c>
      <c r="N383" s="14">
        <f ca="1">IF(D383="",3,IF(M383&lt;$A$2,1,0))</f>
        <v>0</v>
      </c>
      <c r="Q383" s="14" t="s">
        <v>1420</v>
      </c>
    </row>
    <row r="384" spans="1:23" ht="87" x14ac:dyDescent="0.35">
      <c r="A384" s="102" t="str">
        <f t="shared" si="39"/>
        <v>Closed</v>
      </c>
      <c r="B384" s="14" t="s">
        <v>91</v>
      </c>
      <c r="C384" s="14" t="s">
        <v>922</v>
      </c>
      <c r="D384" s="79">
        <v>45898</v>
      </c>
      <c r="E384" s="14">
        <v>2506</v>
      </c>
      <c r="G384" s="14" t="e">
        <f>VLOOKUP(F384,'Accident &amp; Incident Detail'!$D$3:$E$1154,2,FALSE)</f>
        <v>#N/A</v>
      </c>
      <c r="H384" s="14" t="s">
        <v>1421</v>
      </c>
      <c r="I384" s="14" t="s">
        <v>1422</v>
      </c>
      <c r="J384" s="14" t="s">
        <v>328</v>
      </c>
      <c r="K384" s="14" t="s">
        <v>250</v>
      </c>
      <c r="L384" s="14" t="s">
        <v>236</v>
      </c>
      <c r="M384" s="79">
        <f t="shared" si="37"/>
        <v>45926</v>
      </c>
      <c r="N384" s="14">
        <f t="shared" ca="1" si="38"/>
        <v>1</v>
      </c>
      <c r="O384" s="79">
        <v>45904</v>
      </c>
    </row>
    <row r="385" spans="1:22" ht="58" x14ac:dyDescent="0.35">
      <c r="A385" s="102" t="str">
        <f t="shared" si="39"/>
        <v>Closed</v>
      </c>
      <c r="B385" s="14" t="s">
        <v>95</v>
      </c>
      <c r="C385" s="14" t="s">
        <v>177</v>
      </c>
      <c r="D385" s="79">
        <v>45697</v>
      </c>
      <c r="E385" s="14">
        <v>2410</v>
      </c>
      <c r="F385" s="14" t="s">
        <v>1423</v>
      </c>
      <c r="H385" s="14" t="s">
        <v>1424</v>
      </c>
      <c r="I385" s="14" t="s">
        <v>1425</v>
      </c>
      <c r="J385" s="14" t="s">
        <v>401</v>
      </c>
      <c r="K385" s="14" t="s">
        <v>263</v>
      </c>
      <c r="L385" s="14" t="s">
        <v>234</v>
      </c>
      <c r="M385" s="79">
        <f t="shared" si="37"/>
        <v>45725</v>
      </c>
      <c r="N385" s="14">
        <f t="shared" ca="1" si="38"/>
        <v>1</v>
      </c>
      <c r="O385" s="79">
        <v>45717</v>
      </c>
      <c r="Q385" s="14" t="s">
        <v>602</v>
      </c>
      <c r="T385" s="14"/>
      <c r="U385" s="14"/>
      <c r="V385" s="14"/>
    </row>
    <row r="386" spans="1:22" ht="29" x14ac:dyDescent="0.35">
      <c r="A386" s="102" t="str">
        <f t="shared" ref="A386:A426" si="40">IF(O386&gt;1,"Closed",IF(N386=1,"Overdue",IF(N386=3,"","Open")))</f>
        <v>Closed</v>
      </c>
      <c r="B386" s="14" t="s">
        <v>95</v>
      </c>
      <c r="C386" s="14" t="s">
        <v>177</v>
      </c>
      <c r="D386" s="79">
        <v>45719</v>
      </c>
      <c r="E386" s="14">
        <v>2410</v>
      </c>
      <c r="F386" s="14" t="s">
        <v>1426</v>
      </c>
      <c r="G386" s="14" t="str">
        <f>VLOOKUP(F386,'Accident &amp; Incident Detail'!$D$3:$E$1154,2,FALSE)</f>
        <v>Door Trap</v>
      </c>
      <c r="H386" s="14" t="s">
        <v>1427</v>
      </c>
      <c r="I386" s="14" t="s">
        <v>1428</v>
      </c>
      <c r="J386" s="14" t="s">
        <v>401</v>
      </c>
      <c r="K386" s="14" t="s">
        <v>263</v>
      </c>
      <c r="L386" s="14" t="s">
        <v>234</v>
      </c>
      <c r="M386" s="79">
        <f t="shared" si="37"/>
        <v>45747</v>
      </c>
      <c r="N386" s="14">
        <f t="shared" ca="1" si="38"/>
        <v>1</v>
      </c>
      <c r="O386" s="79">
        <v>45726</v>
      </c>
    </row>
    <row r="387" spans="1:22" ht="29" x14ac:dyDescent="0.35">
      <c r="A387" s="102" t="str">
        <f t="shared" si="40"/>
        <v>Closed</v>
      </c>
      <c r="B387" s="14" t="s">
        <v>95</v>
      </c>
      <c r="C387" s="14" t="s">
        <v>185</v>
      </c>
      <c r="D387" s="79">
        <v>45737</v>
      </c>
      <c r="E387" s="14">
        <v>2411</v>
      </c>
      <c r="F387" s="14" t="s">
        <v>1429</v>
      </c>
      <c r="G387" s="14" t="str">
        <f>VLOOKUP(F387,'Accident &amp; Incident Detail'!$D$3:$E$1154,2,FALSE)</f>
        <v>Minor - RTC</v>
      </c>
      <c r="H387" s="14" t="s">
        <v>1430</v>
      </c>
      <c r="I387" s="14" t="s">
        <v>1431</v>
      </c>
      <c r="J387" s="14" t="s">
        <v>234</v>
      </c>
      <c r="K387" s="14" t="s">
        <v>268</v>
      </c>
      <c r="L387" s="14" t="s">
        <v>234</v>
      </c>
      <c r="M387" s="79">
        <f t="shared" si="37"/>
        <v>45765</v>
      </c>
      <c r="N387" s="14">
        <f t="shared" ca="1" si="38"/>
        <v>1</v>
      </c>
      <c r="O387" s="79">
        <v>45760</v>
      </c>
    </row>
    <row r="388" spans="1:22" ht="116" x14ac:dyDescent="0.35">
      <c r="A388" s="102" t="str">
        <f t="shared" si="40"/>
        <v>Closed</v>
      </c>
      <c r="B388" s="14" t="s">
        <v>95</v>
      </c>
      <c r="C388" s="14" t="s">
        <v>1432</v>
      </c>
      <c r="D388" s="79">
        <v>45686</v>
      </c>
      <c r="E388" s="14">
        <v>2411</v>
      </c>
      <c r="F388" s="14" t="s">
        <v>1433</v>
      </c>
      <c r="G388" s="14" t="str">
        <f>VLOOKUP(F388,'Accident &amp; Incident Detail'!$D$3:$E$1154,2,FALSE)</f>
        <v>Tracks</v>
      </c>
      <c r="H388" s="14" t="s">
        <v>1434</v>
      </c>
      <c r="I388" s="14" t="s">
        <v>1435</v>
      </c>
      <c r="J388" s="14" t="s">
        <v>328</v>
      </c>
      <c r="K388" s="14" t="s">
        <v>270</v>
      </c>
      <c r="L388" s="14" t="s">
        <v>236</v>
      </c>
      <c r="M388" s="79">
        <f t="shared" si="37"/>
        <v>45714</v>
      </c>
      <c r="N388" s="14">
        <f t="shared" ca="1" si="38"/>
        <v>1</v>
      </c>
      <c r="O388" s="79">
        <v>45971</v>
      </c>
      <c r="Q388" s="14" t="s">
        <v>1436</v>
      </c>
    </row>
    <row r="389" spans="1:22" ht="29" x14ac:dyDescent="0.35">
      <c r="A389" s="102" t="str">
        <f t="shared" si="40"/>
        <v>Closed</v>
      </c>
      <c r="B389" s="14" t="s">
        <v>95</v>
      </c>
      <c r="C389" s="14" t="s">
        <v>1432</v>
      </c>
      <c r="D389" s="79">
        <v>45686</v>
      </c>
      <c r="E389" s="14">
        <v>2411</v>
      </c>
      <c r="F389" s="14" t="s">
        <v>1433</v>
      </c>
      <c r="G389" s="14" t="str">
        <f>VLOOKUP(F389,'Accident &amp; Incident Detail'!$D$3:$E$1154,2,FALSE)</f>
        <v>Tracks</v>
      </c>
      <c r="H389" s="14" t="s">
        <v>1437</v>
      </c>
      <c r="I389" s="14" t="s">
        <v>1438</v>
      </c>
      <c r="J389" s="14" t="s">
        <v>328</v>
      </c>
      <c r="K389" s="14" t="s">
        <v>261</v>
      </c>
      <c r="L389" s="14" t="s">
        <v>236</v>
      </c>
      <c r="M389" s="79">
        <f t="shared" si="37"/>
        <v>45714</v>
      </c>
      <c r="N389" s="14">
        <f t="shared" ca="1" si="38"/>
        <v>1</v>
      </c>
      <c r="O389" s="79">
        <v>45716</v>
      </c>
    </row>
    <row r="390" spans="1:22" ht="58" x14ac:dyDescent="0.35">
      <c r="A390" s="102" t="str">
        <f t="shared" si="40"/>
        <v>Closed</v>
      </c>
      <c r="B390" s="14" t="s">
        <v>95</v>
      </c>
      <c r="C390" s="14" t="s">
        <v>1432</v>
      </c>
      <c r="D390" s="79">
        <v>45686</v>
      </c>
      <c r="E390" s="14">
        <v>2411</v>
      </c>
      <c r="F390" s="14" t="s">
        <v>1433</v>
      </c>
      <c r="G390" s="14" t="str">
        <f>VLOOKUP(F390,'Accident &amp; Incident Detail'!$D$3:$E$1154,2,FALSE)</f>
        <v>Tracks</v>
      </c>
      <c r="H390" s="14" t="s">
        <v>1439</v>
      </c>
      <c r="I390" s="14" t="s">
        <v>1440</v>
      </c>
      <c r="J390" s="14" t="s">
        <v>328</v>
      </c>
      <c r="K390" s="14" t="s">
        <v>261</v>
      </c>
      <c r="L390" s="14" t="s">
        <v>236</v>
      </c>
      <c r="M390" s="79">
        <f t="shared" si="37"/>
        <v>45714</v>
      </c>
      <c r="N390" s="14">
        <f t="shared" ca="1" si="38"/>
        <v>1</v>
      </c>
      <c r="O390" s="79">
        <v>46388</v>
      </c>
      <c r="Q390" s="14" t="s">
        <v>1441</v>
      </c>
    </row>
    <row r="391" spans="1:22" ht="29" x14ac:dyDescent="0.35">
      <c r="A391" s="102" t="str">
        <f t="shared" si="40"/>
        <v>Closed</v>
      </c>
      <c r="B391" s="14" t="s">
        <v>95</v>
      </c>
      <c r="C391" s="14" t="s">
        <v>336</v>
      </c>
      <c r="D391" s="79">
        <v>45712</v>
      </c>
      <c r="E391" s="14">
        <v>2412</v>
      </c>
      <c r="G391" s="14" t="e">
        <f>VLOOKUP(F391,'Accident &amp; Incident Detail'!$D$3:$E$1154,2,FALSE)</f>
        <v>#N/A</v>
      </c>
      <c r="H391" s="14" t="s">
        <v>1442</v>
      </c>
      <c r="I391" s="14" t="s">
        <v>1443</v>
      </c>
      <c r="J391" s="14" t="s">
        <v>234</v>
      </c>
      <c r="K391" s="14" t="s">
        <v>255</v>
      </c>
      <c r="L391" s="14" t="s">
        <v>234</v>
      </c>
      <c r="M391" s="79">
        <f t="shared" si="37"/>
        <v>45740</v>
      </c>
      <c r="N391" s="14">
        <f t="shared" ca="1" si="38"/>
        <v>1</v>
      </c>
      <c r="O391" s="79">
        <v>45712</v>
      </c>
    </row>
    <row r="392" spans="1:22" ht="29" x14ac:dyDescent="0.35">
      <c r="A392" s="102" t="str">
        <f t="shared" si="40"/>
        <v>Closed</v>
      </c>
      <c r="B392" s="14" t="s">
        <v>95</v>
      </c>
      <c r="C392" s="14" t="s">
        <v>1209</v>
      </c>
      <c r="D392" s="79">
        <v>45753</v>
      </c>
      <c r="E392" s="14">
        <v>2412</v>
      </c>
      <c r="F392" s="14" t="s">
        <v>1444</v>
      </c>
      <c r="G392" s="14" t="str">
        <f>VLOOKUP(F392,'Accident &amp; Incident Detail'!$D$3:$E$1154,2,FALSE)</f>
        <v xml:space="preserve">Speeding </v>
      </c>
      <c r="H392" s="14" t="s">
        <v>1445</v>
      </c>
      <c r="I392" s="14" t="s">
        <v>1446</v>
      </c>
      <c r="J392" s="14" t="s">
        <v>401</v>
      </c>
      <c r="K392" s="14" t="s">
        <v>263</v>
      </c>
      <c r="L392" s="14" t="s">
        <v>234</v>
      </c>
      <c r="M392" s="79">
        <f t="shared" si="37"/>
        <v>45781</v>
      </c>
      <c r="N392" s="14">
        <f t="shared" ca="1" si="38"/>
        <v>1</v>
      </c>
      <c r="O392" s="79">
        <v>45748</v>
      </c>
    </row>
    <row r="393" spans="1:22" ht="72.5" x14ac:dyDescent="0.35">
      <c r="A393" s="102" t="str">
        <f t="shared" si="40"/>
        <v>Closed</v>
      </c>
      <c r="B393" s="14" t="s">
        <v>92</v>
      </c>
      <c r="C393" s="14" t="s">
        <v>184</v>
      </c>
      <c r="D393" s="79">
        <v>45917</v>
      </c>
      <c r="E393" s="14">
        <v>2507</v>
      </c>
      <c r="G393" s="14" t="e">
        <f>VLOOKUP(F393,'Accident &amp; Incident Detail'!$D$3:$E$4153,2,FALSE)</f>
        <v>#N/A</v>
      </c>
      <c r="H393" s="14" t="s">
        <v>1447</v>
      </c>
      <c r="I393" s="14" t="s">
        <v>1448</v>
      </c>
      <c r="J393" s="14" t="s">
        <v>234</v>
      </c>
      <c r="K393" s="14" t="s">
        <v>263</v>
      </c>
      <c r="L393" s="14" t="s">
        <v>234</v>
      </c>
      <c r="M393" s="79">
        <f>IF(D393="","",D393+28)</f>
        <v>45945</v>
      </c>
      <c r="N393" s="14">
        <f t="shared" ref="N393:N433" ca="1" si="41">IF(D393="",3,IF(M393&lt;$A$2,1,0))</f>
        <v>1</v>
      </c>
      <c r="O393" s="79">
        <v>45971</v>
      </c>
      <c r="Q393" s="14" t="s">
        <v>1449</v>
      </c>
    </row>
    <row r="394" spans="1:22" ht="87" x14ac:dyDescent="0.35">
      <c r="A394" s="102" t="str">
        <f t="shared" si="40"/>
        <v>Closed</v>
      </c>
      <c r="B394" s="14" t="s">
        <v>92</v>
      </c>
      <c r="C394" s="14" t="s">
        <v>184</v>
      </c>
      <c r="D394" s="79">
        <v>45917</v>
      </c>
      <c r="E394" s="14">
        <v>2507</v>
      </c>
      <c r="G394" s="14" t="e">
        <f>VLOOKUP(F394,'Accident &amp; Incident Detail'!$D$3:$E$1154,2,FALSE)</f>
        <v>#N/A</v>
      </c>
      <c r="H394" s="14" t="s">
        <v>1450</v>
      </c>
      <c r="I394" s="14" t="s">
        <v>1451</v>
      </c>
      <c r="J394" s="14" t="s">
        <v>241</v>
      </c>
      <c r="K394" s="14" t="s">
        <v>242</v>
      </c>
      <c r="L394" s="14" t="s">
        <v>241</v>
      </c>
      <c r="M394" s="79">
        <f>IF(D394="","",D394+28)</f>
        <v>45945</v>
      </c>
      <c r="N394" s="14">
        <f t="shared" ca="1" si="41"/>
        <v>1</v>
      </c>
      <c r="O394" s="79">
        <v>46041</v>
      </c>
      <c r="Q394" s="14" t="s">
        <v>1452</v>
      </c>
    </row>
    <row r="395" spans="1:22" ht="116" x14ac:dyDescent="0.35">
      <c r="A395" s="102" t="str">
        <f t="shared" si="40"/>
        <v>Closed</v>
      </c>
      <c r="B395" s="14" t="s">
        <v>91</v>
      </c>
      <c r="C395" s="14" t="s">
        <v>1453</v>
      </c>
      <c r="D395" s="79">
        <v>45918</v>
      </c>
      <c r="E395" s="14">
        <v>2507</v>
      </c>
      <c r="G395" s="14" t="e">
        <f>VLOOKUP(F395,'Accident &amp; Incident Detail'!$D$3:$E$4153,2,FALSE)</f>
        <v>#N/A</v>
      </c>
      <c r="H395" s="14" t="s">
        <v>1454</v>
      </c>
      <c r="I395" s="14" t="s">
        <v>1455</v>
      </c>
      <c r="J395" s="14" t="s">
        <v>372</v>
      </c>
      <c r="K395" s="14" t="s">
        <v>1456</v>
      </c>
      <c r="L395" s="14" t="s">
        <v>236</v>
      </c>
      <c r="M395" s="79">
        <f>IF(D395="","",D395+28)</f>
        <v>45946</v>
      </c>
      <c r="N395" s="14">
        <f t="shared" ca="1" si="41"/>
        <v>1</v>
      </c>
      <c r="O395" s="79">
        <v>45926</v>
      </c>
      <c r="Q395" s="14" t="s">
        <v>1457</v>
      </c>
    </row>
    <row r="396" spans="1:22" ht="72.5" x14ac:dyDescent="0.35">
      <c r="A396" s="102" t="str">
        <f t="shared" ca="1" si="40"/>
        <v>Open</v>
      </c>
      <c r="B396" s="14" t="s">
        <v>94</v>
      </c>
      <c r="C396" s="14" t="s">
        <v>184</v>
      </c>
      <c r="D396" s="79">
        <v>45918</v>
      </c>
      <c r="E396" s="14">
        <v>2507</v>
      </c>
      <c r="F396" s="14" t="s">
        <v>1458</v>
      </c>
      <c r="G396" s="14" t="str">
        <f>VLOOKUP(F396,'Accident &amp; Incident Detail'!$D$3:$E$4153,2,FALSE)</f>
        <v>STF other</v>
      </c>
      <c r="H396" s="14" t="s">
        <v>1459</v>
      </c>
      <c r="I396" s="14" t="s">
        <v>1460</v>
      </c>
      <c r="J396" s="14" t="s">
        <v>372</v>
      </c>
      <c r="K396" s="14" t="s">
        <v>271</v>
      </c>
      <c r="L396" s="14" t="s">
        <v>236</v>
      </c>
      <c r="M396" s="79">
        <v>46066</v>
      </c>
      <c r="N396" s="14">
        <f t="shared" ca="1" si="41"/>
        <v>0</v>
      </c>
      <c r="Q396" s="14" t="s">
        <v>1461</v>
      </c>
    </row>
    <row r="397" spans="1:22" s="14" customFormat="1" ht="116" x14ac:dyDescent="0.35">
      <c r="A397" s="102" t="str">
        <f t="shared" si="40"/>
        <v>Closed</v>
      </c>
      <c r="B397" s="14" t="s">
        <v>96</v>
      </c>
      <c r="C397" s="14" t="s">
        <v>1258</v>
      </c>
      <c r="D397" s="79">
        <v>45939</v>
      </c>
      <c r="E397" s="14">
        <v>2507</v>
      </c>
      <c r="F397" s="14" t="s">
        <v>1462</v>
      </c>
      <c r="G397" s="14" t="str">
        <f>VLOOKUP(F397,'Accident &amp; Incident Detail'!$D$3:$E$77583,2,FALSE)</f>
        <v xml:space="preserve"> Major - PTC</v>
      </c>
      <c r="H397" s="14" t="s">
        <v>1463</v>
      </c>
      <c r="I397" s="14" t="s">
        <v>1464</v>
      </c>
      <c r="J397" s="14" t="s">
        <v>234</v>
      </c>
      <c r="K397" s="14" t="s">
        <v>260</v>
      </c>
      <c r="L397" s="14" t="s">
        <v>234</v>
      </c>
      <c r="M397" s="79">
        <v>46203</v>
      </c>
      <c r="N397" s="14">
        <f t="shared" ca="1" si="41"/>
        <v>0</v>
      </c>
      <c r="O397" s="79">
        <v>45966</v>
      </c>
      <c r="Q397" s="14" t="s">
        <v>1465</v>
      </c>
    </row>
    <row r="398" spans="1:22" s="14" customFormat="1" ht="130.5" x14ac:dyDescent="0.35">
      <c r="A398" s="102" t="str">
        <f t="shared" si="40"/>
        <v>Closed</v>
      </c>
      <c r="B398" s="14" t="s">
        <v>96</v>
      </c>
      <c r="C398" s="14" t="s">
        <v>1258</v>
      </c>
      <c r="D398" s="79">
        <v>46034</v>
      </c>
      <c r="E398" s="14">
        <v>2511</v>
      </c>
      <c r="F398" s="14" t="s">
        <v>1462</v>
      </c>
      <c r="G398" s="14" t="str">
        <f>VLOOKUP(F398,'Accident &amp; Incident Detail'!$D$3:$E$4153,2,FALSE)</f>
        <v xml:space="preserve"> Major - PTC</v>
      </c>
      <c r="H398" s="14" t="s">
        <v>1466</v>
      </c>
      <c r="I398" s="14" t="s">
        <v>1467</v>
      </c>
      <c r="J398" s="14" t="s">
        <v>234</v>
      </c>
      <c r="K398" s="14" t="s">
        <v>272</v>
      </c>
      <c r="L398" s="14" t="s">
        <v>234</v>
      </c>
      <c r="M398" s="79">
        <f>IF(D398="","",D398+28)</f>
        <v>46062</v>
      </c>
      <c r="N398" s="14">
        <f t="shared" ca="1" si="41"/>
        <v>0</v>
      </c>
      <c r="O398" s="79">
        <v>46055</v>
      </c>
      <c r="Q398" s="200" t="s">
        <v>1468</v>
      </c>
    </row>
    <row r="399" spans="1:22" s="14" customFormat="1" ht="159.5" x14ac:dyDescent="0.35">
      <c r="A399" s="102" t="str">
        <f t="shared" ca="1" si="40"/>
        <v>Open</v>
      </c>
      <c r="B399" s="14" t="s">
        <v>96</v>
      </c>
      <c r="C399" s="14" t="s">
        <v>1258</v>
      </c>
      <c r="D399" s="79">
        <v>46034</v>
      </c>
      <c r="E399" s="14">
        <v>2511</v>
      </c>
      <c r="F399" s="14" t="s">
        <v>1462</v>
      </c>
      <c r="G399" s="14" t="str">
        <f>VLOOKUP(F399,'Accident &amp; Incident Detail'!$D$3:$E$4153,2,FALSE)</f>
        <v xml:space="preserve"> Major - PTC</v>
      </c>
      <c r="H399" s="14" t="s">
        <v>1469</v>
      </c>
      <c r="I399" s="14" t="s">
        <v>1470</v>
      </c>
      <c r="J399" s="14" t="s">
        <v>234</v>
      </c>
      <c r="K399" s="14" t="s">
        <v>272</v>
      </c>
      <c r="L399" s="14" t="s">
        <v>234</v>
      </c>
      <c r="M399" s="79">
        <f>IF(D399="","",D399+28)</f>
        <v>46062</v>
      </c>
      <c r="N399" s="14">
        <f t="shared" ca="1" si="41"/>
        <v>0</v>
      </c>
      <c r="O399" s="79"/>
      <c r="Q399" s="467" t="s">
        <v>1471</v>
      </c>
    </row>
    <row r="400" spans="1:22" s="14" customFormat="1" ht="116" x14ac:dyDescent="0.35">
      <c r="A400" s="102" t="str">
        <f t="shared" ca="1" si="40"/>
        <v>Open</v>
      </c>
      <c r="B400" s="14" t="s">
        <v>96</v>
      </c>
      <c r="C400" s="14" t="s">
        <v>1258</v>
      </c>
      <c r="D400" s="79">
        <v>46034</v>
      </c>
      <c r="E400" s="14">
        <v>2511</v>
      </c>
      <c r="F400" s="14" t="s">
        <v>1462</v>
      </c>
      <c r="G400" s="14" t="str">
        <f>VLOOKUP(F400,'Accident &amp; Incident Detail'!$D$3:$E$4153,2,FALSE)</f>
        <v xml:space="preserve"> Major - PTC</v>
      </c>
      <c r="H400" s="14" t="s">
        <v>1472</v>
      </c>
      <c r="I400" s="14" t="s">
        <v>1473</v>
      </c>
      <c r="J400" s="14" t="s">
        <v>234</v>
      </c>
      <c r="K400" s="14" t="s">
        <v>272</v>
      </c>
      <c r="L400" s="14" t="s">
        <v>234</v>
      </c>
      <c r="M400" s="79">
        <f>IF(D399="","",D399+28)</f>
        <v>46062</v>
      </c>
      <c r="N400" s="14">
        <f ca="1">IF(D399="",3,IF(M400&lt;$A$2,1,0))</f>
        <v>0</v>
      </c>
      <c r="O400" s="79"/>
      <c r="Q400" s="467" t="s">
        <v>1474</v>
      </c>
    </row>
    <row r="401" spans="1:20" s="14" customFormat="1" ht="217.5" x14ac:dyDescent="0.35">
      <c r="A401" s="102" t="str">
        <f>IF(O401&gt;1,"Closed",IF(N401=1,"Overdue",IF(N401=3,"","Open")))</f>
        <v>Closed</v>
      </c>
      <c r="B401" s="14" t="s">
        <v>96</v>
      </c>
      <c r="C401" s="14" t="s">
        <v>1258</v>
      </c>
      <c r="D401" s="79">
        <v>45947</v>
      </c>
      <c r="E401" s="14">
        <v>2508</v>
      </c>
      <c r="F401" s="14" t="s">
        <v>1462</v>
      </c>
      <c r="G401" s="14" t="str">
        <f>VLOOKUP(F401,'Accident &amp; Incident Detail'!$D$3:$E$4153,2,FALSE)</f>
        <v xml:space="preserve"> Major - PTC</v>
      </c>
      <c r="H401" s="14" t="s">
        <v>1475</v>
      </c>
      <c r="I401" s="14" t="s">
        <v>1476</v>
      </c>
      <c r="J401" s="14" t="s">
        <v>234</v>
      </c>
      <c r="K401" s="14" t="s">
        <v>216</v>
      </c>
      <c r="L401" s="14" t="s">
        <v>234</v>
      </c>
      <c r="M401" s="79">
        <v>46022</v>
      </c>
      <c r="N401" s="14">
        <f t="shared" ca="1" si="41"/>
        <v>1</v>
      </c>
      <c r="O401" s="79" t="s">
        <v>1477</v>
      </c>
      <c r="Q401" s="14" t="s">
        <v>1478</v>
      </c>
    </row>
    <row r="402" spans="1:20" s="14" customFormat="1" ht="145" x14ac:dyDescent="0.35">
      <c r="A402" s="102" t="str">
        <f t="shared" si="40"/>
        <v>Closed</v>
      </c>
      <c r="B402" s="14" t="s">
        <v>96</v>
      </c>
      <c r="C402" s="14" t="s">
        <v>1258</v>
      </c>
      <c r="D402" s="79">
        <v>45947</v>
      </c>
      <c r="E402" s="14">
        <v>2508</v>
      </c>
      <c r="F402" s="14" t="s">
        <v>1462</v>
      </c>
      <c r="G402" s="14" t="str">
        <f>VLOOKUP(F402,'Accident &amp; Incident Detail'!$D$3:$E$4153,2,FALSE)</f>
        <v xml:space="preserve"> Major - PTC</v>
      </c>
      <c r="H402" s="14" t="s">
        <v>1479</v>
      </c>
      <c r="I402" s="14" t="s">
        <v>1480</v>
      </c>
      <c r="J402" s="14" t="s">
        <v>234</v>
      </c>
      <c r="K402" s="14" t="s">
        <v>216</v>
      </c>
      <c r="L402" s="14" t="s">
        <v>234</v>
      </c>
      <c r="M402" s="79">
        <v>46022</v>
      </c>
      <c r="N402" s="14">
        <f t="shared" ca="1" si="41"/>
        <v>1</v>
      </c>
      <c r="O402" s="79">
        <v>46031</v>
      </c>
      <c r="Q402" s="14" t="s">
        <v>1481</v>
      </c>
      <c r="T402" s="79"/>
    </row>
    <row r="403" spans="1:20" s="14" customFormat="1" ht="58" x14ac:dyDescent="0.35">
      <c r="A403" s="102" t="str">
        <f t="shared" si="40"/>
        <v>Closed</v>
      </c>
      <c r="B403" s="14" t="s">
        <v>96</v>
      </c>
      <c r="C403" s="14" t="s">
        <v>1258</v>
      </c>
      <c r="D403" s="79">
        <v>45939</v>
      </c>
      <c r="E403" s="14">
        <v>2507</v>
      </c>
      <c r="F403" s="14" t="s">
        <v>1462</v>
      </c>
      <c r="G403" s="14" t="str">
        <f>VLOOKUP(F403,'Accident &amp; Incident Detail'!$D$3:$E$4153,2,FALSE)</f>
        <v xml:space="preserve"> Major - PTC</v>
      </c>
      <c r="H403" s="14" t="s">
        <v>1482</v>
      </c>
      <c r="I403" s="14" t="s">
        <v>1483</v>
      </c>
      <c r="J403" s="14" t="s">
        <v>241</v>
      </c>
      <c r="K403" s="14" t="s">
        <v>242</v>
      </c>
      <c r="L403" s="14" t="s">
        <v>241</v>
      </c>
      <c r="M403" s="79">
        <v>45961</v>
      </c>
      <c r="N403" s="14">
        <f t="shared" ca="1" si="41"/>
        <v>1</v>
      </c>
      <c r="O403" s="79">
        <v>46028</v>
      </c>
      <c r="Q403" s="14" t="s">
        <v>1484</v>
      </c>
    </row>
    <row r="404" spans="1:20" s="14" customFormat="1" ht="101.5" x14ac:dyDescent="0.35">
      <c r="A404" s="102" t="str">
        <f t="shared" si="40"/>
        <v>Closed</v>
      </c>
      <c r="B404" s="14" t="s">
        <v>96</v>
      </c>
      <c r="C404" s="14" t="s">
        <v>1258</v>
      </c>
      <c r="D404" s="79">
        <v>45939</v>
      </c>
      <c r="E404" s="14">
        <v>2507</v>
      </c>
      <c r="F404" s="14" t="s">
        <v>1462</v>
      </c>
      <c r="G404" s="14" t="str">
        <f>VLOOKUP(F404,'Accident &amp; Incident Detail'!$D$3:$E$4153,2,FALSE)</f>
        <v xml:space="preserve"> Major - PTC</v>
      </c>
      <c r="H404" s="14" t="s">
        <v>1485</v>
      </c>
      <c r="I404" s="14" t="s">
        <v>1486</v>
      </c>
      <c r="J404" s="14" t="s">
        <v>241</v>
      </c>
      <c r="K404" s="14" t="s">
        <v>242</v>
      </c>
      <c r="L404" s="14" t="s">
        <v>241</v>
      </c>
      <c r="M404" s="79">
        <v>45961</v>
      </c>
      <c r="N404" s="14">
        <f t="shared" ca="1" si="41"/>
        <v>1</v>
      </c>
      <c r="O404" s="79">
        <v>46028</v>
      </c>
      <c r="Q404" s="14" t="s">
        <v>1487</v>
      </c>
    </row>
    <row r="405" spans="1:20" s="14" customFormat="1" ht="203" x14ac:dyDescent="0.35">
      <c r="A405" s="102" t="str">
        <f t="shared" ca="1" si="40"/>
        <v>Open</v>
      </c>
      <c r="B405" s="14" t="s">
        <v>96</v>
      </c>
      <c r="C405" s="14" t="s">
        <v>1258</v>
      </c>
      <c r="D405" s="79">
        <v>46034</v>
      </c>
      <c r="E405" s="14">
        <v>2511</v>
      </c>
      <c r="F405" s="14" t="s">
        <v>1462</v>
      </c>
      <c r="G405" s="14" t="str">
        <f>VLOOKUP(F405,'Accident &amp; Incident Detail'!$D$3:$E$4153,2,FALSE)</f>
        <v xml:space="preserve"> Major - PTC</v>
      </c>
      <c r="H405" s="14" t="s">
        <v>1488</v>
      </c>
      <c r="I405" s="14" t="s">
        <v>1489</v>
      </c>
      <c r="J405" s="14" t="s">
        <v>234</v>
      </c>
      <c r="K405" s="14" t="s">
        <v>272</v>
      </c>
      <c r="L405" s="14" t="s">
        <v>234</v>
      </c>
      <c r="M405" s="79">
        <f>IF(D405="","",D405+28)</f>
        <v>46062</v>
      </c>
      <c r="N405" s="14">
        <f t="shared" ca="1" si="41"/>
        <v>0</v>
      </c>
      <c r="O405" s="79"/>
      <c r="Q405" s="467" t="s">
        <v>1490</v>
      </c>
    </row>
    <row r="406" spans="1:20" s="14" customFormat="1" ht="101.5" x14ac:dyDescent="0.35">
      <c r="A406" s="102" t="str">
        <f t="shared" si="40"/>
        <v>Closed</v>
      </c>
      <c r="B406" s="14" t="s">
        <v>96</v>
      </c>
      <c r="C406" s="14" t="s">
        <v>1258</v>
      </c>
      <c r="D406" s="79">
        <v>46034</v>
      </c>
      <c r="E406" s="14">
        <v>2511</v>
      </c>
      <c r="F406" s="14" t="s">
        <v>1462</v>
      </c>
      <c r="G406" s="14" t="str">
        <f>VLOOKUP(F406,'Accident &amp; Incident Detail'!$D$3:$E$4153,2,FALSE)</f>
        <v xml:space="preserve"> Major - PTC</v>
      </c>
      <c r="H406" s="14" t="s">
        <v>1491</v>
      </c>
      <c r="I406" s="14" t="s">
        <v>1492</v>
      </c>
      <c r="J406" s="14" t="s">
        <v>234</v>
      </c>
      <c r="K406" s="14" t="s">
        <v>272</v>
      </c>
      <c r="L406" s="14" t="s">
        <v>234</v>
      </c>
      <c r="M406" s="79">
        <f>IF(D406="","",D406+28)</f>
        <v>46062</v>
      </c>
      <c r="N406" s="14">
        <f t="shared" ca="1" si="41"/>
        <v>0</v>
      </c>
      <c r="O406" s="79">
        <v>46049</v>
      </c>
      <c r="Q406" s="467" t="s">
        <v>1493</v>
      </c>
    </row>
    <row r="407" spans="1:20" s="14" customFormat="1" ht="58" x14ac:dyDescent="0.35">
      <c r="A407" s="102" t="str">
        <f t="shared" si="40"/>
        <v>Closed</v>
      </c>
      <c r="B407" s="14" t="s">
        <v>96</v>
      </c>
      <c r="C407" s="14" t="s">
        <v>1258</v>
      </c>
      <c r="D407" s="79">
        <v>45939</v>
      </c>
      <c r="E407" s="14">
        <v>2507</v>
      </c>
      <c r="F407" s="14" t="s">
        <v>1462</v>
      </c>
      <c r="G407" s="14" t="str">
        <f>VLOOKUP(F407,'Accident &amp; Incident Detail'!$D$3:$E$4153,2,FALSE)</f>
        <v xml:space="preserve"> Major - PTC</v>
      </c>
      <c r="H407" s="14" t="s">
        <v>1494</v>
      </c>
      <c r="I407" s="14" t="s">
        <v>1495</v>
      </c>
      <c r="J407" s="14" t="s">
        <v>241</v>
      </c>
      <c r="K407" s="14" t="s">
        <v>240</v>
      </c>
      <c r="L407" s="14" t="s">
        <v>241</v>
      </c>
      <c r="M407" s="79">
        <v>46022</v>
      </c>
      <c r="N407" s="14">
        <f t="shared" ca="1" si="41"/>
        <v>1</v>
      </c>
      <c r="O407" s="79">
        <v>46042</v>
      </c>
      <c r="Q407" s="14" t="s">
        <v>1496</v>
      </c>
    </row>
    <row r="408" spans="1:20" s="14" customFormat="1" ht="130.5" x14ac:dyDescent="0.35">
      <c r="A408" s="102" t="str">
        <f t="shared" si="40"/>
        <v>Closed</v>
      </c>
      <c r="B408" s="14" t="s">
        <v>96</v>
      </c>
      <c r="C408" s="14" t="s">
        <v>1258</v>
      </c>
      <c r="D408" s="79">
        <v>45939</v>
      </c>
      <c r="E408" s="14">
        <v>2507</v>
      </c>
      <c r="F408" s="14" t="s">
        <v>1462</v>
      </c>
      <c r="G408" s="14" t="str">
        <f>VLOOKUP(F408,'Accident &amp; Incident Detail'!$D$3:$E$4153,2,FALSE)</f>
        <v xml:space="preserve"> Major - PTC</v>
      </c>
      <c r="H408" s="14" t="s">
        <v>1497</v>
      </c>
      <c r="I408" s="14" t="s">
        <v>1498</v>
      </c>
      <c r="J408" s="14" t="s">
        <v>234</v>
      </c>
      <c r="K408" s="14" t="s">
        <v>214</v>
      </c>
      <c r="L408" s="14" t="s">
        <v>236</v>
      </c>
      <c r="M408" s="79">
        <v>45991</v>
      </c>
      <c r="N408" s="14">
        <f t="shared" ca="1" si="41"/>
        <v>1</v>
      </c>
      <c r="O408" s="79">
        <v>46042</v>
      </c>
      <c r="Q408" s="14" t="s">
        <v>1499</v>
      </c>
    </row>
    <row r="409" spans="1:20" s="14" customFormat="1" ht="246.5" x14ac:dyDescent="0.35">
      <c r="A409" s="102" t="str">
        <f t="shared" si="40"/>
        <v>Closed</v>
      </c>
      <c r="B409" s="14" t="s">
        <v>96</v>
      </c>
      <c r="C409" s="14" t="s">
        <v>1258</v>
      </c>
      <c r="D409" s="79">
        <v>45939</v>
      </c>
      <c r="E409" s="14">
        <v>2507</v>
      </c>
      <c r="F409" s="14" t="s">
        <v>1462</v>
      </c>
      <c r="G409" s="14" t="str">
        <f>VLOOKUP(F409,'Accident &amp; Incident Detail'!$D$3:$E$4153,2,FALSE)</f>
        <v xml:space="preserve"> Major - PTC</v>
      </c>
      <c r="H409" s="14" t="s">
        <v>1500</v>
      </c>
      <c r="I409" s="14" t="s">
        <v>1501</v>
      </c>
      <c r="J409" s="14" t="s">
        <v>1502</v>
      </c>
      <c r="K409" s="14" t="s">
        <v>262</v>
      </c>
      <c r="L409" s="14" t="s">
        <v>241</v>
      </c>
      <c r="M409" s="79">
        <v>46022</v>
      </c>
      <c r="N409" s="14">
        <f t="shared" ca="1" si="41"/>
        <v>1</v>
      </c>
      <c r="O409" s="79">
        <v>46055</v>
      </c>
      <c r="Q409" s="14" t="s">
        <v>1503</v>
      </c>
      <c r="T409" s="79"/>
    </row>
    <row r="410" spans="1:20" s="14" customFormat="1" ht="72.5" x14ac:dyDescent="0.35">
      <c r="A410" s="102" t="str">
        <f t="shared" si="40"/>
        <v>Closed</v>
      </c>
      <c r="B410" s="14" t="s">
        <v>96</v>
      </c>
      <c r="C410" s="14" t="s">
        <v>1258</v>
      </c>
      <c r="D410" s="79">
        <v>45939</v>
      </c>
      <c r="E410" s="14">
        <v>2507</v>
      </c>
      <c r="F410" s="14" t="s">
        <v>1462</v>
      </c>
      <c r="G410" s="14" t="str">
        <f>VLOOKUP(F410,'Accident &amp; Incident Detail'!$D$3:$E$4153,2,FALSE)</f>
        <v xml:space="preserve"> Major - PTC</v>
      </c>
      <c r="H410" s="14" t="s">
        <v>1504</v>
      </c>
      <c r="I410" s="14" t="s">
        <v>1505</v>
      </c>
      <c r="J410" s="14" t="s">
        <v>328</v>
      </c>
      <c r="K410" s="14" t="s">
        <v>250</v>
      </c>
      <c r="L410" s="14" t="s">
        <v>236</v>
      </c>
      <c r="M410" s="79">
        <v>45945</v>
      </c>
      <c r="N410" s="14">
        <f t="shared" ca="1" si="41"/>
        <v>1</v>
      </c>
      <c r="O410" s="79">
        <v>45971</v>
      </c>
      <c r="Q410" s="14" t="s">
        <v>1506</v>
      </c>
    </row>
    <row r="411" spans="1:20" s="14" customFormat="1" ht="72.5" x14ac:dyDescent="0.35">
      <c r="A411" s="102" t="str">
        <f t="shared" si="40"/>
        <v>Closed</v>
      </c>
      <c r="B411" s="14" t="s">
        <v>96</v>
      </c>
      <c r="C411" s="14" t="s">
        <v>1258</v>
      </c>
      <c r="D411" s="79">
        <v>45939</v>
      </c>
      <c r="E411" s="14">
        <v>2507</v>
      </c>
      <c r="F411" s="14" t="s">
        <v>1462</v>
      </c>
      <c r="G411" s="14" t="str">
        <f>VLOOKUP(F411,'Accident &amp; Incident Detail'!$D$3:$E$4153,2,FALSE)</f>
        <v xml:space="preserve"> Major - PTC</v>
      </c>
      <c r="H411" s="14" t="s">
        <v>1507</v>
      </c>
      <c r="I411" s="14" t="s">
        <v>1508</v>
      </c>
      <c r="J411" s="14" t="s">
        <v>241</v>
      </c>
      <c r="K411" s="14" t="s">
        <v>242</v>
      </c>
      <c r="L411" s="14" t="s">
        <v>241</v>
      </c>
      <c r="M411" s="79">
        <v>45991</v>
      </c>
      <c r="N411" s="14">
        <f t="shared" ca="1" si="41"/>
        <v>1</v>
      </c>
      <c r="O411" s="79">
        <v>46028</v>
      </c>
      <c r="Q411" s="14" t="s">
        <v>1509</v>
      </c>
    </row>
    <row r="412" spans="1:20" s="14" customFormat="1" ht="101.5" x14ac:dyDescent="0.35">
      <c r="A412" s="102" t="str">
        <f t="shared" si="40"/>
        <v>Closed</v>
      </c>
      <c r="B412" s="14" t="s">
        <v>96</v>
      </c>
      <c r="C412" s="14" t="s">
        <v>1258</v>
      </c>
      <c r="D412" s="79">
        <v>45939</v>
      </c>
      <c r="E412" s="14">
        <v>2507</v>
      </c>
      <c r="F412" s="14" t="s">
        <v>1462</v>
      </c>
      <c r="G412" s="14" t="str">
        <f>VLOOKUP(F412,'Accident &amp; Incident Detail'!$D$3:$E$4153,2,FALSE)</f>
        <v xml:space="preserve"> Major - PTC</v>
      </c>
      <c r="H412" s="14" t="s">
        <v>1510</v>
      </c>
      <c r="I412" s="14" t="s">
        <v>1511</v>
      </c>
      <c r="J412" s="14" t="s">
        <v>236</v>
      </c>
      <c r="K412" s="14" t="s">
        <v>244</v>
      </c>
      <c r="L412" s="14" t="s">
        <v>236</v>
      </c>
      <c r="M412" s="79">
        <v>45961</v>
      </c>
      <c r="N412" s="14">
        <f t="shared" ca="1" si="41"/>
        <v>1</v>
      </c>
      <c r="O412" s="79">
        <v>45989</v>
      </c>
      <c r="Q412" s="14" t="s">
        <v>1512</v>
      </c>
    </row>
    <row r="413" spans="1:20" s="14" customFormat="1" ht="116" x14ac:dyDescent="0.35">
      <c r="A413" s="102" t="str">
        <f t="shared" si="40"/>
        <v>Closed</v>
      </c>
      <c r="B413" s="14" t="s">
        <v>96</v>
      </c>
      <c r="C413" s="14" t="s">
        <v>1258</v>
      </c>
      <c r="D413" s="79">
        <v>45939</v>
      </c>
      <c r="E413" s="14">
        <v>2507</v>
      </c>
      <c r="F413" s="14" t="s">
        <v>1462</v>
      </c>
      <c r="G413" s="14" t="str">
        <f>VLOOKUP(F413,'Accident &amp; Incident Detail'!$D$3:$E$4153,2,FALSE)</f>
        <v xml:space="preserve"> Major - PTC</v>
      </c>
      <c r="H413" s="14" t="s">
        <v>1513</v>
      </c>
      <c r="I413" s="14" t="s">
        <v>1514</v>
      </c>
      <c r="J413" s="14" t="s">
        <v>236</v>
      </c>
      <c r="K413" s="14" t="s">
        <v>244</v>
      </c>
      <c r="L413" s="14" t="s">
        <v>236</v>
      </c>
      <c r="M413" s="79">
        <v>45961</v>
      </c>
      <c r="N413" s="14">
        <f t="shared" ca="1" si="41"/>
        <v>1</v>
      </c>
      <c r="O413" s="79">
        <v>46041</v>
      </c>
      <c r="Q413" s="14" t="s">
        <v>1515</v>
      </c>
    </row>
    <row r="414" spans="1:20" s="14" customFormat="1" ht="72.5" x14ac:dyDescent="0.35">
      <c r="A414" s="102" t="str">
        <f t="shared" ca="1" si="40"/>
        <v>Open</v>
      </c>
      <c r="B414" s="14" t="s">
        <v>96</v>
      </c>
      <c r="C414" s="14" t="s">
        <v>1258</v>
      </c>
      <c r="D414" s="79">
        <v>46034</v>
      </c>
      <c r="E414" s="14">
        <v>2511</v>
      </c>
      <c r="F414" s="14" t="s">
        <v>1462</v>
      </c>
      <c r="G414" s="14" t="str">
        <f>VLOOKUP(F414,'Accident &amp; Incident Detail'!$D$3:$E$4153,2,FALSE)</f>
        <v xml:space="preserve"> Major - PTC</v>
      </c>
      <c r="H414" s="14" t="s">
        <v>1516</v>
      </c>
      <c r="I414" s="14" t="s">
        <v>1517</v>
      </c>
      <c r="J414" s="14" t="s">
        <v>401</v>
      </c>
      <c r="K414" s="14" t="s">
        <v>272</v>
      </c>
      <c r="L414" s="14" t="s">
        <v>234</v>
      </c>
      <c r="M414" s="79">
        <f>IF(D414="","",D414+28)</f>
        <v>46062</v>
      </c>
      <c r="N414" s="14">
        <f t="shared" ca="1" si="41"/>
        <v>0</v>
      </c>
      <c r="O414" s="79"/>
      <c r="Q414" s="14" t="s">
        <v>1518</v>
      </c>
    </row>
    <row r="415" spans="1:20" s="14" customFormat="1" ht="87" x14ac:dyDescent="0.35">
      <c r="A415" s="102" t="str">
        <f t="shared" si="40"/>
        <v>Closed</v>
      </c>
      <c r="B415" s="14" t="s">
        <v>96</v>
      </c>
      <c r="C415" s="14" t="s">
        <v>1258</v>
      </c>
      <c r="D415" s="79">
        <v>45947</v>
      </c>
      <c r="E415" s="14">
        <v>2508</v>
      </c>
      <c r="F415" s="14" t="s">
        <v>1462</v>
      </c>
      <c r="G415" s="14" t="str">
        <f>VLOOKUP(F415,'Accident &amp; Incident Detail'!$D$3:$E$4153,2,FALSE)</f>
        <v xml:space="preserve"> Major - PTC</v>
      </c>
      <c r="H415" s="14" t="s">
        <v>1519</v>
      </c>
      <c r="I415" s="14" t="s">
        <v>1520</v>
      </c>
      <c r="J415" s="14" t="s">
        <v>234</v>
      </c>
      <c r="K415" s="14" t="s">
        <v>216</v>
      </c>
      <c r="L415" s="14" t="s">
        <v>234</v>
      </c>
      <c r="M415" s="79">
        <v>46022</v>
      </c>
      <c r="N415" s="14">
        <f t="shared" ca="1" si="41"/>
        <v>1</v>
      </c>
      <c r="O415" s="79">
        <v>46031</v>
      </c>
      <c r="Q415" s="14" t="s">
        <v>1521</v>
      </c>
    </row>
    <row r="416" spans="1:20" s="14" customFormat="1" ht="43.5" x14ac:dyDescent="0.35">
      <c r="A416" s="102" t="str">
        <f t="shared" si="40"/>
        <v>Closed</v>
      </c>
      <c r="B416" s="14" t="s">
        <v>96</v>
      </c>
      <c r="C416" s="14" t="s">
        <v>1258</v>
      </c>
      <c r="D416" s="79">
        <v>45939</v>
      </c>
      <c r="E416" s="14">
        <v>2507</v>
      </c>
      <c r="F416" s="14" t="s">
        <v>1462</v>
      </c>
      <c r="G416" s="14" t="str">
        <f>VLOOKUP(F416,'Accident &amp; Incident Detail'!$D$3:$E$4153,2,FALSE)</f>
        <v xml:space="preserve"> Major - PTC</v>
      </c>
      <c r="H416" s="14" t="s">
        <v>1522</v>
      </c>
      <c r="I416" s="14" t="s">
        <v>1523</v>
      </c>
      <c r="J416" s="14" t="s">
        <v>236</v>
      </c>
      <c r="K416" s="14" t="s">
        <v>250</v>
      </c>
      <c r="L416" s="14" t="s">
        <v>236</v>
      </c>
      <c r="M416" s="79">
        <v>45945</v>
      </c>
      <c r="N416" s="14">
        <f t="shared" ca="1" si="41"/>
        <v>1</v>
      </c>
      <c r="O416" s="79">
        <v>45971</v>
      </c>
      <c r="Q416" s="14" t="s">
        <v>1524</v>
      </c>
    </row>
    <row r="417" spans="1:17" s="14" customFormat="1" ht="116" x14ac:dyDescent="0.35">
      <c r="A417" s="102" t="str">
        <f t="shared" ca="1" si="40"/>
        <v>Overdue</v>
      </c>
      <c r="B417" s="14" t="s">
        <v>96</v>
      </c>
      <c r="C417" s="14" t="s">
        <v>1258</v>
      </c>
      <c r="D417" s="79">
        <v>45939</v>
      </c>
      <c r="E417" s="14">
        <v>2507</v>
      </c>
      <c r="F417" s="14" t="s">
        <v>1462</v>
      </c>
      <c r="G417" s="14" t="str">
        <f>VLOOKUP(F417,'Accident &amp; Incident Detail'!$D$3:$E$4153,2,FALSE)</f>
        <v xml:space="preserve"> Major - PTC</v>
      </c>
      <c r="H417" s="14" t="s">
        <v>1525</v>
      </c>
      <c r="I417" s="14" t="s">
        <v>1526</v>
      </c>
      <c r="J417" s="14" t="s">
        <v>236</v>
      </c>
      <c r="K417" s="14" t="s">
        <v>250</v>
      </c>
      <c r="L417" s="14" t="s">
        <v>236</v>
      </c>
      <c r="M417" s="79">
        <v>46022</v>
      </c>
      <c r="N417" s="14">
        <f t="shared" ca="1" si="41"/>
        <v>1</v>
      </c>
      <c r="O417" s="79"/>
      <c r="Q417" s="14" t="s">
        <v>1154</v>
      </c>
    </row>
    <row r="418" spans="1:17" ht="101.5" x14ac:dyDescent="0.35">
      <c r="A418" s="102" t="str">
        <f t="shared" ca="1" si="40"/>
        <v>Overdue</v>
      </c>
      <c r="B418" s="14" t="s">
        <v>96</v>
      </c>
      <c r="C418" s="14" t="s">
        <v>1527</v>
      </c>
      <c r="D418" s="79">
        <v>45882</v>
      </c>
      <c r="E418" s="14">
        <v>2506</v>
      </c>
      <c r="F418" s="14" t="s">
        <v>1528</v>
      </c>
      <c r="G418" s="14" t="str">
        <f>VLOOKUP(F418,'Accident &amp; Incident Detail'!$D$3:$E$4153,2,FALSE)</f>
        <v>Fire</v>
      </c>
      <c r="H418" s="14" t="s">
        <v>1529</v>
      </c>
      <c r="I418" s="14" t="s">
        <v>1530</v>
      </c>
      <c r="J418" s="14" t="s">
        <v>236</v>
      </c>
      <c r="K418" s="14" t="s">
        <v>244</v>
      </c>
      <c r="L418" s="14" t="s">
        <v>236</v>
      </c>
      <c r="M418" s="79">
        <v>45940</v>
      </c>
      <c r="N418" s="14">
        <f t="shared" ca="1" si="41"/>
        <v>1</v>
      </c>
      <c r="Q418" s="14" t="s">
        <v>1531</v>
      </c>
    </row>
    <row r="419" spans="1:17" ht="29" x14ac:dyDescent="0.35">
      <c r="A419" s="102" t="str">
        <f t="shared" si="40"/>
        <v>Closed</v>
      </c>
      <c r="B419" s="14" t="s">
        <v>96</v>
      </c>
      <c r="C419" s="14" t="s">
        <v>1527</v>
      </c>
      <c r="D419" s="79">
        <v>45882</v>
      </c>
      <c r="E419" s="14">
        <v>2506</v>
      </c>
      <c r="F419" s="14" t="s">
        <v>1528</v>
      </c>
      <c r="G419" s="14" t="str">
        <f>VLOOKUP(F419,'Accident &amp; Incident Detail'!$D$3:$E$4153,2,FALSE)</f>
        <v>Fire</v>
      </c>
      <c r="H419" s="14" t="s">
        <v>1532</v>
      </c>
      <c r="I419" s="14" t="s">
        <v>1533</v>
      </c>
      <c r="J419" s="14" t="s">
        <v>401</v>
      </c>
      <c r="K419" s="14" t="s">
        <v>263</v>
      </c>
      <c r="L419" s="14" t="s">
        <v>234</v>
      </c>
      <c r="M419" s="79">
        <v>45940</v>
      </c>
      <c r="N419" s="14">
        <f t="shared" ca="1" si="41"/>
        <v>1</v>
      </c>
      <c r="O419" s="79">
        <v>45922</v>
      </c>
      <c r="Q419" s="14" t="s">
        <v>1534</v>
      </c>
    </row>
    <row r="420" spans="1:17" ht="29" x14ac:dyDescent="0.35">
      <c r="A420" s="102" t="str">
        <f t="shared" si="40"/>
        <v>Closed</v>
      </c>
      <c r="B420" s="14" t="s">
        <v>96</v>
      </c>
      <c r="C420" s="14" t="s">
        <v>1527</v>
      </c>
      <c r="D420" s="79">
        <v>45882</v>
      </c>
      <c r="E420" s="14">
        <v>2506</v>
      </c>
      <c r="F420" s="14" t="s">
        <v>1528</v>
      </c>
      <c r="G420" s="14" t="str">
        <f>VLOOKUP(F420,'Accident &amp; Incident Detail'!$D$3:$E$4153,2,FALSE)</f>
        <v>Fire</v>
      </c>
      <c r="H420" s="14" t="s">
        <v>1535</v>
      </c>
      <c r="I420" s="14" t="s">
        <v>1536</v>
      </c>
      <c r="J420" s="14" t="s">
        <v>236</v>
      </c>
      <c r="K420" s="14" t="s">
        <v>244</v>
      </c>
      <c r="L420" s="14" t="s">
        <v>236</v>
      </c>
      <c r="M420" s="79">
        <v>45940</v>
      </c>
      <c r="N420" s="14">
        <f t="shared" ca="1" si="41"/>
        <v>1</v>
      </c>
      <c r="O420" s="79">
        <v>46031</v>
      </c>
      <c r="Q420" s="14" t="s">
        <v>1537</v>
      </c>
    </row>
    <row r="421" spans="1:17" ht="72.5" x14ac:dyDescent="0.35">
      <c r="A421" s="102" t="str">
        <f t="shared" ca="1" si="40"/>
        <v>Overdue</v>
      </c>
      <c r="B421" s="14" t="s">
        <v>96</v>
      </c>
      <c r="C421" s="14" t="s">
        <v>1527</v>
      </c>
      <c r="D421" s="79">
        <v>45882</v>
      </c>
      <c r="E421" s="14">
        <v>2506</v>
      </c>
      <c r="F421" s="14" t="s">
        <v>1528</v>
      </c>
      <c r="G421" s="14" t="str">
        <f>VLOOKUP(F421,'Accident &amp; Incident Detail'!$D$3:$E$4153,2,FALSE)</f>
        <v>Fire</v>
      </c>
      <c r="H421" s="14" t="s">
        <v>1538</v>
      </c>
      <c r="I421" s="14" t="s">
        <v>1539</v>
      </c>
      <c r="J421" s="14" t="s">
        <v>345</v>
      </c>
      <c r="K421" s="14" t="s">
        <v>248</v>
      </c>
      <c r="L421" s="14" t="s">
        <v>236</v>
      </c>
      <c r="M421" s="79">
        <v>45940</v>
      </c>
      <c r="N421" s="14">
        <f t="shared" ca="1" si="41"/>
        <v>1</v>
      </c>
      <c r="Q421" s="14" t="s">
        <v>1154</v>
      </c>
    </row>
    <row r="422" spans="1:17" ht="72.5" x14ac:dyDescent="0.35">
      <c r="A422" s="102" t="str">
        <f t="shared" si="40"/>
        <v>Closed</v>
      </c>
      <c r="B422" s="14" t="s">
        <v>96</v>
      </c>
      <c r="C422" s="14" t="s">
        <v>1527</v>
      </c>
      <c r="D422" s="79">
        <v>45882</v>
      </c>
      <c r="E422" s="14">
        <v>2506</v>
      </c>
      <c r="F422" s="14" t="s">
        <v>1528</v>
      </c>
      <c r="G422" s="14" t="str">
        <f>VLOOKUP(F422,'Accident &amp; Incident Detail'!$D$3:$E$4153,2,FALSE)</f>
        <v>Fire</v>
      </c>
      <c r="H422" s="14" t="s">
        <v>1540</v>
      </c>
      <c r="I422" s="14" t="s">
        <v>1541</v>
      </c>
      <c r="J422" s="14" t="s">
        <v>372</v>
      </c>
      <c r="K422" s="14" t="s">
        <v>222</v>
      </c>
      <c r="L422" s="14" t="s">
        <v>236</v>
      </c>
      <c r="M422" s="79">
        <v>45940</v>
      </c>
      <c r="N422" s="14">
        <f t="shared" ca="1" si="41"/>
        <v>1</v>
      </c>
      <c r="O422" s="79">
        <v>46043</v>
      </c>
      <c r="Q422" s="14" t="s">
        <v>1542</v>
      </c>
    </row>
    <row r="423" spans="1:17" ht="29" x14ac:dyDescent="0.35">
      <c r="A423" s="102" t="str">
        <f t="shared" si="40"/>
        <v>Closed</v>
      </c>
      <c r="B423" s="14" t="s">
        <v>95</v>
      </c>
      <c r="C423" s="14" t="s">
        <v>177</v>
      </c>
      <c r="D423" s="79">
        <v>45396</v>
      </c>
      <c r="E423" s="14">
        <v>2313</v>
      </c>
      <c r="F423" s="14" t="s">
        <v>1543</v>
      </c>
      <c r="G423" s="14" t="str">
        <f>VLOOKUP(F423,'Accident &amp; Incident Detail'!$D$3:$E$4153,2,FALSE)</f>
        <v xml:space="preserve"> Minor - PTC</v>
      </c>
      <c r="H423" s="14" t="s">
        <v>1544</v>
      </c>
      <c r="I423" s="14" t="s">
        <v>1545</v>
      </c>
      <c r="J423" s="14" t="s">
        <v>234</v>
      </c>
      <c r="K423" s="14" t="s">
        <v>220</v>
      </c>
      <c r="L423" s="14" t="s">
        <v>234</v>
      </c>
      <c r="M423" s="79">
        <f t="shared" ref="M423:M433" si="42">IF(D423="","",D423+28)</f>
        <v>45424</v>
      </c>
      <c r="N423" s="14">
        <f t="shared" ca="1" si="41"/>
        <v>1</v>
      </c>
      <c r="O423" s="79">
        <v>45791</v>
      </c>
    </row>
    <row r="424" spans="1:17" ht="58" x14ac:dyDescent="0.35">
      <c r="A424" s="102" t="str">
        <f t="shared" si="40"/>
        <v>Closed</v>
      </c>
      <c r="B424" s="14" t="s">
        <v>95</v>
      </c>
      <c r="C424" s="14" t="s">
        <v>336</v>
      </c>
      <c r="D424" s="79">
        <v>45522</v>
      </c>
      <c r="E424" s="14">
        <v>2403</v>
      </c>
      <c r="F424" s="14" t="s">
        <v>1546</v>
      </c>
      <c r="G424" s="14" t="str">
        <f>VLOOKUP(F424,'Accident &amp; Incident Detail'!$D$3:$E$4153,2,FALSE)</f>
        <v>Near Miss</v>
      </c>
      <c r="H424" s="14" t="s">
        <v>1547</v>
      </c>
      <c r="I424" s="14" t="s">
        <v>1548</v>
      </c>
      <c r="J424" s="14" t="s">
        <v>234</v>
      </c>
      <c r="K424" s="14" t="s">
        <v>265</v>
      </c>
      <c r="L424" s="14" t="s">
        <v>234</v>
      </c>
      <c r="M424" s="79">
        <f t="shared" si="42"/>
        <v>45550</v>
      </c>
      <c r="N424" s="14">
        <f t="shared" ca="1" si="41"/>
        <v>1</v>
      </c>
      <c r="O424" s="79">
        <v>45886</v>
      </c>
      <c r="Q424" s="14" t="s">
        <v>602</v>
      </c>
    </row>
    <row r="425" spans="1:17" ht="29" x14ac:dyDescent="0.35">
      <c r="A425" s="102" t="str">
        <f t="shared" si="40"/>
        <v>Closed</v>
      </c>
      <c r="B425" s="14" t="s">
        <v>95</v>
      </c>
      <c r="C425" s="14" t="s">
        <v>174</v>
      </c>
      <c r="D425" s="79">
        <v>45527</v>
      </c>
      <c r="E425" s="14">
        <v>2403</v>
      </c>
      <c r="F425" s="14" t="s">
        <v>1549</v>
      </c>
      <c r="G425" s="14" t="str">
        <f>VLOOKUP(F425,'Accident &amp; Incident Detail'!$D$3:$E$4153,2,FALSE)</f>
        <v>Seperation</v>
      </c>
      <c r="H425" s="14" t="s">
        <v>1550</v>
      </c>
      <c r="I425" s="14" t="s">
        <v>1551</v>
      </c>
      <c r="J425" s="14" t="s">
        <v>234</v>
      </c>
      <c r="K425" s="14" t="s">
        <v>264</v>
      </c>
      <c r="L425" s="14" t="s">
        <v>234</v>
      </c>
      <c r="M425" s="79">
        <f t="shared" si="42"/>
        <v>45555</v>
      </c>
      <c r="N425" s="14">
        <f t="shared" ca="1" si="41"/>
        <v>1</v>
      </c>
      <c r="O425" s="79">
        <v>45472</v>
      </c>
    </row>
    <row r="426" spans="1:17" ht="29" x14ac:dyDescent="0.35">
      <c r="A426" s="102" t="str">
        <f t="shared" si="40"/>
        <v>Closed</v>
      </c>
      <c r="B426" s="14" t="s">
        <v>95</v>
      </c>
      <c r="C426" s="14" t="s">
        <v>138</v>
      </c>
      <c r="D426" s="79">
        <v>45500</v>
      </c>
      <c r="E426" s="14">
        <v>2404</v>
      </c>
      <c r="F426" s="14" t="s">
        <v>1552</v>
      </c>
      <c r="G426" s="14" t="str">
        <f>VLOOKUP(F426,'Accident &amp; Incident Detail'!$D$3:$E$4153,2,FALSE)</f>
        <v>Verbal Abuse</v>
      </c>
      <c r="H426" s="14" t="s">
        <v>1553</v>
      </c>
      <c r="I426" s="14" t="s">
        <v>1554</v>
      </c>
      <c r="J426" s="14" t="s">
        <v>234</v>
      </c>
      <c r="K426" s="14" t="s">
        <v>210</v>
      </c>
      <c r="L426" s="14" t="s">
        <v>234</v>
      </c>
      <c r="M426" s="79">
        <f t="shared" si="42"/>
        <v>45528</v>
      </c>
      <c r="N426" s="14">
        <f t="shared" ca="1" si="41"/>
        <v>1</v>
      </c>
      <c r="O426" s="79">
        <v>45500</v>
      </c>
    </row>
    <row r="427" spans="1:17" ht="29" x14ac:dyDescent="0.35">
      <c r="A427" s="102" t="str">
        <f t="shared" ref="A427:A485" si="43">IF(O427&gt;1,"Closed",IF(N427=1,"Overdue",IF(N427=3,"","Open")))</f>
        <v>Closed</v>
      </c>
      <c r="B427" s="14" t="s">
        <v>95</v>
      </c>
      <c r="C427" s="14" t="s">
        <v>138</v>
      </c>
      <c r="D427" s="79">
        <v>45523</v>
      </c>
      <c r="E427" s="14">
        <v>2405</v>
      </c>
      <c r="F427" s="14" t="s">
        <v>1555</v>
      </c>
      <c r="G427" s="14" t="str">
        <f>VLOOKUP(F427,'Accident &amp; Incident Detail'!$D$3:$E$4153,2,FALSE)</f>
        <v>Threatening Behaviour</v>
      </c>
      <c r="H427" s="14" t="s">
        <v>1556</v>
      </c>
      <c r="I427" s="14" t="s">
        <v>1557</v>
      </c>
      <c r="J427" s="14" t="s">
        <v>234</v>
      </c>
      <c r="K427" s="14" t="s">
        <v>210</v>
      </c>
      <c r="L427" s="14" t="s">
        <v>234</v>
      </c>
      <c r="M427" s="79">
        <f t="shared" si="42"/>
        <v>45551</v>
      </c>
      <c r="N427" s="14">
        <f t="shared" ca="1" si="41"/>
        <v>1</v>
      </c>
      <c r="O427" s="79">
        <v>45521</v>
      </c>
    </row>
    <row r="428" spans="1:17" ht="29" x14ac:dyDescent="0.35">
      <c r="A428" s="102" t="str">
        <f t="shared" si="43"/>
        <v>Closed</v>
      </c>
      <c r="B428" s="14" t="s">
        <v>95</v>
      </c>
      <c r="C428" s="14" t="s">
        <v>1558</v>
      </c>
      <c r="D428" s="79">
        <v>45530</v>
      </c>
      <c r="E428" s="14">
        <v>2405</v>
      </c>
      <c r="F428" s="14" t="s">
        <v>1559</v>
      </c>
      <c r="G428" s="14" t="str">
        <f>VLOOKUP(F428,'Accident &amp; Incident Detail'!$D$3:$E$4153,2,FALSE)</f>
        <v>Other</v>
      </c>
      <c r="H428" s="14" t="s">
        <v>1560</v>
      </c>
      <c r="I428" s="14" t="s">
        <v>1561</v>
      </c>
      <c r="J428" s="14" t="s">
        <v>234</v>
      </c>
      <c r="K428" s="14" t="s">
        <v>216</v>
      </c>
      <c r="L428" s="14" t="s">
        <v>234</v>
      </c>
      <c r="M428" s="79">
        <f t="shared" si="42"/>
        <v>45558</v>
      </c>
      <c r="N428" s="14">
        <f t="shared" ca="1" si="41"/>
        <v>1</v>
      </c>
      <c r="O428" s="79">
        <v>45523</v>
      </c>
    </row>
    <row r="429" spans="1:17" ht="29" x14ac:dyDescent="0.35">
      <c r="A429" s="102" t="str">
        <f t="shared" si="43"/>
        <v>Closed</v>
      </c>
      <c r="B429" s="14" t="s">
        <v>95</v>
      </c>
      <c r="C429" s="14" t="s">
        <v>153</v>
      </c>
      <c r="D429" s="79">
        <v>45562</v>
      </c>
      <c r="E429" s="14">
        <v>2406</v>
      </c>
      <c r="F429" s="14" t="s">
        <v>1562</v>
      </c>
      <c r="G429" s="14" t="str">
        <f>VLOOKUP(F429,'Accident &amp; Incident Detail'!$D$3:$E$4153,2,FALSE)</f>
        <v>Door Trap</v>
      </c>
      <c r="H429" s="14" t="s">
        <v>1563</v>
      </c>
      <c r="I429" s="14" t="s">
        <v>1564</v>
      </c>
      <c r="J429" s="14" t="s">
        <v>234</v>
      </c>
      <c r="K429" s="14" t="s">
        <v>264</v>
      </c>
      <c r="L429" s="14" t="s">
        <v>234</v>
      </c>
      <c r="M429" s="79">
        <f t="shared" si="42"/>
        <v>45590</v>
      </c>
      <c r="N429" s="14">
        <f t="shared" ca="1" si="41"/>
        <v>1</v>
      </c>
      <c r="O429" s="79">
        <v>45542</v>
      </c>
    </row>
    <row r="430" spans="1:17" ht="29" x14ac:dyDescent="0.35">
      <c r="A430" s="102" t="str">
        <f t="shared" si="43"/>
        <v>Closed</v>
      </c>
      <c r="B430" s="14" t="s">
        <v>95</v>
      </c>
      <c r="C430" s="14" t="s">
        <v>174</v>
      </c>
      <c r="D430" s="79">
        <v>45616</v>
      </c>
      <c r="E430" s="14">
        <v>2407</v>
      </c>
      <c r="F430" s="14" t="s">
        <v>1565</v>
      </c>
      <c r="G430" s="14" t="str">
        <f>VLOOKUP(F430,'Accident &amp; Incident Detail'!$D$3:$E$4153,2,FALSE)</f>
        <v>Near Miss</v>
      </c>
      <c r="H430" s="14" t="s">
        <v>1566</v>
      </c>
      <c r="I430" s="14" t="s">
        <v>1567</v>
      </c>
      <c r="J430" s="14" t="s">
        <v>234</v>
      </c>
      <c r="K430" s="14" t="s">
        <v>263</v>
      </c>
      <c r="L430" s="14" t="s">
        <v>234</v>
      </c>
      <c r="M430" s="79">
        <f t="shared" si="42"/>
        <v>45644</v>
      </c>
      <c r="N430" s="14">
        <f t="shared" ca="1" si="41"/>
        <v>1</v>
      </c>
      <c r="O430" s="79">
        <v>45568</v>
      </c>
    </row>
    <row r="431" spans="1:17" ht="29" x14ac:dyDescent="0.35">
      <c r="A431" s="102" t="str">
        <f t="shared" si="43"/>
        <v>Closed</v>
      </c>
      <c r="B431" s="14" t="s">
        <v>95</v>
      </c>
      <c r="C431" s="14" t="s">
        <v>138</v>
      </c>
      <c r="D431" s="79">
        <v>45592</v>
      </c>
      <c r="E431" s="14">
        <v>2407</v>
      </c>
      <c r="F431" s="14" t="s">
        <v>1568</v>
      </c>
      <c r="G431" s="14" t="str">
        <f>VLOOKUP(F431,'Accident &amp; Incident Detail'!$D$3:$E$4153,2,FALSE)</f>
        <v>Verbal Abuse</v>
      </c>
      <c r="H431" s="14" t="s">
        <v>1569</v>
      </c>
      <c r="I431" s="14" t="s">
        <v>1570</v>
      </c>
      <c r="J431" s="14" t="s">
        <v>234</v>
      </c>
      <c r="K431" s="14" t="s">
        <v>210</v>
      </c>
      <c r="L431" s="14" t="s">
        <v>234</v>
      </c>
      <c r="M431" s="79">
        <f t="shared" si="42"/>
        <v>45620</v>
      </c>
      <c r="N431" s="14">
        <f t="shared" ca="1" si="41"/>
        <v>1</v>
      </c>
      <c r="O431" s="79">
        <v>45592</v>
      </c>
    </row>
    <row r="432" spans="1:17" ht="29" x14ac:dyDescent="0.35">
      <c r="A432" s="102" t="str">
        <f t="shared" si="43"/>
        <v>Closed</v>
      </c>
      <c r="B432" s="14" t="s">
        <v>95</v>
      </c>
      <c r="C432" s="14" t="s">
        <v>138</v>
      </c>
      <c r="D432" s="79">
        <v>45592</v>
      </c>
      <c r="E432" s="14">
        <v>2407</v>
      </c>
      <c r="F432" s="14" t="s">
        <v>1568</v>
      </c>
      <c r="G432" s="14" t="str">
        <f>VLOOKUP(F432,'Accident &amp; Incident Detail'!$D$3:$E$4153,2,FALSE)</f>
        <v>Verbal Abuse</v>
      </c>
      <c r="H432" s="14" t="s">
        <v>1571</v>
      </c>
      <c r="I432" s="14" t="s">
        <v>1092</v>
      </c>
      <c r="J432" s="14" t="s">
        <v>234</v>
      </c>
      <c r="K432" s="14" t="s">
        <v>210</v>
      </c>
      <c r="L432" s="14" t="s">
        <v>234</v>
      </c>
      <c r="M432" s="79">
        <f t="shared" si="42"/>
        <v>45620</v>
      </c>
      <c r="N432" s="14">
        <f t="shared" ca="1" si="41"/>
        <v>1</v>
      </c>
      <c r="O432" s="79">
        <v>45592</v>
      </c>
    </row>
    <row r="433" spans="1:17" ht="29" x14ac:dyDescent="0.35">
      <c r="A433" s="102" t="str">
        <f t="shared" si="43"/>
        <v>Closed</v>
      </c>
      <c r="B433" s="14" t="s">
        <v>95</v>
      </c>
      <c r="C433" s="14" t="s">
        <v>336</v>
      </c>
      <c r="D433" s="79">
        <v>45996</v>
      </c>
      <c r="E433" s="14">
        <v>2407</v>
      </c>
      <c r="F433" s="14" t="s">
        <v>1572</v>
      </c>
      <c r="G433" s="14" t="str">
        <f>VLOOKUP(F433,'Accident &amp; Incident Detail'!$D$3:$E$4153,2,FALSE)</f>
        <v>Minor - RTC</v>
      </c>
      <c r="H433" s="14" t="s">
        <v>1573</v>
      </c>
      <c r="I433" s="14" t="s">
        <v>1574</v>
      </c>
      <c r="J433" s="14" t="s">
        <v>234</v>
      </c>
      <c r="K433" s="14" t="s">
        <v>263</v>
      </c>
      <c r="L433" s="14" t="s">
        <v>234</v>
      </c>
      <c r="M433" s="79">
        <f t="shared" si="42"/>
        <v>46024</v>
      </c>
      <c r="N433" s="14">
        <f t="shared" ca="1" si="41"/>
        <v>1</v>
      </c>
      <c r="O433" s="79">
        <v>45594</v>
      </c>
    </row>
    <row r="434" spans="1:17" ht="29" x14ac:dyDescent="0.35">
      <c r="A434" s="102" t="str">
        <f t="shared" si="43"/>
        <v>Closed</v>
      </c>
      <c r="B434" s="14" t="s">
        <v>95</v>
      </c>
      <c r="C434" s="14" t="s">
        <v>138</v>
      </c>
      <c r="D434" s="79">
        <v>45599</v>
      </c>
      <c r="E434" s="14">
        <v>2408</v>
      </c>
      <c r="F434" s="14" t="s">
        <v>1575</v>
      </c>
      <c r="G434" s="14" t="str">
        <f>VLOOKUP(F434,'Accident &amp; Incident Detail'!$D$3:$E$4153,2,FALSE)</f>
        <v>Threatening Behaviour</v>
      </c>
      <c r="H434" s="14" t="s">
        <v>1576</v>
      </c>
      <c r="I434" s="14" t="s">
        <v>1577</v>
      </c>
      <c r="J434" s="14" t="s">
        <v>234</v>
      </c>
      <c r="K434" s="14" t="s">
        <v>210</v>
      </c>
      <c r="L434" s="14" t="s">
        <v>234</v>
      </c>
      <c r="M434" s="79">
        <f t="shared" ref="M434:M492" si="44">IF(D434="","",D434+28)</f>
        <v>45627</v>
      </c>
      <c r="N434" s="14">
        <f t="shared" ref="N434:N492" ca="1" si="45">IF(D434="",3,IF(M434&lt;$A$2,1,0))</f>
        <v>1</v>
      </c>
      <c r="O434" s="79">
        <v>45599</v>
      </c>
    </row>
    <row r="435" spans="1:17" ht="43.5" x14ac:dyDescent="0.35">
      <c r="A435" s="102" t="str">
        <f t="shared" si="43"/>
        <v>Closed</v>
      </c>
      <c r="B435" s="14" t="s">
        <v>95</v>
      </c>
      <c r="C435" s="14" t="s">
        <v>1578</v>
      </c>
      <c r="D435" s="79">
        <v>45620</v>
      </c>
      <c r="E435" s="14">
        <v>2408</v>
      </c>
      <c r="F435" s="14" t="s">
        <v>1579</v>
      </c>
      <c r="G435" s="14" t="str">
        <f>VLOOKUP(F435,'Accident &amp; Incident Detail'!$D$3:$E$4153,2,FALSE)</f>
        <v>Seperation</v>
      </c>
      <c r="H435" s="14" t="s">
        <v>1580</v>
      </c>
      <c r="I435" s="14" t="s">
        <v>1581</v>
      </c>
      <c r="J435" s="14" t="s">
        <v>234</v>
      </c>
      <c r="K435" s="14" t="s">
        <v>227</v>
      </c>
      <c r="L435" s="14" t="s">
        <v>234</v>
      </c>
      <c r="M435" s="79">
        <f t="shared" si="44"/>
        <v>45648</v>
      </c>
      <c r="N435" s="14">
        <f t="shared" ca="1" si="45"/>
        <v>1</v>
      </c>
      <c r="O435" s="79">
        <v>45620</v>
      </c>
    </row>
    <row r="436" spans="1:17" ht="29" x14ac:dyDescent="0.35">
      <c r="A436" s="102" t="str">
        <f t="shared" si="43"/>
        <v>Closed</v>
      </c>
      <c r="B436" s="14" t="s">
        <v>96</v>
      </c>
      <c r="C436" s="14" t="s">
        <v>1527</v>
      </c>
      <c r="D436" s="79">
        <v>45706</v>
      </c>
      <c r="E436" s="14">
        <v>2409</v>
      </c>
      <c r="F436" s="14" t="s">
        <v>1582</v>
      </c>
      <c r="G436" s="14" t="str">
        <f>VLOOKUP(F436,'Accident &amp; Incident Detail'!$D$3:$E$4153,2,FALSE)</f>
        <v>Near Miss</v>
      </c>
      <c r="H436" s="14" t="s">
        <v>1583</v>
      </c>
      <c r="I436" s="14" t="s">
        <v>1584</v>
      </c>
      <c r="J436" s="14" t="s">
        <v>234</v>
      </c>
      <c r="K436" s="14" t="s">
        <v>263</v>
      </c>
      <c r="L436" s="14" t="s">
        <v>234</v>
      </c>
      <c r="M436" s="79">
        <f t="shared" si="44"/>
        <v>45734</v>
      </c>
      <c r="N436" s="14">
        <f t="shared" ca="1" si="45"/>
        <v>1</v>
      </c>
      <c r="O436" s="79">
        <v>45706</v>
      </c>
    </row>
    <row r="437" spans="1:17" ht="43.5" x14ac:dyDescent="0.35">
      <c r="A437" s="102" t="str">
        <f t="shared" si="43"/>
        <v>Closed</v>
      </c>
      <c r="B437" s="14" t="s">
        <v>96</v>
      </c>
      <c r="C437" s="14" t="s">
        <v>1527</v>
      </c>
      <c r="D437" s="79">
        <v>45706</v>
      </c>
      <c r="E437" s="14">
        <v>2409</v>
      </c>
      <c r="F437" s="14" t="s">
        <v>1582</v>
      </c>
      <c r="G437" s="14" t="str">
        <f>VLOOKUP(F437,'Accident &amp; Incident Detail'!$D$3:$E$4153,2,FALSE)</f>
        <v>Near Miss</v>
      </c>
      <c r="H437" s="14" t="s">
        <v>1585</v>
      </c>
      <c r="I437" s="14" t="s">
        <v>1586</v>
      </c>
      <c r="J437" s="14" t="s">
        <v>372</v>
      </c>
      <c r="K437" s="14" t="s">
        <v>222</v>
      </c>
      <c r="L437" s="14" t="s">
        <v>236</v>
      </c>
      <c r="M437" s="79">
        <f t="shared" si="44"/>
        <v>45734</v>
      </c>
      <c r="N437" s="14">
        <f ca="1">IF(D437="",3,IF(M437&lt;$A$2,1,0))</f>
        <v>1</v>
      </c>
      <c r="O437" s="79">
        <v>45706</v>
      </c>
    </row>
    <row r="438" spans="1:17" ht="29" x14ac:dyDescent="0.35">
      <c r="A438" s="102" t="str">
        <f t="shared" si="43"/>
        <v>Closed</v>
      </c>
      <c r="B438" s="14" t="s">
        <v>95</v>
      </c>
      <c r="C438" s="14" t="s">
        <v>135</v>
      </c>
      <c r="D438" s="79">
        <v>46010</v>
      </c>
      <c r="E438" s="14">
        <v>2409</v>
      </c>
      <c r="F438" s="14" t="s">
        <v>1587</v>
      </c>
      <c r="G438" s="14" t="str">
        <f>VLOOKUP(F438,'Accident &amp; Incident Detail'!$D$3:$E$4153,2,FALSE)</f>
        <v>Minor - RTC</v>
      </c>
      <c r="H438" s="14" t="s">
        <v>1588</v>
      </c>
      <c r="I438" s="14" t="s">
        <v>1589</v>
      </c>
      <c r="J438" s="14" t="s">
        <v>234</v>
      </c>
      <c r="K438" s="14" t="s">
        <v>265</v>
      </c>
      <c r="L438" s="14" t="s">
        <v>234</v>
      </c>
      <c r="M438" s="79">
        <f t="shared" si="44"/>
        <v>46038</v>
      </c>
      <c r="N438" s="14">
        <f t="shared" ca="1" si="45"/>
        <v>1</v>
      </c>
      <c r="O438" s="79">
        <v>45620</v>
      </c>
    </row>
    <row r="439" spans="1:17" ht="29" x14ac:dyDescent="0.35">
      <c r="A439" s="102" t="str">
        <f t="shared" si="43"/>
        <v>Closed</v>
      </c>
      <c r="B439" s="14" t="s">
        <v>95</v>
      </c>
      <c r="C439" s="14" t="s">
        <v>135</v>
      </c>
      <c r="D439" s="79">
        <v>46010</v>
      </c>
      <c r="E439" s="14">
        <v>2409</v>
      </c>
      <c r="F439" s="14" t="s">
        <v>1587</v>
      </c>
      <c r="G439" s="14" t="str">
        <f>VLOOKUP(F439,'Accident &amp; Incident Detail'!$D$3:$E$4153,2,FALSE)</f>
        <v>Minor - RTC</v>
      </c>
      <c r="H439" s="14" t="s">
        <v>1590</v>
      </c>
      <c r="I439" s="14" t="s">
        <v>1591</v>
      </c>
      <c r="J439" s="14" t="s">
        <v>234</v>
      </c>
      <c r="K439" s="14" t="s">
        <v>263</v>
      </c>
      <c r="L439" s="14" t="s">
        <v>234</v>
      </c>
      <c r="M439" s="79">
        <f t="shared" si="44"/>
        <v>46038</v>
      </c>
      <c r="N439" s="14">
        <f t="shared" ca="1" si="45"/>
        <v>1</v>
      </c>
      <c r="O439" s="79">
        <v>45621</v>
      </c>
    </row>
    <row r="440" spans="1:17" ht="43.5" x14ac:dyDescent="0.35">
      <c r="A440" s="102" t="str">
        <f t="shared" si="43"/>
        <v>Closed</v>
      </c>
      <c r="B440" s="14" t="s">
        <v>95</v>
      </c>
      <c r="C440" s="14" t="s">
        <v>523</v>
      </c>
      <c r="D440" s="79">
        <v>45773</v>
      </c>
      <c r="E440" s="14">
        <v>2410</v>
      </c>
      <c r="F440" s="14" t="s">
        <v>1592</v>
      </c>
      <c r="G440" s="14" t="str">
        <f>VLOOKUP(F440,'Accident &amp; Incident Detail'!$D$3:$E$4153,2,FALSE)</f>
        <v>Door Trap</v>
      </c>
      <c r="H440" s="14" t="s">
        <v>1593</v>
      </c>
      <c r="I440" s="14" t="s">
        <v>1594</v>
      </c>
      <c r="J440" s="14" t="s">
        <v>241</v>
      </c>
      <c r="K440" s="14" t="s">
        <v>239</v>
      </c>
      <c r="L440" s="14" t="s">
        <v>241</v>
      </c>
      <c r="M440" s="79">
        <f t="shared" si="44"/>
        <v>45801</v>
      </c>
      <c r="N440" s="14">
        <f t="shared" ca="1" si="45"/>
        <v>1</v>
      </c>
      <c r="O440" s="79">
        <v>46042</v>
      </c>
      <c r="Q440" s="14" t="s">
        <v>1595</v>
      </c>
    </row>
    <row r="441" spans="1:17" ht="29" x14ac:dyDescent="0.35">
      <c r="A441" s="102" t="str">
        <f t="shared" si="43"/>
        <v>Closed</v>
      </c>
      <c r="B441" s="14" t="s">
        <v>95</v>
      </c>
      <c r="C441" s="14" t="s">
        <v>153</v>
      </c>
      <c r="D441" s="79">
        <v>45654</v>
      </c>
      <c r="E441" s="14">
        <v>2410</v>
      </c>
      <c r="F441" s="14" t="s">
        <v>1596</v>
      </c>
      <c r="G441" s="14" t="str">
        <f>VLOOKUP(F441,'Accident &amp; Incident Detail'!$D$3:$E$4153,2,FALSE)</f>
        <v>STF on Tram</v>
      </c>
      <c r="H441" s="14" t="s">
        <v>1597</v>
      </c>
      <c r="I441" s="14" t="s">
        <v>1598</v>
      </c>
      <c r="J441" s="14" t="s">
        <v>234</v>
      </c>
      <c r="K441" s="14" t="s">
        <v>264</v>
      </c>
      <c r="L441" s="14" t="s">
        <v>234</v>
      </c>
      <c r="M441" s="79">
        <f t="shared" si="44"/>
        <v>45682</v>
      </c>
      <c r="N441" s="14">
        <f t="shared" ca="1" si="45"/>
        <v>1</v>
      </c>
      <c r="O441" s="79">
        <v>45654</v>
      </c>
    </row>
    <row r="442" spans="1:17" ht="29" x14ac:dyDescent="0.35">
      <c r="A442" s="102" t="str">
        <f t="shared" si="43"/>
        <v>Closed</v>
      </c>
      <c r="B442" s="14" t="s">
        <v>95</v>
      </c>
      <c r="C442" s="14" t="s">
        <v>417</v>
      </c>
      <c r="D442" s="79">
        <v>45658</v>
      </c>
      <c r="E442" s="14">
        <v>2410</v>
      </c>
      <c r="F442" s="14" t="s">
        <v>1599</v>
      </c>
      <c r="G442" s="14" t="str">
        <f>VLOOKUP(F442,'Accident &amp; Incident Detail'!$D$3:$E$4153,2,FALSE)</f>
        <v>Threatening Behaviour</v>
      </c>
      <c r="H442" s="14" t="s">
        <v>1600</v>
      </c>
      <c r="I442" s="14" t="s">
        <v>1601</v>
      </c>
      <c r="J442" s="14" t="s">
        <v>234</v>
      </c>
      <c r="K442" s="14" t="s">
        <v>210</v>
      </c>
      <c r="L442" s="14" t="s">
        <v>234</v>
      </c>
      <c r="M442" s="79">
        <f t="shared" si="44"/>
        <v>45686</v>
      </c>
      <c r="N442" s="14">
        <f t="shared" ca="1" si="45"/>
        <v>1</v>
      </c>
      <c r="O442" s="79">
        <v>45658</v>
      </c>
    </row>
    <row r="443" spans="1:17" ht="29" x14ac:dyDescent="0.35">
      <c r="A443" s="102" t="str">
        <f t="shared" si="43"/>
        <v>Closed</v>
      </c>
      <c r="B443" s="14" t="s">
        <v>95</v>
      </c>
      <c r="C443" s="14" t="s">
        <v>135</v>
      </c>
      <c r="D443" s="79">
        <v>45681</v>
      </c>
      <c r="E443" s="14">
        <v>2410</v>
      </c>
      <c r="F443" s="14" t="s">
        <v>1602</v>
      </c>
      <c r="G443" s="14" t="str">
        <f>VLOOKUP(F443,'Accident &amp; Incident Detail'!$D$3:$E$4153,2,FALSE)</f>
        <v>STF other</v>
      </c>
      <c r="H443" s="14" t="s">
        <v>1603</v>
      </c>
      <c r="I443" s="14" t="s">
        <v>1604</v>
      </c>
      <c r="J443" s="14" t="s">
        <v>241</v>
      </c>
      <c r="K443" s="14" t="s">
        <v>240</v>
      </c>
      <c r="L443" s="14" t="s">
        <v>241</v>
      </c>
      <c r="M443" s="79">
        <f t="shared" si="44"/>
        <v>45709</v>
      </c>
      <c r="N443" s="14">
        <f t="shared" ca="1" si="45"/>
        <v>1</v>
      </c>
      <c r="O443" s="79">
        <v>45681</v>
      </c>
    </row>
    <row r="444" spans="1:17" ht="29" x14ac:dyDescent="0.35">
      <c r="A444" s="102" t="str">
        <f t="shared" si="43"/>
        <v>Closed</v>
      </c>
      <c r="B444" s="14" t="s">
        <v>96</v>
      </c>
      <c r="C444" s="14" t="s">
        <v>177</v>
      </c>
      <c r="D444" s="79">
        <v>45731</v>
      </c>
      <c r="E444" s="14">
        <v>2411</v>
      </c>
      <c r="F444" s="14" t="s">
        <v>1605</v>
      </c>
      <c r="G444" s="14" t="str">
        <f>VLOOKUP(F444,'Accident &amp; Incident Detail'!$D$3:$E$4153,2,FALSE)</f>
        <v>Derailment</v>
      </c>
      <c r="H444" s="14" t="s">
        <v>1606</v>
      </c>
      <c r="I444" s="14" t="s">
        <v>1607</v>
      </c>
      <c r="J444" s="14" t="s">
        <v>241</v>
      </c>
      <c r="K444" s="14" t="s">
        <v>239</v>
      </c>
      <c r="L444" s="14" t="s">
        <v>241</v>
      </c>
      <c r="M444" s="79">
        <f t="shared" si="44"/>
        <v>45759</v>
      </c>
      <c r="N444" s="14">
        <f t="shared" ca="1" si="45"/>
        <v>1</v>
      </c>
      <c r="O444" s="79">
        <v>45762</v>
      </c>
    </row>
    <row r="445" spans="1:17" ht="43.5" x14ac:dyDescent="0.35">
      <c r="A445" s="102" t="str">
        <f t="shared" si="43"/>
        <v>Closed</v>
      </c>
      <c r="B445" s="14" t="s">
        <v>95</v>
      </c>
      <c r="C445" s="14" t="s">
        <v>138</v>
      </c>
      <c r="D445" s="79">
        <v>45769</v>
      </c>
      <c r="E445" s="14">
        <v>2501</v>
      </c>
      <c r="F445" s="14" t="s">
        <v>1608</v>
      </c>
      <c r="G445" s="14" t="str">
        <f>VLOOKUP(F445,'Accident &amp; Incident Detail'!$D$3:$E$4153,2,FALSE)</f>
        <v>Verbal Abuse</v>
      </c>
      <c r="H445" s="14" t="s">
        <v>1609</v>
      </c>
      <c r="I445" s="14" t="s">
        <v>1610</v>
      </c>
      <c r="J445" s="14" t="s">
        <v>234</v>
      </c>
      <c r="K445" s="14" t="s">
        <v>210</v>
      </c>
      <c r="L445" s="14" t="s">
        <v>234</v>
      </c>
      <c r="M445" s="79">
        <f t="shared" si="44"/>
        <v>45797</v>
      </c>
      <c r="N445" s="14">
        <f t="shared" ca="1" si="45"/>
        <v>1</v>
      </c>
      <c r="O445" s="79">
        <v>45769</v>
      </c>
    </row>
    <row r="446" spans="1:17" ht="29" x14ac:dyDescent="0.35">
      <c r="A446" s="102" t="str">
        <f t="shared" si="43"/>
        <v>Closed</v>
      </c>
      <c r="B446" s="14" t="s">
        <v>95</v>
      </c>
      <c r="C446" s="14" t="s">
        <v>135</v>
      </c>
      <c r="D446" s="79">
        <v>45883</v>
      </c>
      <c r="E446" s="14">
        <v>2502</v>
      </c>
      <c r="F446" s="14" t="s">
        <v>1611</v>
      </c>
      <c r="G446" s="14" t="str">
        <f>VLOOKUP(F446,'Accident &amp; Incident Detail'!$D$3:$E$4153,2,FALSE)</f>
        <v>Seperation</v>
      </c>
      <c r="H446" s="14" t="s">
        <v>1612</v>
      </c>
      <c r="I446" s="14" t="s">
        <v>1613</v>
      </c>
      <c r="J446" s="14" t="s">
        <v>234</v>
      </c>
      <c r="K446" s="14" t="s">
        <v>265</v>
      </c>
      <c r="L446" s="14" t="s">
        <v>234</v>
      </c>
      <c r="M446" s="79">
        <f t="shared" si="44"/>
        <v>45911</v>
      </c>
      <c r="N446" s="14">
        <f t="shared" ca="1" si="45"/>
        <v>1</v>
      </c>
      <c r="O446" s="79">
        <v>45777</v>
      </c>
    </row>
    <row r="447" spans="1:17" ht="93" x14ac:dyDescent="0.35">
      <c r="A447" s="102" t="str">
        <f t="shared" ca="1" si="43"/>
        <v>Overdue</v>
      </c>
      <c r="B447" s="14" t="s">
        <v>96</v>
      </c>
      <c r="C447" s="14" t="s">
        <v>184</v>
      </c>
      <c r="D447" s="79">
        <v>45943</v>
      </c>
      <c r="E447" s="14">
        <v>2507</v>
      </c>
      <c r="F447" s="14" t="s">
        <v>1614</v>
      </c>
      <c r="G447" s="14" t="str">
        <f>VLOOKUP(F447,'Accident &amp; Incident Detail'!$D$3:$E$4153,2,FALSE)</f>
        <v>Derailment -Multi-Car</v>
      </c>
      <c r="H447" s="14" t="s">
        <v>1615</v>
      </c>
      <c r="I447" s="346" t="s">
        <v>1616</v>
      </c>
      <c r="J447" s="14" t="s">
        <v>236</v>
      </c>
      <c r="K447" s="14" t="s">
        <v>250</v>
      </c>
      <c r="L447" s="14" t="s">
        <v>236</v>
      </c>
      <c r="M447" s="79">
        <f t="shared" si="44"/>
        <v>45971</v>
      </c>
      <c r="N447" s="14">
        <f t="shared" ca="1" si="45"/>
        <v>1</v>
      </c>
      <c r="Q447" s="14" t="s">
        <v>1154</v>
      </c>
    </row>
    <row r="448" spans="1:17" ht="43.5" x14ac:dyDescent="0.35">
      <c r="A448" s="102" t="str">
        <f t="shared" ca="1" si="43"/>
        <v>Overdue</v>
      </c>
      <c r="B448" s="14" t="s">
        <v>96</v>
      </c>
      <c r="C448" s="14" t="s">
        <v>184</v>
      </c>
      <c r="D448" s="79">
        <v>45943</v>
      </c>
      <c r="E448" s="14">
        <v>2507</v>
      </c>
      <c r="F448" s="14" t="s">
        <v>1614</v>
      </c>
      <c r="G448" s="14" t="str">
        <f>VLOOKUP(F448,'Accident &amp; Incident Detail'!$D$3:$E$4153,2,FALSE)</f>
        <v>Derailment -Multi-Car</v>
      </c>
      <c r="H448" s="14" t="s">
        <v>1617</v>
      </c>
      <c r="I448" s="14" t="s">
        <v>1618</v>
      </c>
      <c r="J448" s="14" t="s">
        <v>328</v>
      </c>
      <c r="K448" s="14" t="s">
        <v>250</v>
      </c>
      <c r="L448" s="14" t="s">
        <v>236</v>
      </c>
      <c r="M448" s="79">
        <f t="shared" si="44"/>
        <v>45971</v>
      </c>
      <c r="N448" s="14">
        <f t="shared" ca="1" si="45"/>
        <v>1</v>
      </c>
      <c r="Q448" s="14" t="s">
        <v>1154</v>
      </c>
    </row>
    <row r="449" spans="1:17" ht="43.5" x14ac:dyDescent="0.35">
      <c r="A449" s="102" t="str">
        <f t="shared" ca="1" si="43"/>
        <v>Overdue</v>
      </c>
      <c r="B449" s="14" t="s">
        <v>96</v>
      </c>
      <c r="C449" s="14" t="s">
        <v>184</v>
      </c>
      <c r="D449" s="79">
        <v>45943</v>
      </c>
      <c r="E449" s="14">
        <v>2507</v>
      </c>
      <c r="F449" s="14" t="s">
        <v>1614</v>
      </c>
      <c r="G449" s="14" t="str">
        <f>VLOOKUP(F449,'Accident &amp; Incident Detail'!$D$3:$E$4153,2,FALSE)</f>
        <v>Derailment -Multi-Car</v>
      </c>
      <c r="H449" s="14" t="s">
        <v>1619</v>
      </c>
      <c r="I449" s="14" t="s">
        <v>1620</v>
      </c>
      <c r="J449" s="14" t="s">
        <v>328</v>
      </c>
      <c r="K449" s="14" t="s">
        <v>214</v>
      </c>
      <c r="L449" s="14" t="s">
        <v>236</v>
      </c>
      <c r="M449" s="79">
        <f t="shared" si="44"/>
        <v>45971</v>
      </c>
      <c r="N449" s="14">
        <f t="shared" ca="1" si="45"/>
        <v>1</v>
      </c>
      <c r="Q449" s="14" t="s">
        <v>1621</v>
      </c>
    </row>
    <row r="450" spans="1:17" ht="62" x14ac:dyDescent="0.35">
      <c r="A450" s="102" t="str">
        <f t="shared" si="43"/>
        <v>Closed</v>
      </c>
      <c r="B450" s="14" t="s">
        <v>96</v>
      </c>
      <c r="C450" s="14" t="s">
        <v>184</v>
      </c>
      <c r="D450" s="79">
        <v>45943</v>
      </c>
      <c r="E450" s="14">
        <v>2507</v>
      </c>
      <c r="F450" s="14" t="s">
        <v>1614</v>
      </c>
      <c r="G450" s="14" t="str">
        <f>VLOOKUP(F450,'Accident &amp; Incident Detail'!$D$3:$E$4153,2,FALSE)</f>
        <v>Derailment -Multi-Car</v>
      </c>
      <c r="H450" s="14" t="s">
        <v>1622</v>
      </c>
      <c r="I450" s="347" t="s">
        <v>1623</v>
      </c>
      <c r="J450" s="14" t="s">
        <v>236</v>
      </c>
      <c r="K450" s="14" t="s">
        <v>271</v>
      </c>
      <c r="L450" s="14" t="s">
        <v>236</v>
      </c>
      <c r="M450" s="79">
        <f t="shared" si="44"/>
        <v>45971</v>
      </c>
      <c r="N450" s="14">
        <f t="shared" ca="1" si="45"/>
        <v>1</v>
      </c>
      <c r="O450" s="79">
        <v>45960</v>
      </c>
      <c r="Q450" s="14" t="s">
        <v>1624</v>
      </c>
    </row>
    <row r="451" spans="1:17" ht="29" x14ac:dyDescent="0.35">
      <c r="A451" s="102" t="str">
        <f t="shared" si="43"/>
        <v>Closed</v>
      </c>
      <c r="B451" s="14" t="s">
        <v>95</v>
      </c>
      <c r="C451" s="14" t="s">
        <v>135</v>
      </c>
      <c r="D451" s="79">
        <v>45902</v>
      </c>
      <c r="E451" s="14">
        <v>2504</v>
      </c>
      <c r="F451" s="14" t="s">
        <v>1625</v>
      </c>
      <c r="G451" s="14" t="str">
        <f>VLOOKUP(F451,'Accident &amp; Incident Detail'!$D$3:$E$4153,2,FALSE)</f>
        <v>Verbal Abuse</v>
      </c>
      <c r="H451" s="14" t="s">
        <v>1626</v>
      </c>
      <c r="I451" s="348" t="s">
        <v>1627</v>
      </c>
      <c r="J451" s="14" t="s">
        <v>234</v>
      </c>
      <c r="K451" s="14" t="s">
        <v>264</v>
      </c>
      <c r="L451" s="14" t="s">
        <v>234</v>
      </c>
      <c r="M451" s="79">
        <f t="shared" si="44"/>
        <v>45930</v>
      </c>
      <c r="N451" s="14">
        <f t="shared" ca="1" si="45"/>
        <v>1</v>
      </c>
      <c r="O451" s="79">
        <v>45842</v>
      </c>
    </row>
    <row r="452" spans="1:17" ht="29" x14ac:dyDescent="0.35">
      <c r="A452" s="102" t="str">
        <f t="shared" si="43"/>
        <v>Closed</v>
      </c>
      <c r="B452" s="14" t="s">
        <v>95</v>
      </c>
      <c r="C452" s="14" t="s">
        <v>135</v>
      </c>
      <c r="D452" s="79">
        <v>45902</v>
      </c>
      <c r="E452" s="14">
        <v>2504</v>
      </c>
      <c r="F452" s="14" t="s">
        <v>1625</v>
      </c>
      <c r="G452" s="14" t="str">
        <f>VLOOKUP(F452,'Accident &amp; Incident Detail'!$D$3:$E$4153,2,FALSE)</f>
        <v>Verbal Abuse</v>
      </c>
      <c r="H452" s="14" t="s">
        <v>1628</v>
      </c>
      <c r="I452" s="14" t="s">
        <v>1629</v>
      </c>
      <c r="J452" s="14" t="s">
        <v>234</v>
      </c>
      <c r="K452" s="14" t="s">
        <v>263</v>
      </c>
      <c r="L452" s="14" t="s">
        <v>234</v>
      </c>
      <c r="M452" s="79">
        <f t="shared" si="44"/>
        <v>45930</v>
      </c>
      <c r="N452" s="14">
        <f t="shared" ca="1" si="45"/>
        <v>1</v>
      </c>
      <c r="O452" s="79">
        <v>45852</v>
      </c>
    </row>
    <row r="453" spans="1:17" ht="29" x14ac:dyDescent="0.35">
      <c r="A453" s="102" t="str">
        <f t="shared" si="43"/>
        <v>Closed</v>
      </c>
      <c r="B453" s="14" t="s">
        <v>95</v>
      </c>
      <c r="C453" s="14" t="s">
        <v>153</v>
      </c>
      <c r="D453" s="79">
        <v>45898</v>
      </c>
      <c r="E453" s="14">
        <v>2504</v>
      </c>
      <c r="F453" s="14" t="s">
        <v>1630</v>
      </c>
      <c r="G453" s="14" t="str">
        <f>VLOOKUP(F453,'Accident &amp; Incident Detail'!$D$3:$E$4153,2,FALSE)</f>
        <v>Signal Passed against Bar (SPAS)</v>
      </c>
      <c r="H453" s="14" t="s">
        <v>1631</v>
      </c>
      <c r="I453" s="14" t="s">
        <v>1632</v>
      </c>
      <c r="J453" s="14" t="s">
        <v>234</v>
      </c>
      <c r="K453" s="14" t="s">
        <v>264</v>
      </c>
      <c r="L453" s="14" t="s">
        <v>234</v>
      </c>
      <c r="M453" s="79">
        <f t="shared" si="44"/>
        <v>45926</v>
      </c>
      <c r="N453" s="14">
        <f t="shared" ca="1" si="45"/>
        <v>1</v>
      </c>
      <c r="O453" s="79">
        <v>45898</v>
      </c>
    </row>
    <row r="454" spans="1:17" ht="29" x14ac:dyDescent="0.35">
      <c r="A454" s="102" t="str">
        <f t="shared" si="43"/>
        <v>Closed</v>
      </c>
      <c r="B454" s="14" t="s">
        <v>95</v>
      </c>
      <c r="C454" s="14" t="s">
        <v>135</v>
      </c>
      <c r="D454" s="79">
        <v>45944</v>
      </c>
      <c r="E454" s="14">
        <v>2505</v>
      </c>
      <c r="F454" s="14" t="s">
        <v>1633</v>
      </c>
      <c r="G454" s="14" t="str">
        <f>VLOOKUP(F454,'Accident &amp; Incident Detail'!$D$3:$E$4153,2,FALSE)</f>
        <v>Minor - RTC</v>
      </c>
      <c r="H454" s="14" t="s">
        <v>1634</v>
      </c>
      <c r="I454" s="14" t="s">
        <v>1635</v>
      </c>
      <c r="J454" s="14" t="s">
        <v>234</v>
      </c>
      <c r="K454" s="14" t="s">
        <v>263</v>
      </c>
      <c r="L454" s="14" t="s">
        <v>234</v>
      </c>
      <c r="M454" s="79">
        <f t="shared" si="44"/>
        <v>45972</v>
      </c>
      <c r="N454" s="14">
        <f t="shared" ca="1" si="45"/>
        <v>1</v>
      </c>
      <c r="O454" s="79">
        <v>45895</v>
      </c>
      <c r="Q454" s="14" t="s">
        <v>1636</v>
      </c>
    </row>
    <row r="455" spans="1:17" ht="29" x14ac:dyDescent="0.35">
      <c r="A455" s="102" t="str">
        <f t="shared" si="43"/>
        <v>Closed</v>
      </c>
      <c r="B455" s="14" t="s">
        <v>95</v>
      </c>
      <c r="C455" s="14" t="s">
        <v>1209</v>
      </c>
      <c r="D455" s="79">
        <v>45876</v>
      </c>
      <c r="E455" s="14">
        <v>2505</v>
      </c>
      <c r="F455" s="14" t="s">
        <v>1637</v>
      </c>
      <c r="G455" s="14" t="str">
        <f>VLOOKUP(F455,'Accident &amp; Incident Detail'!$D$3:$E$4153,2,FALSE)</f>
        <v>Wrong routing</v>
      </c>
      <c r="H455" s="14" t="s">
        <v>1638</v>
      </c>
      <c r="I455" s="14" t="s">
        <v>1639</v>
      </c>
      <c r="J455" s="14" t="s">
        <v>234</v>
      </c>
      <c r="K455" s="14" t="s">
        <v>264</v>
      </c>
      <c r="L455" s="14" t="s">
        <v>234</v>
      </c>
      <c r="M455" s="79">
        <f t="shared" si="44"/>
        <v>45904</v>
      </c>
      <c r="N455" s="14">
        <f t="shared" ca="1" si="45"/>
        <v>1</v>
      </c>
      <c r="O455" s="79">
        <v>45876</v>
      </c>
    </row>
    <row r="456" spans="1:17" ht="87" x14ac:dyDescent="0.35">
      <c r="A456" s="102" t="str">
        <f t="shared" ca="1" si="43"/>
        <v>Overdue</v>
      </c>
      <c r="B456" s="14" t="s">
        <v>91</v>
      </c>
      <c r="C456" s="14" t="s">
        <v>1640</v>
      </c>
      <c r="D456" s="79">
        <v>45947</v>
      </c>
      <c r="E456" s="14">
        <v>2508</v>
      </c>
      <c r="G456" s="14" t="e">
        <f>VLOOKUP(F456,'Accident &amp; Incident Detail'!$D$3:$E$4153,2,FALSE)</f>
        <v>#N/A</v>
      </c>
      <c r="H456" s="14" t="s">
        <v>1641</v>
      </c>
      <c r="I456" s="14" t="s">
        <v>1642</v>
      </c>
      <c r="J456" s="14" t="s">
        <v>236</v>
      </c>
      <c r="K456" s="14" t="s">
        <v>244</v>
      </c>
      <c r="L456" s="14" t="s">
        <v>236</v>
      </c>
      <c r="M456" s="79">
        <f t="shared" si="44"/>
        <v>45975</v>
      </c>
      <c r="N456" s="14">
        <f t="shared" ca="1" si="45"/>
        <v>1</v>
      </c>
      <c r="Q456" s="14" t="s">
        <v>1643</v>
      </c>
    </row>
    <row r="457" spans="1:17" ht="29" x14ac:dyDescent="0.35">
      <c r="A457" s="102" t="str">
        <f t="shared" ca="1" si="43"/>
        <v>Open</v>
      </c>
      <c r="B457" s="14" t="s">
        <v>91</v>
      </c>
      <c r="C457" s="14" t="s">
        <v>1071</v>
      </c>
      <c r="D457" s="79" t="s">
        <v>1644</v>
      </c>
      <c r="E457" s="14">
        <v>2509</v>
      </c>
      <c r="G457" s="14" t="e">
        <f>VLOOKUP(F457,'Accident &amp; Incident Detail'!$D$3:$E$4153,2,FALSE)</f>
        <v>#N/A</v>
      </c>
      <c r="H457" s="14" t="s">
        <v>1645</v>
      </c>
      <c r="I457" s="14" t="s">
        <v>1646</v>
      </c>
      <c r="J457" s="14" t="s">
        <v>236</v>
      </c>
      <c r="K457" s="14" t="s">
        <v>223</v>
      </c>
      <c r="L457" s="14" t="s">
        <v>236</v>
      </c>
      <c r="M457" s="79" t="s">
        <v>1647</v>
      </c>
      <c r="N457" s="14">
        <f t="shared" ca="1" si="45"/>
        <v>0</v>
      </c>
    </row>
    <row r="458" spans="1:17" ht="29" x14ac:dyDescent="0.35">
      <c r="A458" s="102" t="str">
        <f t="shared" si="43"/>
        <v>Closed</v>
      </c>
      <c r="B458" s="14" t="s">
        <v>95</v>
      </c>
      <c r="C458" s="14" t="s">
        <v>1209</v>
      </c>
      <c r="D458" s="79">
        <v>45951</v>
      </c>
      <c r="E458" s="14">
        <v>2508</v>
      </c>
      <c r="F458" s="14" t="s">
        <v>1648</v>
      </c>
      <c r="G458" s="14" t="str">
        <f>VLOOKUP(F458,'Accident &amp; Incident Detail'!$D$3:$E$4153,2,FALSE)</f>
        <v>STF on Tram</v>
      </c>
      <c r="H458" s="14" t="s">
        <v>1649</v>
      </c>
      <c r="I458" s="14" t="s">
        <v>1650</v>
      </c>
      <c r="J458" s="14" t="s">
        <v>234</v>
      </c>
      <c r="K458" s="14" t="s">
        <v>264</v>
      </c>
      <c r="L458" s="14" t="s">
        <v>234</v>
      </c>
      <c r="M458" s="79">
        <f t="shared" si="44"/>
        <v>45979</v>
      </c>
      <c r="N458" s="14">
        <f t="shared" ca="1" si="45"/>
        <v>1</v>
      </c>
      <c r="O458" s="79">
        <v>45951</v>
      </c>
    </row>
    <row r="459" spans="1:17" ht="29" x14ac:dyDescent="0.35">
      <c r="A459" s="102" t="str">
        <f t="shared" si="43"/>
        <v>Closed</v>
      </c>
      <c r="B459" s="14" t="s">
        <v>95</v>
      </c>
      <c r="C459" s="14" t="s">
        <v>189</v>
      </c>
      <c r="D459" s="79">
        <v>45953</v>
      </c>
      <c r="E459" s="14">
        <v>2509</v>
      </c>
      <c r="F459" s="14" t="s">
        <v>1651</v>
      </c>
      <c r="G459" s="14" t="str">
        <f>VLOOKUP(F459,'Accident &amp; Incident Detail'!$D$3:$E$4153,2,FALSE)</f>
        <v>STF other</v>
      </c>
      <c r="H459" s="14" t="s">
        <v>1652</v>
      </c>
      <c r="I459" s="14" t="s">
        <v>1653</v>
      </c>
      <c r="J459" s="14" t="s">
        <v>401</v>
      </c>
      <c r="K459" s="14" t="s">
        <v>263</v>
      </c>
      <c r="L459" s="14" t="s">
        <v>234</v>
      </c>
      <c r="M459" s="79">
        <f t="shared" si="44"/>
        <v>45981</v>
      </c>
      <c r="N459" s="14">
        <f t="shared" ca="1" si="45"/>
        <v>1</v>
      </c>
      <c r="O459" s="79">
        <v>45954</v>
      </c>
    </row>
    <row r="460" spans="1:17" ht="43.5" x14ac:dyDescent="0.35">
      <c r="A460" s="102" t="str">
        <f t="shared" ca="1" si="43"/>
        <v>Overdue</v>
      </c>
      <c r="B460" s="14" t="s">
        <v>91</v>
      </c>
      <c r="C460" s="14" t="s">
        <v>1258</v>
      </c>
      <c r="D460" s="79">
        <v>46003</v>
      </c>
      <c r="E460" s="14">
        <v>2510</v>
      </c>
      <c r="G460" s="14" t="e">
        <f>VLOOKUP(F460,'Accident &amp; Incident Detail'!$D$3:$E$4153,2,FALSE)</f>
        <v>#N/A</v>
      </c>
      <c r="H460" s="14" t="s">
        <v>1654</v>
      </c>
      <c r="I460" s="14" t="s">
        <v>1655</v>
      </c>
      <c r="J460" s="14" t="s">
        <v>328</v>
      </c>
      <c r="K460" s="14" t="s">
        <v>250</v>
      </c>
      <c r="L460" s="14" t="s">
        <v>236</v>
      </c>
      <c r="M460" s="79">
        <f t="shared" si="44"/>
        <v>46031</v>
      </c>
      <c r="N460" s="14">
        <f t="shared" ca="1" si="45"/>
        <v>1</v>
      </c>
      <c r="Q460" s="14" t="s">
        <v>1154</v>
      </c>
    </row>
    <row r="461" spans="1:17" ht="43.5" x14ac:dyDescent="0.35">
      <c r="A461" s="102" t="str">
        <f t="shared" si="43"/>
        <v>Closed</v>
      </c>
      <c r="B461" s="14" t="s">
        <v>91</v>
      </c>
      <c r="D461" s="79">
        <v>45985</v>
      </c>
      <c r="E461" s="14">
        <v>2509</v>
      </c>
      <c r="G461" s="14" t="e">
        <f>VLOOKUP(F461,'Accident &amp; Incident Detail'!$D$3:$E$4153,2,FALSE)</f>
        <v>#N/A</v>
      </c>
      <c r="H461" s="14" t="s">
        <v>1656</v>
      </c>
      <c r="I461" s="14" t="s">
        <v>1657</v>
      </c>
      <c r="J461" s="14" t="s">
        <v>241</v>
      </c>
      <c r="K461" s="14" t="s">
        <v>240</v>
      </c>
      <c r="L461" s="14" t="s">
        <v>241</v>
      </c>
      <c r="M461" s="79">
        <f t="shared" si="44"/>
        <v>46013</v>
      </c>
      <c r="N461" s="14">
        <f t="shared" ca="1" si="45"/>
        <v>1</v>
      </c>
      <c r="O461" s="79">
        <v>46000</v>
      </c>
      <c r="Q461" s="14" t="s">
        <v>1658</v>
      </c>
    </row>
    <row r="462" spans="1:17" ht="72.5" x14ac:dyDescent="0.35">
      <c r="A462" s="102" t="str">
        <f t="shared" si="43"/>
        <v>Closed</v>
      </c>
      <c r="B462" s="14" t="s">
        <v>91</v>
      </c>
      <c r="D462" s="79">
        <v>45989</v>
      </c>
      <c r="E462" s="14">
        <v>2509</v>
      </c>
      <c r="G462" s="14" t="e">
        <f>VLOOKUP(F462,'Accident &amp; Incident Detail'!$D$3:$E$4153,2,FALSE)</f>
        <v>#N/A</v>
      </c>
      <c r="H462" s="14" t="s">
        <v>1659</v>
      </c>
      <c r="I462" s="14" t="s">
        <v>1660</v>
      </c>
      <c r="J462" s="14" t="s">
        <v>328</v>
      </c>
      <c r="K462" s="14" t="s">
        <v>267</v>
      </c>
      <c r="L462" s="14" t="s">
        <v>236</v>
      </c>
      <c r="M462" s="79">
        <f t="shared" si="44"/>
        <v>46017</v>
      </c>
      <c r="N462" s="14">
        <f t="shared" ca="1" si="45"/>
        <v>1</v>
      </c>
      <c r="O462" s="79">
        <v>46008</v>
      </c>
      <c r="Q462" s="14" t="s">
        <v>1661</v>
      </c>
    </row>
    <row r="463" spans="1:17" ht="58" x14ac:dyDescent="0.35">
      <c r="A463" s="102" t="str">
        <f t="shared" si="43"/>
        <v>Closed</v>
      </c>
      <c r="B463" s="14" t="s">
        <v>91</v>
      </c>
      <c r="C463" s="14" t="s">
        <v>361</v>
      </c>
      <c r="D463" s="79">
        <v>45994</v>
      </c>
      <c r="E463" s="14">
        <v>2509</v>
      </c>
      <c r="G463" s="14" t="e">
        <f>VLOOKUP(F463,'Accident &amp; Incident Detail'!$D$3:$E$4153,2,FALSE)</f>
        <v>#N/A</v>
      </c>
      <c r="H463" s="14" t="s">
        <v>1662</v>
      </c>
      <c r="I463" s="14" t="s">
        <v>1663</v>
      </c>
      <c r="J463" s="14" t="s">
        <v>241</v>
      </c>
      <c r="K463" s="14" t="s">
        <v>240</v>
      </c>
      <c r="L463" s="14" t="s">
        <v>241</v>
      </c>
      <c r="M463" s="79">
        <f t="shared" si="44"/>
        <v>46022</v>
      </c>
      <c r="N463" s="14">
        <f t="shared" ca="1" si="45"/>
        <v>1</v>
      </c>
      <c r="O463" s="79">
        <v>46008</v>
      </c>
      <c r="Q463" s="14" t="s">
        <v>1664</v>
      </c>
    </row>
    <row r="464" spans="1:17" ht="58" x14ac:dyDescent="0.35">
      <c r="A464" s="102" t="str">
        <f t="shared" si="43"/>
        <v>Closed</v>
      </c>
      <c r="B464" s="14" t="s">
        <v>91</v>
      </c>
      <c r="C464" s="14" t="s">
        <v>405</v>
      </c>
      <c r="D464" s="79">
        <v>45996</v>
      </c>
      <c r="E464" s="14">
        <v>2509</v>
      </c>
      <c r="G464" s="14" t="e">
        <f>VLOOKUP(F464,'Accident &amp; Incident Detail'!$D$3:$E$4153,2,FALSE)</f>
        <v>#N/A</v>
      </c>
      <c r="H464" s="14" t="s">
        <v>1665</v>
      </c>
      <c r="I464" s="14" t="s">
        <v>1666</v>
      </c>
      <c r="J464" s="14" t="s">
        <v>328</v>
      </c>
      <c r="K464" s="14" t="s">
        <v>267</v>
      </c>
      <c r="L464" s="14" t="s">
        <v>236</v>
      </c>
      <c r="M464" s="79">
        <f t="shared" si="44"/>
        <v>46024</v>
      </c>
      <c r="N464" s="14">
        <f t="shared" ca="1" si="45"/>
        <v>1</v>
      </c>
      <c r="O464" s="79">
        <v>46008</v>
      </c>
      <c r="Q464" s="14" t="s">
        <v>1667</v>
      </c>
    </row>
    <row r="465" spans="1:20" ht="43.5" x14ac:dyDescent="0.35">
      <c r="A465" s="102" t="str">
        <f t="shared" si="43"/>
        <v>Closed</v>
      </c>
      <c r="B465" s="14" t="s">
        <v>91</v>
      </c>
      <c r="C465" s="14" t="s">
        <v>1668</v>
      </c>
      <c r="D465" s="79">
        <v>45978</v>
      </c>
      <c r="E465" s="14">
        <v>2509</v>
      </c>
      <c r="G465" s="14" t="e">
        <f>VLOOKUP(F465,'Accident &amp; Incident Detail'!$D$3:$E$4153,2,FALSE)</f>
        <v>#N/A</v>
      </c>
      <c r="H465" s="14" t="s">
        <v>1669</v>
      </c>
      <c r="I465" s="14" t="s">
        <v>1670</v>
      </c>
      <c r="J465" s="14" t="s">
        <v>328</v>
      </c>
      <c r="K465" s="14" t="s">
        <v>267</v>
      </c>
      <c r="L465" s="14" t="s">
        <v>236</v>
      </c>
      <c r="M465" s="79">
        <f t="shared" si="44"/>
        <v>46006</v>
      </c>
      <c r="N465" s="14">
        <f t="shared" ca="1" si="45"/>
        <v>1</v>
      </c>
      <c r="O465" s="79">
        <v>46008</v>
      </c>
      <c r="Q465" s="14" t="s">
        <v>1671</v>
      </c>
    </row>
    <row r="466" spans="1:20" s="86" customFormat="1" ht="43.5" x14ac:dyDescent="0.35">
      <c r="A466" s="384" t="str">
        <f t="shared" si="43"/>
        <v>Closed</v>
      </c>
      <c r="B466" s="86" t="s">
        <v>91</v>
      </c>
      <c r="C466" s="86" t="s">
        <v>405</v>
      </c>
      <c r="D466" s="306">
        <v>45996</v>
      </c>
      <c r="E466" s="86">
        <v>2509</v>
      </c>
      <c r="G466" s="86" t="e">
        <f>VLOOKUP(F466,'Accident &amp; Incident Detail'!$D$3:$E$4153,2,FALSE)</f>
        <v>#N/A</v>
      </c>
      <c r="H466" s="86" t="s">
        <v>1672</v>
      </c>
      <c r="I466" s="86" t="s">
        <v>1673</v>
      </c>
      <c r="J466" s="14" t="s">
        <v>328</v>
      </c>
      <c r="K466" s="86" t="s">
        <v>250</v>
      </c>
      <c r="L466" s="14" t="s">
        <v>236</v>
      </c>
      <c r="M466" s="306">
        <f t="shared" si="44"/>
        <v>46024</v>
      </c>
      <c r="N466" s="86">
        <f t="shared" ca="1" si="45"/>
        <v>1</v>
      </c>
      <c r="O466" s="306">
        <v>45996</v>
      </c>
      <c r="Q466" s="86" t="s">
        <v>1254</v>
      </c>
    </row>
    <row r="467" spans="1:20" s="86" customFormat="1" ht="43.5" x14ac:dyDescent="0.35">
      <c r="A467" s="384" t="str">
        <f t="shared" si="43"/>
        <v>Closed</v>
      </c>
      <c r="B467" s="86" t="s">
        <v>91</v>
      </c>
      <c r="C467" s="86" t="s">
        <v>405</v>
      </c>
      <c r="D467" s="306">
        <v>45996</v>
      </c>
      <c r="E467" s="86">
        <v>2509</v>
      </c>
      <c r="G467" s="86" t="e">
        <f>VLOOKUP(F467,'Accident &amp; Incident Detail'!$D$3:$E$4153,2,FALSE)</f>
        <v>#N/A</v>
      </c>
      <c r="H467" s="86" t="s">
        <v>1674</v>
      </c>
      <c r="I467" s="86" t="s">
        <v>1675</v>
      </c>
      <c r="J467" s="14" t="s">
        <v>328</v>
      </c>
      <c r="K467" s="86" t="s">
        <v>250</v>
      </c>
      <c r="L467" s="14" t="s">
        <v>236</v>
      </c>
      <c r="M467" s="306">
        <f t="shared" si="44"/>
        <v>46024</v>
      </c>
      <c r="N467" s="86">
        <f t="shared" ca="1" si="45"/>
        <v>1</v>
      </c>
      <c r="O467" s="306">
        <v>45996</v>
      </c>
      <c r="Q467" s="86" t="s">
        <v>1254</v>
      </c>
    </row>
    <row r="468" spans="1:20" s="86" customFormat="1" ht="43.5" x14ac:dyDescent="0.35">
      <c r="A468" s="384" t="str">
        <f t="shared" si="43"/>
        <v>Closed</v>
      </c>
      <c r="B468" s="86" t="s">
        <v>91</v>
      </c>
      <c r="C468" s="86" t="s">
        <v>405</v>
      </c>
      <c r="D468" s="306">
        <v>45996</v>
      </c>
      <c r="E468" s="86">
        <v>2509</v>
      </c>
      <c r="G468" s="86" t="e">
        <f>VLOOKUP(F468,'Accident &amp; Incident Detail'!$D$3:$E$4153,2,FALSE)</f>
        <v>#N/A</v>
      </c>
      <c r="H468" s="86" t="s">
        <v>1676</v>
      </c>
      <c r="I468" s="86" t="s">
        <v>1677</v>
      </c>
      <c r="J468" s="14" t="s">
        <v>328</v>
      </c>
      <c r="K468" s="86" t="s">
        <v>250</v>
      </c>
      <c r="L468" s="14" t="s">
        <v>236</v>
      </c>
      <c r="M468" s="306">
        <f t="shared" si="44"/>
        <v>46024</v>
      </c>
      <c r="N468" s="86">
        <f t="shared" ca="1" si="45"/>
        <v>1</v>
      </c>
      <c r="O468" s="306">
        <v>45996</v>
      </c>
      <c r="Q468" s="86" t="s">
        <v>1254</v>
      </c>
    </row>
    <row r="469" spans="1:20" s="86" customFormat="1" ht="72" customHeight="1" x14ac:dyDescent="0.35">
      <c r="A469" s="384" t="str">
        <f t="shared" si="43"/>
        <v>Closed</v>
      </c>
      <c r="B469" s="86" t="s">
        <v>91</v>
      </c>
      <c r="C469" s="86" t="s">
        <v>361</v>
      </c>
      <c r="D469" s="306">
        <v>46000</v>
      </c>
      <c r="E469" s="86">
        <v>2510</v>
      </c>
      <c r="G469" s="86" t="e">
        <f>VLOOKUP(F469,'Accident &amp; Incident Detail'!$D$3:$E$4153,2,FALSE)</f>
        <v>#N/A</v>
      </c>
      <c r="H469" s="86" t="s">
        <v>1678</v>
      </c>
      <c r="I469" s="86" t="s">
        <v>1679</v>
      </c>
      <c r="J469" s="14" t="s">
        <v>328</v>
      </c>
      <c r="K469" s="86" t="s">
        <v>250</v>
      </c>
      <c r="L469" s="14" t="s">
        <v>236</v>
      </c>
      <c r="M469" s="306">
        <f t="shared" si="44"/>
        <v>46028</v>
      </c>
      <c r="N469" s="86">
        <f t="shared" ca="1" si="45"/>
        <v>1</v>
      </c>
      <c r="O469" s="306">
        <v>45998</v>
      </c>
    </row>
    <row r="470" spans="1:20" s="86" customFormat="1" ht="71.25" customHeight="1" x14ac:dyDescent="0.35">
      <c r="A470" s="384" t="str">
        <f t="shared" si="43"/>
        <v>Closed</v>
      </c>
      <c r="B470" s="86" t="s">
        <v>91</v>
      </c>
      <c r="D470" s="306">
        <v>46002</v>
      </c>
      <c r="E470" s="86">
        <v>2510</v>
      </c>
      <c r="G470" s="86" t="e">
        <f>VLOOKUP(F470,'Accident &amp; Incident Detail'!$D$3:$E$4153,2,FALSE)</f>
        <v>#N/A</v>
      </c>
      <c r="H470" s="86" t="s">
        <v>1680</v>
      </c>
      <c r="I470" s="86" t="s">
        <v>1681</v>
      </c>
      <c r="J470" s="14" t="s">
        <v>345</v>
      </c>
      <c r="K470" s="86" t="s">
        <v>248</v>
      </c>
      <c r="L470" s="86" t="s">
        <v>236</v>
      </c>
      <c r="M470" s="306">
        <f t="shared" si="44"/>
        <v>46030</v>
      </c>
      <c r="N470" s="86">
        <f t="shared" ca="1" si="45"/>
        <v>1</v>
      </c>
      <c r="O470" s="306">
        <v>46048</v>
      </c>
    </row>
    <row r="471" spans="1:20" ht="66" customHeight="1" x14ac:dyDescent="0.35">
      <c r="A471" s="102" t="str">
        <f t="shared" si="43"/>
        <v>Closed</v>
      </c>
      <c r="B471" s="14" t="s">
        <v>91</v>
      </c>
      <c r="C471" s="14" t="s">
        <v>361</v>
      </c>
      <c r="D471" s="79">
        <v>46002</v>
      </c>
      <c r="E471" s="14">
        <v>2510</v>
      </c>
      <c r="G471" s="14" t="e">
        <f>VLOOKUP(F471,'Accident &amp; Incident Detail'!$D$3:$E$4153,2,FALSE)</f>
        <v>#N/A</v>
      </c>
      <c r="H471" s="14" t="s">
        <v>1682</v>
      </c>
      <c r="I471" s="14" t="s">
        <v>1683</v>
      </c>
      <c r="J471" s="14" t="s">
        <v>241</v>
      </c>
      <c r="K471" s="14" t="s">
        <v>240</v>
      </c>
      <c r="L471" s="14" t="s">
        <v>241</v>
      </c>
      <c r="M471" s="79">
        <f t="shared" si="44"/>
        <v>46030</v>
      </c>
      <c r="N471" s="14">
        <f t="shared" ca="1" si="45"/>
        <v>1</v>
      </c>
      <c r="O471" s="79">
        <v>46008</v>
      </c>
      <c r="Q471" s="14" t="s">
        <v>1684</v>
      </c>
    </row>
    <row r="472" spans="1:20" ht="72.75" customHeight="1" x14ac:dyDescent="0.35">
      <c r="A472" s="102" t="str">
        <f t="shared" si="43"/>
        <v>Closed</v>
      </c>
      <c r="B472" s="14" t="s">
        <v>91</v>
      </c>
      <c r="C472" s="14" t="s">
        <v>1685</v>
      </c>
      <c r="D472" s="79">
        <v>46007</v>
      </c>
      <c r="E472" s="14">
        <v>2510</v>
      </c>
      <c r="G472" s="14" t="e">
        <f>VLOOKUP(F472,'Accident &amp; Incident Detail'!$D$3:$E$4153,2,FALSE)</f>
        <v>#N/A</v>
      </c>
      <c r="H472" s="14" t="s">
        <v>1686</v>
      </c>
      <c r="I472" s="14" t="s">
        <v>1687</v>
      </c>
      <c r="J472" s="14" t="s">
        <v>241</v>
      </c>
      <c r="K472" s="14" t="s">
        <v>240</v>
      </c>
      <c r="L472" s="14" t="s">
        <v>241</v>
      </c>
      <c r="M472" s="79">
        <f t="shared" si="44"/>
        <v>46035</v>
      </c>
      <c r="N472" s="14">
        <f t="shared" ca="1" si="45"/>
        <v>1</v>
      </c>
      <c r="O472" s="79">
        <v>46007</v>
      </c>
    </row>
    <row r="473" spans="1:20" ht="74.25" customHeight="1" x14ac:dyDescent="0.35">
      <c r="A473" s="102" t="str">
        <f t="shared" ca="1" si="43"/>
        <v>Overdue</v>
      </c>
      <c r="B473" s="14" t="s">
        <v>91</v>
      </c>
      <c r="C473" s="14" t="s">
        <v>361</v>
      </c>
      <c r="D473" s="79">
        <v>46007</v>
      </c>
      <c r="E473" s="14">
        <v>2510</v>
      </c>
      <c r="G473" s="14" t="e">
        <f>VLOOKUP(F473,'Accident &amp; Incident Detail'!$D$3:$E$4153,2,FALSE)</f>
        <v>#N/A</v>
      </c>
      <c r="H473" s="14" t="s">
        <v>1688</v>
      </c>
      <c r="I473" s="14" t="s">
        <v>1689</v>
      </c>
      <c r="J473" s="14" t="s">
        <v>241</v>
      </c>
      <c r="K473" s="14" t="s">
        <v>239</v>
      </c>
      <c r="L473" s="14" t="s">
        <v>241</v>
      </c>
      <c r="M473" s="79">
        <f t="shared" si="44"/>
        <v>46035</v>
      </c>
      <c r="N473" s="14">
        <f t="shared" ca="1" si="45"/>
        <v>1</v>
      </c>
      <c r="Q473" s="14" t="s">
        <v>1690</v>
      </c>
    </row>
    <row r="474" spans="1:20" ht="75.75" customHeight="1" x14ac:dyDescent="0.35">
      <c r="A474" s="102" t="str">
        <f t="shared" ca="1" si="43"/>
        <v>Overdue</v>
      </c>
      <c r="B474" s="14" t="s">
        <v>91</v>
      </c>
      <c r="C474" s="14" t="s">
        <v>1691</v>
      </c>
      <c r="D474" s="79">
        <v>46008</v>
      </c>
      <c r="E474" s="14">
        <v>2510</v>
      </c>
      <c r="G474" s="14" t="e">
        <f>VLOOKUP(F474,'Accident &amp; Incident Detail'!$D$3:$E$4153,2,FALSE)</f>
        <v>#N/A</v>
      </c>
      <c r="H474" s="14" t="s">
        <v>1692</v>
      </c>
      <c r="I474" s="14" t="s">
        <v>1693</v>
      </c>
      <c r="J474" s="14" t="s">
        <v>234</v>
      </c>
      <c r="K474" s="14" t="s">
        <v>216</v>
      </c>
      <c r="L474" s="14" t="s">
        <v>234</v>
      </c>
      <c r="M474" s="79">
        <f t="shared" si="44"/>
        <v>46036</v>
      </c>
      <c r="N474" s="14">
        <f t="shared" ca="1" si="45"/>
        <v>1</v>
      </c>
      <c r="Q474" s="14" t="s">
        <v>1694</v>
      </c>
    </row>
    <row r="475" spans="1:20" ht="61.5" customHeight="1" x14ac:dyDescent="0.35">
      <c r="A475" s="102" t="str">
        <f t="shared" si="43"/>
        <v>Closed</v>
      </c>
      <c r="B475" s="14" t="s">
        <v>91</v>
      </c>
      <c r="C475" s="14" t="s">
        <v>648</v>
      </c>
      <c r="D475" s="79">
        <v>46010</v>
      </c>
      <c r="E475" s="14">
        <v>2510</v>
      </c>
      <c r="G475" s="14" t="e">
        <f>VLOOKUP(F475,'Accident &amp; Incident Detail'!$D$3:$E$4153,2,FALSE)</f>
        <v>#N/A</v>
      </c>
      <c r="H475" s="14" t="s">
        <v>1695</v>
      </c>
      <c r="I475" s="14" t="s">
        <v>1696</v>
      </c>
      <c r="J475" s="14" t="s">
        <v>241</v>
      </c>
      <c r="K475" s="14" t="s">
        <v>240</v>
      </c>
      <c r="L475" s="14" t="s">
        <v>241</v>
      </c>
      <c r="M475" s="79">
        <f t="shared" si="44"/>
        <v>46038</v>
      </c>
      <c r="N475" s="14">
        <f t="shared" ca="1" si="45"/>
        <v>1</v>
      </c>
      <c r="O475" s="79">
        <v>46010</v>
      </c>
    </row>
    <row r="476" spans="1:20" ht="65.25" customHeight="1" x14ac:dyDescent="0.35">
      <c r="A476" s="102" t="str">
        <f t="shared" ca="1" si="43"/>
        <v>Open</v>
      </c>
      <c r="B476" s="14" t="s">
        <v>96</v>
      </c>
      <c r="C476" s="14" t="s">
        <v>1258</v>
      </c>
      <c r="D476" s="79">
        <v>46031</v>
      </c>
      <c r="E476" s="14">
        <v>2510</v>
      </c>
      <c r="F476" s="14" t="s">
        <v>1462</v>
      </c>
      <c r="G476" s="14" t="str">
        <f>VLOOKUP(F476,'Accident &amp; Incident Detail'!$D$3:$E$4153,2,FALSE)</f>
        <v xml:space="preserve"> Major - PTC</v>
      </c>
      <c r="H476" s="14" t="s">
        <v>1697</v>
      </c>
      <c r="I476" s="14" t="s">
        <v>1698</v>
      </c>
      <c r="J476" s="14" t="s">
        <v>234</v>
      </c>
      <c r="K476" s="14" t="s">
        <v>216</v>
      </c>
      <c r="L476" s="14" t="s">
        <v>234</v>
      </c>
      <c r="M476" s="79">
        <f t="shared" si="44"/>
        <v>46059</v>
      </c>
      <c r="N476" s="14">
        <f t="shared" ca="1" si="45"/>
        <v>0</v>
      </c>
    </row>
    <row r="477" spans="1:20" ht="69" customHeight="1" x14ac:dyDescent="0.35">
      <c r="A477" s="102" t="str">
        <f t="shared" si="43"/>
        <v>Closed</v>
      </c>
      <c r="B477" s="14" t="s">
        <v>91</v>
      </c>
      <c r="C477" s="14" t="s">
        <v>1699</v>
      </c>
      <c r="D477" s="79">
        <v>46029</v>
      </c>
      <c r="E477" s="14">
        <v>2511</v>
      </c>
      <c r="G477" s="14" t="e">
        <f>VLOOKUP(F477,'Accident &amp; Incident Detail'!$D$3:$E$4153,2,FALSE)</f>
        <v>#N/A</v>
      </c>
      <c r="H477" s="14" t="s">
        <v>1700</v>
      </c>
      <c r="I477" s="14" t="s">
        <v>1701</v>
      </c>
      <c r="J477" s="14" t="s">
        <v>241</v>
      </c>
      <c r="K477" s="14" t="s">
        <v>240</v>
      </c>
      <c r="L477" s="14" t="s">
        <v>241</v>
      </c>
      <c r="M477" s="79">
        <f t="shared" si="44"/>
        <v>46057</v>
      </c>
      <c r="N477" s="14">
        <f t="shared" ca="1" si="45"/>
        <v>0</v>
      </c>
      <c r="O477" s="79">
        <v>46051</v>
      </c>
      <c r="Q477" s="14" t="s">
        <v>1702</v>
      </c>
    </row>
    <row r="478" spans="1:20" ht="75.75" customHeight="1" x14ac:dyDescent="0.35">
      <c r="A478" s="102" t="str">
        <f t="shared" si="43"/>
        <v>Closed</v>
      </c>
      <c r="B478" s="14" t="s">
        <v>91</v>
      </c>
      <c r="C478" s="14" t="s">
        <v>1703</v>
      </c>
      <c r="D478" s="79">
        <v>46036</v>
      </c>
      <c r="E478" s="14">
        <v>2511</v>
      </c>
      <c r="G478" s="14" t="e">
        <f>VLOOKUP(F478,'Accident &amp; Incident Detail'!$D$3:$E$4153,2,FALSE)</f>
        <v>#N/A</v>
      </c>
      <c r="H478" s="14" t="s">
        <v>1704</v>
      </c>
      <c r="I478" s="14" t="s">
        <v>1705</v>
      </c>
      <c r="J478" s="14" t="s">
        <v>241</v>
      </c>
      <c r="K478" s="14" t="s">
        <v>240</v>
      </c>
      <c r="L478" s="14" t="s">
        <v>241</v>
      </c>
      <c r="M478" s="79">
        <f t="shared" si="44"/>
        <v>46064</v>
      </c>
      <c r="N478" s="14">
        <f t="shared" ca="1" si="45"/>
        <v>0</v>
      </c>
      <c r="O478" s="79">
        <v>46036</v>
      </c>
      <c r="Q478" s="14" t="s">
        <v>1706</v>
      </c>
      <c r="T478" s="168"/>
    </row>
    <row r="479" spans="1:20" ht="75" customHeight="1" x14ac:dyDescent="0.35">
      <c r="A479" s="102" t="str">
        <f t="shared" si="43"/>
        <v>Closed</v>
      </c>
      <c r="B479" s="14" t="s">
        <v>95</v>
      </c>
      <c r="C479" s="14" t="s">
        <v>160</v>
      </c>
      <c r="D479" s="79">
        <v>45947</v>
      </c>
      <c r="E479" s="14">
        <v>2511</v>
      </c>
      <c r="F479" s="14" t="s">
        <v>1707</v>
      </c>
      <c r="G479" s="14" t="str">
        <f>VLOOKUP(F479,'Accident &amp; Incident Detail'!$D$3:$E$4153,2,FALSE)</f>
        <v>STF other</v>
      </c>
      <c r="H479" s="14" t="s">
        <v>1708</v>
      </c>
      <c r="I479" s="14" t="s">
        <v>1709</v>
      </c>
      <c r="J479" s="14" t="s">
        <v>401</v>
      </c>
      <c r="K479" s="14" t="s">
        <v>263</v>
      </c>
      <c r="L479" s="14" t="s">
        <v>234</v>
      </c>
      <c r="M479" s="79">
        <f t="shared" si="44"/>
        <v>45975</v>
      </c>
      <c r="N479" s="14">
        <f t="shared" ca="1" si="45"/>
        <v>1</v>
      </c>
      <c r="O479" s="79">
        <v>45947</v>
      </c>
    </row>
    <row r="480" spans="1:20" ht="75" customHeight="1" x14ac:dyDescent="0.35">
      <c r="A480" s="102" t="str">
        <f t="shared" si="43"/>
        <v>Closed</v>
      </c>
      <c r="B480" s="14" t="s">
        <v>95</v>
      </c>
      <c r="C480" s="14" t="s">
        <v>171</v>
      </c>
      <c r="D480" s="79">
        <v>46038</v>
      </c>
      <c r="E480" s="14">
        <v>2511</v>
      </c>
      <c r="F480" s="14" t="s">
        <v>1710</v>
      </c>
      <c r="G480" s="14" t="str">
        <f>VLOOKUP(F480,'Accident &amp; Incident Detail'!$D$3:$E$4153,2,FALSE)</f>
        <v>STF other</v>
      </c>
      <c r="H480" s="14" t="s">
        <v>1711</v>
      </c>
      <c r="I480" s="14" t="s">
        <v>1712</v>
      </c>
      <c r="J480" s="14" t="s">
        <v>1713</v>
      </c>
      <c r="K480" s="14" t="s">
        <v>261</v>
      </c>
      <c r="L480" s="14" t="s">
        <v>236</v>
      </c>
      <c r="M480" s="79">
        <f t="shared" si="44"/>
        <v>46066</v>
      </c>
      <c r="N480" s="14">
        <f t="shared" ca="1" si="45"/>
        <v>0</v>
      </c>
      <c r="O480" s="79">
        <v>46055</v>
      </c>
      <c r="Q480" s="14" t="s">
        <v>1714</v>
      </c>
    </row>
    <row r="481" spans="1:15" ht="69" customHeight="1" x14ac:dyDescent="0.35">
      <c r="A481" s="102" t="str">
        <f t="shared" si="43"/>
        <v>Closed</v>
      </c>
      <c r="B481" s="14" t="s">
        <v>91</v>
      </c>
      <c r="C481" s="14" t="s">
        <v>1703</v>
      </c>
      <c r="D481" s="79">
        <v>46041</v>
      </c>
      <c r="E481" s="14">
        <v>2511</v>
      </c>
      <c r="G481" s="14" t="e">
        <f>VLOOKUP(F481,'Accident &amp; Incident Detail'!$D$3:$E$4153,2,FALSE)</f>
        <v>#N/A</v>
      </c>
      <c r="H481" s="14" t="s">
        <v>1715</v>
      </c>
      <c r="I481" s="14" t="s">
        <v>1716</v>
      </c>
      <c r="J481" s="14" t="s">
        <v>241</v>
      </c>
      <c r="K481" s="14" t="s">
        <v>240</v>
      </c>
      <c r="L481" s="14" t="s">
        <v>241</v>
      </c>
      <c r="M481" s="79">
        <f t="shared" si="44"/>
        <v>46069</v>
      </c>
      <c r="N481" s="14">
        <f t="shared" ca="1" si="45"/>
        <v>0</v>
      </c>
      <c r="O481" s="79">
        <v>46041</v>
      </c>
    </row>
    <row r="482" spans="1:15" ht="78.75" customHeight="1" x14ac:dyDescent="0.35">
      <c r="A482" s="102" t="str">
        <f t="shared" si="43"/>
        <v>Closed</v>
      </c>
      <c r="B482" s="14" t="s">
        <v>91</v>
      </c>
      <c r="C482" s="14" t="s">
        <v>1717</v>
      </c>
      <c r="D482" s="79">
        <v>46010</v>
      </c>
      <c r="E482" s="14">
        <v>2510</v>
      </c>
      <c r="G482" s="14" t="e">
        <f>VLOOKUP(F482,'Accident &amp; Incident Detail'!$D$3:$E$4153,2,FALSE)</f>
        <v>#N/A</v>
      </c>
      <c r="H482" s="14" t="s">
        <v>1718</v>
      </c>
      <c r="I482" s="79" t="s">
        <v>1719</v>
      </c>
      <c r="J482" s="14" t="s">
        <v>241</v>
      </c>
      <c r="K482" s="14" t="s">
        <v>240</v>
      </c>
      <c r="L482" s="14" t="s">
        <v>241</v>
      </c>
      <c r="M482" s="79">
        <f t="shared" si="44"/>
        <v>46038</v>
      </c>
      <c r="N482" s="14">
        <f t="shared" ca="1" si="45"/>
        <v>1</v>
      </c>
      <c r="O482" s="79">
        <v>46010</v>
      </c>
    </row>
    <row r="483" spans="1:15" ht="69" customHeight="1" x14ac:dyDescent="0.35">
      <c r="A483" s="102" t="str">
        <f t="shared" ca="1" si="43"/>
        <v>Open</v>
      </c>
      <c r="B483" s="14" t="s">
        <v>91</v>
      </c>
      <c r="C483" s="14" t="s">
        <v>1717</v>
      </c>
      <c r="D483" s="79">
        <v>46038</v>
      </c>
      <c r="E483" s="14">
        <v>2511</v>
      </c>
      <c r="G483" s="14" t="e">
        <f>VLOOKUP(F483,'Accident &amp; Incident Detail'!$D$3:$E$4153,2,FALSE)</f>
        <v>#N/A</v>
      </c>
      <c r="H483" s="14" t="s">
        <v>1720</v>
      </c>
      <c r="I483" s="14" t="s">
        <v>1721</v>
      </c>
      <c r="J483" s="14" t="s">
        <v>236</v>
      </c>
      <c r="K483" s="14" t="s">
        <v>248</v>
      </c>
      <c r="L483" s="14" t="s">
        <v>236</v>
      </c>
      <c r="M483" s="79">
        <f t="shared" si="44"/>
        <v>46066</v>
      </c>
      <c r="N483" s="14">
        <f t="shared" ca="1" si="45"/>
        <v>0</v>
      </c>
    </row>
    <row r="484" spans="1:15" ht="68.25" customHeight="1" x14ac:dyDescent="0.35">
      <c r="A484" s="102" t="str">
        <f t="shared" ca="1" si="43"/>
        <v>Open</v>
      </c>
      <c r="B484" s="14" t="s">
        <v>91</v>
      </c>
      <c r="C484" s="14" t="s">
        <v>1717</v>
      </c>
      <c r="D484" s="79">
        <v>46038</v>
      </c>
      <c r="E484" s="14">
        <v>2511</v>
      </c>
      <c r="G484" s="14" t="e">
        <f>VLOOKUP(F484,'Accident &amp; Incident Detail'!$D$3:$E$4153,2,FALSE)</f>
        <v>#N/A</v>
      </c>
      <c r="H484" s="14" t="s">
        <v>1722</v>
      </c>
      <c r="I484" s="14" t="s">
        <v>1723</v>
      </c>
      <c r="J484" s="14" t="s">
        <v>236</v>
      </c>
      <c r="K484" s="14" t="s">
        <v>250</v>
      </c>
      <c r="L484" s="14" t="s">
        <v>236</v>
      </c>
      <c r="M484" s="79">
        <f t="shared" si="44"/>
        <v>46066</v>
      </c>
      <c r="N484" s="14">
        <f t="shared" ca="1" si="45"/>
        <v>0</v>
      </c>
    </row>
    <row r="485" spans="1:15" ht="72" customHeight="1" x14ac:dyDescent="0.35">
      <c r="A485" s="102" t="str">
        <f t="shared" ca="1" si="43"/>
        <v>Open</v>
      </c>
      <c r="B485" s="14" t="s">
        <v>91</v>
      </c>
      <c r="C485" s="14" t="s">
        <v>1717</v>
      </c>
      <c r="D485" s="79">
        <v>46037</v>
      </c>
      <c r="E485" s="14">
        <v>2511</v>
      </c>
      <c r="G485" s="14" t="e">
        <f>VLOOKUP(F485,'Accident &amp; Incident Detail'!$D$3:$E$4153,2,FALSE)</f>
        <v>#N/A</v>
      </c>
      <c r="H485" s="14" t="s">
        <v>1724</v>
      </c>
      <c r="I485" s="14" t="s">
        <v>1725</v>
      </c>
      <c r="J485" s="14" t="s">
        <v>236</v>
      </c>
      <c r="K485" s="14" t="s">
        <v>248</v>
      </c>
      <c r="L485" s="14" t="s">
        <v>236</v>
      </c>
      <c r="M485" s="79">
        <f t="shared" si="44"/>
        <v>46065</v>
      </c>
      <c r="N485" s="14">
        <f t="shared" ca="1" si="45"/>
        <v>0</v>
      </c>
    </row>
    <row r="486" spans="1:15" ht="60.75" customHeight="1" x14ac:dyDescent="0.35">
      <c r="A486" s="102" t="str">
        <f t="shared" ref="A486:A549" ca="1" si="46">IF(O486&gt;1,"Closed",IF(N486=1,"Overdue",IF(N486=3,"","Open")))</f>
        <v>Open</v>
      </c>
      <c r="B486" s="14" t="s">
        <v>91</v>
      </c>
      <c r="C486" s="14" t="s">
        <v>1703</v>
      </c>
      <c r="D486" s="79">
        <v>46037</v>
      </c>
      <c r="E486" s="14">
        <v>2511</v>
      </c>
      <c r="G486" s="14" t="e">
        <f>VLOOKUP(F486,'Accident &amp; Incident Detail'!$D$3:$E$4153,2,FALSE)</f>
        <v>#N/A</v>
      </c>
      <c r="H486" s="14" t="s">
        <v>1726</v>
      </c>
      <c r="I486" s="14" t="s">
        <v>1727</v>
      </c>
      <c r="J486" s="14" t="s">
        <v>236</v>
      </c>
      <c r="K486" s="14" t="s">
        <v>250</v>
      </c>
      <c r="L486" s="14" t="s">
        <v>236</v>
      </c>
      <c r="M486" s="79">
        <f t="shared" si="44"/>
        <v>46065</v>
      </c>
      <c r="N486" s="14">
        <f t="shared" ca="1" si="45"/>
        <v>0</v>
      </c>
    </row>
    <row r="487" spans="1:15" ht="69" customHeight="1" x14ac:dyDescent="0.35">
      <c r="A487" s="102" t="str">
        <f t="shared" si="46"/>
        <v>Closed</v>
      </c>
      <c r="B487" s="14" t="s">
        <v>95</v>
      </c>
      <c r="C487" s="14" t="s">
        <v>1728</v>
      </c>
      <c r="D487" s="79">
        <v>46048</v>
      </c>
      <c r="E487" s="14">
        <v>2511</v>
      </c>
      <c r="F487" s="14" t="s">
        <v>1729</v>
      </c>
      <c r="G487" s="14" t="str">
        <f>VLOOKUP(F487,'Accident &amp; Incident Detail'!$D$3:$E$4153,2,FALSE)</f>
        <v>STF other</v>
      </c>
      <c r="H487" s="14" t="s">
        <v>1730</v>
      </c>
      <c r="I487" s="14" t="s">
        <v>1731</v>
      </c>
      <c r="J487" s="14" t="s">
        <v>372</v>
      </c>
      <c r="K487" s="14" t="s">
        <v>176</v>
      </c>
      <c r="L487" s="14" t="s">
        <v>236</v>
      </c>
      <c r="M487" s="79">
        <f t="shared" si="44"/>
        <v>46076</v>
      </c>
      <c r="N487" s="14">
        <f t="shared" ca="1" si="45"/>
        <v>0</v>
      </c>
      <c r="O487" s="79">
        <v>46048</v>
      </c>
    </row>
    <row r="488" spans="1:15" ht="29" x14ac:dyDescent="0.35">
      <c r="A488" s="102" t="str">
        <f t="shared" ca="1" si="46"/>
        <v>Open</v>
      </c>
      <c r="B488" s="14" t="s">
        <v>95</v>
      </c>
      <c r="C488" s="14" t="s">
        <v>1732</v>
      </c>
      <c r="D488" s="79">
        <v>46050</v>
      </c>
      <c r="E488" s="14">
        <v>2511</v>
      </c>
      <c r="F488" s="14" t="s">
        <v>1733</v>
      </c>
      <c r="G488" s="14" t="str">
        <f>VLOOKUP(F488,'Accident &amp; Incident Detail'!$D$3:$E$4153,2,FALSE)</f>
        <v>Other</v>
      </c>
      <c r="H488" s="14" t="s">
        <v>1734</v>
      </c>
      <c r="I488" s="14" t="s">
        <v>1735</v>
      </c>
      <c r="J488" s="14" t="s">
        <v>328</v>
      </c>
      <c r="K488" s="14" t="s">
        <v>214</v>
      </c>
      <c r="L488" s="14" t="s">
        <v>236</v>
      </c>
      <c r="M488" s="79">
        <f t="shared" si="44"/>
        <v>46078</v>
      </c>
      <c r="N488" s="14">
        <f t="shared" ca="1" si="45"/>
        <v>0</v>
      </c>
    </row>
    <row r="489" spans="1:15" x14ac:dyDescent="0.35">
      <c r="A489" s="102" t="str">
        <f t="shared" si="46"/>
        <v/>
      </c>
      <c r="G489" s="14" t="e">
        <f>VLOOKUP(F489,'Accident &amp; Incident Detail'!$D$3:$E$4153,2,FALSE)</f>
        <v>#N/A</v>
      </c>
      <c r="H489" s="14" t="s">
        <v>1736</v>
      </c>
      <c r="M489" s="79" t="str">
        <f t="shared" si="44"/>
        <v/>
      </c>
      <c r="N489" s="14">
        <f t="shared" si="45"/>
        <v>3</v>
      </c>
    </row>
    <row r="490" spans="1:15" x14ac:dyDescent="0.35">
      <c r="A490" s="102" t="str">
        <f t="shared" si="46"/>
        <v/>
      </c>
      <c r="G490" s="14" t="e">
        <f>VLOOKUP(F490,'Accident &amp; Incident Detail'!$D$3:$E$4153,2,FALSE)</f>
        <v>#N/A</v>
      </c>
      <c r="H490" s="14" t="s">
        <v>1737</v>
      </c>
      <c r="M490" s="79" t="str">
        <f t="shared" si="44"/>
        <v/>
      </c>
      <c r="N490" s="14">
        <f t="shared" si="45"/>
        <v>3</v>
      </c>
    </row>
    <row r="491" spans="1:15" x14ac:dyDescent="0.35">
      <c r="A491" s="102" t="str">
        <f t="shared" si="46"/>
        <v/>
      </c>
      <c r="G491" s="14" t="e">
        <f>VLOOKUP(F491,'Accident &amp; Incident Detail'!$D$3:$E$4153,2,FALSE)</f>
        <v>#N/A</v>
      </c>
      <c r="H491" s="14" t="s">
        <v>1738</v>
      </c>
      <c r="M491" s="79" t="str">
        <f t="shared" si="44"/>
        <v/>
      </c>
      <c r="N491" s="14">
        <f t="shared" si="45"/>
        <v>3</v>
      </c>
    </row>
    <row r="492" spans="1:15" x14ac:dyDescent="0.35">
      <c r="A492" s="102" t="str">
        <f t="shared" si="46"/>
        <v/>
      </c>
      <c r="G492" s="14" t="e">
        <f>VLOOKUP(F492,'Accident &amp; Incident Detail'!$D$3:$E$4153,2,FALSE)</f>
        <v>#N/A</v>
      </c>
      <c r="H492" s="14" t="s">
        <v>1739</v>
      </c>
      <c r="M492" s="79" t="str">
        <f t="shared" si="44"/>
        <v/>
      </c>
      <c r="N492" s="14">
        <f t="shared" si="45"/>
        <v>3</v>
      </c>
    </row>
    <row r="493" spans="1:15" x14ac:dyDescent="0.35">
      <c r="A493" s="102" t="str">
        <f t="shared" si="46"/>
        <v/>
      </c>
      <c r="G493" s="14" t="e">
        <f>VLOOKUP(F493,'Accident &amp; Incident Detail'!$D$3:$E$4153,2,FALSE)</f>
        <v>#N/A</v>
      </c>
      <c r="H493" s="14" t="s">
        <v>1740</v>
      </c>
      <c r="M493" s="79" t="str">
        <f t="shared" ref="M493:M556" si="47">IF(D493="","",D493+28)</f>
        <v/>
      </c>
      <c r="N493" s="14">
        <f t="shared" ref="N493:N556" si="48">IF(D493="",3,IF(M493&lt;$A$2,1,0))</f>
        <v>3</v>
      </c>
    </row>
    <row r="494" spans="1:15" x14ac:dyDescent="0.35">
      <c r="A494" s="102" t="str">
        <f t="shared" si="46"/>
        <v/>
      </c>
      <c r="G494" s="14" t="e">
        <f>VLOOKUP(F494,'Accident &amp; Incident Detail'!$D$3:$E$4153,2,FALSE)</f>
        <v>#N/A</v>
      </c>
      <c r="H494" s="14" t="s">
        <v>1741</v>
      </c>
      <c r="M494" s="79" t="str">
        <f t="shared" si="47"/>
        <v/>
      </c>
      <c r="N494" s="14">
        <f t="shared" si="48"/>
        <v>3</v>
      </c>
    </row>
    <row r="495" spans="1:15" x14ac:dyDescent="0.35">
      <c r="A495" s="102" t="str">
        <f t="shared" si="46"/>
        <v/>
      </c>
      <c r="G495" s="14" t="e">
        <f>VLOOKUP(F495,'Accident &amp; Incident Detail'!$D$3:$E$4153,2,FALSE)</f>
        <v>#N/A</v>
      </c>
      <c r="H495" s="14" t="s">
        <v>1742</v>
      </c>
      <c r="M495" s="79" t="str">
        <f t="shared" si="47"/>
        <v/>
      </c>
      <c r="N495" s="14">
        <f t="shared" si="48"/>
        <v>3</v>
      </c>
    </row>
    <row r="496" spans="1:15" x14ac:dyDescent="0.35">
      <c r="A496" s="102" t="str">
        <f t="shared" si="46"/>
        <v/>
      </c>
      <c r="G496" s="14" t="e">
        <f>VLOOKUP(F496,'Accident &amp; Incident Detail'!$D$3:$E$4153,2,FALSE)</f>
        <v>#N/A</v>
      </c>
      <c r="H496" s="14" t="s">
        <v>1743</v>
      </c>
      <c r="M496" s="79" t="str">
        <f t="shared" si="47"/>
        <v/>
      </c>
      <c r="N496" s="14">
        <f t="shared" si="48"/>
        <v>3</v>
      </c>
    </row>
    <row r="497" spans="1:14" x14ac:dyDescent="0.35">
      <c r="A497" s="102" t="str">
        <f t="shared" si="46"/>
        <v/>
      </c>
      <c r="G497" s="14" t="e">
        <f>VLOOKUP(F497,'Accident &amp; Incident Detail'!$D$3:$E$4153,2,FALSE)</f>
        <v>#N/A</v>
      </c>
      <c r="H497" s="14" t="s">
        <v>1744</v>
      </c>
      <c r="M497" s="79" t="str">
        <f t="shared" si="47"/>
        <v/>
      </c>
      <c r="N497" s="14">
        <f t="shared" si="48"/>
        <v>3</v>
      </c>
    </row>
    <row r="498" spans="1:14" x14ac:dyDescent="0.35">
      <c r="A498" s="102" t="str">
        <f t="shared" si="46"/>
        <v/>
      </c>
      <c r="G498" s="14" t="e">
        <f>VLOOKUP(F498,'Accident &amp; Incident Detail'!$D$3:$E$4153,2,FALSE)</f>
        <v>#N/A</v>
      </c>
      <c r="H498" s="14" t="s">
        <v>1745</v>
      </c>
      <c r="M498" s="79" t="str">
        <f t="shared" si="47"/>
        <v/>
      </c>
      <c r="N498" s="14">
        <f t="shared" si="48"/>
        <v>3</v>
      </c>
    </row>
    <row r="499" spans="1:14" x14ac:dyDescent="0.35">
      <c r="A499" s="102" t="str">
        <f t="shared" si="46"/>
        <v/>
      </c>
      <c r="G499" s="14" t="e">
        <f>VLOOKUP(F499,'Accident &amp; Incident Detail'!$D$3:$E$4153,2,FALSE)</f>
        <v>#N/A</v>
      </c>
      <c r="H499" s="14" t="s">
        <v>1746</v>
      </c>
      <c r="M499" s="79" t="str">
        <f t="shared" si="47"/>
        <v/>
      </c>
      <c r="N499" s="14">
        <f t="shared" si="48"/>
        <v>3</v>
      </c>
    </row>
    <row r="500" spans="1:14" x14ac:dyDescent="0.35">
      <c r="A500" s="102" t="str">
        <f t="shared" si="46"/>
        <v/>
      </c>
      <c r="G500" s="14" t="e">
        <f>VLOOKUP(F500,'Accident &amp; Incident Detail'!$D$3:$E$4153,2,FALSE)</f>
        <v>#N/A</v>
      </c>
      <c r="H500" s="14" t="s">
        <v>1747</v>
      </c>
      <c r="M500" s="79" t="str">
        <f t="shared" si="47"/>
        <v/>
      </c>
      <c r="N500" s="14">
        <f t="shared" si="48"/>
        <v>3</v>
      </c>
    </row>
    <row r="501" spans="1:14" x14ac:dyDescent="0.35">
      <c r="A501" s="102" t="str">
        <f t="shared" si="46"/>
        <v/>
      </c>
      <c r="G501" s="14" t="e">
        <f>VLOOKUP(F501,'Accident &amp; Incident Detail'!$D$3:$E$4153,2,FALSE)</f>
        <v>#N/A</v>
      </c>
      <c r="H501" s="14" t="s">
        <v>1748</v>
      </c>
      <c r="M501" s="79" t="str">
        <f t="shared" si="47"/>
        <v/>
      </c>
      <c r="N501" s="14">
        <f t="shared" si="48"/>
        <v>3</v>
      </c>
    </row>
    <row r="502" spans="1:14" x14ac:dyDescent="0.35">
      <c r="A502" s="102" t="str">
        <f t="shared" si="46"/>
        <v/>
      </c>
      <c r="G502" s="14" t="e">
        <f>VLOOKUP(F502,'Accident &amp; Incident Detail'!$D$3:$E$4153,2,FALSE)</f>
        <v>#N/A</v>
      </c>
      <c r="H502" s="14" t="s">
        <v>1749</v>
      </c>
      <c r="M502" s="79" t="str">
        <f t="shared" si="47"/>
        <v/>
      </c>
      <c r="N502" s="14">
        <f t="shared" si="48"/>
        <v>3</v>
      </c>
    </row>
    <row r="503" spans="1:14" x14ac:dyDescent="0.35">
      <c r="A503" s="102" t="str">
        <f t="shared" si="46"/>
        <v/>
      </c>
      <c r="G503" s="14" t="e">
        <f>VLOOKUP(F503,'Accident &amp; Incident Detail'!$D$3:$E$4153,2,FALSE)</f>
        <v>#N/A</v>
      </c>
      <c r="H503" s="14" t="s">
        <v>1750</v>
      </c>
      <c r="M503" s="79" t="str">
        <f t="shared" si="47"/>
        <v/>
      </c>
      <c r="N503" s="14">
        <f t="shared" si="48"/>
        <v>3</v>
      </c>
    </row>
    <row r="504" spans="1:14" x14ac:dyDescent="0.35">
      <c r="A504" s="102" t="str">
        <f t="shared" si="46"/>
        <v/>
      </c>
      <c r="G504" s="14" t="e">
        <f>VLOOKUP(F504,'Accident &amp; Incident Detail'!$D$3:$E$4153,2,FALSE)</f>
        <v>#N/A</v>
      </c>
      <c r="H504" s="14" t="s">
        <v>1751</v>
      </c>
      <c r="M504" s="79" t="str">
        <f t="shared" si="47"/>
        <v/>
      </c>
      <c r="N504" s="14">
        <f t="shared" si="48"/>
        <v>3</v>
      </c>
    </row>
    <row r="505" spans="1:14" x14ac:dyDescent="0.35">
      <c r="A505" s="102" t="str">
        <f t="shared" si="46"/>
        <v/>
      </c>
      <c r="G505" s="14" t="e">
        <f>VLOOKUP(F505,'Accident &amp; Incident Detail'!$D$3:$E$4153,2,FALSE)</f>
        <v>#N/A</v>
      </c>
      <c r="H505" s="14" t="s">
        <v>1752</v>
      </c>
      <c r="M505" s="79" t="str">
        <f t="shared" si="47"/>
        <v/>
      </c>
      <c r="N505" s="14">
        <f t="shared" si="48"/>
        <v>3</v>
      </c>
    </row>
    <row r="506" spans="1:14" x14ac:dyDescent="0.35">
      <c r="A506" s="102" t="str">
        <f t="shared" si="46"/>
        <v/>
      </c>
      <c r="G506" s="14" t="e">
        <f>VLOOKUP(F506,'Accident &amp; Incident Detail'!$D$3:$E$4153,2,FALSE)</f>
        <v>#N/A</v>
      </c>
      <c r="H506" s="14" t="s">
        <v>1753</v>
      </c>
      <c r="M506" s="79" t="str">
        <f t="shared" si="47"/>
        <v/>
      </c>
      <c r="N506" s="14">
        <f t="shared" si="48"/>
        <v>3</v>
      </c>
    </row>
    <row r="507" spans="1:14" x14ac:dyDescent="0.35">
      <c r="A507" s="102" t="str">
        <f t="shared" si="46"/>
        <v/>
      </c>
      <c r="G507" s="14" t="e">
        <f>VLOOKUP(F507,'Accident &amp; Incident Detail'!$D$3:$E$4153,2,FALSE)</f>
        <v>#N/A</v>
      </c>
      <c r="H507" s="14" t="s">
        <v>1754</v>
      </c>
      <c r="M507" s="79" t="str">
        <f t="shared" si="47"/>
        <v/>
      </c>
      <c r="N507" s="14">
        <f t="shared" si="48"/>
        <v>3</v>
      </c>
    </row>
    <row r="508" spans="1:14" x14ac:dyDescent="0.35">
      <c r="A508" s="102" t="str">
        <f t="shared" si="46"/>
        <v/>
      </c>
      <c r="G508" s="14" t="e">
        <f>VLOOKUP(F508,'Accident &amp; Incident Detail'!$D$3:$E$4153,2,FALSE)</f>
        <v>#N/A</v>
      </c>
      <c r="H508" s="14" t="s">
        <v>1755</v>
      </c>
      <c r="M508" s="79" t="str">
        <f t="shared" si="47"/>
        <v/>
      </c>
      <c r="N508" s="14">
        <f t="shared" si="48"/>
        <v>3</v>
      </c>
    </row>
    <row r="509" spans="1:14" x14ac:dyDescent="0.35">
      <c r="A509" s="102" t="str">
        <f t="shared" si="46"/>
        <v/>
      </c>
      <c r="G509" s="14" t="e">
        <f>VLOOKUP(F509,'Accident &amp; Incident Detail'!$D$3:$E$4153,2,FALSE)</f>
        <v>#N/A</v>
      </c>
      <c r="H509" s="14" t="s">
        <v>1756</v>
      </c>
      <c r="M509" s="79" t="str">
        <f t="shared" si="47"/>
        <v/>
      </c>
      <c r="N509" s="14">
        <f t="shared" si="48"/>
        <v>3</v>
      </c>
    </row>
    <row r="510" spans="1:14" x14ac:dyDescent="0.35">
      <c r="A510" s="102" t="str">
        <f t="shared" si="46"/>
        <v/>
      </c>
      <c r="G510" s="14" t="e">
        <f>VLOOKUP(F510,'Accident &amp; Incident Detail'!$D$3:$E$4153,2,FALSE)</f>
        <v>#N/A</v>
      </c>
      <c r="H510" s="14" t="s">
        <v>1757</v>
      </c>
      <c r="M510" s="79" t="str">
        <f t="shared" si="47"/>
        <v/>
      </c>
      <c r="N510" s="14">
        <f t="shared" si="48"/>
        <v>3</v>
      </c>
    </row>
    <row r="511" spans="1:14" x14ac:dyDescent="0.35">
      <c r="A511" s="102" t="str">
        <f t="shared" si="46"/>
        <v/>
      </c>
      <c r="G511" s="14" t="e">
        <f>VLOOKUP(F511,'Accident &amp; Incident Detail'!$D$3:$E$4153,2,FALSE)</f>
        <v>#N/A</v>
      </c>
      <c r="H511" s="14" t="s">
        <v>1758</v>
      </c>
      <c r="M511" s="79" t="str">
        <f t="shared" si="47"/>
        <v/>
      </c>
      <c r="N511" s="14">
        <f t="shared" si="48"/>
        <v>3</v>
      </c>
    </row>
    <row r="512" spans="1:14" x14ac:dyDescent="0.35">
      <c r="A512" s="102" t="str">
        <f t="shared" si="46"/>
        <v/>
      </c>
      <c r="G512" s="14" t="e">
        <f>VLOOKUP(F512,'Accident &amp; Incident Detail'!$D$3:$E$4153,2,FALSE)</f>
        <v>#N/A</v>
      </c>
      <c r="H512" s="14" t="s">
        <v>1759</v>
      </c>
      <c r="M512" s="79" t="str">
        <f t="shared" si="47"/>
        <v/>
      </c>
      <c r="N512" s="14">
        <f t="shared" si="48"/>
        <v>3</v>
      </c>
    </row>
    <row r="513" spans="1:14" x14ac:dyDescent="0.35">
      <c r="A513" s="102" t="str">
        <f t="shared" si="46"/>
        <v/>
      </c>
      <c r="G513" s="14" t="e">
        <f>VLOOKUP(F513,'Accident &amp; Incident Detail'!$D$3:$E$4153,2,FALSE)</f>
        <v>#N/A</v>
      </c>
      <c r="H513" s="14" t="s">
        <v>1760</v>
      </c>
      <c r="M513" s="79" t="str">
        <f t="shared" si="47"/>
        <v/>
      </c>
      <c r="N513" s="14">
        <f t="shared" si="48"/>
        <v>3</v>
      </c>
    </row>
    <row r="514" spans="1:14" x14ac:dyDescent="0.35">
      <c r="A514" s="102" t="str">
        <f t="shared" si="46"/>
        <v/>
      </c>
      <c r="G514" s="14" t="e">
        <f>VLOOKUP(F514,'Accident &amp; Incident Detail'!$D$3:$E$4153,2,FALSE)</f>
        <v>#N/A</v>
      </c>
      <c r="H514" s="14" t="s">
        <v>1761</v>
      </c>
      <c r="M514" s="79" t="str">
        <f t="shared" si="47"/>
        <v/>
      </c>
      <c r="N514" s="14">
        <f t="shared" si="48"/>
        <v>3</v>
      </c>
    </row>
    <row r="515" spans="1:14" x14ac:dyDescent="0.35">
      <c r="A515" s="102" t="str">
        <f t="shared" si="46"/>
        <v/>
      </c>
      <c r="G515" s="14" t="e">
        <f>VLOOKUP(F515,'Accident &amp; Incident Detail'!$D$3:$E$4153,2,FALSE)</f>
        <v>#N/A</v>
      </c>
      <c r="H515" s="14" t="s">
        <v>1762</v>
      </c>
      <c r="M515" s="79" t="str">
        <f t="shared" si="47"/>
        <v/>
      </c>
      <c r="N515" s="14">
        <f t="shared" si="48"/>
        <v>3</v>
      </c>
    </row>
    <row r="516" spans="1:14" x14ac:dyDescent="0.35">
      <c r="A516" s="102" t="str">
        <f t="shared" si="46"/>
        <v/>
      </c>
      <c r="G516" s="14" t="e">
        <f>VLOOKUP(F516,'Accident &amp; Incident Detail'!$D$3:$E$4153,2,FALSE)</f>
        <v>#N/A</v>
      </c>
      <c r="H516" s="14" t="s">
        <v>1763</v>
      </c>
      <c r="M516" s="79" t="str">
        <f t="shared" si="47"/>
        <v/>
      </c>
      <c r="N516" s="14">
        <f t="shared" si="48"/>
        <v>3</v>
      </c>
    </row>
    <row r="517" spans="1:14" x14ac:dyDescent="0.35">
      <c r="A517" s="102" t="str">
        <f t="shared" si="46"/>
        <v/>
      </c>
      <c r="G517" s="14" t="e">
        <f>VLOOKUP(F517,'Accident &amp; Incident Detail'!$D$3:$E$4153,2,FALSE)</f>
        <v>#N/A</v>
      </c>
      <c r="H517" s="14" t="s">
        <v>1764</v>
      </c>
      <c r="M517" s="79" t="str">
        <f t="shared" si="47"/>
        <v/>
      </c>
      <c r="N517" s="14">
        <f t="shared" si="48"/>
        <v>3</v>
      </c>
    </row>
    <row r="518" spans="1:14" x14ac:dyDescent="0.35">
      <c r="A518" s="102" t="str">
        <f t="shared" si="46"/>
        <v/>
      </c>
      <c r="G518" s="14" t="e">
        <f>VLOOKUP(F518,'Accident &amp; Incident Detail'!$D$3:$E$4153,2,FALSE)</f>
        <v>#N/A</v>
      </c>
      <c r="H518" s="14" t="s">
        <v>1765</v>
      </c>
      <c r="M518" s="79" t="str">
        <f t="shared" si="47"/>
        <v/>
      </c>
      <c r="N518" s="14">
        <f t="shared" si="48"/>
        <v>3</v>
      </c>
    </row>
    <row r="519" spans="1:14" x14ac:dyDescent="0.35">
      <c r="A519" s="102" t="str">
        <f t="shared" si="46"/>
        <v/>
      </c>
      <c r="G519" s="14" t="e">
        <f>VLOOKUP(F519,'Accident &amp; Incident Detail'!$D$3:$E$4153,2,FALSE)</f>
        <v>#N/A</v>
      </c>
      <c r="H519" s="14" t="s">
        <v>1766</v>
      </c>
      <c r="M519" s="79" t="str">
        <f t="shared" si="47"/>
        <v/>
      </c>
      <c r="N519" s="14">
        <f t="shared" si="48"/>
        <v>3</v>
      </c>
    </row>
    <row r="520" spans="1:14" x14ac:dyDescent="0.35">
      <c r="A520" s="102" t="str">
        <f t="shared" si="46"/>
        <v/>
      </c>
      <c r="G520" s="14" t="e">
        <f>VLOOKUP(F520,'Accident &amp; Incident Detail'!$D$3:$E$4153,2,FALSE)</f>
        <v>#N/A</v>
      </c>
      <c r="H520" s="14" t="s">
        <v>1767</v>
      </c>
      <c r="M520" s="79" t="str">
        <f t="shared" si="47"/>
        <v/>
      </c>
      <c r="N520" s="14">
        <f t="shared" si="48"/>
        <v>3</v>
      </c>
    </row>
    <row r="521" spans="1:14" x14ac:dyDescent="0.35">
      <c r="A521" s="102" t="str">
        <f t="shared" si="46"/>
        <v/>
      </c>
      <c r="G521" s="14" t="e">
        <f>VLOOKUP(F521,'Accident &amp; Incident Detail'!$D$3:$E$4153,2,FALSE)</f>
        <v>#N/A</v>
      </c>
      <c r="H521" s="14" t="s">
        <v>1768</v>
      </c>
      <c r="M521" s="79" t="str">
        <f t="shared" si="47"/>
        <v/>
      </c>
      <c r="N521" s="14">
        <f t="shared" si="48"/>
        <v>3</v>
      </c>
    </row>
    <row r="522" spans="1:14" x14ac:dyDescent="0.35">
      <c r="A522" s="102" t="str">
        <f t="shared" si="46"/>
        <v/>
      </c>
      <c r="G522" s="14" t="e">
        <f>VLOOKUP(F522,'Accident &amp; Incident Detail'!$D$3:$E$4153,2,FALSE)</f>
        <v>#N/A</v>
      </c>
      <c r="H522" s="14" t="s">
        <v>1769</v>
      </c>
      <c r="M522" s="79" t="str">
        <f t="shared" si="47"/>
        <v/>
      </c>
      <c r="N522" s="14">
        <f t="shared" si="48"/>
        <v>3</v>
      </c>
    </row>
    <row r="523" spans="1:14" x14ac:dyDescent="0.35">
      <c r="A523" s="102" t="str">
        <f t="shared" si="46"/>
        <v/>
      </c>
      <c r="G523" s="14" t="e">
        <f>VLOOKUP(F523,'Accident &amp; Incident Detail'!$D$3:$E$4153,2,FALSE)</f>
        <v>#N/A</v>
      </c>
      <c r="H523" s="14" t="s">
        <v>1770</v>
      </c>
      <c r="M523" s="79" t="str">
        <f t="shared" si="47"/>
        <v/>
      </c>
      <c r="N523" s="14">
        <f t="shared" si="48"/>
        <v>3</v>
      </c>
    </row>
    <row r="524" spans="1:14" x14ac:dyDescent="0.35">
      <c r="A524" s="102" t="str">
        <f t="shared" si="46"/>
        <v/>
      </c>
      <c r="G524" s="14" t="e">
        <f>VLOOKUP(F524,'Accident &amp; Incident Detail'!$D$3:$E$4153,2,FALSE)</f>
        <v>#N/A</v>
      </c>
      <c r="H524" s="14" t="s">
        <v>1771</v>
      </c>
      <c r="M524" s="79" t="str">
        <f t="shared" si="47"/>
        <v/>
      </c>
      <c r="N524" s="14">
        <f t="shared" si="48"/>
        <v>3</v>
      </c>
    </row>
    <row r="525" spans="1:14" x14ac:dyDescent="0.35">
      <c r="A525" s="102" t="str">
        <f t="shared" si="46"/>
        <v/>
      </c>
      <c r="G525" s="14" t="e">
        <f>VLOOKUP(F525,'Accident &amp; Incident Detail'!$D$3:$E$4153,2,FALSE)</f>
        <v>#N/A</v>
      </c>
      <c r="H525" s="14" t="s">
        <v>1772</v>
      </c>
      <c r="M525" s="79" t="str">
        <f t="shared" si="47"/>
        <v/>
      </c>
      <c r="N525" s="14">
        <f t="shared" si="48"/>
        <v>3</v>
      </c>
    </row>
    <row r="526" spans="1:14" x14ac:dyDescent="0.35">
      <c r="A526" s="102" t="str">
        <f t="shared" si="46"/>
        <v/>
      </c>
      <c r="G526" s="14" t="e">
        <f>VLOOKUP(F526,'Accident &amp; Incident Detail'!$D$3:$E$4153,2,FALSE)</f>
        <v>#N/A</v>
      </c>
      <c r="H526" s="14" t="s">
        <v>1773</v>
      </c>
      <c r="M526" s="79" t="str">
        <f t="shared" si="47"/>
        <v/>
      </c>
      <c r="N526" s="14">
        <f t="shared" si="48"/>
        <v>3</v>
      </c>
    </row>
    <row r="527" spans="1:14" x14ac:dyDescent="0.35">
      <c r="A527" s="102" t="str">
        <f t="shared" si="46"/>
        <v/>
      </c>
      <c r="G527" s="14" t="e">
        <f>VLOOKUP(F527,'Accident &amp; Incident Detail'!$D$3:$E$4153,2,FALSE)</f>
        <v>#N/A</v>
      </c>
      <c r="H527" s="14" t="s">
        <v>1774</v>
      </c>
      <c r="M527" s="79" t="str">
        <f t="shared" si="47"/>
        <v/>
      </c>
      <c r="N527" s="14">
        <f t="shared" si="48"/>
        <v>3</v>
      </c>
    </row>
    <row r="528" spans="1:14" x14ac:dyDescent="0.35">
      <c r="A528" s="102" t="str">
        <f t="shared" si="46"/>
        <v/>
      </c>
      <c r="G528" s="14" t="e">
        <f>VLOOKUP(F528,'Accident &amp; Incident Detail'!$D$3:$E$4153,2,FALSE)</f>
        <v>#N/A</v>
      </c>
      <c r="H528" s="14" t="s">
        <v>1775</v>
      </c>
      <c r="M528" s="79" t="str">
        <f t="shared" si="47"/>
        <v/>
      </c>
      <c r="N528" s="14">
        <f t="shared" si="48"/>
        <v>3</v>
      </c>
    </row>
    <row r="529" spans="1:14" x14ac:dyDescent="0.35">
      <c r="A529" s="102" t="str">
        <f t="shared" si="46"/>
        <v/>
      </c>
      <c r="G529" s="14" t="e">
        <f>VLOOKUP(F529,'Accident &amp; Incident Detail'!$D$3:$E$4153,2,FALSE)</f>
        <v>#N/A</v>
      </c>
      <c r="H529" s="14" t="s">
        <v>1776</v>
      </c>
      <c r="M529" s="79" t="str">
        <f t="shared" si="47"/>
        <v/>
      </c>
      <c r="N529" s="14">
        <f t="shared" si="48"/>
        <v>3</v>
      </c>
    </row>
    <row r="530" spans="1:14" x14ac:dyDescent="0.35">
      <c r="A530" s="102" t="str">
        <f t="shared" si="46"/>
        <v/>
      </c>
      <c r="G530" s="14" t="e">
        <f>VLOOKUP(F530,'Accident &amp; Incident Detail'!$D$3:$E$4153,2,FALSE)</f>
        <v>#N/A</v>
      </c>
      <c r="H530" s="14" t="s">
        <v>1777</v>
      </c>
      <c r="M530" s="79" t="str">
        <f t="shared" si="47"/>
        <v/>
      </c>
      <c r="N530" s="14">
        <f t="shared" si="48"/>
        <v>3</v>
      </c>
    </row>
    <row r="531" spans="1:14" x14ac:dyDescent="0.35">
      <c r="A531" s="102" t="str">
        <f t="shared" si="46"/>
        <v/>
      </c>
      <c r="G531" s="14" t="e">
        <f>VLOOKUP(F531,'Accident &amp; Incident Detail'!$D$3:$E$4153,2,FALSE)</f>
        <v>#N/A</v>
      </c>
      <c r="H531" s="14" t="s">
        <v>1778</v>
      </c>
      <c r="M531" s="79" t="str">
        <f t="shared" si="47"/>
        <v/>
      </c>
      <c r="N531" s="14">
        <f t="shared" si="48"/>
        <v>3</v>
      </c>
    </row>
    <row r="532" spans="1:14" x14ac:dyDescent="0.35">
      <c r="A532" s="102" t="str">
        <f t="shared" si="46"/>
        <v/>
      </c>
      <c r="G532" s="14" t="e">
        <f>VLOOKUP(F532,'Accident &amp; Incident Detail'!$D$3:$E$4153,2,FALSE)</f>
        <v>#N/A</v>
      </c>
      <c r="H532" s="14" t="s">
        <v>1779</v>
      </c>
      <c r="M532" s="79" t="str">
        <f t="shared" si="47"/>
        <v/>
      </c>
      <c r="N532" s="14">
        <f t="shared" si="48"/>
        <v>3</v>
      </c>
    </row>
    <row r="533" spans="1:14" x14ac:dyDescent="0.35">
      <c r="A533" s="102" t="str">
        <f t="shared" si="46"/>
        <v/>
      </c>
      <c r="G533" s="14" t="e">
        <f>VLOOKUP(F533,'Accident &amp; Incident Detail'!$D$3:$E$4153,2,FALSE)</f>
        <v>#N/A</v>
      </c>
      <c r="H533" s="14" t="s">
        <v>1780</v>
      </c>
      <c r="M533" s="79" t="str">
        <f t="shared" si="47"/>
        <v/>
      </c>
      <c r="N533" s="14">
        <f t="shared" si="48"/>
        <v>3</v>
      </c>
    </row>
    <row r="534" spans="1:14" x14ac:dyDescent="0.35">
      <c r="A534" s="102" t="str">
        <f t="shared" si="46"/>
        <v/>
      </c>
      <c r="G534" s="14" t="e">
        <f>VLOOKUP(F534,'Accident &amp; Incident Detail'!$D$3:$E$4153,2,FALSE)</f>
        <v>#N/A</v>
      </c>
      <c r="H534" s="14" t="s">
        <v>1781</v>
      </c>
      <c r="M534" s="79" t="str">
        <f t="shared" si="47"/>
        <v/>
      </c>
      <c r="N534" s="14">
        <f t="shared" si="48"/>
        <v>3</v>
      </c>
    </row>
    <row r="535" spans="1:14" x14ac:dyDescent="0.35">
      <c r="A535" s="102" t="str">
        <f t="shared" si="46"/>
        <v/>
      </c>
      <c r="G535" s="14" t="e">
        <f>VLOOKUP(F535,'Accident &amp; Incident Detail'!$D$3:$E$4153,2,FALSE)</f>
        <v>#N/A</v>
      </c>
      <c r="H535" s="14" t="s">
        <v>1782</v>
      </c>
      <c r="M535" s="79" t="str">
        <f t="shared" si="47"/>
        <v/>
      </c>
      <c r="N535" s="14">
        <f t="shared" si="48"/>
        <v>3</v>
      </c>
    </row>
    <row r="536" spans="1:14" x14ac:dyDescent="0.35">
      <c r="A536" s="102" t="str">
        <f t="shared" si="46"/>
        <v/>
      </c>
      <c r="G536" s="14" t="e">
        <f>VLOOKUP(F536,'Accident &amp; Incident Detail'!$D$3:$E$4153,2,FALSE)</f>
        <v>#N/A</v>
      </c>
      <c r="H536" s="14" t="s">
        <v>1783</v>
      </c>
      <c r="M536" s="79" t="str">
        <f t="shared" si="47"/>
        <v/>
      </c>
      <c r="N536" s="14">
        <f t="shared" si="48"/>
        <v>3</v>
      </c>
    </row>
    <row r="537" spans="1:14" x14ac:dyDescent="0.35">
      <c r="A537" s="102" t="str">
        <f t="shared" si="46"/>
        <v/>
      </c>
      <c r="G537" s="14" t="e">
        <f>VLOOKUP(F537,'Accident &amp; Incident Detail'!$D$3:$E$4153,2,FALSE)</f>
        <v>#N/A</v>
      </c>
      <c r="H537" s="14" t="s">
        <v>1784</v>
      </c>
      <c r="M537" s="79" t="str">
        <f t="shared" si="47"/>
        <v/>
      </c>
      <c r="N537" s="14">
        <f t="shared" si="48"/>
        <v>3</v>
      </c>
    </row>
    <row r="538" spans="1:14" x14ac:dyDescent="0.35">
      <c r="A538" s="102" t="str">
        <f t="shared" si="46"/>
        <v/>
      </c>
      <c r="G538" s="14" t="e">
        <f>VLOOKUP(F538,'Accident &amp; Incident Detail'!$D$3:$E$4153,2,FALSE)</f>
        <v>#N/A</v>
      </c>
      <c r="H538" s="14" t="s">
        <v>1785</v>
      </c>
      <c r="M538" s="79" t="str">
        <f t="shared" si="47"/>
        <v/>
      </c>
      <c r="N538" s="14">
        <f t="shared" si="48"/>
        <v>3</v>
      </c>
    </row>
    <row r="539" spans="1:14" x14ac:dyDescent="0.35">
      <c r="A539" s="102" t="str">
        <f t="shared" si="46"/>
        <v/>
      </c>
      <c r="G539" s="14" t="e">
        <f>VLOOKUP(F539,'Accident &amp; Incident Detail'!$D$3:$E$4153,2,FALSE)</f>
        <v>#N/A</v>
      </c>
      <c r="H539" s="14" t="s">
        <v>1786</v>
      </c>
      <c r="M539" s="79" t="str">
        <f t="shared" si="47"/>
        <v/>
      </c>
      <c r="N539" s="14">
        <f t="shared" si="48"/>
        <v>3</v>
      </c>
    </row>
    <row r="540" spans="1:14" x14ac:dyDescent="0.35">
      <c r="A540" s="102" t="str">
        <f t="shared" si="46"/>
        <v/>
      </c>
      <c r="G540" s="14" t="e">
        <f>VLOOKUP(F540,'Accident &amp; Incident Detail'!$D$3:$E$4153,2,FALSE)</f>
        <v>#N/A</v>
      </c>
      <c r="H540" s="14" t="s">
        <v>1787</v>
      </c>
      <c r="M540" s="79" t="str">
        <f t="shared" si="47"/>
        <v/>
      </c>
      <c r="N540" s="14">
        <f t="shared" si="48"/>
        <v>3</v>
      </c>
    </row>
    <row r="541" spans="1:14" x14ac:dyDescent="0.35">
      <c r="A541" s="102" t="str">
        <f t="shared" si="46"/>
        <v/>
      </c>
      <c r="G541" s="14" t="e">
        <f>VLOOKUP(F541,'Accident &amp; Incident Detail'!$D$3:$E$4153,2,FALSE)</f>
        <v>#N/A</v>
      </c>
      <c r="H541" s="14" t="s">
        <v>1788</v>
      </c>
      <c r="M541" s="79" t="str">
        <f t="shared" si="47"/>
        <v/>
      </c>
      <c r="N541" s="14">
        <f t="shared" si="48"/>
        <v>3</v>
      </c>
    </row>
    <row r="542" spans="1:14" x14ac:dyDescent="0.35">
      <c r="A542" s="102" t="str">
        <f t="shared" si="46"/>
        <v/>
      </c>
      <c r="G542" s="14" t="e">
        <f>VLOOKUP(F542,'Accident &amp; Incident Detail'!$D$3:$E$4153,2,FALSE)</f>
        <v>#N/A</v>
      </c>
      <c r="H542" s="14" t="s">
        <v>1789</v>
      </c>
      <c r="M542" s="79" t="str">
        <f t="shared" si="47"/>
        <v/>
      </c>
      <c r="N542" s="14">
        <f t="shared" si="48"/>
        <v>3</v>
      </c>
    </row>
    <row r="543" spans="1:14" x14ac:dyDescent="0.35">
      <c r="A543" s="102" t="str">
        <f t="shared" si="46"/>
        <v/>
      </c>
      <c r="G543" s="14" t="e">
        <f>VLOOKUP(F543,'Accident &amp; Incident Detail'!$D$3:$E$4153,2,FALSE)</f>
        <v>#N/A</v>
      </c>
      <c r="H543" s="14" t="s">
        <v>1790</v>
      </c>
      <c r="M543" s="79" t="str">
        <f t="shared" si="47"/>
        <v/>
      </c>
      <c r="N543" s="14">
        <f t="shared" si="48"/>
        <v>3</v>
      </c>
    </row>
    <row r="544" spans="1:14" x14ac:dyDescent="0.35">
      <c r="A544" s="102" t="str">
        <f t="shared" si="46"/>
        <v/>
      </c>
      <c r="G544" s="14" t="e">
        <f>VLOOKUP(F544,'Accident &amp; Incident Detail'!$D$3:$E$4153,2,FALSE)</f>
        <v>#N/A</v>
      </c>
      <c r="H544" s="14" t="s">
        <v>1791</v>
      </c>
      <c r="M544" s="79" t="str">
        <f t="shared" si="47"/>
        <v/>
      </c>
      <c r="N544" s="14">
        <f t="shared" si="48"/>
        <v>3</v>
      </c>
    </row>
    <row r="545" spans="1:14" x14ac:dyDescent="0.35">
      <c r="A545" s="102" t="str">
        <f t="shared" si="46"/>
        <v/>
      </c>
      <c r="G545" s="14" t="e">
        <f>VLOOKUP(F545,'Accident &amp; Incident Detail'!$D$3:$E$4153,2,FALSE)</f>
        <v>#N/A</v>
      </c>
      <c r="H545" s="14" t="s">
        <v>1792</v>
      </c>
      <c r="M545" s="79" t="str">
        <f t="shared" si="47"/>
        <v/>
      </c>
      <c r="N545" s="14">
        <f t="shared" si="48"/>
        <v>3</v>
      </c>
    </row>
    <row r="546" spans="1:14" x14ac:dyDescent="0.35">
      <c r="A546" s="102" t="str">
        <f t="shared" si="46"/>
        <v/>
      </c>
      <c r="G546" s="14" t="e">
        <f>VLOOKUP(F546,'Accident &amp; Incident Detail'!$D$3:$E$4153,2,FALSE)</f>
        <v>#N/A</v>
      </c>
      <c r="H546" s="14" t="s">
        <v>1793</v>
      </c>
      <c r="M546" s="79" t="str">
        <f t="shared" si="47"/>
        <v/>
      </c>
      <c r="N546" s="14">
        <f t="shared" si="48"/>
        <v>3</v>
      </c>
    </row>
    <row r="547" spans="1:14" x14ac:dyDescent="0.35">
      <c r="A547" s="102" t="str">
        <f t="shared" si="46"/>
        <v/>
      </c>
      <c r="G547" s="14" t="e">
        <f>VLOOKUP(F547,'Accident &amp; Incident Detail'!$D$3:$E$4153,2,FALSE)</f>
        <v>#N/A</v>
      </c>
      <c r="H547" s="14" t="s">
        <v>1794</v>
      </c>
      <c r="M547" s="79" t="str">
        <f t="shared" si="47"/>
        <v/>
      </c>
      <c r="N547" s="14">
        <f t="shared" si="48"/>
        <v>3</v>
      </c>
    </row>
    <row r="548" spans="1:14" x14ac:dyDescent="0.35">
      <c r="A548" s="102" t="str">
        <f t="shared" si="46"/>
        <v/>
      </c>
      <c r="G548" s="14" t="e">
        <f>VLOOKUP(F548,'Accident &amp; Incident Detail'!$D$3:$E$4153,2,FALSE)</f>
        <v>#N/A</v>
      </c>
      <c r="H548" s="14" t="s">
        <v>1795</v>
      </c>
      <c r="M548" s="79" t="str">
        <f t="shared" si="47"/>
        <v/>
      </c>
      <c r="N548" s="14">
        <f t="shared" si="48"/>
        <v>3</v>
      </c>
    </row>
    <row r="549" spans="1:14" x14ac:dyDescent="0.35">
      <c r="A549" s="102" t="str">
        <f t="shared" si="46"/>
        <v/>
      </c>
      <c r="G549" s="14" t="e">
        <f>VLOOKUP(F549,'Accident &amp; Incident Detail'!$D$3:$E$4153,2,FALSE)</f>
        <v>#N/A</v>
      </c>
      <c r="H549" s="14" t="s">
        <v>1796</v>
      </c>
      <c r="M549" s="79" t="str">
        <f t="shared" si="47"/>
        <v/>
      </c>
      <c r="N549" s="14">
        <f t="shared" si="48"/>
        <v>3</v>
      </c>
    </row>
    <row r="550" spans="1:14" x14ac:dyDescent="0.35">
      <c r="A550" s="102" t="str">
        <f t="shared" ref="A550:A613" si="49">IF(O550&gt;1,"Closed",IF(N550=1,"Overdue",IF(N550=3,"","Open")))</f>
        <v/>
      </c>
      <c r="G550" s="14" t="e">
        <f>VLOOKUP(F550,'Accident &amp; Incident Detail'!$D$3:$E$4153,2,FALSE)</f>
        <v>#N/A</v>
      </c>
      <c r="H550" s="14" t="s">
        <v>1797</v>
      </c>
      <c r="M550" s="79" t="str">
        <f t="shared" si="47"/>
        <v/>
      </c>
      <c r="N550" s="14">
        <f t="shared" si="48"/>
        <v>3</v>
      </c>
    </row>
    <row r="551" spans="1:14" x14ac:dyDescent="0.35">
      <c r="A551" s="102" t="str">
        <f t="shared" si="49"/>
        <v/>
      </c>
      <c r="G551" s="14" t="e">
        <f>VLOOKUP(F551,'Accident &amp; Incident Detail'!$D$3:$E$4153,2,FALSE)</f>
        <v>#N/A</v>
      </c>
      <c r="H551" s="14" t="s">
        <v>1798</v>
      </c>
      <c r="M551" s="79" t="str">
        <f t="shared" si="47"/>
        <v/>
      </c>
      <c r="N551" s="14">
        <f t="shared" si="48"/>
        <v>3</v>
      </c>
    </row>
    <row r="552" spans="1:14" x14ac:dyDescent="0.35">
      <c r="A552" s="102" t="str">
        <f t="shared" si="49"/>
        <v/>
      </c>
      <c r="G552" s="14" t="e">
        <f>VLOOKUP(F552,'Accident &amp; Incident Detail'!$D$3:$E$4153,2,FALSE)</f>
        <v>#N/A</v>
      </c>
      <c r="H552" s="14" t="s">
        <v>1799</v>
      </c>
      <c r="M552" s="79" t="str">
        <f t="shared" si="47"/>
        <v/>
      </c>
      <c r="N552" s="14">
        <f t="shared" si="48"/>
        <v>3</v>
      </c>
    </row>
    <row r="553" spans="1:14" x14ac:dyDescent="0.35">
      <c r="A553" s="102" t="str">
        <f t="shared" si="49"/>
        <v/>
      </c>
      <c r="G553" s="14" t="e">
        <f>VLOOKUP(F553,'Accident &amp; Incident Detail'!$D$3:$E$4153,2,FALSE)</f>
        <v>#N/A</v>
      </c>
      <c r="H553" s="14" t="s">
        <v>1800</v>
      </c>
      <c r="M553" s="79" t="str">
        <f t="shared" si="47"/>
        <v/>
      </c>
      <c r="N553" s="14">
        <f t="shared" si="48"/>
        <v>3</v>
      </c>
    </row>
    <row r="554" spans="1:14" x14ac:dyDescent="0.35">
      <c r="A554" s="102" t="str">
        <f t="shared" si="49"/>
        <v/>
      </c>
      <c r="G554" s="14" t="e">
        <f>VLOOKUP(F554,'Accident &amp; Incident Detail'!$D$3:$E$4153,2,FALSE)</f>
        <v>#N/A</v>
      </c>
      <c r="H554" s="14" t="s">
        <v>1801</v>
      </c>
      <c r="M554" s="79" t="str">
        <f t="shared" si="47"/>
        <v/>
      </c>
      <c r="N554" s="14">
        <f t="shared" si="48"/>
        <v>3</v>
      </c>
    </row>
    <row r="555" spans="1:14" x14ac:dyDescent="0.35">
      <c r="A555" s="102" t="str">
        <f t="shared" si="49"/>
        <v/>
      </c>
      <c r="G555" s="14" t="e">
        <f>VLOOKUP(F555,'Accident &amp; Incident Detail'!$D$3:$E$4153,2,FALSE)</f>
        <v>#N/A</v>
      </c>
      <c r="H555" s="14" t="s">
        <v>1802</v>
      </c>
      <c r="M555" s="79" t="str">
        <f t="shared" si="47"/>
        <v/>
      </c>
      <c r="N555" s="14">
        <f t="shared" si="48"/>
        <v>3</v>
      </c>
    </row>
    <row r="556" spans="1:14" x14ac:dyDescent="0.35">
      <c r="A556" s="102" t="str">
        <f t="shared" si="49"/>
        <v/>
      </c>
      <c r="G556" s="14" t="e">
        <f>VLOOKUP(F556,'Accident &amp; Incident Detail'!$D$3:$E$4153,2,FALSE)</f>
        <v>#N/A</v>
      </c>
      <c r="H556" s="14" t="s">
        <v>1803</v>
      </c>
      <c r="M556" s="79" t="str">
        <f t="shared" si="47"/>
        <v/>
      </c>
      <c r="N556" s="14">
        <f t="shared" si="48"/>
        <v>3</v>
      </c>
    </row>
    <row r="557" spans="1:14" x14ac:dyDescent="0.35">
      <c r="A557" s="102" t="str">
        <f t="shared" si="49"/>
        <v/>
      </c>
      <c r="G557" s="14" t="e">
        <f>VLOOKUP(F557,'Accident &amp; Incident Detail'!$D$3:$E$4153,2,FALSE)</f>
        <v>#N/A</v>
      </c>
      <c r="H557" s="14" t="s">
        <v>1804</v>
      </c>
      <c r="M557" s="79" t="str">
        <f t="shared" ref="M557:M620" si="50">IF(D557="","",D557+28)</f>
        <v/>
      </c>
      <c r="N557" s="14">
        <f t="shared" ref="N557:N620" si="51">IF(D557="",3,IF(M557&lt;$A$2,1,0))</f>
        <v>3</v>
      </c>
    </row>
    <row r="558" spans="1:14" x14ac:dyDescent="0.35">
      <c r="A558" s="102" t="str">
        <f t="shared" si="49"/>
        <v/>
      </c>
      <c r="G558" s="14" t="e">
        <f>VLOOKUP(F558,'Accident &amp; Incident Detail'!$D$3:$E$4153,2,FALSE)</f>
        <v>#N/A</v>
      </c>
      <c r="H558" s="14" t="s">
        <v>1805</v>
      </c>
      <c r="M558" s="79" t="str">
        <f t="shared" si="50"/>
        <v/>
      </c>
      <c r="N558" s="14">
        <f t="shared" si="51"/>
        <v>3</v>
      </c>
    </row>
    <row r="559" spans="1:14" x14ac:dyDescent="0.35">
      <c r="A559" s="102" t="str">
        <f t="shared" si="49"/>
        <v/>
      </c>
      <c r="G559" s="14" t="e">
        <f>VLOOKUP(F559,'Accident &amp; Incident Detail'!$D$3:$E$4153,2,FALSE)</f>
        <v>#N/A</v>
      </c>
      <c r="H559" s="14" t="s">
        <v>1806</v>
      </c>
      <c r="M559" s="79" t="str">
        <f t="shared" si="50"/>
        <v/>
      </c>
      <c r="N559" s="14">
        <f t="shared" si="51"/>
        <v>3</v>
      </c>
    </row>
    <row r="560" spans="1:14" x14ac:dyDescent="0.35">
      <c r="A560" s="102" t="str">
        <f t="shared" si="49"/>
        <v/>
      </c>
      <c r="G560" s="14" t="e">
        <f>VLOOKUP(F560,'Accident &amp; Incident Detail'!$D$3:$E$4153,2,FALSE)</f>
        <v>#N/A</v>
      </c>
      <c r="H560" s="14" t="s">
        <v>1807</v>
      </c>
      <c r="M560" s="79" t="str">
        <f t="shared" si="50"/>
        <v/>
      </c>
      <c r="N560" s="14">
        <f t="shared" si="51"/>
        <v>3</v>
      </c>
    </row>
    <row r="561" spans="1:14" x14ac:dyDescent="0.35">
      <c r="A561" s="102" t="str">
        <f t="shared" si="49"/>
        <v/>
      </c>
      <c r="G561" s="14" t="e">
        <f>VLOOKUP(F561,'Accident &amp; Incident Detail'!$D$3:$E$4153,2,FALSE)</f>
        <v>#N/A</v>
      </c>
      <c r="H561" s="14" t="s">
        <v>1808</v>
      </c>
      <c r="M561" s="79" t="str">
        <f t="shared" si="50"/>
        <v/>
      </c>
      <c r="N561" s="14">
        <f t="shared" si="51"/>
        <v>3</v>
      </c>
    </row>
    <row r="562" spans="1:14" x14ac:dyDescent="0.35">
      <c r="A562" s="102" t="str">
        <f t="shared" si="49"/>
        <v/>
      </c>
      <c r="G562" s="14" t="e">
        <f>VLOOKUP(F562,'Accident &amp; Incident Detail'!$D$3:$E$4153,2,FALSE)</f>
        <v>#N/A</v>
      </c>
      <c r="H562" s="14" t="s">
        <v>1809</v>
      </c>
      <c r="M562" s="79" t="str">
        <f t="shared" si="50"/>
        <v/>
      </c>
      <c r="N562" s="14">
        <f t="shared" si="51"/>
        <v>3</v>
      </c>
    </row>
    <row r="563" spans="1:14" x14ac:dyDescent="0.35">
      <c r="A563" s="102" t="str">
        <f t="shared" si="49"/>
        <v/>
      </c>
      <c r="G563" s="14" t="e">
        <f>VLOOKUP(F563,'Accident &amp; Incident Detail'!$D$3:$E$4153,2,FALSE)</f>
        <v>#N/A</v>
      </c>
      <c r="H563" s="14" t="s">
        <v>1810</v>
      </c>
      <c r="M563" s="79" t="str">
        <f t="shared" si="50"/>
        <v/>
      </c>
      <c r="N563" s="14">
        <f t="shared" si="51"/>
        <v>3</v>
      </c>
    </row>
    <row r="564" spans="1:14" x14ac:dyDescent="0.35">
      <c r="A564" s="102" t="str">
        <f t="shared" si="49"/>
        <v/>
      </c>
      <c r="G564" s="14" t="e">
        <f>VLOOKUP(F564,'Accident &amp; Incident Detail'!$D$3:$E$4153,2,FALSE)</f>
        <v>#N/A</v>
      </c>
      <c r="H564" s="14" t="s">
        <v>1811</v>
      </c>
      <c r="M564" s="79" t="str">
        <f t="shared" si="50"/>
        <v/>
      </c>
      <c r="N564" s="14">
        <f t="shared" si="51"/>
        <v>3</v>
      </c>
    </row>
    <row r="565" spans="1:14" x14ac:dyDescent="0.35">
      <c r="A565" s="102" t="str">
        <f t="shared" si="49"/>
        <v/>
      </c>
      <c r="G565" s="14" t="e">
        <f>VLOOKUP(F565,'Accident &amp; Incident Detail'!$D$3:$E$4153,2,FALSE)</f>
        <v>#N/A</v>
      </c>
      <c r="H565" s="14" t="s">
        <v>1812</v>
      </c>
      <c r="M565" s="79" t="str">
        <f t="shared" si="50"/>
        <v/>
      </c>
      <c r="N565" s="14">
        <f t="shared" si="51"/>
        <v>3</v>
      </c>
    </row>
    <row r="566" spans="1:14" x14ac:dyDescent="0.35">
      <c r="A566" s="102" t="str">
        <f t="shared" si="49"/>
        <v/>
      </c>
      <c r="G566" s="14" t="e">
        <f>VLOOKUP(F566,'Accident &amp; Incident Detail'!$D$3:$E$4153,2,FALSE)</f>
        <v>#N/A</v>
      </c>
      <c r="H566" s="14" t="s">
        <v>1813</v>
      </c>
      <c r="M566" s="79" t="str">
        <f t="shared" si="50"/>
        <v/>
      </c>
      <c r="N566" s="14">
        <f t="shared" si="51"/>
        <v>3</v>
      </c>
    </row>
    <row r="567" spans="1:14" x14ac:dyDescent="0.35">
      <c r="A567" s="102" t="str">
        <f t="shared" si="49"/>
        <v/>
      </c>
      <c r="G567" s="14" t="e">
        <f>VLOOKUP(F567,'Accident &amp; Incident Detail'!$D$3:$E$4153,2,FALSE)</f>
        <v>#N/A</v>
      </c>
      <c r="H567" s="14" t="s">
        <v>1814</v>
      </c>
      <c r="M567" s="79" t="str">
        <f t="shared" si="50"/>
        <v/>
      </c>
      <c r="N567" s="14">
        <f t="shared" si="51"/>
        <v>3</v>
      </c>
    </row>
    <row r="568" spans="1:14" x14ac:dyDescent="0.35">
      <c r="A568" s="102" t="str">
        <f t="shared" si="49"/>
        <v/>
      </c>
      <c r="G568" s="14" t="e">
        <f>VLOOKUP(F568,'Accident &amp; Incident Detail'!$D$3:$E$4153,2,FALSE)</f>
        <v>#N/A</v>
      </c>
      <c r="H568" s="14" t="s">
        <v>1815</v>
      </c>
      <c r="M568" s="79" t="str">
        <f t="shared" si="50"/>
        <v/>
      </c>
      <c r="N568" s="14">
        <f t="shared" si="51"/>
        <v>3</v>
      </c>
    </row>
    <row r="569" spans="1:14" x14ac:dyDescent="0.35">
      <c r="A569" s="102" t="str">
        <f t="shared" si="49"/>
        <v/>
      </c>
      <c r="G569" s="14" t="e">
        <f>VLOOKUP(F569,'Accident &amp; Incident Detail'!$D$3:$E$4153,2,FALSE)</f>
        <v>#N/A</v>
      </c>
      <c r="H569" s="14" t="s">
        <v>1816</v>
      </c>
      <c r="M569" s="79" t="str">
        <f t="shared" si="50"/>
        <v/>
      </c>
      <c r="N569" s="14">
        <f t="shared" si="51"/>
        <v>3</v>
      </c>
    </row>
    <row r="570" spans="1:14" x14ac:dyDescent="0.35">
      <c r="A570" s="102" t="str">
        <f t="shared" si="49"/>
        <v/>
      </c>
      <c r="G570" s="14" t="e">
        <f>VLOOKUP(F570,'Accident &amp; Incident Detail'!$D$3:$E$4153,2,FALSE)</f>
        <v>#N/A</v>
      </c>
      <c r="H570" s="14" t="s">
        <v>1817</v>
      </c>
      <c r="M570" s="79" t="str">
        <f t="shared" si="50"/>
        <v/>
      </c>
      <c r="N570" s="14">
        <f t="shared" si="51"/>
        <v>3</v>
      </c>
    </row>
    <row r="571" spans="1:14" x14ac:dyDescent="0.35">
      <c r="A571" s="102" t="str">
        <f t="shared" si="49"/>
        <v/>
      </c>
      <c r="G571" s="14" t="e">
        <f>VLOOKUP(F571,'Accident &amp; Incident Detail'!$D$3:$E$4153,2,FALSE)</f>
        <v>#N/A</v>
      </c>
      <c r="H571" s="14" t="s">
        <v>1818</v>
      </c>
      <c r="M571" s="79" t="str">
        <f t="shared" si="50"/>
        <v/>
      </c>
      <c r="N571" s="14">
        <f t="shared" si="51"/>
        <v>3</v>
      </c>
    </row>
    <row r="572" spans="1:14" x14ac:dyDescent="0.35">
      <c r="A572" s="102" t="str">
        <f t="shared" si="49"/>
        <v/>
      </c>
      <c r="G572" s="14" t="e">
        <f>VLOOKUP(F572,'Accident &amp; Incident Detail'!$D$3:$E$4153,2,FALSE)</f>
        <v>#N/A</v>
      </c>
      <c r="H572" s="14" t="s">
        <v>1819</v>
      </c>
      <c r="M572" s="79" t="str">
        <f t="shared" si="50"/>
        <v/>
      </c>
      <c r="N572" s="14">
        <f t="shared" si="51"/>
        <v>3</v>
      </c>
    </row>
    <row r="573" spans="1:14" x14ac:dyDescent="0.35">
      <c r="A573" s="102" t="str">
        <f t="shared" si="49"/>
        <v/>
      </c>
      <c r="G573" s="14" t="e">
        <f>VLOOKUP(F573,'Accident &amp; Incident Detail'!$D$3:$E$4153,2,FALSE)</f>
        <v>#N/A</v>
      </c>
      <c r="H573" s="14" t="s">
        <v>1820</v>
      </c>
      <c r="M573" s="79" t="str">
        <f t="shared" si="50"/>
        <v/>
      </c>
      <c r="N573" s="14">
        <f t="shared" si="51"/>
        <v>3</v>
      </c>
    </row>
    <row r="574" spans="1:14" x14ac:dyDescent="0.35">
      <c r="A574" s="102" t="str">
        <f t="shared" si="49"/>
        <v/>
      </c>
      <c r="G574" s="14" t="e">
        <f>VLOOKUP(F574,'Accident &amp; Incident Detail'!$D$3:$E$4153,2,FALSE)</f>
        <v>#N/A</v>
      </c>
      <c r="H574" s="14" t="s">
        <v>1821</v>
      </c>
      <c r="M574" s="79" t="str">
        <f t="shared" si="50"/>
        <v/>
      </c>
      <c r="N574" s="14">
        <f t="shared" si="51"/>
        <v>3</v>
      </c>
    </row>
    <row r="575" spans="1:14" x14ac:dyDescent="0.35">
      <c r="A575" s="102" t="str">
        <f t="shared" si="49"/>
        <v/>
      </c>
      <c r="G575" s="14" t="e">
        <f>VLOOKUP(F575,'Accident &amp; Incident Detail'!$D$3:$E$4153,2,FALSE)</f>
        <v>#N/A</v>
      </c>
      <c r="H575" s="14" t="s">
        <v>1822</v>
      </c>
      <c r="M575" s="79" t="str">
        <f t="shared" si="50"/>
        <v/>
      </c>
      <c r="N575" s="14">
        <f t="shared" si="51"/>
        <v>3</v>
      </c>
    </row>
    <row r="576" spans="1:14" x14ac:dyDescent="0.35">
      <c r="A576" s="102" t="str">
        <f t="shared" si="49"/>
        <v/>
      </c>
      <c r="G576" s="14" t="e">
        <f>VLOOKUP(F576,'Accident &amp; Incident Detail'!$D$3:$E$4153,2,FALSE)</f>
        <v>#N/A</v>
      </c>
      <c r="H576" s="14" t="s">
        <v>1823</v>
      </c>
      <c r="M576" s="79" t="str">
        <f t="shared" si="50"/>
        <v/>
      </c>
      <c r="N576" s="14">
        <f t="shared" si="51"/>
        <v>3</v>
      </c>
    </row>
    <row r="577" spans="1:14" x14ac:dyDescent="0.35">
      <c r="A577" s="102" t="str">
        <f t="shared" si="49"/>
        <v/>
      </c>
      <c r="G577" s="14" t="e">
        <f>VLOOKUP(F577,'Accident &amp; Incident Detail'!$D$3:$E$4153,2,FALSE)</f>
        <v>#N/A</v>
      </c>
      <c r="H577" s="14" t="s">
        <v>1824</v>
      </c>
      <c r="M577" s="79" t="str">
        <f t="shared" si="50"/>
        <v/>
      </c>
      <c r="N577" s="14">
        <f t="shared" si="51"/>
        <v>3</v>
      </c>
    </row>
    <row r="578" spans="1:14" x14ac:dyDescent="0.35">
      <c r="A578" s="102" t="str">
        <f t="shared" si="49"/>
        <v/>
      </c>
      <c r="G578" s="14" t="e">
        <f>VLOOKUP(F578,'Accident &amp; Incident Detail'!$D$3:$E$4153,2,FALSE)</f>
        <v>#N/A</v>
      </c>
      <c r="H578" s="14" t="s">
        <v>1825</v>
      </c>
      <c r="M578" s="79" t="str">
        <f t="shared" si="50"/>
        <v/>
      </c>
      <c r="N578" s="14">
        <f t="shared" si="51"/>
        <v>3</v>
      </c>
    </row>
    <row r="579" spans="1:14" x14ac:dyDescent="0.35">
      <c r="A579" s="102" t="str">
        <f t="shared" si="49"/>
        <v/>
      </c>
      <c r="G579" s="14" t="e">
        <f>VLOOKUP(F579,'Accident &amp; Incident Detail'!$D$3:$E$4153,2,FALSE)</f>
        <v>#N/A</v>
      </c>
      <c r="H579" s="14" t="s">
        <v>1826</v>
      </c>
      <c r="M579" s="79" t="str">
        <f t="shared" si="50"/>
        <v/>
      </c>
      <c r="N579" s="14">
        <f t="shared" si="51"/>
        <v>3</v>
      </c>
    </row>
    <row r="580" spans="1:14" x14ac:dyDescent="0.35">
      <c r="A580" s="102" t="str">
        <f t="shared" si="49"/>
        <v/>
      </c>
      <c r="G580" s="14" t="e">
        <f>VLOOKUP(F580,'Accident &amp; Incident Detail'!$D$3:$E$4153,2,FALSE)</f>
        <v>#N/A</v>
      </c>
      <c r="H580" s="14" t="s">
        <v>1827</v>
      </c>
      <c r="M580" s="79" t="str">
        <f t="shared" si="50"/>
        <v/>
      </c>
      <c r="N580" s="14">
        <f t="shared" si="51"/>
        <v>3</v>
      </c>
    </row>
    <row r="581" spans="1:14" x14ac:dyDescent="0.35">
      <c r="A581" s="102" t="str">
        <f t="shared" si="49"/>
        <v/>
      </c>
      <c r="G581" s="14" t="e">
        <f>VLOOKUP(F581,'Accident &amp; Incident Detail'!$D$3:$E$4153,2,FALSE)</f>
        <v>#N/A</v>
      </c>
      <c r="H581" s="14" t="s">
        <v>1828</v>
      </c>
      <c r="M581" s="79" t="str">
        <f t="shared" si="50"/>
        <v/>
      </c>
      <c r="N581" s="14">
        <f t="shared" si="51"/>
        <v>3</v>
      </c>
    </row>
    <row r="582" spans="1:14" x14ac:dyDescent="0.35">
      <c r="A582" s="102" t="str">
        <f t="shared" si="49"/>
        <v/>
      </c>
      <c r="G582" s="14" t="e">
        <f>VLOOKUP(F582,'Accident &amp; Incident Detail'!$D$3:$E$4153,2,FALSE)</f>
        <v>#N/A</v>
      </c>
      <c r="H582" s="14" t="s">
        <v>1829</v>
      </c>
      <c r="M582" s="79" t="str">
        <f t="shared" si="50"/>
        <v/>
      </c>
      <c r="N582" s="14">
        <f t="shared" si="51"/>
        <v>3</v>
      </c>
    </row>
    <row r="583" spans="1:14" x14ac:dyDescent="0.35">
      <c r="A583" s="102" t="str">
        <f t="shared" si="49"/>
        <v/>
      </c>
      <c r="G583" s="14" t="e">
        <f>VLOOKUP(F583,'Accident &amp; Incident Detail'!$D$3:$E$4153,2,FALSE)</f>
        <v>#N/A</v>
      </c>
      <c r="H583" s="14" t="s">
        <v>1830</v>
      </c>
      <c r="M583" s="79" t="str">
        <f t="shared" si="50"/>
        <v/>
      </c>
      <c r="N583" s="14">
        <f t="shared" si="51"/>
        <v>3</v>
      </c>
    </row>
    <row r="584" spans="1:14" x14ac:dyDescent="0.35">
      <c r="A584" s="102" t="str">
        <f t="shared" si="49"/>
        <v/>
      </c>
      <c r="G584" s="14" t="e">
        <f>VLOOKUP(F584,'Accident &amp; Incident Detail'!$D$3:$E$4153,2,FALSE)</f>
        <v>#N/A</v>
      </c>
      <c r="H584" s="14" t="s">
        <v>1831</v>
      </c>
      <c r="M584" s="79" t="str">
        <f t="shared" si="50"/>
        <v/>
      </c>
      <c r="N584" s="14">
        <f t="shared" si="51"/>
        <v>3</v>
      </c>
    </row>
    <row r="585" spans="1:14" x14ac:dyDescent="0.35">
      <c r="A585" s="102" t="str">
        <f t="shared" si="49"/>
        <v/>
      </c>
      <c r="G585" s="14" t="e">
        <f>VLOOKUP(F585,'Accident &amp; Incident Detail'!$D$3:$E$4153,2,FALSE)</f>
        <v>#N/A</v>
      </c>
      <c r="H585" s="14" t="s">
        <v>1832</v>
      </c>
      <c r="M585" s="79" t="str">
        <f t="shared" si="50"/>
        <v/>
      </c>
      <c r="N585" s="14">
        <f t="shared" si="51"/>
        <v>3</v>
      </c>
    </row>
    <row r="586" spans="1:14" x14ac:dyDescent="0.35">
      <c r="A586" s="102" t="str">
        <f t="shared" si="49"/>
        <v/>
      </c>
      <c r="G586" s="14" t="e">
        <f>VLOOKUP(F586,'Accident &amp; Incident Detail'!$D$3:$E$4153,2,FALSE)</f>
        <v>#N/A</v>
      </c>
      <c r="H586" s="14" t="s">
        <v>1833</v>
      </c>
      <c r="M586" s="79" t="str">
        <f t="shared" si="50"/>
        <v/>
      </c>
      <c r="N586" s="14">
        <f t="shared" si="51"/>
        <v>3</v>
      </c>
    </row>
    <row r="587" spans="1:14" x14ac:dyDescent="0.35">
      <c r="A587" s="102" t="str">
        <f t="shared" si="49"/>
        <v/>
      </c>
      <c r="G587" s="14" t="e">
        <f>VLOOKUP(F587,'Accident &amp; Incident Detail'!$D$3:$E$4153,2,FALSE)</f>
        <v>#N/A</v>
      </c>
      <c r="H587" s="14" t="s">
        <v>1834</v>
      </c>
      <c r="M587" s="79" t="str">
        <f t="shared" si="50"/>
        <v/>
      </c>
      <c r="N587" s="14">
        <f t="shared" si="51"/>
        <v>3</v>
      </c>
    </row>
    <row r="588" spans="1:14" x14ac:dyDescent="0.35">
      <c r="A588" s="102" t="str">
        <f t="shared" si="49"/>
        <v/>
      </c>
      <c r="G588" s="14" t="e">
        <f>VLOOKUP(F588,'Accident &amp; Incident Detail'!$D$3:$E$4153,2,FALSE)</f>
        <v>#N/A</v>
      </c>
      <c r="H588" s="14" t="s">
        <v>1835</v>
      </c>
      <c r="M588" s="79" t="str">
        <f t="shared" si="50"/>
        <v/>
      </c>
      <c r="N588" s="14">
        <f t="shared" si="51"/>
        <v>3</v>
      </c>
    </row>
    <row r="589" spans="1:14" x14ac:dyDescent="0.35">
      <c r="A589" s="102" t="str">
        <f t="shared" si="49"/>
        <v/>
      </c>
      <c r="G589" s="14" t="e">
        <f>VLOOKUP(F589,'Accident &amp; Incident Detail'!$D$3:$E$4153,2,FALSE)</f>
        <v>#N/A</v>
      </c>
      <c r="H589" s="14" t="s">
        <v>1836</v>
      </c>
      <c r="M589" s="79" t="str">
        <f t="shared" si="50"/>
        <v/>
      </c>
      <c r="N589" s="14">
        <f t="shared" si="51"/>
        <v>3</v>
      </c>
    </row>
    <row r="590" spans="1:14" x14ac:dyDescent="0.35">
      <c r="A590" s="102" t="str">
        <f t="shared" si="49"/>
        <v/>
      </c>
      <c r="G590" s="14" t="e">
        <f>VLOOKUP(F590,'Accident &amp; Incident Detail'!$D$3:$E$4153,2,FALSE)</f>
        <v>#N/A</v>
      </c>
      <c r="H590" s="14" t="s">
        <v>1837</v>
      </c>
      <c r="M590" s="79" t="str">
        <f t="shared" si="50"/>
        <v/>
      </c>
      <c r="N590" s="14">
        <f t="shared" si="51"/>
        <v>3</v>
      </c>
    </row>
    <row r="591" spans="1:14" x14ac:dyDescent="0.35">
      <c r="A591" s="102" t="str">
        <f t="shared" si="49"/>
        <v/>
      </c>
      <c r="G591" s="14" t="e">
        <f>VLOOKUP(F591,'Accident &amp; Incident Detail'!$D$3:$E$4153,2,FALSE)</f>
        <v>#N/A</v>
      </c>
      <c r="H591" s="14" t="s">
        <v>1838</v>
      </c>
      <c r="M591" s="79" t="str">
        <f t="shared" si="50"/>
        <v/>
      </c>
      <c r="N591" s="14">
        <f t="shared" si="51"/>
        <v>3</v>
      </c>
    </row>
    <row r="592" spans="1:14" x14ac:dyDescent="0.35">
      <c r="A592" s="102" t="str">
        <f t="shared" si="49"/>
        <v/>
      </c>
      <c r="G592" s="14" t="e">
        <f>VLOOKUP(F592,'Accident &amp; Incident Detail'!$D$3:$E$4153,2,FALSE)</f>
        <v>#N/A</v>
      </c>
      <c r="H592" s="14" t="s">
        <v>1839</v>
      </c>
      <c r="M592" s="79" t="str">
        <f t="shared" si="50"/>
        <v/>
      </c>
      <c r="N592" s="14">
        <f t="shared" si="51"/>
        <v>3</v>
      </c>
    </row>
    <row r="593" spans="1:14" x14ac:dyDescent="0.35">
      <c r="A593" s="102" t="str">
        <f t="shared" si="49"/>
        <v/>
      </c>
      <c r="G593" s="14" t="e">
        <f>VLOOKUP(F593,'Accident &amp; Incident Detail'!$D$3:$E$4153,2,FALSE)</f>
        <v>#N/A</v>
      </c>
      <c r="H593" s="14" t="s">
        <v>1840</v>
      </c>
      <c r="M593" s="79" t="str">
        <f t="shared" si="50"/>
        <v/>
      </c>
      <c r="N593" s="14">
        <f t="shared" si="51"/>
        <v>3</v>
      </c>
    </row>
    <row r="594" spans="1:14" x14ac:dyDescent="0.35">
      <c r="A594" s="102" t="str">
        <f t="shared" si="49"/>
        <v/>
      </c>
      <c r="G594" s="14" t="e">
        <f>VLOOKUP(F594,'Accident &amp; Incident Detail'!$D$3:$E$4153,2,FALSE)</f>
        <v>#N/A</v>
      </c>
      <c r="H594" s="14" t="s">
        <v>1841</v>
      </c>
      <c r="M594" s="79" t="str">
        <f t="shared" si="50"/>
        <v/>
      </c>
      <c r="N594" s="14">
        <f t="shared" si="51"/>
        <v>3</v>
      </c>
    </row>
    <row r="595" spans="1:14" x14ac:dyDescent="0.35">
      <c r="A595" s="102" t="str">
        <f t="shared" si="49"/>
        <v/>
      </c>
      <c r="G595" s="14" t="e">
        <f>VLOOKUP(F595,'Accident &amp; Incident Detail'!$D$3:$E$4153,2,FALSE)</f>
        <v>#N/A</v>
      </c>
      <c r="H595" s="14" t="s">
        <v>1842</v>
      </c>
      <c r="M595" s="79" t="str">
        <f t="shared" si="50"/>
        <v/>
      </c>
      <c r="N595" s="14">
        <f t="shared" si="51"/>
        <v>3</v>
      </c>
    </row>
    <row r="596" spans="1:14" x14ac:dyDescent="0.35">
      <c r="A596" s="102" t="str">
        <f t="shared" si="49"/>
        <v/>
      </c>
      <c r="G596" s="14" t="e">
        <f>VLOOKUP(F596,'Accident &amp; Incident Detail'!$D$3:$E$4153,2,FALSE)</f>
        <v>#N/A</v>
      </c>
      <c r="H596" s="14" t="s">
        <v>1843</v>
      </c>
      <c r="M596" s="79" t="str">
        <f t="shared" si="50"/>
        <v/>
      </c>
      <c r="N596" s="14">
        <f t="shared" si="51"/>
        <v>3</v>
      </c>
    </row>
    <row r="597" spans="1:14" x14ac:dyDescent="0.35">
      <c r="A597" s="102" t="str">
        <f t="shared" si="49"/>
        <v/>
      </c>
      <c r="G597" s="14" t="e">
        <f>VLOOKUP(F597,'Accident &amp; Incident Detail'!$D$3:$E$4153,2,FALSE)</f>
        <v>#N/A</v>
      </c>
      <c r="H597" s="14" t="s">
        <v>1844</v>
      </c>
      <c r="M597" s="79" t="str">
        <f t="shared" si="50"/>
        <v/>
      </c>
      <c r="N597" s="14">
        <f t="shared" si="51"/>
        <v>3</v>
      </c>
    </row>
    <row r="598" spans="1:14" x14ac:dyDescent="0.35">
      <c r="A598" s="102" t="str">
        <f t="shared" si="49"/>
        <v/>
      </c>
      <c r="G598" s="14" t="e">
        <f>VLOOKUP(F598,'Accident &amp; Incident Detail'!$D$3:$E$4153,2,FALSE)</f>
        <v>#N/A</v>
      </c>
      <c r="H598" s="14" t="s">
        <v>1845</v>
      </c>
      <c r="M598" s="79" t="str">
        <f t="shared" si="50"/>
        <v/>
      </c>
      <c r="N598" s="14">
        <f t="shared" si="51"/>
        <v>3</v>
      </c>
    </row>
    <row r="599" spans="1:14" x14ac:dyDescent="0.35">
      <c r="A599" s="102" t="str">
        <f t="shared" si="49"/>
        <v/>
      </c>
      <c r="G599" s="14" t="e">
        <f>VLOOKUP(F599,'Accident &amp; Incident Detail'!$D$3:$E$4153,2,FALSE)</f>
        <v>#N/A</v>
      </c>
      <c r="H599" s="14" t="s">
        <v>1846</v>
      </c>
      <c r="M599" s="79" t="str">
        <f t="shared" si="50"/>
        <v/>
      </c>
      <c r="N599" s="14">
        <f t="shared" si="51"/>
        <v>3</v>
      </c>
    </row>
    <row r="600" spans="1:14" x14ac:dyDescent="0.35">
      <c r="A600" s="102" t="str">
        <f t="shared" si="49"/>
        <v/>
      </c>
      <c r="G600" s="14" t="e">
        <f>VLOOKUP(F600,'Accident &amp; Incident Detail'!$D$3:$E$4153,2,FALSE)</f>
        <v>#N/A</v>
      </c>
      <c r="H600" s="14" t="s">
        <v>1847</v>
      </c>
      <c r="M600" s="79" t="str">
        <f t="shared" si="50"/>
        <v/>
      </c>
      <c r="N600" s="14">
        <f t="shared" si="51"/>
        <v>3</v>
      </c>
    </row>
    <row r="601" spans="1:14" x14ac:dyDescent="0.35">
      <c r="A601" s="102" t="str">
        <f t="shared" si="49"/>
        <v/>
      </c>
      <c r="G601" s="14" t="e">
        <f>VLOOKUP(F601,'Accident &amp; Incident Detail'!$D$3:$E$4153,2,FALSE)</f>
        <v>#N/A</v>
      </c>
      <c r="H601" s="14" t="s">
        <v>1848</v>
      </c>
      <c r="M601" s="79" t="str">
        <f t="shared" si="50"/>
        <v/>
      </c>
      <c r="N601" s="14">
        <f t="shared" si="51"/>
        <v>3</v>
      </c>
    </row>
    <row r="602" spans="1:14" x14ac:dyDescent="0.35">
      <c r="A602" s="102" t="str">
        <f t="shared" si="49"/>
        <v/>
      </c>
      <c r="G602" s="14" t="e">
        <f>VLOOKUP(F602,'Accident &amp; Incident Detail'!$D$3:$E$4153,2,FALSE)</f>
        <v>#N/A</v>
      </c>
      <c r="H602" s="14" t="s">
        <v>1849</v>
      </c>
      <c r="M602" s="79" t="str">
        <f t="shared" si="50"/>
        <v/>
      </c>
      <c r="N602" s="14">
        <f t="shared" si="51"/>
        <v>3</v>
      </c>
    </row>
    <row r="603" spans="1:14" x14ac:dyDescent="0.35">
      <c r="A603" s="102" t="str">
        <f t="shared" si="49"/>
        <v/>
      </c>
      <c r="G603" s="14" t="e">
        <f>VLOOKUP(F603,'Accident &amp; Incident Detail'!$D$3:$E$4153,2,FALSE)</f>
        <v>#N/A</v>
      </c>
      <c r="H603" s="14" t="s">
        <v>1850</v>
      </c>
      <c r="M603" s="79" t="str">
        <f t="shared" si="50"/>
        <v/>
      </c>
      <c r="N603" s="14">
        <f t="shared" si="51"/>
        <v>3</v>
      </c>
    </row>
    <row r="604" spans="1:14" x14ac:dyDescent="0.35">
      <c r="A604" s="102" t="str">
        <f t="shared" si="49"/>
        <v/>
      </c>
      <c r="G604" s="14" t="e">
        <f>VLOOKUP(F604,'Accident &amp; Incident Detail'!$D$3:$E$4153,2,FALSE)</f>
        <v>#N/A</v>
      </c>
      <c r="H604" s="14" t="s">
        <v>1851</v>
      </c>
      <c r="M604" s="79" t="str">
        <f t="shared" si="50"/>
        <v/>
      </c>
      <c r="N604" s="14">
        <f t="shared" si="51"/>
        <v>3</v>
      </c>
    </row>
    <row r="605" spans="1:14" x14ac:dyDescent="0.35">
      <c r="A605" s="102" t="str">
        <f t="shared" si="49"/>
        <v/>
      </c>
      <c r="G605" s="14" t="e">
        <f>VLOOKUP(F605,'Accident &amp; Incident Detail'!$D$3:$E$4153,2,FALSE)</f>
        <v>#N/A</v>
      </c>
      <c r="H605" s="14" t="s">
        <v>1852</v>
      </c>
      <c r="M605" s="79" t="str">
        <f t="shared" si="50"/>
        <v/>
      </c>
      <c r="N605" s="14">
        <f t="shared" si="51"/>
        <v>3</v>
      </c>
    </row>
    <row r="606" spans="1:14" x14ac:dyDescent="0.35">
      <c r="A606" s="102" t="str">
        <f t="shared" si="49"/>
        <v/>
      </c>
      <c r="G606" s="14" t="e">
        <f>VLOOKUP(F606,'Accident &amp; Incident Detail'!$D$3:$E$4153,2,FALSE)</f>
        <v>#N/A</v>
      </c>
      <c r="H606" s="14" t="s">
        <v>1853</v>
      </c>
      <c r="M606" s="79" t="str">
        <f t="shared" si="50"/>
        <v/>
      </c>
      <c r="N606" s="14">
        <f t="shared" si="51"/>
        <v>3</v>
      </c>
    </row>
    <row r="607" spans="1:14" x14ac:dyDescent="0.35">
      <c r="A607" s="102" t="str">
        <f t="shared" si="49"/>
        <v/>
      </c>
      <c r="G607" s="14" t="e">
        <f>VLOOKUP(F607,'Accident &amp; Incident Detail'!$D$3:$E$4153,2,FALSE)</f>
        <v>#N/A</v>
      </c>
      <c r="H607" s="14" t="s">
        <v>1854</v>
      </c>
      <c r="M607" s="79" t="str">
        <f t="shared" si="50"/>
        <v/>
      </c>
      <c r="N607" s="14">
        <f t="shared" si="51"/>
        <v>3</v>
      </c>
    </row>
    <row r="608" spans="1:14" x14ac:dyDescent="0.35">
      <c r="A608" s="102" t="str">
        <f t="shared" si="49"/>
        <v/>
      </c>
      <c r="G608" s="14" t="e">
        <f>VLOOKUP(F608,'Accident &amp; Incident Detail'!$D$3:$E$4153,2,FALSE)</f>
        <v>#N/A</v>
      </c>
      <c r="H608" s="14" t="s">
        <v>1855</v>
      </c>
      <c r="M608" s="79" t="str">
        <f t="shared" si="50"/>
        <v/>
      </c>
      <c r="N608" s="14">
        <f t="shared" si="51"/>
        <v>3</v>
      </c>
    </row>
    <row r="609" spans="1:14" x14ac:dyDescent="0.35">
      <c r="A609" s="102" t="str">
        <f t="shared" si="49"/>
        <v/>
      </c>
      <c r="G609" s="14" t="e">
        <f>VLOOKUP(F609,'Accident &amp; Incident Detail'!$D$3:$E$4153,2,FALSE)</f>
        <v>#N/A</v>
      </c>
      <c r="H609" s="14" t="s">
        <v>1856</v>
      </c>
      <c r="M609" s="79" t="str">
        <f t="shared" si="50"/>
        <v/>
      </c>
      <c r="N609" s="14">
        <f t="shared" si="51"/>
        <v>3</v>
      </c>
    </row>
    <row r="610" spans="1:14" x14ac:dyDescent="0.35">
      <c r="A610" s="102" t="str">
        <f t="shared" si="49"/>
        <v/>
      </c>
      <c r="G610" s="14" t="e">
        <f>VLOOKUP(F610,'Accident &amp; Incident Detail'!$D$3:$E$4153,2,FALSE)</f>
        <v>#N/A</v>
      </c>
      <c r="H610" s="14" t="s">
        <v>1857</v>
      </c>
      <c r="M610" s="79" t="str">
        <f t="shared" si="50"/>
        <v/>
      </c>
      <c r="N610" s="14">
        <f t="shared" si="51"/>
        <v>3</v>
      </c>
    </row>
    <row r="611" spans="1:14" x14ac:dyDescent="0.35">
      <c r="A611" s="102" t="str">
        <f t="shared" si="49"/>
        <v/>
      </c>
      <c r="G611" s="14" t="e">
        <f>VLOOKUP(F611,'Accident &amp; Incident Detail'!$D$3:$E$4153,2,FALSE)</f>
        <v>#N/A</v>
      </c>
      <c r="H611" s="14" t="s">
        <v>1858</v>
      </c>
      <c r="M611" s="79" t="str">
        <f t="shared" si="50"/>
        <v/>
      </c>
      <c r="N611" s="14">
        <f t="shared" si="51"/>
        <v>3</v>
      </c>
    </row>
    <row r="612" spans="1:14" x14ac:dyDescent="0.35">
      <c r="A612" s="102" t="str">
        <f t="shared" si="49"/>
        <v/>
      </c>
      <c r="G612" s="14" t="e">
        <f>VLOOKUP(F612,'Accident &amp; Incident Detail'!$D$3:$E$4153,2,FALSE)</f>
        <v>#N/A</v>
      </c>
      <c r="H612" s="14" t="s">
        <v>1859</v>
      </c>
      <c r="M612" s="79" t="str">
        <f t="shared" si="50"/>
        <v/>
      </c>
      <c r="N612" s="14">
        <f t="shared" si="51"/>
        <v>3</v>
      </c>
    </row>
    <row r="613" spans="1:14" x14ac:dyDescent="0.35">
      <c r="A613" s="102" t="str">
        <f t="shared" si="49"/>
        <v/>
      </c>
      <c r="G613" s="14" t="e">
        <f>VLOOKUP(F613,'Accident &amp; Incident Detail'!$D$3:$E$4153,2,FALSE)</f>
        <v>#N/A</v>
      </c>
      <c r="H613" s="14" t="s">
        <v>1860</v>
      </c>
      <c r="M613" s="79" t="str">
        <f t="shared" si="50"/>
        <v/>
      </c>
      <c r="N613" s="14">
        <f t="shared" si="51"/>
        <v>3</v>
      </c>
    </row>
    <row r="614" spans="1:14" x14ac:dyDescent="0.35">
      <c r="A614" s="102" t="str">
        <f t="shared" ref="A614:A677" si="52">IF(O614&gt;1,"Closed",IF(N614=1,"Overdue",IF(N614=3,"","Open")))</f>
        <v/>
      </c>
      <c r="G614" s="14" t="e">
        <f>VLOOKUP(F614,'Accident &amp; Incident Detail'!$D$3:$E$4153,2,FALSE)</f>
        <v>#N/A</v>
      </c>
      <c r="H614" s="14" t="s">
        <v>1861</v>
      </c>
      <c r="M614" s="79" t="str">
        <f t="shared" si="50"/>
        <v/>
      </c>
      <c r="N614" s="14">
        <f t="shared" si="51"/>
        <v>3</v>
      </c>
    </row>
    <row r="615" spans="1:14" x14ac:dyDescent="0.35">
      <c r="A615" s="102" t="str">
        <f t="shared" si="52"/>
        <v/>
      </c>
      <c r="G615" s="14" t="e">
        <f>VLOOKUP(F615,'Accident &amp; Incident Detail'!$D$3:$E$4153,2,FALSE)</f>
        <v>#N/A</v>
      </c>
      <c r="H615" s="14" t="s">
        <v>1862</v>
      </c>
      <c r="M615" s="79" t="str">
        <f t="shared" si="50"/>
        <v/>
      </c>
      <c r="N615" s="14">
        <f t="shared" si="51"/>
        <v>3</v>
      </c>
    </row>
    <row r="616" spans="1:14" x14ac:dyDescent="0.35">
      <c r="A616" s="102" t="str">
        <f t="shared" si="52"/>
        <v/>
      </c>
      <c r="G616" s="14" t="e">
        <f>VLOOKUP(F616,'Accident &amp; Incident Detail'!$D$3:$E$4153,2,FALSE)</f>
        <v>#N/A</v>
      </c>
      <c r="H616" s="14" t="s">
        <v>1863</v>
      </c>
      <c r="M616" s="79" t="str">
        <f t="shared" si="50"/>
        <v/>
      </c>
      <c r="N616" s="14">
        <f t="shared" si="51"/>
        <v>3</v>
      </c>
    </row>
    <row r="617" spans="1:14" x14ac:dyDescent="0.35">
      <c r="A617" s="102" t="str">
        <f t="shared" si="52"/>
        <v/>
      </c>
      <c r="G617" s="14" t="e">
        <f>VLOOKUP(F617,'Accident &amp; Incident Detail'!$D$3:$E$4153,2,FALSE)</f>
        <v>#N/A</v>
      </c>
      <c r="H617" s="14" t="s">
        <v>1864</v>
      </c>
      <c r="M617" s="79" t="str">
        <f t="shared" si="50"/>
        <v/>
      </c>
      <c r="N617" s="14">
        <f t="shared" si="51"/>
        <v>3</v>
      </c>
    </row>
    <row r="618" spans="1:14" x14ac:dyDescent="0.35">
      <c r="A618" s="102" t="str">
        <f t="shared" si="52"/>
        <v/>
      </c>
      <c r="G618" s="14" t="e">
        <f>VLOOKUP(F618,'Accident &amp; Incident Detail'!$D$3:$E$4153,2,FALSE)</f>
        <v>#N/A</v>
      </c>
      <c r="M618" s="79" t="str">
        <f t="shared" si="50"/>
        <v/>
      </c>
      <c r="N618" s="14">
        <f t="shared" si="51"/>
        <v>3</v>
      </c>
    </row>
    <row r="619" spans="1:14" x14ac:dyDescent="0.35">
      <c r="A619" s="102" t="str">
        <f t="shared" si="52"/>
        <v/>
      </c>
      <c r="G619" s="14" t="e">
        <f>VLOOKUP(F619,'Accident &amp; Incident Detail'!$D$3:$E$4153,2,FALSE)</f>
        <v>#N/A</v>
      </c>
      <c r="M619" s="79" t="str">
        <f t="shared" si="50"/>
        <v/>
      </c>
      <c r="N619" s="14">
        <f t="shared" si="51"/>
        <v>3</v>
      </c>
    </row>
    <row r="620" spans="1:14" x14ac:dyDescent="0.35">
      <c r="A620" s="102" t="str">
        <f t="shared" si="52"/>
        <v/>
      </c>
      <c r="G620" s="14" t="e">
        <f>VLOOKUP(F620,'Accident &amp; Incident Detail'!$D$3:$E$4153,2,FALSE)</f>
        <v>#N/A</v>
      </c>
      <c r="M620" s="79" t="str">
        <f t="shared" si="50"/>
        <v/>
      </c>
      <c r="N620" s="14">
        <f t="shared" si="51"/>
        <v>3</v>
      </c>
    </row>
    <row r="621" spans="1:14" x14ac:dyDescent="0.35">
      <c r="A621" s="102" t="str">
        <f t="shared" si="52"/>
        <v/>
      </c>
      <c r="G621" s="14" t="e">
        <f>VLOOKUP(F621,'Accident &amp; Incident Detail'!$D$3:$E$4153,2,FALSE)</f>
        <v>#N/A</v>
      </c>
      <c r="M621" s="79" t="str">
        <f t="shared" ref="M621:M684" si="53">IF(D621="","",D621+28)</f>
        <v/>
      </c>
      <c r="N621" s="14">
        <f t="shared" ref="N621:N684" si="54">IF(D621="",3,IF(M621&lt;$A$2,1,0))</f>
        <v>3</v>
      </c>
    </row>
    <row r="622" spans="1:14" x14ac:dyDescent="0.35">
      <c r="A622" s="102" t="str">
        <f t="shared" si="52"/>
        <v/>
      </c>
      <c r="G622" s="14" t="e">
        <f>VLOOKUP(F622,'Accident &amp; Incident Detail'!$D$3:$E$4153,2,FALSE)</f>
        <v>#N/A</v>
      </c>
      <c r="M622" s="79" t="str">
        <f t="shared" si="53"/>
        <v/>
      </c>
      <c r="N622" s="14">
        <f t="shared" si="54"/>
        <v>3</v>
      </c>
    </row>
    <row r="623" spans="1:14" x14ac:dyDescent="0.35">
      <c r="A623" s="102" t="str">
        <f t="shared" si="52"/>
        <v/>
      </c>
      <c r="G623" s="14" t="e">
        <f>VLOOKUP(F623,'Accident &amp; Incident Detail'!$D$3:$E$4153,2,FALSE)</f>
        <v>#N/A</v>
      </c>
      <c r="M623" s="79" t="str">
        <f t="shared" si="53"/>
        <v/>
      </c>
      <c r="N623" s="14">
        <f t="shared" si="54"/>
        <v>3</v>
      </c>
    </row>
    <row r="624" spans="1:14" x14ac:dyDescent="0.35">
      <c r="A624" s="102" t="str">
        <f t="shared" si="52"/>
        <v/>
      </c>
      <c r="G624" s="14" t="e">
        <f>VLOOKUP(F624,'Accident &amp; Incident Detail'!$D$3:$E$4153,2,FALSE)</f>
        <v>#N/A</v>
      </c>
      <c r="M624" s="79" t="str">
        <f t="shared" si="53"/>
        <v/>
      </c>
      <c r="N624" s="14">
        <f t="shared" si="54"/>
        <v>3</v>
      </c>
    </row>
    <row r="625" spans="1:14" x14ac:dyDescent="0.35">
      <c r="A625" s="102" t="str">
        <f t="shared" si="52"/>
        <v/>
      </c>
      <c r="G625" s="14" t="e">
        <f>VLOOKUP(F625,'Accident &amp; Incident Detail'!$D$3:$E$4153,2,FALSE)</f>
        <v>#N/A</v>
      </c>
      <c r="M625" s="79" t="str">
        <f t="shared" si="53"/>
        <v/>
      </c>
      <c r="N625" s="14">
        <f t="shared" si="54"/>
        <v>3</v>
      </c>
    </row>
    <row r="626" spans="1:14" x14ac:dyDescent="0.35">
      <c r="A626" s="102" t="str">
        <f t="shared" si="52"/>
        <v/>
      </c>
      <c r="G626" s="14" t="e">
        <f>VLOOKUP(F626,'Accident &amp; Incident Detail'!$D$3:$E$4153,2,FALSE)</f>
        <v>#N/A</v>
      </c>
      <c r="M626" s="79" t="str">
        <f t="shared" si="53"/>
        <v/>
      </c>
      <c r="N626" s="14">
        <f t="shared" si="54"/>
        <v>3</v>
      </c>
    </row>
    <row r="627" spans="1:14" x14ac:dyDescent="0.35">
      <c r="A627" s="102" t="str">
        <f t="shared" si="52"/>
        <v/>
      </c>
      <c r="G627" s="14" t="e">
        <f>VLOOKUP(F627,'Accident &amp; Incident Detail'!$D$3:$E$4153,2,FALSE)</f>
        <v>#N/A</v>
      </c>
      <c r="M627" s="79" t="str">
        <f t="shared" si="53"/>
        <v/>
      </c>
      <c r="N627" s="14">
        <f t="shared" si="54"/>
        <v>3</v>
      </c>
    </row>
    <row r="628" spans="1:14" x14ac:dyDescent="0.35">
      <c r="A628" s="102" t="str">
        <f t="shared" si="52"/>
        <v/>
      </c>
      <c r="G628" s="14" t="e">
        <f>VLOOKUP(F628,'Accident &amp; Incident Detail'!$D$3:$E$4153,2,FALSE)</f>
        <v>#N/A</v>
      </c>
      <c r="M628" s="79" t="str">
        <f t="shared" si="53"/>
        <v/>
      </c>
      <c r="N628" s="14">
        <f t="shared" si="54"/>
        <v>3</v>
      </c>
    </row>
    <row r="629" spans="1:14" x14ac:dyDescent="0.35">
      <c r="A629" s="102" t="str">
        <f t="shared" si="52"/>
        <v/>
      </c>
      <c r="G629" s="14" t="e">
        <f>VLOOKUP(F629,'Accident &amp; Incident Detail'!$D$3:$E$4153,2,FALSE)</f>
        <v>#N/A</v>
      </c>
      <c r="M629" s="79" t="str">
        <f t="shared" si="53"/>
        <v/>
      </c>
      <c r="N629" s="14">
        <f t="shared" si="54"/>
        <v>3</v>
      </c>
    </row>
    <row r="630" spans="1:14" x14ac:dyDescent="0.35">
      <c r="A630" s="102" t="str">
        <f t="shared" si="52"/>
        <v/>
      </c>
      <c r="G630" s="14" t="e">
        <f>VLOOKUP(F630,'Accident &amp; Incident Detail'!$D$3:$E$4153,2,FALSE)</f>
        <v>#N/A</v>
      </c>
      <c r="M630" s="79" t="str">
        <f t="shared" si="53"/>
        <v/>
      </c>
      <c r="N630" s="14">
        <f t="shared" si="54"/>
        <v>3</v>
      </c>
    </row>
    <row r="631" spans="1:14" x14ac:dyDescent="0.35">
      <c r="A631" s="102" t="str">
        <f t="shared" si="52"/>
        <v/>
      </c>
      <c r="G631" s="14" t="e">
        <f>VLOOKUP(F631,'Accident &amp; Incident Detail'!$D$3:$E$4153,2,FALSE)</f>
        <v>#N/A</v>
      </c>
      <c r="M631" s="79" t="str">
        <f t="shared" si="53"/>
        <v/>
      </c>
      <c r="N631" s="14">
        <f t="shared" si="54"/>
        <v>3</v>
      </c>
    </row>
    <row r="632" spans="1:14" x14ac:dyDescent="0.35">
      <c r="A632" s="102" t="str">
        <f t="shared" si="52"/>
        <v/>
      </c>
      <c r="G632" s="14" t="e">
        <f>VLOOKUP(F632,'Accident &amp; Incident Detail'!$D$3:$E$4153,2,FALSE)</f>
        <v>#N/A</v>
      </c>
      <c r="M632" s="79" t="str">
        <f t="shared" si="53"/>
        <v/>
      </c>
      <c r="N632" s="14">
        <f t="shared" si="54"/>
        <v>3</v>
      </c>
    </row>
    <row r="633" spans="1:14" x14ac:dyDescent="0.35">
      <c r="A633" s="102" t="str">
        <f t="shared" si="52"/>
        <v/>
      </c>
      <c r="G633" s="14" t="e">
        <f>VLOOKUP(F633,'Accident &amp; Incident Detail'!$D$3:$E$4153,2,FALSE)</f>
        <v>#N/A</v>
      </c>
      <c r="M633" s="79" t="str">
        <f t="shared" si="53"/>
        <v/>
      </c>
      <c r="N633" s="14">
        <f t="shared" si="54"/>
        <v>3</v>
      </c>
    </row>
    <row r="634" spans="1:14" x14ac:dyDescent="0.35">
      <c r="A634" s="102" t="str">
        <f t="shared" si="52"/>
        <v/>
      </c>
      <c r="G634" s="14" t="e">
        <f>VLOOKUP(F634,'Accident &amp; Incident Detail'!$D$3:$E$4153,2,FALSE)</f>
        <v>#N/A</v>
      </c>
      <c r="M634" s="79" t="str">
        <f t="shared" si="53"/>
        <v/>
      </c>
      <c r="N634" s="14">
        <f t="shared" si="54"/>
        <v>3</v>
      </c>
    </row>
    <row r="635" spans="1:14" x14ac:dyDescent="0.35">
      <c r="A635" s="102" t="str">
        <f t="shared" si="52"/>
        <v/>
      </c>
      <c r="G635" s="14" t="e">
        <f>VLOOKUP(F635,'Accident &amp; Incident Detail'!$D$3:$E$4153,2,FALSE)</f>
        <v>#N/A</v>
      </c>
      <c r="M635" s="79" t="str">
        <f t="shared" si="53"/>
        <v/>
      </c>
      <c r="N635" s="14">
        <f t="shared" si="54"/>
        <v>3</v>
      </c>
    </row>
    <row r="636" spans="1:14" x14ac:dyDescent="0.35">
      <c r="A636" s="102" t="str">
        <f t="shared" si="52"/>
        <v/>
      </c>
      <c r="G636" s="14" t="e">
        <f>VLOOKUP(F636,'Accident &amp; Incident Detail'!$D$3:$E$4153,2,FALSE)</f>
        <v>#N/A</v>
      </c>
      <c r="M636" s="79" t="str">
        <f t="shared" si="53"/>
        <v/>
      </c>
      <c r="N636" s="14">
        <f t="shared" si="54"/>
        <v>3</v>
      </c>
    </row>
    <row r="637" spans="1:14" x14ac:dyDescent="0.35">
      <c r="A637" s="102" t="str">
        <f t="shared" si="52"/>
        <v/>
      </c>
      <c r="G637" s="14" t="e">
        <f>VLOOKUP(F637,'Accident &amp; Incident Detail'!$D$3:$E$4153,2,FALSE)</f>
        <v>#N/A</v>
      </c>
      <c r="M637" s="79" t="str">
        <f t="shared" si="53"/>
        <v/>
      </c>
      <c r="N637" s="14">
        <f t="shared" si="54"/>
        <v>3</v>
      </c>
    </row>
    <row r="638" spans="1:14" x14ac:dyDescent="0.35">
      <c r="A638" s="102" t="str">
        <f t="shared" si="52"/>
        <v/>
      </c>
      <c r="G638" s="14" t="e">
        <f>VLOOKUP(F638,'Accident &amp; Incident Detail'!$D$3:$E$4153,2,FALSE)</f>
        <v>#N/A</v>
      </c>
      <c r="M638" s="79" t="str">
        <f t="shared" si="53"/>
        <v/>
      </c>
      <c r="N638" s="14">
        <f t="shared" si="54"/>
        <v>3</v>
      </c>
    </row>
    <row r="639" spans="1:14" x14ac:dyDescent="0.35">
      <c r="A639" s="102" t="str">
        <f t="shared" si="52"/>
        <v/>
      </c>
      <c r="G639" s="14" t="e">
        <f>VLOOKUP(F639,'Accident &amp; Incident Detail'!$D$3:$E$4153,2,FALSE)</f>
        <v>#N/A</v>
      </c>
      <c r="M639" s="79" t="str">
        <f t="shared" si="53"/>
        <v/>
      </c>
      <c r="N639" s="14">
        <f t="shared" si="54"/>
        <v>3</v>
      </c>
    </row>
    <row r="640" spans="1:14" x14ac:dyDescent="0.35">
      <c r="A640" s="102" t="str">
        <f t="shared" si="52"/>
        <v/>
      </c>
      <c r="G640" s="14" t="e">
        <f>VLOOKUP(F640,'Accident &amp; Incident Detail'!$D$3:$E$4153,2,FALSE)</f>
        <v>#N/A</v>
      </c>
      <c r="M640" s="79" t="str">
        <f t="shared" si="53"/>
        <v/>
      </c>
      <c r="N640" s="14">
        <f t="shared" si="54"/>
        <v>3</v>
      </c>
    </row>
    <row r="641" spans="1:14" x14ac:dyDescent="0.35">
      <c r="A641" s="102" t="str">
        <f t="shared" si="52"/>
        <v/>
      </c>
      <c r="G641" s="14" t="e">
        <f>VLOOKUP(F641,'Accident &amp; Incident Detail'!$D$3:$E$4153,2,FALSE)</f>
        <v>#N/A</v>
      </c>
      <c r="M641" s="79" t="str">
        <f t="shared" si="53"/>
        <v/>
      </c>
      <c r="N641" s="14">
        <f t="shared" si="54"/>
        <v>3</v>
      </c>
    </row>
    <row r="642" spans="1:14" x14ac:dyDescent="0.35">
      <c r="A642" s="102" t="str">
        <f t="shared" si="52"/>
        <v/>
      </c>
      <c r="G642" s="14" t="e">
        <f>VLOOKUP(F642,'Accident &amp; Incident Detail'!$D$3:$E$4153,2,FALSE)</f>
        <v>#N/A</v>
      </c>
      <c r="M642" s="79" t="str">
        <f t="shared" si="53"/>
        <v/>
      </c>
      <c r="N642" s="14">
        <f t="shared" si="54"/>
        <v>3</v>
      </c>
    </row>
    <row r="643" spans="1:14" x14ac:dyDescent="0.35">
      <c r="A643" s="102" t="str">
        <f t="shared" si="52"/>
        <v/>
      </c>
      <c r="G643" s="14" t="e">
        <f>VLOOKUP(F643,'Accident &amp; Incident Detail'!$D$3:$E$4153,2,FALSE)</f>
        <v>#N/A</v>
      </c>
      <c r="M643" s="79" t="str">
        <f t="shared" si="53"/>
        <v/>
      </c>
      <c r="N643" s="14">
        <f t="shared" si="54"/>
        <v>3</v>
      </c>
    </row>
    <row r="644" spans="1:14" x14ac:dyDescent="0.35">
      <c r="A644" s="102" t="str">
        <f t="shared" si="52"/>
        <v/>
      </c>
      <c r="G644" s="14" t="e">
        <f>VLOOKUP(F644,'Accident &amp; Incident Detail'!$D$3:$E$4153,2,FALSE)</f>
        <v>#N/A</v>
      </c>
      <c r="M644" s="79" t="str">
        <f t="shared" si="53"/>
        <v/>
      </c>
      <c r="N644" s="14">
        <f t="shared" si="54"/>
        <v>3</v>
      </c>
    </row>
    <row r="645" spans="1:14" x14ac:dyDescent="0.35">
      <c r="A645" s="102" t="str">
        <f t="shared" si="52"/>
        <v/>
      </c>
      <c r="G645" s="14" t="e">
        <f>VLOOKUP(F645,'Accident &amp; Incident Detail'!$D$3:$E$4153,2,FALSE)</f>
        <v>#N/A</v>
      </c>
      <c r="M645" s="79" t="str">
        <f t="shared" si="53"/>
        <v/>
      </c>
      <c r="N645" s="14">
        <f t="shared" si="54"/>
        <v>3</v>
      </c>
    </row>
    <row r="646" spans="1:14" x14ac:dyDescent="0.35">
      <c r="A646" s="102" t="str">
        <f t="shared" si="52"/>
        <v/>
      </c>
      <c r="G646" s="14" t="e">
        <f>VLOOKUP(F646,'Accident &amp; Incident Detail'!$D$3:$E$4153,2,FALSE)</f>
        <v>#N/A</v>
      </c>
      <c r="M646" s="79" t="str">
        <f t="shared" si="53"/>
        <v/>
      </c>
      <c r="N646" s="14">
        <f t="shared" si="54"/>
        <v>3</v>
      </c>
    </row>
    <row r="647" spans="1:14" x14ac:dyDescent="0.35">
      <c r="A647" s="102" t="str">
        <f t="shared" si="52"/>
        <v/>
      </c>
      <c r="G647" s="14" t="e">
        <f>VLOOKUP(F647,'Accident &amp; Incident Detail'!$D$3:$E$4153,2,FALSE)</f>
        <v>#N/A</v>
      </c>
      <c r="M647" s="79" t="str">
        <f t="shared" si="53"/>
        <v/>
      </c>
      <c r="N647" s="14">
        <f t="shared" si="54"/>
        <v>3</v>
      </c>
    </row>
    <row r="648" spans="1:14" x14ac:dyDescent="0.35">
      <c r="A648" s="102" t="str">
        <f t="shared" si="52"/>
        <v/>
      </c>
      <c r="G648" s="14" t="e">
        <f>VLOOKUP(F648,'Accident &amp; Incident Detail'!$D$3:$E$4153,2,FALSE)</f>
        <v>#N/A</v>
      </c>
      <c r="M648" s="79" t="str">
        <f t="shared" si="53"/>
        <v/>
      </c>
      <c r="N648" s="14">
        <f t="shared" si="54"/>
        <v>3</v>
      </c>
    </row>
    <row r="649" spans="1:14" x14ac:dyDescent="0.35">
      <c r="A649" s="102" t="str">
        <f t="shared" si="52"/>
        <v/>
      </c>
      <c r="G649" s="14" t="e">
        <f>VLOOKUP(F649,'Accident &amp; Incident Detail'!$D$3:$E$4153,2,FALSE)</f>
        <v>#N/A</v>
      </c>
      <c r="M649" s="79" t="str">
        <f t="shared" si="53"/>
        <v/>
      </c>
      <c r="N649" s="14">
        <f t="shared" si="54"/>
        <v>3</v>
      </c>
    </row>
    <row r="650" spans="1:14" x14ac:dyDescent="0.35">
      <c r="A650" s="102" t="str">
        <f t="shared" si="52"/>
        <v/>
      </c>
      <c r="G650" s="14" t="e">
        <f>VLOOKUP(F650,'Accident &amp; Incident Detail'!$D$3:$E$4153,2,FALSE)</f>
        <v>#N/A</v>
      </c>
      <c r="M650" s="79" t="str">
        <f t="shared" si="53"/>
        <v/>
      </c>
      <c r="N650" s="14">
        <f t="shared" si="54"/>
        <v>3</v>
      </c>
    </row>
    <row r="651" spans="1:14" x14ac:dyDescent="0.35">
      <c r="A651" s="102" t="str">
        <f t="shared" si="52"/>
        <v/>
      </c>
      <c r="G651" s="14" t="e">
        <f>VLOOKUP(F651,'Accident &amp; Incident Detail'!$D$3:$E$4153,2,FALSE)</f>
        <v>#N/A</v>
      </c>
      <c r="M651" s="79" t="str">
        <f t="shared" si="53"/>
        <v/>
      </c>
      <c r="N651" s="14">
        <f t="shared" si="54"/>
        <v>3</v>
      </c>
    </row>
    <row r="652" spans="1:14" x14ac:dyDescent="0.35">
      <c r="A652" s="102" t="str">
        <f t="shared" si="52"/>
        <v/>
      </c>
      <c r="G652" s="14" t="e">
        <f>VLOOKUP(F652,'Accident &amp; Incident Detail'!$D$3:$E$4153,2,FALSE)</f>
        <v>#N/A</v>
      </c>
      <c r="M652" s="79" t="str">
        <f t="shared" si="53"/>
        <v/>
      </c>
      <c r="N652" s="14">
        <f t="shared" si="54"/>
        <v>3</v>
      </c>
    </row>
    <row r="653" spans="1:14" x14ac:dyDescent="0.35">
      <c r="A653" s="102" t="str">
        <f t="shared" si="52"/>
        <v/>
      </c>
      <c r="G653" s="14" t="e">
        <f>VLOOKUP(F653,'Accident &amp; Incident Detail'!$D$3:$E$4153,2,FALSE)</f>
        <v>#N/A</v>
      </c>
      <c r="M653" s="79" t="str">
        <f t="shared" si="53"/>
        <v/>
      </c>
      <c r="N653" s="14">
        <f t="shared" si="54"/>
        <v>3</v>
      </c>
    </row>
    <row r="654" spans="1:14" x14ac:dyDescent="0.35">
      <c r="A654" s="102" t="str">
        <f t="shared" si="52"/>
        <v/>
      </c>
      <c r="G654" s="14" t="e">
        <f>VLOOKUP(F654,'Accident &amp; Incident Detail'!$D$3:$E$4153,2,FALSE)</f>
        <v>#N/A</v>
      </c>
      <c r="M654" s="79" t="str">
        <f t="shared" si="53"/>
        <v/>
      </c>
      <c r="N654" s="14">
        <f t="shared" si="54"/>
        <v>3</v>
      </c>
    </row>
    <row r="655" spans="1:14" x14ac:dyDescent="0.35">
      <c r="A655" s="102" t="str">
        <f t="shared" si="52"/>
        <v/>
      </c>
      <c r="G655" s="14" t="e">
        <f>VLOOKUP(F655,'Accident &amp; Incident Detail'!$D$3:$E$4153,2,FALSE)</f>
        <v>#N/A</v>
      </c>
      <c r="M655" s="79" t="str">
        <f t="shared" si="53"/>
        <v/>
      </c>
      <c r="N655" s="14">
        <f t="shared" si="54"/>
        <v>3</v>
      </c>
    </row>
    <row r="656" spans="1:14" x14ac:dyDescent="0.35">
      <c r="A656" s="102" t="str">
        <f t="shared" si="52"/>
        <v/>
      </c>
      <c r="G656" s="14" t="e">
        <f>VLOOKUP(F656,'Accident &amp; Incident Detail'!$D$3:$E$4153,2,FALSE)</f>
        <v>#N/A</v>
      </c>
      <c r="M656" s="79" t="str">
        <f t="shared" si="53"/>
        <v/>
      </c>
      <c r="N656" s="14">
        <f t="shared" si="54"/>
        <v>3</v>
      </c>
    </row>
    <row r="657" spans="1:14" x14ac:dyDescent="0.35">
      <c r="A657" s="102" t="str">
        <f t="shared" si="52"/>
        <v/>
      </c>
      <c r="G657" s="14" t="e">
        <f>VLOOKUP(F657,'Accident &amp; Incident Detail'!$D$3:$E$4153,2,FALSE)</f>
        <v>#N/A</v>
      </c>
      <c r="M657" s="79" t="str">
        <f t="shared" si="53"/>
        <v/>
      </c>
      <c r="N657" s="14">
        <f t="shared" si="54"/>
        <v>3</v>
      </c>
    </row>
    <row r="658" spans="1:14" x14ac:dyDescent="0.35">
      <c r="A658" s="102" t="str">
        <f t="shared" si="52"/>
        <v/>
      </c>
      <c r="G658" s="14" t="e">
        <f>VLOOKUP(F658,'Accident &amp; Incident Detail'!$D$3:$E$4153,2,FALSE)</f>
        <v>#N/A</v>
      </c>
      <c r="M658" s="79" t="str">
        <f t="shared" si="53"/>
        <v/>
      </c>
      <c r="N658" s="14">
        <f t="shared" si="54"/>
        <v>3</v>
      </c>
    </row>
    <row r="659" spans="1:14" x14ac:dyDescent="0.35">
      <c r="A659" s="102" t="str">
        <f t="shared" si="52"/>
        <v/>
      </c>
      <c r="G659" s="14" t="e">
        <f>VLOOKUP(F659,'Accident &amp; Incident Detail'!$D$3:$E$4153,2,FALSE)</f>
        <v>#N/A</v>
      </c>
      <c r="M659" s="79" t="str">
        <f t="shared" si="53"/>
        <v/>
      </c>
      <c r="N659" s="14">
        <f t="shared" si="54"/>
        <v>3</v>
      </c>
    </row>
    <row r="660" spans="1:14" x14ac:dyDescent="0.35">
      <c r="A660" s="102" t="str">
        <f t="shared" si="52"/>
        <v/>
      </c>
      <c r="G660" s="14" t="e">
        <f>VLOOKUP(F660,'Accident &amp; Incident Detail'!$D$3:$E$4153,2,FALSE)</f>
        <v>#N/A</v>
      </c>
      <c r="M660" s="79" t="str">
        <f t="shared" si="53"/>
        <v/>
      </c>
      <c r="N660" s="14">
        <f t="shared" si="54"/>
        <v>3</v>
      </c>
    </row>
    <row r="661" spans="1:14" x14ac:dyDescent="0.35">
      <c r="A661" s="102" t="str">
        <f t="shared" si="52"/>
        <v/>
      </c>
      <c r="G661" s="14" t="e">
        <f>VLOOKUP(F661,'Accident &amp; Incident Detail'!$D$3:$E$4153,2,FALSE)</f>
        <v>#N/A</v>
      </c>
      <c r="M661" s="79" t="str">
        <f t="shared" si="53"/>
        <v/>
      </c>
      <c r="N661" s="14">
        <f t="shared" si="54"/>
        <v>3</v>
      </c>
    </row>
    <row r="662" spans="1:14" x14ac:dyDescent="0.35">
      <c r="A662" s="102" t="str">
        <f t="shared" si="52"/>
        <v/>
      </c>
      <c r="G662" s="14" t="e">
        <f>VLOOKUP(F662,'Accident &amp; Incident Detail'!$D$3:$E$4153,2,FALSE)</f>
        <v>#N/A</v>
      </c>
      <c r="M662" s="79" t="str">
        <f t="shared" si="53"/>
        <v/>
      </c>
      <c r="N662" s="14">
        <f t="shared" si="54"/>
        <v>3</v>
      </c>
    </row>
    <row r="663" spans="1:14" x14ac:dyDescent="0.35">
      <c r="A663" s="102" t="str">
        <f t="shared" si="52"/>
        <v/>
      </c>
      <c r="G663" s="14" t="e">
        <f>VLOOKUP(F663,'Accident &amp; Incident Detail'!$D$3:$E$4153,2,FALSE)</f>
        <v>#N/A</v>
      </c>
      <c r="M663" s="79" t="str">
        <f t="shared" si="53"/>
        <v/>
      </c>
      <c r="N663" s="14">
        <f t="shared" si="54"/>
        <v>3</v>
      </c>
    </row>
    <row r="664" spans="1:14" x14ac:dyDescent="0.35">
      <c r="A664" s="102" t="str">
        <f t="shared" si="52"/>
        <v/>
      </c>
      <c r="G664" s="14" t="e">
        <f>VLOOKUP(F664,'Accident &amp; Incident Detail'!$D$3:$E$4153,2,FALSE)</f>
        <v>#N/A</v>
      </c>
      <c r="M664" s="79" t="str">
        <f t="shared" si="53"/>
        <v/>
      </c>
      <c r="N664" s="14">
        <f t="shared" si="54"/>
        <v>3</v>
      </c>
    </row>
    <row r="665" spans="1:14" x14ac:dyDescent="0.35">
      <c r="A665" s="102" t="str">
        <f t="shared" si="52"/>
        <v/>
      </c>
      <c r="G665" s="14" t="e">
        <f>VLOOKUP(F665,'Accident &amp; Incident Detail'!$D$3:$E$4153,2,FALSE)</f>
        <v>#N/A</v>
      </c>
      <c r="M665" s="79" t="str">
        <f t="shared" si="53"/>
        <v/>
      </c>
      <c r="N665" s="14">
        <f t="shared" si="54"/>
        <v>3</v>
      </c>
    </row>
    <row r="666" spans="1:14" x14ac:dyDescent="0.35">
      <c r="A666" s="102" t="str">
        <f t="shared" si="52"/>
        <v/>
      </c>
      <c r="G666" s="14" t="e">
        <f>VLOOKUP(F666,'Accident &amp; Incident Detail'!$D$3:$E$4153,2,FALSE)</f>
        <v>#N/A</v>
      </c>
      <c r="M666" s="79" t="str">
        <f t="shared" si="53"/>
        <v/>
      </c>
      <c r="N666" s="14">
        <f t="shared" si="54"/>
        <v>3</v>
      </c>
    </row>
    <row r="667" spans="1:14" x14ac:dyDescent="0.35">
      <c r="A667" s="102" t="str">
        <f t="shared" si="52"/>
        <v/>
      </c>
      <c r="G667" s="14" t="e">
        <f>VLOOKUP(F667,'Accident &amp; Incident Detail'!$D$3:$E$4153,2,FALSE)</f>
        <v>#N/A</v>
      </c>
      <c r="M667" s="79" t="str">
        <f t="shared" si="53"/>
        <v/>
      </c>
      <c r="N667" s="14">
        <f t="shared" si="54"/>
        <v>3</v>
      </c>
    </row>
    <row r="668" spans="1:14" x14ac:dyDescent="0.35">
      <c r="A668" s="102" t="str">
        <f t="shared" si="52"/>
        <v/>
      </c>
      <c r="G668" s="14" t="e">
        <f>VLOOKUP(F668,'Accident &amp; Incident Detail'!$D$3:$E$4153,2,FALSE)</f>
        <v>#N/A</v>
      </c>
      <c r="M668" s="79" t="str">
        <f t="shared" si="53"/>
        <v/>
      </c>
      <c r="N668" s="14">
        <f t="shared" si="54"/>
        <v>3</v>
      </c>
    </row>
    <row r="669" spans="1:14" x14ac:dyDescent="0.35">
      <c r="A669" s="102" t="str">
        <f t="shared" si="52"/>
        <v/>
      </c>
      <c r="G669" s="14" t="e">
        <f>VLOOKUP(F669,'Accident &amp; Incident Detail'!$D$3:$E$4153,2,FALSE)</f>
        <v>#N/A</v>
      </c>
      <c r="M669" s="79" t="str">
        <f t="shared" si="53"/>
        <v/>
      </c>
      <c r="N669" s="14">
        <f t="shared" si="54"/>
        <v>3</v>
      </c>
    </row>
    <row r="670" spans="1:14" x14ac:dyDescent="0.35">
      <c r="A670" s="102" t="str">
        <f t="shared" si="52"/>
        <v/>
      </c>
      <c r="G670" s="14" t="e">
        <f>VLOOKUP(F670,'Accident &amp; Incident Detail'!$D$3:$E$4153,2,FALSE)</f>
        <v>#N/A</v>
      </c>
      <c r="M670" s="79" t="str">
        <f t="shared" si="53"/>
        <v/>
      </c>
      <c r="N670" s="14">
        <f t="shared" si="54"/>
        <v>3</v>
      </c>
    </row>
    <row r="671" spans="1:14" x14ac:dyDescent="0.35">
      <c r="A671" s="102" t="str">
        <f t="shared" si="52"/>
        <v/>
      </c>
      <c r="G671" s="14" t="e">
        <f>VLOOKUP(F671,'Accident &amp; Incident Detail'!$D$3:$E$4153,2,FALSE)</f>
        <v>#N/A</v>
      </c>
      <c r="M671" s="79" t="str">
        <f t="shared" si="53"/>
        <v/>
      </c>
      <c r="N671" s="14">
        <f t="shared" si="54"/>
        <v>3</v>
      </c>
    </row>
    <row r="672" spans="1:14" x14ac:dyDescent="0.35">
      <c r="A672" s="102" t="str">
        <f t="shared" si="52"/>
        <v/>
      </c>
      <c r="G672" s="14" t="e">
        <f>VLOOKUP(F672,'Accident &amp; Incident Detail'!$D$3:$E$4153,2,FALSE)</f>
        <v>#N/A</v>
      </c>
      <c r="M672" s="79" t="str">
        <f t="shared" si="53"/>
        <v/>
      </c>
      <c r="N672" s="14">
        <f t="shared" si="54"/>
        <v>3</v>
      </c>
    </row>
    <row r="673" spans="1:14" x14ac:dyDescent="0.35">
      <c r="A673" s="102" t="str">
        <f t="shared" si="52"/>
        <v/>
      </c>
      <c r="G673" s="14" t="e">
        <f>VLOOKUP(F673,'Accident &amp; Incident Detail'!$D$3:$E$4153,2,FALSE)</f>
        <v>#N/A</v>
      </c>
      <c r="M673" s="79" t="str">
        <f t="shared" si="53"/>
        <v/>
      </c>
      <c r="N673" s="14">
        <f t="shared" si="54"/>
        <v>3</v>
      </c>
    </row>
    <row r="674" spans="1:14" x14ac:dyDescent="0.35">
      <c r="A674" s="102" t="str">
        <f t="shared" si="52"/>
        <v/>
      </c>
      <c r="G674" s="14" t="e">
        <f>VLOOKUP(F674,'Accident &amp; Incident Detail'!$D$3:$E$4153,2,FALSE)</f>
        <v>#N/A</v>
      </c>
      <c r="M674" s="79" t="str">
        <f t="shared" si="53"/>
        <v/>
      </c>
      <c r="N674" s="14">
        <f t="shared" si="54"/>
        <v>3</v>
      </c>
    </row>
    <row r="675" spans="1:14" x14ac:dyDescent="0.35">
      <c r="A675" s="102" t="str">
        <f t="shared" si="52"/>
        <v/>
      </c>
      <c r="G675" s="14" t="e">
        <f>VLOOKUP(F675,'Accident &amp; Incident Detail'!$D$3:$E$4153,2,FALSE)</f>
        <v>#N/A</v>
      </c>
      <c r="M675" s="79" t="str">
        <f t="shared" si="53"/>
        <v/>
      </c>
      <c r="N675" s="14">
        <f t="shared" si="54"/>
        <v>3</v>
      </c>
    </row>
    <row r="676" spans="1:14" x14ac:dyDescent="0.35">
      <c r="A676" s="102" t="str">
        <f t="shared" si="52"/>
        <v/>
      </c>
      <c r="G676" s="14" t="e">
        <f>VLOOKUP(F676,'Accident &amp; Incident Detail'!$D$3:$E$4153,2,FALSE)</f>
        <v>#N/A</v>
      </c>
      <c r="M676" s="79" t="str">
        <f t="shared" si="53"/>
        <v/>
      </c>
      <c r="N676" s="14">
        <f t="shared" si="54"/>
        <v>3</v>
      </c>
    </row>
    <row r="677" spans="1:14" x14ac:dyDescent="0.35">
      <c r="A677" s="102" t="str">
        <f t="shared" si="52"/>
        <v/>
      </c>
      <c r="G677" s="14" t="e">
        <f>VLOOKUP(F677,'Accident &amp; Incident Detail'!$D$3:$E$4153,2,FALSE)</f>
        <v>#N/A</v>
      </c>
      <c r="M677" s="79" t="str">
        <f t="shared" si="53"/>
        <v/>
      </c>
      <c r="N677" s="14">
        <f t="shared" si="54"/>
        <v>3</v>
      </c>
    </row>
    <row r="678" spans="1:14" x14ac:dyDescent="0.35">
      <c r="A678" s="102" t="str">
        <f t="shared" ref="A678:A741" si="55">IF(O678&gt;1,"Closed",IF(N678=1,"Overdue",IF(N678=3,"","Open")))</f>
        <v/>
      </c>
      <c r="G678" s="14" t="e">
        <f>VLOOKUP(F678,'Accident &amp; Incident Detail'!$D$3:$E$4153,2,FALSE)</f>
        <v>#N/A</v>
      </c>
      <c r="M678" s="79" t="str">
        <f t="shared" si="53"/>
        <v/>
      </c>
      <c r="N678" s="14">
        <f t="shared" si="54"/>
        <v>3</v>
      </c>
    </row>
    <row r="679" spans="1:14" x14ac:dyDescent="0.35">
      <c r="A679" s="102" t="str">
        <f t="shared" si="55"/>
        <v/>
      </c>
      <c r="G679" s="14" t="e">
        <f>VLOOKUP(F679,'Accident &amp; Incident Detail'!$D$3:$E$4153,2,FALSE)</f>
        <v>#N/A</v>
      </c>
      <c r="M679" s="79" t="str">
        <f t="shared" si="53"/>
        <v/>
      </c>
      <c r="N679" s="14">
        <f t="shared" si="54"/>
        <v>3</v>
      </c>
    </row>
    <row r="680" spans="1:14" x14ac:dyDescent="0.35">
      <c r="A680" s="102" t="str">
        <f t="shared" si="55"/>
        <v/>
      </c>
      <c r="G680" s="14" t="e">
        <f>VLOOKUP(F680,'Accident &amp; Incident Detail'!$D$3:$E$4153,2,FALSE)</f>
        <v>#N/A</v>
      </c>
      <c r="M680" s="79" t="str">
        <f t="shared" si="53"/>
        <v/>
      </c>
      <c r="N680" s="14">
        <f t="shared" si="54"/>
        <v>3</v>
      </c>
    </row>
    <row r="681" spans="1:14" x14ac:dyDescent="0.35">
      <c r="A681" s="102" t="str">
        <f t="shared" si="55"/>
        <v/>
      </c>
      <c r="G681" s="14" t="e">
        <f>VLOOKUP(F681,'Accident &amp; Incident Detail'!$D$3:$E$4153,2,FALSE)</f>
        <v>#N/A</v>
      </c>
      <c r="M681" s="79" t="str">
        <f t="shared" si="53"/>
        <v/>
      </c>
      <c r="N681" s="14">
        <f t="shared" si="54"/>
        <v>3</v>
      </c>
    </row>
    <row r="682" spans="1:14" x14ac:dyDescent="0.35">
      <c r="A682" s="102" t="str">
        <f t="shared" si="55"/>
        <v/>
      </c>
      <c r="G682" s="14" t="e">
        <f>VLOOKUP(F682,'Accident &amp; Incident Detail'!$D$3:$E$4153,2,FALSE)</f>
        <v>#N/A</v>
      </c>
      <c r="M682" s="79" t="str">
        <f t="shared" si="53"/>
        <v/>
      </c>
      <c r="N682" s="14">
        <f t="shared" si="54"/>
        <v>3</v>
      </c>
    </row>
    <row r="683" spans="1:14" x14ac:dyDescent="0.35">
      <c r="A683" s="102" t="str">
        <f t="shared" si="55"/>
        <v/>
      </c>
      <c r="G683" s="14" t="e">
        <f>VLOOKUP(F683,'Accident &amp; Incident Detail'!$D$3:$E$4153,2,FALSE)</f>
        <v>#N/A</v>
      </c>
      <c r="M683" s="79" t="str">
        <f t="shared" si="53"/>
        <v/>
      </c>
      <c r="N683" s="14">
        <f t="shared" si="54"/>
        <v>3</v>
      </c>
    </row>
    <row r="684" spans="1:14" x14ac:dyDescent="0.35">
      <c r="A684" s="102" t="str">
        <f t="shared" si="55"/>
        <v/>
      </c>
      <c r="G684" s="14" t="e">
        <f>VLOOKUP(F684,'Accident &amp; Incident Detail'!$D$3:$E$4153,2,FALSE)</f>
        <v>#N/A</v>
      </c>
      <c r="M684" s="79" t="str">
        <f t="shared" si="53"/>
        <v/>
      </c>
      <c r="N684" s="14">
        <f t="shared" si="54"/>
        <v>3</v>
      </c>
    </row>
    <row r="685" spans="1:14" x14ac:dyDescent="0.35">
      <c r="A685" s="102" t="str">
        <f t="shared" si="55"/>
        <v/>
      </c>
      <c r="G685" s="14" t="e">
        <f>VLOOKUP(F685,'Accident &amp; Incident Detail'!$D$3:$E$4153,2,FALSE)</f>
        <v>#N/A</v>
      </c>
      <c r="M685" s="79" t="str">
        <f t="shared" ref="M685:M748" si="56">IF(D685="","",D685+28)</f>
        <v/>
      </c>
      <c r="N685" s="14">
        <f t="shared" ref="N685:N748" si="57">IF(D685="",3,IF(M685&lt;$A$2,1,0))</f>
        <v>3</v>
      </c>
    </row>
    <row r="686" spans="1:14" x14ac:dyDescent="0.35">
      <c r="A686" s="102" t="str">
        <f t="shared" si="55"/>
        <v/>
      </c>
      <c r="G686" s="14" t="e">
        <f>VLOOKUP(F686,'Accident &amp; Incident Detail'!$D$3:$E$4153,2,FALSE)</f>
        <v>#N/A</v>
      </c>
      <c r="M686" s="79" t="str">
        <f t="shared" si="56"/>
        <v/>
      </c>
      <c r="N686" s="14">
        <f t="shared" si="57"/>
        <v>3</v>
      </c>
    </row>
    <row r="687" spans="1:14" x14ac:dyDescent="0.35">
      <c r="A687" s="102" t="str">
        <f t="shared" si="55"/>
        <v/>
      </c>
      <c r="G687" s="14" t="e">
        <f>VLOOKUP(F687,'Accident &amp; Incident Detail'!$D$3:$E$4153,2,FALSE)</f>
        <v>#N/A</v>
      </c>
      <c r="M687" s="79" t="str">
        <f t="shared" si="56"/>
        <v/>
      </c>
      <c r="N687" s="14">
        <f t="shared" si="57"/>
        <v>3</v>
      </c>
    </row>
    <row r="688" spans="1:14" x14ac:dyDescent="0.35">
      <c r="A688" s="102" t="str">
        <f t="shared" si="55"/>
        <v/>
      </c>
      <c r="G688" s="14" t="e">
        <f>VLOOKUP(F688,'Accident &amp; Incident Detail'!$D$3:$E$4153,2,FALSE)</f>
        <v>#N/A</v>
      </c>
      <c r="M688" s="79" t="str">
        <f t="shared" si="56"/>
        <v/>
      </c>
      <c r="N688" s="14">
        <f t="shared" si="57"/>
        <v>3</v>
      </c>
    </row>
    <row r="689" spans="1:14" x14ac:dyDescent="0.35">
      <c r="A689" s="102" t="str">
        <f t="shared" si="55"/>
        <v/>
      </c>
      <c r="G689" s="14" t="e">
        <f>VLOOKUP(F689,'Accident &amp; Incident Detail'!$D$3:$E$4153,2,FALSE)</f>
        <v>#N/A</v>
      </c>
      <c r="M689" s="79" t="str">
        <f t="shared" si="56"/>
        <v/>
      </c>
      <c r="N689" s="14">
        <f t="shared" si="57"/>
        <v>3</v>
      </c>
    </row>
    <row r="690" spans="1:14" x14ac:dyDescent="0.35">
      <c r="A690" s="102" t="str">
        <f t="shared" si="55"/>
        <v/>
      </c>
      <c r="G690" s="14" t="e">
        <f>VLOOKUP(F690,'Accident &amp; Incident Detail'!$D$3:$E$4153,2,FALSE)</f>
        <v>#N/A</v>
      </c>
      <c r="M690" s="79" t="str">
        <f t="shared" si="56"/>
        <v/>
      </c>
      <c r="N690" s="14">
        <f t="shared" si="57"/>
        <v>3</v>
      </c>
    </row>
    <row r="691" spans="1:14" x14ac:dyDescent="0.35">
      <c r="A691" s="102" t="str">
        <f t="shared" si="55"/>
        <v/>
      </c>
      <c r="G691" s="14" t="e">
        <f>VLOOKUP(F691,'Accident &amp; Incident Detail'!$D$3:$E$4153,2,FALSE)</f>
        <v>#N/A</v>
      </c>
      <c r="M691" s="79" t="str">
        <f t="shared" si="56"/>
        <v/>
      </c>
      <c r="N691" s="14">
        <f t="shared" si="57"/>
        <v>3</v>
      </c>
    </row>
    <row r="692" spans="1:14" x14ac:dyDescent="0.35">
      <c r="A692" s="102" t="str">
        <f t="shared" si="55"/>
        <v/>
      </c>
      <c r="G692" s="14" t="e">
        <f>VLOOKUP(F692,'Accident &amp; Incident Detail'!$D$3:$E$4153,2,FALSE)</f>
        <v>#N/A</v>
      </c>
      <c r="M692" s="79" t="str">
        <f t="shared" si="56"/>
        <v/>
      </c>
      <c r="N692" s="14">
        <f t="shared" si="57"/>
        <v>3</v>
      </c>
    </row>
    <row r="693" spans="1:14" x14ac:dyDescent="0.35">
      <c r="A693" s="102" t="str">
        <f t="shared" si="55"/>
        <v/>
      </c>
      <c r="G693" s="14" t="e">
        <f>VLOOKUP(F693,'Accident &amp; Incident Detail'!$D$3:$E$4153,2,FALSE)</f>
        <v>#N/A</v>
      </c>
      <c r="M693" s="79" t="str">
        <f t="shared" si="56"/>
        <v/>
      </c>
      <c r="N693" s="14">
        <f t="shared" si="57"/>
        <v>3</v>
      </c>
    </row>
    <row r="694" spans="1:14" x14ac:dyDescent="0.35">
      <c r="A694" s="102" t="str">
        <f t="shared" si="55"/>
        <v/>
      </c>
      <c r="G694" s="14" t="e">
        <f>VLOOKUP(F694,'Accident &amp; Incident Detail'!$D$3:$E$4153,2,FALSE)</f>
        <v>#N/A</v>
      </c>
      <c r="M694" s="79" t="str">
        <f t="shared" si="56"/>
        <v/>
      </c>
      <c r="N694" s="14">
        <f t="shared" si="57"/>
        <v>3</v>
      </c>
    </row>
    <row r="695" spans="1:14" x14ac:dyDescent="0.35">
      <c r="A695" s="102" t="str">
        <f t="shared" si="55"/>
        <v/>
      </c>
      <c r="G695" s="14" t="e">
        <f>VLOOKUP(F695,'Accident &amp; Incident Detail'!$D$3:$E$4153,2,FALSE)</f>
        <v>#N/A</v>
      </c>
      <c r="M695" s="79" t="str">
        <f t="shared" si="56"/>
        <v/>
      </c>
      <c r="N695" s="14">
        <f t="shared" si="57"/>
        <v>3</v>
      </c>
    </row>
    <row r="696" spans="1:14" x14ac:dyDescent="0.35">
      <c r="A696" s="102" t="str">
        <f t="shared" si="55"/>
        <v/>
      </c>
      <c r="G696" s="14" t="e">
        <f>VLOOKUP(F696,'Accident &amp; Incident Detail'!$D$3:$E$4153,2,FALSE)</f>
        <v>#N/A</v>
      </c>
      <c r="M696" s="79" t="str">
        <f t="shared" si="56"/>
        <v/>
      </c>
      <c r="N696" s="14">
        <f t="shared" si="57"/>
        <v>3</v>
      </c>
    </row>
    <row r="697" spans="1:14" x14ac:dyDescent="0.35">
      <c r="A697" s="102" t="str">
        <f t="shared" si="55"/>
        <v/>
      </c>
      <c r="G697" s="14" t="e">
        <f>VLOOKUP(F697,'Accident &amp; Incident Detail'!$D$3:$E$4153,2,FALSE)</f>
        <v>#N/A</v>
      </c>
      <c r="M697" s="79" t="str">
        <f t="shared" si="56"/>
        <v/>
      </c>
      <c r="N697" s="14">
        <f t="shared" si="57"/>
        <v>3</v>
      </c>
    </row>
    <row r="698" spans="1:14" x14ac:dyDescent="0.35">
      <c r="A698" s="102" t="str">
        <f t="shared" si="55"/>
        <v/>
      </c>
      <c r="G698" s="14" t="e">
        <f>VLOOKUP(F698,'Accident &amp; Incident Detail'!$D$3:$E$4153,2,FALSE)</f>
        <v>#N/A</v>
      </c>
      <c r="M698" s="79" t="str">
        <f t="shared" si="56"/>
        <v/>
      </c>
      <c r="N698" s="14">
        <f t="shared" si="57"/>
        <v>3</v>
      </c>
    </row>
    <row r="699" spans="1:14" x14ac:dyDescent="0.35">
      <c r="A699" s="102" t="str">
        <f t="shared" si="55"/>
        <v/>
      </c>
      <c r="G699" s="14" t="e">
        <f>VLOOKUP(F699,'Accident &amp; Incident Detail'!$D$3:$E$4153,2,FALSE)</f>
        <v>#N/A</v>
      </c>
      <c r="M699" s="79" t="str">
        <f t="shared" si="56"/>
        <v/>
      </c>
      <c r="N699" s="14">
        <f t="shared" si="57"/>
        <v>3</v>
      </c>
    </row>
    <row r="700" spans="1:14" x14ac:dyDescent="0.35">
      <c r="A700" s="102" t="str">
        <f t="shared" si="55"/>
        <v/>
      </c>
      <c r="G700" s="14" t="e">
        <f>VLOOKUP(F700,'Accident &amp; Incident Detail'!$D$3:$E$4153,2,FALSE)</f>
        <v>#N/A</v>
      </c>
      <c r="M700" s="79" t="str">
        <f t="shared" si="56"/>
        <v/>
      </c>
      <c r="N700" s="14">
        <f t="shared" si="57"/>
        <v>3</v>
      </c>
    </row>
    <row r="701" spans="1:14" x14ac:dyDescent="0.35">
      <c r="A701" s="102" t="str">
        <f t="shared" si="55"/>
        <v/>
      </c>
      <c r="G701" s="14" t="e">
        <f>VLOOKUP(F701,'Accident &amp; Incident Detail'!$D$3:$E$4153,2,FALSE)</f>
        <v>#N/A</v>
      </c>
      <c r="M701" s="79" t="str">
        <f t="shared" si="56"/>
        <v/>
      </c>
      <c r="N701" s="14">
        <f t="shared" si="57"/>
        <v>3</v>
      </c>
    </row>
    <row r="702" spans="1:14" x14ac:dyDescent="0.35">
      <c r="A702" s="102" t="str">
        <f t="shared" si="55"/>
        <v/>
      </c>
      <c r="G702" s="14" t="e">
        <f>VLOOKUP(F702,'Accident &amp; Incident Detail'!$D$3:$E$4153,2,FALSE)</f>
        <v>#N/A</v>
      </c>
      <c r="M702" s="79" t="str">
        <f t="shared" si="56"/>
        <v/>
      </c>
      <c r="N702" s="14">
        <f t="shared" si="57"/>
        <v>3</v>
      </c>
    </row>
    <row r="703" spans="1:14" x14ac:dyDescent="0.35">
      <c r="A703" s="102" t="str">
        <f t="shared" si="55"/>
        <v/>
      </c>
      <c r="G703" s="14" t="e">
        <f>VLOOKUP(F703,'Accident &amp; Incident Detail'!$D$3:$E$4153,2,FALSE)</f>
        <v>#N/A</v>
      </c>
      <c r="M703" s="79" t="str">
        <f t="shared" si="56"/>
        <v/>
      </c>
      <c r="N703" s="14">
        <f t="shared" si="57"/>
        <v>3</v>
      </c>
    </row>
    <row r="704" spans="1:14" x14ac:dyDescent="0.35">
      <c r="A704" s="102" t="str">
        <f t="shared" si="55"/>
        <v/>
      </c>
      <c r="G704" s="14" t="e">
        <f>VLOOKUP(F704,'Accident &amp; Incident Detail'!$D$3:$E$4153,2,FALSE)</f>
        <v>#N/A</v>
      </c>
      <c r="M704" s="79" t="str">
        <f t="shared" si="56"/>
        <v/>
      </c>
      <c r="N704" s="14">
        <f t="shared" si="57"/>
        <v>3</v>
      </c>
    </row>
    <row r="705" spans="1:14" x14ac:dyDescent="0.35">
      <c r="A705" s="102" t="str">
        <f t="shared" si="55"/>
        <v/>
      </c>
      <c r="G705" s="14" t="e">
        <f>VLOOKUP(F705,'Accident &amp; Incident Detail'!$D$3:$E$4153,2,FALSE)</f>
        <v>#N/A</v>
      </c>
      <c r="M705" s="79" t="str">
        <f t="shared" si="56"/>
        <v/>
      </c>
      <c r="N705" s="14">
        <f t="shared" si="57"/>
        <v>3</v>
      </c>
    </row>
    <row r="706" spans="1:14" x14ac:dyDescent="0.35">
      <c r="A706" s="102" t="str">
        <f t="shared" si="55"/>
        <v/>
      </c>
      <c r="G706" s="14" t="e">
        <f>VLOOKUP(F706,'Accident &amp; Incident Detail'!$D$3:$E$4153,2,FALSE)</f>
        <v>#N/A</v>
      </c>
      <c r="M706" s="79" t="str">
        <f t="shared" si="56"/>
        <v/>
      </c>
      <c r="N706" s="14">
        <f t="shared" si="57"/>
        <v>3</v>
      </c>
    </row>
    <row r="707" spans="1:14" x14ac:dyDescent="0.35">
      <c r="A707" s="102" t="str">
        <f t="shared" si="55"/>
        <v/>
      </c>
      <c r="G707" s="14" t="e">
        <f>VLOOKUP(F707,'Accident &amp; Incident Detail'!$D$3:$E$4153,2,FALSE)</f>
        <v>#N/A</v>
      </c>
      <c r="M707" s="79" t="str">
        <f t="shared" si="56"/>
        <v/>
      </c>
      <c r="N707" s="14">
        <f t="shared" si="57"/>
        <v>3</v>
      </c>
    </row>
    <row r="708" spans="1:14" x14ac:dyDescent="0.35">
      <c r="A708" s="102" t="str">
        <f t="shared" si="55"/>
        <v/>
      </c>
      <c r="G708" s="14" t="e">
        <f>VLOOKUP(F708,'Accident &amp; Incident Detail'!$D$3:$E$4153,2,FALSE)</f>
        <v>#N/A</v>
      </c>
      <c r="M708" s="79" t="str">
        <f t="shared" si="56"/>
        <v/>
      </c>
      <c r="N708" s="14">
        <f t="shared" si="57"/>
        <v>3</v>
      </c>
    </row>
    <row r="709" spans="1:14" x14ac:dyDescent="0.35">
      <c r="A709" s="102" t="str">
        <f t="shared" si="55"/>
        <v/>
      </c>
      <c r="G709" s="14" t="e">
        <f>VLOOKUP(F709,'Accident &amp; Incident Detail'!$D$3:$E$4153,2,FALSE)</f>
        <v>#N/A</v>
      </c>
      <c r="M709" s="79" t="str">
        <f t="shared" si="56"/>
        <v/>
      </c>
      <c r="N709" s="14">
        <f t="shared" si="57"/>
        <v>3</v>
      </c>
    </row>
    <row r="710" spans="1:14" x14ac:dyDescent="0.35">
      <c r="A710" s="102" t="str">
        <f t="shared" si="55"/>
        <v/>
      </c>
      <c r="G710" s="14" t="e">
        <f>VLOOKUP(F710,'Accident &amp; Incident Detail'!$D$3:$E$4153,2,FALSE)</f>
        <v>#N/A</v>
      </c>
      <c r="M710" s="79" t="str">
        <f t="shared" si="56"/>
        <v/>
      </c>
      <c r="N710" s="14">
        <f t="shared" si="57"/>
        <v>3</v>
      </c>
    </row>
    <row r="711" spans="1:14" x14ac:dyDescent="0.35">
      <c r="A711" s="102" t="str">
        <f t="shared" si="55"/>
        <v/>
      </c>
      <c r="G711" s="14" t="e">
        <f>VLOOKUP(F711,'Accident &amp; Incident Detail'!$D$3:$E$4153,2,FALSE)</f>
        <v>#N/A</v>
      </c>
      <c r="M711" s="79" t="str">
        <f t="shared" si="56"/>
        <v/>
      </c>
      <c r="N711" s="14">
        <f t="shared" si="57"/>
        <v>3</v>
      </c>
    </row>
    <row r="712" spans="1:14" x14ac:dyDescent="0.35">
      <c r="A712" s="102" t="str">
        <f t="shared" si="55"/>
        <v/>
      </c>
      <c r="G712" s="14" t="e">
        <f>VLOOKUP(F712,'Accident &amp; Incident Detail'!$D$3:$E$4153,2,FALSE)</f>
        <v>#N/A</v>
      </c>
      <c r="M712" s="79" t="str">
        <f t="shared" si="56"/>
        <v/>
      </c>
      <c r="N712" s="14">
        <f t="shared" si="57"/>
        <v>3</v>
      </c>
    </row>
    <row r="713" spans="1:14" x14ac:dyDescent="0.35">
      <c r="A713" s="102" t="str">
        <f t="shared" si="55"/>
        <v/>
      </c>
      <c r="G713" s="14" t="e">
        <f>VLOOKUP(F713,'Accident &amp; Incident Detail'!$D$3:$E$4153,2,FALSE)</f>
        <v>#N/A</v>
      </c>
      <c r="M713" s="79" t="str">
        <f t="shared" si="56"/>
        <v/>
      </c>
      <c r="N713" s="14">
        <f t="shared" si="57"/>
        <v>3</v>
      </c>
    </row>
    <row r="714" spans="1:14" x14ac:dyDescent="0.35">
      <c r="A714" s="102" t="str">
        <f t="shared" si="55"/>
        <v/>
      </c>
      <c r="G714" s="14" t="e">
        <f>VLOOKUP(F714,'Accident &amp; Incident Detail'!$D$3:$E$4153,2,FALSE)</f>
        <v>#N/A</v>
      </c>
      <c r="M714" s="79" t="str">
        <f t="shared" si="56"/>
        <v/>
      </c>
      <c r="N714" s="14">
        <f t="shared" si="57"/>
        <v>3</v>
      </c>
    </row>
    <row r="715" spans="1:14" x14ac:dyDescent="0.35">
      <c r="A715" s="102" t="str">
        <f t="shared" si="55"/>
        <v/>
      </c>
      <c r="G715" s="14" t="e">
        <f>VLOOKUP(F715,'Accident &amp; Incident Detail'!$D$3:$E$4153,2,FALSE)</f>
        <v>#N/A</v>
      </c>
      <c r="M715" s="79" t="str">
        <f t="shared" si="56"/>
        <v/>
      </c>
      <c r="N715" s="14">
        <f t="shared" si="57"/>
        <v>3</v>
      </c>
    </row>
    <row r="716" spans="1:14" x14ac:dyDescent="0.35">
      <c r="A716" s="102" t="str">
        <f t="shared" si="55"/>
        <v/>
      </c>
      <c r="G716" s="14" t="e">
        <f>VLOOKUP(F716,'Accident &amp; Incident Detail'!$D$3:$E$4153,2,FALSE)</f>
        <v>#N/A</v>
      </c>
      <c r="M716" s="79" t="str">
        <f t="shared" si="56"/>
        <v/>
      </c>
      <c r="N716" s="14">
        <f t="shared" si="57"/>
        <v>3</v>
      </c>
    </row>
    <row r="717" spans="1:14" x14ac:dyDescent="0.35">
      <c r="A717" s="102" t="str">
        <f t="shared" si="55"/>
        <v/>
      </c>
      <c r="G717" s="14" t="e">
        <f>VLOOKUP(F717,'Accident &amp; Incident Detail'!$D$3:$E$4153,2,FALSE)</f>
        <v>#N/A</v>
      </c>
      <c r="M717" s="79" t="str">
        <f t="shared" si="56"/>
        <v/>
      </c>
      <c r="N717" s="14">
        <f t="shared" si="57"/>
        <v>3</v>
      </c>
    </row>
    <row r="718" spans="1:14" x14ac:dyDescent="0.35">
      <c r="A718" s="102" t="str">
        <f t="shared" si="55"/>
        <v/>
      </c>
      <c r="G718" s="14" t="e">
        <f>VLOOKUP(F718,'Accident &amp; Incident Detail'!$D$3:$E$4153,2,FALSE)</f>
        <v>#N/A</v>
      </c>
      <c r="M718" s="79" t="str">
        <f t="shared" si="56"/>
        <v/>
      </c>
      <c r="N718" s="14">
        <f t="shared" si="57"/>
        <v>3</v>
      </c>
    </row>
    <row r="719" spans="1:14" x14ac:dyDescent="0.35">
      <c r="A719" s="102" t="str">
        <f t="shared" si="55"/>
        <v/>
      </c>
      <c r="G719" s="14" t="e">
        <f>VLOOKUP(F719,'Accident &amp; Incident Detail'!$D$3:$E$4153,2,FALSE)</f>
        <v>#N/A</v>
      </c>
      <c r="M719" s="79" t="str">
        <f t="shared" si="56"/>
        <v/>
      </c>
      <c r="N719" s="14">
        <f t="shared" si="57"/>
        <v>3</v>
      </c>
    </row>
    <row r="720" spans="1:14" x14ac:dyDescent="0.35">
      <c r="A720" s="102" t="str">
        <f t="shared" si="55"/>
        <v/>
      </c>
      <c r="G720" s="14" t="e">
        <f>VLOOKUP(F720,'Accident &amp; Incident Detail'!$D$3:$E$4153,2,FALSE)</f>
        <v>#N/A</v>
      </c>
      <c r="M720" s="79" t="str">
        <f t="shared" si="56"/>
        <v/>
      </c>
      <c r="N720" s="14">
        <f t="shared" si="57"/>
        <v>3</v>
      </c>
    </row>
    <row r="721" spans="1:14" x14ac:dyDescent="0.35">
      <c r="A721" s="102" t="str">
        <f t="shared" si="55"/>
        <v/>
      </c>
      <c r="G721" s="14" t="e">
        <f>VLOOKUP(F721,'Accident &amp; Incident Detail'!$D$3:$E$4153,2,FALSE)</f>
        <v>#N/A</v>
      </c>
      <c r="M721" s="79" t="str">
        <f t="shared" si="56"/>
        <v/>
      </c>
      <c r="N721" s="14">
        <f t="shared" si="57"/>
        <v>3</v>
      </c>
    </row>
    <row r="722" spans="1:14" x14ac:dyDescent="0.35">
      <c r="A722" s="102" t="str">
        <f t="shared" si="55"/>
        <v/>
      </c>
      <c r="G722" s="14" t="e">
        <f>VLOOKUP(F722,'Accident &amp; Incident Detail'!$D$3:$E$4153,2,FALSE)</f>
        <v>#N/A</v>
      </c>
      <c r="M722" s="79" t="str">
        <f t="shared" si="56"/>
        <v/>
      </c>
      <c r="N722" s="14">
        <f t="shared" si="57"/>
        <v>3</v>
      </c>
    </row>
    <row r="723" spans="1:14" x14ac:dyDescent="0.35">
      <c r="A723" s="102" t="str">
        <f t="shared" si="55"/>
        <v/>
      </c>
      <c r="G723" s="14" t="e">
        <f>VLOOKUP(F723,'Accident &amp; Incident Detail'!$D$3:$E$4153,2,FALSE)</f>
        <v>#N/A</v>
      </c>
      <c r="M723" s="79" t="str">
        <f t="shared" si="56"/>
        <v/>
      </c>
      <c r="N723" s="14">
        <f t="shared" si="57"/>
        <v>3</v>
      </c>
    </row>
    <row r="724" spans="1:14" x14ac:dyDescent="0.35">
      <c r="A724" s="102" t="str">
        <f t="shared" si="55"/>
        <v/>
      </c>
      <c r="G724" s="14" t="e">
        <f>VLOOKUP(F724,'Accident &amp; Incident Detail'!$D$3:$E$4153,2,FALSE)</f>
        <v>#N/A</v>
      </c>
      <c r="M724" s="79" t="str">
        <f t="shared" si="56"/>
        <v/>
      </c>
      <c r="N724" s="14">
        <f t="shared" si="57"/>
        <v>3</v>
      </c>
    </row>
    <row r="725" spans="1:14" x14ac:dyDescent="0.35">
      <c r="A725" s="102" t="str">
        <f t="shared" si="55"/>
        <v/>
      </c>
      <c r="G725" s="14" t="e">
        <f>VLOOKUP(F725,'Accident &amp; Incident Detail'!$D$3:$E$4153,2,FALSE)</f>
        <v>#N/A</v>
      </c>
      <c r="M725" s="79" t="str">
        <f t="shared" si="56"/>
        <v/>
      </c>
      <c r="N725" s="14">
        <f t="shared" si="57"/>
        <v>3</v>
      </c>
    </row>
    <row r="726" spans="1:14" x14ac:dyDescent="0.35">
      <c r="A726" s="102" t="str">
        <f t="shared" si="55"/>
        <v/>
      </c>
      <c r="G726" s="14" t="e">
        <f>VLOOKUP(F726,'Accident &amp; Incident Detail'!$D$3:$E$4153,2,FALSE)</f>
        <v>#N/A</v>
      </c>
      <c r="M726" s="79" t="str">
        <f t="shared" si="56"/>
        <v/>
      </c>
      <c r="N726" s="14">
        <f t="shared" si="57"/>
        <v>3</v>
      </c>
    </row>
    <row r="727" spans="1:14" x14ac:dyDescent="0.35">
      <c r="A727" s="102" t="str">
        <f t="shared" si="55"/>
        <v/>
      </c>
      <c r="G727" s="14" t="e">
        <f>VLOOKUP(F727,'Accident &amp; Incident Detail'!$D$3:$E$4153,2,FALSE)</f>
        <v>#N/A</v>
      </c>
      <c r="M727" s="79" t="str">
        <f t="shared" si="56"/>
        <v/>
      </c>
      <c r="N727" s="14">
        <f t="shared" si="57"/>
        <v>3</v>
      </c>
    </row>
    <row r="728" spans="1:14" x14ac:dyDescent="0.35">
      <c r="A728" s="102" t="str">
        <f t="shared" si="55"/>
        <v/>
      </c>
      <c r="G728" s="14" t="e">
        <f>VLOOKUP(F728,'Accident &amp; Incident Detail'!$D$3:$E$4153,2,FALSE)</f>
        <v>#N/A</v>
      </c>
      <c r="M728" s="79" t="str">
        <f t="shared" si="56"/>
        <v/>
      </c>
      <c r="N728" s="14">
        <f t="shared" si="57"/>
        <v>3</v>
      </c>
    </row>
    <row r="729" spans="1:14" x14ac:dyDescent="0.35">
      <c r="A729" s="102" t="str">
        <f t="shared" si="55"/>
        <v/>
      </c>
      <c r="G729" s="14" t="e">
        <f>VLOOKUP(F729,'Accident &amp; Incident Detail'!$D$3:$E$4153,2,FALSE)</f>
        <v>#N/A</v>
      </c>
      <c r="M729" s="79" t="str">
        <f t="shared" si="56"/>
        <v/>
      </c>
      <c r="N729" s="14">
        <f t="shared" si="57"/>
        <v>3</v>
      </c>
    </row>
    <row r="730" spans="1:14" x14ac:dyDescent="0.35">
      <c r="A730" s="102" t="str">
        <f t="shared" si="55"/>
        <v/>
      </c>
      <c r="G730" s="14" t="e">
        <f>VLOOKUP(F730,'Accident &amp; Incident Detail'!$D$3:$E$4153,2,FALSE)</f>
        <v>#N/A</v>
      </c>
      <c r="M730" s="79" t="str">
        <f t="shared" si="56"/>
        <v/>
      </c>
      <c r="N730" s="14">
        <f t="shared" si="57"/>
        <v>3</v>
      </c>
    </row>
    <row r="731" spans="1:14" x14ac:dyDescent="0.35">
      <c r="A731" s="102" t="str">
        <f t="shared" si="55"/>
        <v/>
      </c>
      <c r="G731" s="14" t="e">
        <f>VLOOKUP(F731,'Accident &amp; Incident Detail'!$D$3:$E$4153,2,FALSE)</f>
        <v>#N/A</v>
      </c>
      <c r="M731" s="79" t="str">
        <f t="shared" si="56"/>
        <v/>
      </c>
      <c r="N731" s="14">
        <f t="shared" si="57"/>
        <v>3</v>
      </c>
    </row>
    <row r="732" spans="1:14" x14ac:dyDescent="0.35">
      <c r="A732" s="102" t="str">
        <f t="shared" si="55"/>
        <v/>
      </c>
      <c r="G732" s="14" t="e">
        <f>VLOOKUP(F732,'Accident &amp; Incident Detail'!$D$3:$E$4153,2,FALSE)</f>
        <v>#N/A</v>
      </c>
      <c r="M732" s="79" t="str">
        <f t="shared" si="56"/>
        <v/>
      </c>
      <c r="N732" s="14">
        <f t="shared" si="57"/>
        <v>3</v>
      </c>
    </row>
    <row r="733" spans="1:14" x14ac:dyDescent="0.35">
      <c r="A733" s="102" t="str">
        <f t="shared" si="55"/>
        <v/>
      </c>
      <c r="G733" s="14" t="e">
        <f>VLOOKUP(F733,'Accident &amp; Incident Detail'!$D$3:$E$4153,2,FALSE)</f>
        <v>#N/A</v>
      </c>
      <c r="M733" s="79" t="str">
        <f t="shared" si="56"/>
        <v/>
      </c>
      <c r="N733" s="14">
        <f t="shared" si="57"/>
        <v>3</v>
      </c>
    </row>
    <row r="734" spans="1:14" x14ac:dyDescent="0.35">
      <c r="A734" s="102" t="str">
        <f t="shared" si="55"/>
        <v/>
      </c>
      <c r="G734" s="14" t="e">
        <f>VLOOKUP(F734,'Accident &amp; Incident Detail'!$D$3:$E$4153,2,FALSE)</f>
        <v>#N/A</v>
      </c>
      <c r="M734" s="79" t="str">
        <f t="shared" si="56"/>
        <v/>
      </c>
      <c r="N734" s="14">
        <f t="shared" si="57"/>
        <v>3</v>
      </c>
    </row>
    <row r="735" spans="1:14" x14ac:dyDescent="0.35">
      <c r="A735" s="102" t="str">
        <f t="shared" si="55"/>
        <v/>
      </c>
      <c r="G735" s="14" t="e">
        <f>VLOOKUP(F735,'Accident &amp; Incident Detail'!$D$3:$E$4153,2,FALSE)</f>
        <v>#N/A</v>
      </c>
      <c r="M735" s="79" t="str">
        <f t="shared" si="56"/>
        <v/>
      </c>
      <c r="N735" s="14">
        <f t="shared" si="57"/>
        <v>3</v>
      </c>
    </row>
    <row r="736" spans="1:14" x14ac:dyDescent="0.35">
      <c r="A736" s="102" t="str">
        <f t="shared" si="55"/>
        <v/>
      </c>
      <c r="G736" s="14" t="e">
        <f>VLOOKUP(F736,'Accident &amp; Incident Detail'!$D$3:$E$4153,2,FALSE)</f>
        <v>#N/A</v>
      </c>
      <c r="M736" s="79" t="str">
        <f t="shared" si="56"/>
        <v/>
      </c>
      <c r="N736" s="14">
        <f t="shared" si="57"/>
        <v>3</v>
      </c>
    </row>
    <row r="737" spans="1:14" x14ac:dyDescent="0.35">
      <c r="A737" s="102" t="str">
        <f t="shared" si="55"/>
        <v/>
      </c>
      <c r="G737" s="14" t="e">
        <f>VLOOKUP(F737,'Accident &amp; Incident Detail'!$D$3:$E$4153,2,FALSE)</f>
        <v>#N/A</v>
      </c>
      <c r="M737" s="79" t="str">
        <f t="shared" si="56"/>
        <v/>
      </c>
      <c r="N737" s="14">
        <f t="shared" si="57"/>
        <v>3</v>
      </c>
    </row>
    <row r="738" spans="1:14" x14ac:dyDescent="0.35">
      <c r="A738" s="102" t="str">
        <f t="shared" si="55"/>
        <v/>
      </c>
      <c r="G738" s="14" t="e">
        <f>VLOOKUP(F738,'Accident &amp; Incident Detail'!$D$3:$E$4153,2,FALSE)</f>
        <v>#N/A</v>
      </c>
      <c r="M738" s="79" t="str">
        <f t="shared" si="56"/>
        <v/>
      </c>
      <c r="N738" s="14">
        <f t="shared" si="57"/>
        <v>3</v>
      </c>
    </row>
    <row r="739" spans="1:14" x14ac:dyDescent="0.35">
      <c r="A739" s="102" t="str">
        <f t="shared" si="55"/>
        <v/>
      </c>
      <c r="G739" s="14" t="e">
        <f>VLOOKUP(F739,'Accident &amp; Incident Detail'!$D$3:$E$4153,2,FALSE)</f>
        <v>#N/A</v>
      </c>
      <c r="M739" s="79" t="str">
        <f t="shared" si="56"/>
        <v/>
      </c>
      <c r="N739" s="14">
        <f t="shared" si="57"/>
        <v>3</v>
      </c>
    </row>
    <row r="740" spans="1:14" x14ac:dyDescent="0.35">
      <c r="A740" s="102" t="str">
        <f t="shared" si="55"/>
        <v/>
      </c>
      <c r="G740" s="14" t="e">
        <f>VLOOKUP(F740,'Accident &amp; Incident Detail'!$D$3:$E$4153,2,FALSE)</f>
        <v>#N/A</v>
      </c>
      <c r="M740" s="79" t="str">
        <f t="shared" si="56"/>
        <v/>
      </c>
      <c r="N740" s="14">
        <f t="shared" si="57"/>
        <v>3</v>
      </c>
    </row>
    <row r="741" spans="1:14" x14ac:dyDescent="0.35">
      <c r="A741" s="102" t="str">
        <f t="shared" si="55"/>
        <v/>
      </c>
      <c r="G741" s="14" t="e">
        <f>VLOOKUP(F741,'Accident &amp; Incident Detail'!$D$3:$E$4153,2,FALSE)</f>
        <v>#N/A</v>
      </c>
      <c r="M741" s="79" t="str">
        <f t="shared" si="56"/>
        <v/>
      </c>
      <c r="N741" s="14">
        <f t="shared" si="57"/>
        <v>3</v>
      </c>
    </row>
    <row r="742" spans="1:14" x14ac:dyDescent="0.35">
      <c r="A742" s="102" t="str">
        <f t="shared" ref="A742:A783" si="58">IF(O742&gt;1,"Closed",IF(N742=1,"Overdue",IF(N742=3,"","Open")))</f>
        <v/>
      </c>
      <c r="G742" s="14" t="e">
        <f>VLOOKUP(F742,'Accident &amp; Incident Detail'!$D$3:$E$4153,2,FALSE)</f>
        <v>#N/A</v>
      </c>
      <c r="M742" s="79" t="str">
        <f t="shared" si="56"/>
        <v/>
      </c>
      <c r="N742" s="14">
        <f t="shared" si="57"/>
        <v>3</v>
      </c>
    </row>
    <row r="743" spans="1:14" x14ac:dyDescent="0.35">
      <c r="A743" s="102" t="str">
        <f t="shared" si="58"/>
        <v/>
      </c>
      <c r="G743" s="14" t="e">
        <f>VLOOKUP(F743,'Accident &amp; Incident Detail'!$D$3:$E$4153,2,FALSE)</f>
        <v>#N/A</v>
      </c>
      <c r="M743" s="79" t="str">
        <f t="shared" si="56"/>
        <v/>
      </c>
      <c r="N743" s="14">
        <f t="shared" si="57"/>
        <v>3</v>
      </c>
    </row>
    <row r="744" spans="1:14" x14ac:dyDescent="0.35">
      <c r="A744" s="102" t="str">
        <f t="shared" si="58"/>
        <v/>
      </c>
      <c r="G744" s="14" t="e">
        <f>VLOOKUP(F744,'Accident &amp; Incident Detail'!$D$3:$E$4153,2,FALSE)</f>
        <v>#N/A</v>
      </c>
      <c r="M744" s="79" t="str">
        <f t="shared" si="56"/>
        <v/>
      </c>
      <c r="N744" s="14">
        <f t="shared" si="57"/>
        <v>3</v>
      </c>
    </row>
    <row r="745" spans="1:14" x14ac:dyDescent="0.35">
      <c r="A745" s="102" t="str">
        <f t="shared" si="58"/>
        <v/>
      </c>
      <c r="G745" s="14" t="e">
        <f>VLOOKUP(F745,'Accident &amp; Incident Detail'!$D$3:$E$4153,2,FALSE)</f>
        <v>#N/A</v>
      </c>
      <c r="M745" s="79" t="str">
        <f t="shared" si="56"/>
        <v/>
      </c>
      <c r="N745" s="14">
        <f t="shared" si="57"/>
        <v>3</v>
      </c>
    </row>
    <row r="746" spans="1:14" x14ac:dyDescent="0.35">
      <c r="A746" s="102" t="str">
        <f t="shared" si="58"/>
        <v/>
      </c>
      <c r="G746" s="14" t="e">
        <f>VLOOKUP(F746,'Accident &amp; Incident Detail'!$D$3:$E$4153,2,FALSE)</f>
        <v>#N/A</v>
      </c>
      <c r="M746" s="79" t="str">
        <f t="shared" si="56"/>
        <v/>
      </c>
      <c r="N746" s="14">
        <f t="shared" si="57"/>
        <v>3</v>
      </c>
    </row>
    <row r="747" spans="1:14" x14ac:dyDescent="0.35">
      <c r="A747" s="102" t="str">
        <f t="shared" si="58"/>
        <v/>
      </c>
      <c r="G747" s="14" t="e">
        <f>VLOOKUP(F747,'Accident &amp; Incident Detail'!$D$3:$E$4153,2,FALSE)</f>
        <v>#N/A</v>
      </c>
      <c r="M747" s="79" t="str">
        <f t="shared" si="56"/>
        <v/>
      </c>
      <c r="N747" s="14">
        <f t="shared" si="57"/>
        <v>3</v>
      </c>
    </row>
    <row r="748" spans="1:14" x14ac:dyDescent="0.35">
      <c r="A748" s="102" t="str">
        <f t="shared" si="58"/>
        <v/>
      </c>
      <c r="G748" s="14" t="e">
        <f>VLOOKUP(F748,'Accident &amp; Incident Detail'!$D$3:$E$4153,2,FALSE)</f>
        <v>#N/A</v>
      </c>
      <c r="M748" s="79" t="str">
        <f t="shared" si="56"/>
        <v/>
      </c>
      <c r="N748" s="14">
        <f t="shared" si="57"/>
        <v>3</v>
      </c>
    </row>
    <row r="749" spans="1:14" x14ac:dyDescent="0.35">
      <c r="A749" s="102" t="str">
        <f t="shared" si="58"/>
        <v/>
      </c>
      <c r="G749" s="14" t="e">
        <f>VLOOKUP(F749,'Accident &amp; Incident Detail'!$D$3:$E$4153,2,FALSE)</f>
        <v>#N/A</v>
      </c>
      <c r="M749" s="79" t="str">
        <f t="shared" ref="M749:M812" si="59">IF(D749="","",D749+28)</f>
        <v/>
      </c>
      <c r="N749" s="14">
        <f t="shared" ref="N749:N812" si="60">IF(D749="",3,IF(M749&lt;$A$2,1,0))</f>
        <v>3</v>
      </c>
    </row>
    <row r="750" spans="1:14" x14ac:dyDescent="0.35">
      <c r="A750" s="102" t="str">
        <f t="shared" si="58"/>
        <v/>
      </c>
      <c r="G750" s="14" t="e">
        <f>VLOOKUP(F750,'Accident &amp; Incident Detail'!$D$3:$E$4153,2,FALSE)</f>
        <v>#N/A</v>
      </c>
      <c r="M750" s="79" t="str">
        <f t="shared" si="59"/>
        <v/>
      </c>
      <c r="N750" s="14">
        <f t="shared" si="60"/>
        <v>3</v>
      </c>
    </row>
    <row r="751" spans="1:14" x14ac:dyDescent="0.35">
      <c r="A751" s="102" t="str">
        <f t="shared" si="58"/>
        <v/>
      </c>
      <c r="G751" s="14" t="e">
        <f>VLOOKUP(F751,'Accident &amp; Incident Detail'!$D$3:$E$4153,2,FALSE)</f>
        <v>#N/A</v>
      </c>
      <c r="M751" s="79" t="str">
        <f t="shared" si="59"/>
        <v/>
      </c>
      <c r="N751" s="14">
        <f t="shared" si="60"/>
        <v>3</v>
      </c>
    </row>
    <row r="752" spans="1:14" x14ac:dyDescent="0.35">
      <c r="A752" s="102" t="str">
        <f t="shared" si="58"/>
        <v/>
      </c>
      <c r="G752" s="14" t="e">
        <f>VLOOKUP(F752,'Accident &amp; Incident Detail'!$D$3:$E$4153,2,FALSE)</f>
        <v>#N/A</v>
      </c>
      <c r="M752" s="79" t="str">
        <f t="shared" si="59"/>
        <v/>
      </c>
      <c r="N752" s="14">
        <f t="shared" si="60"/>
        <v>3</v>
      </c>
    </row>
    <row r="753" spans="1:14" x14ac:dyDescent="0.35">
      <c r="A753" s="102" t="str">
        <f t="shared" si="58"/>
        <v/>
      </c>
      <c r="G753" s="14" t="e">
        <f>VLOOKUP(F753,'Accident &amp; Incident Detail'!$D$3:$E$4153,2,FALSE)</f>
        <v>#N/A</v>
      </c>
      <c r="M753" s="79" t="str">
        <f t="shared" si="59"/>
        <v/>
      </c>
      <c r="N753" s="14">
        <f t="shared" si="60"/>
        <v>3</v>
      </c>
    </row>
    <row r="754" spans="1:14" x14ac:dyDescent="0.35">
      <c r="A754" s="102" t="str">
        <f t="shared" si="58"/>
        <v/>
      </c>
      <c r="G754" s="14" t="e">
        <f>VLOOKUP(F754,'Accident &amp; Incident Detail'!$D$3:$E$4153,2,FALSE)</f>
        <v>#N/A</v>
      </c>
      <c r="M754" s="79" t="str">
        <f t="shared" si="59"/>
        <v/>
      </c>
      <c r="N754" s="14">
        <f t="shared" si="60"/>
        <v>3</v>
      </c>
    </row>
    <row r="755" spans="1:14" x14ac:dyDescent="0.35">
      <c r="A755" s="102" t="str">
        <f t="shared" si="58"/>
        <v/>
      </c>
      <c r="G755" s="14" t="e">
        <f>VLOOKUP(F755,'Accident &amp; Incident Detail'!$D$3:$E$4153,2,FALSE)</f>
        <v>#N/A</v>
      </c>
      <c r="M755" s="79" t="str">
        <f t="shared" si="59"/>
        <v/>
      </c>
      <c r="N755" s="14">
        <f t="shared" si="60"/>
        <v>3</v>
      </c>
    </row>
    <row r="756" spans="1:14" x14ac:dyDescent="0.35">
      <c r="A756" s="102" t="str">
        <f t="shared" si="58"/>
        <v/>
      </c>
      <c r="G756" s="14" t="e">
        <f>VLOOKUP(F756,'Accident &amp; Incident Detail'!$D$3:$E$4153,2,FALSE)</f>
        <v>#N/A</v>
      </c>
      <c r="M756" s="79" t="str">
        <f t="shared" si="59"/>
        <v/>
      </c>
      <c r="N756" s="14">
        <f t="shared" si="60"/>
        <v>3</v>
      </c>
    </row>
    <row r="757" spans="1:14" x14ac:dyDescent="0.35">
      <c r="A757" s="102" t="str">
        <f t="shared" si="58"/>
        <v/>
      </c>
      <c r="G757" s="14" t="e">
        <f>VLOOKUP(F757,'Accident &amp; Incident Detail'!$D$3:$E$4153,2,FALSE)</f>
        <v>#N/A</v>
      </c>
      <c r="M757" s="79" t="str">
        <f t="shared" si="59"/>
        <v/>
      </c>
      <c r="N757" s="14">
        <f t="shared" si="60"/>
        <v>3</v>
      </c>
    </row>
    <row r="758" spans="1:14" x14ac:dyDescent="0.35">
      <c r="A758" s="102" t="str">
        <f t="shared" si="58"/>
        <v/>
      </c>
      <c r="G758" s="14" t="e">
        <f>VLOOKUP(F758,'Accident &amp; Incident Detail'!$D$3:$E$4153,2,FALSE)</f>
        <v>#N/A</v>
      </c>
      <c r="M758" s="79" t="str">
        <f t="shared" si="59"/>
        <v/>
      </c>
      <c r="N758" s="14">
        <f t="shared" si="60"/>
        <v>3</v>
      </c>
    </row>
    <row r="759" spans="1:14" x14ac:dyDescent="0.35">
      <c r="A759" s="102" t="str">
        <f t="shared" si="58"/>
        <v/>
      </c>
      <c r="G759" s="14" t="e">
        <f>VLOOKUP(F759,'Accident &amp; Incident Detail'!$D$3:$E$4153,2,FALSE)</f>
        <v>#N/A</v>
      </c>
      <c r="M759" s="79" t="str">
        <f t="shared" si="59"/>
        <v/>
      </c>
      <c r="N759" s="14">
        <f t="shared" si="60"/>
        <v>3</v>
      </c>
    </row>
    <row r="760" spans="1:14" x14ac:dyDescent="0.35">
      <c r="A760" s="102" t="str">
        <f t="shared" si="58"/>
        <v/>
      </c>
      <c r="G760" s="14" t="e">
        <f>VLOOKUP(F760,'Accident &amp; Incident Detail'!$D$3:$E$4153,2,FALSE)</f>
        <v>#N/A</v>
      </c>
      <c r="M760" s="79" t="str">
        <f t="shared" si="59"/>
        <v/>
      </c>
      <c r="N760" s="14">
        <f t="shared" si="60"/>
        <v>3</v>
      </c>
    </row>
    <row r="761" spans="1:14" x14ac:dyDescent="0.35">
      <c r="A761" s="102" t="str">
        <f t="shared" si="58"/>
        <v/>
      </c>
      <c r="G761" s="14" t="e">
        <f>VLOOKUP(F761,'Accident &amp; Incident Detail'!$D$3:$E$4153,2,FALSE)</f>
        <v>#N/A</v>
      </c>
      <c r="M761" s="79" t="str">
        <f t="shared" si="59"/>
        <v/>
      </c>
      <c r="N761" s="14">
        <f t="shared" si="60"/>
        <v>3</v>
      </c>
    </row>
    <row r="762" spans="1:14" x14ac:dyDescent="0.35">
      <c r="A762" s="102" t="str">
        <f t="shared" si="58"/>
        <v/>
      </c>
      <c r="G762" s="14" t="e">
        <f>VLOOKUP(F762,'Accident &amp; Incident Detail'!$D$3:$E$4153,2,FALSE)</f>
        <v>#N/A</v>
      </c>
      <c r="M762" s="79" t="str">
        <f t="shared" si="59"/>
        <v/>
      </c>
      <c r="N762" s="14">
        <f t="shared" si="60"/>
        <v>3</v>
      </c>
    </row>
    <row r="763" spans="1:14" x14ac:dyDescent="0.35">
      <c r="A763" s="102" t="str">
        <f t="shared" si="58"/>
        <v/>
      </c>
      <c r="G763" s="14" t="e">
        <f>VLOOKUP(F763,'Accident &amp; Incident Detail'!$D$3:$E$4153,2,FALSE)</f>
        <v>#N/A</v>
      </c>
      <c r="M763" s="79" t="str">
        <f t="shared" si="59"/>
        <v/>
      </c>
      <c r="N763" s="14">
        <f t="shared" si="60"/>
        <v>3</v>
      </c>
    </row>
    <row r="764" spans="1:14" x14ac:dyDescent="0.35">
      <c r="A764" s="102" t="str">
        <f t="shared" si="58"/>
        <v/>
      </c>
      <c r="G764" s="14" t="e">
        <f>VLOOKUP(F764,'Accident &amp; Incident Detail'!$D$3:$E$4153,2,FALSE)</f>
        <v>#N/A</v>
      </c>
      <c r="M764" s="79" t="str">
        <f t="shared" si="59"/>
        <v/>
      </c>
      <c r="N764" s="14">
        <f t="shared" si="60"/>
        <v>3</v>
      </c>
    </row>
    <row r="765" spans="1:14" x14ac:dyDescent="0.35">
      <c r="A765" s="102" t="str">
        <f t="shared" si="58"/>
        <v/>
      </c>
      <c r="G765" s="14" t="e">
        <f>VLOOKUP(F765,'Accident &amp; Incident Detail'!$D$3:$E$4153,2,FALSE)</f>
        <v>#N/A</v>
      </c>
      <c r="M765" s="79" t="str">
        <f t="shared" si="59"/>
        <v/>
      </c>
      <c r="N765" s="14">
        <f t="shared" si="60"/>
        <v>3</v>
      </c>
    </row>
    <row r="766" spans="1:14" x14ac:dyDescent="0.35">
      <c r="A766" s="102" t="str">
        <f t="shared" si="58"/>
        <v/>
      </c>
      <c r="G766" s="14" t="e">
        <f>VLOOKUP(F766,'Accident &amp; Incident Detail'!$D$3:$E$4153,2,FALSE)</f>
        <v>#N/A</v>
      </c>
      <c r="M766" s="79" t="str">
        <f t="shared" si="59"/>
        <v/>
      </c>
      <c r="N766" s="14">
        <f t="shared" si="60"/>
        <v>3</v>
      </c>
    </row>
    <row r="767" spans="1:14" x14ac:dyDescent="0.35">
      <c r="A767" s="102" t="str">
        <f t="shared" si="58"/>
        <v/>
      </c>
      <c r="G767" s="14" t="e">
        <f>VLOOKUP(F767,'Accident &amp; Incident Detail'!$D$3:$E$4153,2,FALSE)</f>
        <v>#N/A</v>
      </c>
      <c r="M767" s="79" t="str">
        <f t="shared" si="59"/>
        <v/>
      </c>
      <c r="N767" s="14">
        <f t="shared" si="60"/>
        <v>3</v>
      </c>
    </row>
    <row r="768" spans="1:14" x14ac:dyDescent="0.35">
      <c r="A768" s="102" t="str">
        <f t="shared" si="58"/>
        <v/>
      </c>
      <c r="G768" s="14" t="e">
        <f>VLOOKUP(F768,'Accident &amp; Incident Detail'!$D$3:$E$4153,2,FALSE)</f>
        <v>#N/A</v>
      </c>
      <c r="M768" s="79" t="str">
        <f t="shared" si="59"/>
        <v/>
      </c>
      <c r="N768" s="14">
        <f t="shared" si="60"/>
        <v>3</v>
      </c>
    </row>
    <row r="769" spans="1:14" x14ac:dyDescent="0.35">
      <c r="A769" s="102" t="str">
        <f t="shared" si="58"/>
        <v/>
      </c>
      <c r="G769" s="14" t="e">
        <f>VLOOKUP(F769,'Accident &amp; Incident Detail'!$D$3:$E$4153,2,FALSE)</f>
        <v>#N/A</v>
      </c>
      <c r="M769" s="79" t="str">
        <f t="shared" si="59"/>
        <v/>
      </c>
      <c r="N769" s="14">
        <f t="shared" si="60"/>
        <v>3</v>
      </c>
    </row>
    <row r="770" spans="1:14" x14ac:dyDescent="0.35">
      <c r="A770" s="102" t="str">
        <f t="shared" si="58"/>
        <v/>
      </c>
      <c r="G770" s="14" t="e">
        <f>VLOOKUP(F770,'Accident &amp; Incident Detail'!$D$3:$E$4153,2,FALSE)</f>
        <v>#N/A</v>
      </c>
      <c r="M770" s="79" t="str">
        <f t="shared" si="59"/>
        <v/>
      </c>
      <c r="N770" s="14">
        <f t="shared" si="60"/>
        <v>3</v>
      </c>
    </row>
    <row r="771" spans="1:14" x14ac:dyDescent="0.35">
      <c r="A771" s="102" t="str">
        <f t="shared" si="58"/>
        <v/>
      </c>
      <c r="G771" s="14" t="e">
        <f>VLOOKUP(F771,'Accident &amp; Incident Detail'!$D$3:$E$4153,2,FALSE)</f>
        <v>#N/A</v>
      </c>
      <c r="M771" s="79" t="str">
        <f t="shared" si="59"/>
        <v/>
      </c>
      <c r="N771" s="14">
        <f t="shared" si="60"/>
        <v>3</v>
      </c>
    </row>
    <row r="772" spans="1:14" x14ac:dyDescent="0.35">
      <c r="A772" s="102" t="str">
        <f t="shared" si="58"/>
        <v/>
      </c>
      <c r="G772" s="14" t="e">
        <f>VLOOKUP(F772,'Accident &amp; Incident Detail'!$D$3:$E$4153,2,FALSE)</f>
        <v>#N/A</v>
      </c>
      <c r="M772" s="79" t="str">
        <f t="shared" si="59"/>
        <v/>
      </c>
      <c r="N772" s="14">
        <f t="shared" si="60"/>
        <v>3</v>
      </c>
    </row>
    <row r="773" spans="1:14" x14ac:dyDescent="0.35">
      <c r="A773" s="102" t="str">
        <f t="shared" si="58"/>
        <v/>
      </c>
      <c r="G773" s="14" t="e">
        <f>VLOOKUP(F773,'Accident &amp; Incident Detail'!$D$3:$E$4153,2,FALSE)</f>
        <v>#N/A</v>
      </c>
      <c r="M773" s="79" t="str">
        <f t="shared" si="59"/>
        <v/>
      </c>
      <c r="N773" s="14">
        <f t="shared" si="60"/>
        <v>3</v>
      </c>
    </row>
    <row r="774" spans="1:14" x14ac:dyDescent="0.35">
      <c r="A774" s="102" t="str">
        <f t="shared" si="58"/>
        <v/>
      </c>
      <c r="G774" s="14" t="e">
        <f>VLOOKUP(F774,'Accident &amp; Incident Detail'!$D$3:$E$4153,2,FALSE)</f>
        <v>#N/A</v>
      </c>
      <c r="M774" s="79" t="str">
        <f t="shared" si="59"/>
        <v/>
      </c>
      <c r="N774" s="14">
        <f t="shared" si="60"/>
        <v>3</v>
      </c>
    </row>
    <row r="775" spans="1:14" x14ac:dyDescent="0.35">
      <c r="A775" s="102" t="str">
        <f t="shared" si="58"/>
        <v/>
      </c>
      <c r="G775" s="14" t="e">
        <f>VLOOKUP(F775,'Accident &amp; Incident Detail'!$D$3:$E$4153,2,FALSE)</f>
        <v>#N/A</v>
      </c>
      <c r="M775" s="79" t="str">
        <f t="shared" si="59"/>
        <v/>
      </c>
      <c r="N775" s="14">
        <f t="shared" si="60"/>
        <v>3</v>
      </c>
    </row>
    <row r="776" spans="1:14" x14ac:dyDescent="0.35">
      <c r="A776" s="102" t="str">
        <f t="shared" si="58"/>
        <v/>
      </c>
      <c r="G776" s="14" t="e">
        <f>VLOOKUP(F776,'Accident &amp; Incident Detail'!$D$3:$E$4153,2,FALSE)</f>
        <v>#N/A</v>
      </c>
      <c r="M776" s="79" t="str">
        <f t="shared" si="59"/>
        <v/>
      </c>
      <c r="N776" s="14">
        <f t="shared" si="60"/>
        <v>3</v>
      </c>
    </row>
    <row r="777" spans="1:14" x14ac:dyDescent="0.35">
      <c r="A777" s="102" t="str">
        <f t="shared" si="58"/>
        <v/>
      </c>
      <c r="G777" s="14" t="e">
        <f>VLOOKUP(F777,'Accident &amp; Incident Detail'!$D$3:$E$4153,2,FALSE)</f>
        <v>#N/A</v>
      </c>
      <c r="M777" s="79" t="str">
        <f t="shared" si="59"/>
        <v/>
      </c>
      <c r="N777" s="14">
        <f t="shared" si="60"/>
        <v>3</v>
      </c>
    </row>
    <row r="778" spans="1:14" x14ac:dyDescent="0.35">
      <c r="A778" s="102" t="str">
        <f t="shared" si="58"/>
        <v/>
      </c>
      <c r="G778" s="14" t="e">
        <f>VLOOKUP(F778,'Accident &amp; Incident Detail'!$D$3:$E$4153,2,FALSE)</f>
        <v>#N/A</v>
      </c>
      <c r="M778" s="79" t="str">
        <f t="shared" si="59"/>
        <v/>
      </c>
      <c r="N778" s="14">
        <f t="shared" si="60"/>
        <v>3</v>
      </c>
    </row>
    <row r="779" spans="1:14" x14ac:dyDescent="0.35">
      <c r="A779" s="102" t="str">
        <f t="shared" si="58"/>
        <v/>
      </c>
      <c r="G779" s="14" t="e">
        <f>VLOOKUP(F779,'Accident &amp; Incident Detail'!$D$3:$E$4153,2,FALSE)</f>
        <v>#N/A</v>
      </c>
      <c r="M779" s="79" t="str">
        <f t="shared" si="59"/>
        <v/>
      </c>
      <c r="N779" s="14">
        <f t="shared" si="60"/>
        <v>3</v>
      </c>
    </row>
    <row r="780" spans="1:14" x14ac:dyDescent="0.35">
      <c r="A780" s="102" t="str">
        <f t="shared" si="58"/>
        <v/>
      </c>
      <c r="G780" s="14" t="e">
        <f>VLOOKUP(F780,'Accident &amp; Incident Detail'!$D$3:$E$4153,2,FALSE)</f>
        <v>#N/A</v>
      </c>
      <c r="M780" s="79" t="str">
        <f t="shared" si="59"/>
        <v/>
      </c>
      <c r="N780" s="14">
        <f t="shared" si="60"/>
        <v>3</v>
      </c>
    </row>
    <row r="781" spans="1:14" x14ac:dyDescent="0.35">
      <c r="A781" s="102" t="str">
        <f t="shared" si="58"/>
        <v/>
      </c>
      <c r="G781" s="14" t="e">
        <f>VLOOKUP(F781,'Accident &amp; Incident Detail'!$D$3:$E$4153,2,FALSE)</f>
        <v>#N/A</v>
      </c>
      <c r="M781" s="79" t="str">
        <f t="shared" si="59"/>
        <v/>
      </c>
      <c r="N781" s="14">
        <f t="shared" si="60"/>
        <v>3</v>
      </c>
    </row>
    <row r="782" spans="1:14" x14ac:dyDescent="0.35">
      <c r="A782" s="102" t="str">
        <f t="shared" si="58"/>
        <v/>
      </c>
      <c r="G782" s="14" t="e">
        <f>VLOOKUP(F782,'Accident &amp; Incident Detail'!$D$3:$E$4153,2,FALSE)</f>
        <v>#N/A</v>
      </c>
      <c r="M782" s="79" t="str">
        <f t="shared" si="59"/>
        <v/>
      </c>
      <c r="N782" s="14">
        <f t="shared" si="60"/>
        <v>3</v>
      </c>
    </row>
    <row r="783" spans="1:14" x14ac:dyDescent="0.35">
      <c r="A783" s="102" t="str">
        <f t="shared" si="58"/>
        <v/>
      </c>
      <c r="G783" s="14" t="e">
        <f>VLOOKUP(F783,'Accident &amp; Incident Detail'!$D$3:$E$4153,2,FALSE)</f>
        <v>#N/A</v>
      </c>
      <c r="M783" s="79" t="str">
        <f t="shared" si="59"/>
        <v/>
      </c>
      <c r="N783" s="14">
        <f t="shared" si="60"/>
        <v>3</v>
      </c>
    </row>
    <row r="784" spans="1:14" x14ac:dyDescent="0.35">
      <c r="A784" s="102" t="str">
        <f t="shared" ref="A784:A805" si="61">IF(O784&gt;1,"Closed",IF(N784=1,"Overdue",IF(N784=3,"","Open")))</f>
        <v/>
      </c>
      <c r="G784" s="14" t="e">
        <f>VLOOKUP(F784,'Accident &amp; Incident Detail'!$D$3:$E$4153,2,FALSE)</f>
        <v>#N/A</v>
      </c>
      <c r="M784" s="79" t="str">
        <f t="shared" si="59"/>
        <v/>
      </c>
      <c r="N784" s="14">
        <f t="shared" si="60"/>
        <v>3</v>
      </c>
    </row>
    <row r="785" spans="1:14" x14ac:dyDescent="0.35">
      <c r="A785" s="102" t="str">
        <f t="shared" si="61"/>
        <v/>
      </c>
      <c r="G785" s="14" t="e">
        <f>VLOOKUP(F785,'Accident &amp; Incident Detail'!$D$3:$E$4153,2,FALSE)</f>
        <v>#N/A</v>
      </c>
      <c r="M785" s="79" t="str">
        <f t="shared" si="59"/>
        <v/>
      </c>
      <c r="N785" s="14">
        <f t="shared" si="60"/>
        <v>3</v>
      </c>
    </row>
    <row r="786" spans="1:14" x14ac:dyDescent="0.35">
      <c r="A786" s="102" t="str">
        <f t="shared" si="61"/>
        <v/>
      </c>
      <c r="G786" s="14" t="e">
        <f>VLOOKUP(F786,'Accident &amp; Incident Detail'!$D$3:$E$4153,2,FALSE)</f>
        <v>#N/A</v>
      </c>
      <c r="M786" s="79" t="str">
        <f t="shared" si="59"/>
        <v/>
      </c>
      <c r="N786" s="14">
        <f t="shared" si="60"/>
        <v>3</v>
      </c>
    </row>
    <row r="787" spans="1:14" x14ac:dyDescent="0.35">
      <c r="A787" s="102" t="str">
        <f t="shared" si="61"/>
        <v/>
      </c>
      <c r="G787" s="14" t="e">
        <f>VLOOKUP(F787,'Accident &amp; Incident Detail'!$D$3:$E$4153,2,FALSE)</f>
        <v>#N/A</v>
      </c>
      <c r="M787" s="79" t="str">
        <f t="shared" si="59"/>
        <v/>
      </c>
      <c r="N787" s="14">
        <f t="shared" si="60"/>
        <v>3</v>
      </c>
    </row>
    <row r="788" spans="1:14" x14ac:dyDescent="0.35">
      <c r="A788" s="102" t="str">
        <f t="shared" si="61"/>
        <v/>
      </c>
      <c r="G788" s="14" t="e">
        <f>VLOOKUP(F788,'Accident &amp; Incident Detail'!$D$3:$E$4153,2,FALSE)</f>
        <v>#N/A</v>
      </c>
      <c r="M788" s="79" t="str">
        <f t="shared" si="59"/>
        <v/>
      </c>
      <c r="N788" s="14">
        <f t="shared" si="60"/>
        <v>3</v>
      </c>
    </row>
    <row r="789" spans="1:14" x14ac:dyDescent="0.35">
      <c r="A789" s="102" t="str">
        <f t="shared" si="61"/>
        <v/>
      </c>
      <c r="G789" s="14" t="e">
        <f>VLOOKUP(F789,'Accident &amp; Incident Detail'!$D$3:$E$4153,2,FALSE)</f>
        <v>#N/A</v>
      </c>
      <c r="M789" s="79" t="str">
        <f t="shared" si="59"/>
        <v/>
      </c>
      <c r="N789" s="14">
        <f t="shared" si="60"/>
        <v>3</v>
      </c>
    </row>
    <row r="790" spans="1:14" x14ac:dyDescent="0.35">
      <c r="A790" s="102" t="str">
        <f t="shared" si="61"/>
        <v/>
      </c>
      <c r="G790" s="14" t="e">
        <f>VLOOKUP(F790,'Accident &amp; Incident Detail'!$D$3:$E$4153,2,FALSE)</f>
        <v>#N/A</v>
      </c>
      <c r="M790" s="79" t="str">
        <f t="shared" si="59"/>
        <v/>
      </c>
      <c r="N790" s="14">
        <f t="shared" si="60"/>
        <v>3</v>
      </c>
    </row>
    <row r="791" spans="1:14" x14ac:dyDescent="0.35">
      <c r="A791" s="102" t="str">
        <f t="shared" si="61"/>
        <v/>
      </c>
      <c r="G791" s="14" t="e">
        <f>VLOOKUP(F791,'Accident &amp; Incident Detail'!$D$3:$E$4153,2,FALSE)</f>
        <v>#N/A</v>
      </c>
      <c r="M791" s="79" t="str">
        <f t="shared" si="59"/>
        <v/>
      </c>
      <c r="N791" s="14">
        <f t="shared" si="60"/>
        <v>3</v>
      </c>
    </row>
    <row r="792" spans="1:14" x14ac:dyDescent="0.35">
      <c r="A792" s="102" t="str">
        <f t="shared" si="61"/>
        <v/>
      </c>
      <c r="G792" s="14" t="e">
        <f>VLOOKUP(F792,'Accident &amp; Incident Detail'!$D$3:$E$4153,2,FALSE)</f>
        <v>#N/A</v>
      </c>
      <c r="M792" s="79" t="str">
        <f t="shared" si="59"/>
        <v/>
      </c>
      <c r="N792" s="14">
        <f t="shared" si="60"/>
        <v>3</v>
      </c>
    </row>
    <row r="793" spans="1:14" x14ac:dyDescent="0.35">
      <c r="A793" s="102" t="str">
        <f t="shared" si="61"/>
        <v/>
      </c>
      <c r="G793" s="14" t="e">
        <f>VLOOKUP(F793,'Accident &amp; Incident Detail'!$D$3:$E$4153,2,FALSE)</f>
        <v>#N/A</v>
      </c>
      <c r="M793" s="79" t="str">
        <f t="shared" si="59"/>
        <v/>
      </c>
      <c r="N793" s="14">
        <f t="shared" si="60"/>
        <v>3</v>
      </c>
    </row>
    <row r="794" spans="1:14" x14ac:dyDescent="0.35">
      <c r="A794" s="102" t="str">
        <f t="shared" si="61"/>
        <v/>
      </c>
      <c r="G794" s="14" t="e">
        <f>VLOOKUP(F794,'Accident &amp; Incident Detail'!$D$3:$E$4153,2,FALSE)</f>
        <v>#N/A</v>
      </c>
      <c r="M794" s="79" t="str">
        <f t="shared" si="59"/>
        <v/>
      </c>
      <c r="N794" s="14">
        <f t="shared" si="60"/>
        <v>3</v>
      </c>
    </row>
    <row r="795" spans="1:14" x14ac:dyDescent="0.35">
      <c r="A795" s="102" t="str">
        <f t="shared" si="61"/>
        <v/>
      </c>
      <c r="G795" s="14" t="e">
        <f>VLOOKUP(F795,'Accident &amp; Incident Detail'!$D$3:$E$4153,2,FALSE)</f>
        <v>#N/A</v>
      </c>
      <c r="M795" s="79" t="str">
        <f t="shared" si="59"/>
        <v/>
      </c>
      <c r="N795" s="14">
        <f t="shared" si="60"/>
        <v>3</v>
      </c>
    </row>
    <row r="796" spans="1:14" x14ac:dyDescent="0.35">
      <c r="A796" s="102" t="str">
        <f t="shared" si="61"/>
        <v/>
      </c>
      <c r="G796" s="14" t="e">
        <f>VLOOKUP(F796,'Accident &amp; Incident Detail'!$D$3:$E$4153,2,FALSE)</f>
        <v>#N/A</v>
      </c>
      <c r="M796" s="79" t="str">
        <f t="shared" si="59"/>
        <v/>
      </c>
      <c r="N796" s="14">
        <f t="shared" si="60"/>
        <v>3</v>
      </c>
    </row>
    <row r="797" spans="1:14" x14ac:dyDescent="0.35">
      <c r="A797" s="102" t="str">
        <f t="shared" si="61"/>
        <v/>
      </c>
      <c r="G797" s="14" t="e">
        <f>VLOOKUP(F797,'Accident &amp; Incident Detail'!$D$3:$E$4153,2,FALSE)</f>
        <v>#N/A</v>
      </c>
      <c r="M797" s="79" t="str">
        <f t="shared" si="59"/>
        <v/>
      </c>
      <c r="N797" s="14">
        <f t="shared" si="60"/>
        <v>3</v>
      </c>
    </row>
    <row r="798" spans="1:14" x14ac:dyDescent="0.35">
      <c r="A798" s="102" t="str">
        <f t="shared" si="61"/>
        <v/>
      </c>
      <c r="G798" s="14" t="e">
        <f>VLOOKUP(F798,'Accident &amp; Incident Detail'!$D$3:$E$4153,2,FALSE)</f>
        <v>#N/A</v>
      </c>
      <c r="M798" s="79" t="str">
        <f t="shared" si="59"/>
        <v/>
      </c>
      <c r="N798" s="14">
        <f t="shared" si="60"/>
        <v>3</v>
      </c>
    </row>
    <row r="799" spans="1:14" x14ac:dyDescent="0.35">
      <c r="A799" s="102" t="str">
        <f t="shared" si="61"/>
        <v/>
      </c>
      <c r="G799" s="14" t="e">
        <f>VLOOKUP(F799,'Accident &amp; Incident Detail'!$D$3:$E$4153,2,FALSE)</f>
        <v>#N/A</v>
      </c>
      <c r="M799" s="79" t="str">
        <f t="shared" si="59"/>
        <v/>
      </c>
      <c r="N799" s="14">
        <f t="shared" si="60"/>
        <v>3</v>
      </c>
    </row>
    <row r="800" spans="1:14" x14ac:dyDescent="0.35">
      <c r="A800" s="102" t="str">
        <f t="shared" si="61"/>
        <v/>
      </c>
      <c r="G800" s="14" t="e">
        <f>VLOOKUP(F800,'Accident &amp; Incident Detail'!$D$3:$E$4153,2,FALSE)</f>
        <v>#N/A</v>
      </c>
      <c r="M800" s="79" t="str">
        <f t="shared" si="59"/>
        <v/>
      </c>
      <c r="N800" s="14">
        <f t="shared" si="60"/>
        <v>3</v>
      </c>
    </row>
    <row r="801" spans="1:14" x14ac:dyDescent="0.35">
      <c r="A801" s="102" t="str">
        <f t="shared" si="61"/>
        <v/>
      </c>
      <c r="G801" s="14" t="e">
        <f>VLOOKUP(F801,'Accident &amp; Incident Detail'!$D$3:$E$4153,2,FALSE)</f>
        <v>#N/A</v>
      </c>
      <c r="M801" s="79" t="str">
        <f t="shared" si="59"/>
        <v/>
      </c>
      <c r="N801" s="14">
        <f t="shared" si="60"/>
        <v>3</v>
      </c>
    </row>
    <row r="802" spans="1:14" x14ac:dyDescent="0.35">
      <c r="A802" s="102" t="str">
        <f t="shared" si="61"/>
        <v/>
      </c>
      <c r="G802" s="14" t="e">
        <f>VLOOKUP(F802,'Accident &amp; Incident Detail'!$D$3:$E$4153,2,FALSE)</f>
        <v>#N/A</v>
      </c>
      <c r="M802" s="79" t="str">
        <f t="shared" si="59"/>
        <v/>
      </c>
      <c r="N802" s="14">
        <f t="shared" si="60"/>
        <v>3</v>
      </c>
    </row>
    <row r="803" spans="1:14" x14ac:dyDescent="0.35">
      <c r="A803" s="102" t="str">
        <f t="shared" si="61"/>
        <v/>
      </c>
      <c r="G803" s="14" t="e">
        <f>VLOOKUP(F803,'Accident &amp; Incident Detail'!$D$3:$E$4153,2,FALSE)</f>
        <v>#N/A</v>
      </c>
      <c r="M803" s="79" t="str">
        <f t="shared" si="59"/>
        <v/>
      </c>
      <c r="N803" s="14">
        <f t="shared" si="60"/>
        <v>3</v>
      </c>
    </row>
    <row r="804" spans="1:14" x14ac:dyDescent="0.35">
      <c r="A804" s="102" t="str">
        <f t="shared" si="61"/>
        <v/>
      </c>
      <c r="G804" s="14" t="e">
        <f>VLOOKUP(F804,'Accident &amp; Incident Detail'!$D$3:$E$4153,2,FALSE)</f>
        <v>#N/A</v>
      </c>
      <c r="M804" s="79" t="str">
        <f t="shared" si="59"/>
        <v/>
      </c>
      <c r="N804" s="14">
        <f t="shared" si="60"/>
        <v>3</v>
      </c>
    </row>
    <row r="805" spans="1:14" x14ac:dyDescent="0.35">
      <c r="A805" s="102" t="str">
        <f t="shared" si="61"/>
        <v/>
      </c>
      <c r="G805" s="14" t="e">
        <f>VLOOKUP(F805,'Accident &amp; Incident Detail'!$D$3:$E$4153,2,FALSE)</f>
        <v>#N/A</v>
      </c>
      <c r="M805" s="79" t="str">
        <f t="shared" si="59"/>
        <v/>
      </c>
      <c r="N805" s="14">
        <f t="shared" si="60"/>
        <v>3</v>
      </c>
    </row>
    <row r="806" spans="1:14" x14ac:dyDescent="0.35">
      <c r="A806" s="102" t="str">
        <f t="shared" ref="A806:A869" si="62">IF(O806&gt;1,"Closed",IF(N806=1,"Overdue",IF(N806=3,"","Open")))</f>
        <v/>
      </c>
      <c r="G806" s="14" t="e">
        <f>VLOOKUP(F806,'Accident &amp; Incident Detail'!$D$3:$E$4153,2,FALSE)</f>
        <v>#N/A</v>
      </c>
      <c r="M806" s="79" t="str">
        <f t="shared" si="59"/>
        <v/>
      </c>
      <c r="N806" s="14">
        <f t="shared" si="60"/>
        <v>3</v>
      </c>
    </row>
    <row r="807" spans="1:14" x14ac:dyDescent="0.35">
      <c r="A807" s="102" t="str">
        <f t="shared" si="62"/>
        <v/>
      </c>
      <c r="G807" s="14" t="e">
        <f>VLOOKUP(F807,'Accident &amp; Incident Detail'!$D$3:$E$4153,2,FALSE)</f>
        <v>#N/A</v>
      </c>
      <c r="M807" s="79" t="str">
        <f t="shared" si="59"/>
        <v/>
      </c>
      <c r="N807" s="14">
        <f t="shared" si="60"/>
        <v>3</v>
      </c>
    </row>
    <row r="808" spans="1:14" x14ac:dyDescent="0.35">
      <c r="A808" s="102" t="str">
        <f t="shared" si="62"/>
        <v/>
      </c>
      <c r="G808" s="14" t="e">
        <f>VLOOKUP(F808,'Accident &amp; Incident Detail'!$D$3:$E$4153,2,FALSE)</f>
        <v>#N/A</v>
      </c>
      <c r="M808" s="79" t="str">
        <f t="shared" si="59"/>
        <v/>
      </c>
      <c r="N808" s="14">
        <f t="shared" si="60"/>
        <v>3</v>
      </c>
    </row>
    <row r="809" spans="1:14" x14ac:dyDescent="0.35">
      <c r="A809" s="102" t="str">
        <f t="shared" si="62"/>
        <v/>
      </c>
      <c r="G809" s="14" t="e">
        <f>VLOOKUP(F809,'Accident &amp; Incident Detail'!$D$3:$E$4153,2,FALSE)</f>
        <v>#N/A</v>
      </c>
      <c r="M809" s="79" t="str">
        <f t="shared" si="59"/>
        <v/>
      </c>
      <c r="N809" s="14">
        <f t="shared" si="60"/>
        <v>3</v>
      </c>
    </row>
    <row r="810" spans="1:14" x14ac:dyDescent="0.35">
      <c r="A810" s="102" t="str">
        <f t="shared" si="62"/>
        <v/>
      </c>
      <c r="G810" s="14" t="e">
        <f>VLOOKUP(F810,'Accident &amp; Incident Detail'!$D$3:$E$4153,2,FALSE)</f>
        <v>#N/A</v>
      </c>
      <c r="M810" s="79" t="str">
        <f t="shared" si="59"/>
        <v/>
      </c>
      <c r="N810" s="14">
        <f t="shared" si="60"/>
        <v>3</v>
      </c>
    </row>
    <row r="811" spans="1:14" x14ac:dyDescent="0.35">
      <c r="A811" s="102" t="str">
        <f t="shared" si="62"/>
        <v/>
      </c>
      <c r="G811" s="14" t="e">
        <f>VLOOKUP(F811,'Accident &amp; Incident Detail'!$D$3:$E$4153,2,FALSE)</f>
        <v>#N/A</v>
      </c>
      <c r="M811" s="79" t="str">
        <f t="shared" si="59"/>
        <v/>
      </c>
      <c r="N811" s="14">
        <f t="shared" si="60"/>
        <v>3</v>
      </c>
    </row>
    <row r="812" spans="1:14" x14ac:dyDescent="0.35">
      <c r="A812" s="102" t="str">
        <f t="shared" si="62"/>
        <v/>
      </c>
      <c r="G812" s="14" t="e">
        <f>VLOOKUP(F812,'Accident &amp; Incident Detail'!$D$3:$E$4153,2,FALSE)</f>
        <v>#N/A</v>
      </c>
      <c r="M812" s="79" t="str">
        <f t="shared" si="59"/>
        <v/>
      </c>
      <c r="N812" s="14">
        <f t="shared" si="60"/>
        <v>3</v>
      </c>
    </row>
    <row r="813" spans="1:14" x14ac:dyDescent="0.35">
      <c r="A813" s="102" t="str">
        <f t="shared" si="62"/>
        <v/>
      </c>
      <c r="G813" s="14" t="e">
        <f>VLOOKUP(F813,'Accident &amp; Incident Detail'!$D$3:$E$4153,2,FALSE)</f>
        <v>#N/A</v>
      </c>
      <c r="M813" s="79" t="str">
        <f t="shared" ref="M813:M876" si="63">IF(D813="","",D813+28)</f>
        <v/>
      </c>
      <c r="N813" s="14">
        <f t="shared" ref="N813:N876" si="64">IF(D813="",3,IF(M813&lt;$A$2,1,0))</f>
        <v>3</v>
      </c>
    </row>
    <row r="814" spans="1:14" x14ac:dyDescent="0.35">
      <c r="A814" s="102" t="str">
        <f t="shared" si="62"/>
        <v/>
      </c>
      <c r="G814" s="14" t="e">
        <f>VLOOKUP(F814,'Accident &amp; Incident Detail'!$D$3:$E$4153,2,FALSE)</f>
        <v>#N/A</v>
      </c>
      <c r="M814" s="79" t="str">
        <f t="shared" si="63"/>
        <v/>
      </c>
      <c r="N814" s="14">
        <f t="shared" si="64"/>
        <v>3</v>
      </c>
    </row>
    <row r="815" spans="1:14" x14ac:dyDescent="0.35">
      <c r="A815" s="102" t="str">
        <f t="shared" si="62"/>
        <v/>
      </c>
      <c r="G815" s="14" t="e">
        <f>VLOOKUP(F815,'Accident &amp; Incident Detail'!$D$3:$E$4153,2,FALSE)</f>
        <v>#N/A</v>
      </c>
      <c r="M815" s="79" t="str">
        <f t="shared" si="63"/>
        <v/>
      </c>
      <c r="N815" s="14">
        <f t="shared" si="64"/>
        <v>3</v>
      </c>
    </row>
    <row r="816" spans="1:14" x14ac:dyDescent="0.35">
      <c r="A816" s="102" t="str">
        <f t="shared" si="62"/>
        <v/>
      </c>
      <c r="G816" s="14" t="e">
        <f>VLOOKUP(F816,'Accident &amp; Incident Detail'!$D$3:$E$4153,2,FALSE)</f>
        <v>#N/A</v>
      </c>
      <c r="M816" s="79" t="str">
        <f t="shared" si="63"/>
        <v/>
      </c>
      <c r="N816" s="14">
        <f t="shared" si="64"/>
        <v>3</v>
      </c>
    </row>
    <row r="817" spans="1:14" x14ac:dyDescent="0.35">
      <c r="A817" s="102" t="str">
        <f t="shared" si="62"/>
        <v/>
      </c>
      <c r="G817" s="14" t="e">
        <f>VLOOKUP(F817,'Accident &amp; Incident Detail'!$D$3:$E$4153,2,FALSE)</f>
        <v>#N/A</v>
      </c>
      <c r="M817" s="79" t="str">
        <f t="shared" si="63"/>
        <v/>
      </c>
      <c r="N817" s="14">
        <f t="shared" si="64"/>
        <v>3</v>
      </c>
    </row>
    <row r="818" spans="1:14" x14ac:dyDescent="0.35">
      <c r="A818" s="102" t="str">
        <f t="shared" si="62"/>
        <v/>
      </c>
      <c r="G818" s="14" t="e">
        <f>VLOOKUP(F818,'Accident &amp; Incident Detail'!$D$3:$E$4153,2,FALSE)</f>
        <v>#N/A</v>
      </c>
      <c r="M818" s="79" t="str">
        <f t="shared" si="63"/>
        <v/>
      </c>
      <c r="N818" s="14">
        <f t="shared" si="64"/>
        <v>3</v>
      </c>
    </row>
    <row r="819" spans="1:14" x14ac:dyDescent="0.35">
      <c r="A819" s="102" t="str">
        <f t="shared" si="62"/>
        <v/>
      </c>
      <c r="G819" s="14" t="e">
        <f>VLOOKUP(F819,'Accident &amp; Incident Detail'!$D$3:$E$4153,2,FALSE)</f>
        <v>#N/A</v>
      </c>
      <c r="M819" s="79" t="str">
        <f t="shared" si="63"/>
        <v/>
      </c>
      <c r="N819" s="14">
        <f t="shared" si="64"/>
        <v>3</v>
      </c>
    </row>
    <row r="820" spans="1:14" x14ac:dyDescent="0.35">
      <c r="A820" s="102" t="str">
        <f t="shared" si="62"/>
        <v/>
      </c>
      <c r="G820" s="14" t="e">
        <f>VLOOKUP(F820,'Accident &amp; Incident Detail'!$D$3:$E$4153,2,FALSE)</f>
        <v>#N/A</v>
      </c>
      <c r="M820" s="79" t="str">
        <f t="shared" si="63"/>
        <v/>
      </c>
      <c r="N820" s="14">
        <f t="shared" si="64"/>
        <v>3</v>
      </c>
    </row>
    <row r="821" spans="1:14" x14ac:dyDescent="0.35">
      <c r="A821" s="102" t="str">
        <f t="shared" si="62"/>
        <v/>
      </c>
      <c r="G821" s="14" t="e">
        <f>VLOOKUP(F821,'Accident &amp; Incident Detail'!$D$3:$E$4153,2,FALSE)</f>
        <v>#N/A</v>
      </c>
      <c r="M821" s="79" t="str">
        <f t="shared" si="63"/>
        <v/>
      </c>
      <c r="N821" s="14">
        <f t="shared" si="64"/>
        <v>3</v>
      </c>
    </row>
    <row r="822" spans="1:14" x14ac:dyDescent="0.35">
      <c r="A822" s="102" t="str">
        <f t="shared" si="62"/>
        <v/>
      </c>
      <c r="G822" s="14" t="e">
        <f>VLOOKUP(F822,'Accident &amp; Incident Detail'!$D$3:$E$4153,2,FALSE)</f>
        <v>#N/A</v>
      </c>
      <c r="M822" s="79" t="str">
        <f t="shared" si="63"/>
        <v/>
      </c>
      <c r="N822" s="14">
        <f t="shared" si="64"/>
        <v>3</v>
      </c>
    </row>
    <row r="823" spans="1:14" x14ac:dyDescent="0.35">
      <c r="A823" s="102" t="str">
        <f t="shared" si="62"/>
        <v/>
      </c>
      <c r="G823" s="14" t="e">
        <f>VLOOKUP(F823,'Accident &amp; Incident Detail'!$D$3:$E$4153,2,FALSE)</f>
        <v>#N/A</v>
      </c>
      <c r="M823" s="79" t="str">
        <f t="shared" si="63"/>
        <v/>
      </c>
      <c r="N823" s="14">
        <f t="shared" si="64"/>
        <v>3</v>
      </c>
    </row>
    <row r="824" spans="1:14" x14ac:dyDescent="0.35">
      <c r="A824" s="102" t="str">
        <f t="shared" si="62"/>
        <v/>
      </c>
      <c r="G824" s="14" t="e">
        <f>VLOOKUP(F824,'Accident &amp; Incident Detail'!$D$3:$E$4153,2,FALSE)</f>
        <v>#N/A</v>
      </c>
      <c r="M824" s="79" t="str">
        <f t="shared" si="63"/>
        <v/>
      </c>
      <c r="N824" s="14">
        <f t="shared" si="64"/>
        <v>3</v>
      </c>
    </row>
    <row r="825" spans="1:14" x14ac:dyDescent="0.35">
      <c r="A825" s="102" t="str">
        <f t="shared" si="62"/>
        <v/>
      </c>
      <c r="G825" s="14" t="e">
        <f>VLOOKUP(F825,'Accident &amp; Incident Detail'!$D$3:$E$4153,2,FALSE)</f>
        <v>#N/A</v>
      </c>
      <c r="M825" s="79" t="str">
        <f t="shared" si="63"/>
        <v/>
      </c>
      <c r="N825" s="14">
        <f t="shared" si="64"/>
        <v>3</v>
      </c>
    </row>
    <row r="826" spans="1:14" x14ac:dyDescent="0.35">
      <c r="A826" s="102" t="str">
        <f t="shared" si="62"/>
        <v/>
      </c>
      <c r="G826" s="14" t="e">
        <f>VLOOKUP(F826,'Accident &amp; Incident Detail'!$D$3:$E$4153,2,FALSE)</f>
        <v>#N/A</v>
      </c>
      <c r="M826" s="79" t="str">
        <f t="shared" si="63"/>
        <v/>
      </c>
      <c r="N826" s="14">
        <f t="shared" si="64"/>
        <v>3</v>
      </c>
    </row>
    <row r="827" spans="1:14" x14ac:dyDescent="0.35">
      <c r="A827" s="102" t="str">
        <f t="shared" si="62"/>
        <v/>
      </c>
      <c r="G827" s="14" t="e">
        <f>VLOOKUP(F827,'Accident &amp; Incident Detail'!$D$3:$E$4153,2,FALSE)</f>
        <v>#N/A</v>
      </c>
      <c r="M827" s="79" t="str">
        <f t="shared" si="63"/>
        <v/>
      </c>
      <c r="N827" s="14">
        <f t="shared" si="64"/>
        <v>3</v>
      </c>
    </row>
    <row r="828" spans="1:14" x14ac:dyDescent="0.35">
      <c r="A828" s="102" t="str">
        <f t="shared" si="62"/>
        <v/>
      </c>
      <c r="G828" s="14" t="e">
        <f>VLOOKUP(F828,'Accident &amp; Incident Detail'!$D$3:$E$4153,2,FALSE)</f>
        <v>#N/A</v>
      </c>
      <c r="M828" s="79" t="str">
        <f t="shared" si="63"/>
        <v/>
      </c>
      <c r="N828" s="14">
        <f t="shared" si="64"/>
        <v>3</v>
      </c>
    </row>
    <row r="829" spans="1:14" x14ac:dyDescent="0.35">
      <c r="A829" s="102" t="str">
        <f t="shared" si="62"/>
        <v/>
      </c>
      <c r="G829" s="14" t="e">
        <f>VLOOKUP(F829,'Accident &amp; Incident Detail'!$D$3:$E$4153,2,FALSE)</f>
        <v>#N/A</v>
      </c>
      <c r="M829" s="79" t="str">
        <f t="shared" si="63"/>
        <v/>
      </c>
      <c r="N829" s="14">
        <f t="shared" si="64"/>
        <v>3</v>
      </c>
    </row>
    <row r="830" spans="1:14" x14ac:dyDescent="0.35">
      <c r="A830" s="102" t="str">
        <f t="shared" si="62"/>
        <v/>
      </c>
      <c r="G830" s="14" t="e">
        <f>VLOOKUP(F830,'Accident &amp; Incident Detail'!$D$3:$E$4153,2,FALSE)</f>
        <v>#N/A</v>
      </c>
      <c r="M830" s="79" t="str">
        <f t="shared" si="63"/>
        <v/>
      </c>
      <c r="N830" s="14">
        <f t="shared" si="64"/>
        <v>3</v>
      </c>
    </row>
    <row r="831" spans="1:14" x14ac:dyDescent="0.35">
      <c r="A831" s="102" t="str">
        <f t="shared" si="62"/>
        <v/>
      </c>
      <c r="G831" s="14" t="e">
        <f>VLOOKUP(F831,'Accident &amp; Incident Detail'!$D$3:$E$4153,2,FALSE)</f>
        <v>#N/A</v>
      </c>
      <c r="M831" s="79" t="str">
        <f t="shared" si="63"/>
        <v/>
      </c>
      <c r="N831" s="14">
        <f t="shared" si="64"/>
        <v>3</v>
      </c>
    </row>
    <row r="832" spans="1:14" x14ac:dyDescent="0.35">
      <c r="A832" s="102" t="str">
        <f t="shared" si="62"/>
        <v/>
      </c>
      <c r="G832" s="14" t="e">
        <f>VLOOKUP(F832,'Accident &amp; Incident Detail'!$D$3:$E$4153,2,FALSE)</f>
        <v>#N/A</v>
      </c>
      <c r="M832" s="79" t="str">
        <f t="shared" si="63"/>
        <v/>
      </c>
      <c r="N832" s="14">
        <f t="shared" si="64"/>
        <v>3</v>
      </c>
    </row>
    <row r="833" spans="1:14" x14ac:dyDescent="0.35">
      <c r="A833" s="102" t="str">
        <f t="shared" si="62"/>
        <v/>
      </c>
      <c r="G833" s="14" t="e">
        <f>VLOOKUP(F833,'Accident &amp; Incident Detail'!$D$3:$E$4153,2,FALSE)</f>
        <v>#N/A</v>
      </c>
      <c r="M833" s="79" t="str">
        <f t="shared" si="63"/>
        <v/>
      </c>
      <c r="N833" s="14">
        <f t="shared" si="64"/>
        <v>3</v>
      </c>
    </row>
    <row r="834" spans="1:14" x14ac:dyDescent="0.35">
      <c r="A834" s="102" t="str">
        <f t="shared" si="62"/>
        <v/>
      </c>
      <c r="G834" s="14" t="e">
        <f>VLOOKUP(F834,'Accident &amp; Incident Detail'!$D$3:$E$4153,2,FALSE)</f>
        <v>#N/A</v>
      </c>
      <c r="M834" s="79" t="str">
        <f t="shared" si="63"/>
        <v/>
      </c>
      <c r="N834" s="14">
        <f t="shared" si="64"/>
        <v>3</v>
      </c>
    </row>
    <row r="835" spans="1:14" x14ac:dyDescent="0.35">
      <c r="A835" s="102" t="str">
        <f t="shared" si="62"/>
        <v/>
      </c>
      <c r="G835" s="14" t="e">
        <f>VLOOKUP(F835,'Accident &amp; Incident Detail'!$D$3:$E$4153,2,FALSE)</f>
        <v>#N/A</v>
      </c>
      <c r="M835" s="79" t="str">
        <f t="shared" si="63"/>
        <v/>
      </c>
      <c r="N835" s="14">
        <f t="shared" si="64"/>
        <v>3</v>
      </c>
    </row>
    <row r="836" spans="1:14" x14ac:dyDescent="0.35">
      <c r="A836" s="102" t="str">
        <f t="shared" si="62"/>
        <v/>
      </c>
      <c r="G836" s="14" t="e">
        <f>VLOOKUP(F836,'Accident &amp; Incident Detail'!$D$3:$E$4153,2,FALSE)</f>
        <v>#N/A</v>
      </c>
      <c r="M836" s="79" t="str">
        <f t="shared" si="63"/>
        <v/>
      </c>
      <c r="N836" s="14">
        <f t="shared" si="64"/>
        <v>3</v>
      </c>
    </row>
    <row r="837" spans="1:14" x14ac:dyDescent="0.35">
      <c r="A837" s="102" t="str">
        <f t="shared" si="62"/>
        <v/>
      </c>
      <c r="G837" s="14" t="e">
        <f>VLOOKUP(F837,'Accident &amp; Incident Detail'!$D$3:$E$4153,2,FALSE)</f>
        <v>#N/A</v>
      </c>
      <c r="M837" s="79" t="str">
        <f t="shared" si="63"/>
        <v/>
      </c>
      <c r="N837" s="14">
        <f t="shared" si="64"/>
        <v>3</v>
      </c>
    </row>
    <row r="838" spans="1:14" x14ac:dyDescent="0.35">
      <c r="A838" s="102" t="str">
        <f t="shared" si="62"/>
        <v/>
      </c>
      <c r="G838" s="14" t="e">
        <f>VLOOKUP(F838,'Accident &amp; Incident Detail'!$D$3:$E$4153,2,FALSE)</f>
        <v>#N/A</v>
      </c>
      <c r="M838" s="79" t="str">
        <f t="shared" si="63"/>
        <v/>
      </c>
      <c r="N838" s="14">
        <f t="shared" si="64"/>
        <v>3</v>
      </c>
    </row>
    <row r="839" spans="1:14" x14ac:dyDescent="0.35">
      <c r="A839" s="102" t="str">
        <f t="shared" si="62"/>
        <v/>
      </c>
      <c r="G839" s="14" t="e">
        <f>VLOOKUP(F839,'Accident &amp; Incident Detail'!$D$3:$E$4153,2,FALSE)</f>
        <v>#N/A</v>
      </c>
      <c r="M839" s="79" t="str">
        <f t="shared" si="63"/>
        <v/>
      </c>
      <c r="N839" s="14">
        <f t="shared" si="64"/>
        <v>3</v>
      </c>
    </row>
    <row r="840" spans="1:14" x14ac:dyDescent="0.35">
      <c r="A840" s="102" t="str">
        <f t="shared" si="62"/>
        <v/>
      </c>
      <c r="G840" s="14" t="e">
        <f>VLOOKUP(F840,'Accident &amp; Incident Detail'!$D$3:$E$4153,2,FALSE)</f>
        <v>#N/A</v>
      </c>
      <c r="M840" s="79" t="str">
        <f t="shared" si="63"/>
        <v/>
      </c>
      <c r="N840" s="14">
        <f t="shared" si="64"/>
        <v>3</v>
      </c>
    </row>
    <row r="841" spans="1:14" x14ac:dyDescent="0.35">
      <c r="A841" s="102" t="str">
        <f t="shared" si="62"/>
        <v/>
      </c>
      <c r="G841" s="14" t="e">
        <f>VLOOKUP(F841,'Accident &amp; Incident Detail'!$D$3:$E$4153,2,FALSE)</f>
        <v>#N/A</v>
      </c>
      <c r="M841" s="79" t="str">
        <f t="shared" si="63"/>
        <v/>
      </c>
      <c r="N841" s="14">
        <f t="shared" si="64"/>
        <v>3</v>
      </c>
    </row>
    <row r="842" spans="1:14" x14ac:dyDescent="0.35">
      <c r="A842" s="102" t="str">
        <f t="shared" si="62"/>
        <v/>
      </c>
      <c r="G842" s="14" t="e">
        <f>VLOOKUP(F842,'Accident &amp; Incident Detail'!$D$3:$E$4153,2,FALSE)</f>
        <v>#N/A</v>
      </c>
      <c r="M842" s="79" t="str">
        <f t="shared" si="63"/>
        <v/>
      </c>
      <c r="N842" s="14">
        <f t="shared" si="64"/>
        <v>3</v>
      </c>
    </row>
    <row r="843" spans="1:14" x14ac:dyDescent="0.35">
      <c r="A843" s="102" t="str">
        <f t="shared" si="62"/>
        <v/>
      </c>
      <c r="G843" s="14" t="e">
        <f>VLOOKUP(F843,'Accident &amp; Incident Detail'!$D$3:$E$4153,2,FALSE)</f>
        <v>#N/A</v>
      </c>
      <c r="M843" s="79" t="str">
        <f t="shared" si="63"/>
        <v/>
      </c>
      <c r="N843" s="14">
        <f t="shared" si="64"/>
        <v>3</v>
      </c>
    </row>
    <row r="844" spans="1:14" x14ac:dyDescent="0.35">
      <c r="A844" s="102" t="str">
        <f t="shared" si="62"/>
        <v/>
      </c>
      <c r="G844" s="14" t="e">
        <f>VLOOKUP(F844,'Accident &amp; Incident Detail'!$D$3:$E$4153,2,FALSE)</f>
        <v>#N/A</v>
      </c>
      <c r="M844" s="79" t="str">
        <f t="shared" si="63"/>
        <v/>
      </c>
      <c r="N844" s="14">
        <f t="shared" si="64"/>
        <v>3</v>
      </c>
    </row>
    <row r="845" spans="1:14" x14ac:dyDescent="0.35">
      <c r="A845" s="102" t="str">
        <f t="shared" si="62"/>
        <v/>
      </c>
      <c r="G845" s="14" t="e">
        <f>VLOOKUP(F845,'Accident &amp; Incident Detail'!$D$3:$E$4153,2,FALSE)</f>
        <v>#N/A</v>
      </c>
      <c r="M845" s="79" t="str">
        <f t="shared" si="63"/>
        <v/>
      </c>
      <c r="N845" s="14">
        <f t="shared" si="64"/>
        <v>3</v>
      </c>
    </row>
    <row r="846" spans="1:14" x14ac:dyDescent="0.35">
      <c r="A846" s="102" t="str">
        <f t="shared" si="62"/>
        <v/>
      </c>
      <c r="G846" s="14" t="e">
        <f>VLOOKUP(F846,'Accident &amp; Incident Detail'!$D$3:$E$4153,2,FALSE)</f>
        <v>#N/A</v>
      </c>
      <c r="M846" s="79" t="str">
        <f t="shared" si="63"/>
        <v/>
      </c>
      <c r="N846" s="14">
        <f t="shared" si="64"/>
        <v>3</v>
      </c>
    </row>
    <row r="847" spans="1:14" x14ac:dyDescent="0.35">
      <c r="A847" s="102" t="str">
        <f t="shared" si="62"/>
        <v/>
      </c>
      <c r="G847" s="14" t="e">
        <f>VLOOKUP(F847,'Accident &amp; Incident Detail'!$D$3:$E$4153,2,FALSE)</f>
        <v>#N/A</v>
      </c>
      <c r="M847" s="79" t="str">
        <f t="shared" si="63"/>
        <v/>
      </c>
      <c r="N847" s="14">
        <f t="shared" si="64"/>
        <v>3</v>
      </c>
    </row>
    <row r="848" spans="1:14" x14ac:dyDescent="0.35">
      <c r="A848" s="102" t="str">
        <f t="shared" si="62"/>
        <v/>
      </c>
      <c r="G848" s="14" t="e">
        <f>VLOOKUP(F848,'Accident &amp; Incident Detail'!$D$3:$E$4153,2,FALSE)</f>
        <v>#N/A</v>
      </c>
      <c r="M848" s="79" t="str">
        <f t="shared" si="63"/>
        <v/>
      </c>
      <c r="N848" s="14">
        <f t="shared" si="64"/>
        <v>3</v>
      </c>
    </row>
    <row r="849" spans="1:14" x14ac:dyDescent="0.35">
      <c r="A849" s="102" t="str">
        <f t="shared" si="62"/>
        <v/>
      </c>
      <c r="G849" s="14" t="e">
        <f>VLOOKUP(F849,'Accident &amp; Incident Detail'!$D$3:$E$4153,2,FALSE)</f>
        <v>#N/A</v>
      </c>
      <c r="M849" s="79" t="str">
        <f t="shared" si="63"/>
        <v/>
      </c>
      <c r="N849" s="14">
        <f t="shared" si="64"/>
        <v>3</v>
      </c>
    </row>
    <row r="850" spans="1:14" x14ac:dyDescent="0.35">
      <c r="A850" s="102" t="str">
        <f t="shared" si="62"/>
        <v/>
      </c>
      <c r="G850" s="14" t="e">
        <f>VLOOKUP(F850,'Accident &amp; Incident Detail'!$D$3:$E$4153,2,FALSE)</f>
        <v>#N/A</v>
      </c>
      <c r="M850" s="79" t="str">
        <f t="shared" si="63"/>
        <v/>
      </c>
      <c r="N850" s="14">
        <f t="shared" si="64"/>
        <v>3</v>
      </c>
    </row>
    <row r="851" spans="1:14" x14ac:dyDescent="0.35">
      <c r="A851" s="102" t="str">
        <f t="shared" si="62"/>
        <v/>
      </c>
      <c r="G851" s="14" t="e">
        <f>VLOOKUP(F851,'Accident &amp; Incident Detail'!$D$3:$E$4153,2,FALSE)</f>
        <v>#N/A</v>
      </c>
      <c r="M851" s="79" t="str">
        <f t="shared" si="63"/>
        <v/>
      </c>
      <c r="N851" s="14">
        <f t="shared" si="64"/>
        <v>3</v>
      </c>
    </row>
    <row r="852" spans="1:14" x14ac:dyDescent="0.35">
      <c r="A852" s="102" t="str">
        <f t="shared" si="62"/>
        <v/>
      </c>
      <c r="G852" s="14" t="e">
        <f>VLOOKUP(F852,'Accident &amp; Incident Detail'!$D$3:$E$4153,2,FALSE)</f>
        <v>#N/A</v>
      </c>
      <c r="M852" s="79" t="str">
        <f t="shared" si="63"/>
        <v/>
      </c>
      <c r="N852" s="14">
        <f t="shared" si="64"/>
        <v>3</v>
      </c>
    </row>
    <row r="853" spans="1:14" x14ac:dyDescent="0.35">
      <c r="A853" s="102" t="str">
        <f t="shared" si="62"/>
        <v/>
      </c>
      <c r="G853" s="14" t="e">
        <f>VLOOKUP(F853,'Accident &amp; Incident Detail'!$D$3:$E$4153,2,FALSE)</f>
        <v>#N/A</v>
      </c>
      <c r="M853" s="79" t="str">
        <f t="shared" si="63"/>
        <v/>
      </c>
      <c r="N853" s="14">
        <f t="shared" si="64"/>
        <v>3</v>
      </c>
    </row>
    <row r="854" spans="1:14" x14ac:dyDescent="0.35">
      <c r="A854" s="102" t="str">
        <f t="shared" si="62"/>
        <v/>
      </c>
      <c r="G854" s="14" t="e">
        <f>VLOOKUP(F854,'Accident &amp; Incident Detail'!$D$3:$E$4153,2,FALSE)</f>
        <v>#N/A</v>
      </c>
      <c r="M854" s="79" t="str">
        <f t="shared" si="63"/>
        <v/>
      </c>
      <c r="N854" s="14">
        <f t="shared" si="64"/>
        <v>3</v>
      </c>
    </row>
    <row r="855" spans="1:14" x14ac:dyDescent="0.35">
      <c r="A855" s="102" t="str">
        <f t="shared" si="62"/>
        <v/>
      </c>
      <c r="G855" s="14" t="e">
        <f>VLOOKUP(F855,'Accident &amp; Incident Detail'!$D$3:$E$4153,2,FALSE)</f>
        <v>#N/A</v>
      </c>
      <c r="M855" s="79" t="str">
        <f t="shared" si="63"/>
        <v/>
      </c>
      <c r="N855" s="14">
        <f t="shared" si="64"/>
        <v>3</v>
      </c>
    </row>
    <row r="856" spans="1:14" x14ac:dyDescent="0.35">
      <c r="A856" s="102" t="str">
        <f t="shared" si="62"/>
        <v/>
      </c>
      <c r="G856" s="14" t="e">
        <f>VLOOKUP(F856,'Accident &amp; Incident Detail'!$D$3:$E$4153,2,FALSE)</f>
        <v>#N/A</v>
      </c>
      <c r="M856" s="79" t="str">
        <f t="shared" si="63"/>
        <v/>
      </c>
      <c r="N856" s="14">
        <f t="shared" si="64"/>
        <v>3</v>
      </c>
    </row>
    <row r="857" spans="1:14" x14ac:dyDescent="0.35">
      <c r="A857" s="102" t="str">
        <f t="shared" si="62"/>
        <v/>
      </c>
      <c r="G857" s="14" t="e">
        <f>VLOOKUP(F857,'Accident &amp; Incident Detail'!$D$3:$E$4153,2,FALSE)</f>
        <v>#N/A</v>
      </c>
      <c r="M857" s="79" t="str">
        <f t="shared" si="63"/>
        <v/>
      </c>
      <c r="N857" s="14">
        <f t="shared" si="64"/>
        <v>3</v>
      </c>
    </row>
    <row r="858" spans="1:14" x14ac:dyDescent="0.35">
      <c r="A858" s="102" t="str">
        <f t="shared" si="62"/>
        <v/>
      </c>
      <c r="G858" s="14" t="e">
        <f>VLOOKUP(F858,'Accident &amp; Incident Detail'!$D$3:$E$4153,2,FALSE)</f>
        <v>#N/A</v>
      </c>
      <c r="M858" s="79" t="str">
        <f t="shared" si="63"/>
        <v/>
      </c>
      <c r="N858" s="14">
        <f t="shared" si="64"/>
        <v>3</v>
      </c>
    </row>
    <row r="859" spans="1:14" x14ac:dyDescent="0.35">
      <c r="A859" s="102" t="str">
        <f t="shared" si="62"/>
        <v/>
      </c>
      <c r="G859" s="14" t="e">
        <f>VLOOKUP(F859,'Accident &amp; Incident Detail'!$D$3:$E$4153,2,FALSE)</f>
        <v>#N/A</v>
      </c>
      <c r="M859" s="79" t="str">
        <f t="shared" si="63"/>
        <v/>
      </c>
      <c r="N859" s="14">
        <f t="shared" si="64"/>
        <v>3</v>
      </c>
    </row>
    <row r="860" spans="1:14" x14ac:dyDescent="0.35">
      <c r="A860" s="102" t="str">
        <f t="shared" si="62"/>
        <v/>
      </c>
      <c r="G860" s="14" t="e">
        <f>VLOOKUP(F860,'Accident &amp; Incident Detail'!$D$3:$E$4153,2,FALSE)</f>
        <v>#N/A</v>
      </c>
      <c r="M860" s="79" t="str">
        <f t="shared" si="63"/>
        <v/>
      </c>
      <c r="N860" s="14">
        <f t="shared" si="64"/>
        <v>3</v>
      </c>
    </row>
    <row r="861" spans="1:14" x14ac:dyDescent="0.35">
      <c r="A861" s="102" t="str">
        <f t="shared" si="62"/>
        <v/>
      </c>
      <c r="G861" s="14" t="e">
        <f>VLOOKUP(F861,'Accident &amp; Incident Detail'!$D$3:$E$4153,2,FALSE)</f>
        <v>#N/A</v>
      </c>
      <c r="M861" s="79" t="str">
        <f t="shared" si="63"/>
        <v/>
      </c>
      <c r="N861" s="14">
        <f t="shared" si="64"/>
        <v>3</v>
      </c>
    </row>
    <row r="862" spans="1:14" x14ac:dyDescent="0.35">
      <c r="A862" s="102" t="str">
        <f t="shared" si="62"/>
        <v/>
      </c>
      <c r="G862" s="14" t="e">
        <f>VLOOKUP(F862,'Accident &amp; Incident Detail'!$D$3:$E$4153,2,FALSE)</f>
        <v>#N/A</v>
      </c>
      <c r="M862" s="79" t="str">
        <f t="shared" si="63"/>
        <v/>
      </c>
      <c r="N862" s="14">
        <f t="shared" si="64"/>
        <v>3</v>
      </c>
    </row>
    <row r="863" spans="1:14" x14ac:dyDescent="0.35">
      <c r="A863" s="102" t="str">
        <f t="shared" si="62"/>
        <v/>
      </c>
      <c r="G863" s="14" t="e">
        <f>VLOOKUP(F863,'Accident &amp; Incident Detail'!$D$3:$E$4153,2,FALSE)</f>
        <v>#N/A</v>
      </c>
      <c r="M863" s="79" t="str">
        <f t="shared" si="63"/>
        <v/>
      </c>
      <c r="N863" s="14">
        <f t="shared" si="64"/>
        <v>3</v>
      </c>
    </row>
    <row r="864" spans="1:14" x14ac:dyDescent="0.35">
      <c r="A864" s="102" t="str">
        <f t="shared" si="62"/>
        <v/>
      </c>
      <c r="G864" s="14" t="e">
        <f>VLOOKUP(F864,'Accident &amp; Incident Detail'!$D$3:$E$4153,2,FALSE)</f>
        <v>#N/A</v>
      </c>
      <c r="M864" s="79" t="str">
        <f t="shared" si="63"/>
        <v/>
      </c>
      <c r="N864" s="14">
        <f t="shared" si="64"/>
        <v>3</v>
      </c>
    </row>
    <row r="865" spans="1:14" x14ac:dyDescent="0.35">
      <c r="A865" s="102" t="str">
        <f t="shared" si="62"/>
        <v/>
      </c>
      <c r="G865" s="14" t="e">
        <f>VLOOKUP(F865,'Accident &amp; Incident Detail'!$D$3:$E$4153,2,FALSE)</f>
        <v>#N/A</v>
      </c>
      <c r="M865" s="79" t="str">
        <f t="shared" si="63"/>
        <v/>
      </c>
      <c r="N865" s="14">
        <f t="shared" si="64"/>
        <v>3</v>
      </c>
    </row>
    <row r="866" spans="1:14" x14ac:dyDescent="0.35">
      <c r="A866" s="102" t="str">
        <f t="shared" si="62"/>
        <v/>
      </c>
      <c r="G866" s="14" t="e">
        <f>VLOOKUP(F866,'Accident &amp; Incident Detail'!$D$3:$E$4153,2,FALSE)</f>
        <v>#N/A</v>
      </c>
      <c r="M866" s="79" t="str">
        <f t="shared" si="63"/>
        <v/>
      </c>
      <c r="N866" s="14">
        <f t="shared" si="64"/>
        <v>3</v>
      </c>
    </row>
    <row r="867" spans="1:14" x14ac:dyDescent="0.35">
      <c r="A867" s="102" t="str">
        <f t="shared" si="62"/>
        <v/>
      </c>
      <c r="G867" s="14" t="e">
        <f>VLOOKUP(F867,'Accident &amp; Incident Detail'!$D$3:$E$4153,2,FALSE)</f>
        <v>#N/A</v>
      </c>
      <c r="M867" s="79" t="str">
        <f t="shared" si="63"/>
        <v/>
      </c>
      <c r="N867" s="14">
        <f t="shared" si="64"/>
        <v>3</v>
      </c>
    </row>
    <row r="868" spans="1:14" x14ac:dyDescent="0.35">
      <c r="A868" s="102" t="str">
        <f t="shared" si="62"/>
        <v/>
      </c>
      <c r="G868" s="14" t="e">
        <f>VLOOKUP(F868,'Accident &amp; Incident Detail'!$D$3:$E$4153,2,FALSE)</f>
        <v>#N/A</v>
      </c>
      <c r="M868" s="79" t="str">
        <f t="shared" si="63"/>
        <v/>
      </c>
      <c r="N868" s="14">
        <f t="shared" si="64"/>
        <v>3</v>
      </c>
    </row>
    <row r="869" spans="1:14" x14ac:dyDescent="0.35">
      <c r="A869" s="102" t="str">
        <f t="shared" si="62"/>
        <v/>
      </c>
      <c r="G869" s="14" t="e">
        <f>VLOOKUP(F869,'Accident &amp; Incident Detail'!$D$3:$E$4153,2,FALSE)</f>
        <v>#N/A</v>
      </c>
      <c r="M869" s="79" t="str">
        <f t="shared" si="63"/>
        <v/>
      </c>
      <c r="N869" s="14">
        <f t="shared" si="64"/>
        <v>3</v>
      </c>
    </row>
    <row r="870" spans="1:14" x14ac:dyDescent="0.35">
      <c r="A870" s="102" t="str">
        <f t="shared" ref="A870:A933" si="65">IF(O870&gt;1,"Closed",IF(N870=1,"Overdue",IF(N870=3,"","Open")))</f>
        <v/>
      </c>
      <c r="G870" s="14" t="e">
        <f>VLOOKUP(F870,'Accident &amp; Incident Detail'!$D$3:$E$4153,2,FALSE)</f>
        <v>#N/A</v>
      </c>
      <c r="M870" s="79" t="str">
        <f t="shared" si="63"/>
        <v/>
      </c>
      <c r="N870" s="14">
        <f t="shared" si="64"/>
        <v>3</v>
      </c>
    </row>
    <row r="871" spans="1:14" x14ac:dyDescent="0.35">
      <c r="A871" s="102" t="str">
        <f t="shared" si="65"/>
        <v/>
      </c>
      <c r="G871" s="14" t="e">
        <f>VLOOKUP(F871,'Accident &amp; Incident Detail'!$D$3:$E$4153,2,FALSE)</f>
        <v>#N/A</v>
      </c>
      <c r="M871" s="79" t="str">
        <f t="shared" si="63"/>
        <v/>
      </c>
      <c r="N871" s="14">
        <f t="shared" si="64"/>
        <v>3</v>
      </c>
    </row>
    <row r="872" spans="1:14" x14ac:dyDescent="0.35">
      <c r="A872" s="102" t="str">
        <f t="shared" si="65"/>
        <v/>
      </c>
      <c r="G872" s="14" t="e">
        <f>VLOOKUP(F872,'Accident &amp; Incident Detail'!$D$3:$E$4153,2,FALSE)</f>
        <v>#N/A</v>
      </c>
      <c r="M872" s="79" t="str">
        <f t="shared" si="63"/>
        <v/>
      </c>
      <c r="N872" s="14">
        <f t="shared" si="64"/>
        <v>3</v>
      </c>
    </row>
    <row r="873" spans="1:14" x14ac:dyDescent="0.35">
      <c r="A873" s="102" t="str">
        <f t="shared" si="65"/>
        <v/>
      </c>
      <c r="G873" s="14" t="e">
        <f>VLOOKUP(F873,'Accident &amp; Incident Detail'!$D$3:$E$4153,2,FALSE)</f>
        <v>#N/A</v>
      </c>
      <c r="M873" s="79" t="str">
        <f t="shared" si="63"/>
        <v/>
      </c>
      <c r="N873" s="14">
        <f t="shared" si="64"/>
        <v>3</v>
      </c>
    </row>
    <row r="874" spans="1:14" x14ac:dyDescent="0.35">
      <c r="A874" s="102" t="str">
        <f t="shared" si="65"/>
        <v/>
      </c>
      <c r="G874" s="14" t="e">
        <f>VLOOKUP(F874,'Accident &amp; Incident Detail'!$D$3:$E$4153,2,FALSE)</f>
        <v>#N/A</v>
      </c>
      <c r="M874" s="79" t="str">
        <f t="shared" si="63"/>
        <v/>
      </c>
      <c r="N874" s="14">
        <f t="shared" si="64"/>
        <v>3</v>
      </c>
    </row>
    <row r="875" spans="1:14" x14ac:dyDescent="0.35">
      <c r="A875" s="102" t="str">
        <f t="shared" si="65"/>
        <v/>
      </c>
      <c r="G875" s="14" t="e">
        <f>VLOOKUP(F875,'Accident &amp; Incident Detail'!$D$3:$E$4153,2,FALSE)</f>
        <v>#N/A</v>
      </c>
      <c r="M875" s="79" t="str">
        <f t="shared" si="63"/>
        <v/>
      </c>
      <c r="N875" s="14">
        <f t="shared" si="64"/>
        <v>3</v>
      </c>
    </row>
    <row r="876" spans="1:14" x14ac:dyDescent="0.35">
      <c r="A876" s="102" t="str">
        <f t="shared" si="65"/>
        <v/>
      </c>
      <c r="G876" s="14" t="e">
        <f>VLOOKUP(F876,'Accident &amp; Incident Detail'!$D$3:$E$4153,2,FALSE)</f>
        <v>#N/A</v>
      </c>
      <c r="M876" s="79" t="str">
        <f t="shared" si="63"/>
        <v/>
      </c>
      <c r="N876" s="14">
        <f t="shared" si="64"/>
        <v>3</v>
      </c>
    </row>
    <row r="877" spans="1:14" x14ac:dyDescent="0.35">
      <c r="A877" s="102" t="str">
        <f t="shared" si="65"/>
        <v/>
      </c>
      <c r="G877" s="14" t="e">
        <f>VLOOKUP(F877,'Accident &amp; Incident Detail'!$D$3:$E$4153,2,FALSE)</f>
        <v>#N/A</v>
      </c>
      <c r="M877" s="79" t="str">
        <f t="shared" ref="M877:M940" si="66">IF(D877="","",D877+28)</f>
        <v/>
      </c>
      <c r="N877" s="14">
        <f t="shared" ref="N877:N940" si="67">IF(D877="",3,IF(M877&lt;$A$2,1,0))</f>
        <v>3</v>
      </c>
    </row>
    <row r="878" spans="1:14" x14ac:dyDescent="0.35">
      <c r="A878" s="102" t="str">
        <f t="shared" si="65"/>
        <v/>
      </c>
      <c r="G878" s="14" t="e">
        <f>VLOOKUP(F878,'Accident &amp; Incident Detail'!$D$3:$E$4153,2,FALSE)</f>
        <v>#N/A</v>
      </c>
      <c r="M878" s="79" t="str">
        <f t="shared" si="66"/>
        <v/>
      </c>
      <c r="N878" s="14">
        <f t="shared" si="67"/>
        <v>3</v>
      </c>
    </row>
    <row r="879" spans="1:14" x14ac:dyDescent="0.35">
      <c r="A879" s="102" t="str">
        <f t="shared" si="65"/>
        <v/>
      </c>
      <c r="G879" s="14" t="e">
        <f>VLOOKUP(F879,'Accident &amp; Incident Detail'!$D$3:$E$4153,2,FALSE)</f>
        <v>#N/A</v>
      </c>
      <c r="M879" s="79" t="str">
        <f t="shared" si="66"/>
        <v/>
      </c>
      <c r="N879" s="14">
        <f t="shared" si="67"/>
        <v>3</v>
      </c>
    </row>
    <row r="880" spans="1:14" x14ac:dyDescent="0.35">
      <c r="A880" s="102" t="str">
        <f t="shared" si="65"/>
        <v/>
      </c>
      <c r="G880" s="14" t="e">
        <f>VLOOKUP(F880,'Accident &amp; Incident Detail'!$D$3:$E$4153,2,FALSE)</f>
        <v>#N/A</v>
      </c>
      <c r="M880" s="79" t="str">
        <f t="shared" si="66"/>
        <v/>
      </c>
      <c r="N880" s="14">
        <f t="shared" si="67"/>
        <v>3</v>
      </c>
    </row>
    <row r="881" spans="1:14" x14ac:dyDescent="0.35">
      <c r="A881" s="102" t="str">
        <f t="shared" si="65"/>
        <v/>
      </c>
      <c r="G881" s="14" t="e">
        <f>VLOOKUP(F881,'Accident &amp; Incident Detail'!$D$3:$E$4153,2,FALSE)</f>
        <v>#N/A</v>
      </c>
      <c r="M881" s="79" t="str">
        <f t="shared" si="66"/>
        <v/>
      </c>
      <c r="N881" s="14">
        <f t="shared" si="67"/>
        <v>3</v>
      </c>
    </row>
    <row r="882" spans="1:14" x14ac:dyDescent="0.35">
      <c r="A882" s="102" t="str">
        <f t="shared" si="65"/>
        <v/>
      </c>
      <c r="G882" s="14" t="e">
        <f>VLOOKUP(F882,'Accident &amp; Incident Detail'!$D$3:$E$4153,2,FALSE)</f>
        <v>#N/A</v>
      </c>
      <c r="M882" s="79" t="str">
        <f t="shared" si="66"/>
        <v/>
      </c>
      <c r="N882" s="14">
        <f t="shared" si="67"/>
        <v>3</v>
      </c>
    </row>
    <row r="883" spans="1:14" x14ac:dyDescent="0.35">
      <c r="A883" s="102" t="str">
        <f t="shared" si="65"/>
        <v/>
      </c>
      <c r="G883" s="14" t="e">
        <f>VLOOKUP(F883,'Accident &amp; Incident Detail'!$D$3:$E$4153,2,FALSE)</f>
        <v>#N/A</v>
      </c>
      <c r="M883" s="79" t="str">
        <f t="shared" si="66"/>
        <v/>
      </c>
      <c r="N883" s="14">
        <f t="shared" si="67"/>
        <v>3</v>
      </c>
    </row>
    <row r="884" spans="1:14" x14ac:dyDescent="0.35">
      <c r="A884" s="102" t="str">
        <f t="shared" si="65"/>
        <v/>
      </c>
      <c r="G884" s="14" t="e">
        <f>VLOOKUP(F884,'Accident &amp; Incident Detail'!$D$3:$E$4153,2,FALSE)</f>
        <v>#N/A</v>
      </c>
      <c r="M884" s="79" t="str">
        <f t="shared" si="66"/>
        <v/>
      </c>
      <c r="N884" s="14">
        <f t="shared" si="67"/>
        <v>3</v>
      </c>
    </row>
    <row r="885" spans="1:14" x14ac:dyDescent="0.35">
      <c r="A885" s="102" t="str">
        <f t="shared" si="65"/>
        <v/>
      </c>
      <c r="G885" s="14" t="e">
        <f>VLOOKUP(F885,'Accident &amp; Incident Detail'!$D$3:$E$4153,2,FALSE)</f>
        <v>#N/A</v>
      </c>
      <c r="M885" s="79" t="str">
        <f t="shared" si="66"/>
        <v/>
      </c>
      <c r="N885" s="14">
        <f t="shared" si="67"/>
        <v>3</v>
      </c>
    </row>
    <row r="886" spans="1:14" x14ac:dyDescent="0.35">
      <c r="A886" s="102" t="str">
        <f t="shared" si="65"/>
        <v/>
      </c>
      <c r="G886" s="14" t="e">
        <f>VLOOKUP(F886,'Accident &amp; Incident Detail'!$D$3:$E$4153,2,FALSE)</f>
        <v>#N/A</v>
      </c>
      <c r="M886" s="79" t="str">
        <f t="shared" si="66"/>
        <v/>
      </c>
      <c r="N886" s="14">
        <f t="shared" si="67"/>
        <v>3</v>
      </c>
    </row>
    <row r="887" spans="1:14" x14ac:dyDescent="0.35">
      <c r="A887" s="102" t="str">
        <f t="shared" si="65"/>
        <v/>
      </c>
      <c r="G887" s="14" t="e">
        <f>VLOOKUP(F887,'Accident &amp; Incident Detail'!$D$3:$E$4153,2,FALSE)</f>
        <v>#N/A</v>
      </c>
      <c r="M887" s="79" t="str">
        <f t="shared" si="66"/>
        <v/>
      </c>
      <c r="N887" s="14">
        <f t="shared" si="67"/>
        <v>3</v>
      </c>
    </row>
    <row r="888" spans="1:14" x14ac:dyDescent="0.35">
      <c r="A888" s="102" t="str">
        <f t="shared" si="65"/>
        <v/>
      </c>
      <c r="G888" s="14" t="e">
        <f>VLOOKUP(F888,'Accident &amp; Incident Detail'!$D$3:$E$4153,2,FALSE)</f>
        <v>#N/A</v>
      </c>
      <c r="M888" s="79" t="str">
        <f t="shared" si="66"/>
        <v/>
      </c>
      <c r="N888" s="14">
        <f t="shared" si="67"/>
        <v>3</v>
      </c>
    </row>
    <row r="889" spans="1:14" x14ac:dyDescent="0.35">
      <c r="A889" s="102" t="str">
        <f t="shared" si="65"/>
        <v/>
      </c>
      <c r="G889" s="14" t="e">
        <f>VLOOKUP(F889,'Accident &amp; Incident Detail'!$D$3:$E$4153,2,FALSE)</f>
        <v>#N/A</v>
      </c>
      <c r="M889" s="79" t="str">
        <f t="shared" si="66"/>
        <v/>
      </c>
      <c r="N889" s="14">
        <f t="shared" si="67"/>
        <v>3</v>
      </c>
    </row>
    <row r="890" spans="1:14" x14ac:dyDescent="0.35">
      <c r="A890" s="102" t="str">
        <f t="shared" si="65"/>
        <v/>
      </c>
      <c r="G890" s="14" t="e">
        <f>VLOOKUP(F890,'Accident &amp; Incident Detail'!$D$3:$E$4153,2,FALSE)</f>
        <v>#N/A</v>
      </c>
      <c r="M890" s="79" t="str">
        <f t="shared" si="66"/>
        <v/>
      </c>
      <c r="N890" s="14">
        <f t="shared" si="67"/>
        <v>3</v>
      </c>
    </row>
    <row r="891" spans="1:14" x14ac:dyDescent="0.35">
      <c r="A891" s="102" t="str">
        <f t="shared" si="65"/>
        <v/>
      </c>
      <c r="G891" s="14" t="e">
        <f>VLOOKUP(F891,'Accident &amp; Incident Detail'!$D$3:$E$4153,2,FALSE)</f>
        <v>#N/A</v>
      </c>
      <c r="M891" s="79" t="str">
        <f t="shared" si="66"/>
        <v/>
      </c>
      <c r="N891" s="14">
        <f t="shared" si="67"/>
        <v>3</v>
      </c>
    </row>
    <row r="892" spans="1:14" x14ac:dyDescent="0.35">
      <c r="A892" s="102" t="str">
        <f t="shared" si="65"/>
        <v/>
      </c>
      <c r="G892" s="14" t="e">
        <f>VLOOKUP(F892,'Accident &amp; Incident Detail'!$D$3:$E$4153,2,FALSE)</f>
        <v>#N/A</v>
      </c>
      <c r="M892" s="79" t="str">
        <f t="shared" si="66"/>
        <v/>
      </c>
      <c r="N892" s="14">
        <f t="shared" si="67"/>
        <v>3</v>
      </c>
    </row>
    <row r="893" spans="1:14" x14ac:dyDescent="0.35">
      <c r="A893" s="102" t="str">
        <f t="shared" si="65"/>
        <v/>
      </c>
      <c r="G893" s="14" t="e">
        <f>VLOOKUP(F893,'Accident &amp; Incident Detail'!$D$3:$E$4153,2,FALSE)</f>
        <v>#N/A</v>
      </c>
      <c r="M893" s="79" t="str">
        <f t="shared" si="66"/>
        <v/>
      </c>
      <c r="N893" s="14">
        <f t="shared" si="67"/>
        <v>3</v>
      </c>
    </row>
    <row r="894" spans="1:14" x14ac:dyDescent="0.35">
      <c r="A894" s="102" t="str">
        <f t="shared" si="65"/>
        <v/>
      </c>
      <c r="G894" s="14" t="e">
        <f>VLOOKUP(F894,'Accident &amp; Incident Detail'!$D$3:$E$4153,2,FALSE)</f>
        <v>#N/A</v>
      </c>
      <c r="M894" s="79" t="str">
        <f t="shared" si="66"/>
        <v/>
      </c>
      <c r="N894" s="14">
        <f t="shared" si="67"/>
        <v>3</v>
      </c>
    </row>
    <row r="895" spans="1:14" x14ac:dyDescent="0.35">
      <c r="A895" s="102" t="str">
        <f t="shared" si="65"/>
        <v/>
      </c>
      <c r="G895" s="14" t="e">
        <f>VLOOKUP(F895,'Accident &amp; Incident Detail'!$D$3:$E$4153,2,FALSE)</f>
        <v>#N/A</v>
      </c>
      <c r="M895" s="79" t="str">
        <f t="shared" si="66"/>
        <v/>
      </c>
      <c r="N895" s="14">
        <f t="shared" si="67"/>
        <v>3</v>
      </c>
    </row>
    <row r="896" spans="1:14" x14ac:dyDescent="0.35">
      <c r="A896" s="102" t="str">
        <f t="shared" si="65"/>
        <v/>
      </c>
      <c r="G896" s="14" t="e">
        <f>VLOOKUP(F896,'Accident &amp; Incident Detail'!$D$3:$E$4153,2,FALSE)</f>
        <v>#N/A</v>
      </c>
      <c r="M896" s="79" t="str">
        <f t="shared" si="66"/>
        <v/>
      </c>
      <c r="N896" s="14">
        <f t="shared" si="67"/>
        <v>3</v>
      </c>
    </row>
    <row r="897" spans="1:14" x14ac:dyDescent="0.35">
      <c r="A897" s="102" t="str">
        <f t="shared" si="65"/>
        <v/>
      </c>
      <c r="G897" s="14" t="e">
        <f>VLOOKUP(F897,'Accident &amp; Incident Detail'!$D$3:$E$4153,2,FALSE)</f>
        <v>#N/A</v>
      </c>
      <c r="M897" s="79" t="str">
        <f t="shared" si="66"/>
        <v/>
      </c>
      <c r="N897" s="14">
        <f t="shared" si="67"/>
        <v>3</v>
      </c>
    </row>
    <row r="898" spans="1:14" x14ac:dyDescent="0.35">
      <c r="A898" s="102" t="str">
        <f t="shared" si="65"/>
        <v/>
      </c>
      <c r="G898" s="14" t="e">
        <f>VLOOKUP(F898,'Accident &amp; Incident Detail'!$D$3:$E$4153,2,FALSE)</f>
        <v>#N/A</v>
      </c>
      <c r="M898" s="79" t="str">
        <f t="shared" si="66"/>
        <v/>
      </c>
      <c r="N898" s="14">
        <f t="shared" si="67"/>
        <v>3</v>
      </c>
    </row>
    <row r="899" spans="1:14" x14ac:dyDescent="0.35">
      <c r="A899" s="102" t="str">
        <f t="shared" si="65"/>
        <v/>
      </c>
      <c r="G899" s="14" t="e">
        <f>VLOOKUP(F899,'Accident &amp; Incident Detail'!$D$3:$E$4153,2,FALSE)</f>
        <v>#N/A</v>
      </c>
      <c r="M899" s="79" t="str">
        <f t="shared" si="66"/>
        <v/>
      </c>
      <c r="N899" s="14">
        <f t="shared" si="67"/>
        <v>3</v>
      </c>
    </row>
    <row r="900" spans="1:14" x14ac:dyDescent="0.35">
      <c r="A900" s="102" t="str">
        <f t="shared" si="65"/>
        <v/>
      </c>
      <c r="G900" s="14" t="e">
        <f>VLOOKUP(F900,'Accident &amp; Incident Detail'!$D$3:$E$4153,2,FALSE)</f>
        <v>#N/A</v>
      </c>
      <c r="M900" s="79" t="str">
        <f t="shared" si="66"/>
        <v/>
      </c>
      <c r="N900" s="14">
        <f t="shared" si="67"/>
        <v>3</v>
      </c>
    </row>
    <row r="901" spans="1:14" x14ac:dyDescent="0.35">
      <c r="A901" s="102" t="str">
        <f t="shared" si="65"/>
        <v/>
      </c>
      <c r="G901" s="14" t="e">
        <f>VLOOKUP(F901,'Accident &amp; Incident Detail'!$D$3:$E$4153,2,FALSE)</f>
        <v>#N/A</v>
      </c>
      <c r="M901" s="79" t="str">
        <f t="shared" si="66"/>
        <v/>
      </c>
      <c r="N901" s="14">
        <f t="shared" si="67"/>
        <v>3</v>
      </c>
    </row>
    <row r="902" spans="1:14" x14ac:dyDescent="0.35">
      <c r="A902" s="102" t="str">
        <f t="shared" si="65"/>
        <v/>
      </c>
      <c r="G902" s="14" t="e">
        <f>VLOOKUP(F902,'Accident &amp; Incident Detail'!$D$3:$E$4153,2,FALSE)</f>
        <v>#N/A</v>
      </c>
      <c r="M902" s="79" t="str">
        <f t="shared" si="66"/>
        <v/>
      </c>
      <c r="N902" s="14">
        <f t="shared" si="67"/>
        <v>3</v>
      </c>
    </row>
    <row r="903" spans="1:14" x14ac:dyDescent="0.35">
      <c r="A903" s="102" t="str">
        <f t="shared" si="65"/>
        <v/>
      </c>
      <c r="G903" s="14" t="e">
        <f>VLOOKUP(F903,'Accident &amp; Incident Detail'!$D$3:$E$4153,2,FALSE)</f>
        <v>#N/A</v>
      </c>
      <c r="M903" s="79" t="str">
        <f t="shared" si="66"/>
        <v/>
      </c>
      <c r="N903" s="14">
        <f t="shared" si="67"/>
        <v>3</v>
      </c>
    </row>
    <row r="904" spans="1:14" x14ac:dyDescent="0.35">
      <c r="A904" s="102" t="str">
        <f t="shared" si="65"/>
        <v/>
      </c>
      <c r="G904" s="14" t="e">
        <f>VLOOKUP(F904,'Accident &amp; Incident Detail'!$D$3:$E$4153,2,FALSE)</f>
        <v>#N/A</v>
      </c>
      <c r="M904" s="79" t="str">
        <f t="shared" si="66"/>
        <v/>
      </c>
      <c r="N904" s="14">
        <f t="shared" si="67"/>
        <v>3</v>
      </c>
    </row>
    <row r="905" spans="1:14" x14ac:dyDescent="0.35">
      <c r="A905" s="102" t="str">
        <f t="shared" si="65"/>
        <v/>
      </c>
      <c r="G905" s="14" t="e">
        <f>VLOOKUP(F905,'Accident &amp; Incident Detail'!$D$3:$E$4153,2,FALSE)</f>
        <v>#N/A</v>
      </c>
      <c r="M905" s="79" t="str">
        <f t="shared" si="66"/>
        <v/>
      </c>
      <c r="N905" s="14">
        <f t="shared" si="67"/>
        <v>3</v>
      </c>
    </row>
    <row r="906" spans="1:14" x14ac:dyDescent="0.35">
      <c r="A906" s="102" t="str">
        <f t="shared" si="65"/>
        <v/>
      </c>
      <c r="G906" s="14" t="e">
        <f>VLOOKUP(F906,'Accident &amp; Incident Detail'!$D$3:$E$4153,2,FALSE)</f>
        <v>#N/A</v>
      </c>
      <c r="M906" s="79" t="str">
        <f t="shared" si="66"/>
        <v/>
      </c>
      <c r="N906" s="14">
        <f t="shared" si="67"/>
        <v>3</v>
      </c>
    </row>
    <row r="907" spans="1:14" x14ac:dyDescent="0.35">
      <c r="A907" s="102" t="str">
        <f t="shared" si="65"/>
        <v/>
      </c>
      <c r="G907" s="14" t="e">
        <f>VLOOKUP(F907,'Accident &amp; Incident Detail'!$D$3:$E$4153,2,FALSE)</f>
        <v>#N/A</v>
      </c>
      <c r="M907" s="79" t="str">
        <f t="shared" si="66"/>
        <v/>
      </c>
      <c r="N907" s="14">
        <f t="shared" si="67"/>
        <v>3</v>
      </c>
    </row>
    <row r="908" spans="1:14" x14ac:dyDescent="0.35">
      <c r="A908" s="102" t="str">
        <f t="shared" si="65"/>
        <v/>
      </c>
      <c r="G908" s="14" t="e">
        <f>VLOOKUP(F908,'Accident &amp; Incident Detail'!$D$3:$E$4153,2,FALSE)</f>
        <v>#N/A</v>
      </c>
      <c r="M908" s="79" t="str">
        <f t="shared" si="66"/>
        <v/>
      </c>
      <c r="N908" s="14">
        <f t="shared" si="67"/>
        <v>3</v>
      </c>
    </row>
    <row r="909" spans="1:14" x14ac:dyDescent="0.35">
      <c r="A909" s="102" t="str">
        <f t="shared" si="65"/>
        <v/>
      </c>
      <c r="G909" s="14" t="e">
        <f>VLOOKUP(F909,'Accident &amp; Incident Detail'!$D$3:$E$4153,2,FALSE)</f>
        <v>#N/A</v>
      </c>
      <c r="M909" s="79" t="str">
        <f t="shared" si="66"/>
        <v/>
      </c>
      <c r="N909" s="14">
        <f t="shared" si="67"/>
        <v>3</v>
      </c>
    </row>
    <row r="910" spans="1:14" x14ac:dyDescent="0.35">
      <c r="A910" s="102" t="str">
        <f t="shared" si="65"/>
        <v/>
      </c>
      <c r="G910" s="14" t="e">
        <f>VLOOKUP(F910,'Accident &amp; Incident Detail'!$D$3:$E$4153,2,FALSE)</f>
        <v>#N/A</v>
      </c>
      <c r="M910" s="79" t="str">
        <f t="shared" si="66"/>
        <v/>
      </c>
      <c r="N910" s="14">
        <f t="shared" si="67"/>
        <v>3</v>
      </c>
    </row>
    <row r="911" spans="1:14" x14ac:dyDescent="0.35">
      <c r="A911" s="102" t="str">
        <f t="shared" si="65"/>
        <v/>
      </c>
      <c r="G911" s="14" t="e">
        <f>VLOOKUP(F911,'Accident &amp; Incident Detail'!$D$3:$E$4153,2,FALSE)</f>
        <v>#N/A</v>
      </c>
      <c r="M911" s="79" t="str">
        <f t="shared" si="66"/>
        <v/>
      </c>
      <c r="N911" s="14">
        <f t="shared" si="67"/>
        <v>3</v>
      </c>
    </row>
    <row r="912" spans="1:14" x14ac:dyDescent="0.35">
      <c r="A912" s="102" t="str">
        <f t="shared" si="65"/>
        <v/>
      </c>
      <c r="G912" s="14" t="e">
        <f>VLOOKUP(F912,'Accident &amp; Incident Detail'!$D$3:$E$4153,2,FALSE)</f>
        <v>#N/A</v>
      </c>
      <c r="M912" s="79" t="str">
        <f t="shared" si="66"/>
        <v/>
      </c>
      <c r="N912" s="14">
        <f t="shared" si="67"/>
        <v>3</v>
      </c>
    </row>
    <row r="913" spans="1:14" x14ac:dyDescent="0.35">
      <c r="A913" s="102" t="str">
        <f t="shared" si="65"/>
        <v/>
      </c>
      <c r="G913" s="14" t="e">
        <f>VLOOKUP(F913,'Accident &amp; Incident Detail'!$D$3:$E$4153,2,FALSE)</f>
        <v>#N/A</v>
      </c>
      <c r="M913" s="79" t="str">
        <f t="shared" si="66"/>
        <v/>
      </c>
      <c r="N913" s="14">
        <f t="shared" si="67"/>
        <v>3</v>
      </c>
    </row>
    <row r="914" spans="1:14" x14ac:dyDescent="0.35">
      <c r="A914" s="102" t="str">
        <f t="shared" si="65"/>
        <v/>
      </c>
      <c r="G914" s="14" t="e">
        <f>VLOOKUP(F914,'Accident &amp; Incident Detail'!$D$3:$E$4153,2,FALSE)</f>
        <v>#N/A</v>
      </c>
      <c r="M914" s="79" t="str">
        <f t="shared" si="66"/>
        <v/>
      </c>
      <c r="N914" s="14">
        <f t="shared" si="67"/>
        <v>3</v>
      </c>
    </row>
    <row r="915" spans="1:14" x14ac:dyDescent="0.35">
      <c r="A915" s="102" t="str">
        <f t="shared" si="65"/>
        <v/>
      </c>
      <c r="G915" s="14" t="e">
        <f>VLOOKUP(F915,'Accident &amp; Incident Detail'!$D$3:$E$4153,2,FALSE)</f>
        <v>#N/A</v>
      </c>
      <c r="M915" s="79" t="str">
        <f t="shared" si="66"/>
        <v/>
      </c>
      <c r="N915" s="14">
        <f t="shared" si="67"/>
        <v>3</v>
      </c>
    </row>
    <row r="916" spans="1:14" x14ac:dyDescent="0.35">
      <c r="A916" s="102" t="str">
        <f t="shared" si="65"/>
        <v/>
      </c>
      <c r="G916" s="14" t="e">
        <f>VLOOKUP(F916,'Accident &amp; Incident Detail'!$D$3:$E$4153,2,FALSE)</f>
        <v>#N/A</v>
      </c>
      <c r="M916" s="79" t="str">
        <f t="shared" si="66"/>
        <v/>
      </c>
      <c r="N916" s="14">
        <f t="shared" si="67"/>
        <v>3</v>
      </c>
    </row>
    <row r="917" spans="1:14" x14ac:dyDescent="0.35">
      <c r="A917" s="102" t="str">
        <f t="shared" si="65"/>
        <v/>
      </c>
      <c r="G917" s="14" t="e">
        <f>VLOOKUP(F917,'Accident &amp; Incident Detail'!$D$3:$E$4153,2,FALSE)</f>
        <v>#N/A</v>
      </c>
      <c r="M917" s="79" t="str">
        <f t="shared" si="66"/>
        <v/>
      </c>
      <c r="N917" s="14">
        <f t="shared" si="67"/>
        <v>3</v>
      </c>
    </row>
    <row r="918" spans="1:14" x14ac:dyDescent="0.35">
      <c r="A918" s="102" t="str">
        <f t="shared" si="65"/>
        <v/>
      </c>
      <c r="G918" s="14" t="e">
        <f>VLOOKUP(F918,'Accident &amp; Incident Detail'!$D$3:$E$4153,2,FALSE)</f>
        <v>#N/A</v>
      </c>
      <c r="M918" s="79" t="str">
        <f t="shared" si="66"/>
        <v/>
      </c>
      <c r="N918" s="14">
        <f t="shared" si="67"/>
        <v>3</v>
      </c>
    </row>
    <row r="919" spans="1:14" x14ac:dyDescent="0.35">
      <c r="A919" s="102" t="str">
        <f t="shared" si="65"/>
        <v/>
      </c>
      <c r="G919" s="14" t="e">
        <f>VLOOKUP(F919,'Accident &amp; Incident Detail'!$D$3:$E$4153,2,FALSE)</f>
        <v>#N/A</v>
      </c>
      <c r="M919" s="79" t="str">
        <f t="shared" si="66"/>
        <v/>
      </c>
      <c r="N919" s="14">
        <f t="shared" si="67"/>
        <v>3</v>
      </c>
    </row>
    <row r="920" spans="1:14" x14ac:dyDescent="0.35">
      <c r="A920" s="102" t="str">
        <f t="shared" si="65"/>
        <v/>
      </c>
      <c r="G920" s="14" t="e">
        <f>VLOOKUP(F920,'Accident &amp; Incident Detail'!$D$3:$E$4153,2,FALSE)</f>
        <v>#N/A</v>
      </c>
      <c r="M920" s="79" t="str">
        <f t="shared" si="66"/>
        <v/>
      </c>
      <c r="N920" s="14">
        <f t="shared" si="67"/>
        <v>3</v>
      </c>
    </row>
    <row r="921" spans="1:14" x14ac:dyDescent="0.35">
      <c r="A921" s="102" t="str">
        <f t="shared" si="65"/>
        <v/>
      </c>
      <c r="G921" s="14" t="e">
        <f>VLOOKUP(F921,'Accident &amp; Incident Detail'!$D$3:$E$4153,2,FALSE)</f>
        <v>#N/A</v>
      </c>
      <c r="M921" s="79" t="str">
        <f t="shared" si="66"/>
        <v/>
      </c>
      <c r="N921" s="14">
        <f t="shared" si="67"/>
        <v>3</v>
      </c>
    </row>
    <row r="922" spans="1:14" x14ac:dyDescent="0.35">
      <c r="A922" s="102" t="str">
        <f t="shared" si="65"/>
        <v/>
      </c>
      <c r="G922" s="14" t="e">
        <f>VLOOKUP(F922,'Accident &amp; Incident Detail'!$D$3:$E$4153,2,FALSE)</f>
        <v>#N/A</v>
      </c>
      <c r="M922" s="79" t="str">
        <f t="shared" si="66"/>
        <v/>
      </c>
      <c r="N922" s="14">
        <f t="shared" si="67"/>
        <v>3</v>
      </c>
    </row>
    <row r="923" spans="1:14" x14ac:dyDescent="0.35">
      <c r="A923" s="102" t="str">
        <f t="shared" si="65"/>
        <v/>
      </c>
      <c r="G923" s="14" t="e">
        <f>VLOOKUP(F923,'Accident &amp; Incident Detail'!$D$3:$E$4153,2,FALSE)</f>
        <v>#N/A</v>
      </c>
      <c r="M923" s="79" t="str">
        <f t="shared" si="66"/>
        <v/>
      </c>
      <c r="N923" s="14">
        <f t="shared" si="67"/>
        <v>3</v>
      </c>
    </row>
    <row r="924" spans="1:14" x14ac:dyDescent="0.35">
      <c r="A924" s="102" t="str">
        <f t="shared" si="65"/>
        <v/>
      </c>
      <c r="G924" s="14" t="e">
        <f>VLOOKUP(F924,'Accident &amp; Incident Detail'!$D$3:$E$4153,2,FALSE)</f>
        <v>#N/A</v>
      </c>
      <c r="M924" s="79" t="str">
        <f t="shared" si="66"/>
        <v/>
      </c>
      <c r="N924" s="14">
        <f t="shared" si="67"/>
        <v>3</v>
      </c>
    </row>
    <row r="925" spans="1:14" x14ac:dyDescent="0.35">
      <c r="A925" s="102" t="str">
        <f t="shared" si="65"/>
        <v/>
      </c>
      <c r="G925" s="14" t="e">
        <f>VLOOKUP(F925,'Accident &amp; Incident Detail'!$D$3:$E$4153,2,FALSE)</f>
        <v>#N/A</v>
      </c>
      <c r="M925" s="79" t="str">
        <f t="shared" si="66"/>
        <v/>
      </c>
      <c r="N925" s="14">
        <f t="shared" si="67"/>
        <v>3</v>
      </c>
    </row>
    <row r="926" spans="1:14" x14ac:dyDescent="0.35">
      <c r="A926" s="102" t="str">
        <f t="shared" si="65"/>
        <v/>
      </c>
      <c r="G926" s="14" t="e">
        <f>VLOOKUP(F926,'Accident &amp; Incident Detail'!$D$3:$E$4153,2,FALSE)</f>
        <v>#N/A</v>
      </c>
      <c r="M926" s="79" t="str">
        <f t="shared" si="66"/>
        <v/>
      </c>
      <c r="N926" s="14">
        <f t="shared" si="67"/>
        <v>3</v>
      </c>
    </row>
    <row r="927" spans="1:14" x14ac:dyDescent="0.35">
      <c r="A927" s="102" t="str">
        <f t="shared" si="65"/>
        <v/>
      </c>
      <c r="G927" s="14" t="e">
        <f>VLOOKUP(F927,'Accident &amp; Incident Detail'!$D$3:$E$4153,2,FALSE)</f>
        <v>#N/A</v>
      </c>
      <c r="M927" s="79" t="str">
        <f t="shared" si="66"/>
        <v/>
      </c>
      <c r="N927" s="14">
        <f t="shared" si="67"/>
        <v>3</v>
      </c>
    </row>
    <row r="928" spans="1:14" x14ac:dyDescent="0.35">
      <c r="A928" s="102" t="str">
        <f t="shared" si="65"/>
        <v/>
      </c>
      <c r="G928" s="14" t="e">
        <f>VLOOKUP(F928,'Accident &amp; Incident Detail'!$D$3:$E$4153,2,FALSE)</f>
        <v>#N/A</v>
      </c>
      <c r="M928" s="79" t="str">
        <f t="shared" si="66"/>
        <v/>
      </c>
      <c r="N928" s="14">
        <f t="shared" si="67"/>
        <v>3</v>
      </c>
    </row>
    <row r="929" spans="1:14" x14ac:dyDescent="0.35">
      <c r="A929" s="102" t="str">
        <f t="shared" si="65"/>
        <v/>
      </c>
      <c r="G929" s="14" t="e">
        <f>VLOOKUP(F929,'Accident &amp; Incident Detail'!$D$3:$E$4153,2,FALSE)</f>
        <v>#N/A</v>
      </c>
      <c r="M929" s="79" t="str">
        <f t="shared" si="66"/>
        <v/>
      </c>
      <c r="N929" s="14">
        <f t="shared" si="67"/>
        <v>3</v>
      </c>
    </row>
    <row r="930" spans="1:14" x14ac:dyDescent="0.35">
      <c r="A930" s="102" t="str">
        <f t="shared" si="65"/>
        <v/>
      </c>
      <c r="G930" s="14" t="e">
        <f>VLOOKUP(F930,'Accident &amp; Incident Detail'!$D$3:$E$4153,2,FALSE)</f>
        <v>#N/A</v>
      </c>
      <c r="M930" s="79" t="str">
        <f t="shared" si="66"/>
        <v/>
      </c>
      <c r="N930" s="14">
        <f t="shared" si="67"/>
        <v>3</v>
      </c>
    </row>
    <row r="931" spans="1:14" x14ac:dyDescent="0.35">
      <c r="A931" s="102" t="str">
        <f t="shared" si="65"/>
        <v/>
      </c>
      <c r="G931" s="14" t="e">
        <f>VLOOKUP(F931,'Accident &amp; Incident Detail'!$D$3:$E$4153,2,FALSE)</f>
        <v>#N/A</v>
      </c>
      <c r="M931" s="79" t="str">
        <f t="shared" si="66"/>
        <v/>
      </c>
      <c r="N931" s="14">
        <f t="shared" si="67"/>
        <v>3</v>
      </c>
    </row>
    <row r="932" spans="1:14" x14ac:dyDescent="0.35">
      <c r="A932" s="102" t="str">
        <f t="shared" si="65"/>
        <v/>
      </c>
      <c r="G932" s="14" t="e">
        <f>VLOOKUP(F932,'Accident &amp; Incident Detail'!$D$3:$E$4153,2,FALSE)</f>
        <v>#N/A</v>
      </c>
      <c r="M932" s="79" t="str">
        <f t="shared" si="66"/>
        <v/>
      </c>
      <c r="N932" s="14">
        <f t="shared" si="67"/>
        <v>3</v>
      </c>
    </row>
    <row r="933" spans="1:14" x14ac:dyDescent="0.35">
      <c r="A933" s="102" t="str">
        <f t="shared" si="65"/>
        <v/>
      </c>
      <c r="G933" s="14" t="e">
        <f>VLOOKUP(F933,'Accident &amp; Incident Detail'!$D$3:$E$4153,2,FALSE)</f>
        <v>#N/A</v>
      </c>
      <c r="M933" s="79" t="str">
        <f t="shared" si="66"/>
        <v/>
      </c>
      <c r="N933" s="14">
        <f t="shared" si="67"/>
        <v>3</v>
      </c>
    </row>
    <row r="934" spans="1:14" x14ac:dyDescent="0.35">
      <c r="A934" s="102" t="str">
        <f t="shared" ref="A934:A997" si="68">IF(O934&gt;1,"Closed",IF(N934=1,"Overdue",IF(N934=3,"","Open")))</f>
        <v/>
      </c>
      <c r="G934" s="14" t="e">
        <f>VLOOKUP(F934,'Accident &amp; Incident Detail'!$D$3:$E$4153,2,FALSE)</f>
        <v>#N/A</v>
      </c>
      <c r="M934" s="79" t="str">
        <f t="shared" si="66"/>
        <v/>
      </c>
      <c r="N934" s="14">
        <f t="shared" si="67"/>
        <v>3</v>
      </c>
    </row>
    <row r="935" spans="1:14" x14ac:dyDescent="0.35">
      <c r="A935" s="102" t="str">
        <f t="shared" si="68"/>
        <v/>
      </c>
      <c r="G935" s="14" t="e">
        <f>VLOOKUP(F935,'Accident &amp; Incident Detail'!$D$3:$E$4153,2,FALSE)</f>
        <v>#N/A</v>
      </c>
      <c r="M935" s="79" t="str">
        <f t="shared" si="66"/>
        <v/>
      </c>
      <c r="N935" s="14">
        <f t="shared" si="67"/>
        <v>3</v>
      </c>
    </row>
    <row r="936" spans="1:14" x14ac:dyDescent="0.35">
      <c r="A936" s="102" t="str">
        <f t="shared" si="68"/>
        <v/>
      </c>
      <c r="G936" s="14" t="e">
        <f>VLOOKUP(F936,'Accident &amp; Incident Detail'!$D$3:$E$4153,2,FALSE)</f>
        <v>#N/A</v>
      </c>
      <c r="M936" s="79" t="str">
        <f t="shared" si="66"/>
        <v/>
      </c>
      <c r="N936" s="14">
        <f t="shared" si="67"/>
        <v>3</v>
      </c>
    </row>
    <row r="937" spans="1:14" x14ac:dyDescent="0.35">
      <c r="A937" s="102" t="str">
        <f t="shared" si="68"/>
        <v/>
      </c>
      <c r="G937" s="14" t="e">
        <f>VLOOKUP(F937,'Accident &amp; Incident Detail'!$D$3:$E$4153,2,FALSE)</f>
        <v>#N/A</v>
      </c>
      <c r="M937" s="79" t="str">
        <f t="shared" si="66"/>
        <v/>
      </c>
      <c r="N937" s="14">
        <f t="shared" si="67"/>
        <v>3</v>
      </c>
    </row>
    <row r="938" spans="1:14" x14ac:dyDescent="0.35">
      <c r="A938" s="102" t="str">
        <f t="shared" si="68"/>
        <v/>
      </c>
      <c r="G938" s="14" t="e">
        <f>VLOOKUP(F938,'Accident &amp; Incident Detail'!$D$3:$E$4153,2,FALSE)</f>
        <v>#N/A</v>
      </c>
      <c r="M938" s="79" t="str">
        <f t="shared" si="66"/>
        <v/>
      </c>
      <c r="N938" s="14">
        <f t="shared" si="67"/>
        <v>3</v>
      </c>
    </row>
    <row r="939" spans="1:14" x14ac:dyDescent="0.35">
      <c r="A939" s="102" t="str">
        <f t="shared" si="68"/>
        <v/>
      </c>
      <c r="G939" s="14" t="e">
        <f>VLOOKUP(F939,'Accident &amp; Incident Detail'!$D$3:$E$4153,2,FALSE)</f>
        <v>#N/A</v>
      </c>
      <c r="M939" s="79" t="str">
        <f t="shared" si="66"/>
        <v/>
      </c>
      <c r="N939" s="14">
        <f t="shared" si="67"/>
        <v>3</v>
      </c>
    </row>
    <row r="940" spans="1:14" x14ac:dyDescent="0.35">
      <c r="A940" s="102" t="str">
        <f t="shared" si="68"/>
        <v/>
      </c>
      <c r="G940" s="14" t="e">
        <f>VLOOKUP(F940,'Accident &amp; Incident Detail'!$D$3:$E$4153,2,FALSE)</f>
        <v>#N/A</v>
      </c>
      <c r="M940" s="79" t="str">
        <f t="shared" si="66"/>
        <v/>
      </c>
      <c r="N940" s="14">
        <f t="shared" si="67"/>
        <v>3</v>
      </c>
    </row>
    <row r="941" spans="1:14" x14ac:dyDescent="0.35">
      <c r="A941" s="102" t="str">
        <f t="shared" si="68"/>
        <v/>
      </c>
      <c r="G941" s="14" t="e">
        <f>VLOOKUP(F941,'Accident &amp; Incident Detail'!$D$3:$E$4153,2,FALSE)</f>
        <v>#N/A</v>
      </c>
      <c r="M941" s="79" t="str">
        <f t="shared" ref="M941:M1004" si="69">IF(D941="","",D941+28)</f>
        <v/>
      </c>
      <c r="N941" s="14">
        <f t="shared" ref="N941:N1004" si="70">IF(D941="",3,IF(M941&lt;$A$2,1,0))</f>
        <v>3</v>
      </c>
    </row>
    <row r="942" spans="1:14" x14ac:dyDescent="0.35">
      <c r="A942" s="102" t="str">
        <f t="shared" si="68"/>
        <v/>
      </c>
      <c r="G942" s="14" t="e">
        <f>VLOOKUP(F942,'Accident &amp; Incident Detail'!$D$3:$E$4153,2,FALSE)</f>
        <v>#N/A</v>
      </c>
      <c r="M942" s="79" t="str">
        <f t="shared" si="69"/>
        <v/>
      </c>
      <c r="N942" s="14">
        <f t="shared" si="70"/>
        <v>3</v>
      </c>
    </row>
    <row r="943" spans="1:14" x14ac:dyDescent="0.35">
      <c r="A943" s="102" t="str">
        <f t="shared" si="68"/>
        <v/>
      </c>
      <c r="G943" s="14" t="e">
        <f>VLOOKUP(F943,'Accident &amp; Incident Detail'!$D$3:$E$4153,2,FALSE)</f>
        <v>#N/A</v>
      </c>
      <c r="M943" s="79" t="str">
        <f t="shared" si="69"/>
        <v/>
      </c>
      <c r="N943" s="14">
        <f t="shared" si="70"/>
        <v>3</v>
      </c>
    </row>
    <row r="944" spans="1:14" x14ac:dyDescent="0.35">
      <c r="A944" s="102" t="str">
        <f t="shared" si="68"/>
        <v/>
      </c>
      <c r="G944" s="14" t="e">
        <f>VLOOKUP(F944,'Accident &amp; Incident Detail'!$D$3:$E$4153,2,FALSE)</f>
        <v>#N/A</v>
      </c>
      <c r="M944" s="79" t="str">
        <f t="shared" si="69"/>
        <v/>
      </c>
      <c r="N944" s="14">
        <f t="shared" si="70"/>
        <v>3</v>
      </c>
    </row>
    <row r="945" spans="1:14" x14ac:dyDescent="0.35">
      <c r="A945" s="102" t="str">
        <f t="shared" si="68"/>
        <v/>
      </c>
      <c r="G945" s="14" t="e">
        <f>VLOOKUP(F945,'Accident &amp; Incident Detail'!$D$3:$E$4153,2,FALSE)</f>
        <v>#N/A</v>
      </c>
      <c r="M945" s="79" t="str">
        <f t="shared" si="69"/>
        <v/>
      </c>
      <c r="N945" s="14">
        <f t="shared" si="70"/>
        <v>3</v>
      </c>
    </row>
    <row r="946" spans="1:14" x14ac:dyDescent="0.35">
      <c r="A946" s="102" t="str">
        <f t="shared" si="68"/>
        <v/>
      </c>
      <c r="G946" s="14" t="e">
        <f>VLOOKUP(F946,'Accident &amp; Incident Detail'!$D$3:$E$4153,2,FALSE)</f>
        <v>#N/A</v>
      </c>
      <c r="M946" s="79" t="str">
        <f t="shared" si="69"/>
        <v/>
      </c>
      <c r="N946" s="14">
        <f t="shared" si="70"/>
        <v>3</v>
      </c>
    </row>
    <row r="947" spans="1:14" x14ac:dyDescent="0.35">
      <c r="A947" s="102" t="str">
        <f t="shared" si="68"/>
        <v/>
      </c>
      <c r="G947" s="14" t="e">
        <f>VLOOKUP(F947,'Accident &amp; Incident Detail'!$D$3:$E$4153,2,FALSE)</f>
        <v>#N/A</v>
      </c>
      <c r="M947" s="79" t="str">
        <f t="shared" si="69"/>
        <v/>
      </c>
      <c r="N947" s="14">
        <f t="shared" si="70"/>
        <v>3</v>
      </c>
    </row>
    <row r="948" spans="1:14" x14ac:dyDescent="0.35">
      <c r="A948" s="102" t="str">
        <f t="shared" si="68"/>
        <v/>
      </c>
      <c r="G948" s="14" t="e">
        <f>VLOOKUP(F948,'Accident &amp; Incident Detail'!$D$3:$E$4153,2,FALSE)</f>
        <v>#N/A</v>
      </c>
      <c r="M948" s="79" t="str">
        <f t="shared" si="69"/>
        <v/>
      </c>
      <c r="N948" s="14">
        <f t="shared" si="70"/>
        <v>3</v>
      </c>
    </row>
    <row r="949" spans="1:14" x14ac:dyDescent="0.35">
      <c r="A949" s="102" t="str">
        <f t="shared" si="68"/>
        <v/>
      </c>
      <c r="G949" s="14" t="e">
        <f>VLOOKUP(F949,'Accident &amp; Incident Detail'!$D$3:$E$4153,2,FALSE)</f>
        <v>#N/A</v>
      </c>
      <c r="M949" s="79" t="str">
        <f t="shared" si="69"/>
        <v/>
      </c>
      <c r="N949" s="14">
        <f t="shared" si="70"/>
        <v>3</v>
      </c>
    </row>
    <row r="950" spans="1:14" x14ac:dyDescent="0.35">
      <c r="A950" s="102" t="str">
        <f t="shared" si="68"/>
        <v/>
      </c>
      <c r="G950" s="14" t="e">
        <f>VLOOKUP(F950,'Accident &amp; Incident Detail'!$D$3:$E$4153,2,FALSE)</f>
        <v>#N/A</v>
      </c>
      <c r="M950" s="79" t="str">
        <f t="shared" si="69"/>
        <v/>
      </c>
      <c r="N950" s="14">
        <f t="shared" si="70"/>
        <v>3</v>
      </c>
    </row>
    <row r="951" spans="1:14" x14ac:dyDescent="0.35">
      <c r="A951" s="102" t="str">
        <f t="shared" si="68"/>
        <v/>
      </c>
      <c r="G951" s="14" t="e">
        <f>VLOOKUP(F951,'Accident &amp; Incident Detail'!$D$3:$E$4153,2,FALSE)</f>
        <v>#N/A</v>
      </c>
      <c r="M951" s="79" t="str">
        <f t="shared" si="69"/>
        <v/>
      </c>
      <c r="N951" s="14">
        <f t="shared" si="70"/>
        <v>3</v>
      </c>
    </row>
    <row r="952" spans="1:14" x14ac:dyDescent="0.35">
      <c r="A952" s="102" t="str">
        <f t="shared" si="68"/>
        <v/>
      </c>
      <c r="G952" s="14" t="e">
        <f>VLOOKUP(F952,'Accident &amp; Incident Detail'!$D$3:$E$4153,2,FALSE)</f>
        <v>#N/A</v>
      </c>
      <c r="M952" s="79" t="str">
        <f t="shared" si="69"/>
        <v/>
      </c>
      <c r="N952" s="14">
        <f t="shared" si="70"/>
        <v>3</v>
      </c>
    </row>
    <row r="953" spans="1:14" x14ac:dyDescent="0.35">
      <c r="A953" s="102" t="str">
        <f t="shared" si="68"/>
        <v/>
      </c>
      <c r="G953" s="14" t="e">
        <f>VLOOKUP(F953,'Accident &amp; Incident Detail'!$D$3:$E$4153,2,FALSE)</f>
        <v>#N/A</v>
      </c>
      <c r="M953" s="79" t="str">
        <f t="shared" si="69"/>
        <v/>
      </c>
      <c r="N953" s="14">
        <f t="shared" si="70"/>
        <v>3</v>
      </c>
    </row>
    <row r="954" spans="1:14" x14ac:dyDescent="0.35">
      <c r="A954" s="102" t="str">
        <f t="shared" si="68"/>
        <v/>
      </c>
      <c r="G954" s="14" t="e">
        <f>VLOOKUP(F954,'Accident &amp; Incident Detail'!$D$3:$E$4153,2,FALSE)</f>
        <v>#N/A</v>
      </c>
      <c r="M954" s="79" t="str">
        <f t="shared" si="69"/>
        <v/>
      </c>
      <c r="N954" s="14">
        <f t="shared" si="70"/>
        <v>3</v>
      </c>
    </row>
    <row r="955" spans="1:14" x14ac:dyDescent="0.35">
      <c r="A955" s="102" t="str">
        <f t="shared" si="68"/>
        <v/>
      </c>
      <c r="G955" s="14" t="e">
        <f>VLOOKUP(F955,'Accident &amp; Incident Detail'!$D$3:$E$4153,2,FALSE)</f>
        <v>#N/A</v>
      </c>
      <c r="M955" s="79" t="str">
        <f t="shared" si="69"/>
        <v/>
      </c>
      <c r="N955" s="14">
        <f t="shared" si="70"/>
        <v>3</v>
      </c>
    </row>
    <row r="956" spans="1:14" x14ac:dyDescent="0.35">
      <c r="A956" s="102" t="str">
        <f t="shared" si="68"/>
        <v/>
      </c>
      <c r="G956" s="14" t="e">
        <f>VLOOKUP(F956,'Accident &amp; Incident Detail'!$D$3:$E$4153,2,FALSE)</f>
        <v>#N/A</v>
      </c>
      <c r="M956" s="79" t="str">
        <f t="shared" si="69"/>
        <v/>
      </c>
      <c r="N956" s="14">
        <f t="shared" si="70"/>
        <v>3</v>
      </c>
    </row>
    <row r="957" spans="1:14" x14ac:dyDescent="0.35">
      <c r="A957" s="102" t="str">
        <f t="shared" si="68"/>
        <v/>
      </c>
      <c r="G957" s="14" t="e">
        <f>VLOOKUP(F957,'Accident &amp; Incident Detail'!$D$3:$E$4153,2,FALSE)</f>
        <v>#N/A</v>
      </c>
      <c r="M957" s="79" t="str">
        <f t="shared" si="69"/>
        <v/>
      </c>
      <c r="N957" s="14">
        <f t="shared" si="70"/>
        <v>3</v>
      </c>
    </row>
    <row r="958" spans="1:14" x14ac:dyDescent="0.35">
      <c r="A958" s="102" t="str">
        <f t="shared" si="68"/>
        <v/>
      </c>
      <c r="G958" s="14" t="e">
        <f>VLOOKUP(F958,'Accident &amp; Incident Detail'!$D$3:$E$4153,2,FALSE)</f>
        <v>#N/A</v>
      </c>
      <c r="M958" s="79" t="str">
        <f t="shared" si="69"/>
        <v/>
      </c>
      <c r="N958" s="14">
        <f t="shared" si="70"/>
        <v>3</v>
      </c>
    </row>
    <row r="959" spans="1:14" x14ac:dyDescent="0.35">
      <c r="A959" s="102" t="str">
        <f t="shared" si="68"/>
        <v/>
      </c>
      <c r="G959" s="14" t="e">
        <f>VLOOKUP(F959,'Accident &amp; Incident Detail'!$D$3:$E$4153,2,FALSE)</f>
        <v>#N/A</v>
      </c>
      <c r="M959" s="79" t="str">
        <f t="shared" si="69"/>
        <v/>
      </c>
      <c r="N959" s="14">
        <f t="shared" si="70"/>
        <v>3</v>
      </c>
    </row>
    <row r="960" spans="1:14" x14ac:dyDescent="0.35">
      <c r="A960" s="102" t="str">
        <f t="shared" si="68"/>
        <v/>
      </c>
      <c r="G960" s="14" t="e">
        <f>VLOOKUP(F960,'Accident &amp; Incident Detail'!$D$3:$E$4153,2,FALSE)</f>
        <v>#N/A</v>
      </c>
      <c r="M960" s="79" t="str">
        <f t="shared" si="69"/>
        <v/>
      </c>
      <c r="N960" s="14">
        <f t="shared" si="70"/>
        <v>3</v>
      </c>
    </row>
    <row r="961" spans="1:14" x14ac:dyDescent="0.35">
      <c r="A961" s="102" t="str">
        <f t="shared" si="68"/>
        <v/>
      </c>
      <c r="G961" s="14" t="e">
        <f>VLOOKUP(F961,'Accident &amp; Incident Detail'!$D$3:$E$4153,2,FALSE)</f>
        <v>#N/A</v>
      </c>
      <c r="M961" s="79" t="str">
        <f t="shared" si="69"/>
        <v/>
      </c>
      <c r="N961" s="14">
        <f t="shared" si="70"/>
        <v>3</v>
      </c>
    </row>
    <row r="962" spans="1:14" x14ac:dyDescent="0.35">
      <c r="A962" s="102" t="str">
        <f t="shared" si="68"/>
        <v/>
      </c>
      <c r="G962" s="14" t="e">
        <f>VLOOKUP(F962,'Accident &amp; Incident Detail'!$D$3:$E$4153,2,FALSE)</f>
        <v>#N/A</v>
      </c>
      <c r="M962" s="79" t="str">
        <f t="shared" si="69"/>
        <v/>
      </c>
      <c r="N962" s="14">
        <f t="shared" si="70"/>
        <v>3</v>
      </c>
    </row>
    <row r="963" spans="1:14" x14ac:dyDescent="0.35">
      <c r="A963" s="102" t="str">
        <f t="shared" si="68"/>
        <v/>
      </c>
      <c r="G963" s="14" t="e">
        <f>VLOOKUP(F963,'Accident &amp; Incident Detail'!$D$3:$E$4153,2,FALSE)</f>
        <v>#N/A</v>
      </c>
      <c r="M963" s="79" t="str">
        <f t="shared" si="69"/>
        <v/>
      </c>
      <c r="N963" s="14">
        <f t="shared" si="70"/>
        <v>3</v>
      </c>
    </row>
    <row r="964" spans="1:14" x14ac:dyDescent="0.35">
      <c r="A964" s="102" t="str">
        <f t="shared" si="68"/>
        <v/>
      </c>
      <c r="G964" s="14" t="e">
        <f>VLOOKUP(F964,'Accident &amp; Incident Detail'!$D$3:$E$4153,2,FALSE)</f>
        <v>#N/A</v>
      </c>
      <c r="M964" s="79" t="str">
        <f t="shared" si="69"/>
        <v/>
      </c>
      <c r="N964" s="14">
        <f t="shared" si="70"/>
        <v>3</v>
      </c>
    </row>
    <row r="965" spans="1:14" x14ac:dyDescent="0.35">
      <c r="A965" s="102" t="str">
        <f t="shared" si="68"/>
        <v/>
      </c>
      <c r="G965" s="14" t="e">
        <f>VLOOKUP(F965,'Accident &amp; Incident Detail'!$D$3:$E$4153,2,FALSE)</f>
        <v>#N/A</v>
      </c>
      <c r="M965" s="79" t="str">
        <f t="shared" si="69"/>
        <v/>
      </c>
      <c r="N965" s="14">
        <f t="shared" si="70"/>
        <v>3</v>
      </c>
    </row>
    <row r="966" spans="1:14" x14ac:dyDescent="0.35">
      <c r="A966" s="102" t="str">
        <f t="shared" si="68"/>
        <v/>
      </c>
      <c r="G966" s="14" t="e">
        <f>VLOOKUP(F966,'Accident &amp; Incident Detail'!$D$3:$E$4153,2,FALSE)</f>
        <v>#N/A</v>
      </c>
      <c r="M966" s="79" t="str">
        <f t="shared" si="69"/>
        <v/>
      </c>
      <c r="N966" s="14">
        <f t="shared" si="70"/>
        <v>3</v>
      </c>
    </row>
    <row r="967" spans="1:14" x14ac:dyDescent="0.35">
      <c r="A967" s="102" t="str">
        <f t="shared" si="68"/>
        <v/>
      </c>
      <c r="G967" s="14" t="e">
        <f>VLOOKUP(F967,'Accident &amp; Incident Detail'!$D$3:$E$4153,2,FALSE)</f>
        <v>#N/A</v>
      </c>
      <c r="M967" s="79" t="str">
        <f t="shared" si="69"/>
        <v/>
      </c>
      <c r="N967" s="14">
        <f t="shared" si="70"/>
        <v>3</v>
      </c>
    </row>
    <row r="968" spans="1:14" x14ac:dyDescent="0.35">
      <c r="A968" s="102" t="str">
        <f t="shared" si="68"/>
        <v/>
      </c>
      <c r="G968" s="14" t="e">
        <f>VLOOKUP(F968,'Accident &amp; Incident Detail'!$D$3:$E$4153,2,FALSE)</f>
        <v>#N/A</v>
      </c>
      <c r="M968" s="79" t="str">
        <f t="shared" si="69"/>
        <v/>
      </c>
      <c r="N968" s="14">
        <f t="shared" si="70"/>
        <v>3</v>
      </c>
    </row>
    <row r="969" spans="1:14" x14ac:dyDescent="0.35">
      <c r="A969" s="102" t="str">
        <f t="shared" si="68"/>
        <v/>
      </c>
      <c r="G969" s="14" t="e">
        <f>VLOOKUP(F969,'Accident &amp; Incident Detail'!$D$3:$E$4153,2,FALSE)</f>
        <v>#N/A</v>
      </c>
      <c r="M969" s="79" t="str">
        <f t="shared" si="69"/>
        <v/>
      </c>
      <c r="N969" s="14">
        <f t="shared" si="70"/>
        <v>3</v>
      </c>
    </row>
    <row r="970" spans="1:14" x14ac:dyDescent="0.35">
      <c r="A970" s="102" t="str">
        <f t="shared" si="68"/>
        <v/>
      </c>
      <c r="G970" s="14" t="e">
        <f>VLOOKUP(F970,'Accident &amp; Incident Detail'!$D$3:$E$4153,2,FALSE)</f>
        <v>#N/A</v>
      </c>
      <c r="M970" s="79" t="str">
        <f t="shared" si="69"/>
        <v/>
      </c>
      <c r="N970" s="14">
        <f t="shared" si="70"/>
        <v>3</v>
      </c>
    </row>
    <row r="971" spans="1:14" x14ac:dyDescent="0.35">
      <c r="A971" s="102" t="str">
        <f t="shared" si="68"/>
        <v/>
      </c>
      <c r="G971" s="14" t="e">
        <f>VLOOKUP(F971,'Accident &amp; Incident Detail'!$D$3:$E$4153,2,FALSE)</f>
        <v>#N/A</v>
      </c>
      <c r="M971" s="79" t="str">
        <f t="shared" si="69"/>
        <v/>
      </c>
      <c r="N971" s="14">
        <f t="shared" si="70"/>
        <v>3</v>
      </c>
    </row>
    <row r="972" spans="1:14" x14ac:dyDescent="0.35">
      <c r="A972" s="102" t="str">
        <f t="shared" si="68"/>
        <v/>
      </c>
      <c r="G972" s="14" t="e">
        <f>VLOOKUP(F972,'Accident &amp; Incident Detail'!$D$3:$E$4153,2,FALSE)</f>
        <v>#N/A</v>
      </c>
      <c r="M972" s="79" t="str">
        <f t="shared" si="69"/>
        <v/>
      </c>
      <c r="N972" s="14">
        <f t="shared" si="70"/>
        <v>3</v>
      </c>
    </row>
    <row r="973" spans="1:14" x14ac:dyDescent="0.35">
      <c r="A973" s="102" t="str">
        <f t="shared" si="68"/>
        <v/>
      </c>
      <c r="G973" s="14" t="e">
        <f>VLOOKUP(F973,'Accident &amp; Incident Detail'!$D$3:$E$4153,2,FALSE)</f>
        <v>#N/A</v>
      </c>
      <c r="M973" s="79" t="str">
        <f t="shared" si="69"/>
        <v/>
      </c>
      <c r="N973" s="14">
        <f t="shared" si="70"/>
        <v>3</v>
      </c>
    </row>
    <row r="974" spans="1:14" x14ac:dyDescent="0.35">
      <c r="A974" s="102" t="str">
        <f t="shared" si="68"/>
        <v/>
      </c>
      <c r="G974" s="14" t="e">
        <f>VLOOKUP(F974,'Accident &amp; Incident Detail'!$D$3:$E$4153,2,FALSE)</f>
        <v>#N/A</v>
      </c>
      <c r="M974" s="79" t="str">
        <f t="shared" si="69"/>
        <v/>
      </c>
      <c r="N974" s="14">
        <f t="shared" si="70"/>
        <v>3</v>
      </c>
    </row>
    <row r="975" spans="1:14" x14ac:dyDescent="0.35">
      <c r="A975" s="102" t="str">
        <f t="shared" si="68"/>
        <v/>
      </c>
      <c r="G975" s="14" t="e">
        <f>VLOOKUP(F975,'Accident &amp; Incident Detail'!$D$3:$E$4153,2,FALSE)</f>
        <v>#N/A</v>
      </c>
      <c r="M975" s="79" t="str">
        <f t="shared" si="69"/>
        <v/>
      </c>
      <c r="N975" s="14">
        <f t="shared" si="70"/>
        <v>3</v>
      </c>
    </row>
    <row r="976" spans="1:14" x14ac:dyDescent="0.35">
      <c r="A976" s="102" t="str">
        <f t="shared" si="68"/>
        <v/>
      </c>
      <c r="G976" s="14" t="e">
        <f>VLOOKUP(F976,'Accident &amp; Incident Detail'!$D$3:$E$4153,2,FALSE)</f>
        <v>#N/A</v>
      </c>
      <c r="M976" s="79" t="str">
        <f t="shared" si="69"/>
        <v/>
      </c>
      <c r="N976" s="14">
        <f t="shared" si="70"/>
        <v>3</v>
      </c>
    </row>
    <row r="977" spans="1:14" x14ac:dyDescent="0.35">
      <c r="A977" s="102" t="str">
        <f t="shared" si="68"/>
        <v/>
      </c>
      <c r="G977" s="14" t="e">
        <f>VLOOKUP(F977,'Accident &amp; Incident Detail'!$D$3:$E$4153,2,FALSE)</f>
        <v>#N/A</v>
      </c>
      <c r="M977" s="79" t="str">
        <f t="shared" si="69"/>
        <v/>
      </c>
      <c r="N977" s="14">
        <f t="shared" si="70"/>
        <v>3</v>
      </c>
    </row>
    <row r="978" spans="1:14" x14ac:dyDescent="0.35">
      <c r="A978" s="102" t="str">
        <f t="shared" si="68"/>
        <v/>
      </c>
      <c r="G978" s="14" t="e">
        <f>VLOOKUP(F978,'Accident &amp; Incident Detail'!$D$3:$E$4153,2,FALSE)</f>
        <v>#N/A</v>
      </c>
      <c r="M978" s="79" t="str">
        <f t="shared" si="69"/>
        <v/>
      </c>
      <c r="N978" s="14">
        <f t="shared" si="70"/>
        <v>3</v>
      </c>
    </row>
    <row r="979" spans="1:14" x14ac:dyDescent="0.35">
      <c r="A979" s="102" t="str">
        <f t="shared" si="68"/>
        <v/>
      </c>
      <c r="G979" s="14" t="e">
        <f>VLOOKUP(F979,'Accident &amp; Incident Detail'!$D$3:$E$4153,2,FALSE)</f>
        <v>#N/A</v>
      </c>
      <c r="M979" s="79" t="str">
        <f t="shared" si="69"/>
        <v/>
      </c>
      <c r="N979" s="14">
        <f t="shared" si="70"/>
        <v>3</v>
      </c>
    </row>
    <row r="980" spans="1:14" x14ac:dyDescent="0.35">
      <c r="A980" s="102" t="str">
        <f t="shared" si="68"/>
        <v/>
      </c>
      <c r="G980" s="14" t="e">
        <f>VLOOKUP(F980,'Accident &amp; Incident Detail'!$D$3:$E$4153,2,FALSE)</f>
        <v>#N/A</v>
      </c>
      <c r="M980" s="79" t="str">
        <f t="shared" si="69"/>
        <v/>
      </c>
      <c r="N980" s="14">
        <f t="shared" si="70"/>
        <v>3</v>
      </c>
    </row>
    <row r="981" spans="1:14" x14ac:dyDescent="0.35">
      <c r="A981" s="102" t="str">
        <f t="shared" si="68"/>
        <v/>
      </c>
      <c r="G981" s="14" t="e">
        <f>VLOOKUP(F981,'Accident &amp; Incident Detail'!$D$3:$E$4153,2,FALSE)</f>
        <v>#N/A</v>
      </c>
      <c r="M981" s="79" t="str">
        <f t="shared" si="69"/>
        <v/>
      </c>
      <c r="N981" s="14">
        <f t="shared" si="70"/>
        <v>3</v>
      </c>
    </row>
    <row r="982" spans="1:14" x14ac:dyDescent="0.35">
      <c r="A982" s="102" t="str">
        <f t="shared" si="68"/>
        <v/>
      </c>
      <c r="G982" s="14" t="e">
        <f>VLOOKUP(F982,'Accident &amp; Incident Detail'!$D$3:$E$4153,2,FALSE)</f>
        <v>#N/A</v>
      </c>
      <c r="M982" s="79" t="str">
        <f t="shared" si="69"/>
        <v/>
      </c>
      <c r="N982" s="14">
        <f t="shared" si="70"/>
        <v>3</v>
      </c>
    </row>
    <row r="983" spans="1:14" x14ac:dyDescent="0.35">
      <c r="A983" s="102" t="str">
        <f t="shared" si="68"/>
        <v/>
      </c>
      <c r="G983" s="14" t="e">
        <f>VLOOKUP(F983,'Accident &amp; Incident Detail'!$D$3:$E$4153,2,FALSE)</f>
        <v>#N/A</v>
      </c>
      <c r="M983" s="79" t="str">
        <f t="shared" si="69"/>
        <v/>
      </c>
      <c r="N983" s="14">
        <f t="shared" si="70"/>
        <v>3</v>
      </c>
    </row>
    <row r="984" spans="1:14" x14ac:dyDescent="0.35">
      <c r="A984" s="102" t="str">
        <f t="shared" si="68"/>
        <v/>
      </c>
      <c r="G984" s="14" t="e">
        <f>VLOOKUP(F984,'Accident &amp; Incident Detail'!$D$3:$E$4153,2,FALSE)</f>
        <v>#N/A</v>
      </c>
      <c r="M984" s="79" t="str">
        <f t="shared" si="69"/>
        <v/>
      </c>
      <c r="N984" s="14">
        <f t="shared" si="70"/>
        <v>3</v>
      </c>
    </row>
    <row r="985" spans="1:14" x14ac:dyDescent="0.35">
      <c r="A985" s="102" t="str">
        <f t="shared" si="68"/>
        <v/>
      </c>
      <c r="G985" s="14" t="e">
        <f>VLOOKUP(F985,'Accident &amp; Incident Detail'!$D$3:$E$4153,2,FALSE)</f>
        <v>#N/A</v>
      </c>
      <c r="M985" s="79" t="str">
        <f t="shared" si="69"/>
        <v/>
      </c>
      <c r="N985" s="14">
        <f t="shared" si="70"/>
        <v>3</v>
      </c>
    </row>
    <row r="986" spans="1:14" x14ac:dyDescent="0.35">
      <c r="A986" s="102" t="str">
        <f t="shared" si="68"/>
        <v/>
      </c>
      <c r="G986" s="14" t="e">
        <f>VLOOKUP(F986,'Accident &amp; Incident Detail'!$D$3:$E$4153,2,FALSE)</f>
        <v>#N/A</v>
      </c>
      <c r="M986" s="79" t="str">
        <f t="shared" si="69"/>
        <v/>
      </c>
      <c r="N986" s="14">
        <f t="shared" si="70"/>
        <v>3</v>
      </c>
    </row>
    <row r="987" spans="1:14" x14ac:dyDescent="0.35">
      <c r="A987" s="102" t="str">
        <f t="shared" si="68"/>
        <v/>
      </c>
      <c r="G987" s="14" t="e">
        <f>VLOOKUP(F987,'Accident &amp; Incident Detail'!$D$3:$E$4153,2,FALSE)</f>
        <v>#N/A</v>
      </c>
      <c r="M987" s="79" t="str">
        <f t="shared" si="69"/>
        <v/>
      </c>
      <c r="N987" s="14">
        <f t="shared" si="70"/>
        <v>3</v>
      </c>
    </row>
    <row r="988" spans="1:14" x14ac:dyDescent="0.35">
      <c r="A988" s="102" t="str">
        <f t="shared" si="68"/>
        <v/>
      </c>
      <c r="G988" s="14" t="e">
        <f>VLOOKUP(F988,'Accident &amp; Incident Detail'!$D$3:$E$4153,2,FALSE)</f>
        <v>#N/A</v>
      </c>
      <c r="M988" s="79" t="str">
        <f t="shared" si="69"/>
        <v/>
      </c>
      <c r="N988" s="14">
        <f t="shared" si="70"/>
        <v>3</v>
      </c>
    </row>
    <row r="989" spans="1:14" x14ac:dyDescent="0.35">
      <c r="A989" s="102" t="str">
        <f t="shared" si="68"/>
        <v/>
      </c>
      <c r="G989" s="14" t="e">
        <f>VLOOKUP(F989,'Accident &amp; Incident Detail'!$D$3:$E$4153,2,FALSE)</f>
        <v>#N/A</v>
      </c>
      <c r="M989" s="79" t="str">
        <f t="shared" si="69"/>
        <v/>
      </c>
      <c r="N989" s="14">
        <f t="shared" si="70"/>
        <v>3</v>
      </c>
    </row>
    <row r="990" spans="1:14" x14ac:dyDescent="0.35">
      <c r="A990" s="102" t="str">
        <f t="shared" si="68"/>
        <v/>
      </c>
      <c r="G990" s="14" t="e">
        <f>VLOOKUP(F990,'Accident &amp; Incident Detail'!$D$3:$E$4153,2,FALSE)</f>
        <v>#N/A</v>
      </c>
      <c r="M990" s="79" t="str">
        <f t="shared" si="69"/>
        <v/>
      </c>
      <c r="N990" s="14">
        <f t="shared" si="70"/>
        <v>3</v>
      </c>
    </row>
    <row r="991" spans="1:14" x14ac:dyDescent="0.35">
      <c r="A991" s="102" t="str">
        <f t="shared" si="68"/>
        <v/>
      </c>
      <c r="G991" s="14" t="e">
        <f>VLOOKUP(F991,'Accident &amp; Incident Detail'!$D$3:$E$4153,2,FALSE)</f>
        <v>#N/A</v>
      </c>
      <c r="M991" s="79" t="str">
        <f t="shared" si="69"/>
        <v/>
      </c>
      <c r="N991" s="14">
        <f t="shared" si="70"/>
        <v>3</v>
      </c>
    </row>
    <row r="992" spans="1:14" x14ac:dyDescent="0.35">
      <c r="A992" s="102" t="str">
        <f t="shared" si="68"/>
        <v/>
      </c>
      <c r="G992" s="14" t="e">
        <f>VLOOKUP(F992,'Accident &amp; Incident Detail'!$D$3:$E$4153,2,FALSE)</f>
        <v>#N/A</v>
      </c>
      <c r="M992" s="79" t="str">
        <f t="shared" si="69"/>
        <v/>
      </c>
      <c r="N992" s="14">
        <f t="shared" si="70"/>
        <v>3</v>
      </c>
    </row>
    <row r="993" spans="1:14" x14ac:dyDescent="0.35">
      <c r="A993" s="102" t="str">
        <f t="shared" si="68"/>
        <v/>
      </c>
      <c r="G993" s="14" t="e">
        <f>VLOOKUP(F993,'Accident &amp; Incident Detail'!$D$3:$E$4153,2,FALSE)</f>
        <v>#N/A</v>
      </c>
      <c r="M993" s="79" t="str">
        <f t="shared" si="69"/>
        <v/>
      </c>
      <c r="N993" s="14">
        <f t="shared" si="70"/>
        <v>3</v>
      </c>
    </row>
    <row r="994" spans="1:14" x14ac:dyDescent="0.35">
      <c r="A994" s="102" t="str">
        <f t="shared" si="68"/>
        <v/>
      </c>
      <c r="G994" s="14" t="e">
        <f>VLOOKUP(F994,'Accident &amp; Incident Detail'!$D$3:$E$4153,2,FALSE)</f>
        <v>#N/A</v>
      </c>
      <c r="M994" s="79" t="str">
        <f t="shared" si="69"/>
        <v/>
      </c>
      <c r="N994" s="14">
        <f t="shared" si="70"/>
        <v>3</v>
      </c>
    </row>
    <row r="995" spans="1:14" x14ac:dyDescent="0.35">
      <c r="A995" s="102" t="str">
        <f t="shared" si="68"/>
        <v/>
      </c>
      <c r="G995" s="14" t="e">
        <f>VLOOKUP(F995,'Accident &amp; Incident Detail'!$D$3:$E$4153,2,FALSE)</f>
        <v>#N/A</v>
      </c>
      <c r="M995" s="79" t="str">
        <f t="shared" si="69"/>
        <v/>
      </c>
      <c r="N995" s="14">
        <f t="shared" si="70"/>
        <v>3</v>
      </c>
    </row>
    <row r="996" spans="1:14" x14ac:dyDescent="0.35">
      <c r="A996" s="102" t="str">
        <f t="shared" si="68"/>
        <v/>
      </c>
      <c r="G996" s="14" t="e">
        <f>VLOOKUP(F996,'Accident &amp; Incident Detail'!$D$3:$E$4153,2,FALSE)</f>
        <v>#N/A</v>
      </c>
      <c r="M996" s="79" t="str">
        <f t="shared" si="69"/>
        <v/>
      </c>
      <c r="N996" s="14">
        <f t="shared" si="70"/>
        <v>3</v>
      </c>
    </row>
    <row r="997" spans="1:14" x14ac:dyDescent="0.35">
      <c r="A997" s="102" t="str">
        <f t="shared" si="68"/>
        <v/>
      </c>
      <c r="G997" s="14" t="e">
        <f>VLOOKUP(F997,'Accident &amp; Incident Detail'!$D$3:$E$4153,2,FALSE)</f>
        <v>#N/A</v>
      </c>
      <c r="M997" s="79" t="str">
        <f t="shared" si="69"/>
        <v/>
      </c>
      <c r="N997" s="14">
        <f t="shared" si="70"/>
        <v>3</v>
      </c>
    </row>
    <row r="998" spans="1:14" x14ac:dyDescent="0.35">
      <c r="A998" s="102" t="str">
        <f t="shared" ref="A998:A1061" si="71">IF(O998&gt;1,"Closed",IF(N998=1,"Overdue",IF(N998=3,"","Open")))</f>
        <v/>
      </c>
      <c r="G998" s="14" t="e">
        <f>VLOOKUP(F998,'Accident &amp; Incident Detail'!$D$3:$E$4153,2,FALSE)</f>
        <v>#N/A</v>
      </c>
      <c r="M998" s="79" t="str">
        <f t="shared" si="69"/>
        <v/>
      </c>
      <c r="N998" s="14">
        <f t="shared" si="70"/>
        <v>3</v>
      </c>
    </row>
    <row r="999" spans="1:14" x14ac:dyDescent="0.35">
      <c r="A999" s="102" t="str">
        <f t="shared" si="71"/>
        <v/>
      </c>
      <c r="G999" s="14" t="e">
        <f>VLOOKUP(F999,'Accident &amp; Incident Detail'!$D$3:$E$4153,2,FALSE)</f>
        <v>#N/A</v>
      </c>
      <c r="M999" s="79" t="str">
        <f t="shared" si="69"/>
        <v/>
      </c>
      <c r="N999" s="14">
        <f t="shared" si="70"/>
        <v>3</v>
      </c>
    </row>
    <row r="1000" spans="1:14" x14ac:dyDescent="0.35">
      <c r="A1000" s="102" t="str">
        <f t="shared" si="71"/>
        <v/>
      </c>
      <c r="G1000" s="14" t="e">
        <f>VLOOKUP(F1000,'Accident &amp; Incident Detail'!$D$3:$E$4153,2,FALSE)</f>
        <v>#N/A</v>
      </c>
      <c r="M1000" s="79" t="str">
        <f t="shared" si="69"/>
        <v/>
      </c>
      <c r="N1000" s="14">
        <f t="shared" si="70"/>
        <v>3</v>
      </c>
    </row>
    <row r="1001" spans="1:14" x14ac:dyDescent="0.35">
      <c r="A1001" s="102" t="str">
        <f t="shared" si="71"/>
        <v/>
      </c>
      <c r="G1001" s="14" t="e">
        <f>VLOOKUP(F1001,'Accident &amp; Incident Detail'!$D$3:$E$4153,2,FALSE)</f>
        <v>#N/A</v>
      </c>
      <c r="M1001" s="79" t="str">
        <f t="shared" si="69"/>
        <v/>
      </c>
      <c r="N1001" s="14">
        <f t="shared" si="70"/>
        <v>3</v>
      </c>
    </row>
    <row r="1002" spans="1:14" x14ac:dyDescent="0.35">
      <c r="A1002" s="102" t="str">
        <f t="shared" si="71"/>
        <v/>
      </c>
      <c r="G1002" s="14" t="e">
        <f>VLOOKUP(F1002,'Accident &amp; Incident Detail'!$D$3:$E$4153,2,FALSE)</f>
        <v>#N/A</v>
      </c>
      <c r="M1002" s="79" t="str">
        <f t="shared" si="69"/>
        <v/>
      </c>
      <c r="N1002" s="14">
        <f t="shared" si="70"/>
        <v>3</v>
      </c>
    </row>
    <row r="1003" spans="1:14" x14ac:dyDescent="0.35">
      <c r="A1003" s="102" t="str">
        <f t="shared" si="71"/>
        <v/>
      </c>
      <c r="G1003" s="14" t="e">
        <f>VLOOKUP(F1003,'Accident &amp; Incident Detail'!$D$3:$E$4153,2,FALSE)</f>
        <v>#N/A</v>
      </c>
      <c r="M1003" s="79" t="str">
        <f t="shared" si="69"/>
        <v/>
      </c>
      <c r="N1003" s="14">
        <f t="shared" si="70"/>
        <v>3</v>
      </c>
    </row>
    <row r="1004" spans="1:14" x14ac:dyDescent="0.35">
      <c r="A1004" s="102" t="str">
        <f t="shared" si="71"/>
        <v/>
      </c>
      <c r="G1004" s="14" t="e">
        <f>VLOOKUP(F1004,'Accident &amp; Incident Detail'!$D$3:$E$4153,2,FALSE)</f>
        <v>#N/A</v>
      </c>
      <c r="M1004" s="79" t="str">
        <f t="shared" si="69"/>
        <v/>
      </c>
      <c r="N1004" s="14">
        <f t="shared" si="70"/>
        <v>3</v>
      </c>
    </row>
    <row r="1005" spans="1:14" x14ac:dyDescent="0.35">
      <c r="A1005" s="102" t="str">
        <f t="shared" si="71"/>
        <v/>
      </c>
      <c r="G1005" s="14" t="e">
        <f>VLOOKUP(F1005,'Accident &amp; Incident Detail'!$D$3:$E$4153,2,FALSE)</f>
        <v>#N/A</v>
      </c>
      <c r="M1005" s="79" t="str">
        <f t="shared" ref="M1005:M1068" si="72">IF(D1005="","",D1005+28)</f>
        <v/>
      </c>
      <c r="N1005" s="14">
        <f t="shared" ref="N1005:N1068" si="73">IF(D1005="",3,IF(M1005&lt;$A$2,1,0))</f>
        <v>3</v>
      </c>
    </row>
    <row r="1006" spans="1:14" x14ac:dyDescent="0.35">
      <c r="A1006" s="102" t="str">
        <f t="shared" si="71"/>
        <v/>
      </c>
      <c r="G1006" s="14" t="e">
        <f>VLOOKUP(F1006,'Accident &amp; Incident Detail'!$D$3:$E$4153,2,FALSE)</f>
        <v>#N/A</v>
      </c>
      <c r="M1006" s="79" t="str">
        <f t="shared" si="72"/>
        <v/>
      </c>
      <c r="N1006" s="14">
        <f t="shared" si="73"/>
        <v>3</v>
      </c>
    </row>
    <row r="1007" spans="1:14" x14ac:dyDescent="0.35">
      <c r="A1007" s="102" t="str">
        <f t="shared" si="71"/>
        <v/>
      </c>
      <c r="G1007" s="14" t="e">
        <f>VLOOKUP(F1007,'Accident &amp; Incident Detail'!$D$3:$E$4153,2,FALSE)</f>
        <v>#N/A</v>
      </c>
      <c r="M1007" s="79" t="str">
        <f t="shared" si="72"/>
        <v/>
      </c>
      <c r="N1007" s="14">
        <f t="shared" si="73"/>
        <v>3</v>
      </c>
    </row>
    <row r="1008" spans="1:14" x14ac:dyDescent="0.35">
      <c r="A1008" s="102" t="str">
        <f t="shared" si="71"/>
        <v/>
      </c>
      <c r="G1008" s="14" t="e">
        <f>VLOOKUP(F1008,'Accident &amp; Incident Detail'!$D$3:$E$4153,2,FALSE)</f>
        <v>#N/A</v>
      </c>
      <c r="M1008" s="79" t="str">
        <f t="shared" si="72"/>
        <v/>
      </c>
      <c r="N1008" s="14">
        <f t="shared" si="73"/>
        <v>3</v>
      </c>
    </row>
    <row r="1009" spans="1:14" x14ac:dyDescent="0.35">
      <c r="A1009" s="102" t="str">
        <f t="shared" si="71"/>
        <v/>
      </c>
      <c r="G1009" s="14" t="e">
        <f>VLOOKUP(F1009,'Accident &amp; Incident Detail'!$D$3:$E$4153,2,FALSE)</f>
        <v>#N/A</v>
      </c>
      <c r="M1009" s="79" t="str">
        <f t="shared" si="72"/>
        <v/>
      </c>
      <c r="N1009" s="14">
        <f t="shared" si="73"/>
        <v>3</v>
      </c>
    </row>
    <row r="1010" spans="1:14" x14ac:dyDescent="0.35">
      <c r="A1010" s="102" t="str">
        <f t="shared" si="71"/>
        <v/>
      </c>
      <c r="G1010" s="14" t="e">
        <f>VLOOKUP(F1010,'Accident &amp; Incident Detail'!$D$3:$E$4153,2,FALSE)</f>
        <v>#N/A</v>
      </c>
      <c r="M1010" s="79" t="str">
        <f t="shared" si="72"/>
        <v/>
      </c>
      <c r="N1010" s="14">
        <f t="shared" si="73"/>
        <v>3</v>
      </c>
    </row>
    <row r="1011" spans="1:14" x14ac:dyDescent="0.35">
      <c r="A1011" s="102" t="str">
        <f t="shared" si="71"/>
        <v/>
      </c>
      <c r="G1011" s="14" t="e">
        <f>VLOOKUP(F1011,'Accident &amp; Incident Detail'!$D$3:$E$4153,2,FALSE)</f>
        <v>#N/A</v>
      </c>
      <c r="M1011" s="79" t="str">
        <f t="shared" si="72"/>
        <v/>
      </c>
      <c r="N1011" s="14">
        <f t="shared" si="73"/>
        <v>3</v>
      </c>
    </row>
    <row r="1012" spans="1:14" x14ac:dyDescent="0.35">
      <c r="A1012" s="102" t="str">
        <f t="shared" si="71"/>
        <v/>
      </c>
      <c r="G1012" s="14" t="e">
        <f>VLOOKUP(F1012,'Accident &amp; Incident Detail'!$D$3:$E$4153,2,FALSE)</f>
        <v>#N/A</v>
      </c>
      <c r="M1012" s="79" t="str">
        <f t="shared" si="72"/>
        <v/>
      </c>
      <c r="N1012" s="14">
        <f t="shared" si="73"/>
        <v>3</v>
      </c>
    </row>
    <row r="1013" spans="1:14" x14ac:dyDescent="0.35">
      <c r="A1013" s="102" t="str">
        <f t="shared" si="71"/>
        <v/>
      </c>
      <c r="G1013" s="14" t="e">
        <f>VLOOKUP(F1013,'Accident &amp; Incident Detail'!$D$3:$E$4153,2,FALSE)</f>
        <v>#N/A</v>
      </c>
      <c r="M1013" s="79" t="str">
        <f t="shared" si="72"/>
        <v/>
      </c>
      <c r="N1013" s="14">
        <f t="shared" si="73"/>
        <v>3</v>
      </c>
    </row>
    <row r="1014" spans="1:14" x14ac:dyDescent="0.35">
      <c r="A1014" s="102" t="str">
        <f t="shared" si="71"/>
        <v/>
      </c>
      <c r="G1014" s="14" t="e">
        <f>VLOOKUP(F1014,'Accident &amp; Incident Detail'!$D$3:$E$4153,2,FALSE)</f>
        <v>#N/A</v>
      </c>
      <c r="M1014" s="79" t="str">
        <f t="shared" si="72"/>
        <v/>
      </c>
      <c r="N1014" s="14">
        <f t="shared" si="73"/>
        <v>3</v>
      </c>
    </row>
    <row r="1015" spans="1:14" x14ac:dyDescent="0.35">
      <c r="A1015" s="102" t="str">
        <f t="shared" si="71"/>
        <v/>
      </c>
      <c r="G1015" s="14" t="e">
        <f>VLOOKUP(F1015,'Accident &amp; Incident Detail'!$D$3:$E$4153,2,FALSE)</f>
        <v>#N/A</v>
      </c>
      <c r="M1015" s="79" t="str">
        <f t="shared" si="72"/>
        <v/>
      </c>
      <c r="N1015" s="14">
        <f t="shared" si="73"/>
        <v>3</v>
      </c>
    </row>
    <row r="1016" spans="1:14" x14ac:dyDescent="0.35">
      <c r="A1016" s="102" t="str">
        <f t="shared" si="71"/>
        <v/>
      </c>
      <c r="G1016" s="14" t="e">
        <f>VLOOKUP(F1016,'Accident &amp; Incident Detail'!$D$3:$E$4153,2,FALSE)</f>
        <v>#N/A</v>
      </c>
      <c r="M1016" s="79" t="str">
        <f t="shared" si="72"/>
        <v/>
      </c>
      <c r="N1016" s="14">
        <f t="shared" si="73"/>
        <v>3</v>
      </c>
    </row>
    <row r="1017" spans="1:14" x14ac:dyDescent="0.35">
      <c r="A1017" s="102" t="str">
        <f t="shared" si="71"/>
        <v/>
      </c>
      <c r="G1017" s="14" t="e">
        <f>VLOOKUP(F1017,'Accident &amp; Incident Detail'!$D$3:$E$4153,2,FALSE)</f>
        <v>#N/A</v>
      </c>
      <c r="M1017" s="79" t="str">
        <f t="shared" si="72"/>
        <v/>
      </c>
      <c r="N1017" s="14">
        <f t="shared" si="73"/>
        <v>3</v>
      </c>
    </row>
    <row r="1018" spans="1:14" x14ac:dyDescent="0.35">
      <c r="A1018" s="102" t="str">
        <f t="shared" si="71"/>
        <v/>
      </c>
      <c r="G1018" s="14" t="e">
        <f>VLOOKUP(F1018,'Accident &amp; Incident Detail'!$D$3:$E$4153,2,FALSE)</f>
        <v>#N/A</v>
      </c>
      <c r="M1018" s="79" t="str">
        <f t="shared" si="72"/>
        <v/>
      </c>
      <c r="N1018" s="14">
        <f t="shared" si="73"/>
        <v>3</v>
      </c>
    </row>
    <row r="1019" spans="1:14" x14ac:dyDescent="0.35">
      <c r="A1019" s="102" t="str">
        <f t="shared" si="71"/>
        <v/>
      </c>
      <c r="G1019" s="14" t="e">
        <f>VLOOKUP(F1019,'Accident &amp; Incident Detail'!$D$3:$E$4153,2,FALSE)</f>
        <v>#N/A</v>
      </c>
      <c r="M1019" s="79" t="str">
        <f t="shared" si="72"/>
        <v/>
      </c>
      <c r="N1019" s="14">
        <f t="shared" si="73"/>
        <v>3</v>
      </c>
    </row>
    <row r="1020" spans="1:14" x14ac:dyDescent="0.35">
      <c r="A1020" s="102" t="str">
        <f t="shared" si="71"/>
        <v/>
      </c>
      <c r="G1020" s="14" t="e">
        <f>VLOOKUP(F1020,'Accident &amp; Incident Detail'!$D$3:$E$4153,2,FALSE)</f>
        <v>#N/A</v>
      </c>
      <c r="M1020" s="79" t="str">
        <f t="shared" si="72"/>
        <v/>
      </c>
      <c r="N1020" s="14">
        <f t="shared" si="73"/>
        <v>3</v>
      </c>
    </row>
    <row r="1021" spans="1:14" x14ac:dyDescent="0.35">
      <c r="A1021" s="102" t="str">
        <f t="shared" si="71"/>
        <v/>
      </c>
      <c r="G1021" s="14" t="e">
        <f>VLOOKUP(F1021,'Accident &amp; Incident Detail'!$D$3:$E$4153,2,FALSE)</f>
        <v>#N/A</v>
      </c>
      <c r="M1021" s="79" t="str">
        <f t="shared" si="72"/>
        <v/>
      </c>
      <c r="N1021" s="14">
        <f t="shared" si="73"/>
        <v>3</v>
      </c>
    </row>
    <row r="1022" spans="1:14" x14ac:dyDescent="0.35">
      <c r="A1022" s="102" t="str">
        <f t="shared" si="71"/>
        <v/>
      </c>
      <c r="G1022" s="14" t="e">
        <f>VLOOKUP(F1022,'Accident &amp; Incident Detail'!$D$3:$E$4153,2,FALSE)</f>
        <v>#N/A</v>
      </c>
      <c r="M1022" s="79" t="str">
        <f t="shared" si="72"/>
        <v/>
      </c>
      <c r="N1022" s="14">
        <f t="shared" si="73"/>
        <v>3</v>
      </c>
    </row>
    <row r="1023" spans="1:14" x14ac:dyDescent="0.35">
      <c r="A1023" s="102" t="str">
        <f t="shared" si="71"/>
        <v/>
      </c>
      <c r="G1023" s="14" t="e">
        <f>VLOOKUP(F1023,'Accident &amp; Incident Detail'!$D$3:$E$4153,2,FALSE)</f>
        <v>#N/A</v>
      </c>
      <c r="M1023" s="79" t="str">
        <f t="shared" si="72"/>
        <v/>
      </c>
      <c r="N1023" s="14">
        <f t="shared" si="73"/>
        <v>3</v>
      </c>
    </row>
    <row r="1024" spans="1:14" x14ac:dyDescent="0.35">
      <c r="A1024" s="102" t="str">
        <f t="shared" si="71"/>
        <v/>
      </c>
      <c r="G1024" s="14" t="e">
        <f>VLOOKUP(F1024,'Accident &amp; Incident Detail'!$D$3:$E$4153,2,FALSE)</f>
        <v>#N/A</v>
      </c>
      <c r="M1024" s="79" t="str">
        <f t="shared" si="72"/>
        <v/>
      </c>
      <c r="N1024" s="14">
        <f t="shared" si="73"/>
        <v>3</v>
      </c>
    </row>
    <row r="1025" spans="1:14" x14ac:dyDescent="0.35">
      <c r="A1025" s="102" t="str">
        <f t="shared" si="71"/>
        <v/>
      </c>
      <c r="G1025" s="14" t="e">
        <f>VLOOKUP(F1025,'Accident &amp; Incident Detail'!$D$3:$E$4153,2,FALSE)</f>
        <v>#N/A</v>
      </c>
      <c r="M1025" s="79" t="str">
        <f t="shared" si="72"/>
        <v/>
      </c>
      <c r="N1025" s="14">
        <f t="shared" si="73"/>
        <v>3</v>
      </c>
    </row>
    <row r="1026" spans="1:14" x14ac:dyDescent="0.35">
      <c r="A1026" s="102" t="str">
        <f t="shared" si="71"/>
        <v/>
      </c>
      <c r="G1026" s="14" t="e">
        <f>VLOOKUP(F1026,'Accident &amp; Incident Detail'!$D$3:$E$4153,2,FALSE)</f>
        <v>#N/A</v>
      </c>
      <c r="M1026" s="79" t="str">
        <f t="shared" si="72"/>
        <v/>
      </c>
      <c r="N1026" s="14">
        <f t="shared" si="73"/>
        <v>3</v>
      </c>
    </row>
    <row r="1027" spans="1:14" x14ac:dyDescent="0.35">
      <c r="A1027" s="102" t="str">
        <f t="shared" si="71"/>
        <v/>
      </c>
      <c r="G1027" s="14" t="e">
        <f>VLOOKUP(F1027,'Accident &amp; Incident Detail'!$D$3:$E$4153,2,FALSE)</f>
        <v>#N/A</v>
      </c>
      <c r="M1027" s="79" t="str">
        <f t="shared" si="72"/>
        <v/>
      </c>
      <c r="N1027" s="14">
        <f t="shared" si="73"/>
        <v>3</v>
      </c>
    </row>
    <row r="1028" spans="1:14" x14ac:dyDescent="0.35">
      <c r="A1028" s="102" t="str">
        <f t="shared" si="71"/>
        <v/>
      </c>
      <c r="G1028" s="14" t="e">
        <f>VLOOKUP(F1028,'Accident &amp; Incident Detail'!$D$3:$E$4153,2,FALSE)</f>
        <v>#N/A</v>
      </c>
      <c r="M1028" s="79" t="str">
        <f t="shared" si="72"/>
        <v/>
      </c>
      <c r="N1028" s="14">
        <f t="shared" si="73"/>
        <v>3</v>
      </c>
    </row>
    <row r="1029" spans="1:14" x14ac:dyDescent="0.35">
      <c r="A1029" s="102" t="str">
        <f t="shared" si="71"/>
        <v/>
      </c>
      <c r="G1029" s="14" t="e">
        <f>VLOOKUP(F1029,'Accident &amp; Incident Detail'!$D$3:$E$4153,2,FALSE)</f>
        <v>#N/A</v>
      </c>
      <c r="M1029" s="79" t="str">
        <f t="shared" si="72"/>
        <v/>
      </c>
      <c r="N1029" s="14">
        <f t="shared" si="73"/>
        <v>3</v>
      </c>
    </row>
    <row r="1030" spans="1:14" x14ac:dyDescent="0.35">
      <c r="A1030" s="102" t="str">
        <f t="shared" si="71"/>
        <v/>
      </c>
      <c r="G1030" s="14" t="e">
        <f>VLOOKUP(F1030,'Accident &amp; Incident Detail'!$D$3:$E$4153,2,FALSE)</f>
        <v>#N/A</v>
      </c>
      <c r="M1030" s="79" t="str">
        <f t="shared" si="72"/>
        <v/>
      </c>
      <c r="N1030" s="14">
        <f t="shared" si="73"/>
        <v>3</v>
      </c>
    </row>
    <row r="1031" spans="1:14" x14ac:dyDescent="0.35">
      <c r="A1031" s="102" t="str">
        <f t="shared" si="71"/>
        <v/>
      </c>
      <c r="G1031" s="14" t="e">
        <f>VLOOKUP(F1031,'Accident &amp; Incident Detail'!$D$3:$E$4153,2,FALSE)</f>
        <v>#N/A</v>
      </c>
      <c r="M1031" s="79" t="str">
        <f t="shared" si="72"/>
        <v/>
      </c>
      <c r="N1031" s="14">
        <f t="shared" si="73"/>
        <v>3</v>
      </c>
    </row>
    <row r="1032" spans="1:14" x14ac:dyDescent="0.35">
      <c r="A1032" s="102" t="str">
        <f t="shared" si="71"/>
        <v/>
      </c>
      <c r="G1032" s="14" t="e">
        <f>VLOOKUP(F1032,'Accident &amp; Incident Detail'!$D$3:$E$4153,2,FALSE)</f>
        <v>#N/A</v>
      </c>
      <c r="M1032" s="79" t="str">
        <f t="shared" si="72"/>
        <v/>
      </c>
      <c r="N1032" s="14">
        <f t="shared" si="73"/>
        <v>3</v>
      </c>
    </row>
    <row r="1033" spans="1:14" x14ac:dyDescent="0.35">
      <c r="A1033" s="102" t="str">
        <f t="shared" si="71"/>
        <v/>
      </c>
      <c r="G1033" s="14" t="e">
        <f>VLOOKUP(F1033,'Accident &amp; Incident Detail'!$D$3:$E$4153,2,FALSE)</f>
        <v>#N/A</v>
      </c>
      <c r="M1033" s="79" t="str">
        <f t="shared" si="72"/>
        <v/>
      </c>
      <c r="N1033" s="14">
        <f t="shared" si="73"/>
        <v>3</v>
      </c>
    </row>
    <row r="1034" spans="1:14" x14ac:dyDescent="0.35">
      <c r="A1034" s="102" t="str">
        <f t="shared" si="71"/>
        <v/>
      </c>
      <c r="G1034" s="14" t="e">
        <f>VLOOKUP(F1034,'Accident &amp; Incident Detail'!$D$3:$E$4153,2,FALSE)</f>
        <v>#N/A</v>
      </c>
      <c r="M1034" s="79" t="str">
        <f t="shared" si="72"/>
        <v/>
      </c>
      <c r="N1034" s="14">
        <f t="shared" si="73"/>
        <v>3</v>
      </c>
    </row>
    <row r="1035" spans="1:14" x14ac:dyDescent="0.35">
      <c r="A1035" s="102" t="str">
        <f t="shared" si="71"/>
        <v/>
      </c>
      <c r="G1035" s="14" t="e">
        <f>VLOOKUP(F1035,'Accident &amp; Incident Detail'!$D$3:$E$4153,2,FALSE)</f>
        <v>#N/A</v>
      </c>
      <c r="M1035" s="79" t="str">
        <f t="shared" si="72"/>
        <v/>
      </c>
      <c r="N1035" s="14">
        <f t="shared" si="73"/>
        <v>3</v>
      </c>
    </row>
    <row r="1036" spans="1:14" x14ac:dyDescent="0.35">
      <c r="A1036" s="102" t="str">
        <f t="shared" si="71"/>
        <v/>
      </c>
      <c r="G1036" s="14" t="e">
        <f>VLOOKUP(F1036,'Accident &amp; Incident Detail'!$D$3:$E$4153,2,FALSE)</f>
        <v>#N/A</v>
      </c>
      <c r="M1036" s="79" t="str">
        <f t="shared" si="72"/>
        <v/>
      </c>
      <c r="N1036" s="14">
        <f t="shared" si="73"/>
        <v>3</v>
      </c>
    </row>
    <row r="1037" spans="1:14" x14ac:dyDescent="0.35">
      <c r="A1037" s="102" t="str">
        <f t="shared" si="71"/>
        <v/>
      </c>
      <c r="G1037" s="14" t="e">
        <f>VLOOKUP(F1037,'Accident &amp; Incident Detail'!$D$3:$E$4153,2,FALSE)</f>
        <v>#N/A</v>
      </c>
      <c r="M1037" s="79" t="str">
        <f t="shared" si="72"/>
        <v/>
      </c>
      <c r="N1037" s="14">
        <f t="shared" si="73"/>
        <v>3</v>
      </c>
    </row>
    <row r="1038" spans="1:14" x14ac:dyDescent="0.35">
      <c r="A1038" s="102" t="str">
        <f t="shared" si="71"/>
        <v/>
      </c>
      <c r="G1038" s="14" t="e">
        <f>VLOOKUP(F1038,'Accident &amp; Incident Detail'!$D$3:$E$4153,2,FALSE)</f>
        <v>#N/A</v>
      </c>
      <c r="M1038" s="79" t="str">
        <f t="shared" si="72"/>
        <v/>
      </c>
      <c r="N1038" s="14">
        <f t="shared" si="73"/>
        <v>3</v>
      </c>
    </row>
    <row r="1039" spans="1:14" x14ac:dyDescent="0.35">
      <c r="A1039" s="102" t="str">
        <f t="shared" si="71"/>
        <v/>
      </c>
      <c r="G1039" s="14" t="e">
        <f>VLOOKUP(F1039,'Accident &amp; Incident Detail'!$D$3:$E$4153,2,FALSE)</f>
        <v>#N/A</v>
      </c>
      <c r="M1039" s="79" t="str">
        <f t="shared" si="72"/>
        <v/>
      </c>
      <c r="N1039" s="14">
        <f t="shared" si="73"/>
        <v>3</v>
      </c>
    </row>
    <row r="1040" spans="1:14" x14ac:dyDescent="0.35">
      <c r="A1040" s="102" t="str">
        <f t="shared" si="71"/>
        <v/>
      </c>
      <c r="G1040" s="14" t="e">
        <f>VLOOKUP(F1040,'Accident &amp; Incident Detail'!$D$3:$E$4153,2,FALSE)</f>
        <v>#N/A</v>
      </c>
      <c r="M1040" s="79" t="str">
        <f t="shared" si="72"/>
        <v/>
      </c>
      <c r="N1040" s="14">
        <f t="shared" si="73"/>
        <v>3</v>
      </c>
    </row>
    <row r="1041" spans="1:14" x14ac:dyDescent="0.35">
      <c r="A1041" s="102" t="str">
        <f t="shared" si="71"/>
        <v/>
      </c>
      <c r="G1041" s="14" t="e">
        <f>VLOOKUP(F1041,'Accident &amp; Incident Detail'!$D$3:$E$4153,2,FALSE)</f>
        <v>#N/A</v>
      </c>
      <c r="M1041" s="79" t="str">
        <f t="shared" si="72"/>
        <v/>
      </c>
      <c r="N1041" s="14">
        <f t="shared" si="73"/>
        <v>3</v>
      </c>
    </row>
    <row r="1042" spans="1:14" x14ac:dyDescent="0.35">
      <c r="A1042" s="102" t="str">
        <f t="shared" si="71"/>
        <v/>
      </c>
      <c r="G1042" s="14" t="e">
        <f>VLOOKUP(F1042,'Accident &amp; Incident Detail'!$D$3:$E$4153,2,FALSE)</f>
        <v>#N/A</v>
      </c>
      <c r="M1042" s="79" t="str">
        <f t="shared" si="72"/>
        <v/>
      </c>
      <c r="N1042" s="14">
        <f t="shared" si="73"/>
        <v>3</v>
      </c>
    </row>
    <row r="1043" spans="1:14" x14ac:dyDescent="0.35">
      <c r="A1043" s="102" t="str">
        <f t="shared" si="71"/>
        <v/>
      </c>
      <c r="G1043" s="14" t="e">
        <f>VLOOKUP(F1043,'Accident &amp; Incident Detail'!$D$3:$E$4153,2,FALSE)</f>
        <v>#N/A</v>
      </c>
      <c r="M1043" s="79" t="str">
        <f t="shared" si="72"/>
        <v/>
      </c>
      <c r="N1043" s="14">
        <f t="shared" si="73"/>
        <v>3</v>
      </c>
    </row>
    <row r="1044" spans="1:14" x14ac:dyDescent="0.35">
      <c r="A1044" s="102" t="str">
        <f t="shared" si="71"/>
        <v/>
      </c>
      <c r="G1044" s="14" t="e">
        <f>VLOOKUP(F1044,'Accident &amp; Incident Detail'!$D$3:$E$4153,2,FALSE)</f>
        <v>#N/A</v>
      </c>
      <c r="M1044" s="79" t="str">
        <f t="shared" si="72"/>
        <v/>
      </c>
      <c r="N1044" s="14">
        <f t="shared" si="73"/>
        <v>3</v>
      </c>
    </row>
    <row r="1045" spans="1:14" x14ac:dyDescent="0.35">
      <c r="A1045" s="102" t="str">
        <f t="shared" si="71"/>
        <v/>
      </c>
      <c r="G1045" s="14" t="e">
        <f>VLOOKUP(F1045,'Accident &amp; Incident Detail'!$D$3:$E$4153,2,FALSE)</f>
        <v>#N/A</v>
      </c>
      <c r="M1045" s="79" t="str">
        <f t="shared" si="72"/>
        <v/>
      </c>
      <c r="N1045" s="14">
        <f t="shared" si="73"/>
        <v>3</v>
      </c>
    </row>
    <row r="1046" spans="1:14" x14ac:dyDescent="0.35">
      <c r="A1046" s="102" t="str">
        <f t="shared" si="71"/>
        <v/>
      </c>
      <c r="G1046" s="14" t="e">
        <f>VLOOKUP(F1046,'Accident &amp; Incident Detail'!$D$3:$E$4153,2,FALSE)</f>
        <v>#N/A</v>
      </c>
      <c r="M1046" s="79" t="str">
        <f t="shared" si="72"/>
        <v/>
      </c>
      <c r="N1046" s="14">
        <f t="shared" si="73"/>
        <v>3</v>
      </c>
    </row>
    <row r="1047" spans="1:14" x14ac:dyDescent="0.35">
      <c r="A1047" s="102" t="str">
        <f t="shared" si="71"/>
        <v/>
      </c>
      <c r="G1047" s="14" t="e">
        <f>VLOOKUP(F1047,'Accident &amp; Incident Detail'!$D$3:$E$4153,2,FALSE)</f>
        <v>#N/A</v>
      </c>
      <c r="M1047" s="79" t="str">
        <f t="shared" si="72"/>
        <v/>
      </c>
      <c r="N1047" s="14">
        <f t="shared" si="73"/>
        <v>3</v>
      </c>
    </row>
    <row r="1048" spans="1:14" x14ac:dyDescent="0.35">
      <c r="A1048" s="102" t="str">
        <f t="shared" si="71"/>
        <v/>
      </c>
      <c r="G1048" s="14" t="e">
        <f>VLOOKUP(F1048,'Accident &amp; Incident Detail'!$D$3:$E$4153,2,FALSE)</f>
        <v>#N/A</v>
      </c>
      <c r="M1048" s="79" t="str">
        <f t="shared" si="72"/>
        <v/>
      </c>
      <c r="N1048" s="14">
        <f t="shared" si="73"/>
        <v>3</v>
      </c>
    </row>
    <row r="1049" spans="1:14" x14ac:dyDescent="0.35">
      <c r="A1049" s="102" t="str">
        <f t="shared" si="71"/>
        <v/>
      </c>
      <c r="G1049" s="14" t="e">
        <f>VLOOKUP(F1049,'Accident &amp; Incident Detail'!$D$3:$E$4153,2,FALSE)</f>
        <v>#N/A</v>
      </c>
      <c r="M1049" s="79" t="str">
        <f t="shared" si="72"/>
        <v/>
      </c>
      <c r="N1049" s="14">
        <f t="shared" si="73"/>
        <v>3</v>
      </c>
    </row>
    <row r="1050" spans="1:14" x14ac:dyDescent="0.35">
      <c r="A1050" s="102" t="str">
        <f t="shared" si="71"/>
        <v/>
      </c>
      <c r="G1050" s="14" t="e">
        <f>VLOOKUP(F1050,'Accident &amp; Incident Detail'!$D$3:$E$4153,2,FALSE)</f>
        <v>#N/A</v>
      </c>
      <c r="M1050" s="79" t="str">
        <f t="shared" si="72"/>
        <v/>
      </c>
      <c r="N1050" s="14">
        <f t="shared" si="73"/>
        <v>3</v>
      </c>
    </row>
    <row r="1051" spans="1:14" x14ac:dyDescent="0.35">
      <c r="A1051" s="102" t="str">
        <f t="shared" si="71"/>
        <v/>
      </c>
      <c r="G1051" s="14" t="e">
        <f>VLOOKUP(F1051,'Accident &amp; Incident Detail'!$D$3:$E$4153,2,FALSE)</f>
        <v>#N/A</v>
      </c>
      <c r="M1051" s="79" t="str">
        <f t="shared" si="72"/>
        <v/>
      </c>
      <c r="N1051" s="14">
        <f t="shared" si="73"/>
        <v>3</v>
      </c>
    </row>
    <row r="1052" spans="1:14" x14ac:dyDescent="0.35">
      <c r="A1052" s="102" t="str">
        <f t="shared" si="71"/>
        <v/>
      </c>
      <c r="G1052" s="14" t="e">
        <f>VLOOKUP(F1052,'Accident &amp; Incident Detail'!$D$3:$E$4153,2,FALSE)</f>
        <v>#N/A</v>
      </c>
      <c r="M1052" s="79" t="str">
        <f t="shared" si="72"/>
        <v/>
      </c>
      <c r="N1052" s="14">
        <f t="shared" si="73"/>
        <v>3</v>
      </c>
    </row>
    <row r="1053" spans="1:14" x14ac:dyDescent="0.35">
      <c r="A1053" s="102" t="str">
        <f t="shared" si="71"/>
        <v/>
      </c>
      <c r="G1053" s="14" t="e">
        <f>VLOOKUP(F1053,'Accident &amp; Incident Detail'!$D$3:$E$4153,2,FALSE)</f>
        <v>#N/A</v>
      </c>
      <c r="M1053" s="79" t="str">
        <f t="shared" si="72"/>
        <v/>
      </c>
      <c r="N1053" s="14">
        <f t="shared" si="73"/>
        <v>3</v>
      </c>
    </row>
    <row r="1054" spans="1:14" x14ac:dyDescent="0.35">
      <c r="A1054" s="102" t="str">
        <f t="shared" si="71"/>
        <v/>
      </c>
      <c r="G1054" s="14" t="e">
        <f>VLOOKUP(F1054,'Accident &amp; Incident Detail'!$D$3:$E$4153,2,FALSE)</f>
        <v>#N/A</v>
      </c>
      <c r="M1054" s="79" t="str">
        <f t="shared" si="72"/>
        <v/>
      </c>
      <c r="N1054" s="14">
        <f t="shared" si="73"/>
        <v>3</v>
      </c>
    </row>
    <row r="1055" spans="1:14" x14ac:dyDescent="0.35">
      <c r="A1055" s="102" t="str">
        <f t="shared" si="71"/>
        <v/>
      </c>
      <c r="G1055" s="14" t="e">
        <f>VLOOKUP(F1055,'Accident &amp; Incident Detail'!$D$3:$E$4153,2,FALSE)</f>
        <v>#N/A</v>
      </c>
      <c r="M1055" s="79" t="str">
        <f t="shared" si="72"/>
        <v/>
      </c>
      <c r="N1055" s="14">
        <f t="shared" si="73"/>
        <v>3</v>
      </c>
    </row>
    <row r="1056" spans="1:14" x14ac:dyDescent="0.35">
      <c r="A1056" s="102" t="str">
        <f t="shared" si="71"/>
        <v/>
      </c>
      <c r="G1056" s="14" t="e">
        <f>VLOOKUP(F1056,'Accident &amp; Incident Detail'!$D$3:$E$4153,2,FALSE)</f>
        <v>#N/A</v>
      </c>
      <c r="M1056" s="79" t="str">
        <f t="shared" si="72"/>
        <v/>
      </c>
      <c r="N1056" s="14">
        <f t="shared" si="73"/>
        <v>3</v>
      </c>
    </row>
    <row r="1057" spans="1:14" x14ac:dyDescent="0.35">
      <c r="A1057" s="102" t="str">
        <f t="shared" si="71"/>
        <v/>
      </c>
      <c r="G1057" s="14" t="e">
        <f>VLOOKUP(F1057,'Accident &amp; Incident Detail'!$D$3:$E$4153,2,FALSE)</f>
        <v>#N/A</v>
      </c>
      <c r="M1057" s="79" t="str">
        <f t="shared" si="72"/>
        <v/>
      </c>
      <c r="N1057" s="14">
        <f t="shared" si="73"/>
        <v>3</v>
      </c>
    </row>
    <row r="1058" spans="1:14" x14ac:dyDescent="0.35">
      <c r="A1058" s="102" t="str">
        <f t="shared" si="71"/>
        <v/>
      </c>
      <c r="G1058" s="14" t="e">
        <f>VLOOKUP(F1058,'Accident &amp; Incident Detail'!$D$3:$E$4153,2,FALSE)</f>
        <v>#N/A</v>
      </c>
      <c r="M1058" s="79" t="str">
        <f t="shared" si="72"/>
        <v/>
      </c>
      <c r="N1058" s="14">
        <f t="shared" si="73"/>
        <v>3</v>
      </c>
    </row>
    <row r="1059" spans="1:14" x14ac:dyDescent="0.35">
      <c r="A1059" s="102" t="str">
        <f t="shared" si="71"/>
        <v/>
      </c>
      <c r="G1059" s="14" t="e">
        <f>VLOOKUP(F1059,'Accident &amp; Incident Detail'!$D$3:$E$4153,2,FALSE)</f>
        <v>#N/A</v>
      </c>
      <c r="M1059" s="79" t="str">
        <f t="shared" si="72"/>
        <v/>
      </c>
      <c r="N1059" s="14">
        <f t="shared" si="73"/>
        <v>3</v>
      </c>
    </row>
    <row r="1060" spans="1:14" x14ac:dyDescent="0.35">
      <c r="A1060" s="102" t="str">
        <f t="shared" si="71"/>
        <v/>
      </c>
      <c r="G1060" s="14" t="e">
        <f>VLOOKUP(F1060,'Accident &amp; Incident Detail'!$D$3:$E$4153,2,FALSE)</f>
        <v>#N/A</v>
      </c>
      <c r="M1060" s="79" t="str">
        <f t="shared" si="72"/>
        <v/>
      </c>
      <c r="N1060" s="14">
        <f t="shared" si="73"/>
        <v>3</v>
      </c>
    </row>
    <row r="1061" spans="1:14" x14ac:dyDescent="0.35">
      <c r="A1061" s="102" t="str">
        <f t="shared" si="71"/>
        <v/>
      </c>
      <c r="G1061" s="14" t="e">
        <f>VLOOKUP(F1061,'Accident &amp; Incident Detail'!$D$3:$E$4153,2,FALSE)</f>
        <v>#N/A</v>
      </c>
      <c r="M1061" s="79" t="str">
        <f t="shared" si="72"/>
        <v/>
      </c>
      <c r="N1061" s="14">
        <f t="shared" si="73"/>
        <v>3</v>
      </c>
    </row>
    <row r="1062" spans="1:14" x14ac:dyDescent="0.35">
      <c r="A1062" s="102" t="str">
        <f t="shared" ref="A1062:A1125" si="74">IF(O1062&gt;1,"Closed",IF(N1062=1,"Overdue",IF(N1062=3,"","Open")))</f>
        <v/>
      </c>
      <c r="G1062" s="14" t="e">
        <f>VLOOKUP(F1062,'Accident &amp; Incident Detail'!$D$3:$E$4153,2,FALSE)</f>
        <v>#N/A</v>
      </c>
      <c r="M1062" s="79" t="str">
        <f t="shared" si="72"/>
        <v/>
      </c>
      <c r="N1062" s="14">
        <f t="shared" si="73"/>
        <v>3</v>
      </c>
    </row>
    <row r="1063" spans="1:14" x14ac:dyDescent="0.35">
      <c r="A1063" s="102" t="str">
        <f t="shared" si="74"/>
        <v/>
      </c>
      <c r="G1063" s="14" t="e">
        <f>VLOOKUP(F1063,'Accident &amp; Incident Detail'!$D$3:$E$4153,2,FALSE)</f>
        <v>#N/A</v>
      </c>
      <c r="M1063" s="79" t="str">
        <f t="shared" si="72"/>
        <v/>
      </c>
      <c r="N1063" s="14">
        <f t="shared" si="73"/>
        <v>3</v>
      </c>
    </row>
    <row r="1064" spans="1:14" x14ac:dyDescent="0.35">
      <c r="A1064" s="102" t="str">
        <f t="shared" si="74"/>
        <v/>
      </c>
      <c r="G1064" s="14" t="e">
        <f>VLOOKUP(F1064,'Accident &amp; Incident Detail'!$D$3:$E$4153,2,FALSE)</f>
        <v>#N/A</v>
      </c>
      <c r="M1064" s="79" t="str">
        <f t="shared" si="72"/>
        <v/>
      </c>
      <c r="N1064" s="14">
        <f t="shared" si="73"/>
        <v>3</v>
      </c>
    </row>
    <row r="1065" spans="1:14" x14ac:dyDescent="0.35">
      <c r="A1065" s="102" t="str">
        <f t="shared" si="74"/>
        <v/>
      </c>
      <c r="G1065" s="14" t="e">
        <f>VLOOKUP(F1065,'Accident &amp; Incident Detail'!$D$3:$E$4153,2,FALSE)</f>
        <v>#N/A</v>
      </c>
      <c r="M1065" s="79" t="str">
        <f t="shared" si="72"/>
        <v/>
      </c>
      <c r="N1065" s="14">
        <f t="shared" si="73"/>
        <v>3</v>
      </c>
    </row>
    <row r="1066" spans="1:14" x14ac:dyDescent="0.35">
      <c r="A1066" s="102" t="str">
        <f t="shared" si="74"/>
        <v/>
      </c>
      <c r="G1066" s="14" t="e">
        <f>VLOOKUP(F1066,'Accident &amp; Incident Detail'!$D$3:$E$4153,2,FALSE)</f>
        <v>#N/A</v>
      </c>
      <c r="M1066" s="79" t="str">
        <f t="shared" si="72"/>
        <v/>
      </c>
      <c r="N1066" s="14">
        <f t="shared" si="73"/>
        <v>3</v>
      </c>
    </row>
    <row r="1067" spans="1:14" x14ac:dyDescent="0.35">
      <c r="A1067" s="102" t="str">
        <f t="shared" si="74"/>
        <v/>
      </c>
      <c r="G1067" s="14" t="e">
        <f>VLOOKUP(F1067,'Accident &amp; Incident Detail'!$D$3:$E$4153,2,FALSE)</f>
        <v>#N/A</v>
      </c>
      <c r="M1067" s="79" t="str">
        <f t="shared" si="72"/>
        <v/>
      </c>
      <c r="N1067" s="14">
        <f t="shared" si="73"/>
        <v>3</v>
      </c>
    </row>
    <row r="1068" spans="1:14" x14ac:dyDescent="0.35">
      <c r="A1068" s="102" t="str">
        <f t="shared" si="74"/>
        <v/>
      </c>
      <c r="G1068" s="14" t="e">
        <f>VLOOKUP(F1068,'Accident &amp; Incident Detail'!$D$3:$E$4153,2,FALSE)</f>
        <v>#N/A</v>
      </c>
      <c r="M1068" s="79" t="str">
        <f t="shared" si="72"/>
        <v/>
      </c>
      <c r="N1068" s="14">
        <f t="shared" si="73"/>
        <v>3</v>
      </c>
    </row>
    <row r="1069" spans="1:14" x14ac:dyDescent="0.35">
      <c r="A1069" s="102" t="str">
        <f t="shared" si="74"/>
        <v/>
      </c>
      <c r="G1069" s="14" t="e">
        <f>VLOOKUP(F1069,'Accident &amp; Incident Detail'!$D$3:$E$4153,2,FALSE)</f>
        <v>#N/A</v>
      </c>
      <c r="M1069" s="79" t="str">
        <f t="shared" ref="M1069:M1132" si="75">IF(D1069="","",D1069+28)</f>
        <v/>
      </c>
      <c r="N1069" s="14">
        <f t="shared" ref="N1069:N1132" si="76">IF(D1069="",3,IF(M1069&lt;$A$2,1,0))</f>
        <v>3</v>
      </c>
    </row>
    <row r="1070" spans="1:14" x14ac:dyDescent="0.35">
      <c r="A1070" s="102" t="str">
        <f t="shared" si="74"/>
        <v/>
      </c>
      <c r="G1070" s="14" t="e">
        <f>VLOOKUP(F1070,'Accident &amp; Incident Detail'!$D$3:$E$4153,2,FALSE)</f>
        <v>#N/A</v>
      </c>
      <c r="M1070" s="79" t="str">
        <f t="shared" si="75"/>
        <v/>
      </c>
      <c r="N1070" s="14">
        <f t="shared" si="76"/>
        <v>3</v>
      </c>
    </row>
    <row r="1071" spans="1:14" x14ac:dyDescent="0.35">
      <c r="A1071" s="102" t="str">
        <f t="shared" si="74"/>
        <v/>
      </c>
      <c r="G1071" s="14" t="e">
        <f>VLOOKUP(F1071,'Accident &amp; Incident Detail'!$D$3:$E$4153,2,FALSE)</f>
        <v>#N/A</v>
      </c>
      <c r="M1071" s="79" t="str">
        <f t="shared" si="75"/>
        <v/>
      </c>
      <c r="N1071" s="14">
        <f t="shared" si="76"/>
        <v>3</v>
      </c>
    </row>
    <row r="1072" spans="1:14" x14ac:dyDescent="0.35">
      <c r="A1072" s="102" t="str">
        <f t="shared" si="74"/>
        <v/>
      </c>
      <c r="G1072" s="14" t="e">
        <f>VLOOKUP(F1072,'Accident &amp; Incident Detail'!$D$3:$E$4153,2,FALSE)</f>
        <v>#N/A</v>
      </c>
      <c r="M1072" s="79" t="str">
        <f t="shared" si="75"/>
        <v/>
      </c>
      <c r="N1072" s="14">
        <f t="shared" si="76"/>
        <v>3</v>
      </c>
    </row>
    <row r="1073" spans="1:14" x14ac:dyDescent="0.35">
      <c r="A1073" s="102" t="str">
        <f t="shared" si="74"/>
        <v/>
      </c>
      <c r="G1073" s="14" t="e">
        <f>VLOOKUP(F1073,'Accident &amp; Incident Detail'!$D$3:$E$4153,2,FALSE)</f>
        <v>#N/A</v>
      </c>
      <c r="M1073" s="79" t="str">
        <f t="shared" si="75"/>
        <v/>
      </c>
      <c r="N1073" s="14">
        <f t="shared" si="76"/>
        <v>3</v>
      </c>
    </row>
    <row r="1074" spans="1:14" x14ac:dyDescent="0.35">
      <c r="A1074" s="102" t="str">
        <f t="shared" si="74"/>
        <v/>
      </c>
      <c r="G1074" s="14" t="e">
        <f>VLOOKUP(F1074,'Accident &amp; Incident Detail'!$D$3:$E$4153,2,FALSE)</f>
        <v>#N/A</v>
      </c>
      <c r="M1074" s="79" t="str">
        <f t="shared" si="75"/>
        <v/>
      </c>
      <c r="N1074" s="14">
        <f t="shared" si="76"/>
        <v>3</v>
      </c>
    </row>
    <row r="1075" spans="1:14" x14ac:dyDescent="0.35">
      <c r="A1075" s="102" t="str">
        <f t="shared" si="74"/>
        <v/>
      </c>
      <c r="G1075" s="14" t="e">
        <f>VLOOKUP(F1075,'Accident &amp; Incident Detail'!$D$3:$E$4153,2,FALSE)</f>
        <v>#N/A</v>
      </c>
      <c r="M1075" s="79" t="str">
        <f t="shared" si="75"/>
        <v/>
      </c>
      <c r="N1075" s="14">
        <f t="shared" si="76"/>
        <v>3</v>
      </c>
    </row>
    <row r="1076" spans="1:14" x14ac:dyDescent="0.35">
      <c r="A1076" s="102" t="str">
        <f t="shared" si="74"/>
        <v/>
      </c>
      <c r="G1076" s="14" t="e">
        <f>VLOOKUP(F1076,'Accident &amp; Incident Detail'!$D$3:$E$4153,2,FALSE)</f>
        <v>#N/A</v>
      </c>
      <c r="M1076" s="79" t="str">
        <f t="shared" si="75"/>
        <v/>
      </c>
      <c r="N1076" s="14">
        <f t="shared" si="76"/>
        <v>3</v>
      </c>
    </row>
    <row r="1077" spans="1:14" x14ac:dyDescent="0.35">
      <c r="A1077" s="102" t="str">
        <f t="shared" si="74"/>
        <v/>
      </c>
      <c r="G1077" s="14" t="e">
        <f>VLOOKUP(F1077,'Accident &amp; Incident Detail'!$D$3:$E$4153,2,FALSE)</f>
        <v>#N/A</v>
      </c>
      <c r="M1077" s="79" t="str">
        <f t="shared" si="75"/>
        <v/>
      </c>
      <c r="N1077" s="14">
        <f t="shared" si="76"/>
        <v>3</v>
      </c>
    </row>
    <row r="1078" spans="1:14" x14ac:dyDescent="0.35">
      <c r="A1078" s="102" t="str">
        <f t="shared" si="74"/>
        <v/>
      </c>
      <c r="G1078" s="14" t="e">
        <f>VLOOKUP(F1078,'Accident &amp; Incident Detail'!$D$3:$E$4153,2,FALSE)</f>
        <v>#N/A</v>
      </c>
      <c r="M1078" s="79" t="str">
        <f t="shared" si="75"/>
        <v/>
      </c>
      <c r="N1078" s="14">
        <f t="shared" si="76"/>
        <v>3</v>
      </c>
    </row>
    <row r="1079" spans="1:14" x14ac:dyDescent="0.35">
      <c r="A1079" s="102" t="str">
        <f t="shared" si="74"/>
        <v/>
      </c>
      <c r="G1079" s="14" t="e">
        <f>VLOOKUP(F1079,'Accident &amp; Incident Detail'!$D$3:$E$4153,2,FALSE)</f>
        <v>#N/A</v>
      </c>
      <c r="M1079" s="79" t="str">
        <f t="shared" si="75"/>
        <v/>
      </c>
      <c r="N1079" s="14">
        <f t="shared" si="76"/>
        <v>3</v>
      </c>
    </row>
    <row r="1080" spans="1:14" x14ac:dyDescent="0.35">
      <c r="A1080" s="102" t="str">
        <f t="shared" si="74"/>
        <v/>
      </c>
      <c r="G1080" s="14" t="e">
        <f>VLOOKUP(F1080,'Accident &amp; Incident Detail'!$D$3:$E$4153,2,FALSE)</f>
        <v>#N/A</v>
      </c>
      <c r="M1080" s="79" t="str">
        <f t="shared" si="75"/>
        <v/>
      </c>
      <c r="N1080" s="14">
        <f t="shared" si="76"/>
        <v>3</v>
      </c>
    </row>
    <row r="1081" spans="1:14" x14ac:dyDescent="0.35">
      <c r="A1081" s="102" t="str">
        <f t="shared" si="74"/>
        <v/>
      </c>
      <c r="G1081" s="14" t="e">
        <f>VLOOKUP(F1081,'Accident &amp; Incident Detail'!$D$3:$E$4153,2,FALSE)</f>
        <v>#N/A</v>
      </c>
      <c r="M1081" s="79" t="str">
        <f t="shared" si="75"/>
        <v/>
      </c>
      <c r="N1081" s="14">
        <f t="shared" si="76"/>
        <v>3</v>
      </c>
    </row>
    <row r="1082" spans="1:14" x14ac:dyDescent="0.35">
      <c r="A1082" s="102" t="str">
        <f t="shared" si="74"/>
        <v/>
      </c>
      <c r="G1082" s="14" t="e">
        <f>VLOOKUP(F1082,'Accident &amp; Incident Detail'!$D$3:$E$4153,2,FALSE)</f>
        <v>#N/A</v>
      </c>
      <c r="M1082" s="79" t="str">
        <f t="shared" si="75"/>
        <v/>
      </c>
      <c r="N1082" s="14">
        <f t="shared" si="76"/>
        <v>3</v>
      </c>
    </row>
    <row r="1083" spans="1:14" x14ac:dyDescent="0.35">
      <c r="A1083" s="102" t="str">
        <f t="shared" si="74"/>
        <v/>
      </c>
      <c r="G1083" s="14" t="e">
        <f>VLOOKUP(F1083,'Accident &amp; Incident Detail'!$D$3:$E$4153,2,FALSE)</f>
        <v>#N/A</v>
      </c>
      <c r="M1083" s="79" t="str">
        <f t="shared" si="75"/>
        <v/>
      </c>
      <c r="N1083" s="14">
        <f t="shared" si="76"/>
        <v>3</v>
      </c>
    </row>
    <row r="1084" spans="1:14" x14ac:dyDescent="0.35">
      <c r="A1084" s="102" t="str">
        <f t="shared" si="74"/>
        <v/>
      </c>
      <c r="G1084" s="14" t="e">
        <f>VLOOKUP(F1084,'Accident &amp; Incident Detail'!$D$3:$E$4153,2,FALSE)</f>
        <v>#N/A</v>
      </c>
      <c r="M1084" s="79" t="str">
        <f t="shared" si="75"/>
        <v/>
      </c>
      <c r="N1084" s="14">
        <f t="shared" si="76"/>
        <v>3</v>
      </c>
    </row>
    <row r="1085" spans="1:14" x14ac:dyDescent="0.35">
      <c r="A1085" s="102" t="str">
        <f t="shared" si="74"/>
        <v/>
      </c>
      <c r="G1085" s="14" t="e">
        <f>VLOOKUP(F1085,'Accident &amp; Incident Detail'!$D$3:$E$4153,2,FALSE)</f>
        <v>#N/A</v>
      </c>
      <c r="M1085" s="79" t="str">
        <f t="shared" si="75"/>
        <v/>
      </c>
      <c r="N1085" s="14">
        <f t="shared" si="76"/>
        <v>3</v>
      </c>
    </row>
    <row r="1086" spans="1:14" x14ac:dyDescent="0.35">
      <c r="A1086" s="102" t="str">
        <f t="shared" si="74"/>
        <v/>
      </c>
      <c r="G1086" s="14" t="e">
        <f>VLOOKUP(F1086,'Accident &amp; Incident Detail'!$D$3:$E$4153,2,FALSE)</f>
        <v>#N/A</v>
      </c>
      <c r="M1086" s="79" t="str">
        <f t="shared" si="75"/>
        <v/>
      </c>
      <c r="N1086" s="14">
        <f t="shared" si="76"/>
        <v>3</v>
      </c>
    </row>
    <row r="1087" spans="1:14" x14ac:dyDescent="0.35">
      <c r="A1087" s="102" t="str">
        <f t="shared" si="74"/>
        <v/>
      </c>
      <c r="G1087" s="14" t="e">
        <f>VLOOKUP(F1087,'Accident &amp; Incident Detail'!$D$3:$E$4153,2,FALSE)</f>
        <v>#N/A</v>
      </c>
      <c r="M1087" s="79" t="str">
        <f t="shared" si="75"/>
        <v/>
      </c>
      <c r="N1087" s="14">
        <f t="shared" si="76"/>
        <v>3</v>
      </c>
    </row>
    <row r="1088" spans="1:14" x14ac:dyDescent="0.35">
      <c r="A1088" s="102" t="str">
        <f t="shared" si="74"/>
        <v/>
      </c>
      <c r="G1088" s="14" t="e">
        <f>VLOOKUP(F1088,'Accident &amp; Incident Detail'!$D$3:$E$4153,2,FALSE)</f>
        <v>#N/A</v>
      </c>
      <c r="M1088" s="79" t="str">
        <f t="shared" si="75"/>
        <v/>
      </c>
      <c r="N1088" s="14">
        <f t="shared" si="76"/>
        <v>3</v>
      </c>
    </row>
    <row r="1089" spans="1:14" x14ac:dyDescent="0.35">
      <c r="A1089" s="102" t="str">
        <f t="shared" si="74"/>
        <v/>
      </c>
      <c r="G1089" s="14" t="e">
        <f>VLOOKUP(F1089,'Accident &amp; Incident Detail'!$D$3:$E$4153,2,FALSE)</f>
        <v>#N/A</v>
      </c>
      <c r="M1089" s="79" t="str">
        <f t="shared" si="75"/>
        <v/>
      </c>
      <c r="N1089" s="14">
        <f t="shared" si="76"/>
        <v>3</v>
      </c>
    </row>
    <row r="1090" spans="1:14" x14ac:dyDescent="0.35">
      <c r="A1090" s="102" t="str">
        <f t="shared" si="74"/>
        <v/>
      </c>
      <c r="G1090" s="14" t="e">
        <f>VLOOKUP(F1090,'Accident &amp; Incident Detail'!$D$3:$E$4153,2,FALSE)</f>
        <v>#N/A</v>
      </c>
      <c r="M1090" s="79" t="str">
        <f t="shared" si="75"/>
        <v/>
      </c>
      <c r="N1090" s="14">
        <f t="shared" si="76"/>
        <v>3</v>
      </c>
    </row>
    <row r="1091" spans="1:14" x14ac:dyDescent="0.35">
      <c r="A1091" s="102" t="str">
        <f t="shared" si="74"/>
        <v/>
      </c>
      <c r="G1091" s="14" t="e">
        <f>VLOOKUP(F1091,'Accident &amp; Incident Detail'!$D$3:$E$4153,2,FALSE)</f>
        <v>#N/A</v>
      </c>
      <c r="M1091" s="79" t="str">
        <f t="shared" si="75"/>
        <v/>
      </c>
      <c r="N1091" s="14">
        <f t="shared" si="76"/>
        <v>3</v>
      </c>
    </row>
    <row r="1092" spans="1:14" x14ac:dyDescent="0.35">
      <c r="A1092" s="102" t="str">
        <f t="shared" si="74"/>
        <v/>
      </c>
      <c r="G1092" s="14" t="e">
        <f>VLOOKUP(F1092,'Accident &amp; Incident Detail'!$D$3:$E$4153,2,FALSE)</f>
        <v>#N/A</v>
      </c>
      <c r="M1092" s="79" t="str">
        <f t="shared" si="75"/>
        <v/>
      </c>
      <c r="N1092" s="14">
        <f t="shared" si="76"/>
        <v>3</v>
      </c>
    </row>
    <row r="1093" spans="1:14" x14ac:dyDescent="0.35">
      <c r="A1093" s="102" t="str">
        <f t="shared" si="74"/>
        <v/>
      </c>
      <c r="G1093" s="14" t="e">
        <f>VLOOKUP(F1093,'Accident &amp; Incident Detail'!$D$3:$E$4153,2,FALSE)</f>
        <v>#N/A</v>
      </c>
      <c r="M1093" s="79" t="str">
        <f t="shared" si="75"/>
        <v/>
      </c>
      <c r="N1093" s="14">
        <f t="shared" si="76"/>
        <v>3</v>
      </c>
    </row>
    <row r="1094" spans="1:14" x14ac:dyDescent="0.35">
      <c r="A1094" s="102" t="str">
        <f t="shared" si="74"/>
        <v/>
      </c>
      <c r="G1094" s="14" t="e">
        <f>VLOOKUP(F1094,'Accident &amp; Incident Detail'!$D$3:$E$4153,2,FALSE)</f>
        <v>#N/A</v>
      </c>
      <c r="M1094" s="79" t="str">
        <f t="shared" si="75"/>
        <v/>
      </c>
      <c r="N1094" s="14">
        <f t="shared" si="76"/>
        <v>3</v>
      </c>
    </row>
    <row r="1095" spans="1:14" x14ac:dyDescent="0.35">
      <c r="A1095" s="102" t="str">
        <f t="shared" si="74"/>
        <v/>
      </c>
      <c r="G1095" s="14" t="e">
        <f>VLOOKUP(F1095,'Accident &amp; Incident Detail'!$D$3:$E$4153,2,FALSE)</f>
        <v>#N/A</v>
      </c>
      <c r="M1095" s="79" t="str">
        <f t="shared" si="75"/>
        <v/>
      </c>
      <c r="N1095" s="14">
        <f t="shared" si="76"/>
        <v>3</v>
      </c>
    </row>
    <row r="1096" spans="1:14" x14ac:dyDescent="0.35">
      <c r="A1096" s="102" t="str">
        <f t="shared" si="74"/>
        <v/>
      </c>
      <c r="G1096" s="14" t="e">
        <f>VLOOKUP(F1096,'Accident &amp; Incident Detail'!$D$3:$E$4153,2,FALSE)</f>
        <v>#N/A</v>
      </c>
      <c r="M1096" s="79" t="str">
        <f t="shared" si="75"/>
        <v/>
      </c>
      <c r="N1096" s="14">
        <f t="shared" si="76"/>
        <v>3</v>
      </c>
    </row>
    <row r="1097" spans="1:14" x14ac:dyDescent="0.35">
      <c r="A1097" s="102" t="str">
        <f t="shared" si="74"/>
        <v/>
      </c>
      <c r="G1097" s="14" t="e">
        <f>VLOOKUP(F1097,'Accident &amp; Incident Detail'!$D$3:$E$4153,2,FALSE)</f>
        <v>#N/A</v>
      </c>
      <c r="M1097" s="79" t="str">
        <f t="shared" si="75"/>
        <v/>
      </c>
      <c r="N1097" s="14">
        <f t="shared" si="76"/>
        <v>3</v>
      </c>
    </row>
    <row r="1098" spans="1:14" x14ac:dyDescent="0.35">
      <c r="A1098" s="102" t="str">
        <f t="shared" si="74"/>
        <v/>
      </c>
      <c r="G1098" s="14" t="e">
        <f>VLOOKUP(F1098,'Accident &amp; Incident Detail'!$D$3:$E$4153,2,FALSE)</f>
        <v>#N/A</v>
      </c>
      <c r="M1098" s="79" t="str">
        <f t="shared" si="75"/>
        <v/>
      </c>
      <c r="N1098" s="14">
        <f t="shared" si="76"/>
        <v>3</v>
      </c>
    </row>
    <row r="1099" spans="1:14" x14ac:dyDescent="0.35">
      <c r="A1099" s="102" t="str">
        <f t="shared" si="74"/>
        <v/>
      </c>
      <c r="G1099" s="14" t="e">
        <f>VLOOKUP(F1099,'Accident &amp; Incident Detail'!$D$3:$E$4153,2,FALSE)</f>
        <v>#N/A</v>
      </c>
      <c r="M1099" s="79" t="str">
        <f t="shared" si="75"/>
        <v/>
      </c>
      <c r="N1099" s="14">
        <f t="shared" si="76"/>
        <v>3</v>
      </c>
    </row>
    <row r="1100" spans="1:14" x14ac:dyDescent="0.35">
      <c r="A1100" s="102" t="str">
        <f t="shared" si="74"/>
        <v/>
      </c>
      <c r="G1100" s="14" t="e">
        <f>VLOOKUP(F1100,'Accident &amp; Incident Detail'!$D$3:$E$4153,2,FALSE)</f>
        <v>#N/A</v>
      </c>
      <c r="M1100" s="79" t="str">
        <f t="shared" si="75"/>
        <v/>
      </c>
      <c r="N1100" s="14">
        <f t="shared" si="76"/>
        <v>3</v>
      </c>
    </row>
    <row r="1101" spans="1:14" x14ac:dyDescent="0.35">
      <c r="A1101" s="102" t="str">
        <f t="shared" si="74"/>
        <v/>
      </c>
      <c r="G1101" s="14" t="e">
        <f>VLOOKUP(F1101,'Accident &amp; Incident Detail'!$D$3:$E$4153,2,FALSE)</f>
        <v>#N/A</v>
      </c>
      <c r="M1101" s="79" t="str">
        <f t="shared" si="75"/>
        <v/>
      </c>
      <c r="N1101" s="14">
        <f t="shared" si="76"/>
        <v>3</v>
      </c>
    </row>
    <row r="1102" spans="1:14" x14ac:dyDescent="0.35">
      <c r="A1102" s="102" t="str">
        <f t="shared" si="74"/>
        <v/>
      </c>
      <c r="G1102" s="14" t="e">
        <f>VLOOKUP(F1102,'Accident &amp; Incident Detail'!$D$3:$E$4153,2,FALSE)</f>
        <v>#N/A</v>
      </c>
      <c r="M1102" s="79" t="str">
        <f t="shared" si="75"/>
        <v/>
      </c>
      <c r="N1102" s="14">
        <f t="shared" si="76"/>
        <v>3</v>
      </c>
    </row>
    <row r="1103" spans="1:14" x14ac:dyDescent="0.35">
      <c r="A1103" s="102" t="str">
        <f t="shared" si="74"/>
        <v/>
      </c>
      <c r="G1103" s="14" t="e">
        <f>VLOOKUP(F1103,'Accident &amp; Incident Detail'!$D$3:$E$4153,2,FALSE)</f>
        <v>#N/A</v>
      </c>
      <c r="M1103" s="79" t="str">
        <f t="shared" si="75"/>
        <v/>
      </c>
      <c r="N1103" s="14">
        <f t="shared" si="76"/>
        <v>3</v>
      </c>
    </row>
    <row r="1104" spans="1:14" x14ac:dyDescent="0.35">
      <c r="A1104" s="102" t="str">
        <f t="shared" si="74"/>
        <v/>
      </c>
      <c r="G1104" s="14" t="e">
        <f>VLOOKUP(F1104,'Accident &amp; Incident Detail'!$D$3:$E$4153,2,FALSE)</f>
        <v>#N/A</v>
      </c>
      <c r="M1104" s="79" t="str">
        <f t="shared" si="75"/>
        <v/>
      </c>
      <c r="N1104" s="14">
        <f t="shared" si="76"/>
        <v>3</v>
      </c>
    </row>
    <row r="1105" spans="1:14" x14ac:dyDescent="0.35">
      <c r="A1105" s="102" t="str">
        <f t="shared" si="74"/>
        <v/>
      </c>
      <c r="G1105" s="14" t="e">
        <f>VLOOKUP(F1105,'Accident &amp; Incident Detail'!$D$3:$E$4153,2,FALSE)</f>
        <v>#N/A</v>
      </c>
      <c r="M1105" s="79" t="str">
        <f t="shared" si="75"/>
        <v/>
      </c>
      <c r="N1105" s="14">
        <f t="shared" si="76"/>
        <v>3</v>
      </c>
    </row>
    <row r="1106" spans="1:14" x14ac:dyDescent="0.35">
      <c r="A1106" s="102" t="str">
        <f t="shared" si="74"/>
        <v/>
      </c>
      <c r="G1106" s="14" t="e">
        <f>VLOOKUP(F1106,'Accident &amp; Incident Detail'!$D$3:$E$4153,2,FALSE)</f>
        <v>#N/A</v>
      </c>
      <c r="M1106" s="79" t="str">
        <f t="shared" si="75"/>
        <v/>
      </c>
      <c r="N1106" s="14">
        <f t="shared" si="76"/>
        <v>3</v>
      </c>
    </row>
    <row r="1107" spans="1:14" x14ac:dyDescent="0.35">
      <c r="A1107" s="102" t="str">
        <f t="shared" si="74"/>
        <v/>
      </c>
      <c r="G1107" s="14" t="e">
        <f>VLOOKUP(F1107,'Accident &amp; Incident Detail'!$D$3:$E$4153,2,FALSE)</f>
        <v>#N/A</v>
      </c>
      <c r="M1107" s="79" t="str">
        <f t="shared" si="75"/>
        <v/>
      </c>
      <c r="N1107" s="14">
        <f t="shared" si="76"/>
        <v>3</v>
      </c>
    </row>
    <row r="1108" spans="1:14" x14ac:dyDescent="0.35">
      <c r="A1108" s="102" t="str">
        <f t="shared" si="74"/>
        <v/>
      </c>
      <c r="G1108" s="14" t="e">
        <f>VLOOKUP(F1108,'Accident &amp; Incident Detail'!$D$3:$E$4153,2,FALSE)</f>
        <v>#N/A</v>
      </c>
      <c r="M1108" s="79" t="str">
        <f t="shared" si="75"/>
        <v/>
      </c>
      <c r="N1108" s="14">
        <f t="shared" si="76"/>
        <v>3</v>
      </c>
    </row>
    <row r="1109" spans="1:14" x14ac:dyDescent="0.35">
      <c r="A1109" s="102" t="str">
        <f t="shared" si="74"/>
        <v/>
      </c>
      <c r="G1109" s="14" t="e">
        <f>VLOOKUP(F1109,'Accident &amp; Incident Detail'!$D$3:$E$4153,2,FALSE)</f>
        <v>#N/A</v>
      </c>
      <c r="M1109" s="79" t="str">
        <f t="shared" si="75"/>
        <v/>
      </c>
      <c r="N1109" s="14">
        <f t="shared" si="76"/>
        <v>3</v>
      </c>
    </row>
    <row r="1110" spans="1:14" x14ac:dyDescent="0.35">
      <c r="A1110" s="102" t="str">
        <f t="shared" si="74"/>
        <v/>
      </c>
      <c r="G1110" s="14" t="e">
        <f>VLOOKUP(F1110,'Accident &amp; Incident Detail'!$D$3:$E$4153,2,FALSE)</f>
        <v>#N/A</v>
      </c>
      <c r="M1110" s="79" t="str">
        <f t="shared" si="75"/>
        <v/>
      </c>
      <c r="N1110" s="14">
        <f t="shared" si="76"/>
        <v>3</v>
      </c>
    </row>
    <row r="1111" spans="1:14" x14ac:dyDescent="0.35">
      <c r="A1111" s="102" t="str">
        <f t="shared" si="74"/>
        <v/>
      </c>
      <c r="G1111" s="14" t="e">
        <f>VLOOKUP(F1111,'Accident &amp; Incident Detail'!$D$3:$E$4153,2,FALSE)</f>
        <v>#N/A</v>
      </c>
      <c r="M1111" s="79" t="str">
        <f t="shared" si="75"/>
        <v/>
      </c>
      <c r="N1111" s="14">
        <f t="shared" si="76"/>
        <v>3</v>
      </c>
    </row>
    <row r="1112" spans="1:14" x14ac:dyDescent="0.35">
      <c r="A1112" s="102" t="str">
        <f t="shared" si="74"/>
        <v/>
      </c>
      <c r="G1112" s="14" t="e">
        <f>VLOOKUP(F1112,'Accident &amp; Incident Detail'!$D$3:$E$4153,2,FALSE)</f>
        <v>#N/A</v>
      </c>
      <c r="M1112" s="79" t="str">
        <f t="shared" si="75"/>
        <v/>
      </c>
      <c r="N1112" s="14">
        <f t="shared" si="76"/>
        <v>3</v>
      </c>
    </row>
    <row r="1113" spans="1:14" x14ac:dyDescent="0.35">
      <c r="A1113" s="102" t="str">
        <f t="shared" si="74"/>
        <v/>
      </c>
      <c r="G1113" s="14" t="e">
        <f>VLOOKUP(F1113,'Accident &amp; Incident Detail'!$D$3:$E$4153,2,FALSE)</f>
        <v>#N/A</v>
      </c>
      <c r="M1113" s="79" t="str">
        <f t="shared" si="75"/>
        <v/>
      </c>
      <c r="N1113" s="14">
        <f t="shared" si="76"/>
        <v>3</v>
      </c>
    </row>
    <row r="1114" spans="1:14" x14ac:dyDescent="0.35">
      <c r="A1114" s="102" t="str">
        <f t="shared" si="74"/>
        <v/>
      </c>
      <c r="G1114" s="14" t="e">
        <f>VLOOKUP(F1114,'Accident &amp; Incident Detail'!$D$3:$E$4153,2,FALSE)</f>
        <v>#N/A</v>
      </c>
      <c r="M1114" s="79" t="str">
        <f t="shared" si="75"/>
        <v/>
      </c>
      <c r="N1114" s="14">
        <f t="shared" si="76"/>
        <v>3</v>
      </c>
    </row>
    <row r="1115" spans="1:14" x14ac:dyDescent="0.35">
      <c r="A1115" s="102" t="str">
        <f t="shared" si="74"/>
        <v/>
      </c>
      <c r="G1115" s="14" t="e">
        <f>VLOOKUP(F1115,'Accident &amp; Incident Detail'!$D$3:$E$4153,2,FALSE)</f>
        <v>#N/A</v>
      </c>
      <c r="M1115" s="79" t="str">
        <f t="shared" si="75"/>
        <v/>
      </c>
      <c r="N1115" s="14">
        <f t="shared" si="76"/>
        <v>3</v>
      </c>
    </row>
    <row r="1116" spans="1:14" x14ac:dyDescent="0.35">
      <c r="A1116" s="102" t="str">
        <f t="shared" si="74"/>
        <v/>
      </c>
      <c r="G1116" s="14" t="e">
        <f>VLOOKUP(F1116,'Accident &amp; Incident Detail'!$D$3:$E$4153,2,FALSE)</f>
        <v>#N/A</v>
      </c>
      <c r="M1116" s="79" t="str">
        <f t="shared" si="75"/>
        <v/>
      </c>
      <c r="N1116" s="14">
        <f t="shared" si="76"/>
        <v>3</v>
      </c>
    </row>
    <row r="1117" spans="1:14" x14ac:dyDescent="0.35">
      <c r="A1117" s="102" t="str">
        <f t="shared" si="74"/>
        <v/>
      </c>
      <c r="G1117" s="14" t="e">
        <f>VLOOKUP(F1117,'Accident &amp; Incident Detail'!$D$3:$E$4153,2,FALSE)</f>
        <v>#N/A</v>
      </c>
      <c r="M1117" s="79" t="str">
        <f t="shared" si="75"/>
        <v/>
      </c>
      <c r="N1117" s="14">
        <f t="shared" si="76"/>
        <v>3</v>
      </c>
    </row>
    <row r="1118" spans="1:14" x14ac:dyDescent="0.35">
      <c r="A1118" s="102" t="str">
        <f t="shared" si="74"/>
        <v/>
      </c>
      <c r="G1118" s="14" t="e">
        <f>VLOOKUP(F1118,'Accident &amp; Incident Detail'!$D$3:$E$4153,2,FALSE)</f>
        <v>#N/A</v>
      </c>
      <c r="M1118" s="79" t="str">
        <f t="shared" si="75"/>
        <v/>
      </c>
      <c r="N1118" s="14">
        <f t="shared" si="76"/>
        <v>3</v>
      </c>
    </row>
    <row r="1119" spans="1:14" x14ac:dyDescent="0.35">
      <c r="A1119" s="102" t="str">
        <f t="shared" si="74"/>
        <v/>
      </c>
      <c r="G1119" s="14" t="e">
        <f>VLOOKUP(F1119,'Accident &amp; Incident Detail'!$D$3:$E$4153,2,FALSE)</f>
        <v>#N/A</v>
      </c>
      <c r="M1119" s="79" t="str">
        <f t="shared" si="75"/>
        <v/>
      </c>
      <c r="N1119" s="14">
        <f t="shared" si="76"/>
        <v>3</v>
      </c>
    </row>
    <row r="1120" spans="1:14" x14ac:dyDescent="0.35">
      <c r="A1120" s="102" t="str">
        <f t="shared" si="74"/>
        <v/>
      </c>
      <c r="G1120" s="14" t="e">
        <f>VLOOKUP(F1120,'Accident &amp; Incident Detail'!$D$3:$E$4153,2,FALSE)</f>
        <v>#N/A</v>
      </c>
      <c r="M1120" s="79" t="str">
        <f t="shared" si="75"/>
        <v/>
      </c>
      <c r="N1120" s="14">
        <f t="shared" si="76"/>
        <v>3</v>
      </c>
    </row>
    <row r="1121" spans="1:14" x14ac:dyDescent="0.35">
      <c r="A1121" s="102" t="str">
        <f t="shared" si="74"/>
        <v/>
      </c>
      <c r="G1121" s="14" t="e">
        <f>VLOOKUP(F1121,'Accident &amp; Incident Detail'!$D$3:$E$4153,2,FALSE)</f>
        <v>#N/A</v>
      </c>
      <c r="M1121" s="79" t="str">
        <f t="shared" si="75"/>
        <v/>
      </c>
      <c r="N1121" s="14">
        <f t="shared" si="76"/>
        <v>3</v>
      </c>
    </row>
    <row r="1122" spans="1:14" x14ac:dyDescent="0.35">
      <c r="A1122" s="102" t="str">
        <f t="shared" si="74"/>
        <v/>
      </c>
      <c r="G1122" s="14" t="e">
        <f>VLOOKUP(F1122,'Accident &amp; Incident Detail'!$D$3:$E$4153,2,FALSE)</f>
        <v>#N/A</v>
      </c>
      <c r="M1122" s="79" t="str">
        <f t="shared" si="75"/>
        <v/>
      </c>
      <c r="N1122" s="14">
        <f t="shared" si="76"/>
        <v>3</v>
      </c>
    </row>
    <row r="1123" spans="1:14" x14ac:dyDescent="0.35">
      <c r="A1123" s="102" t="str">
        <f t="shared" si="74"/>
        <v/>
      </c>
      <c r="G1123" s="14" t="e">
        <f>VLOOKUP(F1123,'Accident &amp; Incident Detail'!$D$3:$E$4153,2,FALSE)</f>
        <v>#N/A</v>
      </c>
      <c r="M1123" s="79" t="str">
        <f t="shared" si="75"/>
        <v/>
      </c>
      <c r="N1123" s="14">
        <f t="shared" si="76"/>
        <v>3</v>
      </c>
    </row>
    <row r="1124" spans="1:14" x14ac:dyDescent="0.35">
      <c r="A1124" s="102" t="str">
        <f t="shared" si="74"/>
        <v/>
      </c>
      <c r="G1124" s="14" t="e">
        <f>VLOOKUP(F1124,'Accident &amp; Incident Detail'!$D$3:$E$4153,2,FALSE)</f>
        <v>#N/A</v>
      </c>
      <c r="M1124" s="79" t="str">
        <f t="shared" si="75"/>
        <v/>
      </c>
      <c r="N1124" s="14">
        <f t="shared" si="76"/>
        <v>3</v>
      </c>
    </row>
    <row r="1125" spans="1:14" x14ac:dyDescent="0.35">
      <c r="A1125" s="102" t="str">
        <f t="shared" si="74"/>
        <v/>
      </c>
      <c r="G1125" s="14" t="e">
        <f>VLOOKUP(F1125,'Accident &amp; Incident Detail'!$D$3:$E$4153,2,FALSE)</f>
        <v>#N/A</v>
      </c>
      <c r="M1125" s="79" t="str">
        <f t="shared" si="75"/>
        <v/>
      </c>
      <c r="N1125" s="14">
        <f t="shared" si="76"/>
        <v>3</v>
      </c>
    </row>
    <row r="1126" spans="1:14" x14ac:dyDescent="0.35">
      <c r="A1126" s="102" t="str">
        <f t="shared" ref="A1126:A1189" si="77">IF(O1126&gt;1,"Closed",IF(N1126=1,"Overdue",IF(N1126=3,"","Open")))</f>
        <v/>
      </c>
      <c r="G1126" s="14" t="e">
        <f>VLOOKUP(F1126,'Accident &amp; Incident Detail'!$D$3:$E$4153,2,FALSE)</f>
        <v>#N/A</v>
      </c>
      <c r="M1126" s="79" t="str">
        <f t="shared" si="75"/>
        <v/>
      </c>
      <c r="N1126" s="14">
        <f t="shared" si="76"/>
        <v>3</v>
      </c>
    </row>
    <row r="1127" spans="1:14" x14ac:dyDescent="0.35">
      <c r="A1127" s="102" t="str">
        <f t="shared" si="77"/>
        <v/>
      </c>
      <c r="G1127" s="14" t="e">
        <f>VLOOKUP(F1127,'Accident &amp; Incident Detail'!$D$3:$E$4153,2,FALSE)</f>
        <v>#N/A</v>
      </c>
      <c r="M1127" s="79" t="str">
        <f t="shared" si="75"/>
        <v/>
      </c>
      <c r="N1127" s="14">
        <f t="shared" si="76"/>
        <v>3</v>
      </c>
    </row>
    <row r="1128" spans="1:14" x14ac:dyDescent="0.35">
      <c r="A1128" s="102" t="str">
        <f t="shared" si="77"/>
        <v/>
      </c>
      <c r="G1128" s="14" t="e">
        <f>VLOOKUP(F1128,'Accident &amp; Incident Detail'!$D$3:$E$4153,2,FALSE)</f>
        <v>#N/A</v>
      </c>
      <c r="M1128" s="79" t="str">
        <f t="shared" si="75"/>
        <v/>
      </c>
      <c r="N1128" s="14">
        <f t="shared" si="76"/>
        <v>3</v>
      </c>
    </row>
    <row r="1129" spans="1:14" x14ac:dyDescent="0.35">
      <c r="A1129" s="102" t="str">
        <f t="shared" si="77"/>
        <v/>
      </c>
      <c r="G1129" s="14" t="e">
        <f>VLOOKUP(F1129,'Accident &amp; Incident Detail'!$D$3:$E$4153,2,FALSE)</f>
        <v>#N/A</v>
      </c>
      <c r="M1129" s="79" t="str">
        <f t="shared" si="75"/>
        <v/>
      </c>
      <c r="N1129" s="14">
        <f t="shared" si="76"/>
        <v>3</v>
      </c>
    </row>
    <row r="1130" spans="1:14" x14ac:dyDescent="0.35">
      <c r="A1130" s="102" t="str">
        <f t="shared" si="77"/>
        <v/>
      </c>
      <c r="G1130" s="14" t="e">
        <f>VLOOKUP(F1130,'Accident &amp; Incident Detail'!$D$3:$E$4153,2,FALSE)</f>
        <v>#N/A</v>
      </c>
      <c r="M1130" s="79" t="str">
        <f t="shared" si="75"/>
        <v/>
      </c>
      <c r="N1130" s="14">
        <f t="shared" si="76"/>
        <v>3</v>
      </c>
    </row>
    <row r="1131" spans="1:14" x14ac:dyDescent="0.35">
      <c r="A1131" s="102" t="str">
        <f t="shared" si="77"/>
        <v/>
      </c>
      <c r="G1131" s="14" t="e">
        <f>VLOOKUP(F1131,'Accident &amp; Incident Detail'!$D$3:$E$4153,2,FALSE)</f>
        <v>#N/A</v>
      </c>
      <c r="M1131" s="79" t="str">
        <f t="shared" si="75"/>
        <v/>
      </c>
      <c r="N1131" s="14">
        <f t="shared" si="76"/>
        <v>3</v>
      </c>
    </row>
    <row r="1132" spans="1:14" x14ac:dyDescent="0.35">
      <c r="A1132" s="102" t="str">
        <f t="shared" si="77"/>
        <v/>
      </c>
      <c r="G1132" s="14" t="e">
        <f>VLOOKUP(F1132,'Accident &amp; Incident Detail'!$D$3:$E$4153,2,FALSE)</f>
        <v>#N/A</v>
      </c>
      <c r="M1132" s="79" t="str">
        <f t="shared" si="75"/>
        <v/>
      </c>
      <c r="N1132" s="14">
        <f t="shared" si="76"/>
        <v>3</v>
      </c>
    </row>
    <row r="1133" spans="1:14" x14ac:dyDescent="0.35">
      <c r="A1133" s="102" t="str">
        <f t="shared" si="77"/>
        <v/>
      </c>
      <c r="G1133" s="14" t="e">
        <f>VLOOKUP(F1133,'Accident &amp; Incident Detail'!$D$3:$E$4153,2,FALSE)</f>
        <v>#N/A</v>
      </c>
      <c r="M1133" s="79" t="str">
        <f t="shared" ref="M1133:M1196" si="78">IF(D1133="","",D1133+28)</f>
        <v/>
      </c>
      <c r="N1133" s="14">
        <f t="shared" ref="N1133:N1196" si="79">IF(D1133="",3,IF(M1133&lt;$A$2,1,0))</f>
        <v>3</v>
      </c>
    </row>
    <row r="1134" spans="1:14" x14ac:dyDescent="0.35">
      <c r="A1134" s="102" t="str">
        <f t="shared" si="77"/>
        <v/>
      </c>
      <c r="G1134" s="14" t="e">
        <f>VLOOKUP(F1134,'Accident &amp; Incident Detail'!$D$3:$E$4153,2,FALSE)</f>
        <v>#N/A</v>
      </c>
      <c r="M1134" s="79" t="str">
        <f t="shared" si="78"/>
        <v/>
      </c>
      <c r="N1134" s="14">
        <f t="shared" si="79"/>
        <v>3</v>
      </c>
    </row>
    <row r="1135" spans="1:14" x14ac:dyDescent="0.35">
      <c r="A1135" s="102" t="str">
        <f t="shared" si="77"/>
        <v/>
      </c>
      <c r="G1135" s="14" t="e">
        <f>VLOOKUP(F1135,'Accident &amp; Incident Detail'!$D$3:$E$4153,2,FALSE)</f>
        <v>#N/A</v>
      </c>
      <c r="M1135" s="79" t="str">
        <f t="shared" si="78"/>
        <v/>
      </c>
      <c r="N1135" s="14">
        <f t="shared" si="79"/>
        <v>3</v>
      </c>
    </row>
    <row r="1136" spans="1:14" x14ac:dyDescent="0.35">
      <c r="A1136" s="102" t="str">
        <f t="shared" si="77"/>
        <v/>
      </c>
      <c r="G1136" s="14" t="e">
        <f>VLOOKUP(F1136,'Accident &amp; Incident Detail'!$D$3:$E$4153,2,FALSE)</f>
        <v>#N/A</v>
      </c>
      <c r="M1136" s="79" t="str">
        <f t="shared" si="78"/>
        <v/>
      </c>
      <c r="N1136" s="14">
        <f t="shared" si="79"/>
        <v>3</v>
      </c>
    </row>
    <row r="1137" spans="1:14" x14ac:dyDescent="0.35">
      <c r="A1137" s="102" t="str">
        <f t="shared" si="77"/>
        <v/>
      </c>
      <c r="G1137" s="14" t="e">
        <f>VLOOKUP(F1137,'Accident &amp; Incident Detail'!$D$3:$E$4153,2,FALSE)</f>
        <v>#N/A</v>
      </c>
      <c r="M1137" s="79" t="str">
        <f t="shared" si="78"/>
        <v/>
      </c>
      <c r="N1137" s="14">
        <f t="shared" si="79"/>
        <v>3</v>
      </c>
    </row>
    <row r="1138" spans="1:14" x14ac:dyDescent="0.35">
      <c r="A1138" s="102" t="str">
        <f t="shared" si="77"/>
        <v/>
      </c>
      <c r="G1138" s="14" t="e">
        <f>VLOOKUP(F1138,'Accident &amp; Incident Detail'!$D$3:$E$4153,2,FALSE)</f>
        <v>#N/A</v>
      </c>
      <c r="M1138" s="79" t="str">
        <f t="shared" si="78"/>
        <v/>
      </c>
      <c r="N1138" s="14">
        <f t="shared" si="79"/>
        <v>3</v>
      </c>
    </row>
    <row r="1139" spans="1:14" x14ac:dyDescent="0.35">
      <c r="A1139" s="102" t="str">
        <f t="shared" si="77"/>
        <v/>
      </c>
      <c r="G1139" s="14" t="e">
        <f>VLOOKUP(F1139,'Accident &amp; Incident Detail'!$D$3:$E$4153,2,FALSE)</f>
        <v>#N/A</v>
      </c>
      <c r="M1139" s="79" t="str">
        <f t="shared" si="78"/>
        <v/>
      </c>
      <c r="N1139" s="14">
        <f t="shared" si="79"/>
        <v>3</v>
      </c>
    </row>
    <row r="1140" spans="1:14" x14ac:dyDescent="0.35">
      <c r="A1140" s="102" t="str">
        <f t="shared" si="77"/>
        <v/>
      </c>
      <c r="G1140" s="14" t="e">
        <f>VLOOKUP(F1140,'Accident &amp; Incident Detail'!$D$3:$E$4153,2,FALSE)</f>
        <v>#N/A</v>
      </c>
      <c r="M1140" s="79" t="str">
        <f t="shared" si="78"/>
        <v/>
      </c>
      <c r="N1140" s="14">
        <f t="shared" si="79"/>
        <v>3</v>
      </c>
    </row>
    <row r="1141" spans="1:14" x14ac:dyDescent="0.35">
      <c r="A1141" s="102" t="str">
        <f t="shared" si="77"/>
        <v/>
      </c>
      <c r="G1141" s="14" t="e">
        <f>VLOOKUP(F1141,'Accident &amp; Incident Detail'!$D$3:$E$4153,2,FALSE)</f>
        <v>#N/A</v>
      </c>
      <c r="M1141" s="79" t="str">
        <f t="shared" si="78"/>
        <v/>
      </c>
      <c r="N1141" s="14">
        <f t="shared" si="79"/>
        <v>3</v>
      </c>
    </row>
    <row r="1142" spans="1:14" x14ac:dyDescent="0.35">
      <c r="A1142" s="102" t="str">
        <f t="shared" si="77"/>
        <v/>
      </c>
      <c r="G1142" s="14" t="e">
        <f>VLOOKUP(F1142,'Accident &amp; Incident Detail'!$D$3:$E$4153,2,FALSE)</f>
        <v>#N/A</v>
      </c>
      <c r="M1142" s="79" t="str">
        <f t="shared" si="78"/>
        <v/>
      </c>
      <c r="N1142" s="14">
        <f t="shared" si="79"/>
        <v>3</v>
      </c>
    </row>
    <row r="1143" spans="1:14" x14ac:dyDescent="0.35">
      <c r="A1143" s="102" t="str">
        <f t="shared" si="77"/>
        <v/>
      </c>
      <c r="G1143" s="14" t="e">
        <f>VLOOKUP(F1143,'Accident &amp; Incident Detail'!$D$3:$E$4153,2,FALSE)</f>
        <v>#N/A</v>
      </c>
      <c r="M1143" s="79" t="str">
        <f t="shared" si="78"/>
        <v/>
      </c>
      <c r="N1143" s="14">
        <f t="shared" si="79"/>
        <v>3</v>
      </c>
    </row>
    <row r="1144" spans="1:14" x14ac:dyDescent="0.35">
      <c r="A1144" s="102" t="str">
        <f t="shared" si="77"/>
        <v/>
      </c>
      <c r="G1144" s="14" t="e">
        <f>VLOOKUP(F1144,'Accident &amp; Incident Detail'!$D$3:$E$4153,2,FALSE)</f>
        <v>#N/A</v>
      </c>
      <c r="M1144" s="79" t="str">
        <f t="shared" si="78"/>
        <v/>
      </c>
      <c r="N1144" s="14">
        <f t="shared" si="79"/>
        <v>3</v>
      </c>
    </row>
    <row r="1145" spans="1:14" x14ac:dyDescent="0.35">
      <c r="A1145" s="102" t="str">
        <f t="shared" si="77"/>
        <v/>
      </c>
      <c r="G1145" s="14" t="e">
        <f>VLOOKUP(F1145,'Accident &amp; Incident Detail'!$D$3:$E$4153,2,FALSE)</f>
        <v>#N/A</v>
      </c>
      <c r="M1145" s="79" t="str">
        <f t="shared" si="78"/>
        <v/>
      </c>
      <c r="N1145" s="14">
        <f t="shared" si="79"/>
        <v>3</v>
      </c>
    </row>
    <row r="1146" spans="1:14" x14ac:dyDescent="0.35">
      <c r="A1146" s="102" t="str">
        <f t="shared" si="77"/>
        <v/>
      </c>
      <c r="G1146" s="14" t="e">
        <f>VLOOKUP(F1146,'Accident &amp; Incident Detail'!$D$3:$E$4153,2,FALSE)</f>
        <v>#N/A</v>
      </c>
      <c r="M1146" s="79" t="str">
        <f t="shared" si="78"/>
        <v/>
      </c>
      <c r="N1146" s="14">
        <f t="shared" si="79"/>
        <v>3</v>
      </c>
    </row>
    <row r="1147" spans="1:14" x14ac:dyDescent="0.35">
      <c r="A1147" s="102" t="str">
        <f t="shared" si="77"/>
        <v/>
      </c>
      <c r="G1147" s="14" t="e">
        <f>VLOOKUP(F1147,'Accident &amp; Incident Detail'!$D$3:$E$4153,2,FALSE)</f>
        <v>#N/A</v>
      </c>
      <c r="M1147" s="79" t="str">
        <f t="shared" si="78"/>
        <v/>
      </c>
      <c r="N1147" s="14">
        <f t="shared" si="79"/>
        <v>3</v>
      </c>
    </row>
    <row r="1148" spans="1:14" x14ac:dyDescent="0.35">
      <c r="A1148" s="102" t="str">
        <f t="shared" si="77"/>
        <v/>
      </c>
      <c r="G1148" s="14" t="e">
        <f>VLOOKUP(F1148,'Accident &amp; Incident Detail'!$D$3:$E$4153,2,FALSE)</f>
        <v>#N/A</v>
      </c>
      <c r="M1148" s="79" t="str">
        <f t="shared" si="78"/>
        <v/>
      </c>
      <c r="N1148" s="14">
        <f t="shared" si="79"/>
        <v>3</v>
      </c>
    </row>
    <row r="1149" spans="1:14" x14ac:dyDescent="0.35">
      <c r="A1149" s="102" t="str">
        <f t="shared" si="77"/>
        <v/>
      </c>
      <c r="G1149" s="14" t="e">
        <f>VLOOKUP(F1149,'Accident &amp; Incident Detail'!$D$3:$E$4153,2,FALSE)</f>
        <v>#N/A</v>
      </c>
      <c r="M1149" s="79" t="str">
        <f t="shared" si="78"/>
        <v/>
      </c>
      <c r="N1149" s="14">
        <f t="shared" si="79"/>
        <v>3</v>
      </c>
    </row>
    <row r="1150" spans="1:14" x14ac:dyDescent="0.35">
      <c r="A1150" s="102" t="str">
        <f t="shared" si="77"/>
        <v/>
      </c>
      <c r="G1150" s="14" t="e">
        <f>VLOOKUP(F1150,'Accident &amp; Incident Detail'!$D$3:$E$4153,2,FALSE)</f>
        <v>#N/A</v>
      </c>
      <c r="M1150" s="79" t="str">
        <f t="shared" si="78"/>
        <v/>
      </c>
      <c r="N1150" s="14">
        <f t="shared" si="79"/>
        <v>3</v>
      </c>
    </row>
    <row r="1151" spans="1:14" x14ac:dyDescent="0.35">
      <c r="A1151" s="102" t="str">
        <f t="shared" si="77"/>
        <v/>
      </c>
      <c r="G1151" s="14" t="e">
        <f>VLOOKUP(F1151,'Accident &amp; Incident Detail'!$D$3:$E$4153,2,FALSE)</f>
        <v>#N/A</v>
      </c>
      <c r="M1151" s="79" t="str">
        <f t="shared" si="78"/>
        <v/>
      </c>
      <c r="N1151" s="14">
        <f t="shared" si="79"/>
        <v>3</v>
      </c>
    </row>
    <row r="1152" spans="1:14" x14ac:dyDescent="0.35">
      <c r="A1152" s="102" t="str">
        <f t="shared" si="77"/>
        <v/>
      </c>
      <c r="G1152" s="14" t="e">
        <f>VLOOKUP(F1152,'Accident &amp; Incident Detail'!$D$3:$E$4153,2,FALSE)</f>
        <v>#N/A</v>
      </c>
      <c r="M1152" s="79" t="str">
        <f t="shared" si="78"/>
        <v/>
      </c>
      <c r="N1152" s="14">
        <f t="shared" si="79"/>
        <v>3</v>
      </c>
    </row>
    <row r="1153" spans="1:14" x14ac:dyDescent="0.35">
      <c r="A1153" s="102" t="str">
        <f t="shared" si="77"/>
        <v/>
      </c>
      <c r="G1153" s="14" t="e">
        <f>VLOOKUP(F1153,'Accident &amp; Incident Detail'!$D$3:$E$4153,2,FALSE)</f>
        <v>#N/A</v>
      </c>
      <c r="M1153" s="79" t="str">
        <f t="shared" si="78"/>
        <v/>
      </c>
      <c r="N1153" s="14">
        <f t="shared" si="79"/>
        <v>3</v>
      </c>
    </row>
    <row r="1154" spans="1:14" x14ac:dyDescent="0.35">
      <c r="A1154" s="102" t="str">
        <f t="shared" si="77"/>
        <v/>
      </c>
      <c r="G1154" s="14" t="e">
        <f>VLOOKUP(F1154,'Accident &amp; Incident Detail'!$D$3:$E$4153,2,FALSE)</f>
        <v>#N/A</v>
      </c>
      <c r="M1154" s="79" t="str">
        <f t="shared" si="78"/>
        <v/>
      </c>
      <c r="N1154" s="14">
        <f t="shared" si="79"/>
        <v>3</v>
      </c>
    </row>
    <row r="1155" spans="1:14" x14ac:dyDescent="0.35">
      <c r="A1155" s="102" t="str">
        <f t="shared" si="77"/>
        <v/>
      </c>
      <c r="G1155" s="14" t="e">
        <f>VLOOKUP(F1155,'Accident &amp; Incident Detail'!$D$3:$E$4153,2,FALSE)</f>
        <v>#N/A</v>
      </c>
      <c r="M1155" s="79" t="str">
        <f t="shared" si="78"/>
        <v/>
      </c>
      <c r="N1155" s="14">
        <f t="shared" si="79"/>
        <v>3</v>
      </c>
    </row>
    <row r="1156" spans="1:14" x14ac:dyDescent="0.35">
      <c r="A1156" s="102" t="str">
        <f t="shared" si="77"/>
        <v/>
      </c>
      <c r="G1156" s="14" t="e">
        <f>VLOOKUP(F1156,'Accident &amp; Incident Detail'!$D$3:$E$4153,2,FALSE)</f>
        <v>#N/A</v>
      </c>
      <c r="M1156" s="79" t="str">
        <f t="shared" si="78"/>
        <v/>
      </c>
      <c r="N1156" s="14">
        <f t="shared" si="79"/>
        <v>3</v>
      </c>
    </row>
    <row r="1157" spans="1:14" x14ac:dyDescent="0.35">
      <c r="A1157" s="102" t="str">
        <f t="shared" si="77"/>
        <v/>
      </c>
      <c r="G1157" s="14" t="e">
        <f>VLOOKUP(F1157,'Accident &amp; Incident Detail'!$D$3:$E$4153,2,FALSE)</f>
        <v>#N/A</v>
      </c>
      <c r="M1157" s="79" t="str">
        <f t="shared" si="78"/>
        <v/>
      </c>
      <c r="N1157" s="14">
        <f t="shared" si="79"/>
        <v>3</v>
      </c>
    </row>
    <row r="1158" spans="1:14" x14ac:dyDescent="0.35">
      <c r="A1158" s="102" t="str">
        <f t="shared" si="77"/>
        <v/>
      </c>
      <c r="G1158" s="14" t="e">
        <f>VLOOKUP(F1158,'Accident &amp; Incident Detail'!$D$3:$E$4153,2,FALSE)</f>
        <v>#N/A</v>
      </c>
      <c r="M1158" s="79" t="str">
        <f t="shared" si="78"/>
        <v/>
      </c>
      <c r="N1158" s="14">
        <f t="shared" si="79"/>
        <v>3</v>
      </c>
    </row>
    <row r="1159" spans="1:14" x14ac:dyDescent="0.35">
      <c r="A1159" s="102" t="str">
        <f t="shared" si="77"/>
        <v/>
      </c>
      <c r="G1159" s="14" t="e">
        <f>VLOOKUP(F1159,'Accident &amp; Incident Detail'!$D$3:$E$4153,2,FALSE)</f>
        <v>#N/A</v>
      </c>
      <c r="M1159" s="79" t="str">
        <f t="shared" si="78"/>
        <v/>
      </c>
      <c r="N1159" s="14">
        <f t="shared" si="79"/>
        <v>3</v>
      </c>
    </row>
    <row r="1160" spans="1:14" x14ac:dyDescent="0.35">
      <c r="A1160" s="102" t="str">
        <f t="shared" si="77"/>
        <v/>
      </c>
      <c r="G1160" s="14" t="e">
        <f>VLOOKUP(F1160,'Accident &amp; Incident Detail'!$D$3:$E$4153,2,FALSE)</f>
        <v>#N/A</v>
      </c>
      <c r="M1160" s="79" t="str">
        <f t="shared" si="78"/>
        <v/>
      </c>
      <c r="N1160" s="14">
        <f t="shared" si="79"/>
        <v>3</v>
      </c>
    </row>
    <row r="1161" spans="1:14" x14ac:dyDescent="0.35">
      <c r="A1161" s="102" t="str">
        <f t="shared" si="77"/>
        <v/>
      </c>
      <c r="G1161" s="14" t="e">
        <f>VLOOKUP(F1161,'Accident &amp; Incident Detail'!$D$3:$E$4153,2,FALSE)</f>
        <v>#N/A</v>
      </c>
      <c r="M1161" s="79" t="str">
        <f t="shared" si="78"/>
        <v/>
      </c>
      <c r="N1161" s="14">
        <f t="shared" si="79"/>
        <v>3</v>
      </c>
    </row>
    <row r="1162" spans="1:14" x14ac:dyDescent="0.35">
      <c r="A1162" s="102" t="str">
        <f t="shared" si="77"/>
        <v/>
      </c>
      <c r="G1162" s="14" t="e">
        <f>VLOOKUP(F1162,'Accident &amp; Incident Detail'!$D$3:$E$4153,2,FALSE)</f>
        <v>#N/A</v>
      </c>
      <c r="M1162" s="79" t="str">
        <f t="shared" si="78"/>
        <v/>
      </c>
      <c r="N1162" s="14">
        <f t="shared" si="79"/>
        <v>3</v>
      </c>
    </row>
    <row r="1163" spans="1:14" x14ac:dyDescent="0.35">
      <c r="A1163" s="102" t="str">
        <f t="shared" si="77"/>
        <v/>
      </c>
      <c r="G1163" s="14" t="e">
        <f>VLOOKUP(F1163,'Accident &amp; Incident Detail'!$D$3:$E$4153,2,FALSE)</f>
        <v>#N/A</v>
      </c>
      <c r="M1163" s="79" t="str">
        <f t="shared" si="78"/>
        <v/>
      </c>
      <c r="N1163" s="14">
        <f t="shared" si="79"/>
        <v>3</v>
      </c>
    </row>
    <row r="1164" spans="1:14" x14ac:dyDescent="0.35">
      <c r="A1164" s="102" t="str">
        <f t="shared" si="77"/>
        <v/>
      </c>
      <c r="G1164" s="14" t="e">
        <f>VLOOKUP(F1164,'Accident &amp; Incident Detail'!$D$3:$E$4153,2,FALSE)</f>
        <v>#N/A</v>
      </c>
      <c r="M1164" s="79" t="str">
        <f t="shared" si="78"/>
        <v/>
      </c>
      <c r="N1164" s="14">
        <f t="shared" si="79"/>
        <v>3</v>
      </c>
    </row>
    <row r="1165" spans="1:14" x14ac:dyDescent="0.35">
      <c r="A1165" s="102" t="str">
        <f t="shared" si="77"/>
        <v/>
      </c>
      <c r="G1165" s="14" t="e">
        <f>VLOOKUP(F1165,'Accident &amp; Incident Detail'!$D$3:$E$4153,2,FALSE)</f>
        <v>#N/A</v>
      </c>
      <c r="M1165" s="79" t="str">
        <f t="shared" si="78"/>
        <v/>
      </c>
      <c r="N1165" s="14">
        <f t="shared" si="79"/>
        <v>3</v>
      </c>
    </row>
    <row r="1166" spans="1:14" x14ac:dyDescent="0.35">
      <c r="A1166" s="102" t="str">
        <f t="shared" si="77"/>
        <v/>
      </c>
      <c r="G1166" s="14" t="e">
        <f>VLOOKUP(F1166,'Accident &amp; Incident Detail'!$D$3:$E$4153,2,FALSE)</f>
        <v>#N/A</v>
      </c>
      <c r="M1166" s="79" t="str">
        <f t="shared" si="78"/>
        <v/>
      </c>
      <c r="N1166" s="14">
        <f t="shared" si="79"/>
        <v>3</v>
      </c>
    </row>
    <row r="1167" spans="1:14" x14ac:dyDescent="0.35">
      <c r="A1167" s="102" t="str">
        <f t="shared" si="77"/>
        <v/>
      </c>
      <c r="G1167" s="14" t="e">
        <f>VLOOKUP(F1167,'Accident &amp; Incident Detail'!$D$3:$E$4153,2,FALSE)</f>
        <v>#N/A</v>
      </c>
      <c r="M1167" s="79" t="str">
        <f t="shared" si="78"/>
        <v/>
      </c>
      <c r="N1167" s="14">
        <f t="shared" si="79"/>
        <v>3</v>
      </c>
    </row>
    <row r="1168" spans="1:14" x14ac:dyDescent="0.35">
      <c r="A1168" s="102" t="str">
        <f t="shared" si="77"/>
        <v/>
      </c>
      <c r="G1168" s="14" t="e">
        <f>VLOOKUP(F1168,'Accident &amp; Incident Detail'!$D$3:$E$4153,2,FALSE)</f>
        <v>#N/A</v>
      </c>
      <c r="M1168" s="79" t="str">
        <f t="shared" si="78"/>
        <v/>
      </c>
      <c r="N1168" s="14">
        <f t="shared" si="79"/>
        <v>3</v>
      </c>
    </row>
    <row r="1169" spans="1:14" x14ac:dyDescent="0.35">
      <c r="A1169" s="102" t="str">
        <f t="shared" si="77"/>
        <v/>
      </c>
      <c r="G1169" s="14" t="e">
        <f>VLOOKUP(F1169,'Accident &amp; Incident Detail'!$D$3:$E$4153,2,FALSE)</f>
        <v>#N/A</v>
      </c>
      <c r="M1169" s="79" t="str">
        <f t="shared" si="78"/>
        <v/>
      </c>
      <c r="N1169" s="14">
        <f t="shared" si="79"/>
        <v>3</v>
      </c>
    </row>
    <row r="1170" spans="1:14" x14ac:dyDescent="0.35">
      <c r="A1170" s="102" t="str">
        <f t="shared" si="77"/>
        <v/>
      </c>
      <c r="G1170" s="14" t="e">
        <f>VLOOKUP(F1170,'Accident &amp; Incident Detail'!$D$3:$E$4153,2,FALSE)</f>
        <v>#N/A</v>
      </c>
      <c r="M1170" s="79" t="str">
        <f t="shared" si="78"/>
        <v/>
      </c>
      <c r="N1170" s="14">
        <f t="shared" si="79"/>
        <v>3</v>
      </c>
    </row>
    <row r="1171" spans="1:14" x14ac:dyDescent="0.35">
      <c r="A1171" s="102" t="str">
        <f t="shared" si="77"/>
        <v/>
      </c>
      <c r="G1171" s="14" t="e">
        <f>VLOOKUP(F1171,'Accident &amp; Incident Detail'!$D$3:$E$4153,2,FALSE)</f>
        <v>#N/A</v>
      </c>
      <c r="M1171" s="79" t="str">
        <f t="shared" si="78"/>
        <v/>
      </c>
      <c r="N1171" s="14">
        <f t="shared" si="79"/>
        <v>3</v>
      </c>
    </row>
    <row r="1172" spans="1:14" x14ac:dyDescent="0.35">
      <c r="A1172" s="102" t="str">
        <f t="shared" si="77"/>
        <v/>
      </c>
      <c r="G1172" s="14" t="e">
        <f>VLOOKUP(F1172,'Accident &amp; Incident Detail'!$D$3:$E$4153,2,FALSE)</f>
        <v>#N/A</v>
      </c>
      <c r="M1172" s="79" t="str">
        <f t="shared" si="78"/>
        <v/>
      </c>
      <c r="N1172" s="14">
        <f t="shared" si="79"/>
        <v>3</v>
      </c>
    </row>
    <row r="1173" spans="1:14" x14ac:dyDescent="0.35">
      <c r="A1173" s="102" t="str">
        <f t="shared" si="77"/>
        <v/>
      </c>
      <c r="G1173" s="14" t="e">
        <f>VLOOKUP(F1173,'Accident &amp; Incident Detail'!$D$3:$E$4153,2,FALSE)</f>
        <v>#N/A</v>
      </c>
      <c r="M1173" s="79" t="str">
        <f t="shared" si="78"/>
        <v/>
      </c>
      <c r="N1173" s="14">
        <f t="shared" si="79"/>
        <v>3</v>
      </c>
    </row>
    <row r="1174" spans="1:14" x14ac:dyDescent="0.35">
      <c r="A1174" s="102" t="str">
        <f t="shared" si="77"/>
        <v/>
      </c>
      <c r="G1174" s="14" t="e">
        <f>VLOOKUP(F1174,'Accident &amp; Incident Detail'!$D$3:$E$4153,2,FALSE)</f>
        <v>#N/A</v>
      </c>
      <c r="M1174" s="79" t="str">
        <f t="shared" si="78"/>
        <v/>
      </c>
      <c r="N1174" s="14">
        <f t="shared" si="79"/>
        <v>3</v>
      </c>
    </row>
    <row r="1175" spans="1:14" x14ac:dyDescent="0.35">
      <c r="A1175" s="102" t="str">
        <f t="shared" si="77"/>
        <v/>
      </c>
      <c r="G1175" s="14" t="e">
        <f>VLOOKUP(F1175,'Accident &amp; Incident Detail'!$D$3:$E$4153,2,FALSE)</f>
        <v>#N/A</v>
      </c>
      <c r="M1175" s="79" t="str">
        <f t="shared" si="78"/>
        <v/>
      </c>
      <c r="N1175" s="14">
        <f t="shared" si="79"/>
        <v>3</v>
      </c>
    </row>
    <row r="1176" spans="1:14" x14ac:dyDescent="0.35">
      <c r="A1176" s="102" t="str">
        <f t="shared" si="77"/>
        <v/>
      </c>
      <c r="G1176" s="14" t="e">
        <f>VLOOKUP(F1176,'Accident &amp; Incident Detail'!$D$3:$E$4153,2,FALSE)</f>
        <v>#N/A</v>
      </c>
      <c r="M1176" s="79" t="str">
        <f t="shared" si="78"/>
        <v/>
      </c>
      <c r="N1176" s="14">
        <f t="shared" si="79"/>
        <v>3</v>
      </c>
    </row>
    <row r="1177" spans="1:14" x14ac:dyDescent="0.35">
      <c r="A1177" s="102" t="str">
        <f t="shared" si="77"/>
        <v/>
      </c>
      <c r="G1177" s="14" t="e">
        <f>VLOOKUP(F1177,'Accident &amp; Incident Detail'!$D$3:$E$4153,2,FALSE)</f>
        <v>#N/A</v>
      </c>
      <c r="M1177" s="79" t="str">
        <f t="shared" si="78"/>
        <v/>
      </c>
      <c r="N1177" s="14">
        <f t="shared" si="79"/>
        <v>3</v>
      </c>
    </row>
    <row r="1178" spans="1:14" x14ac:dyDescent="0.35">
      <c r="A1178" s="102" t="str">
        <f t="shared" si="77"/>
        <v/>
      </c>
      <c r="G1178" s="14" t="e">
        <f>VLOOKUP(F1178,'Accident &amp; Incident Detail'!$D$3:$E$4153,2,FALSE)</f>
        <v>#N/A</v>
      </c>
      <c r="M1178" s="79" t="str">
        <f t="shared" si="78"/>
        <v/>
      </c>
      <c r="N1178" s="14">
        <f t="shared" si="79"/>
        <v>3</v>
      </c>
    </row>
    <row r="1179" spans="1:14" x14ac:dyDescent="0.35">
      <c r="A1179" s="102" t="str">
        <f t="shared" si="77"/>
        <v/>
      </c>
      <c r="G1179" s="14" t="e">
        <f>VLOOKUP(F1179,'Accident &amp; Incident Detail'!$D$3:$E$4153,2,FALSE)</f>
        <v>#N/A</v>
      </c>
      <c r="M1179" s="79" t="str">
        <f t="shared" si="78"/>
        <v/>
      </c>
      <c r="N1179" s="14">
        <f t="shared" si="79"/>
        <v>3</v>
      </c>
    </row>
    <row r="1180" spans="1:14" x14ac:dyDescent="0.35">
      <c r="A1180" s="102" t="str">
        <f t="shared" si="77"/>
        <v/>
      </c>
      <c r="G1180" s="14" t="e">
        <f>VLOOKUP(F1180,'Accident &amp; Incident Detail'!$D$3:$E$4153,2,FALSE)</f>
        <v>#N/A</v>
      </c>
      <c r="M1180" s="79" t="str">
        <f t="shared" si="78"/>
        <v/>
      </c>
      <c r="N1180" s="14">
        <f t="shared" si="79"/>
        <v>3</v>
      </c>
    </row>
    <row r="1181" spans="1:14" x14ac:dyDescent="0.35">
      <c r="A1181" s="102" t="str">
        <f t="shared" si="77"/>
        <v/>
      </c>
      <c r="G1181" s="14" t="e">
        <f>VLOOKUP(F1181,'Accident &amp; Incident Detail'!$D$3:$E$4153,2,FALSE)</f>
        <v>#N/A</v>
      </c>
      <c r="M1181" s="79" t="str">
        <f t="shared" si="78"/>
        <v/>
      </c>
      <c r="N1181" s="14">
        <f t="shared" si="79"/>
        <v>3</v>
      </c>
    </row>
    <row r="1182" spans="1:14" x14ac:dyDescent="0.35">
      <c r="A1182" s="102" t="str">
        <f t="shared" si="77"/>
        <v/>
      </c>
      <c r="G1182" s="14" t="e">
        <f>VLOOKUP(F1182,'Accident &amp; Incident Detail'!$D$3:$E$4153,2,FALSE)</f>
        <v>#N/A</v>
      </c>
      <c r="M1182" s="79" t="str">
        <f t="shared" si="78"/>
        <v/>
      </c>
      <c r="N1182" s="14">
        <f t="shared" si="79"/>
        <v>3</v>
      </c>
    </row>
    <row r="1183" spans="1:14" x14ac:dyDescent="0.35">
      <c r="A1183" s="102" t="str">
        <f t="shared" si="77"/>
        <v/>
      </c>
      <c r="G1183" s="14" t="e">
        <f>VLOOKUP(F1183,'Accident &amp; Incident Detail'!$D$3:$E$4153,2,FALSE)</f>
        <v>#N/A</v>
      </c>
      <c r="M1183" s="79" t="str">
        <f t="shared" si="78"/>
        <v/>
      </c>
      <c r="N1183" s="14">
        <f t="shared" si="79"/>
        <v>3</v>
      </c>
    </row>
    <row r="1184" spans="1:14" x14ac:dyDescent="0.35">
      <c r="A1184" s="102" t="str">
        <f t="shared" si="77"/>
        <v/>
      </c>
      <c r="G1184" s="14" t="e">
        <f>VLOOKUP(F1184,'Accident &amp; Incident Detail'!$D$3:$E$4153,2,FALSE)</f>
        <v>#N/A</v>
      </c>
      <c r="M1184" s="79" t="str">
        <f t="shared" si="78"/>
        <v/>
      </c>
      <c r="N1184" s="14">
        <f t="shared" si="79"/>
        <v>3</v>
      </c>
    </row>
    <row r="1185" spans="1:14" x14ac:dyDescent="0.35">
      <c r="A1185" s="102" t="str">
        <f t="shared" si="77"/>
        <v/>
      </c>
      <c r="G1185" s="14" t="e">
        <f>VLOOKUP(F1185,'Accident &amp; Incident Detail'!$D$3:$E$4153,2,FALSE)</f>
        <v>#N/A</v>
      </c>
      <c r="M1185" s="79" t="str">
        <f t="shared" si="78"/>
        <v/>
      </c>
      <c r="N1185" s="14">
        <f t="shared" si="79"/>
        <v>3</v>
      </c>
    </row>
    <row r="1186" spans="1:14" x14ac:dyDescent="0.35">
      <c r="A1186" s="102" t="str">
        <f t="shared" si="77"/>
        <v/>
      </c>
      <c r="G1186" s="14" t="e">
        <f>VLOOKUP(F1186,'Accident &amp; Incident Detail'!$D$3:$E$4153,2,FALSE)</f>
        <v>#N/A</v>
      </c>
      <c r="M1186" s="79" t="str">
        <f t="shared" si="78"/>
        <v/>
      </c>
      <c r="N1186" s="14">
        <f t="shared" si="79"/>
        <v>3</v>
      </c>
    </row>
    <row r="1187" spans="1:14" x14ac:dyDescent="0.35">
      <c r="A1187" s="102" t="str">
        <f t="shared" si="77"/>
        <v/>
      </c>
      <c r="G1187" s="14" t="e">
        <f>VLOOKUP(F1187,'Accident &amp; Incident Detail'!$D$3:$E$4153,2,FALSE)</f>
        <v>#N/A</v>
      </c>
      <c r="M1187" s="79" t="str">
        <f t="shared" si="78"/>
        <v/>
      </c>
      <c r="N1187" s="14">
        <f t="shared" si="79"/>
        <v>3</v>
      </c>
    </row>
    <row r="1188" spans="1:14" x14ac:dyDescent="0.35">
      <c r="A1188" s="102" t="str">
        <f t="shared" si="77"/>
        <v/>
      </c>
      <c r="G1188" s="14" t="e">
        <f>VLOOKUP(F1188,'Accident &amp; Incident Detail'!$D$3:$E$4153,2,FALSE)</f>
        <v>#N/A</v>
      </c>
      <c r="M1188" s="79" t="str">
        <f t="shared" si="78"/>
        <v/>
      </c>
      <c r="N1188" s="14">
        <f t="shared" si="79"/>
        <v>3</v>
      </c>
    </row>
    <row r="1189" spans="1:14" x14ac:dyDescent="0.35">
      <c r="A1189" s="102" t="str">
        <f t="shared" si="77"/>
        <v/>
      </c>
      <c r="G1189" s="14" t="e">
        <f>VLOOKUP(F1189,'Accident &amp; Incident Detail'!$D$3:$E$4153,2,FALSE)</f>
        <v>#N/A</v>
      </c>
      <c r="M1189" s="79" t="str">
        <f t="shared" si="78"/>
        <v/>
      </c>
      <c r="N1189" s="14">
        <f t="shared" si="79"/>
        <v>3</v>
      </c>
    </row>
    <row r="1190" spans="1:14" x14ac:dyDescent="0.35">
      <c r="A1190" s="102" t="str">
        <f t="shared" ref="A1190:A1253" si="80">IF(O1190&gt;1,"Closed",IF(N1190=1,"Overdue",IF(N1190=3,"","Open")))</f>
        <v/>
      </c>
      <c r="G1190" s="14" t="e">
        <f>VLOOKUP(F1190,'Accident &amp; Incident Detail'!$D$3:$E$4153,2,FALSE)</f>
        <v>#N/A</v>
      </c>
      <c r="M1190" s="79" t="str">
        <f t="shared" si="78"/>
        <v/>
      </c>
      <c r="N1190" s="14">
        <f t="shared" si="79"/>
        <v>3</v>
      </c>
    </row>
    <row r="1191" spans="1:14" x14ac:dyDescent="0.35">
      <c r="A1191" s="102" t="str">
        <f t="shared" si="80"/>
        <v/>
      </c>
      <c r="G1191" s="14" t="e">
        <f>VLOOKUP(F1191,'Accident &amp; Incident Detail'!$D$3:$E$4153,2,FALSE)</f>
        <v>#N/A</v>
      </c>
      <c r="M1191" s="79" t="str">
        <f t="shared" si="78"/>
        <v/>
      </c>
      <c r="N1191" s="14">
        <f t="shared" si="79"/>
        <v>3</v>
      </c>
    </row>
    <row r="1192" spans="1:14" x14ac:dyDescent="0.35">
      <c r="A1192" s="102" t="str">
        <f t="shared" si="80"/>
        <v/>
      </c>
      <c r="G1192" s="14" t="e">
        <f>VLOOKUP(F1192,'Accident &amp; Incident Detail'!$D$3:$E$4153,2,FALSE)</f>
        <v>#N/A</v>
      </c>
      <c r="M1192" s="79" t="str">
        <f t="shared" si="78"/>
        <v/>
      </c>
      <c r="N1192" s="14">
        <f t="shared" si="79"/>
        <v>3</v>
      </c>
    </row>
    <row r="1193" spans="1:14" x14ac:dyDescent="0.35">
      <c r="A1193" s="102" t="str">
        <f t="shared" si="80"/>
        <v/>
      </c>
      <c r="G1193" s="14" t="e">
        <f>VLOOKUP(F1193,'Accident &amp; Incident Detail'!$D$3:$E$4153,2,FALSE)</f>
        <v>#N/A</v>
      </c>
      <c r="M1193" s="79" t="str">
        <f t="shared" si="78"/>
        <v/>
      </c>
      <c r="N1193" s="14">
        <f t="shared" si="79"/>
        <v>3</v>
      </c>
    </row>
    <row r="1194" spans="1:14" x14ac:dyDescent="0.35">
      <c r="A1194" s="102" t="str">
        <f t="shared" si="80"/>
        <v/>
      </c>
      <c r="G1194" s="14" t="e">
        <f>VLOOKUP(F1194,'Accident &amp; Incident Detail'!$D$3:$E$4153,2,FALSE)</f>
        <v>#N/A</v>
      </c>
      <c r="M1194" s="79" t="str">
        <f t="shared" si="78"/>
        <v/>
      </c>
      <c r="N1194" s="14">
        <f t="shared" si="79"/>
        <v>3</v>
      </c>
    </row>
    <row r="1195" spans="1:14" x14ac:dyDescent="0.35">
      <c r="A1195" s="102" t="str">
        <f t="shared" si="80"/>
        <v/>
      </c>
      <c r="G1195" s="14" t="e">
        <f>VLOOKUP(F1195,'Accident &amp; Incident Detail'!$D$3:$E$4153,2,FALSE)</f>
        <v>#N/A</v>
      </c>
      <c r="M1195" s="79" t="str">
        <f t="shared" si="78"/>
        <v/>
      </c>
      <c r="N1195" s="14">
        <f t="shared" si="79"/>
        <v>3</v>
      </c>
    </row>
    <row r="1196" spans="1:14" x14ac:dyDescent="0.35">
      <c r="A1196" s="102" t="str">
        <f t="shared" si="80"/>
        <v/>
      </c>
      <c r="G1196" s="14" t="e">
        <f>VLOOKUP(F1196,'Accident &amp; Incident Detail'!$D$3:$E$4153,2,FALSE)</f>
        <v>#N/A</v>
      </c>
      <c r="M1196" s="79" t="str">
        <f t="shared" si="78"/>
        <v/>
      </c>
      <c r="N1196" s="14">
        <f t="shared" si="79"/>
        <v>3</v>
      </c>
    </row>
    <row r="1197" spans="1:14" x14ac:dyDescent="0.35">
      <c r="A1197" s="102" t="str">
        <f t="shared" si="80"/>
        <v/>
      </c>
      <c r="G1197" s="14" t="e">
        <f>VLOOKUP(F1197,'Accident &amp; Incident Detail'!$D$3:$E$4153,2,FALSE)</f>
        <v>#N/A</v>
      </c>
      <c r="M1197" s="79" t="str">
        <f t="shared" ref="M1197:M1260" si="81">IF(D1197="","",D1197+28)</f>
        <v/>
      </c>
      <c r="N1197" s="14">
        <f t="shared" ref="N1197:N1260" si="82">IF(D1197="",3,IF(M1197&lt;$A$2,1,0))</f>
        <v>3</v>
      </c>
    </row>
    <row r="1198" spans="1:14" x14ac:dyDescent="0.35">
      <c r="A1198" s="102" t="str">
        <f t="shared" si="80"/>
        <v/>
      </c>
      <c r="G1198" s="14" t="e">
        <f>VLOOKUP(F1198,'Accident &amp; Incident Detail'!$D$3:$E$4153,2,FALSE)</f>
        <v>#N/A</v>
      </c>
      <c r="M1198" s="79" t="str">
        <f t="shared" si="81"/>
        <v/>
      </c>
      <c r="N1198" s="14">
        <f t="shared" si="82"/>
        <v>3</v>
      </c>
    </row>
    <row r="1199" spans="1:14" x14ac:dyDescent="0.35">
      <c r="A1199" s="102" t="str">
        <f t="shared" si="80"/>
        <v/>
      </c>
      <c r="G1199" s="14" t="e">
        <f>VLOOKUP(F1199,'Accident &amp; Incident Detail'!$D$3:$E$4153,2,FALSE)</f>
        <v>#N/A</v>
      </c>
      <c r="M1199" s="79" t="str">
        <f t="shared" si="81"/>
        <v/>
      </c>
      <c r="N1199" s="14">
        <f t="shared" si="82"/>
        <v>3</v>
      </c>
    </row>
    <row r="1200" spans="1:14" x14ac:dyDescent="0.35">
      <c r="A1200" s="102" t="str">
        <f t="shared" si="80"/>
        <v/>
      </c>
      <c r="G1200" s="14" t="e">
        <f>VLOOKUP(F1200,'Accident &amp; Incident Detail'!$D$3:$E$4153,2,FALSE)</f>
        <v>#N/A</v>
      </c>
      <c r="M1200" s="79" t="str">
        <f t="shared" si="81"/>
        <v/>
      </c>
      <c r="N1200" s="14">
        <f t="shared" si="82"/>
        <v>3</v>
      </c>
    </row>
    <row r="1201" spans="1:14" x14ac:dyDescent="0.35">
      <c r="A1201" s="102" t="str">
        <f t="shared" si="80"/>
        <v/>
      </c>
      <c r="G1201" s="14" t="e">
        <f>VLOOKUP(F1201,'Accident &amp; Incident Detail'!$D$3:$E$4153,2,FALSE)</f>
        <v>#N/A</v>
      </c>
      <c r="M1201" s="79" t="str">
        <f t="shared" si="81"/>
        <v/>
      </c>
      <c r="N1201" s="14">
        <f t="shared" si="82"/>
        <v>3</v>
      </c>
    </row>
    <row r="1202" spans="1:14" x14ac:dyDescent="0.35">
      <c r="A1202" s="102" t="str">
        <f t="shared" si="80"/>
        <v/>
      </c>
      <c r="G1202" s="14" t="e">
        <f>VLOOKUP(F1202,'Accident &amp; Incident Detail'!$D$3:$E$4153,2,FALSE)</f>
        <v>#N/A</v>
      </c>
      <c r="M1202" s="79" t="str">
        <f t="shared" si="81"/>
        <v/>
      </c>
      <c r="N1202" s="14">
        <f t="shared" si="82"/>
        <v>3</v>
      </c>
    </row>
    <row r="1203" spans="1:14" x14ac:dyDescent="0.35">
      <c r="A1203" s="102" t="str">
        <f t="shared" si="80"/>
        <v/>
      </c>
      <c r="G1203" s="14" t="e">
        <f>VLOOKUP(F1203,'Accident &amp; Incident Detail'!$D$3:$E$4153,2,FALSE)</f>
        <v>#N/A</v>
      </c>
      <c r="M1203" s="79" t="str">
        <f t="shared" si="81"/>
        <v/>
      </c>
      <c r="N1203" s="14">
        <f t="shared" si="82"/>
        <v>3</v>
      </c>
    </row>
    <row r="1204" spans="1:14" x14ac:dyDescent="0.35">
      <c r="A1204" s="102" t="str">
        <f t="shared" si="80"/>
        <v/>
      </c>
      <c r="G1204" s="14" t="e">
        <f>VLOOKUP(F1204,'Accident &amp; Incident Detail'!$D$3:$E$4153,2,FALSE)</f>
        <v>#N/A</v>
      </c>
      <c r="M1204" s="79" t="str">
        <f t="shared" si="81"/>
        <v/>
      </c>
      <c r="N1204" s="14">
        <f t="shared" si="82"/>
        <v>3</v>
      </c>
    </row>
    <row r="1205" spans="1:14" x14ac:dyDescent="0.35">
      <c r="A1205" s="102" t="str">
        <f t="shared" si="80"/>
        <v/>
      </c>
      <c r="G1205" s="14" t="e">
        <f>VLOOKUP(F1205,'Accident &amp; Incident Detail'!$D$3:$E$4153,2,FALSE)</f>
        <v>#N/A</v>
      </c>
      <c r="M1205" s="79" t="str">
        <f t="shared" si="81"/>
        <v/>
      </c>
      <c r="N1205" s="14">
        <f t="shared" si="82"/>
        <v>3</v>
      </c>
    </row>
    <row r="1206" spans="1:14" x14ac:dyDescent="0.35">
      <c r="A1206" s="102" t="str">
        <f t="shared" si="80"/>
        <v/>
      </c>
      <c r="G1206" s="14" t="e">
        <f>VLOOKUP(F1206,'Accident &amp; Incident Detail'!$D$3:$E$4153,2,FALSE)</f>
        <v>#N/A</v>
      </c>
      <c r="M1206" s="79" t="str">
        <f t="shared" si="81"/>
        <v/>
      </c>
      <c r="N1206" s="14">
        <f t="shared" si="82"/>
        <v>3</v>
      </c>
    </row>
    <row r="1207" spans="1:14" x14ac:dyDescent="0.35">
      <c r="A1207" s="102" t="str">
        <f t="shared" si="80"/>
        <v/>
      </c>
      <c r="G1207" s="14" t="e">
        <f>VLOOKUP(F1207,'Accident &amp; Incident Detail'!$D$3:$E$4153,2,FALSE)</f>
        <v>#N/A</v>
      </c>
      <c r="M1207" s="79" t="str">
        <f t="shared" si="81"/>
        <v/>
      </c>
      <c r="N1207" s="14">
        <f t="shared" si="82"/>
        <v>3</v>
      </c>
    </row>
    <row r="1208" spans="1:14" x14ac:dyDescent="0.35">
      <c r="A1208" s="102" t="str">
        <f t="shared" si="80"/>
        <v/>
      </c>
      <c r="G1208" s="14" t="e">
        <f>VLOOKUP(F1208,'Accident &amp; Incident Detail'!$D$3:$E$4153,2,FALSE)</f>
        <v>#N/A</v>
      </c>
      <c r="M1208" s="79" t="str">
        <f t="shared" si="81"/>
        <v/>
      </c>
      <c r="N1208" s="14">
        <f t="shared" si="82"/>
        <v>3</v>
      </c>
    </row>
    <row r="1209" spans="1:14" x14ac:dyDescent="0.35">
      <c r="A1209" s="102" t="str">
        <f t="shared" si="80"/>
        <v/>
      </c>
      <c r="G1209" s="14" t="e">
        <f>VLOOKUP(F1209,'Accident &amp; Incident Detail'!$D$3:$E$4153,2,FALSE)</f>
        <v>#N/A</v>
      </c>
      <c r="M1209" s="79" t="str">
        <f t="shared" si="81"/>
        <v/>
      </c>
      <c r="N1209" s="14">
        <f t="shared" si="82"/>
        <v>3</v>
      </c>
    </row>
    <row r="1210" spans="1:14" x14ac:dyDescent="0.35">
      <c r="A1210" s="102" t="str">
        <f t="shared" si="80"/>
        <v/>
      </c>
      <c r="G1210" s="14" t="e">
        <f>VLOOKUP(F1210,'Accident &amp; Incident Detail'!$D$3:$E$4153,2,FALSE)</f>
        <v>#N/A</v>
      </c>
      <c r="M1210" s="79" t="str">
        <f t="shared" si="81"/>
        <v/>
      </c>
      <c r="N1210" s="14">
        <f t="shared" si="82"/>
        <v>3</v>
      </c>
    </row>
    <row r="1211" spans="1:14" x14ac:dyDescent="0.35">
      <c r="A1211" s="102" t="str">
        <f t="shared" si="80"/>
        <v/>
      </c>
      <c r="G1211" s="14" t="e">
        <f>VLOOKUP(F1211,'Accident &amp; Incident Detail'!$D$3:$E$4153,2,FALSE)</f>
        <v>#N/A</v>
      </c>
      <c r="M1211" s="79" t="str">
        <f t="shared" si="81"/>
        <v/>
      </c>
      <c r="N1211" s="14">
        <f t="shared" si="82"/>
        <v>3</v>
      </c>
    </row>
    <row r="1212" spans="1:14" x14ac:dyDescent="0.35">
      <c r="A1212" s="102" t="str">
        <f t="shared" si="80"/>
        <v/>
      </c>
      <c r="G1212" s="14" t="e">
        <f>VLOOKUP(F1212,'Accident &amp; Incident Detail'!$D$3:$E$4153,2,FALSE)</f>
        <v>#N/A</v>
      </c>
      <c r="M1212" s="79" t="str">
        <f t="shared" si="81"/>
        <v/>
      </c>
      <c r="N1212" s="14">
        <f t="shared" si="82"/>
        <v>3</v>
      </c>
    </row>
    <row r="1213" spans="1:14" x14ac:dyDescent="0.35">
      <c r="A1213" s="102" t="str">
        <f t="shared" si="80"/>
        <v/>
      </c>
      <c r="G1213" s="14" t="e">
        <f>VLOOKUP(F1213,'Accident &amp; Incident Detail'!$D$3:$E$4153,2,FALSE)</f>
        <v>#N/A</v>
      </c>
      <c r="M1213" s="79" t="str">
        <f t="shared" si="81"/>
        <v/>
      </c>
      <c r="N1213" s="14">
        <f t="shared" si="82"/>
        <v>3</v>
      </c>
    </row>
    <row r="1214" spans="1:14" x14ac:dyDescent="0.35">
      <c r="A1214" s="102" t="str">
        <f t="shared" si="80"/>
        <v/>
      </c>
      <c r="G1214" s="14" t="e">
        <f>VLOOKUP(F1214,'Accident &amp; Incident Detail'!$D$3:$E$4153,2,FALSE)</f>
        <v>#N/A</v>
      </c>
      <c r="M1214" s="79" t="str">
        <f t="shared" si="81"/>
        <v/>
      </c>
      <c r="N1214" s="14">
        <f t="shared" si="82"/>
        <v>3</v>
      </c>
    </row>
    <row r="1215" spans="1:14" x14ac:dyDescent="0.35">
      <c r="A1215" s="102" t="str">
        <f t="shared" si="80"/>
        <v/>
      </c>
      <c r="G1215" s="14" t="e">
        <f>VLOOKUP(F1215,'Accident &amp; Incident Detail'!$D$3:$E$4153,2,FALSE)</f>
        <v>#N/A</v>
      </c>
      <c r="M1215" s="79" t="str">
        <f t="shared" si="81"/>
        <v/>
      </c>
      <c r="N1215" s="14">
        <f t="shared" si="82"/>
        <v>3</v>
      </c>
    </row>
    <row r="1216" spans="1:14" x14ac:dyDescent="0.35">
      <c r="A1216" s="102" t="str">
        <f t="shared" si="80"/>
        <v/>
      </c>
      <c r="G1216" s="14" t="e">
        <f>VLOOKUP(F1216,'Accident &amp; Incident Detail'!$D$3:$E$4153,2,FALSE)</f>
        <v>#N/A</v>
      </c>
      <c r="M1216" s="79" t="str">
        <f t="shared" si="81"/>
        <v/>
      </c>
      <c r="N1216" s="14">
        <f t="shared" si="82"/>
        <v>3</v>
      </c>
    </row>
    <row r="1217" spans="1:14" x14ac:dyDescent="0.35">
      <c r="A1217" s="102" t="str">
        <f t="shared" si="80"/>
        <v/>
      </c>
      <c r="G1217" s="14" t="e">
        <f>VLOOKUP(F1217,'Accident &amp; Incident Detail'!$D$3:$E$4153,2,FALSE)</f>
        <v>#N/A</v>
      </c>
      <c r="M1217" s="79" t="str">
        <f t="shared" si="81"/>
        <v/>
      </c>
      <c r="N1217" s="14">
        <f t="shared" si="82"/>
        <v>3</v>
      </c>
    </row>
    <row r="1218" spans="1:14" x14ac:dyDescent="0.35">
      <c r="A1218" s="102" t="str">
        <f t="shared" si="80"/>
        <v/>
      </c>
      <c r="G1218" s="14" t="e">
        <f>VLOOKUP(F1218,'Accident &amp; Incident Detail'!$D$3:$E$4153,2,FALSE)</f>
        <v>#N/A</v>
      </c>
      <c r="M1218" s="79" t="str">
        <f t="shared" si="81"/>
        <v/>
      </c>
      <c r="N1218" s="14">
        <f t="shared" si="82"/>
        <v>3</v>
      </c>
    </row>
    <row r="1219" spans="1:14" x14ac:dyDescent="0.35">
      <c r="A1219" s="102" t="str">
        <f t="shared" si="80"/>
        <v/>
      </c>
      <c r="G1219" s="14" t="e">
        <f>VLOOKUP(F1219,'Accident &amp; Incident Detail'!$D$3:$E$4153,2,FALSE)</f>
        <v>#N/A</v>
      </c>
      <c r="M1219" s="79" t="str">
        <f t="shared" si="81"/>
        <v/>
      </c>
      <c r="N1219" s="14">
        <f t="shared" si="82"/>
        <v>3</v>
      </c>
    </row>
    <row r="1220" spans="1:14" x14ac:dyDescent="0.35">
      <c r="A1220" s="102" t="str">
        <f t="shared" si="80"/>
        <v/>
      </c>
      <c r="G1220" s="14" t="e">
        <f>VLOOKUP(F1220,'Accident &amp; Incident Detail'!$D$3:$E$4153,2,FALSE)</f>
        <v>#N/A</v>
      </c>
      <c r="M1220" s="79" t="str">
        <f t="shared" si="81"/>
        <v/>
      </c>
      <c r="N1220" s="14">
        <f t="shared" si="82"/>
        <v>3</v>
      </c>
    </row>
    <row r="1221" spans="1:14" x14ac:dyDescent="0.35">
      <c r="A1221" s="102" t="str">
        <f t="shared" si="80"/>
        <v/>
      </c>
      <c r="G1221" s="14" t="e">
        <f>VLOOKUP(F1221,'Accident &amp; Incident Detail'!$D$3:$E$4153,2,FALSE)</f>
        <v>#N/A</v>
      </c>
      <c r="M1221" s="79" t="str">
        <f t="shared" si="81"/>
        <v/>
      </c>
      <c r="N1221" s="14">
        <f t="shared" si="82"/>
        <v>3</v>
      </c>
    </row>
    <row r="1222" spans="1:14" x14ac:dyDescent="0.35">
      <c r="A1222" s="102" t="str">
        <f t="shared" si="80"/>
        <v/>
      </c>
      <c r="G1222" s="14" t="e">
        <f>VLOOKUP(F1222,'Accident &amp; Incident Detail'!$D$3:$E$4153,2,FALSE)</f>
        <v>#N/A</v>
      </c>
      <c r="M1222" s="79" t="str">
        <f t="shared" si="81"/>
        <v/>
      </c>
      <c r="N1222" s="14">
        <f t="shared" si="82"/>
        <v>3</v>
      </c>
    </row>
    <row r="1223" spans="1:14" x14ac:dyDescent="0.35">
      <c r="A1223" s="102" t="str">
        <f t="shared" si="80"/>
        <v/>
      </c>
      <c r="G1223" s="14" t="e">
        <f>VLOOKUP(F1223,'Accident &amp; Incident Detail'!$D$3:$E$4153,2,FALSE)</f>
        <v>#N/A</v>
      </c>
      <c r="M1223" s="79" t="str">
        <f t="shared" si="81"/>
        <v/>
      </c>
      <c r="N1223" s="14">
        <f t="shared" si="82"/>
        <v>3</v>
      </c>
    </row>
    <row r="1224" spans="1:14" x14ac:dyDescent="0.35">
      <c r="A1224" s="102" t="str">
        <f t="shared" si="80"/>
        <v/>
      </c>
      <c r="G1224" s="14" t="e">
        <f>VLOOKUP(F1224,'Accident &amp; Incident Detail'!$D$3:$E$4153,2,FALSE)</f>
        <v>#N/A</v>
      </c>
      <c r="M1224" s="79" t="str">
        <f t="shared" si="81"/>
        <v/>
      </c>
      <c r="N1224" s="14">
        <f t="shared" si="82"/>
        <v>3</v>
      </c>
    </row>
    <row r="1225" spans="1:14" x14ac:dyDescent="0.35">
      <c r="A1225" s="102" t="str">
        <f t="shared" si="80"/>
        <v/>
      </c>
      <c r="G1225" s="14" t="e">
        <f>VLOOKUP(F1225,'Accident &amp; Incident Detail'!$D$3:$E$4153,2,FALSE)</f>
        <v>#N/A</v>
      </c>
      <c r="M1225" s="79" t="str">
        <f t="shared" si="81"/>
        <v/>
      </c>
      <c r="N1225" s="14">
        <f t="shared" si="82"/>
        <v>3</v>
      </c>
    </row>
    <row r="1226" spans="1:14" x14ac:dyDescent="0.35">
      <c r="A1226" s="102" t="str">
        <f t="shared" si="80"/>
        <v/>
      </c>
      <c r="G1226" s="14" t="e">
        <f>VLOOKUP(F1226,'Accident &amp; Incident Detail'!$D$3:$E$4153,2,FALSE)</f>
        <v>#N/A</v>
      </c>
      <c r="M1226" s="79" t="str">
        <f t="shared" si="81"/>
        <v/>
      </c>
      <c r="N1226" s="14">
        <f t="shared" si="82"/>
        <v>3</v>
      </c>
    </row>
    <row r="1227" spans="1:14" x14ac:dyDescent="0.35">
      <c r="A1227" s="102" t="str">
        <f t="shared" si="80"/>
        <v/>
      </c>
      <c r="G1227" s="14" t="e">
        <f>VLOOKUP(F1227,'Accident &amp; Incident Detail'!$D$3:$E$4153,2,FALSE)</f>
        <v>#N/A</v>
      </c>
      <c r="M1227" s="79" t="str">
        <f t="shared" si="81"/>
        <v/>
      </c>
      <c r="N1227" s="14">
        <f t="shared" si="82"/>
        <v>3</v>
      </c>
    </row>
    <row r="1228" spans="1:14" x14ac:dyDescent="0.35">
      <c r="A1228" s="102" t="str">
        <f t="shared" si="80"/>
        <v/>
      </c>
      <c r="G1228" s="14" t="e">
        <f>VLOOKUP(F1228,'Accident &amp; Incident Detail'!$D$3:$E$4153,2,FALSE)</f>
        <v>#N/A</v>
      </c>
      <c r="M1228" s="79" t="str">
        <f t="shared" si="81"/>
        <v/>
      </c>
      <c r="N1228" s="14">
        <f t="shared" si="82"/>
        <v>3</v>
      </c>
    </row>
    <row r="1229" spans="1:14" x14ac:dyDescent="0.35">
      <c r="A1229" s="102" t="str">
        <f t="shared" si="80"/>
        <v/>
      </c>
      <c r="G1229" s="14" t="e">
        <f>VLOOKUP(F1229,'Accident &amp; Incident Detail'!$D$3:$E$4153,2,FALSE)</f>
        <v>#N/A</v>
      </c>
      <c r="M1229" s="79" t="str">
        <f t="shared" si="81"/>
        <v/>
      </c>
      <c r="N1229" s="14">
        <f t="shared" si="82"/>
        <v>3</v>
      </c>
    </row>
    <row r="1230" spans="1:14" x14ac:dyDescent="0.35">
      <c r="A1230" s="102" t="str">
        <f t="shared" si="80"/>
        <v/>
      </c>
      <c r="G1230" s="14" t="e">
        <f>VLOOKUP(F1230,'Accident &amp; Incident Detail'!$D$3:$E$4153,2,FALSE)</f>
        <v>#N/A</v>
      </c>
      <c r="M1230" s="79" t="str">
        <f t="shared" si="81"/>
        <v/>
      </c>
      <c r="N1230" s="14">
        <f t="shared" si="82"/>
        <v>3</v>
      </c>
    </row>
    <row r="1231" spans="1:14" x14ac:dyDescent="0.35">
      <c r="A1231" s="102" t="str">
        <f t="shared" si="80"/>
        <v/>
      </c>
      <c r="G1231" s="14" t="e">
        <f>VLOOKUP(F1231,'Accident &amp; Incident Detail'!$D$3:$E$4153,2,FALSE)</f>
        <v>#N/A</v>
      </c>
      <c r="M1231" s="79" t="str">
        <f t="shared" si="81"/>
        <v/>
      </c>
      <c r="N1231" s="14">
        <f t="shared" si="82"/>
        <v>3</v>
      </c>
    </row>
    <row r="1232" spans="1:14" x14ac:dyDescent="0.35">
      <c r="A1232" s="102" t="str">
        <f t="shared" si="80"/>
        <v/>
      </c>
      <c r="G1232" s="14" t="e">
        <f>VLOOKUP(F1232,'Accident &amp; Incident Detail'!$D$3:$E$4153,2,FALSE)</f>
        <v>#N/A</v>
      </c>
      <c r="M1232" s="79" t="str">
        <f t="shared" si="81"/>
        <v/>
      </c>
      <c r="N1232" s="14">
        <f t="shared" si="82"/>
        <v>3</v>
      </c>
    </row>
    <row r="1233" spans="1:14" x14ac:dyDescent="0.35">
      <c r="A1233" s="102" t="str">
        <f t="shared" si="80"/>
        <v/>
      </c>
      <c r="G1233" s="14" t="e">
        <f>VLOOKUP(F1233,'Accident &amp; Incident Detail'!$D$3:$E$4153,2,FALSE)</f>
        <v>#N/A</v>
      </c>
      <c r="M1233" s="79" t="str">
        <f t="shared" si="81"/>
        <v/>
      </c>
      <c r="N1233" s="14">
        <f t="shared" si="82"/>
        <v>3</v>
      </c>
    </row>
    <row r="1234" spans="1:14" x14ac:dyDescent="0.35">
      <c r="A1234" s="102" t="str">
        <f t="shared" si="80"/>
        <v/>
      </c>
      <c r="G1234" s="14" t="e">
        <f>VLOOKUP(F1234,'Accident &amp; Incident Detail'!$D$3:$E$4153,2,FALSE)</f>
        <v>#N/A</v>
      </c>
      <c r="M1234" s="79" t="str">
        <f t="shared" si="81"/>
        <v/>
      </c>
      <c r="N1234" s="14">
        <f t="shared" si="82"/>
        <v>3</v>
      </c>
    </row>
    <row r="1235" spans="1:14" x14ac:dyDescent="0.35">
      <c r="A1235" s="102" t="str">
        <f t="shared" si="80"/>
        <v/>
      </c>
      <c r="G1235" s="14" t="e">
        <f>VLOOKUP(F1235,'Accident &amp; Incident Detail'!$D$3:$E$4153,2,FALSE)</f>
        <v>#N/A</v>
      </c>
      <c r="M1235" s="79" t="str">
        <f t="shared" si="81"/>
        <v/>
      </c>
      <c r="N1235" s="14">
        <f t="shared" si="82"/>
        <v>3</v>
      </c>
    </row>
    <row r="1236" spans="1:14" x14ac:dyDescent="0.35">
      <c r="A1236" s="102" t="str">
        <f t="shared" si="80"/>
        <v/>
      </c>
      <c r="G1236" s="14" t="e">
        <f>VLOOKUP(F1236,'Accident &amp; Incident Detail'!$D$3:$E$4153,2,FALSE)</f>
        <v>#N/A</v>
      </c>
      <c r="M1236" s="79" t="str">
        <f t="shared" si="81"/>
        <v/>
      </c>
      <c r="N1236" s="14">
        <f t="shared" si="82"/>
        <v>3</v>
      </c>
    </row>
    <row r="1237" spans="1:14" x14ac:dyDescent="0.35">
      <c r="A1237" s="102" t="str">
        <f t="shared" si="80"/>
        <v/>
      </c>
      <c r="G1237" s="14" t="e">
        <f>VLOOKUP(F1237,'Accident &amp; Incident Detail'!$D$3:$E$4153,2,FALSE)</f>
        <v>#N/A</v>
      </c>
      <c r="M1237" s="79" t="str">
        <f t="shared" si="81"/>
        <v/>
      </c>
      <c r="N1237" s="14">
        <f t="shared" si="82"/>
        <v>3</v>
      </c>
    </row>
    <row r="1238" spans="1:14" x14ac:dyDescent="0.35">
      <c r="A1238" s="102" t="str">
        <f t="shared" si="80"/>
        <v/>
      </c>
      <c r="G1238" s="14" t="e">
        <f>VLOOKUP(F1238,'Accident &amp; Incident Detail'!$D$3:$E$4153,2,FALSE)</f>
        <v>#N/A</v>
      </c>
      <c r="M1238" s="79" t="str">
        <f t="shared" si="81"/>
        <v/>
      </c>
      <c r="N1238" s="14">
        <f t="shared" si="82"/>
        <v>3</v>
      </c>
    </row>
    <row r="1239" spans="1:14" x14ac:dyDescent="0.35">
      <c r="A1239" s="102" t="str">
        <f t="shared" si="80"/>
        <v/>
      </c>
      <c r="G1239" s="14" t="e">
        <f>VLOOKUP(F1239,'Accident &amp; Incident Detail'!$D$3:$E$4153,2,FALSE)</f>
        <v>#N/A</v>
      </c>
      <c r="M1239" s="79" t="str">
        <f t="shared" si="81"/>
        <v/>
      </c>
      <c r="N1239" s="14">
        <f t="shared" si="82"/>
        <v>3</v>
      </c>
    </row>
    <row r="1240" spans="1:14" x14ac:dyDescent="0.35">
      <c r="A1240" s="102" t="str">
        <f t="shared" si="80"/>
        <v/>
      </c>
      <c r="G1240" s="14" t="e">
        <f>VLOOKUP(F1240,'Accident &amp; Incident Detail'!$D$3:$E$4153,2,FALSE)</f>
        <v>#N/A</v>
      </c>
      <c r="M1240" s="79" t="str">
        <f t="shared" si="81"/>
        <v/>
      </c>
      <c r="N1240" s="14">
        <f t="shared" si="82"/>
        <v>3</v>
      </c>
    </row>
    <row r="1241" spans="1:14" x14ac:dyDescent="0.35">
      <c r="A1241" s="102" t="str">
        <f t="shared" si="80"/>
        <v/>
      </c>
      <c r="G1241" s="14" t="e">
        <f>VLOOKUP(F1241,'Accident &amp; Incident Detail'!$D$3:$E$4153,2,FALSE)</f>
        <v>#N/A</v>
      </c>
      <c r="M1241" s="79" t="str">
        <f t="shared" si="81"/>
        <v/>
      </c>
      <c r="N1241" s="14">
        <f t="shared" si="82"/>
        <v>3</v>
      </c>
    </row>
    <row r="1242" spans="1:14" x14ac:dyDescent="0.35">
      <c r="A1242" s="102" t="str">
        <f t="shared" si="80"/>
        <v/>
      </c>
      <c r="G1242" s="14" t="e">
        <f>VLOOKUP(F1242,'Accident &amp; Incident Detail'!$D$3:$E$4153,2,FALSE)</f>
        <v>#N/A</v>
      </c>
      <c r="M1242" s="79" t="str">
        <f t="shared" si="81"/>
        <v/>
      </c>
      <c r="N1242" s="14">
        <f t="shared" si="82"/>
        <v>3</v>
      </c>
    </row>
    <row r="1243" spans="1:14" x14ac:dyDescent="0.35">
      <c r="A1243" s="102" t="str">
        <f t="shared" si="80"/>
        <v/>
      </c>
      <c r="G1243" s="14" t="e">
        <f>VLOOKUP(F1243,'Accident &amp; Incident Detail'!$D$3:$E$4153,2,FALSE)</f>
        <v>#N/A</v>
      </c>
      <c r="M1243" s="79" t="str">
        <f t="shared" si="81"/>
        <v/>
      </c>
      <c r="N1243" s="14">
        <f t="shared" si="82"/>
        <v>3</v>
      </c>
    </row>
    <row r="1244" spans="1:14" x14ac:dyDescent="0.35">
      <c r="A1244" s="102" t="str">
        <f t="shared" si="80"/>
        <v/>
      </c>
      <c r="G1244" s="14" t="e">
        <f>VLOOKUP(F1244,'Accident &amp; Incident Detail'!$D$3:$E$4153,2,FALSE)</f>
        <v>#N/A</v>
      </c>
      <c r="M1244" s="79" t="str">
        <f t="shared" si="81"/>
        <v/>
      </c>
      <c r="N1244" s="14">
        <f t="shared" si="82"/>
        <v>3</v>
      </c>
    </row>
    <row r="1245" spans="1:14" x14ac:dyDescent="0.35">
      <c r="A1245" s="102" t="str">
        <f t="shared" si="80"/>
        <v/>
      </c>
      <c r="G1245" s="14" t="e">
        <f>VLOOKUP(F1245,'Accident &amp; Incident Detail'!$D$3:$E$4153,2,FALSE)</f>
        <v>#N/A</v>
      </c>
      <c r="M1245" s="79" t="str">
        <f t="shared" si="81"/>
        <v/>
      </c>
      <c r="N1245" s="14">
        <f t="shared" si="82"/>
        <v>3</v>
      </c>
    </row>
    <row r="1246" spans="1:14" x14ac:dyDescent="0.35">
      <c r="A1246" s="102" t="str">
        <f t="shared" si="80"/>
        <v/>
      </c>
      <c r="G1246" s="14" t="e">
        <f>VLOOKUP(F1246,'Accident &amp; Incident Detail'!$D$3:$E$4153,2,FALSE)</f>
        <v>#N/A</v>
      </c>
      <c r="M1246" s="79" t="str">
        <f t="shared" si="81"/>
        <v/>
      </c>
      <c r="N1246" s="14">
        <f t="shared" si="82"/>
        <v>3</v>
      </c>
    </row>
    <row r="1247" spans="1:14" x14ac:dyDescent="0.35">
      <c r="A1247" s="102" t="str">
        <f t="shared" si="80"/>
        <v/>
      </c>
      <c r="G1247" s="14" t="e">
        <f>VLOOKUP(F1247,'Accident &amp; Incident Detail'!$D$3:$E$4153,2,FALSE)</f>
        <v>#N/A</v>
      </c>
      <c r="M1247" s="79" t="str">
        <f t="shared" si="81"/>
        <v/>
      </c>
      <c r="N1247" s="14">
        <f t="shared" si="82"/>
        <v>3</v>
      </c>
    </row>
    <row r="1248" spans="1:14" x14ac:dyDescent="0.35">
      <c r="A1248" s="102" t="str">
        <f t="shared" si="80"/>
        <v/>
      </c>
      <c r="G1248" s="14" t="e">
        <f>VLOOKUP(F1248,'Accident &amp; Incident Detail'!$D$3:$E$4153,2,FALSE)</f>
        <v>#N/A</v>
      </c>
      <c r="M1248" s="79" t="str">
        <f t="shared" si="81"/>
        <v/>
      </c>
      <c r="N1248" s="14">
        <f t="shared" si="82"/>
        <v>3</v>
      </c>
    </row>
    <row r="1249" spans="1:14" x14ac:dyDescent="0.35">
      <c r="A1249" s="102" t="str">
        <f t="shared" si="80"/>
        <v/>
      </c>
      <c r="G1249" s="14" t="e">
        <f>VLOOKUP(F1249,'Accident &amp; Incident Detail'!$D$3:$E$4153,2,FALSE)</f>
        <v>#N/A</v>
      </c>
      <c r="M1249" s="79" t="str">
        <f t="shared" si="81"/>
        <v/>
      </c>
      <c r="N1249" s="14">
        <f t="shared" si="82"/>
        <v>3</v>
      </c>
    </row>
    <row r="1250" spans="1:14" x14ac:dyDescent="0.35">
      <c r="A1250" s="102" t="str">
        <f t="shared" si="80"/>
        <v/>
      </c>
      <c r="G1250" s="14" t="e">
        <f>VLOOKUP(F1250,'Accident &amp; Incident Detail'!$D$3:$E$4153,2,FALSE)</f>
        <v>#N/A</v>
      </c>
      <c r="M1250" s="79" t="str">
        <f t="shared" si="81"/>
        <v/>
      </c>
      <c r="N1250" s="14">
        <f t="shared" si="82"/>
        <v>3</v>
      </c>
    </row>
    <row r="1251" spans="1:14" x14ac:dyDescent="0.35">
      <c r="A1251" s="102" t="str">
        <f t="shared" si="80"/>
        <v/>
      </c>
      <c r="G1251" s="14" t="e">
        <f>VLOOKUP(F1251,'Accident &amp; Incident Detail'!$D$3:$E$4153,2,FALSE)</f>
        <v>#N/A</v>
      </c>
      <c r="M1251" s="79" t="str">
        <f t="shared" si="81"/>
        <v/>
      </c>
      <c r="N1251" s="14">
        <f t="shared" si="82"/>
        <v>3</v>
      </c>
    </row>
    <row r="1252" spans="1:14" x14ac:dyDescent="0.35">
      <c r="A1252" s="102" t="str">
        <f t="shared" si="80"/>
        <v/>
      </c>
      <c r="G1252" s="14" t="e">
        <f>VLOOKUP(F1252,'Accident &amp; Incident Detail'!$D$3:$E$4153,2,FALSE)</f>
        <v>#N/A</v>
      </c>
      <c r="M1252" s="79" t="str">
        <f t="shared" si="81"/>
        <v/>
      </c>
      <c r="N1252" s="14">
        <f t="shared" si="82"/>
        <v>3</v>
      </c>
    </row>
    <row r="1253" spans="1:14" x14ac:dyDescent="0.35">
      <c r="A1253" s="102" t="str">
        <f t="shared" si="80"/>
        <v/>
      </c>
      <c r="G1253" s="14" t="e">
        <f>VLOOKUP(F1253,'Accident &amp; Incident Detail'!$D$3:$E$4153,2,FALSE)</f>
        <v>#N/A</v>
      </c>
      <c r="M1253" s="79" t="str">
        <f t="shared" si="81"/>
        <v/>
      </c>
      <c r="N1253" s="14">
        <f t="shared" si="82"/>
        <v>3</v>
      </c>
    </row>
    <row r="1254" spans="1:14" x14ac:dyDescent="0.35">
      <c r="A1254" s="102" t="str">
        <f t="shared" ref="A1254:A1317" si="83">IF(O1254&gt;1,"Closed",IF(N1254=1,"Overdue",IF(N1254=3,"","Open")))</f>
        <v/>
      </c>
      <c r="G1254" s="14" t="e">
        <f>VLOOKUP(F1254,'Accident &amp; Incident Detail'!$D$3:$E$4153,2,FALSE)</f>
        <v>#N/A</v>
      </c>
      <c r="M1254" s="79" t="str">
        <f t="shared" si="81"/>
        <v/>
      </c>
      <c r="N1254" s="14">
        <f t="shared" si="82"/>
        <v>3</v>
      </c>
    </row>
    <row r="1255" spans="1:14" x14ac:dyDescent="0.35">
      <c r="A1255" s="102" t="str">
        <f t="shared" si="83"/>
        <v/>
      </c>
      <c r="G1255" s="14" t="e">
        <f>VLOOKUP(F1255,'Accident &amp; Incident Detail'!$D$3:$E$4153,2,FALSE)</f>
        <v>#N/A</v>
      </c>
      <c r="M1255" s="79" t="str">
        <f t="shared" si="81"/>
        <v/>
      </c>
      <c r="N1255" s="14">
        <f t="shared" si="82"/>
        <v>3</v>
      </c>
    </row>
    <row r="1256" spans="1:14" x14ac:dyDescent="0.35">
      <c r="A1256" s="102" t="str">
        <f t="shared" si="83"/>
        <v/>
      </c>
      <c r="G1256" s="14" t="e">
        <f>VLOOKUP(F1256,'Accident &amp; Incident Detail'!$D$3:$E$4153,2,FALSE)</f>
        <v>#N/A</v>
      </c>
      <c r="M1256" s="79" t="str">
        <f t="shared" si="81"/>
        <v/>
      </c>
      <c r="N1256" s="14">
        <f t="shared" si="82"/>
        <v>3</v>
      </c>
    </row>
    <row r="1257" spans="1:14" x14ac:dyDescent="0.35">
      <c r="A1257" s="102" t="str">
        <f t="shared" si="83"/>
        <v/>
      </c>
      <c r="G1257" s="14" t="e">
        <f>VLOOKUP(F1257,'Accident &amp; Incident Detail'!$D$3:$E$4153,2,FALSE)</f>
        <v>#N/A</v>
      </c>
      <c r="M1257" s="79" t="str">
        <f t="shared" si="81"/>
        <v/>
      </c>
      <c r="N1257" s="14">
        <f t="shared" si="82"/>
        <v>3</v>
      </c>
    </row>
    <row r="1258" spans="1:14" x14ac:dyDescent="0.35">
      <c r="A1258" s="102" t="str">
        <f t="shared" si="83"/>
        <v/>
      </c>
      <c r="G1258" s="14" t="e">
        <f>VLOOKUP(F1258,'Accident &amp; Incident Detail'!$D$3:$E$4153,2,FALSE)</f>
        <v>#N/A</v>
      </c>
      <c r="M1258" s="79" t="str">
        <f t="shared" si="81"/>
        <v/>
      </c>
      <c r="N1258" s="14">
        <f t="shared" si="82"/>
        <v>3</v>
      </c>
    </row>
    <row r="1259" spans="1:14" x14ac:dyDescent="0.35">
      <c r="A1259" s="102" t="str">
        <f t="shared" si="83"/>
        <v/>
      </c>
      <c r="G1259" s="14" t="e">
        <f>VLOOKUP(F1259,'Accident &amp; Incident Detail'!$D$3:$E$4153,2,FALSE)</f>
        <v>#N/A</v>
      </c>
      <c r="M1259" s="79" t="str">
        <f t="shared" si="81"/>
        <v/>
      </c>
      <c r="N1259" s="14">
        <f t="shared" si="82"/>
        <v>3</v>
      </c>
    </row>
    <row r="1260" spans="1:14" x14ac:dyDescent="0.35">
      <c r="A1260" s="102" t="str">
        <f t="shared" si="83"/>
        <v/>
      </c>
      <c r="G1260" s="14" t="e">
        <f>VLOOKUP(F1260,'Accident &amp; Incident Detail'!$D$3:$E$4153,2,FALSE)</f>
        <v>#N/A</v>
      </c>
      <c r="M1260" s="79" t="str">
        <f t="shared" si="81"/>
        <v/>
      </c>
      <c r="N1260" s="14">
        <f t="shared" si="82"/>
        <v>3</v>
      </c>
    </row>
    <row r="1261" spans="1:14" x14ac:dyDescent="0.35">
      <c r="A1261" s="102" t="str">
        <f t="shared" si="83"/>
        <v/>
      </c>
      <c r="G1261" s="14" t="e">
        <f>VLOOKUP(F1261,'Accident &amp; Incident Detail'!$D$3:$E$4153,2,FALSE)</f>
        <v>#N/A</v>
      </c>
      <c r="M1261" s="79" t="str">
        <f t="shared" ref="M1261:M1324" si="84">IF(D1261="","",D1261+28)</f>
        <v/>
      </c>
      <c r="N1261" s="14">
        <f t="shared" ref="N1261:N1324" si="85">IF(D1261="",3,IF(M1261&lt;$A$2,1,0))</f>
        <v>3</v>
      </c>
    </row>
    <row r="1262" spans="1:14" x14ac:dyDescent="0.35">
      <c r="A1262" s="102" t="str">
        <f t="shared" si="83"/>
        <v/>
      </c>
      <c r="G1262" s="14" t="e">
        <f>VLOOKUP(F1262,'Accident &amp; Incident Detail'!$D$3:$E$4153,2,FALSE)</f>
        <v>#N/A</v>
      </c>
      <c r="M1262" s="79" t="str">
        <f t="shared" si="84"/>
        <v/>
      </c>
      <c r="N1262" s="14">
        <f t="shared" si="85"/>
        <v>3</v>
      </c>
    </row>
    <row r="1263" spans="1:14" x14ac:dyDescent="0.35">
      <c r="A1263" s="102" t="str">
        <f t="shared" si="83"/>
        <v/>
      </c>
      <c r="G1263" s="14" t="e">
        <f>VLOOKUP(F1263,'Accident &amp; Incident Detail'!$D$3:$E$4153,2,FALSE)</f>
        <v>#N/A</v>
      </c>
      <c r="M1263" s="79" t="str">
        <f t="shared" si="84"/>
        <v/>
      </c>
      <c r="N1263" s="14">
        <f t="shared" si="85"/>
        <v>3</v>
      </c>
    </row>
    <row r="1264" spans="1:14" x14ac:dyDescent="0.35">
      <c r="A1264" s="102" t="str">
        <f t="shared" si="83"/>
        <v/>
      </c>
      <c r="G1264" s="14" t="e">
        <f>VLOOKUP(F1264,'Accident &amp; Incident Detail'!$D$3:$E$4153,2,FALSE)</f>
        <v>#N/A</v>
      </c>
      <c r="M1264" s="79" t="str">
        <f t="shared" si="84"/>
        <v/>
      </c>
      <c r="N1264" s="14">
        <f t="shared" si="85"/>
        <v>3</v>
      </c>
    </row>
    <row r="1265" spans="1:14" x14ac:dyDescent="0.35">
      <c r="A1265" s="102" t="str">
        <f t="shared" si="83"/>
        <v/>
      </c>
      <c r="G1265" s="14" t="e">
        <f>VLOOKUP(F1265,'Accident &amp; Incident Detail'!$D$3:$E$4153,2,FALSE)</f>
        <v>#N/A</v>
      </c>
      <c r="M1265" s="79" t="str">
        <f t="shared" si="84"/>
        <v/>
      </c>
      <c r="N1265" s="14">
        <f t="shared" si="85"/>
        <v>3</v>
      </c>
    </row>
    <row r="1266" spans="1:14" x14ac:dyDescent="0.35">
      <c r="A1266" s="102" t="str">
        <f t="shared" si="83"/>
        <v/>
      </c>
      <c r="G1266" s="14" t="e">
        <f>VLOOKUP(F1266,'Accident &amp; Incident Detail'!$D$3:$E$4153,2,FALSE)</f>
        <v>#N/A</v>
      </c>
      <c r="M1266" s="79" t="str">
        <f t="shared" si="84"/>
        <v/>
      </c>
      <c r="N1266" s="14">
        <f t="shared" si="85"/>
        <v>3</v>
      </c>
    </row>
    <row r="1267" spans="1:14" x14ac:dyDescent="0.35">
      <c r="A1267" s="102" t="str">
        <f t="shared" si="83"/>
        <v/>
      </c>
      <c r="G1267" s="14" t="e">
        <f>VLOOKUP(F1267,'Accident &amp; Incident Detail'!$D$3:$E$4153,2,FALSE)</f>
        <v>#N/A</v>
      </c>
      <c r="M1267" s="79" t="str">
        <f t="shared" si="84"/>
        <v/>
      </c>
      <c r="N1267" s="14">
        <f t="shared" si="85"/>
        <v>3</v>
      </c>
    </row>
    <row r="1268" spans="1:14" x14ac:dyDescent="0.35">
      <c r="A1268" s="102" t="str">
        <f t="shared" si="83"/>
        <v/>
      </c>
      <c r="G1268" s="14" t="e">
        <f>VLOOKUP(F1268,'Accident &amp; Incident Detail'!$D$3:$E$4153,2,FALSE)</f>
        <v>#N/A</v>
      </c>
      <c r="M1268" s="79" t="str">
        <f t="shared" si="84"/>
        <v/>
      </c>
      <c r="N1268" s="14">
        <f t="shared" si="85"/>
        <v>3</v>
      </c>
    </row>
    <row r="1269" spans="1:14" x14ac:dyDescent="0.35">
      <c r="A1269" s="102" t="str">
        <f t="shared" si="83"/>
        <v/>
      </c>
      <c r="G1269" s="14" t="e">
        <f>VLOOKUP(F1269,'Accident &amp; Incident Detail'!$D$3:$E$4153,2,FALSE)</f>
        <v>#N/A</v>
      </c>
      <c r="M1269" s="79" t="str">
        <f t="shared" si="84"/>
        <v/>
      </c>
      <c r="N1269" s="14">
        <f t="shared" si="85"/>
        <v>3</v>
      </c>
    </row>
    <row r="1270" spans="1:14" x14ac:dyDescent="0.35">
      <c r="A1270" s="102" t="str">
        <f t="shared" si="83"/>
        <v/>
      </c>
      <c r="G1270" s="14" t="e">
        <f>VLOOKUP(F1270,'Accident &amp; Incident Detail'!$D$3:$E$4153,2,FALSE)</f>
        <v>#N/A</v>
      </c>
      <c r="M1270" s="79" t="str">
        <f t="shared" si="84"/>
        <v/>
      </c>
      <c r="N1270" s="14">
        <f t="shared" si="85"/>
        <v>3</v>
      </c>
    </row>
    <row r="1271" spans="1:14" x14ac:dyDescent="0.35">
      <c r="A1271" s="102" t="str">
        <f t="shared" si="83"/>
        <v/>
      </c>
      <c r="G1271" s="14" t="e">
        <f>VLOOKUP(F1271,'Accident &amp; Incident Detail'!$D$3:$E$4153,2,FALSE)</f>
        <v>#N/A</v>
      </c>
      <c r="M1271" s="79" t="str">
        <f t="shared" si="84"/>
        <v/>
      </c>
      <c r="N1271" s="14">
        <f t="shared" si="85"/>
        <v>3</v>
      </c>
    </row>
    <row r="1272" spans="1:14" x14ac:dyDescent="0.35">
      <c r="A1272" s="102" t="str">
        <f t="shared" si="83"/>
        <v/>
      </c>
      <c r="G1272" s="14" t="e">
        <f>VLOOKUP(F1272,'Accident &amp; Incident Detail'!$D$3:$E$4153,2,FALSE)</f>
        <v>#N/A</v>
      </c>
      <c r="M1272" s="79" t="str">
        <f t="shared" si="84"/>
        <v/>
      </c>
      <c r="N1272" s="14">
        <f t="shared" si="85"/>
        <v>3</v>
      </c>
    </row>
    <row r="1273" spans="1:14" x14ac:dyDescent="0.35">
      <c r="A1273" s="102" t="str">
        <f t="shared" si="83"/>
        <v/>
      </c>
      <c r="G1273" s="14" t="e">
        <f>VLOOKUP(F1273,'Accident &amp; Incident Detail'!$D$3:$E$4153,2,FALSE)</f>
        <v>#N/A</v>
      </c>
      <c r="M1273" s="79" t="str">
        <f t="shared" si="84"/>
        <v/>
      </c>
      <c r="N1273" s="14">
        <f t="shared" si="85"/>
        <v>3</v>
      </c>
    </row>
    <row r="1274" spans="1:14" x14ac:dyDescent="0.35">
      <c r="A1274" s="102" t="str">
        <f t="shared" si="83"/>
        <v/>
      </c>
      <c r="G1274" s="14" t="e">
        <f>VLOOKUP(F1274,'Accident &amp; Incident Detail'!$D$3:$E$4153,2,FALSE)</f>
        <v>#N/A</v>
      </c>
      <c r="M1274" s="79" t="str">
        <f t="shared" si="84"/>
        <v/>
      </c>
      <c r="N1274" s="14">
        <f t="shared" si="85"/>
        <v>3</v>
      </c>
    </row>
    <row r="1275" spans="1:14" x14ac:dyDescent="0.35">
      <c r="A1275" s="102" t="str">
        <f t="shared" si="83"/>
        <v/>
      </c>
      <c r="G1275" s="14" t="e">
        <f>VLOOKUP(F1275,'Accident &amp; Incident Detail'!$D$3:$E$4153,2,FALSE)</f>
        <v>#N/A</v>
      </c>
      <c r="M1275" s="79" t="str">
        <f t="shared" si="84"/>
        <v/>
      </c>
      <c r="N1275" s="14">
        <f t="shared" si="85"/>
        <v>3</v>
      </c>
    </row>
    <row r="1276" spans="1:14" x14ac:dyDescent="0.35">
      <c r="A1276" s="102" t="str">
        <f t="shared" si="83"/>
        <v/>
      </c>
      <c r="G1276" s="14" t="e">
        <f>VLOOKUP(F1276,'Accident &amp; Incident Detail'!$D$3:$E$4153,2,FALSE)</f>
        <v>#N/A</v>
      </c>
      <c r="M1276" s="79" t="str">
        <f t="shared" si="84"/>
        <v/>
      </c>
      <c r="N1276" s="14">
        <f t="shared" si="85"/>
        <v>3</v>
      </c>
    </row>
    <row r="1277" spans="1:14" x14ac:dyDescent="0.35">
      <c r="A1277" s="102" t="str">
        <f t="shared" si="83"/>
        <v/>
      </c>
      <c r="G1277" s="14" t="e">
        <f>VLOOKUP(F1277,'Accident &amp; Incident Detail'!$D$3:$E$4153,2,FALSE)</f>
        <v>#N/A</v>
      </c>
      <c r="M1277" s="79" t="str">
        <f t="shared" si="84"/>
        <v/>
      </c>
      <c r="N1277" s="14">
        <f t="shared" si="85"/>
        <v>3</v>
      </c>
    </row>
    <row r="1278" spans="1:14" x14ac:dyDescent="0.35">
      <c r="A1278" s="102" t="str">
        <f t="shared" si="83"/>
        <v/>
      </c>
      <c r="G1278" s="14" t="e">
        <f>VLOOKUP(F1278,'Accident &amp; Incident Detail'!$D$3:$E$4153,2,FALSE)</f>
        <v>#N/A</v>
      </c>
      <c r="M1278" s="79" t="str">
        <f t="shared" si="84"/>
        <v/>
      </c>
      <c r="N1278" s="14">
        <f t="shared" si="85"/>
        <v>3</v>
      </c>
    </row>
    <row r="1279" spans="1:14" x14ac:dyDescent="0.35">
      <c r="A1279" s="102" t="str">
        <f t="shared" si="83"/>
        <v/>
      </c>
      <c r="G1279" s="14" t="e">
        <f>VLOOKUP(F1279,'Accident &amp; Incident Detail'!$D$3:$E$4153,2,FALSE)</f>
        <v>#N/A</v>
      </c>
      <c r="M1279" s="79" t="str">
        <f t="shared" si="84"/>
        <v/>
      </c>
      <c r="N1279" s="14">
        <f t="shared" si="85"/>
        <v>3</v>
      </c>
    </row>
    <row r="1280" spans="1:14" x14ac:dyDescent="0.35">
      <c r="A1280" s="102" t="str">
        <f t="shared" si="83"/>
        <v/>
      </c>
      <c r="G1280" s="14" t="e">
        <f>VLOOKUP(F1280,'Accident &amp; Incident Detail'!$D$3:$E$4153,2,FALSE)</f>
        <v>#N/A</v>
      </c>
      <c r="M1280" s="79" t="str">
        <f t="shared" si="84"/>
        <v/>
      </c>
      <c r="N1280" s="14">
        <f t="shared" si="85"/>
        <v>3</v>
      </c>
    </row>
    <row r="1281" spans="1:14" x14ac:dyDescent="0.35">
      <c r="A1281" s="102" t="str">
        <f t="shared" si="83"/>
        <v/>
      </c>
      <c r="G1281" s="14" t="e">
        <f>VLOOKUP(F1281,'Accident &amp; Incident Detail'!$D$3:$E$4153,2,FALSE)</f>
        <v>#N/A</v>
      </c>
      <c r="M1281" s="79" t="str">
        <f t="shared" si="84"/>
        <v/>
      </c>
      <c r="N1281" s="14">
        <f t="shared" si="85"/>
        <v>3</v>
      </c>
    </row>
    <row r="1282" spans="1:14" x14ac:dyDescent="0.35">
      <c r="A1282" s="102" t="str">
        <f t="shared" si="83"/>
        <v/>
      </c>
      <c r="G1282" s="14" t="e">
        <f>VLOOKUP(F1282,'Accident &amp; Incident Detail'!$D$3:$E$4153,2,FALSE)</f>
        <v>#N/A</v>
      </c>
      <c r="M1282" s="79" t="str">
        <f t="shared" si="84"/>
        <v/>
      </c>
      <c r="N1282" s="14">
        <f t="shared" si="85"/>
        <v>3</v>
      </c>
    </row>
    <row r="1283" spans="1:14" x14ac:dyDescent="0.35">
      <c r="A1283" s="102" t="str">
        <f t="shared" si="83"/>
        <v/>
      </c>
      <c r="G1283" s="14" t="e">
        <f>VLOOKUP(F1283,'Accident &amp; Incident Detail'!$D$3:$E$4153,2,FALSE)</f>
        <v>#N/A</v>
      </c>
      <c r="M1283" s="79" t="str">
        <f t="shared" si="84"/>
        <v/>
      </c>
      <c r="N1283" s="14">
        <f t="shared" si="85"/>
        <v>3</v>
      </c>
    </row>
    <row r="1284" spans="1:14" x14ac:dyDescent="0.35">
      <c r="A1284" s="102" t="str">
        <f t="shared" si="83"/>
        <v/>
      </c>
      <c r="G1284" s="14" t="e">
        <f>VLOOKUP(F1284,'Accident &amp; Incident Detail'!$D$3:$E$4153,2,FALSE)</f>
        <v>#N/A</v>
      </c>
      <c r="M1284" s="79" t="str">
        <f t="shared" si="84"/>
        <v/>
      </c>
      <c r="N1284" s="14">
        <f t="shared" si="85"/>
        <v>3</v>
      </c>
    </row>
    <row r="1285" spans="1:14" x14ac:dyDescent="0.35">
      <c r="A1285" s="102" t="str">
        <f t="shared" si="83"/>
        <v/>
      </c>
      <c r="G1285" s="14" t="e">
        <f>VLOOKUP(F1285,'Accident &amp; Incident Detail'!$D$3:$E$4153,2,FALSE)</f>
        <v>#N/A</v>
      </c>
      <c r="M1285" s="79" t="str">
        <f t="shared" si="84"/>
        <v/>
      </c>
      <c r="N1285" s="14">
        <f t="shared" si="85"/>
        <v>3</v>
      </c>
    </row>
    <row r="1286" spans="1:14" x14ac:dyDescent="0.35">
      <c r="A1286" s="102" t="str">
        <f t="shared" si="83"/>
        <v/>
      </c>
      <c r="G1286" s="14" t="e">
        <f>VLOOKUP(F1286,'Accident &amp; Incident Detail'!$D$3:$E$4153,2,FALSE)</f>
        <v>#N/A</v>
      </c>
      <c r="M1286" s="79" t="str">
        <f t="shared" si="84"/>
        <v/>
      </c>
      <c r="N1286" s="14">
        <f t="shared" si="85"/>
        <v>3</v>
      </c>
    </row>
    <row r="1287" spans="1:14" x14ac:dyDescent="0.35">
      <c r="A1287" s="102" t="str">
        <f t="shared" si="83"/>
        <v/>
      </c>
      <c r="G1287" s="14" t="e">
        <f>VLOOKUP(F1287,'Accident &amp; Incident Detail'!$D$3:$E$4153,2,FALSE)</f>
        <v>#N/A</v>
      </c>
      <c r="M1287" s="79" t="str">
        <f t="shared" si="84"/>
        <v/>
      </c>
      <c r="N1287" s="14">
        <f t="shared" si="85"/>
        <v>3</v>
      </c>
    </row>
    <row r="1288" spans="1:14" x14ac:dyDescent="0.35">
      <c r="A1288" s="102" t="str">
        <f t="shared" si="83"/>
        <v/>
      </c>
      <c r="G1288" s="14" t="e">
        <f>VLOOKUP(F1288,'Accident &amp; Incident Detail'!$D$3:$E$4153,2,FALSE)</f>
        <v>#N/A</v>
      </c>
      <c r="M1288" s="79" t="str">
        <f t="shared" si="84"/>
        <v/>
      </c>
      <c r="N1288" s="14">
        <f t="shared" si="85"/>
        <v>3</v>
      </c>
    </row>
    <row r="1289" spans="1:14" x14ac:dyDescent="0.35">
      <c r="A1289" s="102" t="str">
        <f t="shared" si="83"/>
        <v/>
      </c>
      <c r="G1289" s="14" t="e">
        <f>VLOOKUP(F1289,'Accident &amp; Incident Detail'!$D$3:$E$4153,2,FALSE)</f>
        <v>#N/A</v>
      </c>
      <c r="M1289" s="79" t="str">
        <f t="shared" si="84"/>
        <v/>
      </c>
      <c r="N1289" s="14">
        <f t="shared" si="85"/>
        <v>3</v>
      </c>
    </row>
    <row r="1290" spans="1:14" x14ac:dyDescent="0.35">
      <c r="A1290" s="102" t="str">
        <f t="shared" si="83"/>
        <v/>
      </c>
      <c r="G1290" s="14" t="e">
        <f>VLOOKUP(F1290,'Accident &amp; Incident Detail'!$D$3:$E$4153,2,FALSE)</f>
        <v>#N/A</v>
      </c>
      <c r="M1290" s="79" t="str">
        <f t="shared" si="84"/>
        <v/>
      </c>
      <c r="N1290" s="14">
        <f t="shared" si="85"/>
        <v>3</v>
      </c>
    </row>
    <row r="1291" spans="1:14" x14ac:dyDescent="0.35">
      <c r="A1291" s="102" t="str">
        <f t="shared" si="83"/>
        <v/>
      </c>
      <c r="G1291" s="14" t="e">
        <f>VLOOKUP(F1291,'Accident &amp; Incident Detail'!$D$3:$E$4153,2,FALSE)</f>
        <v>#N/A</v>
      </c>
      <c r="M1291" s="79" t="str">
        <f t="shared" si="84"/>
        <v/>
      </c>
      <c r="N1291" s="14">
        <f t="shared" si="85"/>
        <v>3</v>
      </c>
    </row>
    <row r="1292" spans="1:14" x14ac:dyDescent="0.35">
      <c r="A1292" s="102" t="str">
        <f t="shared" si="83"/>
        <v/>
      </c>
      <c r="G1292" s="14" t="e">
        <f>VLOOKUP(F1292,'Accident &amp; Incident Detail'!$D$3:$E$4153,2,FALSE)</f>
        <v>#N/A</v>
      </c>
      <c r="M1292" s="79" t="str">
        <f t="shared" si="84"/>
        <v/>
      </c>
      <c r="N1292" s="14">
        <f t="shared" si="85"/>
        <v>3</v>
      </c>
    </row>
    <row r="1293" spans="1:14" x14ac:dyDescent="0.35">
      <c r="A1293" s="102" t="str">
        <f t="shared" si="83"/>
        <v/>
      </c>
      <c r="G1293" s="14" t="e">
        <f>VLOOKUP(F1293,'Accident &amp; Incident Detail'!$D$3:$E$4153,2,FALSE)</f>
        <v>#N/A</v>
      </c>
      <c r="M1293" s="79" t="str">
        <f t="shared" si="84"/>
        <v/>
      </c>
      <c r="N1293" s="14">
        <f t="shared" si="85"/>
        <v>3</v>
      </c>
    </row>
    <row r="1294" spans="1:14" x14ac:dyDescent="0.35">
      <c r="A1294" s="102" t="str">
        <f t="shared" si="83"/>
        <v/>
      </c>
      <c r="G1294" s="14" t="e">
        <f>VLOOKUP(F1294,'Accident &amp; Incident Detail'!$D$3:$E$4153,2,FALSE)</f>
        <v>#N/A</v>
      </c>
      <c r="M1294" s="79" t="str">
        <f t="shared" si="84"/>
        <v/>
      </c>
      <c r="N1294" s="14">
        <f t="shared" si="85"/>
        <v>3</v>
      </c>
    </row>
    <row r="1295" spans="1:14" x14ac:dyDescent="0.35">
      <c r="A1295" s="102" t="str">
        <f t="shared" si="83"/>
        <v/>
      </c>
      <c r="G1295" s="14" t="e">
        <f>VLOOKUP(F1295,'Accident &amp; Incident Detail'!$D$3:$E$4153,2,FALSE)</f>
        <v>#N/A</v>
      </c>
      <c r="M1295" s="79" t="str">
        <f t="shared" si="84"/>
        <v/>
      </c>
      <c r="N1295" s="14">
        <f t="shared" si="85"/>
        <v>3</v>
      </c>
    </row>
    <row r="1296" spans="1:14" x14ac:dyDescent="0.35">
      <c r="A1296" s="102" t="str">
        <f t="shared" si="83"/>
        <v/>
      </c>
      <c r="G1296" s="14" t="e">
        <f>VLOOKUP(F1296,'Accident &amp; Incident Detail'!$D$3:$E$4153,2,FALSE)</f>
        <v>#N/A</v>
      </c>
      <c r="M1296" s="79" t="str">
        <f t="shared" si="84"/>
        <v/>
      </c>
      <c r="N1296" s="14">
        <f t="shared" si="85"/>
        <v>3</v>
      </c>
    </row>
    <row r="1297" spans="1:14" x14ac:dyDescent="0.35">
      <c r="A1297" s="102" t="str">
        <f t="shared" si="83"/>
        <v/>
      </c>
      <c r="G1297" s="14" t="e">
        <f>VLOOKUP(F1297,'Accident &amp; Incident Detail'!$D$3:$E$4153,2,FALSE)</f>
        <v>#N/A</v>
      </c>
      <c r="M1297" s="79" t="str">
        <f t="shared" si="84"/>
        <v/>
      </c>
      <c r="N1297" s="14">
        <f t="shared" si="85"/>
        <v>3</v>
      </c>
    </row>
    <row r="1298" spans="1:14" x14ac:dyDescent="0.35">
      <c r="A1298" s="102" t="str">
        <f t="shared" si="83"/>
        <v/>
      </c>
      <c r="G1298" s="14" t="e">
        <f>VLOOKUP(F1298,'Accident &amp; Incident Detail'!$D$3:$E$4153,2,FALSE)</f>
        <v>#N/A</v>
      </c>
      <c r="M1298" s="79" t="str">
        <f t="shared" si="84"/>
        <v/>
      </c>
      <c r="N1298" s="14">
        <f t="shared" si="85"/>
        <v>3</v>
      </c>
    </row>
    <row r="1299" spans="1:14" x14ac:dyDescent="0.35">
      <c r="A1299" s="102" t="str">
        <f t="shared" si="83"/>
        <v/>
      </c>
      <c r="G1299" s="14" t="e">
        <f>VLOOKUP(F1299,'Accident &amp; Incident Detail'!$D$3:$E$4153,2,FALSE)</f>
        <v>#N/A</v>
      </c>
      <c r="M1299" s="79" t="str">
        <f t="shared" si="84"/>
        <v/>
      </c>
      <c r="N1299" s="14">
        <f t="shared" si="85"/>
        <v>3</v>
      </c>
    </row>
    <row r="1300" spans="1:14" x14ac:dyDescent="0.35">
      <c r="A1300" s="102" t="str">
        <f t="shared" si="83"/>
        <v/>
      </c>
      <c r="G1300" s="14" t="e">
        <f>VLOOKUP(F1300,'Accident &amp; Incident Detail'!$D$3:$E$4153,2,FALSE)</f>
        <v>#N/A</v>
      </c>
      <c r="M1300" s="79" t="str">
        <f t="shared" si="84"/>
        <v/>
      </c>
      <c r="N1300" s="14">
        <f t="shared" si="85"/>
        <v>3</v>
      </c>
    </row>
    <row r="1301" spans="1:14" x14ac:dyDescent="0.35">
      <c r="A1301" s="102" t="str">
        <f t="shared" si="83"/>
        <v/>
      </c>
      <c r="G1301" s="14" t="e">
        <f>VLOOKUP(F1301,'Accident &amp; Incident Detail'!$D$3:$E$4153,2,FALSE)</f>
        <v>#N/A</v>
      </c>
      <c r="M1301" s="79" t="str">
        <f t="shared" si="84"/>
        <v/>
      </c>
      <c r="N1301" s="14">
        <f t="shared" si="85"/>
        <v>3</v>
      </c>
    </row>
    <row r="1302" spans="1:14" x14ac:dyDescent="0.35">
      <c r="A1302" s="102" t="str">
        <f t="shared" si="83"/>
        <v/>
      </c>
      <c r="G1302" s="14" t="e">
        <f>VLOOKUP(F1302,'Accident &amp; Incident Detail'!$D$3:$E$4153,2,FALSE)</f>
        <v>#N/A</v>
      </c>
      <c r="M1302" s="79" t="str">
        <f t="shared" si="84"/>
        <v/>
      </c>
      <c r="N1302" s="14">
        <f t="shared" si="85"/>
        <v>3</v>
      </c>
    </row>
    <row r="1303" spans="1:14" x14ac:dyDescent="0.35">
      <c r="A1303" s="102" t="str">
        <f t="shared" si="83"/>
        <v/>
      </c>
      <c r="G1303" s="14" t="e">
        <f>VLOOKUP(F1303,'Accident &amp; Incident Detail'!$D$3:$E$4153,2,FALSE)</f>
        <v>#N/A</v>
      </c>
      <c r="M1303" s="79" t="str">
        <f t="shared" si="84"/>
        <v/>
      </c>
      <c r="N1303" s="14">
        <f t="shared" si="85"/>
        <v>3</v>
      </c>
    </row>
    <row r="1304" spans="1:14" x14ac:dyDescent="0.35">
      <c r="A1304" s="102" t="str">
        <f t="shared" si="83"/>
        <v/>
      </c>
      <c r="G1304" s="14" t="e">
        <f>VLOOKUP(F1304,'Accident &amp; Incident Detail'!$D$3:$E$4153,2,FALSE)</f>
        <v>#N/A</v>
      </c>
      <c r="M1304" s="79" t="str">
        <f t="shared" si="84"/>
        <v/>
      </c>
      <c r="N1304" s="14">
        <f t="shared" si="85"/>
        <v>3</v>
      </c>
    </row>
    <row r="1305" spans="1:14" x14ac:dyDescent="0.35">
      <c r="A1305" s="102" t="str">
        <f t="shared" si="83"/>
        <v/>
      </c>
      <c r="G1305" s="14" t="e">
        <f>VLOOKUP(F1305,'Accident &amp; Incident Detail'!$D$3:$E$4153,2,FALSE)</f>
        <v>#N/A</v>
      </c>
      <c r="M1305" s="79" t="str">
        <f t="shared" si="84"/>
        <v/>
      </c>
      <c r="N1305" s="14">
        <f t="shared" si="85"/>
        <v>3</v>
      </c>
    </row>
    <row r="1306" spans="1:14" x14ac:dyDescent="0.35">
      <c r="A1306" s="102" t="str">
        <f t="shared" si="83"/>
        <v/>
      </c>
      <c r="G1306" s="14" t="e">
        <f>VLOOKUP(F1306,'Accident &amp; Incident Detail'!$D$3:$E$4153,2,FALSE)</f>
        <v>#N/A</v>
      </c>
      <c r="M1306" s="79" t="str">
        <f t="shared" si="84"/>
        <v/>
      </c>
      <c r="N1306" s="14">
        <f t="shared" si="85"/>
        <v>3</v>
      </c>
    </row>
    <row r="1307" spans="1:14" x14ac:dyDescent="0.35">
      <c r="A1307" s="102" t="str">
        <f t="shared" si="83"/>
        <v/>
      </c>
      <c r="G1307" s="14" t="e">
        <f>VLOOKUP(F1307,'Accident &amp; Incident Detail'!$D$3:$E$4153,2,FALSE)</f>
        <v>#N/A</v>
      </c>
      <c r="M1307" s="79" t="str">
        <f t="shared" si="84"/>
        <v/>
      </c>
      <c r="N1307" s="14">
        <f t="shared" si="85"/>
        <v>3</v>
      </c>
    </row>
    <row r="1308" spans="1:14" x14ac:dyDescent="0.35">
      <c r="A1308" s="102" t="str">
        <f t="shared" si="83"/>
        <v/>
      </c>
      <c r="G1308" s="14" t="e">
        <f>VLOOKUP(F1308,'Accident &amp; Incident Detail'!$D$3:$E$4153,2,FALSE)</f>
        <v>#N/A</v>
      </c>
      <c r="M1308" s="79" t="str">
        <f t="shared" si="84"/>
        <v/>
      </c>
      <c r="N1308" s="14">
        <f t="shared" si="85"/>
        <v>3</v>
      </c>
    </row>
    <row r="1309" spans="1:14" x14ac:dyDescent="0.35">
      <c r="A1309" s="102" t="str">
        <f t="shared" si="83"/>
        <v/>
      </c>
      <c r="G1309" s="14" t="e">
        <f>VLOOKUP(F1309,'Accident &amp; Incident Detail'!$D$3:$E$4153,2,FALSE)</f>
        <v>#N/A</v>
      </c>
      <c r="M1309" s="79" t="str">
        <f t="shared" si="84"/>
        <v/>
      </c>
      <c r="N1309" s="14">
        <f t="shared" si="85"/>
        <v>3</v>
      </c>
    </row>
    <row r="1310" spans="1:14" x14ac:dyDescent="0.35">
      <c r="A1310" s="102" t="str">
        <f t="shared" si="83"/>
        <v/>
      </c>
      <c r="G1310" s="14" t="e">
        <f>VLOOKUP(F1310,'Accident &amp; Incident Detail'!$D$3:$E$4153,2,FALSE)</f>
        <v>#N/A</v>
      </c>
      <c r="M1310" s="79" t="str">
        <f t="shared" si="84"/>
        <v/>
      </c>
      <c r="N1310" s="14">
        <f t="shared" si="85"/>
        <v>3</v>
      </c>
    </row>
    <row r="1311" spans="1:14" x14ac:dyDescent="0.35">
      <c r="A1311" s="102" t="str">
        <f t="shared" si="83"/>
        <v/>
      </c>
      <c r="G1311" s="14" t="e">
        <f>VLOOKUP(F1311,'Accident &amp; Incident Detail'!$D$3:$E$4153,2,FALSE)</f>
        <v>#N/A</v>
      </c>
      <c r="M1311" s="79" t="str">
        <f t="shared" si="84"/>
        <v/>
      </c>
      <c r="N1311" s="14">
        <f t="shared" si="85"/>
        <v>3</v>
      </c>
    </row>
    <row r="1312" spans="1:14" x14ac:dyDescent="0.35">
      <c r="A1312" s="102" t="str">
        <f t="shared" si="83"/>
        <v/>
      </c>
      <c r="G1312" s="14" t="e">
        <f>VLOOKUP(F1312,'Accident &amp; Incident Detail'!$D$3:$E$4153,2,FALSE)</f>
        <v>#N/A</v>
      </c>
      <c r="M1312" s="79" t="str">
        <f t="shared" si="84"/>
        <v/>
      </c>
      <c r="N1312" s="14">
        <f t="shared" si="85"/>
        <v>3</v>
      </c>
    </row>
    <row r="1313" spans="1:14" x14ac:dyDescent="0.35">
      <c r="A1313" s="102" t="str">
        <f t="shared" si="83"/>
        <v/>
      </c>
      <c r="G1313" s="14" t="e">
        <f>VLOOKUP(F1313,'Accident &amp; Incident Detail'!$D$3:$E$4153,2,FALSE)</f>
        <v>#N/A</v>
      </c>
      <c r="M1313" s="79" t="str">
        <f t="shared" si="84"/>
        <v/>
      </c>
      <c r="N1313" s="14">
        <f t="shared" si="85"/>
        <v>3</v>
      </c>
    </row>
    <row r="1314" spans="1:14" x14ac:dyDescent="0.35">
      <c r="A1314" s="102" t="str">
        <f t="shared" si="83"/>
        <v/>
      </c>
      <c r="G1314" s="14" t="e">
        <f>VLOOKUP(F1314,'Accident &amp; Incident Detail'!$D$3:$E$4153,2,FALSE)</f>
        <v>#N/A</v>
      </c>
      <c r="M1314" s="79" t="str">
        <f t="shared" si="84"/>
        <v/>
      </c>
      <c r="N1314" s="14">
        <f t="shared" si="85"/>
        <v>3</v>
      </c>
    </row>
    <row r="1315" spans="1:14" x14ac:dyDescent="0.35">
      <c r="A1315" s="102" t="str">
        <f t="shared" si="83"/>
        <v/>
      </c>
      <c r="G1315" s="14" t="e">
        <f>VLOOKUP(F1315,'Accident &amp; Incident Detail'!$D$3:$E$4153,2,FALSE)</f>
        <v>#N/A</v>
      </c>
      <c r="M1315" s="79" t="str">
        <f t="shared" si="84"/>
        <v/>
      </c>
      <c r="N1315" s="14">
        <f t="shared" si="85"/>
        <v>3</v>
      </c>
    </row>
    <row r="1316" spans="1:14" x14ac:dyDescent="0.35">
      <c r="A1316" s="102" t="str">
        <f t="shared" si="83"/>
        <v/>
      </c>
      <c r="G1316" s="14" t="e">
        <f>VLOOKUP(F1316,'Accident &amp; Incident Detail'!$D$3:$E$4153,2,FALSE)</f>
        <v>#N/A</v>
      </c>
      <c r="M1316" s="79" t="str">
        <f t="shared" si="84"/>
        <v/>
      </c>
      <c r="N1316" s="14">
        <f t="shared" si="85"/>
        <v>3</v>
      </c>
    </row>
    <row r="1317" spans="1:14" x14ac:dyDescent="0.35">
      <c r="A1317" s="102" t="str">
        <f t="shared" si="83"/>
        <v/>
      </c>
      <c r="G1317" s="14" t="e">
        <f>VLOOKUP(F1317,'Accident &amp; Incident Detail'!$D$3:$E$4153,2,FALSE)</f>
        <v>#N/A</v>
      </c>
      <c r="M1317" s="79" t="str">
        <f t="shared" si="84"/>
        <v/>
      </c>
      <c r="N1317" s="14">
        <f t="shared" si="85"/>
        <v>3</v>
      </c>
    </row>
    <row r="1318" spans="1:14" x14ac:dyDescent="0.35">
      <c r="A1318" s="102" t="str">
        <f t="shared" ref="A1318:A1381" si="86">IF(O1318&gt;1,"Closed",IF(N1318=1,"Overdue",IF(N1318=3,"","Open")))</f>
        <v/>
      </c>
      <c r="G1318" s="14" t="e">
        <f>VLOOKUP(F1318,'Accident &amp; Incident Detail'!$D$3:$E$4153,2,FALSE)</f>
        <v>#N/A</v>
      </c>
      <c r="M1318" s="79" t="str">
        <f t="shared" si="84"/>
        <v/>
      </c>
      <c r="N1318" s="14">
        <f t="shared" si="85"/>
        <v>3</v>
      </c>
    </row>
    <row r="1319" spans="1:14" x14ac:dyDescent="0.35">
      <c r="A1319" s="102" t="str">
        <f t="shared" si="86"/>
        <v/>
      </c>
      <c r="G1319" s="14" t="e">
        <f>VLOOKUP(F1319,'Accident &amp; Incident Detail'!$D$3:$E$4153,2,FALSE)</f>
        <v>#N/A</v>
      </c>
      <c r="M1319" s="79" t="str">
        <f t="shared" si="84"/>
        <v/>
      </c>
      <c r="N1319" s="14">
        <f t="shared" si="85"/>
        <v>3</v>
      </c>
    </row>
    <row r="1320" spans="1:14" x14ac:dyDescent="0.35">
      <c r="A1320" s="102" t="str">
        <f t="shared" si="86"/>
        <v/>
      </c>
      <c r="G1320" s="14" t="e">
        <f>VLOOKUP(F1320,'Accident &amp; Incident Detail'!$D$3:$E$4153,2,FALSE)</f>
        <v>#N/A</v>
      </c>
      <c r="M1320" s="79" t="str">
        <f t="shared" si="84"/>
        <v/>
      </c>
      <c r="N1320" s="14">
        <f t="shared" si="85"/>
        <v>3</v>
      </c>
    </row>
    <row r="1321" spans="1:14" x14ac:dyDescent="0.35">
      <c r="A1321" s="102" t="str">
        <f t="shared" si="86"/>
        <v/>
      </c>
      <c r="G1321" s="14" t="e">
        <f>VLOOKUP(F1321,'Accident &amp; Incident Detail'!$D$3:$E$4153,2,FALSE)</f>
        <v>#N/A</v>
      </c>
      <c r="M1321" s="79" t="str">
        <f t="shared" si="84"/>
        <v/>
      </c>
      <c r="N1321" s="14">
        <f t="shared" si="85"/>
        <v>3</v>
      </c>
    </row>
    <row r="1322" spans="1:14" x14ac:dyDescent="0.35">
      <c r="A1322" s="102" t="str">
        <f t="shared" si="86"/>
        <v/>
      </c>
      <c r="G1322" s="14" t="e">
        <f>VLOOKUP(F1322,'Accident &amp; Incident Detail'!$D$3:$E$4153,2,FALSE)</f>
        <v>#N/A</v>
      </c>
      <c r="M1322" s="79" t="str">
        <f t="shared" si="84"/>
        <v/>
      </c>
      <c r="N1322" s="14">
        <f t="shared" si="85"/>
        <v>3</v>
      </c>
    </row>
    <row r="1323" spans="1:14" x14ac:dyDescent="0.35">
      <c r="A1323" s="102" t="str">
        <f t="shared" si="86"/>
        <v/>
      </c>
      <c r="G1323" s="14" t="e">
        <f>VLOOKUP(F1323,'Accident &amp; Incident Detail'!$D$3:$E$4153,2,FALSE)</f>
        <v>#N/A</v>
      </c>
      <c r="M1323" s="79" t="str">
        <f t="shared" si="84"/>
        <v/>
      </c>
      <c r="N1323" s="14">
        <f t="shared" si="85"/>
        <v>3</v>
      </c>
    </row>
    <row r="1324" spans="1:14" x14ac:dyDescent="0.35">
      <c r="A1324" s="102" t="str">
        <f t="shared" si="86"/>
        <v/>
      </c>
      <c r="G1324" s="14" t="e">
        <f>VLOOKUP(F1324,'Accident &amp; Incident Detail'!$D$3:$E$4153,2,FALSE)</f>
        <v>#N/A</v>
      </c>
      <c r="M1324" s="79" t="str">
        <f t="shared" si="84"/>
        <v/>
      </c>
      <c r="N1324" s="14">
        <f t="shared" si="85"/>
        <v>3</v>
      </c>
    </row>
    <row r="1325" spans="1:14" x14ac:dyDescent="0.35">
      <c r="A1325" s="102" t="str">
        <f t="shared" si="86"/>
        <v/>
      </c>
      <c r="G1325" s="14" t="e">
        <f>VLOOKUP(F1325,'Accident &amp; Incident Detail'!$D$3:$E$4153,2,FALSE)</f>
        <v>#N/A</v>
      </c>
      <c r="M1325" s="79" t="str">
        <f t="shared" ref="M1325:M1388" si="87">IF(D1325="","",D1325+28)</f>
        <v/>
      </c>
      <c r="N1325" s="14">
        <f t="shared" ref="N1325:N1388" si="88">IF(D1325="",3,IF(M1325&lt;$A$2,1,0))</f>
        <v>3</v>
      </c>
    </row>
    <row r="1326" spans="1:14" x14ac:dyDescent="0.35">
      <c r="A1326" s="102" t="str">
        <f t="shared" si="86"/>
        <v/>
      </c>
      <c r="G1326" s="14" t="e">
        <f>VLOOKUP(F1326,'Accident &amp; Incident Detail'!$D$3:$E$4153,2,FALSE)</f>
        <v>#N/A</v>
      </c>
      <c r="M1326" s="79" t="str">
        <f t="shared" si="87"/>
        <v/>
      </c>
      <c r="N1326" s="14">
        <f t="shared" si="88"/>
        <v>3</v>
      </c>
    </row>
    <row r="1327" spans="1:14" x14ac:dyDescent="0.35">
      <c r="A1327" s="102" t="str">
        <f t="shared" si="86"/>
        <v/>
      </c>
      <c r="G1327" s="14" t="e">
        <f>VLOOKUP(F1327,'Accident &amp; Incident Detail'!$D$3:$E$4153,2,FALSE)</f>
        <v>#N/A</v>
      </c>
      <c r="M1327" s="79" t="str">
        <f t="shared" si="87"/>
        <v/>
      </c>
      <c r="N1327" s="14">
        <f t="shared" si="88"/>
        <v>3</v>
      </c>
    </row>
    <row r="1328" spans="1:14" x14ac:dyDescent="0.35">
      <c r="A1328" s="102" t="str">
        <f t="shared" si="86"/>
        <v/>
      </c>
      <c r="G1328" s="14" t="e">
        <f>VLOOKUP(F1328,'Accident &amp; Incident Detail'!$D$3:$E$4153,2,FALSE)</f>
        <v>#N/A</v>
      </c>
      <c r="M1328" s="79" t="str">
        <f t="shared" si="87"/>
        <v/>
      </c>
      <c r="N1328" s="14">
        <f t="shared" si="88"/>
        <v>3</v>
      </c>
    </row>
    <row r="1329" spans="1:14" x14ac:dyDescent="0.35">
      <c r="A1329" s="102" t="str">
        <f t="shared" si="86"/>
        <v/>
      </c>
      <c r="G1329" s="14" t="e">
        <f>VLOOKUP(F1329,'Accident &amp; Incident Detail'!$D$3:$E$4153,2,FALSE)</f>
        <v>#N/A</v>
      </c>
      <c r="M1329" s="79" t="str">
        <f t="shared" si="87"/>
        <v/>
      </c>
      <c r="N1329" s="14">
        <f t="shared" si="88"/>
        <v>3</v>
      </c>
    </row>
    <row r="1330" spans="1:14" x14ac:dyDescent="0.35">
      <c r="A1330" s="102" t="str">
        <f t="shared" si="86"/>
        <v/>
      </c>
      <c r="G1330" s="14" t="e">
        <f>VLOOKUP(F1330,'Accident &amp; Incident Detail'!$D$3:$E$4153,2,FALSE)</f>
        <v>#N/A</v>
      </c>
      <c r="M1330" s="79" t="str">
        <f t="shared" si="87"/>
        <v/>
      </c>
      <c r="N1330" s="14">
        <f t="shared" si="88"/>
        <v>3</v>
      </c>
    </row>
    <row r="1331" spans="1:14" x14ac:dyDescent="0.35">
      <c r="A1331" s="102" t="str">
        <f t="shared" si="86"/>
        <v/>
      </c>
      <c r="G1331" s="14" t="e">
        <f>VLOOKUP(F1331,'Accident &amp; Incident Detail'!$D$3:$E$4153,2,FALSE)</f>
        <v>#N/A</v>
      </c>
      <c r="M1331" s="79" t="str">
        <f t="shared" si="87"/>
        <v/>
      </c>
      <c r="N1331" s="14">
        <f t="shared" si="88"/>
        <v>3</v>
      </c>
    </row>
    <row r="1332" spans="1:14" x14ac:dyDescent="0.35">
      <c r="A1332" s="102" t="str">
        <f t="shared" si="86"/>
        <v/>
      </c>
      <c r="G1332" s="14" t="e">
        <f>VLOOKUP(F1332,'Accident &amp; Incident Detail'!$D$3:$E$4153,2,FALSE)</f>
        <v>#N/A</v>
      </c>
      <c r="M1332" s="79" t="str">
        <f t="shared" si="87"/>
        <v/>
      </c>
      <c r="N1332" s="14">
        <f t="shared" si="88"/>
        <v>3</v>
      </c>
    </row>
    <row r="1333" spans="1:14" x14ac:dyDescent="0.35">
      <c r="A1333" s="102" t="str">
        <f t="shared" si="86"/>
        <v/>
      </c>
      <c r="G1333" s="14" t="e">
        <f>VLOOKUP(F1333,'Accident &amp; Incident Detail'!$D$3:$E$4153,2,FALSE)</f>
        <v>#N/A</v>
      </c>
      <c r="M1333" s="79" t="str">
        <f t="shared" si="87"/>
        <v/>
      </c>
      <c r="N1333" s="14">
        <f t="shared" si="88"/>
        <v>3</v>
      </c>
    </row>
    <row r="1334" spans="1:14" x14ac:dyDescent="0.35">
      <c r="A1334" s="102" t="str">
        <f t="shared" si="86"/>
        <v/>
      </c>
      <c r="G1334" s="14" t="e">
        <f>VLOOKUP(F1334,'Accident &amp; Incident Detail'!$D$3:$E$4153,2,FALSE)</f>
        <v>#N/A</v>
      </c>
      <c r="M1334" s="79" t="str">
        <f t="shared" si="87"/>
        <v/>
      </c>
      <c r="N1334" s="14">
        <f t="shared" si="88"/>
        <v>3</v>
      </c>
    </row>
    <row r="1335" spans="1:14" x14ac:dyDescent="0.35">
      <c r="A1335" s="102" t="str">
        <f t="shared" si="86"/>
        <v/>
      </c>
      <c r="G1335" s="14" t="e">
        <f>VLOOKUP(F1335,'Accident &amp; Incident Detail'!$D$3:$E$4153,2,FALSE)</f>
        <v>#N/A</v>
      </c>
      <c r="M1335" s="79" t="str">
        <f t="shared" si="87"/>
        <v/>
      </c>
      <c r="N1335" s="14">
        <f t="shared" si="88"/>
        <v>3</v>
      </c>
    </row>
    <row r="1336" spans="1:14" x14ac:dyDescent="0.35">
      <c r="A1336" s="102" t="str">
        <f t="shared" si="86"/>
        <v/>
      </c>
      <c r="G1336" s="14" t="e">
        <f>VLOOKUP(F1336,'Accident &amp; Incident Detail'!$D$3:$E$4153,2,FALSE)</f>
        <v>#N/A</v>
      </c>
      <c r="M1336" s="79" t="str">
        <f t="shared" si="87"/>
        <v/>
      </c>
      <c r="N1336" s="14">
        <f t="shared" si="88"/>
        <v>3</v>
      </c>
    </row>
    <row r="1337" spans="1:14" x14ac:dyDescent="0.35">
      <c r="A1337" s="102" t="str">
        <f t="shared" si="86"/>
        <v/>
      </c>
      <c r="G1337" s="14" t="e">
        <f>VLOOKUP(F1337,'Accident &amp; Incident Detail'!$D$3:$E$4153,2,FALSE)</f>
        <v>#N/A</v>
      </c>
      <c r="M1337" s="79" t="str">
        <f t="shared" si="87"/>
        <v/>
      </c>
      <c r="N1337" s="14">
        <f t="shared" si="88"/>
        <v>3</v>
      </c>
    </row>
    <row r="1338" spans="1:14" x14ac:dyDescent="0.35">
      <c r="A1338" s="102" t="str">
        <f t="shared" si="86"/>
        <v/>
      </c>
      <c r="G1338" s="14" t="e">
        <f>VLOOKUP(F1338,'Accident &amp; Incident Detail'!$D$3:$E$4153,2,FALSE)</f>
        <v>#N/A</v>
      </c>
      <c r="M1338" s="79" t="str">
        <f t="shared" si="87"/>
        <v/>
      </c>
      <c r="N1338" s="14">
        <f t="shared" si="88"/>
        <v>3</v>
      </c>
    </row>
    <row r="1339" spans="1:14" x14ac:dyDescent="0.35">
      <c r="A1339" s="102" t="str">
        <f t="shared" si="86"/>
        <v/>
      </c>
      <c r="G1339" s="14" t="e">
        <f>VLOOKUP(F1339,'Accident &amp; Incident Detail'!$D$3:$E$4153,2,FALSE)</f>
        <v>#N/A</v>
      </c>
      <c r="M1339" s="79" t="str">
        <f t="shared" si="87"/>
        <v/>
      </c>
      <c r="N1339" s="14">
        <f t="shared" si="88"/>
        <v>3</v>
      </c>
    </row>
    <row r="1340" spans="1:14" x14ac:dyDescent="0.35">
      <c r="A1340" s="102" t="str">
        <f t="shared" si="86"/>
        <v/>
      </c>
      <c r="G1340" s="14" t="e">
        <f>VLOOKUP(F1340,'Accident &amp; Incident Detail'!$D$3:$E$4153,2,FALSE)</f>
        <v>#N/A</v>
      </c>
      <c r="M1340" s="79" t="str">
        <f t="shared" si="87"/>
        <v/>
      </c>
      <c r="N1340" s="14">
        <f t="shared" si="88"/>
        <v>3</v>
      </c>
    </row>
    <row r="1341" spans="1:14" x14ac:dyDescent="0.35">
      <c r="A1341" s="102" t="str">
        <f t="shared" si="86"/>
        <v/>
      </c>
      <c r="G1341" s="14" t="e">
        <f>VLOOKUP(F1341,'Accident &amp; Incident Detail'!$D$3:$E$4153,2,FALSE)</f>
        <v>#N/A</v>
      </c>
      <c r="M1341" s="79" t="str">
        <f t="shared" si="87"/>
        <v/>
      </c>
      <c r="N1341" s="14">
        <f t="shared" si="88"/>
        <v>3</v>
      </c>
    </row>
    <row r="1342" spans="1:14" x14ac:dyDescent="0.35">
      <c r="A1342" s="102" t="str">
        <f t="shared" si="86"/>
        <v/>
      </c>
      <c r="G1342" s="14" t="e">
        <f>VLOOKUP(F1342,'Accident &amp; Incident Detail'!$D$3:$E$4153,2,FALSE)</f>
        <v>#N/A</v>
      </c>
      <c r="M1342" s="79" t="str">
        <f t="shared" si="87"/>
        <v/>
      </c>
      <c r="N1342" s="14">
        <f t="shared" si="88"/>
        <v>3</v>
      </c>
    </row>
    <row r="1343" spans="1:14" x14ac:dyDescent="0.35">
      <c r="A1343" s="102" t="str">
        <f t="shared" si="86"/>
        <v/>
      </c>
      <c r="G1343" s="14" t="e">
        <f>VLOOKUP(F1343,'Accident &amp; Incident Detail'!$D$3:$E$4153,2,FALSE)</f>
        <v>#N/A</v>
      </c>
      <c r="M1343" s="79" t="str">
        <f t="shared" si="87"/>
        <v/>
      </c>
      <c r="N1343" s="14">
        <f t="shared" si="88"/>
        <v>3</v>
      </c>
    </row>
    <row r="1344" spans="1:14" x14ac:dyDescent="0.35">
      <c r="A1344" s="102" t="str">
        <f t="shared" si="86"/>
        <v/>
      </c>
      <c r="G1344" s="14" t="e">
        <f>VLOOKUP(F1344,'Accident &amp; Incident Detail'!$D$3:$E$4153,2,FALSE)</f>
        <v>#N/A</v>
      </c>
      <c r="M1344" s="79" t="str">
        <f t="shared" si="87"/>
        <v/>
      </c>
      <c r="N1344" s="14">
        <f t="shared" si="88"/>
        <v>3</v>
      </c>
    </row>
    <row r="1345" spans="1:14" x14ac:dyDescent="0.35">
      <c r="A1345" s="102" t="str">
        <f t="shared" si="86"/>
        <v/>
      </c>
      <c r="G1345" s="14" t="e">
        <f>VLOOKUP(F1345,'Accident &amp; Incident Detail'!$D$3:$E$4153,2,FALSE)</f>
        <v>#N/A</v>
      </c>
      <c r="M1345" s="79" t="str">
        <f t="shared" si="87"/>
        <v/>
      </c>
      <c r="N1345" s="14">
        <f t="shared" si="88"/>
        <v>3</v>
      </c>
    </row>
    <row r="1346" spans="1:14" x14ac:dyDescent="0.35">
      <c r="A1346" s="102" t="str">
        <f t="shared" si="86"/>
        <v/>
      </c>
      <c r="G1346" s="14" t="e">
        <f>VLOOKUP(F1346,'Accident &amp; Incident Detail'!$D$3:$E$4153,2,FALSE)</f>
        <v>#N/A</v>
      </c>
      <c r="M1346" s="79" t="str">
        <f t="shared" si="87"/>
        <v/>
      </c>
      <c r="N1346" s="14">
        <f t="shared" si="88"/>
        <v>3</v>
      </c>
    </row>
    <row r="1347" spans="1:14" x14ac:dyDescent="0.35">
      <c r="A1347" s="102" t="str">
        <f t="shared" si="86"/>
        <v/>
      </c>
      <c r="G1347" s="14" t="e">
        <f>VLOOKUP(F1347,'Accident &amp; Incident Detail'!$D$3:$E$4153,2,FALSE)</f>
        <v>#N/A</v>
      </c>
      <c r="M1347" s="79" t="str">
        <f t="shared" si="87"/>
        <v/>
      </c>
      <c r="N1347" s="14">
        <f t="shared" si="88"/>
        <v>3</v>
      </c>
    </row>
    <row r="1348" spans="1:14" x14ac:dyDescent="0.35">
      <c r="A1348" s="102" t="str">
        <f t="shared" si="86"/>
        <v/>
      </c>
      <c r="G1348" s="14" t="e">
        <f>VLOOKUP(F1348,'Accident &amp; Incident Detail'!$D$3:$E$4153,2,FALSE)</f>
        <v>#N/A</v>
      </c>
      <c r="M1348" s="79" t="str">
        <f t="shared" si="87"/>
        <v/>
      </c>
      <c r="N1348" s="14">
        <f t="shared" si="88"/>
        <v>3</v>
      </c>
    </row>
    <row r="1349" spans="1:14" x14ac:dyDescent="0.35">
      <c r="A1349" s="102" t="str">
        <f t="shared" si="86"/>
        <v/>
      </c>
      <c r="G1349" s="14" t="e">
        <f>VLOOKUP(F1349,'Accident &amp; Incident Detail'!$D$3:$E$4153,2,FALSE)</f>
        <v>#N/A</v>
      </c>
      <c r="M1349" s="79" t="str">
        <f t="shared" si="87"/>
        <v/>
      </c>
      <c r="N1349" s="14">
        <f t="shared" si="88"/>
        <v>3</v>
      </c>
    </row>
    <row r="1350" spans="1:14" x14ac:dyDescent="0.35">
      <c r="A1350" s="102" t="str">
        <f t="shared" si="86"/>
        <v/>
      </c>
      <c r="G1350" s="14" t="e">
        <f>VLOOKUP(F1350,'Accident &amp; Incident Detail'!$D$3:$E$4153,2,FALSE)</f>
        <v>#N/A</v>
      </c>
      <c r="M1350" s="79" t="str">
        <f t="shared" si="87"/>
        <v/>
      </c>
      <c r="N1350" s="14">
        <f t="shared" si="88"/>
        <v>3</v>
      </c>
    </row>
    <row r="1351" spans="1:14" x14ac:dyDescent="0.35">
      <c r="A1351" s="102" t="str">
        <f t="shared" si="86"/>
        <v/>
      </c>
      <c r="G1351" s="14" t="e">
        <f>VLOOKUP(F1351,'Accident &amp; Incident Detail'!$D$3:$E$4153,2,FALSE)</f>
        <v>#N/A</v>
      </c>
      <c r="M1351" s="79" t="str">
        <f t="shared" si="87"/>
        <v/>
      </c>
      <c r="N1351" s="14">
        <f t="shared" si="88"/>
        <v>3</v>
      </c>
    </row>
    <row r="1352" spans="1:14" x14ac:dyDescent="0.35">
      <c r="A1352" s="102" t="str">
        <f t="shared" si="86"/>
        <v/>
      </c>
      <c r="G1352" s="14" t="e">
        <f>VLOOKUP(F1352,'Accident &amp; Incident Detail'!$D$3:$E$4153,2,FALSE)</f>
        <v>#N/A</v>
      </c>
      <c r="M1352" s="79" t="str">
        <f t="shared" si="87"/>
        <v/>
      </c>
      <c r="N1352" s="14">
        <f t="shared" si="88"/>
        <v>3</v>
      </c>
    </row>
    <row r="1353" spans="1:14" x14ac:dyDescent="0.35">
      <c r="A1353" s="102" t="str">
        <f t="shared" si="86"/>
        <v/>
      </c>
      <c r="G1353" s="14" t="e">
        <f>VLOOKUP(F1353,'Accident &amp; Incident Detail'!$D$3:$E$4153,2,FALSE)</f>
        <v>#N/A</v>
      </c>
      <c r="M1353" s="79" t="str">
        <f t="shared" si="87"/>
        <v/>
      </c>
      <c r="N1353" s="14">
        <f t="shared" si="88"/>
        <v>3</v>
      </c>
    </row>
    <row r="1354" spans="1:14" x14ac:dyDescent="0.35">
      <c r="A1354" s="102" t="str">
        <f t="shared" si="86"/>
        <v/>
      </c>
      <c r="G1354" s="14" t="e">
        <f>VLOOKUP(F1354,'Accident &amp; Incident Detail'!$D$3:$E$4153,2,FALSE)</f>
        <v>#N/A</v>
      </c>
      <c r="M1354" s="79" t="str">
        <f t="shared" si="87"/>
        <v/>
      </c>
      <c r="N1354" s="14">
        <f t="shared" si="88"/>
        <v>3</v>
      </c>
    </row>
    <row r="1355" spans="1:14" x14ac:dyDescent="0.35">
      <c r="A1355" s="102" t="str">
        <f t="shared" si="86"/>
        <v/>
      </c>
      <c r="G1355" s="14" t="e">
        <f>VLOOKUP(F1355,'Accident &amp; Incident Detail'!$D$3:$E$4153,2,FALSE)</f>
        <v>#N/A</v>
      </c>
      <c r="M1355" s="79" t="str">
        <f t="shared" si="87"/>
        <v/>
      </c>
      <c r="N1355" s="14">
        <f t="shared" si="88"/>
        <v>3</v>
      </c>
    </row>
    <row r="1356" spans="1:14" x14ac:dyDescent="0.35">
      <c r="A1356" s="102" t="str">
        <f t="shared" si="86"/>
        <v/>
      </c>
      <c r="G1356" s="14" t="e">
        <f>VLOOKUP(F1356,'Accident &amp; Incident Detail'!$D$3:$E$4153,2,FALSE)</f>
        <v>#N/A</v>
      </c>
      <c r="M1356" s="79" t="str">
        <f t="shared" si="87"/>
        <v/>
      </c>
      <c r="N1356" s="14">
        <f t="shared" si="88"/>
        <v>3</v>
      </c>
    </row>
    <row r="1357" spans="1:14" x14ac:dyDescent="0.35">
      <c r="A1357" s="102" t="str">
        <f t="shared" si="86"/>
        <v/>
      </c>
      <c r="G1357" s="14" t="e">
        <f>VLOOKUP(F1357,'Accident &amp; Incident Detail'!$D$3:$E$4153,2,FALSE)</f>
        <v>#N/A</v>
      </c>
      <c r="M1357" s="79" t="str">
        <f t="shared" si="87"/>
        <v/>
      </c>
      <c r="N1357" s="14">
        <f t="shared" si="88"/>
        <v>3</v>
      </c>
    </row>
    <row r="1358" spans="1:14" x14ac:dyDescent="0.35">
      <c r="A1358" s="102" t="str">
        <f t="shared" si="86"/>
        <v/>
      </c>
      <c r="G1358" s="14" t="e">
        <f>VLOOKUP(F1358,'Accident &amp; Incident Detail'!$D$3:$E$4153,2,FALSE)</f>
        <v>#N/A</v>
      </c>
      <c r="M1358" s="79" t="str">
        <f t="shared" si="87"/>
        <v/>
      </c>
      <c r="N1358" s="14">
        <f t="shared" si="88"/>
        <v>3</v>
      </c>
    </row>
    <row r="1359" spans="1:14" x14ac:dyDescent="0.35">
      <c r="A1359" s="102" t="str">
        <f t="shared" si="86"/>
        <v/>
      </c>
      <c r="G1359" s="14" t="e">
        <f>VLOOKUP(F1359,'Accident &amp; Incident Detail'!$D$3:$E$4153,2,FALSE)</f>
        <v>#N/A</v>
      </c>
      <c r="M1359" s="79" t="str">
        <f t="shared" si="87"/>
        <v/>
      </c>
      <c r="N1359" s="14">
        <f t="shared" si="88"/>
        <v>3</v>
      </c>
    </row>
    <row r="1360" spans="1:14" x14ac:dyDescent="0.35">
      <c r="A1360" s="102" t="str">
        <f t="shared" si="86"/>
        <v/>
      </c>
      <c r="G1360" s="14" t="e">
        <f>VLOOKUP(F1360,'Accident &amp; Incident Detail'!$D$3:$E$4153,2,FALSE)</f>
        <v>#N/A</v>
      </c>
      <c r="M1360" s="79" t="str">
        <f t="shared" si="87"/>
        <v/>
      </c>
      <c r="N1360" s="14">
        <f t="shared" si="88"/>
        <v>3</v>
      </c>
    </row>
    <row r="1361" spans="1:14" x14ac:dyDescent="0.35">
      <c r="A1361" s="102" t="str">
        <f t="shared" si="86"/>
        <v/>
      </c>
      <c r="G1361" s="14" t="e">
        <f>VLOOKUP(F1361,'Accident &amp; Incident Detail'!$D$3:$E$4153,2,FALSE)</f>
        <v>#N/A</v>
      </c>
      <c r="M1361" s="79" t="str">
        <f t="shared" si="87"/>
        <v/>
      </c>
      <c r="N1361" s="14">
        <f t="shared" si="88"/>
        <v>3</v>
      </c>
    </row>
    <row r="1362" spans="1:14" x14ac:dyDescent="0.35">
      <c r="A1362" s="102" t="str">
        <f t="shared" si="86"/>
        <v/>
      </c>
      <c r="G1362" s="14" t="e">
        <f>VLOOKUP(F1362,'Accident &amp; Incident Detail'!$D$3:$E$4153,2,FALSE)</f>
        <v>#N/A</v>
      </c>
      <c r="M1362" s="79" t="str">
        <f t="shared" si="87"/>
        <v/>
      </c>
      <c r="N1362" s="14">
        <f t="shared" si="88"/>
        <v>3</v>
      </c>
    </row>
    <row r="1363" spans="1:14" x14ac:dyDescent="0.35">
      <c r="A1363" s="102" t="str">
        <f t="shared" si="86"/>
        <v/>
      </c>
      <c r="G1363" s="14" t="e">
        <f>VLOOKUP(F1363,'Accident &amp; Incident Detail'!$D$3:$E$4153,2,FALSE)</f>
        <v>#N/A</v>
      </c>
      <c r="M1363" s="79" t="str">
        <f t="shared" si="87"/>
        <v/>
      </c>
      <c r="N1363" s="14">
        <f t="shared" si="88"/>
        <v>3</v>
      </c>
    </row>
    <row r="1364" spans="1:14" x14ac:dyDescent="0.35">
      <c r="A1364" s="102" t="str">
        <f t="shared" si="86"/>
        <v/>
      </c>
      <c r="G1364" s="14" t="e">
        <f>VLOOKUP(F1364,'Accident &amp; Incident Detail'!$D$3:$E$4153,2,FALSE)</f>
        <v>#N/A</v>
      </c>
      <c r="M1364" s="79" t="str">
        <f t="shared" si="87"/>
        <v/>
      </c>
      <c r="N1364" s="14">
        <f t="shared" si="88"/>
        <v>3</v>
      </c>
    </row>
    <row r="1365" spans="1:14" x14ac:dyDescent="0.35">
      <c r="A1365" s="102" t="str">
        <f t="shared" si="86"/>
        <v/>
      </c>
      <c r="G1365" s="14" t="e">
        <f>VLOOKUP(F1365,'Accident &amp; Incident Detail'!$D$3:$E$4153,2,FALSE)</f>
        <v>#N/A</v>
      </c>
      <c r="M1365" s="79" t="str">
        <f t="shared" si="87"/>
        <v/>
      </c>
      <c r="N1365" s="14">
        <f t="shared" si="88"/>
        <v>3</v>
      </c>
    </row>
    <row r="1366" spans="1:14" x14ac:dyDescent="0.35">
      <c r="A1366" s="102" t="str">
        <f t="shared" si="86"/>
        <v/>
      </c>
      <c r="G1366" s="14" t="e">
        <f>VLOOKUP(F1366,'Accident &amp; Incident Detail'!$D$3:$E$4153,2,FALSE)</f>
        <v>#N/A</v>
      </c>
      <c r="M1366" s="79" t="str">
        <f t="shared" si="87"/>
        <v/>
      </c>
      <c r="N1366" s="14">
        <f t="shared" si="88"/>
        <v>3</v>
      </c>
    </row>
    <row r="1367" spans="1:14" x14ac:dyDescent="0.35">
      <c r="A1367" s="102" t="str">
        <f t="shared" si="86"/>
        <v/>
      </c>
      <c r="G1367" s="14" t="e">
        <f>VLOOKUP(F1367,'Accident &amp; Incident Detail'!$D$3:$E$4153,2,FALSE)</f>
        <v>#N/A</v>
      </c>
      <c r="M1367" s="79" t="str">
        <f t="shared" si="87"/>
        <v/>
      </c>
      <c r="N1367" s="14">
        <f t="shared" si="88"/>
        <v>3</v>
      </c>
    </row>
    <row r="1368" spans="1:14" x14ac:dyDescent="0.35">
      <c r="A1368" s="102" t="str">
        <f t="shared" si="86"/>
        <v/>
      </c>
      <c r="G1368" s="14" t="e">
        <f>VLOOKUP(F1368,'Accident &amp; Incident Detail'!$D$3:$E$4153,2,FALSE)</f>
        <v>#N/A</v>
      </c>
      <c r="M1368" s="79" t="str">
        <f t="shared" si="87"/>
        <v/>
      </c>
      <c r="N1368" s="14">
        <f t="shared" si="88"/>
        <v>3</v>
      </c>
    </row>
    <row r="1369" spans="1:14" x14ac:dyDescent="0.35">
      <c r="A1369" s="102" t="str">
        <f t="shared" si="86"/>
        <v/>
      </c>
      <c r="G1369" s="14" t="e">
        <f>VLOOKUP(F1369,'Accident &amp; Incident Detail'!$D$3:$E$165,2,FALSE)</f>
        <v>#N/A</v>
      </c>
      <c r="M1369" s="79" t="str">
        <f t="shared" si="87"/>
        <v/>
      </c>
      <c r="N1369" s="14">
        <f t="shared" si="88"/>
        <v>3</v>
      </c>
    </row>
    <row r="1370" spans="1:14" x14ac:dyDescent="0.35">
      <c r="A1370" s="102" t="str">
        <f t="shared" si="86"/>
        <v/>
      </c>
      <c r="G1370" s="14" t="e">
        <f>VLOOKUP(F1370,'Accident &amp; Incident Detail'!$D$3:$E$165,2,FALSE)</f>
        <v>#N/A</v>
      </c>
      <c r="M1370" s="79" t="str">
        <f t="shared" si="87"/>
        <v/>
      </c>
      <c r="N1370" s="14">
        <f t="shared" si="88"/>
        <v>3</v>
      </c>
    </row>
    <row r="1371" spans="1:14" x14ac:dyDescent="0.35">
      <c r="A1371" s="102" t="str">
        <f t="shared" si="86"/>
        <v/>
      </c>
      <c r="G1371" s="14" t="e">
        <f>VLOOKUP(F1371,'Accident &amp; Incident Detail'!$D$3:$E$165,2,FALSE)</f>
        <v>#N/A</v>
      </c>
      <c r="M1371" s="79" t="str">
        <f t="shared" si="87"/>
        <v/>
      </c>
      <c r="N1371" s="14">
        <f t="shared" si="88"/>
        <v>3</v>
      </c>
    </row>
    <row r="1372" spans="1:14" x14ac:dyDescent="0.35">
      <c r="A1372" s="102" t="str">
        <f t="shared" si="86"/>
        <v/>
      </c>
      <c r="G1372" s="14" t="e">
        <f>VLOOKUP(F1372,'Accident &amp; Incident Detail'!$D$3:$E$165,2,FALSE)</f>
        <v>#N/A</v>
      </c>
      <c r="M1372" s="79" t="str">
        <f t="shared" si="87"/>
        <v/>
      </c>
      <c r="N1372" s="14">
        <f t="shared" si="88"/>
        <v>3</v>
      </c>
    </row>
    <row r="1373" spans="1:14" x14ac:dyDescent="0.35">
      <c r="A1373" s="102" t="str">
        <f t="shared" si="86"/>
        <v/>
      </c>
      <c r="G1373" s="14" t="e">
        <f>VLOOKUP(F1373,'Accident &amp; Incident Detail'!$D$3:$E$165,2,FALSE)</f>
        <v>#N/A</v>
      </c>
      <c r="M1373" s="79" t="str">
        <f t="shared" si="87"/>
        <v/>
      </c>
      <c r="N1373" s="14">
        <f t="shared" si="88"/>
        <v>3</v>
      </c>
    </row>
    <row r="1374" spans="1:14" x14ac:dyDescent="0.35">
      <c r="A1374" s="102" t="str">
        <f t="shared" si="86"/>
        <v/>
      </c>
      <c r="G1374" s="14" t="e">
        <f>VLOOKUP(F1374,'Accident &amp; Incident Detail'!$D$3:$E$165,2,FALSE)</f>
        <v>#N/A</v>
      </c>
      <c r="M1374" s="79" t="str">
        <f t="shared" si="87"/>
        <v/>
      </c>
      <c r="N1374" s="14">
        <f t="shared" si="88"/>
        <v>3</v>
      </c>
    </row>
    <row r="1375" spans="1:14" x14ac:dyDescent="0.35">
      <c r="A1375" s="102" t="str">
        <f t="shared" si="86"/>
        <v/>
      </c>
      <c r="G1375" s="14" t="e">
        <f>VLOOKUP(F1375,'Accident &amp; Incident Detail'!$D$3:$E$165,2,FALSE)</f>
        <v>#N/A</v>
      </c>
      <c r="M1375" s="79" t="str">
        <f t="shared" si="87"/>
        <v/>
      </c>
      <c r="N1375" s="14">
        <f t="shared" si="88"/>
        <v>3</v>
      </c>
    </row>
    <row r="1376" spans="1:14" x14ac:dyDescent="0.35">
      <c r="A1376" s="102" t="str">
        <f t="shared" si="86"/>
        <v/>
      </c>
      <c r="G1376" s="14" t="e">
        <f>VLOOKUP(F1376,'Accident &amp; Incident Detail'!$D$3:$E$165,2,FALSE)</f>
        <v>#N/A</v>
      </c>
      <c r="M1376" s="79" t="str">
        <f t="shared" si="87"/>
        <v/>
      </c>
      <c r="N1376" s="14">
        <f t="shared" si="88"/>
        <v>3</v>
      </c>
    </row>
    <row r="1377" spans="1:14" x14ac:dyDescent="0.35">
      <c r="A1377" s="102" t="str">
        <f t="shared" si="86"/>
        <v/>
      </c>
      <c r="G1377" s="14" t="e">
        <f>VLOOKUP(F1377,'Accident &amp; Incident Detail'!$D$3:$E$165,2,FALSE)</f>
        <v>#N/A</v>
      </c>
      <c r="M1377" s="79" t="str">
        <f t="shared" si="87"/>
        <v/>
      </c>
      <c r="N1377" s="14">
        <f t="shared" si="88"/>
        <v>3</v>
      </c>
    </row>
    <row r="1378" spans="1:14" x14ac:dyDescent="0.35">
      <c r="A1378" s="102" t="str">
        <f t="shared" si="86"/>
        <v/>
      </c>
      <c r="G1378" s="14" t="e">
        <f>VLOOKUP(F1378,'Accident &amp; Incident Detail'!$D$3:$E$165,2,FALSE)</f>
        <v>#N/A</v>
      </c>
      <c r="M1378" s="79" t="str">
        <f t="shared" si="87"/>
        <v/>
      </c>
      <c r="N1378" s="14">
        <f t="shared" si="88"/>
        <v>3</v>
      </c>
    </row>
    <row r="1379" spans="1:14" x14ac:dyDescent="0.35">
      <c r="A1379" s="102" t="str">
        <f t="shared" si="86"/>
        <v/>
      </c>
      <c r="G1379" s="14" t="e">
        <f>VLOOKUP(F1379,'Accident &amp; Incident Detail'!$D$3:$E$165,2,FALSE)</f>
        <v>#N/A</v>
      </c>
      <c r="M1379" s="79" t="str">
        <f t="shared" si="87"/>
        <v/>
      </c>
      <c r="N1379" s="14">
        <f t="shared" si="88"/>
        <v>3</v>
      </c>
    </row>
    <row r="1380" spans="1:14" x14ac:dyDescent="0.35">
      <c r="A1380" s="102" t="str">
        <f t="shared" si="86"/>
        <v/>
      </c>
      <c r="G1380" s="14" t="e">
        <f>VLOOKUP(F1380,'Accident &amp; Incident Detail'!$D$3:$E$165,2,FALSE)</f>
        <v>#N/A</v>
      </c>
      <c r="M1380" s="79" t="str">
        <f t="shared" si="87"/>
        <v/>
      </c>
      <c r="N1380" s="14">
        <f t="shared" si="88"/>
        <v>3</v>
      </c>
    </row>
    <row r="1381" spans="1:14" x14ac:dyDescent="0.35">
      <c r="A1381" s="102" t="str">
        <f t="shared" si="86"/>
        <v/>
      </c>
      <c r="G1381" s="14" t="e">
        <f>VLOOKUP(F1381,'Accident &amp; Incident Detail'!$D$3:$E$165,2,FALSE)</f>
        <v>#N/A</v>
      </c>
      <c r="M1381" s="79" t="str">
        <f t="shared" si="87"/>
        <v/>
      </c>
      <c r="N1381" s="14">
        <f t="shared" si="88"/>
        <v>3</v>
      </c>
    </row>
    <row r="1382" spans="1:14" x14ac:dyDescent="0.35">
      <c r="A1382" s="102" t="str">
        <f t="shared" ref="A1382:A1445" si="89">IF(O1382&gt;1,"Closed",IF(N1382=1,"Overdue",IF(N1382=3,"","Open")))</f>
        <v/>
      </c>
      <c r="G1382" s="14" t="e">
        <f>VLOOKUP(F1382,'Accident &amp; Incident Detail'!$D$3:$E$165,2,FALSE)</f>
        <v>#N/A</v>
      </c>
      <c r="M1382" s="79" t="str">
        <f t="shared" si="87"/>
        <v/>
      </c>
      <c r="N1382" s="14">
        <f t="shared" si="88"/>
        <v>3</v>
      </c>
    </row>
    <row r="1383" spans="1:14" x14ac:dyDescent="0.35">
      <c r="A1383" s="102" t="str">
        <f t="shared" si="89"/>
        <v/>
      </c>
      <c r="G1383" s="14" t="e">
        <f>VLOOKUP(F1383,'Accident &amp; Incident Detail'!$D$3:$E$165,2,FALSE)</f>
        <v>#N/A</v>
      </c>
      <c r="M1383" s="79" t="str">
        <f t="shared" si="87"/>
        <v/>
      </c>
      <c r="N1383" s="14">
        <f t="shared" si="88"/>
        <v>3</v>
      </c>
    </row>
    <row r="1384" spans="1:14" x14ac:dyDescent="0.35">
      <c r="A1384" s="102" t="str">
        <f t="shared" si="89"/>
        <v/>
      </c>
      <c r="G1384" s="14" t="e">
        <f>VLOOKUP(F1384,'Accident &amp; Incident Detail'!$D$3:$E$165,2,FALSE)</f>
        <v>#N/A</v>
      </c>
      <c r="M1384" s="79" t="str">
        <f t="shared" si="87"/>
        <v/>
      </c>
      <c r="N1384" s="14">
        <f t="shared" si="88"/>
        <v>3</v>
      </c>
    </row>
    <row r="1385" spans="1:14" x14ac:dyDescent="0.35">
      <c r="A1385" s="102" t="str">
        <f t="shared" si="89"/>
        <v/>
      </c>
      <c r="G1385" s="14" t="e">
        <f>VLOOKUP(F1385,'Accident &amp; Incident Detail'!$D$3:$E$165,2,FALSE)</f>
        <v>#N/A</v>
      </c>
      <c r="M1385" s="79" t="str">
        <f t="shared" si="87"/>
        <v/>
      </c>
      <c r="N1385" s="14">
        <f t="shared" si="88"/>
        <v>3</v>
      </c>
    </row>
    <row r="1386" spans="1:14" x14ac:dyDescent="0.35">
      <c r="A1386" s="102" t="str">
        <f t="shared" si="89"/>
        <v/>
      </c>
      <c r="G1386" s="14" t="e">
        <f>VLOOKUP(F1386,'Accident &amp; Incident Detail'!$D$3:$E$165,2,FALSE)</f>
        <v>#N/A</v>
      </c>
      <c r="M1386" s="79" t="str">
        <f t="shared" si="87"/>
        <v/>
      </c>
      <c r="N1386" s="14">
        <f t="shared" si="88"/>
        <v>3</v>
      </c>
    </row>
    <row r="1387" spans="1:14" x14ac:dyDescent="0.35">
      <c r="A1387" s="102" t="str">
        <f t="shared" si="89"/>
        <v/>
      </c>
      <c r="G1387" s="14" t="e">
        <f>VLOOKUP(F1387,'Accident &amp; Incident Detail'!$D$3:$E$165,2,FALSE)</f>
        <v>#N/A</v>
      </c>
      <c r="M1387" s="79" t="str">
        <f t="shared" si="87"/>
        <v/>
      </c>
      <c r="N1387" s="14">
        <f t="shared" si="88"/>
        <v>3</v>
      </c>
    </row>
    <row r="1388" spans="1:14" x14ac:dyDescent="0.35">
      <c r="A1388" s="102" t="str">
        <f t="shared" si="89"/>
        <v/>
      </c>
      <c r="G1388" s="14" t="e">
        <f>VLOOKUP(F1388,'Accident &amp; Incident Detail'!$D$3:$E$165,2,FALSE)</f>
        <v>#N/A</v>
      </c>
      <c r="M1388" s="79" t="str">
        <f t="shared" si="87"/>
        <v/>
      </c>
      <c r="N1388" s="14">
        <f t="shared" si="88"/>
        <v>3</v>
      </c>
    </row>
    <row r="1389" spans="1:14" x14ac:dyDescent="0.35">
      <c r="A1389" s="102" t="str">
        <f t="shared" si="89"/>
        <v/>
      </c>
      <c r="G1389" s="14" t="e">
        <f>VLOOKUP(F1389,'Accident &amp; Incident Detail'!$D$3:$E$165,2,FALSE)</f>
        <v>#N/A</v>
      </c>
      <c r="M1389" s="79" t="str">
        <f t="shared" ref="M1389:M1452" si="90">IF(D1389="","",D1389+28)</f>
        <v/>
      </c>
      <c r="N1389" s="14">
        <f t="shared" ref="N1389:N1452" si="91">IF(D1389="",3,IF(M1389&lt;$A$2,1,0))</f>
        <v>3</v>
      </c>
    </row>
    <row r="1390" spans="1:14" x14ac:dyDescent="0.35">
      <c r="A1390" s="102" t="str">
        <f t="shared" si="89"/>
        <v/>
      </c>
      <c r="G1390" s="14" t="e">
        <f>VLOOKUP(F1390,'Accident &amp; Incident Detail'!$D$3:$E$165,2,FALSE)</f>
        <v>#N/A</v>
      </c>
      <c r="M1390" s="79" t="str">
        <f t="shared" si="90"/>
        <v/>
      </c>
      <c r="N1390" s="14">
        <f t="shared" si="91"/>
        <v>3</v>
      </c>
    </row>
    <row r="1391" spans="1:14" x14ac:dyDescent="0.35">
      <c r="A1391" s="102" t="str">
        <f t="shared" si="89"/>
        <v/>
      </c>
      <c r="G1391" s="14" t="e">
        <f>VLOOKUP(F1391,'Accident &amp; Incident Detail'!$D$3:$E$165,2,FALSE)</f>
        <v>#N/A</v>
      </c>
      <c r="M1391" s="79" t="str">
        <f t="shared" si="90"/>
        <v/>
      </c>
      <c r="N1391" s="14">
        <f t="shared" si="91"/>
        <v>3</v>
      </c>
    </row>
    <row r="1392" spans="1:14" x14ac:dyDescent="0.35">
      <c r="A1392" s="102" t="str">
        <f t="shared" si="89"/>
        <v/>
      </c>
      <c r="G1392" s="14" t="e">
        <f>VLOOKUP(F1392,'Accident &amp; Incident Detail'!$D$3:$E$165,2,FALSE)</f>
        <v>#N/A</v>
      </c>
      <c r="M1392" s="79" t="str">
        <f t="shared" si="90"/>
        <v/>
      </c>
      <c r="N1392" s="14">
        <f t="shared" si="91"/>
        <v>3</v>
      </c>
    </row>
    <row r="1393" spans="1:14" x14ac:dyDescent="0.35">
      <c r="A1393" s="102" t="str">
        <f t="shared" si="89"/>
        <v/>
      </c>
      <c r="G1393" s="14" t="e">
        <f>VLOOKUP(F1393,'Accident &amp; Incident Detail'!$D$3:$E$165,2,FALSE)</f>
        <v>#N/A</v>
      </c>
      <c r="M1393" s="79" t="str">
        <f t="shared" si="90"/>
        <v/>
      </c>
      <c r="N1393" s="14">
        <f t="shared" si="91"/>
        <v>3</v>
      </c>
    </row>
    <row r="1394" spans="1:14" x14ac:dyDescent="0.35">
      <c r="A1394" s="102" t="str">
        <f t="shared" si="89"/>
        <v/>
      </c>
      <c r="G1394" s="14" t="e">
        <f>VLOOKUP(F1394,'Accident &amp; Incident Detail'!$D$3:$E$165,2,FALSE)</f>
        <v>#N/A</v>
      </c>
      <c r="M1394" s="79" t="str">
        <f t="shared" si="90"/>
        <v/>
      </c>
      <c r="N1394" s="14">
        <f t="shared" si="91"/>
        <v>3</v>
      </c>
    </row>
    <row r="1395" spans="1:14" x14ac:dyDescent="0.35">
      <c r="A1395" s="102" t="str">
        <f t="shared" si="89"/>
        <v/>
      </c>
      <c r="G1395" s="14" t="e">
        <f>VLOOKUP(F1395,'Accident &amp; Incident Detail'!$D$3:$E$165,2,FALSE)</f>
        <v>#N/A</v>
      </c>
      <c r="M1395" s="79" t="str">
        <f t="shared" si="90"/>
        <v/>
      </c>
      <c r="N1395" s="14">
        <f t="shared" si="91"/>
        <v>3</v>
      </c>
    </row>
    <row r="1396" spans="1:14" x14ac:dyDescent="0.35">
      <c r="A1396" s="102" t="str">
        <f t="shared" si="89"/>
        <v/>
      </c>
      <c r="G1396" s="14" t="e">
        <f>VLOOKUP(F1396,'Accident &amp; Incident Detail'!$D$3:$E$165,2,FALSE)</f>
        <v>#N/A</v>
      </c>
      <c r="M1396" s="79" t="str">
        <f t="shared" si="90"/>
        <v/>
      </c>
      <c r="N1396" s="14">
        <f t="shared" si="91"/>
        <v>3</v>
      </c>
    </row>
    <row r="1397" spans="1:14" x14ac:dyDescent="0.35">
      <c r="A1397" s="102" t="str">
        <f t="shared" si="89"/>
        <v/>
      </c>
      <c r="G1397" s="14" t="e">
        <f>VLOOKUP(F1397,'Accident &amp; Incident Detail'!$D$3:$E$165,2,FALSE)</f>
        <v>#N/A</v>
      </c>
      <c r="M1397" s="79" t="str">
        <f t="shared" si="90"/>
        <v/>
      </c>
      <c r="N1397" s="14">
        <f t="shared" si="91"/>
        <v>3</v>
      </c>
    </row>
    <row r="1398" spans="1:14" x14ac:dyDescent="0.35">
      <c r="A1398" s="102" t="str">
        <f t="shared" si="89"/>
        <v/>
      </c>
      <c r="G1398" s="14" t="e">
        <f>VLOOKUP(F1398,'Accident &amp; Incident Detail'!$D$3:$E$165,2,FALSE)</f>
        <v>#N/A</v>
      </c>
      <c r="M1398" s="79" t="str">
        <f t="shared" si="90"/>
        <v/>
      </c>
      <c r="N1398" s="14">
        <f t="shared" si="91"/>
        <v>3</v>
      </c>
    </row>
    <row r="1399" spans="1:14" x14ac:dyDescent="0.35">
      <c r="A1399" s="102" t="str">
        <f t="shared" si="89"/>
        <v/>
      </c>
      <c r="G1399" s="14" t="e">
        <f>VLOOKUP(F1399,'Accident &amp; Incident Detail'!$D$3:$E$165,2,FALSE)</f>
        <v>#N/A</v>
      </c>
      <c r="M1399" s="79" t="str">
        <f t="shared" si="90"/>
        <v/>
      </c>
      <c r="N1399" s="14">
        <f t="shared" si="91"/>
        <v>3</v>
      </c>
    </row>
    <row r="1400" spans="1:14" x14ac:dyDescent="0.35">
      <c r="A1400" s="102" t="str">
        <f t="shared" si="89"/>
        <v/>
      </c>
      <c r="G1400" s="14" t="e">
        <f>VLOOKUP(F1400,'Accident &amp; Incident Detail'!$D$3:$E$165,2,FALSE)</f>
        <v>#N/A</v>
      </c>
      <c r="M1400" s="79" t="str">
        <f t="shared" si="90"/>
        <v/>
      </c>
      <c r="N1400" s="14">
        <f t="shared" si="91"/>
        <v>3</v>
      </c>
    </row>
    <row r="1401" spans="1:14" x14ac:dyDescent="0.35">
      <c r="A1401" s="102" t="str">
        <f t="shared" si="89"/>
        <v/>
      </c>
      <c r="G1401" s="14" t="e">
        <f>VLOOKUP(F1401,'Accident &amp; Incident Detail'!$D$3:$E$165,2,FALSE)</f>
        <v>#N/A</v>
      </c>
      <c r="M1401" s="79" t="str">
        <f t="shared" si="90"/>
        <v/>
      </c>
      <c r="N1401" s="14">
        <f t="shared" si="91"/>
        <v>3</v>
      </c>
    </row>
    <row r="1402" spans="1:14" x14ac:dyDescent="0.35">
      <c r="A1402" s="102" t="str">
        <f t="shared" si="89"/>
        <v/>
      </c>
      <c r="G1402" s="14" t="e">
        <f>VLOOKUP(F1402,'Accident &amp; Incident Detail'!$D$3:$E$165,2,FALSE)</f>
        <v>#N/A</v>
      </c>
      <c r="M1402" s="79" t="str">
        <f t="shared" si="90"/>
        <v/>
      </c>
      <c r="N1402" s="14">
        <f t="shared" si="91"/>
        <v>3</v>
      </c>
    </row>
    <row r="1403" spans="1:14" x14ac:dyDescent="0.35">
      <c r="A1403" s="102" t="str">
        <f t="shared" si="89"/>
        <v/>
      </c>
      <c r="G1403" s="14" t="e">
        <f>VLOOKUP(F1403,'Accident &amp; Incident Detail'!$D$3:$E$165,2,FALSE)</f>
        <v>#N/A</v>
      </c>
      <c r="M1403" s="79" t="str">
        <f t="shared" si="90"/>
        <v/>
      </c>
      <c r="N1403" s="14">
        <f t="shared" si="91"/>
        <v>3</v>
      </c>
    </row>
    <row r="1404" spans="1:14" x14ac:dyDescent="0.35">
      <c r="A1404" s="102" t="str">
        <f t="shared" si="89"/>
        <v/>
      </c>
      <c r="G1404" s="14" t="e">
        <f>VLOOKUP(F1404,'Accident &amp; Incident Detail'!$D$3:$E$165,2,FALSE)</f>
        <v>#N/A</v>
      </c>
      <c r="M1404" s="79" t="str">
        <f t="shared" si="90"/>
        <v/>
      </c>
      <c r="N1404" s="14">
        <f t="shared" si="91"/>
        <v>3</v>
      </c>
    </row>
    <row r="1405" spans="1:14" x14ac:dyDescent="0.35">
      <c r="A1405" s="102" t="str">
        <f t="shared" si="89"/>
        <v/>
      </c>
      <c r="G1405" s="14" t="e">
        <f>VLOOKUP(F1405,'Accident &amp; Incident Detail'!$D$3:$E$165,2,FALSE)</f>
        <v>#N/A</v>
      </c>
      <c r="M1405" s="79" t="str">
        <f t="shared" si="90"/>
        <v/>
      </c>
      <c r="N1405" s="14">
        <f t="shared" si="91"/>
        <v>3</v>
      </c>
    </row>
    <row r="1406" spans="1:14" x14ac:dyDescent="0.35">
      <c r="A1406" s="102" t="str">
        <f t="shared" si="89"/>
        <v/>
      </c>
      <c r="G1406" s="14" t="e">
        <f>VLOOKUP(F1406,'Accident &amp; Incident Detail'!$D$3:$E$165,2,FALSE)</f>
        <v>#N/A</v>
      </c>
      <c r="M1406" s="79" t="str">
        <f t="shared" si="90"/>
        <v/>
      </c>
      <c r="N1406" s="14">
        <f t="shared" si="91"/>
        <v>3</v>
      </c>
    </row>
    <row r="1407" spans="1:14" x14ac:dyDescent="0.35">
      <c r="A1407" s="102" t="str">
        <f t="shared" si="89"/>
        <v/>
      </c>
      <c r="G1407" s="14" t="e">
        <f>VLOOKUP(F1407,'Accident &amp; Incident Detail'!$D$3:$E$165,2,FALSE)</f>
        <v>#N/A</v>
      </c>
      <c r="M1407" s="79" t="str">
        <f t="shared" si="90"/>
        <v/>
      </c>
      <c r="N1407" s="14">
        <f t="shared" si="91"/>
        <v>3</v>
      </c>
    </row>
    <row r="1408" spans="1:14" x14ac:dyDescent="0.35">
      <c r="A1408" s="102" t="str">
        <f t="shared" si="89"/>
        <v/>
      </c>
      <c r="G1408" s="14" t="e">
        <f>VLOOKUP(F1408,'Accident &amp; Incident Detail'!$D$3:$E$165,2,FALSE)</f>
        <v>#N/A</v>
      </c>
      <c r="M1408" s="79" t="str">
        <f t="shared" si="90"/>
        <v/>
      </c>
      <c r="N1408" s="14">
        <f t="shared" si="91"/>
        <v>3</v>
      </c>
    </row>
    <row r="1409" spans="1:14" x14ac:dyDescent="0.35">
      <c r="A1409" s="102" t="str">
        <f t="shared" si="89"/>
        <v/>
      </c>
      <c r="G1409" s="14" t="e">
        <f>VLOOKUP(F1409,'Accident &amp; Incident Detail'!$D$3:$E$165,2,FALSE)</f>
        <v>#N/A</v>
      </c>
      <c r="M1409" s="79" t="str">
        <f t="shared" si="90"/>
        <v/>
      </c>
      <c r="N1409" s="14">
        <f t="shared" si="91"/>
        <v>3</v>
      </c>
    </row>
    <row r="1410" spans="1:14" x14ac:dyDescent="0.35">
      <c r="A1410" s="102" t="str">
        <f t="shared" si="89"/>
        <v/>
      </c>
      <c r="G1410" s="14" t="e">
        <f>VLOOKUP(F1410,'Accident &amp; Incident Detail'!$D$3:$E$165,2,FALSE)</f>
        <v>#N/A</v>
      </c>
      <c r="M1410" s="79" t="str">
        <f t="shared" si="90"/>
        <v/>
      </c>
      <c r="N1410" s="14">
        <f t="shared" si="91"/>
        <v>3</v>
      </c>
    </row>
    <row r="1411" spans="1:14" x14ac:dyDescent="0.35">
      <c r="A1411" s="102" t="str">
        <f t="shared" si="89"/>
        <v/>
      </c>
      <c r="G1411" s="14" t="e">
        <f>VLOOKUP(F1411,'Accident &amp; Incident Detail'!$D$3:$E$165,2,FALSE)</f>
        <v>#N/A</v>
      </c>
      <c r="M1411" s="79" t="str">
        <f t="shared" si="90"/>
        <v/>
      </c>
      <c r="N1411" s="14">
        <f t="shared" si="91"/>
        <v>3</v>
      </c>
    </row>
    <row r="1412" spans="1:14" x14ac:dyDescent="0.35">
      <c r="A1412" s="102" t="str">
        <f t="shared" si="89"/>
        <v/>
      </c>
      <c r="G1412" s="14" t="e">
        <f>VLOOKUP(F1412,'Accident &amp; Incident Detail'!$D$3:$E$165,2,FALSE)</f>
        <v>#N/A</v>
      </c>
      <c r="M1412" s="79" t="str">
        <f t="shared" si="90"/>
        <v/>
      </c>
      <c r="N1412" s="14">
        <f t="shared" si="91"/>
        <v>3</v>
      </c>
    </row>
    <row r="1413" spans="1:14" x14ac:dyDescent="0.35">
      <c r="A1413" s="102" t="str">
        <f t="shared" si="89"/>
        <v/>
      </c>
      <c r="G1413" s="14" t="e">
        <f>VLOOKUP(F1413,'Accident &amp; Incident Detail'!$D$3:$E$165,2,FALSE)</f>
        <v>#N/A</v>
      </c>
      <c r="M1413" s="79" t="str">
        <f t="shared" si="90"/>
        <v/>
      </c>
      <c r="N1413" s="14">
        <f t="shared" si="91"/>
        <v>3</v>
      </c>
    </row>
    <row r="1414" spans="1:14" x14ac:dyDescent="0.35">
      <c r="A1414" s="102" t="str">
        <f t="shared" si="89"/>
        <v/>
      </c>
      <c r="G1414" s="14" t="e">
        <f>VLOOKUP(F1414,'Accident &amp; Incident Detail'!$D$3:$E$165,2,FALSE)</f>
        <v>#N/A</v>
      </c>
      <c r="M1414" s="79" t="str">
        <f t="shared" si="90"/>
        <v/>
      </c>
      <c r="N1414" s="14">
        <f t="shared" si="91"/>
        <v>3</v>
      </c>
    </row>
    <row r="1415" spans="1:14" x14ac:dyDescent="0.35">
      <c r="A1415" s="102" t="str">
        <f t="shared" si="89"/>
        <v/>
      </c>
      <c r="G1415" s="14" t="e">
        <f>VLOOKUP(F1415,'Accident &amp; Incident Detail'!$D$3:$E$165,2,FALSE)</f>
        <v>#N/A</v>
      </c>
      <c r="M1415" s="79" t="str">
        <f t="shared" si="90"/>
        <v/>
      </c>
      <c r="N1415" s="14">
        <f t="shared" si="91"/>
        <v>3</v>
      </c>
    </row>
    <row r="1416" spans="1:14" x14ac:dyDescent="0.35">
      <c r="A1416" s="102" t="str">
        <f t="shared" si="89"/>
        <v/>
      </c>
      <c r="G1416" s="14" t="e">
        <f>VLOOKUP(F1416,'Accident &amp; Incident Detail'!$D$3:$E$165,2,FALSE)</f>
        <v>#N/A</v>
      </c>
      <c r="M1416" s="79" t="str">
        <f t="shared" si="90"/>
        <v/>
      </c>
      <c r="N1416" s="14">
        <f t="shared" si="91"/>
        <v>3</v>
      </c>
    </row>
    <row r="1417" spans="1:14" x14ac:dyDescent="0.35">
      <c r="A1417" s="102" t="str">
        <f t="shared" si="89"/>
        <v/>
      </c>
      <c r="G1417" s="14" t="e">
        <f>VLOOKUP(F1417,'Accident &amp; Incident Detail'!$D$3:$E$165,2,FALSE)</f>
        <v>#N/A</v>
      </c>
      <c r="M1417" s="79" t="str">
        <f t="shared" si="90"/>
        <v/>
      </c>
      <c r="N1417" s="14">
        <f t="shared" si="91"/>
        <v>3</v>
      </c>
    </row>
    <row r="1418" spans="1:14" x14ac:dyDescent="0.35">
      <c r="A1418" s="102" t="str">
        <f t="shared" si="89"/>
        <v/>
      </c>
      <c r="G1418" s="14" t="e">
        <f>VLOOKUP(F1418,'Accident &amp; Incident Detail'!$D$3:$E$165,2,FALSE)</f>
        <v>#N/A</v>
      </c>
      <c r="M1418" s="79" t="str">
        <f t="shared" si="90"/>
        <v/>
      </c>
      <c r="N1418" s="14">
        <f t="shared" si="91"/>
        <v>3</v>
      </c>
    </row>
    <row r="1419" spans="1:14" x14ac:dyDescent="0.35">
      <c r="A1419" s="102" t="str">
        <f t="shared" si="89"/>
        <v/>
      </c>
      <c r="G1419" s="14" t="e">
        <f>VLOOKUP(F1419,'Accident &amp; Incident Detail'!$D$3:$E$165,2,FALSE)</f>
        <v>#N/A</v>
      </c>
      <c r="M1419" s="79" t="str">
        <f t="shared" si="90"/>
        <v/>
      </c>
      <c r="N1419" s="14">
        <f t="shared" si="91"/>
        <v>3</v>
      </c>
    </row>
    <row r="1420" spans="1:14" x14ac:dyDescent="0.35">
      <c r="A1420" s="102" t="str">
        <f t="shared" si="89"/>
        <v/>
      </c>
      <c r="G1420" s="14" t="e">
        <f>VLOOKUP(F1420,'Accident &amp; Incident Detail'!$D$3:$E$165,2,FALSE)</f>
        <v>#N/A</v>
      </c>
      <c r="M1420" s="79" t="str">
        <f t="shared" si="90"/>
        <v/>
      </c>
      <c r="N1420" s="14">
        <f t="shared" si="91"/>
        <v>3</v>
      </c>
    </row>
    <row r="1421" spans="1:14" x14ac:dyDescent="0.35">
      <c r="A1421" s="102" t="str">
        <f t="shared" si="89"/>
        <v/>
      </c>
      <c r="G1421" s="14" t="e">
        <f>VLOOKUP(F1421,'Accident &amp; Incident Detail'!$D$3:$E$165,2,FALSE)</f>
        <v>#N/A</v>
      </c>
      <c r="M1421" s="79" t="str">
        <f t="shared" si="90"/>
        <v/>
      </c>
      <c r="N1421" s="14">
        <f t="shared" si="91"/>
        <v>3</v>
      </c>
    </row>
    <row r="1422" spans="1:14" x14ac:dyDescent="0.35">
      <c r="A1422" s="102" t="str">
        <f t="shared" si="89"/>
        <v/>
      </c>
      <c r="G1422" s="14" t="e">
        <f>VLOOKUP(F1422,'Accident &amp; Incident Detail'!$D$3:$E$165,2,FALSE)</f>
        <v>#N/A</v>
      </c>
      <c r="M1422" s="79" t="str">
        <f t="shared" si="90"/>
        <v/>
      </c>
      <c r="N1422" s="14">
        <f t="shared" si="91"/>
        <v>3</v>
      </c>
    </row>
    <row r="1423" spans="1:14" x14ac:dyDescent="0.35">
      <c r="A1423" s="102" t="str">
        <f t="shared" si="89"/>
        <v/>
      </c>
      <c r="G1423" s="14" t="e">
        <f>VLOOKUP(F1423,'Accident &amp; Incident Detail'!$D$3:$E$165,2,FALSE)</f>
        <v>#N/A</v>
      </c>
      <c r="M1423" s="79" t="str">
        <f t="shared" si="90"/>
        <v/>
      </c>
      <c r="N1423" s="14">
        <f t="shared" si="91"/>
        <v>3</v>
      </c>
    </row>
    <row r="1424" spans="1:14" x14ac:dyDescent="0.35">
      <c r="A1424" s="102" t="str">
        <f t="shared" si="89"/>
        <v/>
      </c>
      <c r="G1424" s="14" t="e">
        <f>VLOOKUP(F1424,'Accident &amp; Incident Detail'!$D$3:$E$165,2,FALSE)</f>
        <v>#N/A</v>
      </c>
      <c r="M1424" s="79" t="str">
        <f t="shared" si="90"/>
        <v/>
      </c>
      <c r="N1424" s="14">
        <f t="shared" si="91"/>
        <v>3</v>
      </c>
    </row>
    <row r="1425" spans="1:14" x14ac:dyDescent="0.35">
      <c r="A1425" s="102" t="str">
        <f t="shared" si="89"/>
        <v/>
      </c>
      <c r="G1425" s="14" t="e">
        <f>VLOOKUP(F1425,'Accident &amp; Incident Detail'!$D$3:$E$165,2,FALSE)</f>
        <v>#N/A</v>
      </c>
      <c r="M1425" s="79" t="str">
        <f t="shared" si="90"/>
        <v/>
      </c>
      <c r="N1425" s="14">
        <f t="shared" si="91"/>
        <v>3</v>
      </c>
    </row>
    <row r="1426" spans="1:14" x14ac:dyDescent="0.35">
      <c r="A1426" s="102" t="str">
        <f t="shared" si="89"/>
        <v/>
      </c>
      <c r="G1426" s="14" t="e">
        <f>VLOOKUP(F1426,'Accident &amp; Incident Detail'!$D$3:$E$165,2,FALSE)</f>
        <v>#N/A</v>
      </c>
      <c r="M1426" s="79" t="str">
        <f t="shared" si="90"/>
        <v/>
      </c>
      <c r="N1426" s="14">
        <f t="shared" si="91"/>
        <v>3</v>
      </c>
    </row>
    <row r="1427" spans="1:14" x14ac:dyDescent="0.35">
      <c r="A1427" s="102" t="str">
        <f t="shared" si="89"/>
        <v/>
      </c>
      <c r="G1427" s="14" t="e">
        <f>VLOOKUP(F1427,'Accident &amp; Incident Detail'!$D$3:$E$165,2,FALSE)</f>
        <v>#N/A</v>
      </c>
      <c r="M1427" s="79" t="str">
        <f t="shared" si="90"/>
        <v/>
      </c>
      <c r="N1427" s="14">
        <f t="shared" si="91"/>
        <v>3</v>
      </c>
    </row>
    <row r="1428" spans="1:14" x14ac:dyDescent="0.35">
      <c r="A1428" s="102" t="str">
        <f t="shared" si="89"/>
        <v/>
      </c>
      <c r="G1428" s="14" t="e">
        <f>VLOOKUP(F1428,'Accident &amp; Incident Detail'!$D$3:$E$165,2,FALSE)</f>
        <v>#N/A</v>
      </c>
      <c r="M1428" s="79" t="str">
        <f t="shared" si="90"/>
        <v/>
      </c>
      <c r="N1428" s="14">
        <f t="shared" si="91"/>
        <v>3</v>
      </c>
    </row>
    <row r="1429" spans="1:14" x14ac:dyDescent="0.35">
      <c r="A1429" s="102" t="str">
        <f t="shared" si="89"/>
        <v/>
      </c>
      <c r="G1429" s="14" t="e">
        <f>VLOOKUP(F1429,'Accident &amp; Incident Detail'!$D$3:$E$165,2,FALSE)</f>
        <v>#N/A</v>
      </c>
      <c r="M1429" s="79" t="str">
        <f t="shared" si="90"/>
        <v/>
      </c>
      <c r="N1429" s="14">
        <f t="shared" si="91"/>
        <v>3</v>
      </c>
    </row>
    <row r="1430" spans="1:14" x14ac:dyDescent="0.35">
      <c r="A1430" s="102" t="str">
        <f t="shared" si="89"/>
        <v/>
      </c>
      <c r="G1430" s="14" t="e">
        <f>VLOOKUP(F1430,'Accident &amp; Incident Detail'!$D$3:$E$165,2,FALSE)</f>
        <v>#N/A</v>
      </c>
      <c r="M1430" s="79" t="str">
        <f t="shared" si="90"/>
        <v/>
      </c>
      <c r="N1430" s="14">
        <f t="shared" si="91"/>
        <v>3</v>
      </c>
    </row>
    <row r="1431" spans="1:14" x14ac:dyDescent="0.35">
      <c r="A1431" s="102" t="str">
        <f t="shared" si="89"/>
        <v/>
      </c>
      <c r="G1431" s="14" t="e">
        <f>VLOOKUP(F1431,'Accident &amp; Incident Detail'!$D$3:$E$165,2,FALSE)</f>
        <v>#N/A</v>
      </c>
      <c r="M1431" s="79" t="str">
        <f t="shared" si="90"/>
        <v/>
      </c>
      <c r="N1431" s="14">
        <f t="shared" si="91"/>
        <v>3</v>
      </c>
    </row>
    <row r="1432" spans="1:14" x14ac:dyDescent="0.35">
      <c r="A1432" s="102" t="str">
        <f t="shared" si="89"/>
        <v/>
      </c>
      <c r="G1432" s="14" t="e">
        <f>VLOOKUP(F1432,'Accident &amp; Incident Detail'!$D$3:$E$165,2,FALSE)</f>
        <v>#N/A</v>
      </c>
      <c r="M1432" s="79" t="str">
        <f t="shared" si="90"/>
        <v/>
      </c>
      <c r="N1432" s="14">
        <f t="shared" si="91"/>
        <v>3</v>
      </c>
    </row>
    <row r="1433" spans="1:14" x14ac:dyDescent="0.35">
      <c r="A1433" s="102" t="str">
        <f t="shared" si="89"/>
        <v/>
      </c>
      <c r="G1433" s="14" t="e">
        <f>VLOOKUP(F1433,'Accident &amp; Incident Detail'!$D$3:$E$165,2,FALSE)</f>
        <v>#N/A</v>
      </c>
      <c r="M1433" s="79" t="str">
        <f t="shared" si="90"/>
        <v/>
      </c>
      <c r="N1433" s="14">
        <f t="shared" si="91"/>
        <v>3</v>
      </c>
    </row>
    <row r="1434" spans="1:14" x14ac:dyDescent="0.35">
      <c r="A1434" s="102" t="str">
        <f t="shared" si="89"/>
        <v/>
      </c>
      <c r="G1434" s="14" t="e">
        <f>VLOOKUP(F1434,'Accident &amp; Incident Detail'!$D$3:$E$165,2,FALSE)</f>
        <v>#N/A</v>
      </c>
      <c r="M1434" s="79" t="str">
        <f t="shared" si="90"/>
        <v/>
      </c>
      <c r="N1434" s="14">
        <f t="shared" si="91"/>
        <v>3</v>
      </c>
    </row>
    <row r="1435" spans="1:14" x14ac:dyDescent="0.35">
      <c r="A1435" s="102" t="str">
        <f t="shared" si="89"/>
        <v/>
      </c>
      <c r="G1435" s="14" t="e">
        <f>VLOOKUP(F1435,'Accident &amp; Incident Detail'!$D$3:$E$165,2,FALSE)</f>
        <v>#N/A</v>
      </c>
      <c r="M1435" s="79" t="str">
        <f t="shared" si="90"/>
        <v/>
      </c>
      <c r="N1435" s="14">
        <f t="shared" si="91"/>
        <v>3</v>
      </c>
    </row>
    <row r="1436" spans="1:14" x14ac:dyDescent="0.35">
      <c r="A1436" s="102" t="str">
        <f t="shared" si="89"/>
        <v/>
      </c>
      <c r="G1436" s="14" t="e">
        <f>VLOOKUP(F1436,'Accident &amp; Incident Detail'!$D$3:$E$165,2,FALSE)</f>
        <v>#N/A</v>
      </c>
      <c r="M1436" s="79" t="str">
        <f t="shared" si="90"/>
        <v/>
      </c>
      <c r="N1436" s="14">
        <f t="shared" si="91"/>
        <v>3</v>
      </c>
    </row>
    <row r="1437" spans="1:14" x14ac:dyDescent="0.35">
      <c r="A1437" s="102" t="str">
        <f t="shared" si="89"/>
        <v/>
      </c>
      <c r="G1437" s="14" t="e">
        <f>VLOOKUP(F1437,'Accident &amp; Incident Detail'!$D$3:$E$165,2,FALSE)</f>
        <v>#N/A</v>
      </c>
      <c r="M1437" s="79" t="str">
        <f t="shared" si="90"/>
        <v/>
      </c>
      <c r="N1437" s="14">
        <f t="shared" si="91"/>
        <v>3</v>
      </c>
    </row>
    <row r="1438" spans="1:14" x14ac:dyDescent="0.35">
      <c r="A1438" s="102" t="str">
        <f t="shared" si="89"/>
        <v/>
      </c>
      <c r="G1438" s="14" t="e">
        <f>VLOOKUP(F1438,'Accident &amp; Incident Detail'!$D$3:$E$165,2,FALSE)</f>
        <v>#N/A</v>
      </c>
      <c r="M1438" s="79" t="str">
        <f t="shared" si="90"/>
        <v/>
      </c>
      <c r="N1438" s="14">
        <f t="shared" si="91"/>
        <v>3</v>
      </c>
    </row>
    <row r="1439" spans="1:14" x14ac:dyDescent="0.35">
      <c r="A1439" s="102" t="str">
        <f t="shared" si="89"/>
        <v/>
      </c>
      <c r="G1439" s="14" t="e">
        <f>VLOOKUP(F1439,'Accident &amp; Incident Detail'!$D$3:$E$165,2,FALSE)</f>
        <v>#N/A</v>
      </c>
      <c r="M1439" s="79" t="str">
        <f t="shared" si="90"/>
        <v/>
      </c>
      <c r="N1439" s="14">
        <f t="shared" si="91"/>
        <v>3</v>
      </c>
    </row>
    <row r="1440" spans="1:14" x14ac:dyDescent="0.35">
      <c r="A1440" s="102" t="str">
        <f t="shared" si="89"/>
        <v/>
      </c>
      <c r="G1440" s="14" t="e">
        <f>VLOOKUP(F1440,'Accident &amp; Incident Detail'!$D$3:$E$165,2,FALSE)</f>
        <v>#N/A</v>
      </c>
      <c r="M1440" s="79" t="str">
        <f t="shared" si="90"/>
        <v/>
      </c>
      <c r="N1440" s="14">
        <f t="shared" si="91"/>
        <v>3</v>
      </c>
    </row>
    <row r="1441" spans="1:14" x14ac:dyDescent="0.35">
      <c r="A1441" s="102" t="str">
        <f t="shared" si="89"/>
        <v/>
      </c>
      <c r="G1441" s="14" t="e">
        <f>VLOOKUP(F1441,'Accident &amp; Incident Detail'!$D$3:$E$165,2,FALSE)</f>
        <v>#N/A</v>
      </c>
      <c r="M1441" s="79" t="str">
        <f t="shared" si="90"/>
        <v/>
      </c>
      <c r="N1441" s="14">
        <f t="shared" si="91"/>
        <v>3</v>
      </c>
    </row>
    <row r="1442" spans="1:14" x14ac:dyDescent="0.35">
      <c r="A1442" s="102" t="str">
        <f t="shared" si="89"/>
        <v/>
      </c>
      <c r="G1442" s="14" t="e">
        <f>VLOOKUP(F1442,'Accident &amp; Incident Detail'!$D$3:$E$165,2,FALSE)</f>
        <v>#N/A</v>
      </c>
      <c r="M1442" s="79" t="str">
        <f t="shared" si="90"/>
        <v/>
      </c>
      <c r="N1442" s="14">
        <f t="shared" si="91"/>
        <v>3</v>
      </c>
    </row>
    <row r="1443" spans="1:14" x14ac:dyDescent="0.35">
      <c r="A1443" s="102" t="str">
        <f t="shared" si="89"/>
        <v/>
      </c>
      <c r="G1443" s="14" t="e">
        <f>VLOOKUP(F1443,'Accident &amp; Incident Detail'!$D$3:$E$165,2,FALSE)</f>
        <v>#N/A</v>
      </c>
      <c r="M1443" s="79" t="str">
        <f t="shared" si="90"/>
        <v/>
      </c>
      <c r="N1443" s="14">
        <f t="shared" si="91"/>
        <v>3</v>
      </c>
    </row>
    <row r="1444" spans="1:14" x14ac:dyDescent="0.35">
      <c r="A1444" s="102" t="str">
        <f t="shared" si="89"/>
        <v/>
      </c>
      <c r="G1444" s="14" t="e">
        <f>VLOOKUP(F1444,'Accident &amp; Incident Detail'!$D$3:$E$165,2,FALSE)</f>
        <v>#N/A</v>
      </c>
      <c r="M1444" s="79" t="str">
        <f t="shared" si="90"/>
        <v/>
      </c>
      <c r="N1444" s="14">
        <f t="shared" si="91"/>
        <v>3</v>
      </c>
    </row>
    <row r="1445" spans="1:14" x14ac:dyDescent="0.35">
      <c r="A1445" s="102" t="str">
        <f t="shared" si="89"/>
        <v/>
      </c>
      <c r="G1445" s="14" t="e">
        <f>VLOOKUP(F1445,'Accident &amp; Incident Detail'!$D$3:$E$165,2,FALSE)</f>
        <v>#N/A</v>
      </c>
      <c r="M1445" s="79" t="str">
        <f t="shared" si="90"/>
        <v/>
      </c>
      <c r="N1445" s="14">
        <f t="shared" si="91"/>
        <v>3</v>
      </c>
    </row>
    <row r="1446" spans="1:14" x14ac:dyDescent="0.35">
      <c r="A1446" s="102" t="str">
        <f t="shared" ref="A1446:A1491" si="92">IF(O1446&gt;1,"Closed",IF(N1446=1,"Overdue",IF(N1446=3,"","Open")))</f>
        <v/>
      </c>
      <c r="G1446" s="14" t="e">
        <f>VLOOKUP(F1446,'Accident &amp; Incident Detail'!$D$3:$E$165,2,FALSE)</f>
        <v>#N/A</v>
      </c>
      <c r="M1446" s="79" t="str">
        <f t="shared" si="90"/>
        <v/>
      </c>
      <c r="N1446" s="14">
        <f t="shared" si="91"/>
        <v>3</v>
      </c>
    </row>
    <row r="1447" spans="1:14" x14ac:dyDescent="0.35">
      <c r="A1447" s="102" t="str">
        <f t="shared" si="92"/>
        <v/>
      </c>
      <c r="G1447" s="14" t="e">
        <f>VLOOKUP(F1447,'Accident &amp; Incident Detail'!$D$3:$E$165,2,FALSE)</f>
        <v>#N/A</v>
      </c>
      <c r="M1447" s="79" t="str">
        <f t="shared" si="90"/>
        <v/>
      </c>
      <c r="N1447" s="14">
        <f t="shared" si="91"/>
        <v>3</v>
      </c>
    </row>
    <row r="1448" spans="1:14" x14ac:dyDescent="0.35">
      <c r="A1448" s="102" t="str">
        <f t="shared" si="92"/>
        <v/>
      </c>
      <c r="G1448" s="14" t="e">
        <f>VLOOKUP(F1448,'Accident &amp; Incident Detail'!$D$3:$E$165,2,FALSE)</f>
        <v>#N/A</v>
      </c>
      <c r="M1448" s="79" t="str">
        <f t="shared" si="90"/>
        <v/>
      </c>
      <c r="N1448" s="14">
        <f t="shared" si="91"/>
        <v>3</v>
      </c>
    </row>
    <row r="1449" spans="1:14" x14ac:dyDescent="0.35">
      <c r="A1449" s="102" t="str">
        <f t="shared" si="92"/>
        <v/>
      </c>
      <c r="G1449" s="14" t="e">
        <f>VLOOKUP(F1449,'Accident &amp; Incident Detail'!$D$3:$E$165,2,FALSE)</f>
        <v>#N/A</v>
      </c>
      <c r="M1449" s="79" t="str">
        <f t="shared" si="90"/>
        <v/>
      </c>
      <c r="N1449" s="14">
        <f t="shared" si="91"/>
        <v>3</v>
      </c>
    </row>
    <row r="1450" spans="1:14" x14ac:dyDescent="0.35">
      <c r="A1450" s="102" t="str">
        <f t="shared" si="92"/>
        <v/>
      </c>
      <c r="G1450" s="14" t="e">
        <f>VLOOKUP(F1450,'Accident &amp; Incident Detail'!$D$3:$E$165,2,FALSE)</f>
        <v>#N/A</v>
      </c>
      <c r="M1450" s="79" t="str">
        <f t="shared" si="90"/>
        <v/>
      </c>
      <c r="N1450" s="14">
        <f t="shared" si="91"/>
        <v>3</v>
      </c>
    </row>
    <row r="1451" spans="1:14" x14ac:dyDescent="0.35">
      <c r="A1451" s="102" t="str">
        <f t="shared" si="92"/>
        <v/>
      </c>
      <c r="G1451" s="14" t="e">
        <f>VLOOKUP(F1451,'Accident &amp; Incident Detail'!$D$3:$E$165,2,FALSE)</f>
        <v>#N/A</v>
      </c>
      <c r="M1451" s="79" t="str">
        <f t="shared" si="90"/>
        <v/>
      </c>
      <c r="N1451" s="14">
        <f t="shared" si="91"/>
        <v>3</v>
      </c>
    </row>
    <row r="1452" spans="1:14" x14ac:dyDescent="0.35">
      <c r="A1452" s="102" t="str">
        <f t="shared" si="92"/>
        <v/>
      </c>
      <c r="G1452" s="14" t="e">
        <f>VLOOKUP(F1452,'Accident &amp; Incident Detail'!$D$3:$E$165,2,FALSE)</f>
        <v>#N/A</v>
      </c>
      <c r="M1452" s="79" t="str">
        <f t="shared" si="90"/>
        <v/>
      </c>
      <c r="N1452" s="14">
        <f t="shared" si="91"/>
        <v>3</v>
      </c>
    </row>
    <row r="1453" spans="1:14" x14ac:dyDescent="0.35">
      <c r="A1453" s="102" t="str">
        <f t="shared" si="92"/>
        <v/>
      </c>
      <c r="G1453" s="14" t="e">
        <f>VLOOKUP(F1453,'Accident &amp; Incident Detail'!$D$3:$E$165,2,FALSE)</f>
        <v>#N/A</v>
      </c>
      <c r="M1453" s="79" t="str">
        <f>IF(D1453="","",D1453+28)</f>
        <v/>
      </c>
      <c r="N1453" s="14">
        <f>IF(D1453="",3,IF(M1453&lt;$A$2,1,0))</f>
        <v>3</v>
      </c>
    </row>
    <row r="1454" spans="1:14" x14ac:dyDescent="0.35">
      <c r="A1454" s="102" t="str">
        <f t="shared" si="92"/>
        <v/>
      </c>
      <c r="G1454" s="14" t="e">
        <f>VLOOKUP(F1454,'Accident &amp; Incident Detail'!$D$3:$E$165,2,FALSE)</f>
        <v>#N/A</v>
      </c>
      <c r="M1454" s="79" t="str">
        <f>IF(D1454="","",D1454+28)</f>
        <v/>
      </c>
      <c r="N1454" s="14">
        <f>IF(D1454="",3,IF(M1454&lt;$A$2,1,0))</f>
        <v>3</v>
      </c>
    </row>
    <row r="1455" spans="1:14" x14ac:dyDescent="0.35">
      <c r="A1455" s="102" t="str">
        <f t="shared" si="92"/>
        <v/>
      </c>
      <c r="G1455" s="14" t="e">
        <f>VLOOKUP(F1455,'Accident &amp; Incident Detail'!$D$3:$E$165,2,FALSE)</f>
        <v>#N/A</v>
      </c>
      <c r="M1455" s="79" t="str">
        <f>IF(D1455="","",D1455+28)</f>
        <v/>
      </c>
      <c r="N1455" s="14">
        <f>IF(D1455="",3,IF(M1455&lt;$A$2,1,0))</f>
        <v>3</v>
      </c>
    </row>
    <row r="1456" spans="1:14" x14ac:dyDescent="0.35">
      <c r="A1456" s="102" t="str">
        <f t="shared" si="92"/>
        <v/>
      </c>
      <c r="G1456" s="14" t="e">
        <f>VLOOKUP(F1456,'Accident &amp; Incident Detail'!$D$3:$E$165,2,FALSE)</f>
        <v>#N/A</v>
      </c>
      <c r="M1456" s="79" t="str">
        <f>IF(D1456="","",D1456+28)</f>
        <v/>
      </c>
      <c r="N1456" s="14">
        <f>IF(D1456="",3,IF(M1456&lt;$A$2,1,0))</f>
        <v>3</v>
      </c>
    </row>
    <row r="1457" spans="1:14" x14ac:dyDescent="0.35">
      <c r="A1457" s="102" t="str">
        <f t="shared" si="92"/>
        <v/>
      </c>
      <c r="G1457" s="14" t="e">
        <f>VLOOKUP(F1457,'Accident &amp; Incident Detail'!$D$3:$E$165,2,FALSE)</f>
        <v>#N/A</v>
      </c>
      <c r="N1457" s="14">
        <f>IF(D1457="",3,IF(M1457&lt;$A$2,1,0))</f>
        <v>3</v>
      </c>
    </row>
    <row r="1458" spans="1:14" x14ac:dyDescent="0.35">
      <c r="A1458" s="102" t="str">
        <f t="shared" si="92"/>
        <v/>
      </c>
      <c r="N1458" s="14">
        <f t="shared" ref="N1458:N1491" si="93">IF(D1458="",3,IF(M1458&lt;$A$2,1,0))</f>
        <v>3</v>
      </c>
    </row>
    <row r="1459" spans="1:14" x14ac:dyDescent="0.35">
      <c r="A1459" s="102" t="str">
        <f t="shared" si="92"/>
        <v/>
      </c>
      <c r="N1459" s="14">
        <f t="shared" si="93"/>
        <v>3</v>
      </c>
    </row>
    <row r="1460" spans="1:14" x14ac:dyDescent="0.35">
      <c r="A1460" s="102" t="str">
        <f t="shared" si="92"/>
        <v/>
      </c>
      <c r="N1460" s="14">
        <f t="shared" si="93"/>
        <v>3</v>
      </c>
    </row>
    <row r="1461" spans="1:14" x14ac:dyDescent="0.35">
      <c r="A1461" s="102" t="str">
        <f t="shared" si="92"/>
        <v/>
      </c>
      <c r="N1461" s="14">
        <f t="shared" si="93"/>
        <v>3</v>
      </c>
    </row>
    <row r="1462" spans="1:14" x14ac:dyDescent="0.35">
      <c r="A1462" s="102" t="str">
        <f t="shared" si="92"/>
        <v/>
      </c>
      <c r="N1462" s="14">
        <f t="shared" si="93"/>
        <v>3</v>
      </c>
    </row>
    <row r="1463" spans="1:14" x14ac:dyDescent="0.35">
      <c r="A1463" s="102" t="str">
        <f t="shared" si="92"/>
        <v/>
      </c>
      <c r="N1463" s="14">
        <f t="shared" si="93"/>
        <v>3</v>
      </c>
    </row>
    <row r="1464" spans="1:14" x14ac:dyDescent="0.35">
      <c r="A1464" s="102" t="str">
        <f t="shared" si="92"/>
        <v/>
      </c>
      <c r="N1464" s="14">
        <f t="shared" si="93"/>
        <v>3</v>
      </c>
    </row>
    <row r="1465" spans="1:14" x14ac:dyDescent="0.35">
      <c r="A1465" s="102" t="str">
        <f t="shared" si="92"/>
        <v/>
      </c>
      <c r="N1465" s="14">
        <f t="shared" si="93"/>
        <v>3</v>
      </c>
    </row>
    <row r="1466" spans="1:14" x14ac:dyDescent="0.35">
      <c r="A1466" s="102" t="str">
        <f t="shared" si="92"/>
        <v/>
      </c>
      <c r="N1466" s="14">
        <f t="shared" si="93"/>
        <v>3</v>
      </c>
    </row>
    <row r="1467" spans="1:14" x14ac:dyDescent="0.35">
      <c r="A1467" s="102" t="str">
        <f t="shared" si="92"/>
        <v/>
      </c>
      <c r="N1467" s="14">
        <f t="shared" si="93"/>
        <v>3</v>
      </c>
    </row>
    <row r="1468" spans="1:14" x14ac:dyDescent="0.35">
      <c r="A1468" s="102" t="str">
        <f t="shared" si="92"/>
        <v/>
      </c>
      <c r="N1468" s="14">
        <f t="shared" si="93"/>
        <v>3</v>
      </c>
    </row>
    <row r="1469" spans="1:14" x14ac:dyDescent="0.35">
      <c r="A1469" s="102" t="str">
        <f t="shared" si="92"/>
        <v/>
      </c>
      <c r="N1469" s="14">
        <f t="shared" si="93"/>
        <v>3</v>
      </c>
    </row>
    <row r="1470" spans="1:14" x14ac:dyDescent="0.35">
      <c r="A1470" s="102" t="str">
        <f t="shared" si="92"/>
        <v/>
      </c>
      <c r="N1470" s="14">
        <f t="shared" si="93"/>
        <v>3</v>
      </c>
    </row>
    <row r="1471" spans="1:14" x14ac:dyDescent="0.35">
      <c r="A1471" s="102" t="str">
        <f t="shared" si="92"/>
        <v/>
      </c>
      <c r="N1471" s="14">
        <f t="shared" si="93"/>
        <v>3</v>
      </c>
    </row>
    <row r="1472" spans="1:14" x14ac:dyDescent="0.35">
      <c r="A1472" s="102" t="str">
        <f t="shared" si="92"/>
        <v/>
      </c>
      <c r="N1472" s="14">
        <f t="shared" si="93"/>
        <v>3</v>
      </c>
    </row>
    <row r="1473" spans="1:15" x14ac:dyDescent="0.35">
      <c r="A1473" s="102" t="str">
        <f t="shared" si="92"/>
        <v/>
      </c>
      <c r="N1473" s="14">
        <f t="shared" si="93"/>
        <v>3</v>
      </c>
    </row>
    <row r="1474" spans="1:15" x14ac:dyDescent="0.35">
      <c r="A1474" s="102" t="str">
        <f t="shared" si="92"/>
        <v/>
      </c>
      <c r="N1474" s="14">
        <f t="shared" si="93"/>
        <v>3</v>
      </c>
    </row>
    <row r="1475" spans="1:15" x14ac:dyDescent="0.35">
      <c r="A1475" s="102" t="str">
        <f t="shared" si="92"/>
        <v/>
      </c>
      <c r="N1475" s="14">
        <f t="shared" si="93"/>
        <v>3</v>
      </c>
    </row>
    <row r="1476" spans="1:15" x14ac:dyDescent="0.35">
      <c r="A1476" s="102" t="str">
        <f t="shared" si="92"/>
        <v/>
      </c>
      <c r="N1476" s="14">
        <f t="shared" si="93"/>
        <v>3</v>
      </c>
    </row>
    <row r="1477" spans="1:15" x14ac:dyDescent="0.35">
      <c r="A1477" s="102" t="str">
        <f t="shared" si="92"/>
        <v/>
      </c>
      <c r="N1477" s="14">
        <f t="shared" si="93"/>
        <v>3</v>
      </c>
    </row>
    <row r="1478" spans="1:15" x14ac:dyDescent="0.35">
      <c r="A1478" s="102" t="str">
        <f t="shared" si="92"/>
        <v/>
      </c>
      <c r="N1478" s="14">
        <f t="shared" si="93"/>
        <v>3</v>
      </c>
    </row>
    <row r="1479" spans="1:15" x14ac:dyDescent="0.35">
      <c r="A1479" s="102" t="str">
        <f t="shared" si="92"/>
        <v/>
      </c>
      <c r="N1479" s="14">
        <f t="shared" si="93"/>
        <v>3</v>
      </c>
    </row>
    <row r="1480" spans="1:15" x14ac:dyDescent="0.35">
      <c r="A1480" s="102" t="str">
        <f t="shared" si="92"/>
        <v/>
      </c>
      <c r="N1480" s="14">
        <f t="shared" si="93"/>
        <v>3</v>
      </c>
    </row>
    <row r="1481" spans="1:15" x14ac:dyDescent="0.35">
      <c r="A1481" s="102" t="str">
        <f t="shared" si="92"/>
        <v/>
      </c>
      <c r="N1481" s="14">
        <f t="shared" si="93"/>
        <v>3</v>
      </c>
    </row>
    <row r="1482" spans="1:15" x14ac:dyDescent="0.35">
      <c r="A1482" s="102" t="str">
        <f t="shared" si="92"/>
        <v/>
      </c>
      <c r="N1482" s="14">
        <f t="shared" si="93"/>
        <v>3</v>
      </c>
    </row>
    <row r="1483" spans="1:15" x14ac:dyDescent="0.35">
      <c r="A1483" s="102" t="str">
        <f t="shared" si="92"/>
        <v/>
      </c>
      <c r="N1483" s="14">
        <f t="shared" si="93"/>
        <v>3</v>
      </c>
    </row>
    <row r="1484" spans="1:15" x14ac:dyDescent="0.35">
      <c r="A1484" s="102" t="str">
        <f t="shared" si="92"/>
        <v/>
      </c>
      <c r="N1484" s="14">
        <f t="shared" si="93"/>
        <v>3</v>
      </c>
    </row>
    <row r="1485" spans="1:15" x14ac:dyDescent="0.35">
      <c r="A1485" s="102" t="str">
        <f t="shared" si="92"/>
        <v/>
      </c>
      <c r="N1485" s="14">
        <f t="shared" si="93"/>
        <v>3</v>
      </c>
      <c r="O1485" s="14"/>
    </row>
    <row r="1486" spans="1:15" x14ac:dyDescent="0.35">
      <c r="A1486" s="102" t="str">
        <f t="shared" si="92"/>
        <v/>
      </c>
      <c r="N1486" s="14">
        <f t="shared" si="93"/>
        <v>3</v>
      </c>
    </row>
    <row r="1487" spans="1:15" x14ac:dyDescent="0.35">
      <c r="A1487" s="102" t="str">
        <f t="shared" si="92"/>
        <v/>
      </c>
      <c r="N1487" s="14">
        <f t="shared" si="93"/>
        <v>3</v>
      </c>
    </row>
    <row r="1488" spans="1:15" x14ac:dyDescent="0.35">
      <c r="A1488" s="102" t="str">
        <f t="shared" si="92"/>
        <v/>
      </c>
      <c r="N1488" s="14">
        <f t="shared" si="93"/>
        <v>3</v>
      </c>
    </row>
    <row r="1489" spans="1:14" x14ac:dyDescent="0.35">
      <c r="A1489" s="102" t="str">
        <f t="shared" si="92"/>
        <v/>
      </c>
      <c r="N1489" s="14">
        <f t="shared" si="93"/>
        <v>3</v>
      </c>
    </row>
    <row r="1490" spans="1:14" x14ac:dyDescent="0.35">
      <c r="A1490" s="102" t="str">
        <f t="shared" si="92"/>
        <v/>
      </c>
      <c r="N1490" s="14">
        <f t="shared" si="93"/>
        <v>3</v>
      </c>
    </row>
    <row r="1491" spans="1:14" x14ac:dyDescent="0.35">
      <c r="A1491" s="102" t="str">
        <f t="shared" si="92"/>
        <v/>
      </c>
      <c r="N1491" s="14">
        <f t="shared" si="93"/>
        <v>3</v>
      </c>
    </row>
    <row r="1045331" spans="15:15" x14ac:dyDescent="0.35">
      <c r="O1045331" s="79">
        <v>43706</v>
      </c>
    </row>
  </sheetData>
  <autoFilter ref="A3:Q1503" xr:uid="{00000000-0001-0000-0400-000000000000}"/>
  <sortState xmlns:xlrd2="http://schemas.microsoft.com/office/spreadsheetml/2017/richdata2" ref="B356:O392">
    <sortCondition ref="H356:H392"/>
  </sortState>
  <dataConsolidate/>
  <phoneticPr fontId="0" type="noConversion"/>
  <conditionalFormatting sqref="A3:A1551">
    <cfRule type="cellIs" dxfId="13" priority="521" operator="equal">
      <formula>"Overdue"</formula>
    </cfRule>
  </conditionalFormatting>
  <conditionalFormatting sqref="A3:Q3 E4:E137 G4:H326 N4:N1491 A4:A1551 C6:C8 C18 C23 E271:E1457 G328:H1457 H1458:H1502">
    <cfRule type="cellIs" dxfId="12" priority="644" operator="equal">
      <formula>"Closed"</formula>
    </cfRule>
    <cfRule type="cellIs" dxfId="11" priority="645" operator="equal">
      <formula>"Open"</formula>
    </cfRule>
  </conditionalFormatting>
  <conditionalFormatting sqref="F129 E139:E229 E233:E265 P276 H327">
    <cfRule type="cellIs" dxfId="10" priority="548" operator="equal">
      <formula>"Closed"</formula>
    </cfRule>
    <cfRule type="cellIs" dxfId="9" priority="549" operator="equal">
      <formula>"Open"</formula>
    </cfRule>
  </conditionalFormatting>
  <conditionalFormatting sqref="O1045331:O1048576">
    <cfRule type="cellIs" dxfId="8" priority="75" operator="equal">
      <formula>"Closed"</formula>
    </cfRule>
    <cfRule type="cellIs" dxfId="7" priority="76" operator="equal">
      <formula>"Open"</formula>
    </cfRule>
  </conditionalFormatting>
  <pageMargins left="0.7" right="0.7" top="0.75" bottom="0.75" header="0.3" footer="0.3"/>
  <pageSetup paperSize="9" scale="20" fitToHeight="0" orientation="landscape" r:id="rId1"/>
  <headerFooter>
    <oddHeader xml:space="preserve">&amp;C&amp;"-,Bold"&amp;48Safety Action Tracking </oddHeader>
  </headerFooter>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400-000000000000}">
          <x14:formula1>
            <xm:f>'Lookup Sheets'!$A$70:$A$90</xm:f>
          </x14:formula1>
          <xm:sqref>B327 B456 B1525:B1048576 B1:B2 B267:B270 B469:B1504</xm:sqref>
        </x14:dataValidation>
        <x14:dataValidation type="list" allowBlank="1" showInputMessage="1" showErrorMessage="1" xr:uid="{00000000-0002-0000-0400-000001000000}">
          <x14:formula1>
            <xm:f>'Lookup Sheets'!$A$85:$A$90</xm:f>
          </x14:formula1>
          <xm:sqref>L382:L1048576 L1:L19 L20:L372</xm:sqref>
        </x14:dataValidation>
        <x14:dataValidation type="list" allowBlank="1" showInputMessage="1" showErrorMessage="1" xr:uid="{00000000-0002-0000-0400-000002000000}">
          <x14:formula1>
            <xm:f>'Lookup Sheets'!$D$70:$D$119</xm:f>
          </x14:formula1>
          <xm:sqref>K266:K270 K456 K1:K3 K1486:K1048576 K1221:K1484</xm:sqref>
        </x14:dataValidation>
        <x14:dataValidation type="list" allowBlank="1" showInputMessage="1" showErrorMessage="1" xr:uid="{00000000-0002-0000-0400-000004000000}">
          <x14:formula1>
            <xm:f>'Lookup Sheets'!$C$2:$C$55</xm:f>
          </x14:formula1>
          <xm:sqref>E1:E3 E2114:E1048576</xm:sqref>
        </x14:dataValidation>
        <x14:dataValidation type="list" allowBlank="1" showInputMessage="1" showErrorMessage="1" xr:uid="{F93338B4-91DC-4223-83BC-8A51695297F6}">
          <x14:formula1>
            <xm:f>'Lookup Sheets'!$C$2:$C$96</xm:f>
          </x14:formula1>
          <xm:sqref>E679:E1457</xm:sqref>
        </x14:dataValidation>
        <x14:dataValidation type="list" allowBlank="1" showInputMessage="1" showErrorMessage="1" xr:uid="{2207A163-A50F-485A-A329-28FE5A27FD67}">
          <x14:formula1>
            <xm:f>'Lookup Sheets'!$D$70:$D$123</xm:f>
          </x14:formula1>
          <xm:sqref>K131:K163</xm:sqref>
        </x14:dataValidation>
        <x14:dataValidation type="list" allowBlank="1" showInputMessage="1" showErrorMessage="1" xr:uid="{6ACA5512-E11E-4266-9C5C-D3CBA671CF5C}">
          <x14:formula1>
            <xm:f>'Lookup Sheets'!$C$2:$C$109</xm:f>
          </x14:formula1>
          <xm:sqref>E274:E276 E287:E288 E281:E282 E202 E4:E19 E20:E61</xm:sqref>
        </x14:dataValidation>
        <x14:dataValidation type="list" allowBlank="1" showInputMessage="1" showErrorMessage="1" xr:uid="{A2FED11A-1F24-47C8-97E0-CAC77EE56216}">
          <x14:formula1>
            <xm:f>'Lookup Sheets'!$D$70:$D$126</xm:f>
          </x14:formula1>
          <xm:sqref>K13:K14 K4:K11 K1485 K304 K283:K284 K277:K278 K246:K249 K243:K244 K190 K164 K202 K16:K19 K20:K130</xm:sqref>
        </x14:dataValidation>
        <x14:dataValidation type="list" allowBlank="1" showInputMessage="1" showErrorMessage="1" xr:uid="{0AEFD9FF-AFBB-4E57-A84A-0620295AF3F7}">
          <x14:formula1>
            <xm:f>'Lookup Sheets'!$C$2:$C$122</xm:f>
          </x14:formula1>
          <xm:sqref>E129:F129 E1458:E1503 E62:E128 E289:E294 E283:E286 E277:E280 E233:E273 E130:E137 E139:E229 E296:E306 E311:E315 E318:E344 E346:E349</xm:sqref>
        </x14:dataValidation>
        <x14:dataValidation type="list" allowBlank="1" showInputMessage="1" showErrorMessage="1" xr:uid="{F90AFB33-1836-493D-801B-4C43A25EE28C}">
          <x14:formula1>
            <xm:f>'Lookup Sheets'!$D$70:$D$127</xm:f>
          </x14:formula1>
          <xm:sqref>K250:K265 K367:K372 K346:K365 K165:K189 K466:K1220 K310:K337 K340:K344 K285:K303 K305:K308 K279:K282 K271:K276 K245 K191:K242 K382:K387 K396</xm:sqref>
        </x14:dataValidation>
        <x14:dataValidation type="list" allowBlank="1" showInputMessage="1" showErrorMessage="1" xr:uid="{48D3B412-4DB0-4A2A-BE47-432209AFDCFD}">
          <x14:formula1>
            <xm:f>'Lookup Sheets'!$A$70:$A$98</xm:f>
          </x14:formula1>
          <xm:sqref>B271:B326 B457:B468 B328:B372 B382:B455 B4:B19 B20:B266</xm:sqref>
        </x14:dataValidation>
        <x14:dataValidation type="list" allowBlank="1" showInputMessage="1" showErrorMessage="1" xr:uid="{8A12C726-C4EE-406F-86FD-2AE3164B4AC8}">
          <x14:formula1>
            <xm:f>'Lookup Sheets'!$D$70:$D$129</xm:f>
          </x14:formula1>
          <xm:sqref>K309</xm:sqref>
        </x14:dataValidation>
        <x14:dataValidation type="list" allowBlank="1" showInputMessage="1" showErrorMessage="1" xr:uid="{8FC3B4A9-F0A8-4DE7-A8B4-E11C55A05CB1}">
          <x14:formula1>
            <xm:f>'Lookup Sheets'!$A$69:$A$90</xm:f>
          </x14:formula1>
          <xm:sqref>B3</xm:sqref>
        </x14:dataValidation>
        <x14:dataValidation type="list" allowBlank="1" showInputMessage="1" showErrorMessage="1" xr:uid="{A8BAAE2F-778B-486A-B8C6-1EEF176313E4}">
          <x14:formula1>
            <xm:f>'Lookup Sheets'!$D$70:$D$130</xm:f>
          </x14:formula1>
          <xm:sqref>K338:K339</xm:sqref>
        </x14:dataValidation>
        <x14:dataValidation type="list" allowBlank="1" showInputMessage="1" showErrorMessage="1" xr:uid="{85F484C6-7320-4595-ADA2-18E02CEC12EF}">
          <x14:formula1>
            <xm:f>'Lookup Sheets'!$D$70:$D$131</xm:f>
          </x14:formula1>
          <xm:sqref>K345</xm:sqref>
        </x14:dataValidation>
        <x14:dataValidation type="list" allowBlank="1" showInputMessage="1" showErrorMessage="1" xr:uid="{96C5B839-33F3-4F62-B060-B1A1050BB819}">
          <x14:formula1>
            <xm:f>'Lookup Sheets'!$C$2:$C$135</xm:f>
          </x14:formula1>
          <xm:sqref>E350:E372 E345 E1504:E2113 E295 E316:E317 E307:E310 E382:E678</xm:sqref>
        </x14:dataValidation>
        <x14:dataValidation type="list" allowBlank="1" showInputMessage="1" showErrorMessage="1" xr:uid="{D539B254-05CB-4BB7-BAD8-C240BFC71494}">
          <x14:formula1>
            <xm:f>'Lookup Sheets'!$D$70:$D$112</xm:f>
          </x14:formula1>
          <xm:sqref>K366</xm:sqref>
        </x14:dataValidation>
        <x14:dataValidation type="list" allowBlank="1" showInputMessage="1" showErrorMessage="1" xr:uid="{2587E011-A51A-4E49-B11B-033BC388A984}">
          <x14:formula1>
            <xm:f>'Lookup Sheets'!$D$70:$D$128</xm:f>
          </x14:formula1>
          <xm:sqref>K457:K465 K388:K395 K397:K455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41358"/>
  <sheetViews>
    <sheetView zoomScale="85" zoomScaleNormal="85" workbookViewId="0">
      <pane ySplit="2" topLeftCell="A3" activePane="bottomLeft" state="frozen"/>
      <selection activeCell="A2" sqref="A2"/>
      <selection pane="bottomLeft" activeCell="A2" sqref="A2"/>
    </sheetView>
  </sheetViews>
  <sheetFormatPr defaultColWidth="9.1796875" defaultRowHeight="14.5" x14ac:dyDescent="0.35"/>
  <cols>
    <col min="1" max="1" width="16.54296875" style="203" customWidth="1"/>
    <col min="2" max="2" width="23.1796875" style="220" customWidth="1"/>
    <col min="3" max="3" width="21.7265625" style="110" customWidth="1"/>
    <col min="4" max="4" width="18" style="30" customWidth="1"/>
    <col min="5" max="5" width="15.81640625" style="30" customWidth="1"/>
    <col min="6" max="6" width="16.81640625" style="30" customWidth="1"/>
    <col min="7" max="7" width="21" style="30" customWidth="1"/>
    <col min="8" max="8" width="9.453125" style="110" customWidth="1"/>
    <col min="9" max="9" width="18.81640625" style="30" customWidth="1"/>
    <col min="10" max="10" width="13.7265625" style="14" customWidth="1"/>
    <col min="11" max="11" width="18.54296875" style="30" customWidth="1"/>
    <col min="12" max="12" width="67" style="30" customWidth="1"/>
    <col min="13" max="13" width="18.7265625" style="110" customWidth="1"/>
    <col min="14" max="14" width="22.453125" style="110" customWidth="1"/>
    <col min="15" max="15" width="26.453125" style="30" customWidth="1"/>
    <col min="16" max="16" width="19.1796875" style="110" customWidth="1"/>
    <col min="17" max="17" width="15.26953125" style="30" customWidth="1"/>
    <col min="18" max="18" width="21.1796875" style="110" customWidth="1"/>
    <col min="19" max="19" width="20.453125" style="30" customWidth="1"/>
    <col min="20" max="20" width="31.81640625" style="30" customWidth="1"/>
    <col min="21" max="21" width="23.81640625" style="30" customWidth="1"/>
    <col min="22" max="22" width="29.54296875" style="30" customWidth="1"/>
    <col min="23" max="23" width="28.453125" style="30" customWidth="1"/>
    <col min="24" max="24" width="27.81640625" style="30" customWidth="1"/>
    <col min="25" max="25" width="29.453125" style="14" customWidth="1"/>
    <col min="26" max="26" width="35.453125" style="30" customWidth="1"/>
    <col min="27" max="27" width="19.7265625" style="200" customWidth="1"/>
    <col min="28" max="28" width="21.1796875" style="200" customWidth="1"/>
    <col min="29" max="29" width="21.453125" style="200" customWidth="1"/>
    <col min="30" max="16384" width="9.1796875" style="200"/>
  </cols>
  <sheetData>
    <row r="1" spans="1:29" ht="15" thickBot="1" x14ac:dyDescent="0.4">
      <c r="A1" s="462">
        <f ca="1">TODAY()</f>
        <v>46057</v>
      </c>
      <c r="J1" s="85"/>
      <c r="P1" s="199"/>
    </row>
    <row r="2" spans="1:29" s="201" customFormat="1" ht="51.65" customHeight="1" thickBot="1" x14ac:dyDescent="0.35">
      <c r="A2" s="460" t="s">
        <v>112</v>
      </c>
      <c r="B2" s="221" t="s">
        <v>113</v>
      </c>
      <c r="C2" s="6" t="s">
        <v>114</v>
      </c>
      <c r="D2" s="6" t="s">
        <v>115</v>
      </c>
      <c r="E2" s="7" t="s">
        <v>1865</v>
      </c>
      <c r="F2" s="7" t="s">
        <v>117</v>
      </c>
      <c r="G2" s="7" t="s">
        <v>1866</v>
      </c>
      <c r="H2" s="7" t="s">
        <v>118</v>
      </c>
      <c r="I2" s="9" t="s">
        <v>119</v>
      </c>
      <c r="J2" s="325" t="s">
        <v>1867</v>
      </c>
      <c r="K2" s="10" t="s">
        <v>120</v>
      </c>
      <c r="L2" s="9" t="s">
        <v>121</v>
      </c>
      <c r="M2" s="325" t="s">
        <v>122</v>
      </c>
      <c r="N2" s="10" t="s">
        <v>1868</v>
      </c>
      <c r="O2" s="7" t="s">
        <v>1869</v>
      </c>
      <c r="P2" s="7" t="s">
        <v>124</v>
      </c>
      <c r="Q2" s="7" t="s">
        <v>125</v>
      </c>
      <c r="R2" s="461" t="s">
        <v>1870</v>
      </c>
      <c r="S2" s="461" t="s">
        <v>126</v>
      </c>
      <c r="T2" s="10" t="s">
        <v>127</v>
      </c>
      <c r="U2" s="7" t="s">
        <v>128</v>
      </c>
      <c r="V2" s="7" t="s">
        <v>1871</v>
      </c>
      <c r="W2" s="7" t="s">
        <v>1872</v>
      </c>
      <c r="X2" s="9" t="s">
        <v>130</v>
      </c>
      <c r="Y2" s="155" t="s">
        <v>1873</v>
      </c>
      <c r="Z2" s="10" t="s">
        <v>131</v>
      </c>
      <c r="AA2" s="7" t="s">
        <v>1874</v>
      </c>
      <c r="AB2" s="9" t="s">
        <v>132</v>
      </c>
      <c r="AC2" s="453" t="s">
        <v>1875</v>
      </c>
    </row>
    <row r="3" spans="1:29" ht="72.5" x14ac:dyDescent="0.35">
      <c r="A3" s="169" t="str">
        <f t="shared" ref="A3:A42" si="0">IF(T3&gt;1,"Closed",IF(AA3=1,"Overdue",IF(AA3=3,"","Open")))</f>
        <v>Closed</v>
      </c>
      <c r="B3" s="222">
        <v>45293</v>
      </c>
      <c r="C3" s="14">
        <v>2309</v>
      </c>
      <c r="D3" s="14" t="s">
        <v>1876</v>
      </c>
      <c r="E3" s="14" t="s">
        <v>42</v>
      </c>
      <c r="F3" s="14" t="s">
        <v>1877</v>
      </c>
      <c r="G3" s="14"/>
      <c r="H3" s="14">
        <v>205</v>
      </c>
      <c r="I3" s="176" t="s">
        <v>4</v>
      </c>
      <c r="J3" s="14">
        <v>8501823</v>
      </c>
      <c r="K3" s="87" t="s">
        <v>137</v>
      </c>
      <c r="L3" s="14" t="s">
        <v>1878</v>
      </c>
      <c r="M3" s="324">
        <v>0</v>
      </c>
      <c r="N3" s="14" t="s">
        <v>1879</v>
      </c>
      <c r="O3" s="14" t="s">
        <v>1880</v>
      </c>
      <c r="P3" s="167" t="s">
        <v>139</v>
      </c>
      <c r="Q3" s="14" t="s">
        <v>138</v>
      </c>
      <c r="R3" s="170" t="s">
        <v>234</v>
      </c>
      <c r="S3" s="108">
        <f>IF(B3="","",B3+28)</f>
        <v>45321</v>
      </c>
      <c r="T3" s="79">
        <v>45313</v>
      </c>
      <c r="U3" s="14" t="s">
        <v>1881</v>
      </c>
      <c r="V3" s="14" t="s">
        <v>1882</v>
      </c>
      <c r="W3" s="14" t="s">
        <v>1879</v>
      </c>
      <c r="X3" s="14" t="s">
        <v>1883</v>
      </c>
      <c r="Y3" s="88"/>
      <c r="Z3" s="14" t="s">
        <v>1884</v>
      </c>
      <c r="AA3" s="2">
        <f t="shared" ref="AA3:AA13" ca="1" si="1">IF(B3="",3,IF(S3&lt;$A$1,1,0))</f>
        <v>1</v>
      </c>
      <c r="AB3" s="153"/>
      <c r="AC3" s="454" t="str">
        <f t="shared" ref="AC3:AC13" si="2">LEFT(H3,1)</f>
        <v>2</v>
      </c>
    </row>
    <row r="4" spans="1:29" ht="58" x14ac:dyDescent="0.35">
      <c r="A4" s="169" t="str">
        <f t="shared" si="0"/>
        <v>Closed</v>
      </c>
      <c r="B4" s="222">
        <v>45293</v>
      </c>
      <c r="C4" s="14">
        <v>2309</v>
      </c>
      <c r="D4" s="14" t="s">
        <v>1885</v>
      </c>
      <c r="E4" s="14" t="s">
        <v>41</v>
      </c>
      <c r="F4" s="14" t="s">
        <v>1886</v>
      </c>
      <c r="G4" s="14"/>
      <c r="H4" s="14">
        <v>118</v>
      </c>
      <c r="I4" s="176" t="s">
        <v>4</v>
      </c>
      <c r="J4" s="14">
        <v>41395</v>
      </c>
      <c r="K4" s="87" t="s">
        <v>137</v>
      </c>
      <c r="L4" s="14" t="s">
        <v>1887</v>
      </c>
      <c r="M4" s="324">
        <v>0</v>
      </c>
      <c r="N4" s="14" t="s">
        <v>1879</v>
      </c>
      <c r="O4" s="14" t="s">
        <v>1879</v>
      </c>
      <c r="P4" s="167" t="s">
        <v>139</v>
      </c>
      <c r="Q4" s="14" t="s">
        <v>135</v>
      </c>
      <c r="R4" s="170" t="s">
        <v>234</v>
      </c>
      <c r="S4" s="108">
        <f>IF(B4="","",B4+28)</f>
        <v>45321</v>
      </c>
      <c r="T4" s="79">
        <v>45336</v>
      </c>
      <c r="U4" s="14" t="s">
        <v>1888</v>
      </c>
      <c r="V4" s="14" t="s">
        <v>1889</v>
      </c>
      <c r="W4" s="14" t="s">
        <v>1879</v>
      </c>
      <c r="X4" s="14" t="s">
        <v>1883</v>
      </c>
      <c r="Y4" s="14" t="s">
        <v>1890</v>
      </c>
      <c r="Z4" s="14" t="s">
        <v>1891</v>
      </c>
      <c r="AA4" s="2">
        <f t="shared" ca="1" si="1"/>
        <v>1</v>
      </c>
      <c r="AB4" s="153"/>
      <c r="AC4" s="454" t="str">
        <f t="shared" si="2"/>
        <v>1</v>
      </c>
    </row>
    <row r="5" spans="1:29" ht="43.5" x14ac:dyDescent="0.35">
      <c r="A5" s="169" t="str">
        <f t="shared" si="0"/>
        <v>Closed</v>
      </c>
      <c r="B5" s="222">
        <v>45293</v>
      </c>
      <c r="C5" s="14">
        <v>2309</v>
      </c>
      <c r="D5" s="14" t="s">
        <v>1892</v>
      </c>
      <c r="E5" s="14" t="s">
        <v>72</v>
      </c>
      <c r="F5" s="14" t="s">
        <v>1893</v>
      </c>
      <c r="G5" s="14"/>
      <c r="H5" s="14"/>
      <c r="I5" s="176" t="s">
        <v>155</v>
      </c>
      <c r="J5" s="14">
        <v>377</v>
      </c>
      <c r="K5" s="87"/>
      <c r="L5" s="14" t="s">
        <v>1894</v>
      </c>
      <c r="M5" s="324">
        <f t="shared" ref="M5:M10" si="3">IF(I5="Staff Accident","Entry Required",IF(I5="Assaults","Entry Required",0))</f>
        <v>0</v>
      </c>
      <c r="N5" s="14" t="s">
        <v>1879</v>
      </c>
      <c r="O5" s="14" t="s">
        <v>1879</v>
      </c>
      <c r="P5" s="167" t="s">
        <v>147</v>
      </c>
      <c r="Q5" s="14" t="s">
        <v>175</v>
      </c>
      <c r="R5" s="170" t="s">
        <v>234</v>
      </c>
      <c r="S5" s="108">
        <f>IF(B5="","",B5+28)</f>
        <v>45321</v>
      </c>
      <c r="T5" s="79">
        <v>45307</v>
      </c>
      <c r="U5" s="14" t="s">
        <v>1895</v>
      </c>
      <c r="V5" s="14" t="s">
        <v>1896</v>
      </c>
      <c r="W5" s="14" t="s">
        <v>1880</v>
      </c>
      <c r="X5" s="14" t="s">
        <v>154</v>
      </c>
      <c r="Z5" s="14" t="s">
        <v>1897</v>
      </c>
      <c r="AA5" s="2">
        <f t="shared" ca="1" si="1"/>
        <v>1</v>
      </c>
      <c r="AB5" s="153"/>
      <c r="AC5" s="454" t="str">
        <f t="shared" si="2"/>
        <v/>
      </c>
    </row>
    <row r="6" spans="1:29" ht="58" x14ac:dyDescent="0.35">
      <c r="A6" s="169" t="str">
        <f t="shared" si="0"/>
        <v>Closed</v>
      </c>
      <c r="B6" s="222">
        <v>45294</v>
      </c>
      <c r="C6" s="14">
        <v>2309</v>
      </c>
      <c r="D6" s="14" t="s">
        <v>1898</v>
      </c>
      <c r="E6" s="14" t="s">
        <v>31</v>
      </c>
      <c r="F6" s="14" t="s">
        <v>1899</v>
      </c>
      <c r="G6" s="14" t="s">
        <v>1900</v>
      </c>
      <c r="H6" s="14">
        <v>108</v>
      </c>
      <c r="I6" s="176" t="s">
        <v>155</v>
      </c>
      <c r="J6" s="14">
        <v>8504143</v>
      </c>
      <c r="K6" s="87"/>
      <c r="L6" s="14" t="s">
        <v>1901</v>
      </c>
      <c r="M6" s="324">
        <f t="shared" si="3"/>
        <v>0</v>
      </c>
      <c r="N6" s="14" t="s">
        <v>1879</v>
      </c>
      <c r="O6" s="14" t="s">
        <v>1880</v>
      </c>
      <c r="P6" s="167" t="s">
        <v>147</v>
      </c>
      <c r="Q6" s="14" t="s">
        <v>135</v>
      </c>
      <c r="R6" s="170" t="s">
        <v>234</v>
      </c>
      <c r="S6" s="108">
        <f>IF(B6="","",B6+28)</f>
        <v>45322</v>
      </c>
      <c r="T6" s="79">
        <v>45407</v>
      </c>
      <c r="U6" s="14" t="s">
        <v>1902</v>
      </c>
      <c r="V6" s="14" t="s">
        <v>1903</v>
      </c>
      <c r="W6" s="14" t="s">
        <v>1879</v>
      </c>
      <c r="X6" s="14" t="s">
        <v>1883</v>
      </c>
      <c r="Y6" s="14" t="s">
        <v>1904</v>
      </c>
      <c r="Z6" s="14" t="s">
        <v>1905</v>
      </c>
      <c r="AA6" s="2">
        <f t="shared" ca="1" si="1"/>
        <v>1</v>
      </c>
      <c r="AB6" s="153"/>
      <c r="AC6" s="454" t="str">
        <f t="shared" si="2"/>
        <v>1</v>
      </c>
    </row>
    <row r="7" spans="1:29" ht="58" x14ac:dyDescent="0.35">
      <c r="A7" s="169" t="str">
        <f t="shared" si="0"/>
        <v>Closed</v>
      </c>
      <c r="B7" s="222">
        <v>45294</v>
      </c>
      <c r="C7" s="14">
        <v>2309</v>
      </c>
      <c r="D7" s="14" t="s">
        <v>1906</v>
      </c>
      <c r="E7" s="14" t="s">
        <v>1907</v>
      </c>
      <c r="F7" s="14" t="s">
        <v>1908</v>
      </c>
      <c r="G7" s="14"/>
      <c r="H7" s="14">
        <v>103</v>
      </c>
      <c r="I7" s="176" t="s">
        <v>140</v>
      </c>
      <c r="J7" s="14">
        <v>426</v>
      </c>
      <c r="K7" s="87" t="s">
        <v>137</v>
      </c>
      <c r="L7" s="14" t="s">
        <v>1909</v>
      </c>
      <c r="M7" s="324">
        <f t="shared" si="3"/>
        <v>0</v>
      </c>
      <c r="N7" s="14" t="s">
        <v>1879</v>
      </c>
      <c r="O7" s="14" t="s">
        <v>1879</v>
      </c>
      <c r="P7" s="167" t="s">
        <v>143</v>
      </c>
      <c r="Q7" s="14"/>
      <c r="R7" s="170">
        <v>0</v>
      </c>
      <c r="S7" s="108">
        <f t="shared" ref="S7:S13" si="4">IF(B7="","",B7+28)</f>
        <v>45322</v>
      </c>
      <c r="T7" s="79">
        <v>45294</v>
      </c>
      <c r="U7" s="14"/>
      <c r="V7" s="14"/>
      <c r="W7" s="14"/>
      <c r="X7" s="14"/>
      <c r="Z7" s="14"/>
      <c r="AA7" s="2">
        <f t="shared" ca="1" si="1"/>
        <v>1</v>
      </c>
      <c r="AB7" s="153"/>
      <c r="AC7" s="454" t="str">
        <f t="shared" si="2"/>
        <v>1</v>
      </c>
    </row>
    <row r="8" spans="1:29" ht="58" x14ac:dyDescent="0.35">
      <c r="A8" s="169" t="str">
        <f t="shared" si="0"/>
        <v>Closed</v>
      </c>
      <c r="B8" s="222">
        <v>45295</v>
      </c>
      <c r="C8" s="14">
        <v>2309</v>
      </c>
      <c r="D8" s="14" t="s">
        <v>330</v>
      </c>
      <c r="E8" s="14" t="s">
        <v>31</v>
      </c>
      <c r="F8" s="14" t="s">
        <v>1910</v>
      </c>
      <c r="G8" s="14" t="s">
        <v>1911</v>
      </c>
      <c r="H8" s="14">
        <v>115</v>
      </c>
      <c r="I8" s="176" t="s">
        <v>155</v>
      </c>
      <c r="J8" s="14">
        <v>8504143</v>
      </c>
      <c r="K8" s="87"/>
      <c r="L8" s="14" t="s">
        <v>1912</v>
      </c>
      <c r="M8" s="324">
        <f t="shared" si="3"/>
        <v>0</v>
      </c>
      <c r="N8" s="14" t="s">
        <v>1879</v>
      </c>
      <c r="O8" s="14" t="s">
        <v>1880</v>
      </c>
      <c r="P8" s="167" t="s">
        <v>147</v>
      </c>
      <c r="Q8" s="14" t="s">
        <v>135</v>
      </c>
      <c r="R8" s="170" t="s">
        <v>234</v>
      </c>
      <c r="S8" s="108">
        <f t="shared" si="4"/>
        <v>45323</v>
      </c>
      <c r="T8" s="79">
        <v>45300</v>
      </c>
      <c r="U8" s="14" t="s">
        <v>1913</v>
      </c>
      <c r="V8" s="14" t="s">
        <v>1914</v>
      </c>
      <c r="W8" s="14" t="s">
        <v>1879</v>
      </c>
      <c r="X8" s="14" t="s">
        <v>1880</v>
      </c>
      <c r="Y8" s="15" t="s">
        <v>1915</v>
      </c>
      <c r="Z8" s="14" t="s">
        <v>1916</v>
      </c>
      <c r="AA8" s="2">
        <f t="shared" ca="1" si="1"/>
        <v>1</v>
      </c>
      <c r="AB8" s="153"/>
      <c r="AC8" s="454" t="str">
        <f t="shared" si="2"/>
        <v>1</v>
      </c>
    </row>
    <row r="9" spans="1:29" ht="58" x14ac:dyDescent="0.35">
      <c r="A9" s="169" t="str">
        <f t="shared" si="0"/>
        <v>Closed</v>
      </c>
      <c r="B9" s="222">
        <v>45296</v>
      </c>
      <c r="C9" s="14">
        <v>2309</v>
      </c>
      <c r="D9" s="14" t="s">
        <v>1917</v>
      </c>
      <c r="E9" s="14" t="s">
        <v>78</v>
      </c>
      <c r="F9" s="14" t="s">
        <v>1918</v>
      </c>
      <c r="G9" s="14"/>
      <c r="H9" s="14"/>
      <c r="I9" s="176" t="s">
        <v>140</v>
      </c>
      <c r="K9" s="87"/>
      <c r="L9" s="14" t="s">
        <v>1919</v>
      </c>
      <c r="M9" s="324">
        <f t="shared" si="3"/>
        <v>0</v>
      </c>
      <c r="N9" s="14" t="s">
        <v>1879</v>
      </c>
      <c r="O9" s="14"/>
      <c r="P9" s="167" t="s">
        <v>143</v>
      </c>
      <c r="Q9" s="14"/>
      <c r="R9" s="170">
        <v>0</v>
      </c>
      <c r="S9" s="108">
        <f t="shared" si="4"/>
        <v>45324</v>
      </c>
      <c r="T9" s="79">
        <v>44931</v>
      </c>
      <c r="U9" s="14"/>
      <c r="V9" s="14"/>
      <c r="W9" s="14"/>
      <c r="X9" s="176"/>
      <c r="Z9" s="87"/>
      <c r="AA9" s="2">
        <f t="shared" ca="1" si="1"/>
        <v>1</v>
      </c>
      <c r="AB9" s="153"/>
      <c r="AC9" s="454" t="str">
        <f t="shared" si="2"/>
        <v/>
      </c>
    </row>
    <row r="10" spans="1:29" ht="29" x14ac:dyDescent="0.35">
      <c r="A10" s="169" t="str">
        <f t="shared" si="0"/>
        <v>Closed</v>
      </c>
      <c r="B10" s="222">
        <v>45296</v>
      </c>
      <c r="C10" s="14">
        <v>2309</v>
      </c>
      <c r="D10" s="14" t="s">
        <v>1920</v>
      </c>
      <c r="E10" s="14" t="s">
        <v>187</v>
      </c>
      <c r="F10" s="14" t="s">
        <v>1921</v>
      </c>
      <c r="G10" s="14" t="s">
        <v>1900</v>
      </c>
      <c r="H10" s="14">
        <v>102</v>
      </c>
      <c r="I10" s="176" t="s">
        <v>140</v>
      </c>
      <c r="J10" s="14">
        <v>625</v>
      </c>
      <c r="K10" s="87"/>
      <c r="L10" s="14" t="s">
        <v>1922</v>
      </c>
      <c r="M10" s="324">
        <f t="shared" si="3"/>
        <v>0</v>
      </c>
      <c r="N10" s="14" t="s">
        <v>1879</v>
      </c>
      <c r="O10" s="14" t="s">
        <v>1879</v>
      </c>
      <c r="P10" s="167" t="s">
        <v>143</v>
      </c>
      <c r="Q10" s="14"/>
      <c r="R10" s="170">
        <v>0</v>
      </c>
      <c r="S10" s="108">
        <f t="shared" si="4"/>
        <v>45324</v>
      </c>
      <c r="T10" s="79">
        <v>45296</v>
      </c>
      <c r="U10" s="14"/>
      <c r="V10" s="14"/>
      <c r="W10" s="14"/>
      <c r="X10" s="14"/>
      <c r="Y10" s="88" t="s">
        <v>1923</v>
      </c>
      <c r="Z10" s="14"/>
      <c r="AA10" s="2">
        <f t="shared" ca="1" si="1"/>
        <v>1</v>
      </c>
      <c r="AB10" s="153"/>
      <c r="AC10" s="454" t="str">
        <f t="shared" si="2"/>
        <v>1</v>
      </c>
    </row>
    <row r="11" spans="1:29" ht="72.5" x14ac:dyDescent="0.35">
      <c r="A11" s="169" t="str">
        <f t="shared" si="0"/>
        <v>Closed</v>
      </c>
      <c r="B11" s="222">
        <v>45297</v>
      </c>
      <c r="C11" s="14">
        <v>2309</v>
      </c>
      <c r="D11" s="14" t="s">
        <v>1924</v>
      </c>
      <c r="E11" s="14" t="s">
        <v>38</v>
      </c>
      <c r="F11" s="14" t="s">
        <v>1925</v>
      </c>
      <c r="G11" s="14"/>
      <c r="H11" s="14">
        <v>206</v>
      </c>
      <c r="I11" s="176" t="s">
        <v>2</v>
      </c>
      <c r="J11" s="14">
        <v>37</v>
      </c>
      <c r="K11" s="85" t="s">
        <v>137</v>
      </c>
      <c r="L11" s="14" t="s">
        <v>1926</v>
      </c>
      <c r="M11" s="324">
        <v>0</v>
      </c>
      <c r="N11" s="14" t="s">
        <v>1879</v>
      </c>
      <c r="O11" s="14" t="s">
        <v>1880</v>
      </c>
      <c r="P11" s="167" t="s">
        <v>136</v>
      </c>
      <c r="Q11" s="14" t="s">
        <v>177</v>
      </c>
      <c r="R11" s="170" t="s">
        <v>234</v>
      </c>
      <c r="S11" s="108">
        <f t="shared" si="4"/>
        <v>45325</v>
      </c>
      <c r="T11" s="79">
        <v>45459</v>
      </c>
      <c r="U11" s="14" t="s">
        <v>1927</v>
      </c>
      <c r="V11" s="14" t="s">
        <v>1928</v>
      </c>
      <c r="W11" s="14" t="s">
        <v>1879</v>
      </c>
      <c r="X11" s="14" t="s">
        <v>1883</v>
      </c>
      <c r="Y11" s="167" t="s">
        <v>1929</v>
      </c>
      <c r="Z11" s="14" t="s">
        <v>1930</v>
      </c>
      <c r="AA11" s="2">
        <f t="shared" ca="1" si="1"/>
        <v>1</v>
      </c>
      <c r="AB11" s="153"/>
      <c r="AC11" s="454" t="str">
        <f t="shared" si="2"/>
        <v>2</v>
      </c>
    </row>
    <row r="12" spans="1:29" ht="72.5" x14ac:dyDescent="0.35">
      <c r="A12" s="169" t="str">
        <f t="shared" si="0"/>
        <v>Closed</v>
      </c>
      <c r="B12" s="222">
        <v>45297</v>
      </c>
      <c r="C12" s="14">
        <v>2309</v>
      </c>
      <c r="D12" s="14" t="s">
        <v>1931</v>
      </c>
      <c r="E12" s="14" t="s">
        <v>27</v>
      </c>
      <c r="F12" s="14" t="s">
        <v>1910</v>
      </c>
      <c r="G12" s="14" t="s">
        <v>1900</v>
      </c>
      <c r="H12" s="14">
        <v>123</v>
      </c>
      <c r="I12" s="176" t="s">
        <v>5</v>
      </c>
      <c r="J12" s="14">
        <v>169</v>
      </c>
      <c r="K12" s="87"/>
      <c r="L12" s="14" t="s">
        <v>1932</v>
      </c>
      <c r="M12" s="324">
        <f>IF(I12="Staff Accident","Entry Required",IF(I12="Assaults","Entry Required",0))</f>
        <v>0</v>
      </c>
      <c r="N12" s="14" t="s">
        <v>1879</v>
      </c>
      <c r="O12" s="14" t="s">
        <v>1880</v>
      </c>
      <c r="P12" s="167" t="s">
        <v>147</v>
      </c>
      <c r="Q12" s="14" t="s">
        <v>177</v>
      </c>
      <c r="R12" s="170" t="s">
        <v>234</v>
      </c>
      <c r="S12" s="108">
        <f t="shared" si="4"/>
        <v>45325</v>
      </c>
      <c r="T12" s="79">
        <v>45306</v>
      </c>
      <c r="U12" s="14" t="s">
        <v>1933</v>
      </c>
      <c r="V12" s="14" t="s">
        <v>1934</v>
      </c>
      <c r="W12" s="14" t="s">
        <v>1879</v>
      </c>
      <c r="X12" s="14" t="s">
        <v>1883</v>
      </c>
      <c r="Y12" s="15" t="s">
        <v>1915</v>
      </c>
      <c r="Z12" s="14" t="s">
        <v>1935</v>
      </c>
      <c r="AA12" s="2">
        <f t="shared" ca="1" si="1"/>
        <v>1</v>
      </c>
      <c r="AB12" s="153"/>
      <c r="AC12" s="454" t="str">
        <f t="shared" si="2"/>
        <v>1</v>
      </c>
    </row>
    <row r="13" spans="1:29" ht="58" x14ac:dyDescent="0.35">
      <c r="A13" s="169" t="str">
        <f t="shared" si="0"/>
        <v>Closed</v>
      </c>
      <c r="B13" s="222">
        <v>45297</v>
      </c>
      <c r="C13" s="14">
        <v>2309</v>
      </c>
      <c r="D13" s="14" t="s">
        <v>1936</v>
      </c>
      <c r="E13" s="14" t="s">
        <v>8</v>
      </c>
      <c r="F13" s="14" t="s">
        <v>1937</v>
      </c>
      <c r="G13" s="14"/>
      <c r="H13" s="14">
        <v>124</v>
      </c>
      <c r="I13" s="176" t="s">
        <v>140</v>
      </c>
      <c r="J13" s="14">
        <v>625</v>
      </c>
      <c r="K13" s="87"/>
      <c r="L13" s="14" t="s">
        <v>1938</v>
      </c>
      <c r="M13" s="324">
        <f>IF(I13="Staff Accident","Entry Required",IF(I13="Assaults","Entry Required",0))</f>
        <v>0</v>
      </c>
      <c r="N13" s="14" t="s">
        <v>1879</v>
      </c>
      <c r="O13" s="14" t="s">
        <v>1879</v>
      </c>
      <c r="P13" s="167" t="s">
        <v>143</v>
      </c>
      <c r="Q13" s="14"/>
      <c r="R13" s="170">
        <v>0</v>
      </c>
      <c r="S13" s="108">
        <f t="shared" si="4"/>
        <v>45325</v>
      </c>
      <c r="T13" s="79">
        <v>45297</v>
      </c>
      <c r="U13" s="14"/>
      <c r="V13" s="14"/>
      <c r="W13" s="14"/>
      <c r="X13" s="176"/>
      <c r="Y13" s="14" t="s">
        <v>1939</v>
      </c>
      <c r="Z13" s="87"/>
      <c r="AA13" s="2">
        <f t="shared" ca="1" si="1"/>
        <v>1</v>
      </c>
      <c r="AB13" s="153"/>
      <c r="AC13" s="454" t="str">
        <f t="shared" si="2"/>
        <v>1</v>
      </c>
    </row>
    <row r="14" spans="1:29" ht="72.5" x14ac:dyDescent="0.35">
      <c r="A14" s="169" t="str">
        <f t="shared" si="0"/>
        <v>Closed</v>
      </c>
      <c r="B14" s="222">
        <v>45297</v>
      </c>
      <c r="C14" s="14">
        <v>2309</v>
      </c>
      <c r="D14" s="14" t="s">
        <v>1940</v>
      </c>
      <c r="E14" s="14" t="s">
        <v>83</v>
      </c>
      <c r="F14" s="14" t="s">
        <v>1941</v>
      </c>
      <c r="G14" s="14" t="s">
        <v>1900</v>
      </c>
      <c r="H14" s="14">
        <v>106</v>
      </c>
      <c r="I14" s="176" t="s">
        <v>155</v>
      </c>
      <c r="J14" s="14">
        <v>8503165</v>
      </c>
      <c r="K14" s="87"/>
      <c r="L14" s="14" t="s">
        <v>1942</v>
      </c>
      <c r="M14" s="324">
        <f>IF(I14="Staff Accident","Entry Required",IF(I14="Assaults","Entry Required",0))</f>
        <v>0</v>
      </c>
      <c r="N14" s="14" t="s">
        <v>1880</v>
      </c>
      <c r="O14" s="14" t="s">
        <v>1880</v>
      </c>
      <c r="P14" s="167" t="s">
        <v>151</v>
      </c>
      <c r="Q14" s="14" t="s">
        <v>153</v>
      </c>
      <c r="R14" s="170" t="s">
        <v>234</v>
      </c>
      <c r="S14" s="108"/>
      <c r="T14" s="79">
        <v>45302</v>
      </c>
      <c r="U14" s="14" t="s">
        <v>1943</v>
      </c>
      <c r="V14" s="14" t="s">
        <v>1944</v>
      </c>
      <c r="W14" s="14" t="s">
        <v>1879</v>
      </c>
      <c r="X14" s="14" t="s">
        <v>1883</v>
      </c>
      <c r="Y14" s="88" t="s">
        <v>1923</v>
      </c>
      <c r="Z14" s="14" t="s">
        <v>1945</v>
      </c>
      <c r="AA14" s="2"/>
      <c r="AB14" s="153"/>
      <c r="AC14" s="454"/>
    </row>
    <row r="15" spans="1:29" ht="72.5" x14ac:dyDescent="0.35">
      <c r="A15" s="169" t="str">
        <f t="shared" si="0"/>
        <v>Closed</v>
      </c>
      <c r="B15" s="222">
        <v>45298</v>
      </c>
      <c r="C15" s="14">
        <v>2310</v>
      </c>
      <c r="D15" s="14" t="s">
        <v>1946</v>
      </c>
      <c r="E15" s="14" t="s">
        <v>27</v>
      </c>
      <c r="F15" s="167" t="s">
        <v>1947</v>
      </c>
      <c r="G15" s="14" t="s">
        <v>1911</v>
      </c>
      <c r="H15" s="14">
        <v>102</v>
      </c>
      <c r="I15" s="176" t="s">
        <v>2</v>
      </c>
      <c r="J15" s="14">
        <v>77329</v>
      </c>
      <c r="K15" s="85" t="s">
        <v>137</v>
      </c>
      <c r="L15" s="14" t="s">
        <v>1948</v>
      </c>
      <c r="M15" s="324">
        <v>0</v>
      </c>
      <c r="N15" s="14" t="s">
        <v>1879</v>
      </c>
      <c r="O15" s="14" t="s">
        <v>1880</v>
      </c>
      <c r="P15" s="167" t="s">
        <v>147</v>
      </c>
      <c r="Q15" s="14" t="s">
        <v>177</v>
      </c>
      <c r="R15" s="170" t="s">
        <v>234</v>
      </c>
      <c r="S15" s="108">
        <f t="shared" ref="S15:S76" si="5">IF(B15="","",B15+28)</f>
        <v>45326</v>
      </c>
      <c r="T15" s="79">
        <v>45336</v>
      </c>
      <c r="U15" s="14" t="s">
        <v>1949</v>
      </c>
      <c r="V15" s="14" t="s">
        <v>1950</v>
      </c>
      <c r="W15" s="14" t="s">
        <v>1879</v>
      </c>
      <c r="X15" s="14" t="s">
        <v>1883</v>
      </c>
      <c r="Y15" s="167" t="s">
        <v>1951</v>
      </c>
      <c r="Z15" s="14" t="s">
        <v>1952</v>
      </c>
      <c r="AA15" s="2">
        <f t="shared" ref="AA15:AA78" ca="1" si="6">IF(B15="",3,IF(S15&lt;$A$1,1,0))</f>
        <v>1</v>
      </c>
      <c r="AB15" s="153"/>
      <c r="AC15" s="454" t="str">
        <f t="shared" ref="AC15:AC47" si="7">LEFT(H15,1)</f>
        <v>1</v>
      </c>
    </row>
    <row r="16" spans="1:29" ht="58" x14ac:dyDescent="0.35">
      <c r="A16" s="169" t="str">
        <f t="shared" si="0"/>
        <v>Closed</v>
      </c>
      <c r="B16" s="222">
        <v>45299</v>
      </c>
      <c r="C16" s="14">
        <v>2310</v>
      </c>
      <c r="D16" s="14" t="s">
        <v>1953</v>
      </c>
      <c r="E16" s="14" t="s">
        <v>206</v>
      </c>
      <c r="F16" s="14" t="s">
        <v>1954</v>
      </c>
      <c r="G16" s="14"/>
      <c r="H16" s="14"/>
      <c r="I16" s="176" t="s">
        <v>140</v>
      </c>
      <c r="K16" s="87"/>
      <c r="L16" s="14" t="s">
        <v>1955</v>
      </c>
      <c r="M16" s="324">
        <f>IF(I16="Staff Accident","Entry Required",IF(I16="Assaults","Entry Required",0))</f>
        <v>0</v>
      </c>
      <c r="N16" s="14" t="s">
        <v>1879</v>
      </c>
      <c r="O16" s="14" t="s">
        <v>1879</v>
      </c>
      <c r="P16" s="167" t="s">
        <v>143</v>
      </c>
      <c r="Q16" s="14"/>
      <c r="R16" s="170">
        <v>0</v>
      </c>
      <c r="S16" s="108">
        <f t="shared" si="5"/>
        <v>45327</v>
      </c>
      <c r="T16" s="79">
        <v>45299</v>
      </c>
      <c r="U16" s="14"/>
      <c r="V16" s="14"/>
      <c r="W16" s="14"/>
      <c r="X16" s="14"/>
      <c r="Y16" s="14" t="s">
        <v>1956</v>
      </c>
      <c r="Z16" s="14"/>
      <c r="AA16" s="2">
        <f t="shared" ca="1" si="6"/>
        <v>1</v>
      </c>
      <c r="AB16" s="153"/>
      <c r="AC16" s="454" t="str">
        <f t="shared" si="7"/>
        <v/>
      </c>
    </row>
    <row r="17" spans="1:29" ht="87" x14ac:dyDescent="0.35">
      <c r="A17" s="169" t="str">
        <f t="shared" si="0"/>
        <v>Closed</v>
      </c>
      <c r="B17" s="222">
        <v>45300</v>
      </c>
      <c r="C17" s="14">
        <v>2310</v>
      </c>
      <c r="D17" s="14" t="s">
        <v>1957</v>
      </c>
      <c r="E17" s="14" t="s">
        <v>38</v>
      </c>
      <c r="F17" s="14" t="s">
        <v>1958</v>
      </c>
      <c r="G17" s="14" t="s">
        <v>1911</v>
      </c>
      <c r="H17" s="14">
        <v>123</v>
      </c>
      <c r="I17" s="176" t="s">
        <v>140</v>
      </c>
      <c r="J17" s="14">
        <v>58403</v>
      </c>
      <c r="K17" s="87"/>
      <c r="L17" s="14" t="s">
        <v>1959</v>
      </c>
      <c r="M17" s="324">
        <f>IF(I17="Staff Accident","Entry Required",IF(I17="Assaults","Entry Required",0))</f>
        <v>0</v>
      </c>
      <c r="N17" s="14" t="s">
        <v>1879</v>
      </c>
      <c r="O17" s="14" t="s">
        <v>1879</v>
      </c>
      <c r="P17" s="167" t="s">
        <v>143</v>
      </c>
      <c r="Q17" s="14"/>
      <c r="R17" s="170">
        <v>0</v>
      </c>
      <c r="S17" s="108">
        <f t="shared" si="5"/>
        <v>45328</v>
      </c>
      <c r="T17" s="79">
        <v>45331</v>
      </c>
      <c r="U17" s="14"/>
      <c r="V17" s="14"/>
      <c r="W17" s="14"/>
      <c r="X17" s="14"/>
      <c r="Y17" s="14" t="s">
        <v>1960</v>
      </c>
      <c r="Z17" s="14"/>
      <c r="AA17" s="2">
        <f t="shared" ca="1" si="6"/>
        <v>1</v>
      </c>
      <c r="AB17" s="153"/>
      <c r="AC17" s="454" t="str">
        <f t="shared" si="7"/>
        <v>1</v>
      </c>
    </row>
    <row r="18" spans="1:29" ht="58" x14ac:dyDescent="0.35">
      <c r="A18" s="169" t="str">
        <f t="shared" si="0"/>
        <v>Closed</v>
      </c>
      <c r="B18" s="222">
        <v>45300</v>
      </c>
      <c r="C18" s="14">
        <v>2310</v>
      </c>
      <c r="D18" s="14" t="s">
        <v>1961</v>
      </c>
      <c r="E18" s="14" t="s">
        <v>31</v>
      </c>
      <c r="F18" s="14" t="s">
        <v>1962</v>
      </c>
      <c r="G18" s="14" t="s">
        <v>1900</v>
      </c>
      <c r="H18" s="14"/>
      <c r="I18" s="176" t="s">
        <v>140</v>
      </c>
      <c r="J18" s="14">
        <v>8509438</v>
      </c>
      <c r="K18" s="87"/>
      <c r="L18" s="14" t="s">
        <v>1963</v>
      </c>
      <c r="M18" s="324">
        <f>IF(I18="Staff Accident","Entry Required",IF(I18="Assaults","Entry Required",0))</f>
        <v>0</v>
      </c>
      <c r="N18" s="14" t="s">
        <v>1879</v>
      </c>
      <c r="O18" s="14" t="s">
        <v>1879</v>
      </c>
      <c r="P18" s="167" t="s">
        <v>143</v>
      </c>
      <c r="Q18" s="14"/>
      <c r="R18" s="170">
        <v>0</v>
      </c>
      <c r="S18" s="108">
        <f t="shared" si="5"/>
        <v>45328</v>
      </c>
      <c r="T18" s="79">
        <v>45300</v>
      </c>
      <c r="U18" s="14"/>
      <c r="V18" s="14"/>
      <c r="W18" s="14"/>
      <c r="X18" s="14"/>
      <c r="Z18" s="14" t="s">
        <v>1964</v>
      </c>
      <c r="AA18" s="2">
        <f t="shared" ca="1" si="6"/>
        <v>1</v>
      </c>
      <c r="AB18" s="153"/>
      <c r="AC18" s="454" t="str">
        <f t="shared" si="7"/>
        <v/>
      </c>
    </row>
    <row r="19" spans="1:29" ht="101.5" x14ac:dyDescent="0.35">
      <c r="A19" s="89" t="str">
        <f t="shared" si="0"/>
        <v>Closed</v>
      </c>
      <c r="B19" s="222">
        <v>45301</v>
      </c>
      <c r="C19" s="14">
        <v>2310</v>
      </c>
      <c r="D19" s="14" t="s">
        <v>1965</v>
      </c>
      <c r="E19" s="14" t="s">
        <v>40</v>
      </c>
      <c r="F19" s="14" t="s">
        <v>1954</v>
      </c>
      <c r="G19" s="14" t="s">
        <v>1911</v>
      </c>
      <c r="H19" s="14">
        <v>104</v>
      </c>
      <c r="I19" s="176" t="s">
        <v>4</v>
      </c>
      <c r="J19" s="14">
        <v>8508695</v>
      </c>
      <c r="K19" s="87" t="s">
        <v>137</v>
      </c>
      <c r="L19" s="14" t="s">
        <v>1966</v>
      </c>
      <c r="M19" s="324">
        <v>0</v>
      </c>
      <c r="N19" s="14" t="s">
        <v>1879</v>
      </c>
      <c r="O19" s="14" t="s">
        <v>1880</v>
      </c>
      <c r="P19" s="167" t="s">
        <v>143</v>
      </c>
      <c r="Q19" s="14" t="s">
        <v>177</v>
      </c>
      <c r="R19" s="223">
        <v>0</v>
      </c>
      <c r="S19" s="224">
        <f t="shared" si="5"/>
        <v>45329</v>
      </c>
      <c r="T19" s="79">
        <v>45301</v>
      </c>
      <c r="U19" s="14"/>
      <c r="V19" s="14"/>
      <c r="W19" s="14"/>
      <c r="X19" s="14"/>
      <c r="Y19" s="14" t="s">
        <v>1956</v>
      </c>
      <c r="Z19" s="14"/>
      <c r="AA19" s="2">
        <f t="shared" ca="1" si="6"/>
        <v>1</v>
      </c>
      <c r="AB19" s="153"/>
      <c r="AC19" s="454" t="str">
        <f t="shared" si="7"/>
        <v>1</v>
      </c>
    </row>
    <row r="20" spans="1:29" ht="58" x14ac:dyDescent="0.35">
      <c r="A20" s="169" t="str">
        <f t="shared" si="0"/>
        <v>Closed</v>
      </c>
      <c r="B20" s="222">
        <v>45301</v>
      </c>
      <c r="C20" s="14">
        <v>2310</v>
      </c>
      <c r="D20" s="14" t="s">
        <v>1967</v>
      </c>
      <c r="E20" s="14" t="s">
        <v>1907</v>
      </c>
      <c r="F20" s="14" t="s">
        <v>1968</v>
      </c>
      <c r="G20" s="14"/>
      <c r="H20" s="14">
        <v>113</v>
      </c>
      <c r="I20" s="176" t="s">
        <v>140</v>
      </c>
      <c r="J20" s="14">
        <v>8509438</v>
      </c>
      <c r="K20" s="14"/>
      <c r="L20" s="14" t="s">
        <v>1969</v>
      </c>
      <c r="M20" s="324">
        <f>IF(J20="Staff Accident","Entry Required",IF(J20="Assaults","Entry Required",0))</f>
        <v>0</v>
      </c>
      <c r="N20" s="14" t="s">
        <v>1879</v>
      </c>
      <c r="O20" s="14" t="s">
        <v>1879</v>
      </c>
      <c r="P20" s="167" t="s">
        <v>143</v>
      </c>
      <c r="Q20" s="14"/>
      <c r="R20" s="170">
        <v>0</v>
      </c>
      <c r="S20" s="108">
        <f t="shared" si="5"/>
        <v>45329</v>
      </c>
      <c r="T20" s="79">
        <v>45301</v>
      </c>
      <c r="U20" s="14"/>
      <c r="V20" s="14"/>
      <c r="W20" s="14"/>
      <c r="X20" s="14"/>
      <c r="Y20" s="14" t="s">
        <v>1970</v>
      </c>
      <c r="Z20" s="14"/>
      <c r="AA20" s="2">
        <f t="shared" ca="1" si="6"/>
        <v>1</v>
      </c>
      <c r="AB20" s="153"/>
      <c r="AC20" s="454" t="str">
        <f t="shared" si="7"/>
        <v>1</v>
      </c>
    </row>
    <row r="21" spans="1:29" ht="43.5" x14ac:dyDescent="0.35">
      <c r="A21" s="169" t="str">
        <f t="shared" si="0"/>
        <v>Closed</v>
      </c>
      <c r="B21" s="222">
        <v>45302</v>
      </c>
      <c r="C21" s="14">
        <v>2310</v>
      </c>
      <c r="D21" s="14" t="s">
        <v>1971</v>
      </c>
      <c r="E21" s="14" t="s">
        <v>8</v>
      </c>
      <c r="F21" s="14" t="s">
        <v>1972</v>
      </c>
      <c r="G21" s="14"/>
      <c r="H21" s="14"/>
      <c r="I21" s="176" t="s">
        <v>140</v>
      </c>
      <c r="K21" s="14"/>
      <c r="L21" s="14" t="s">
        <v>1973</v>
      </c>
      <c r="M21" s="324">
        <f>IF(J21="Staff Accident","Entry Required",IF(J21="Assaults","Entry Required",0))</f>
        <v>0</v>
      </c>
      <c r="N21" s="14" t="s">
        <v>1879</v>
      </c>
      <c r="O21" s="14" t="s">
        <v>1879</v>
      </c>
      <c r="P21" s="167" t="s">
        <v>143</v>
      </c>
      <c r="Q21" s="14"/>
      <c r="R21" s="170">
        <v>0</v>
      </c>
      <c r="S21" s="108">
        <f t="shared" si="5"/>
        <v>45330</v>
      </c>
      <c r="T21" s="79">
        <v>45302</v>
      </c>
      <c r="U21" s="14"/>
      <c r="V21" s="14"/>
      <c r="W21" s="14"/>
      <c r="X21" s="14"/>
      <c r="Z21" s="14"/>
      <c r="AA21" s="2">
        <f t="shared" ca="1" si="6"/>
        <v>1</v>
      </c>
      <c r="AB21" s="153"/>
      <c r="AC21" s="454" t="str">
        <f t="shared" si="7"/>
        <v/>
      </c>
    </row>
    <row r="22" spans="1:29" ht="72.5" x14ac:dyDescent="0.35">
      <c r="A22" s="169" t="str">
        <f t="shared" si="0"/>
        <v>Closed</v>
      </c>
      <c r="B22" s="222">
        <v>45302</v>
      </c>
      <c r="C22" s="14">
        <v>2310</v>
      </c>
      <c r="D22" s="14" t="s">
        <v>1974</v>
      </c>
      <c r="E22" s="14" t="s">
        <v>192</v>
      </c>
      <c r="F22" s="14" t="s">
        <v>1975</v>
      </c>
      <c r="G22" s="14"/>
      <c r="H22" s="14"/>
      <c r="I22" s="176" t="s">
        <v>140</v>
      </c>
      <c r="K22" s="87"/>
      <c r="L22" s="14" t="s">
        <v>1976</v>
      </c>
      <c r="M22" s="324">
        <f>IF(I22="Staff Accident","Entry Required",IF(I22="Assaults","Entry Required",0))</f>
        <v>0</v>
      </c>
      <c r="N22" s="14" t="s">
        <v>1879</v>
      </c>
      <c r="O22" s="14" t="s">
        <v>1879</v>
      </c>
      <c r="P22" s="167" t="s">
        <v>143</v>
      </c>
      <c r="Q22" s="14"/>
      <c r="R22" s="170">
        <v>0</v>
      </c>
      <c r="S22" s="108">
        <f t="shared" si="5"/>
        <v>45330</v>
      </c>
      <c r="T22" s="79">
        <v>45302</v>
      </c>
      <c r="U22" s="14"/>
      <c r="V22" s="14"/>
      <c r="W22" s="14"/>
      <c r="X22" s="14"/>
      <c r="Z22" s="14"/>
      <c r="AA22" s="2">
        <f t="shared" ca="1" si="6"/>
        <v>1</v>
      </c>
      <c r="AB22" s="153"/>
      <c r="AC22" s="454" t="str">
        <f t="shared" si="7"/>
        <v/>
      </c>
    </row>
    <row r="23" spans="1:29" ht="43.5" x14ac:dyDescent="0.35">
      <c r="A23" s="169" t="str">
        <f t="shared" si="0"/>
        <v>Closed</v>
      </c>
      <c r="B23" s="222">
        <v>45303</v>
      </c>
      <c r="C23" s="14">
        <v>2310</v>
      </c>
      <c r="D23" s="14" t="s">
        <v>1977</v>
      </c>
      <c r="E23" s="14" t="s">
        <v>8</v>
      </c>
      <c r="F23" s="14" t="s">
        <v>1968</v>
      </c>
      <c r="G23" s="14" t="s">
        <v>1911</v>
      </c>
      <c r="H23" s="14"/>
      <c r="I23" s="176" t="s">
        <v>140</v>
      </c>
      <c r="K23" s="87"/>
      <c r="L23" s="14" t="s">
        <v>1978</v>
      </c>
      <c r="M23" s="324">
        <f>IF(I23="Staff Accident","Entry Required",IF(I23="Assaults","Entry Required",0))</f>
        <v>0</v>
      </c>
      <c r="N23" s="14" t="s">
        <v>1879</v>
      </c>
      <c r="O23" s="14" t="s">
        <v>1879</v>
      </c>
      <c r="P23" s="167" t="s">
        <v>143</v>
      </c>
      <c r="Q23" s="14"/>
      <c r="R23" s="170">
        <v>0</v>
      </c>
      <c r="S23" s="108">
        <f t="shared" si="5"/>
        <v>45331</v>
      </c>
      <c r="T23" s="79">
        <v>45303</v>
      </c>
      <c r="U23" s="14"/>
      <c r="V23" s="14"/>
      <c r="W23" s="14"/>
      <c r="X23" s="14"/>
      <c r="Y23" s="14" t="s">
        <v>1970</v>
      </c>
      <c r="Z23" s="14"/>
      <c r="AA23" s="2">
        <f t="shared" ca="1" si="6"/>
        <v>1</v>
      </c>
      <c r="AB23" s="153"/>
      <c r="AC23" s="454" t="str">
        <f t="shared" si="7"/>
        <v/>
      </c>
    </row>
    <row r="24" spans="1:29" ht="333.5" x14ac:dyDescent="0.35">
      <c r="A24" s="169" t="str">
        <f t="shared" si="0"/>
        <v>Closed</v>
      </c>
      <c r="B24" s="222">
        <v>45304</v>
      </c>
      <c r="C24" s="14">
        <v>2310</v>
      </c>
      <c r="D24" s="14" t="s">
        <v>1979</v>
      </c>
      <c r="E24" s="14" t="s">
        <v>192</v>
      </c>
      <c r="F24" s="14" t="s">
        <v>1980</v>
      </c>
      <c r="G24" s="14" t="s">
        <v>1900</v>
      </c>
      <c r="H24" s="14">
        <v>206</v>
      </c>
      <c r="I24" s="176" t="s">
        <v>140</v>
      </c>
      <c r="K24" s="87"/>
      <c r="L24" s="14" t="s">
        <v>1981</v>
      </c>
      <c r="M24" s="324">
        <f>IF(I24="Staff Accident","Entry Required",IF(I24="Assaults","Entry Required",0))</f>
        <v>0</v>
      </c>
      <c r="N24" s="14" t="s">
        <v>1879</v>
      </c>
      <c r="O24" s="14" t="s">
        <v>1879</v>
      </c>
      <c r="P24" s="167" t="s">
        <v>143</v>
      </c>
      <c r="Q24" s="14"/>
      <c r="R24" s="170">
        <v>0</v>
      </c>
      <c r="S24" s="108">
        <f t="shared" si="5"/>
        <v>45332</v>
      </c>
      <c r="T24" s="79">
        <v>45304</v>
      </c>
      <c r="U24" s="14"/>
      <c r="V24" s="14"/>
      <c r="W24" s="14"/>
      <c r="X24" s="14"/>
      <c r="Y24" s="15" t="s">
        <v>1982</v>
      </c>
      <c r="Z24" s="14" t="s">
        <v>1983</v>
      </c>
      <c r="AA24" s="2">
        <f t="shared" ca="1" si="6"/>
        <v>1</v>
      </c>
      <c r="AB24" s="153"/>
      <c r="AC24" s="454" t="str">
        <f t="shared" si="7"/>
        <v>2</v>
      </c>
    </row>
    <row r="25" spans="1:29" ht="72.5" x14ac:dyDescent="0.35">
      <c r="A25" s="169" t="str">
        <f t="shared" si="0"/>
        <v>Closed</v>
      </c>
      <c r="B25" s="222">
        <v>45304</v>
      </c>
      <c r="C25" s="14">
        <v>2310</v>
      </c>
      <c r="D25" s="14" t="s">
        <v>1984</v>
      </c>
      <c r="E25" s="14" t="s">
        <v>78</v>
      </c>
      <c r="F25" s="14" t="s">
        <v>1985</v>
      </c>
      <c r="G25" s="14" t="s">
        <v>1911</v>
      </c>
      <c r="H25" s="14">
        <v>125</v>
      </c>
      <c r="I25" s="176" t="s">
        <v>155</v>
      </c>
      <c r="J25" s="14">
        <v>8509438</v>
      </c>
      <c r="K25" s="87"/>
      <c r="L25" s="14" t="s">
        <v>1986</v>
      </c>
      <c r="M25" s="324">
        <f>IF(I25="Staff Accident","Entry Required",IF(I25="Assaults","Entry Required",0))</f>
        <v>0</v>
      </c>
      <c r="N25" s="14" t="s">
        <v>1879</v>
      </c>
      <c r="O25" s="14" t="s">
        <v>1880</v>
      </c>
      <c r="P25" s="167" t="s">
        <v>147</v>
      </c>
      <c r="Q25" s="14" t="s">
        <v>177</v>
      </c>
      <c r="R25" s="170" t="s">
        <v>234</v>
      </c>
      <c r="S25" s="108">
        <f t="shared" si="5"/>
        <v>45332</v>
      </c>
      <c r="T25" s="79">
        <v>45356</v>
      </c>
      <c r="U25" s="14" t="s">
        <v>1987</v>
      </c>
      <c r="V25" s="14" t="s">
        <v>1988</v>
      </c>
      <c r="W25" s="14" t="s">
        <v>1880</v>
      </c>
      <c r="X25" s="14" t="s">
        <v>1883</v>
      </c>
      <c r="Y25" s="14" t="s">
        <v>1989</v>
      </c>
      <c r="Z25" s="14" t="s">
        <v>1990</v>
      </c>
      <c r="AA25" s="2">
        <f t="shared" ca="1" si="6"/>
        <v>1</v>
      </c>
      <c r="AB25" s="153"/>
      <c r="AC25" s="454" t="str">
        <f t="shared" si="7"/>
        <v>1</v>
      </c>
    </row>
    <row r="26" spans="1:29" ht="304.5" x14ac:dyDescent="0.35">
      <c r="A26" s="169" t="str">
        <f t="shared" si="0"/>
        <v>Closed</v>
      </c>
      <c r="B26" s="222">
        <v>45305</v>
      </c>
      <c r="C26" s="14">
        <v>2310</v>
      </c>
      <c r="D26" s="14" t="s">
        <v>1991</v>
      </c>
      <c r="E26" s="14" t="s">
        <v>196</v>
      </c>
      <c r="F26" s="167" t="s">
        <v>1947</v>
      </c>
      <c r="G26" s="14" t="s">
        <v>1900</v>
      </c>
      <c r="H26" s="14">
        <v>106</v>
      </c>
      <c r="I26" s="176" t="s">
        <v>155</v>
      </c>
      <c r="J26" s="14">
        <v>8504143</v>
      </c>
      <c r="K26" s="87"/>
      <c r="L26" s="14" t="s">
        <v>1992</v>
      </c>
      <c r="M26" s="324">
        <f>IF(I25="Staff Accident","Entry Required",IF(I25="Assaults","Entry Required",0))</f>
        <v>0</v>
      </c>
      <c r="N26" s="14" t="s">
        <v>1880</v>
      </c>
      <c r="O26" s="14" t="s">
        <v>1880</v>
      </c>
      <c r="P26" s="167" t="s">
        <v>151</v>
      </c>
      <c r="Q26" s="14" t="s">
        <v>135</v>
      </c>
      <c r="R26" s="170" t="s">
        <v>234</v>
      </c>
      <c r="S26" s="108">
        <f t="shared" si="5"/>
        <v>45333</v>
      </c>
      <c r="T26" s="79">
        <v>45454</v>
      </c>
      <c r="U26" s="14" t="s">
        <v>1993</v>
      </c>
      <c r="V26" s="14" t="s">
        <v>1994</v>
      </c>
      <c r="W26" s="14" t="s">
        <v>1880</v>
      </c>
      <c r="X26" s="14" t="s">
        <v>1880</v>
      </c>
      <c r="Y26" s="167" t="s">
        <v>1951</v>
      </c>
      <c r="Z26" s="14" t="s">
        <v>1995</v>
      </c>
      <c r="AA26" s="2">
        <f t="shared" ca="1" si="6"/>
        <v>1</v>
      </c>
      <c r="AB26" s="153"/>
      <c r="AC26" s="454" t="str">
        <f t="shared" si="7"/>
        <v>1</v>
      </c>
    </row>
    <row r="27" spans="1:29" ht="43.5" x14ac:dyDescent="0.35">
      <c r="A27" s="169" t="str">
        <f t="shared" si="0"/>
        <v>Closed</v>
      </c>
      <c r="B27" s="222">
        <v>45306</v>
      </c>
      <c r="C27" s="14">
        <v>2310</v>
      </c>
      <c r="D27" s="14" t="s">
        <v>1996</v>
      </c>
      <c r="E27" s="14" t="s">
        <v>1997</v>
      </c>
      <c r="F27" s="14" t="s">
        <v>1921</v>
      </c>
      <c r="G27" s="14" t="s">
        <v>1900</v>
      </c>
      <c r="H27" s="14">
        <v>117</v>
      </c>
      <c r="I27" s="176" t="s">
        <v>140</v>
      </c>
      <c r="K27" s="87"/>
      <c r="L27" s="14" t="s">
        <v>1998</v>
      </c>
      <c r="M27" s="324">
        <f>IF(I26="Staff Accident","Entry Required",IF(I26="Assaults","Entry Required",0))</f>
        <v>0</v>
      </c>
      <c r="N27" s="14" t="s">
        <v>1879</v>
      </c>
      <c r="O27" s="14" t="s">
        <v>1879</v>
      </c>
      <c r="P27" s="167" t="s">
        <v>143</v>
      </c>
      <c r="Q27" s="14"/>
      <c r="R27" s="170">
        <v>0</v>
      </c>
      <c r="S27" s="108">
        <f t="shared" si="5"/>
        <v>45334</v>
      </c>
      <c r="T27" s="79">
        <v>45640</v>
      </c>
      <c r="U27" s="14"/>
      <c r="V27" s="14"/>
      <c r="W27" s="14"/>
      <c r="X27" s="14"/>
      <c r="Y27" s="14" t="s">
        <v>1923</v>
      </c>
      <c r="Z27" s="14"/>
      <c r="AA27" s="2">
        <f t="shared" ca="1" si="6"/>
        <v>1</v>
      </c>
      <c r="AB27" s="153"/>
      <c r="AC27" s="454" t="str">
        <f t="shared" si="7"/>
        <v>1</v>
      </c>
    </row>
    <row r="28" spans="1:29" ht="261" x14ac:dyDescent="0.35">
      <c r="A28" s="169" t="str">
        <f t="shared" si="0"/>
        <v>Closed</v>
      </c>
      <c r="B28" s="222">
        <v>45306</v>
      </c>
      <c r="C28" s="14">
        <v>2310</v>
      </c>
      <c r="D28" s="14" t="s">
        <v>1999</v>
      </c>
      <c r="E28" s="14" t="s">
        <v>192</v>
      </c>
      <c r="F28" s="14" t="s">
        <v>1918</v>
      </c>
      <c r="G28" s="14" t="s">
        <v>1911</v>
      </c>
      <c r="H28" s="14">
        <v>112</v>
      </c>
      <c r="I28" s="176" t="s">
        <v>140</v>
      </c>
      <c r="J28" s="14">
        <v>568</v>
      </c>
      <c r="K28" s="87"/>
      <c r="L28" s="14" t="s">
        <v>2000</v>
      </c>
      <c r="M28" s="324">
        <f>IF(I27="Staff Accident","Entry Required",IF(I27="Assaults","Entry Required",0))</f>
        <v>0</v>
      </c>
      <c r="N28" s="14" t="s">
        <v>1879</v>
      </c>
      <c r="O28" s="14" t="s">
        <v>1880</v>
      </c>
      <c r="P28" s="167" t="s">
        <v>143</v>
      </c>
      <c r="Q28" s="14"/>
      <c r="R28" s="170">
        <v>0</v>
      </c>
      <c r="S28" s="108">
        <f t="shared" si="5"/>
        <v>45334</v>
      </c>
      <c r="T28" s="79">
        <v>45306</v>
      </c>
      <c r="U28" s="14"/>
      <c r="V28" s="14"/>
      <c r="W28" s="14"/>
      <c r="X28" s="14"/>
      <c r="Y28" s="14" t="s">
        <v>2001</v>
      </c>
      <c r="Z28" s="14" t="s">
        <v>2002</v>
      </c>
      <c r="AA28" s="2">
        <f t="shared" ca="1" si="6"/>
        <v>1</v>
      </c>
      <c r="AB28" s="153"/>
      <c r="AC28" s="454" t="str">
        <f t="shared" si="7"/>
        <v>1</v>
      </c>
    </row>
    <row r="29" spans="1:29" ht="159.5" x14ac:dyDescent="0.35">
      <c r="A29" s="169" t="str">
        <f t="shared" si="0"/>
        <v>Closed</v>
      </c>
      <c r="B29" s="222">
        <v>45306</v>
      </c>
      <c r="C29" s="14">
        <v>2310</v>
      </c>
      <c r="D29" s="14" t="s">
        <v>499</v>
      </c>
      <c r="E29" s="14" t="s">
        <v>78</v>
      </c>
      <c r="F29" s="14" t="s">
        <v>2003</v>
      </c>
      <c r="G29" s="14" t="s">
        <v>1900</v>
      </c>
      <c r="H29" s="14">
        <v>110</v>
      </c>
      <c r="I29" s="176" t="s">
        <v>155</v>
      </c>
      <c r="J29" s="14">
        <v>548</v>
      </c>
      <c r="K29" s="87"/>
      <c r="L29" s="14" t="s">
        <v>2004</v>
      </c>
      <c r="M29" s="324">
        <f t="shared" ref="M29:M34" si="8">IF(I29="Staff Accident","Entry Required",IF(I29="Assaults","Entry Required",0))</f>
        <v>0</v>
      </c>
      <c r="N29" s="14" t="s">
        <v>1879</v>
      </c>
      <c r="O29" s="14" t="s">
        <v>1879</v>
      </c>
      <c r="P29" s="167" t="s">
        <v>147</v>
      </c>
      <c r="Q29" s="14" t="s">
        <v>135</v>
      </c>
      <c r="R29" s="170" t="s">
        <v>234</v>
      </c>
      <c r="S29" s="108">
        <f t="shared" si="5"/>
        <v>45334</v>
      </c>
      <c r="T29" s="79">
        <v>45336</v>
      </c>
      <c r="U29" s="14" t="s">
        <v>2005</v>
      </c>
      <c r="V29" s="14" t="s">
        <v>2006</v>
      </c>
      <c r="W29" s="14" t="s">
        <v>1880</v>
      </c>
      <c r="X29" s="14" t="s">
        <v>1880</v>
      </c>
      <c r="Y29" s="15" t="s">
        <v>2007</v>
      </c>
      <c r="Z29" s="14" t="s">
        <v>2008</v>
      </c>
      <c r="AA29" s="2">
        <f t="shared" ca="1" si="6"/>
        <v>1</v>
      </c>
      <c r="AB29" s="153"/>
      <c r="AC29" s="454" t="str">
        <f t="shared" si="7"/>
        <v>1</v>
      </c>
    </row>
    <row r="30" spans="1:29" ht="58" x14ac:dyDescent="0.35">
      <c r="A30" s="169" t="str">
        <f t="shared" si="0"/>
        <v>Closed</v>
      </c>
      <c r="B30" s="222">
        <v>45306</v>
      </c>
      <c r="C30" s="14">
        <v>2310</v>
      </c>
      <c r="D30" s="14" t="s">
        <v>2009</v>
      </c>
      <c r="E30" s="14" t="s">
        <v>1997</v>
      </c>
      <c r="F30" s="14" t="s">
        <v>2010</v>
      </c>
      <c r="G30" s="14" t="s">
        <v>1900</v>
      </c>
      <c r="H30" s="14">
        <v>114</v>
      </c>
      <c r="I30" s="176" t="s">
        <v>140</v>
      </c>
      <c r="J30" s="14">
        <v>377</v>
      </c>
      <c r="K30" s="87"/>
      <c r="L30" s="14" t="s">
        <v>2011</v>
      </c>
      <c r="M30" s="324">
        <f t="shared" si="8"/>
        <v>0</v>
      </c>
      <c r="N30" s="14" t="s">
        <v>1879</v>
      </c>
      <c r="O30" s="14" t="s">
        <v>1880</v>
      </c>
      <c r="P30" s="167" t="s">
        <v>143</v>
      </c>
      <c r="Q30" s="14"/>
      <c r="R30" s="170">
        <v>0</v>
      </c>
      <c r="S30" s="108">
        <f t="shared" si="5"/>
        <v>45334</v>
      </c>
      <c r="T30" s="79">
        <v>45640</v>
      </c>
      <c r="U30" s="14"/>
      <c r="V30" s="14"/>
      <c r="W30" s="14"/>
      <c r="X30" s="14"/>
      <c r="Y30" s="106" t="s">
        <v>2012</v>
      </c>
      <c r="Z30" s="14"/>
      <c r="AA30" s="2">
        <f t="shared" ca="1" si="6"/>
        <v>1</v>
      </c>
      <c r="AB30" s="153"/>
      <c r="AC30" s="454" t="str">
        <f t="shared" si="7"/>
        <v>1</v>
      </c>
    </row>
    <row r="31" spans="1:29" ht="43.5" x14ac:dyDescent="0.35">
      <c r="A31" s="169" t="str">
        <f t="shared" si="0"/>
        <v>Closed</v>
      </c>
      <c r="B31" s="222">
        <v>45307</v>
      </c>
      <c r="C31" s="14">
        <v>2310</v>
      </c>
      <c r="D31" s="14" t="s">
        <v>2013</v>
      </c>
      <c r="E31" s="14" t="s">
        <v>192</v>
      </c>
      <c r="F31" s="14" t="s">
        <v>2014</v>
      </c>
      <c r="G31" s="14" t="s">
        <v>1911</v>
      </c>
      <c r="H31" s="14">
        <v>106</v>
      </c>
      <c r="I31" s="176" t="s">
        <v>140</v>
      </c>
      <c r="J31" s="14">
        <v>479</v>
      </c>
      <c r="K31" s="87"/>
      <c r="L31" s="14" t="s">
        <v>2015</v>
      </c>
      <c r="M31" s="324">
        <f t="shared" si="8"/>
        <v>0</v>
      </c>
      <c r="N31" s="14" t="s">
        <v>1879</v>
      </c>
      <c r="O31" s="14" t="s">
        <v>1879</v>
      </c>
      <c r="P31" s="167" t="s">
        <v>143</v>
      </c>
      <c r="Q31" s="14"/>
      <c r="R31" s="170">
        <v>0</v>
      </c>
      <c r="S31" s="108">
        <f t="shared" si="5"/>
        <v>45335</v>
      </c>
      <c r="T31" s="79">
        <v>45307</v>
      </c>
      <c r="U31" s="14"/>
      <c r="V31" s="14"/>
      <c r="W31" s="14"/>
      <c r="X31" s="14"/>
      <c r="Y31" s="51" t="s">
        <v>2001</v>
      </c>
      <c r="Z31" s="14"/>
      <c r="AA31" s="2">
        <f t="shared" ca="1" si="6"/>
        <v>1</v>
      </c>
      <c r="AB31" s="153"/>
      <c r="AC31" s="454" t="str">
        <f t="shared" si="7"/>
        <v>1</v>
      </c>
    </row>
    <row r="32" spans="1:29" ht="58" x14ac:dyDescent="0.35">
      <c r="A32" s="169" t="str">
        <f t="shared" si="0"/>
        <v>Closed</v>
      </c>
      <c r="B32" s="222">
        <v>45308</v>
      </c>
      <c r="C32" s="14">
        <v>2310</v>
      </c>
      <c r="D32" s="14" t="s">
        <v>2016</v>
      </c>
      <c r="E32" s="14" t="s">
        <v>1907</v>
      </c>
      <c r="F32" s="14" t="s">
        <v>1941</v>
      </c>
      <c r="G32" s="14"/>
      <c r="H32" s="14">
        <v>201</v>
      </c>
      <c r="I32" s="176" t="s">
        <v>140</v>
      </c>
      <c r="J32" s="14">
        <v>55272</v>
      </c>
      <c r="K32" s="87"/>
      <c r="L32" s="14" t="s">
        <v>2017</v>
      </c>
      <c r="M32" s="324">
        <f t="shared" si="8"/>
        <v>0</v>
      </c>
      <c r="N32" s="14" t="s">
        <v>1879</v>
      </c>
      <c r="O32" s="14" t="s">
        <v>1879</v>
      </c>
      <c r="P32" s="167" t="s">
        <v>143</v>
      </c>
      <c r="Q32" s="14"/>
      <c r="R32" s="170">
        <v>0</v>
      </c>
      <c r="S32" s="108">
        <f t="shared" si="5"/>
        <v>45336</v>
      </c>
      <c r="T32" s="79">
        <v>45308</v>
      </c>
      <c r="U32" s="14"/>
      <c r="V32" s="14"/>
      <c r="W32" s="14"/>
      <c r="X32" s="14"/>
      <c r="Z32" s="14"/>
      <c r="AA32" s="2">
        <f t="shared" ca="1" si="6"/>
        <v>1</v>
      </c>
      <c r="AB32" s="153"/>
      <c r="AC32" s="454" t="str">
        <f t="shared" si="7"/>
        <v>2</v>
      </c>
    </row>
    <row r="33" spans="1:29" ht="72.5" x14ac:dyDescent="0.35">
      <c r="A33" s="169" t="str">
        <f t="shared" si="0"/>
        <v>Closed</v>
      </c>
      <c r="B33" s="222">
        <v>45308</v>
      </c>
      <c r="C33" s="14">
        <v>2310</v>
      </c>
      <c r="D33" s="14" t="s">
        <v>2018</v>
      </c>
      <c r="E33" s="14" t="s">
        <v>31</v>
      </c>
      <c r="F33" s="14" t="s">
        <v>2019</v>
      </c>
      <c r="G33" s="14" t="s">
        <v>1900</v>
      </c>
      <c r="H33" s="14">
        <v>103</v>
      </c>
      <c r="I33" s="176" t="s">
        <v>155</v>
      </c>
      <c r="J33" s="14">
        <v>41395</v>
      </c>
      <c r="K33" s="87"/>
      <c r="L33" s="14" t="s">
        <v>2020</v>
      </c>
      <c r="M33" s="324">
        <f t="shared" si="8"/>
        <v>0</v>
      </c>
      <c r="N33" s="14" t="s">
        <v>1879</v>
      </c>
      <c r="O33" s="14" t="s">
        <v>1879</v>
      </c>
      <c r="P33" s="167" t="s">
        <v>147</v>
      </c>
      <c r="Q33" s="14" t="s">
        <v>135</v>
      </c>
      <c r="R33" s="170" t="s">
        <v>234</v>
      </c>
      <c r="S33" s="108">
        <f t="shared" si="5"/>
        <v>45336</v>
      </c>
      <c r="T33" s="79">
        <v>45322</v>
      </c>
      <c r="U33" s="14" t="s">
        <v>2021</v>
      </c>
      <c r="V33" s="14" t="s">
        <v>2022</v>
      </c>
      <c r="W33" s="14" t="s">
        <v>1879</v>
      </c>
      <c r="X33" s="14" t="s">
        <v>1883</v>
      </c>
      <c r="Y33" s="14" t="s">
        <v>2023</v>
      </c>
      <c r="Z33" s="14" t="s">
        <v>2024</v>
      </c>
      <c r="AA33" s="2">
        <f t="shared" ca="1" si="6"/>
        <v>1</v>
      </c>
      <c r="AB33" s="153"/>
      <c r="AC33" s="454" t="str">
        <f t="shared" si="7"/>
        <v>1</v>
      </c>
    </row>
    <row r="34" spans="1:29" ht="101.5" x14ac:dyDescent="0.35">
      <c r="A34" s="169" t="str">
        <f t="shared" si="0"/>
        <v>Closed</v>
      </c>
      <c r="B34" s="222">
        <v>45309</v>
      </c>
      <c r="C34" s="14">
        <v>2310</v>
      </c>
      <c r="D34" s="14" t="s">
        <v>2025</v>
      </c>
      <c r="E34" s="14" t="s">
        <v>192</v>
      </c>
      <c r="F34" s="14" t="s">
        <v>1918</v>
      </c>
      <c r="G34" s="14" t="s">
        <v>1900</v>
      </c>
      <c r="H34" s="14">
        <v>114</v>
      </c>
      <c r="I34" s="176" t="s">
        <v>140</v>
      </c>
      <c r="K34" s="87"/>
      <c r="L34" s="14" t="s">
        <v>2026</v>
      </c>
      <c r="M34" s="324">
        <f t="shared" si="8"/>
        <v>0</v>
      </c>
      <c r="N34" s="14" t="s">
        <v>1879</v>
      </c>
      <c r="O34" s="14" t="s">
        <v>1879</v>
      </c>
      <c r="P34" s="167" t="s">
        <v>143</v>
      </c>
      <c r="Q34" s="14"/>
      <c r="R34" s="170">
        <v>0</v>
      </c>
      <c r="S34" s="108">
        <f t="shared" si="5"/>
        <v>45337</v>
      </c>
      <c r="T34" s="79">
        <v>45309</v>
      </c>
      <c r="U34" s="14"/>
      <c r="V34" s="14"/>
      <c r="W34" s="14"/>
      <c r="X34" s="14"/>
      <c r="Y34" s="51" t="s">
        <v>2001</v>
      </c>
      <c r="Z34" s="14"/>
      <c r="AA34" s="2">
        <f t="shared" ca="1" si="6"/>
        <v>1</v>
      </c>
      <c r="AB34" s="153"/>
      <c r="AC34" s="454" t="str">
        <f t="shared" si="7"/>
        <v>1</v>
      </c>
    </row>
    <row r="35" spans="1:29" ht="130.5" x14ac:dyDescent="0.35">
      <c r="A35" s="169" t="str">
        <f t="shared" si="0"/>
        <v>Closed</v>
      </c>
      <c r="B35" s="222">
        <v>45309</v>
      </c>
      <c r="C35" s="14">
        <v>2310</v>
      </c>
      <c r="D35" s="14" t="s">
        <v>394</v>
      </c>
      <c r="E35" s="14" t="s">
        <v>42</v>
      </c>
      <c r="F35" s="14" t="s">
        <v>2027</v>
      </c>
      <c r="G35" s="14" t="s">
        <v>1911</v>
      </c>
      <c r="H35" s="14">
        <v>109</v>
      </c>
      <c r="I35" s="176" t="s">
        <v>4</v>
      </c>
      <c r="J35" s="14">
        <v>82250</v>
      </c>
      <c r="K35" s="87" t="s">
        <v>137</v>
      </c>
      <c r="L35" s="14" t="s">
        <v>2028</v>
      </c>
      <c r="M35" s="324">
        <v>0</v>
      </c>
      <c r="N35" s="14" t="s">
        <v>1879</v>
      </c>
      <c r="O35" s="14" t="s">
        <v>1879</v>
      </c>
      <c r="P35" s="167" t="s">
        <v>139</v>
      </c>
      <c r="Q35" s="14" t="s">
        <v>138</v>
      </c>
      <c r="R35" s="170" t="s">
        <v>234</v>
      </c>
      <c r="S35" s="108">
        <f t="shared" si="5"/>
        <v>45337</v>
      </c>
      <c r="T35" s="79">
        <v>45313</v>
      </c>
      <c r="U35" s="14" t="s">
        <v>2029</v>
      </c>
      <c r="V35" s="14" t="s">
        <v>2030</v>
      </c>
      <c r="W35" s="14" t="s">
        <v>1879</v>
      </c>
      <c r="X35" s="14" t="s">
        <v>1880</v>
      </c>
      <c r="Z35" s="14" t="s">
        <v>2031</v>
      </c>
      <c r="AA35" s="2">
        <f t="shared" ca="1" si="6"/>
        <v>1</v>
      </c>
      <c r="AB35" s="153"/>
      <c r="AC35" s="454" t="str">
        <f t="shared" si="7"/>
        <v>1</v>
      </c>
    </row>
    <row r="36" spans="1:29" ht="72.5" x14ac:dyDescent="0.35">
      <c r="A36" s="169" t="str">
        <f t="shared" si="0"/>
        <v>Closed</v>
      </c>
      <c r="B36" s="222">
        <v>45310</v>
      </c>
      <c r="C36" s="14">
        <v>2310</v>
      </c>
      <c r="D36" s="14" t="s">
        <v>461</v>
      </c>
      <c r="E36" s="14" t="s">
        <v>204</v>
      </c>
      <c r="F36" s="14" t="s">
        <v>2032</v>
      </c>
      <c r="G36" s="14" t="s">
        <v>1911</v>
      </c>
      <c r="H36" s="14">
        <v>112</v>
      </c>
      <c r="I36" s="176" t="s">
        <v>155</v>
      </c>
      <c r="J36" s="14">
        <v>8506434</v>
      </c>
      <c r="K36" s="14"/>
      <c r="L36" s="14" t="s">
        <v>2033</v>
      </c>
      <c r="M36" s="324">
        <f>IF(I36="Staff Accident","Entry Required",IF(I36="Assaults","Entry Required",0))</f>
        <v>0</v>
      </c>
      <c r="N36" s="14" t="s">
        <v>1879</v>
      </c>
      <c r="O36" s="14" t="s">
        <v>2034</v>
      </c>
      <c r="P36" s="167" t="s">
        <v>147</v>
      </c>
      <c r="Q36" s="14" t="s">
        <v>175</v>
      </c>
      <c r="R36" s="170" t="s">
        <v>234</v>
      </c>
      <c r="S36" s="108">
        <f t="shared" si="5"/>
        <v>45338</v>
      </c>
      <c r="T36" s="79">
        <v>45335</v>
      </c>
      <c r="U36" s="14" t="s">
        <v>1895</v>
      </c>
      <c r="V36" s="14" t="s">
        <v>1896</v>
      </c>
      <c r="W36" s="14" t="s">
        <v>1879</v>
      </c>
      <c r="X36" s="14" t="s">
        <v>1880</v>
      </c>
      <c r="Z36" s="14" t="s">
        <v>2035</v>
      </c>
      <c r="AA36" s="2">
        <f t="shared" ca="1" si="6"/>
        <v>1</v>
      </c>
      <c r="AB36" s="153"/>
      <c r="AC36" s="454" t="str">
        <f t="shared" si="7"/>
        <v>1</v>
      </c>
    </row>
    <row r="37" spans="1:29" ht="43.5" x14ac:dyDescent="0.35">
      <c r="A37" s="169" t="str">
        <f t="shared" si="0"/>
        <v>Closed</v>
      </c>
      <c r="B37" s="222">
        <v>45310</v>
      </c>
      <c r="C37" s="14">
        <v>2310</v>
      </c>
      <c r="D37" s="14" t="s">
        <v>2036</v>
      </c>
      <c r="E37" s="14" t="s">
        <v>31</v>
      </c>
      <c r="F37" s="14" t="s">
        <v>2037</v>
      </c>
      <c r="G37" s="14" t="s">
        <v>1900</v>
      </c>
      <c r="H37" s="14"/>
      <c r="I37" s="176" t="s">
        <v>140</v>
      </c>
      <c r="J37" s="14">
        <v>8504143</v>
      </c>
      <c r="K37" s="87"/>
      <c r="L37" s="14" t="s">
        <v>2038</v>
      </c>
      <c r="M37" s="324">
        <f>IF(I37="Staff Accident","Entry Required",IF(I37="Assaults","Entry Required",0))</f>
        <v>0</v>
      </c>
      <c r="N37" s="14" t="s">
        <v>1879</v>
      </c>
      <c r="O37" s="14" t="s">
        <v>1879</v>
      </c>
      <c r="P37" s="167" t="s">
        <v>143</v>
      </c>
      <c r="Q37" s="14"/>
      <c r="R37" s="170">
        <v>0</v>
      </c>
      <c r="S37" s="108">
        <f t="shared" si="5"/>
        <v>45338</v>
      </c>
      <c r="T37" s="79">
        <v>45310</v>
      </c>
      <c r="U37" s="14"/>
      <c r="V37" s="14"/>
      <c r="W37" s="14"/>
      <c r="X37" s="14"/>
      <c r="Y37" s="167" t="s">
        <v>2039</v>
      </c>
      <c r="Z37" s="14"/>
      <c r="AA37" s="2">
        <f t="shared" ca="1" si="6"/>
        <v>1</v>
      </c>
      <c r="AB37" s="153"/>
      <c r="AC37" s="454" t="str">
        <f t="shared" si="7"/>
        <v/>
      </c>
    </row>
    <row r="38" spans="1:29" ht="43.5" x14ac:dyDescent="0.35">
      <c r="A38" s="169" t="str">
        <f t="shared" si="0"/>
        <v>Closed</v>
      </c>
      <c r="B38" s="222">
        <v>45311</v>
      </c>
      <c r="C38" s="14">
        <v>2310</v>
      </c>
      <c r="D38" s="14" t="s">
        <v>2040</v>
      </c>
      <c r="E38" s="14" t="s">
        <v>61</v>
      </c>
      <c r="F38" s="167" t="s">
        <v>2041</v>
      </c>
      <c r="G38" s="14" t="s">
        <v>1900</v>
      </c>
      <c r="H38" s="14">
        <v>110</v>
      </c>
      <c r="I38" s="176" t="s">
        <v>155</v>
      </c>
      <c r="J38" s="14">
        <v>169</v>
      </c>
      <c r="K38" s="87"/>
      <c r="L38" s="14" t="s">
        <v>2042</v>
      </c>
      <c r="M38" s="324">
        <f>IF(I38="Staff Accident","Entry Required",IF(I38="Assaults","Entry Required",0))</f>
        <v>0</v>
      </c>
      <c r="N38" s="14" t="s">
        <v>1879</v>
      </c>
      <c r="O38" s="14" t="s">
        <v>1880</v>
      </c>
      <c r="P38" s="167" t="s">
        <v>147</v>
      </c>
      <c r="Q38" s="14" t="s">
        <v>177</v>
      </c>
      <c r="R38" s="170" t="s">
        <v>234</v>
      </c>
      <c r="S38" s="108">
        <f t="shared" si="5"/>
        <v>45339</v>
      </c>
      <c r="T38" s="79">
        <v>45428</v>
      </c>
      <c r="U38" s="14" t="s">
        <v>2043</v>
      </c>
      <c r="V38" s="14" t="s">
        <v>2044</v>
      </c>
      <c r="W38" s="14" t="s">
        <v>1879</v>
      </c>
      <c r="X38" s="14" t="s">
        <v>1883</v>
      </c>
      <c r="Y38" s="2" t="s">
        <v>2045</v>
      </c>
      <c r="Z38" s="14" t="s">
        <v>2046</v>
      </c>
      <c r="AA38" s="2">
        <f t="shared" ca="1" si="6"/>
        <v>1</v>
      </c>
      <c r="AB38" s="153"/>
      <c r="AC38" s="454" t="str">
        <f t="shared" si="7"/>
        <v>1</v>
      </c>
    </row>
    <row r="39" spans="1:29" ht="58" x14ac:dyDescent="0.35">
      <c r="A39" s="169" t="str">
        <f t="shared" si="0"/>
        <v>Closed</v>
      </c>
      <c r="B39" s="222">
        <v>45312</v>
      </c>
      <c r="C39" s="14">
        <v>2310</v>
      </c>
      <c r="D39" s="14" t="s">
        <v>2047</v>
      </c>
      <c r="E39" s="14" t="s">
        <v>187</v>
      </c>
      <c r="F39" s="14" t="s">
        <v>2048</v>
      </c>
      <c r="G39" s="14" t="s">
        <v>1900</v>
      </c>
      <c r="H39" s="14">
        <v>101</v>
      </c>
      <c r="I39" s="176" t="s">
        <v>140</v>
      </c>
      <c r="J39" s="14">
        <v>851009</v>
      </c>
      <c r="K39" s="87"/>
      <c r="L39" s="14" t="s">
        <v>2049</v>
      </c>
      <c r="M39" s="324">
        <f>IF(I40="Staff Accident","Entry Required",IF(I40="Assaults","Entry Required",0))</f>
        <v>0</v>
      </c>
      <c r="N39" s="14" t="s">
        <v>1879</v>
      </c>
      <c r="O39" s="14" t="s">
        <v>1879</v>
      </c>
      <c r="P39" s="167" t="s">
        <v>143</v>
      </c>
      <c r="Q39" s="14"/>
      <c r="R39" s="170">
        <v>0</v>
      </c>
      <c r="S39" s="108">
        <f t="shared" si="5"/>
        <v>45340</v>
      </c>
      <c r="T39" s="79">
        <v>45312</v>
      </c>
      <c r="U39" s="14"/>
      <c r="V39" s="14"/>
      <c r="W39" s="14"/>
      <c r="X39" s="14"/>
      <c r="Y39" s="167" t="s">
        <v>2050</v>
      </c>
      <c r="Z39" s="14"/>
      <c r="AA39" s="2">
        <f t="shared" ca="1" si="6"/>
        <v>1</v>
      </c>
      <c r="AB39" s="153"/>
      <c r="AC39" s="454" t="str">
        <f t="shared" si="7"/>
        <v>1</v>
      </c>
    </row>
    <row r="40" spans="1:29" ht="217.5" x14ac:dyDescent="0.35">
      <c r="A40" s="169" t="str">
        <f t="shared" si="0"/>
        <v>Closed</v>
      </c>
      <c r="B40" s="222">
        <v>45312</v>
      </c>
      <c r="C40" s="14">
        <v>2310</v>
      </c>
      <c r="D40" s="14" t="s">
        <v>2051</v>
      </c>
      <c r="E40" s="14" t="s">
        <v>204</v>
      </c>
      <c r="F40" s="14" t="s">
        <v>2052</v>
      </c>
      <c r="G40" s="14" t="s">
        <v>1911</v>
      </c>
      <c r="H40" s="14">
        <v>206</v>
      </c>
      <c r="I40" s="176" t="s">
        <v>155</v>
      </c>
      <c r="J40" s="14">
        <v>254</v>
      </c>
      <c r="K40" s="87"/>
      <c r="L40" s="14" t="s">
        <v>2053</v>
      </c>
      <c r="M40" s="324">
        <v>0</v>
      </c>
      <c r="N40" s="14" t="s">
        <v>1879</v>
      </c>
      <c r="O40" s="14" t="s">
        <v>1880</v>
      </c>
      <c r="P40" s="167" t="s">
        <v>147</v>
      </c>
      <c r="Q40" s="14" t="s">
        <v>177</v>
      </c>
      <c r="R40" s="170" t="s">
        <v>234</v>
      </c>
      <c r="S40" s="108">
        <f t="shared" si="5"/>
        <v>45340</v>
      </c>
      <c r="T40" s="79">
        <v>45312</v>
      </c>
      <c r="U40" s="14"/>
      <c r="V40" s="14"/>
      <c r="W40" s="14"/>
      <c r="X40" s="14"/>
      <c r="Y40" s="14" t="s">
        <v>2054</v>
      </c>
      <c r="Z40" s="14"/>
      <c r="AA40" s="2">
        <f t="shared" ca="1" si="6"/>
        <v>1</v>
      </c>
      <c r="AB40" s="153"/>
      <c r="AC40" s="454" t="str">
        <f t="shared" si="7"/>
        <v>2</v>
      </c>
    </row>
    <row r="41" spans="1:29" ht="72.5" x14ac:dyDescent="0.35">
      <c r="A41" s="169" t="str">
        <f t="shared" si="0"/>
        <v>Closed</v>
      </c>
      <c r="B41" s="222">
        <v>45312</v>
      </c>
      <c r="C41" s="14">
        <v>2310</v>
      </c>
      <c r="D41" s="14" t="s">
        <v>2055</v>
      </c>
      <c r="E41" s="14" t="s">
        <v>8</v>
      </c>
      <c r="F41" s="14" t="s">
        <v>2056</v>
      </c>
      <c r="G41" s="14" t="s">
        <v>1900</v>
      </c>
      <c r="H41" s="14">
        <v>106</v>
      </c>
      <c r="I41" s="176" t="s">
        <v>140</v>
      </c>
      <c r="J41" s="14">
        <v>8502599</v>
      </c>
      <c r="K41" s="87"/>
      <c r="L41" s="14" t="s">
        <v>2057</v>
      </c>
      <c r="M41" s="324">
        <f>IF(I41="Staff Accident","Entry Required",IF(I41="Assaults","Entry Required",0))</f>
        <v>0</v>
      </c>
      <c r="N41" s="14" t="s">
        <v>1879</v>
      </c>
      <c r="O41" s="14" t="s">
        <v>1879</v>
      </c>
      <c r="P41" s="167" t="s">
        <v>143</v>
      </c>
      <c r="Q41" s="14"/>
      <c r="R41" s="170">
        <v>0</v>
      </c>
      <c r="S41" s="108">
        <f t="shared" si="5"/>
        <v>45340</v>
      </c>
      <c r="T41" s="79">
        <v>45312</v>
      </c>
      <c r="U41" s="14"/>
      <c r="V41" s="14"/>
      <c r="W41" s="14"/>
      <c r="X41" s="14"/>
      <c r="Y41" s="167" t="s">
        <v>2058</v>
      </c>
      <c r="Z41" s="14"/>
      <c r="AA41" s="2">
        <f t="shared" ca="1" si="6"/>
        <v>1</v>
      </c>
      <c r="AB41" s="153"/>
      <c r="AC41" s="454" t="str">
        <f t="shared" si="7"/>
        <v>1</v>
      </c>
    </row>
    <row r="42" spans="1:29" ht="43.5" x14ac:dyDescent="0.35">
      <c r="A42" s="169" t="str">
        <f t="shared" si="0"/>
        <v>Closed</v>
      </c>
      <c r="B42" s="222">
        <v>45312</v>
      </c>
      <c r="C42" s="14">
        <v>2310</v>
      </c>
      <c r="D42" s="14" t="s">
        <v>2059</v>
      </c>
      <c r="E42" s="14" t="s">
        <v>31</v>
      </c>
      <c r="F42" s="14" t="s">
        <v>2060</v>
      </c>
      <c r="G42" s="14"/>
      <c r="H42" s="14">
        <v>122</v>
      </c>
      <c r="I42" s="176" t="s">
        <v>140</v>
      </c>
      <c r="J42" s="14">
        <v>254</v>
      </c>
      <c r="K42" s="87"/>
      <c r="L42" s="14" t="s">
        <v>2061</v>
      </c>
      <c r="M42" s="324">
        <f>IF(I42="Staff Accident","Entry Required",IF(I42="Assaults","Entry Required",0))</f>
        <v>0</v>
      </c>
      <c r="N42" s="14" t="s">
        <v>1879</v>
      </c>
      <c r="O42" s="14" t="s">
        <v>1880</v>
      </c>
      <c r="P42" s="167" t="s">
        <v>143</v>
      </c>
      <c r="Q42" s="14"/>
      <c r="R42" s="170">
        <v>0</v>
      </c>
      <c r="S42" s="108">
        <f t="shared" si="5"/>
        <v>45340</v>
      </c>
      <c r="T42" s="79">
        <v>45312</v>
      </c>
      <c r="U42" s="14"/>
      <c r="V42" s="14"/>
      <c r="W42" s="14"/>
      <c r="X42" s="14"/>
      <c r="Y42" s="466" t="s">
        <v>2062</v>
      </c>
      <c r="Z42" s="14"/>
      <c r="AA42" s="2">
        <f t="shared" ca="1" si="6"/>
        <v>1</v>
      </c>
      <c r="AB42" s="153"/>
      <c r="AC42" s="454" t="str">
        <f t="shared" si="7"/>
        <v>1</v>
      </c>
    </row>
    <row r="43" spans="1:29" ht="58" x14ac:dyDescent="0.35">
      <c r="A43" s="169" t="str">
        <f t="shared" ref="A43:A106" si="9">IF(T43&gt;1,"Closed",IF(AA43=1,"Overdue",IF(AA43=3,"","Open")))</f>
        <v>Closed</v>
      </c>
      <c r="B43" s="222">
        <v>45313</v>
      </c>
      <c r="C43" s="14">
        <v>2310</v>
      </c>
      <c r="D43" s="14" t="s">
        <v>2063</v>
      </c>
      <c r="E43" s="14" t="s">
        <v>27</v>
      </c>
      <c r="F43" s="14" t="s">
        <v>2064</v>
      </c>
      <c r="G43" s="14" t="s">
        <v>1900</v>
      </c>
      <c r="H43" s="14">
        <v>102</v>
      </c>
      <c r="I43" s="176" t="s">
        <v>5</v>
      </c>
      <c r="J43" s="14">
        <v>707</v>
      </c>
      <c r="K43" s="87"/>
      <c r="L43" s="14" t="s">
        <v>2065</v>
      </c>
      <c r="M43" s="324">
        <f>IF(I43="Staff Accident","Entry Required",IF(I43="Assaults","Entry Required",0))</f>
        <v>0</v>
      </c>
      <c r="N43" s="14" t="s">
        <v>1879</v>
      </c>
      <c r="O43" s="14" t="s">
        <v>1880</v>
      </c>
      <c r="P43" s="167" t="s">
        <v>147</v>
      </c>
      <c r="Q43" s="30" t="s">
        <v>174</v>
      </c>
      <c r="R43" s="170" t="s">
        <v>234</v>
      </c>
      <c r="S43" s="108">
        <f t="shared" si="5"/>
        <v>45341</v>
      </c>
      <c r="T43" s="79">
        <v>45331</v>
      </c>
      <c r="U43" s="14" t="s">
        <v>2066</v>
      </c>
      <c r="V43" s="14" t="s">
        <v>2067</v>
      </c>
      <c r="W43" s="14" t="s">
        <v>1879</v>
      </c>
      <c r="X43" s="14" t="s">
        <v>1883</v>
      </c>
      <c r="Y43" s="15" t="s">
        <v>2068</v>
      </c>
      <c r="Z43" s="14" t="s">
        <v>2069</v>
      </c>
      <c r="AA43" s="2">
        <f t="shared" ca="1" si="6"/>
        <v>1</v>
      </c>
      <c r="AB43" s="153"/>
      <c r="AC43" s="454" t="str">
        <f t="shared" si="7"/>
        <v>1</v>
      </c>
    </row>
    <row r="44" spans="1:29" ht="43.5" x14ac:dyDescent="0.35">
      <c r="A44" s="169" t="str">
        <f t="shared" si="9"/>
        <v>Closed</v>
      </c>
      <c r="B44" s="222">
        <v>45313</v>
      </c>
      <c r="C44" s="14">
        <v>2310</v>
      </c>
      <c r="D44" s="14" t="s">
        <v>2070</v>
      </c>
      <c r="E44" s="14" t="s">
        <v>1997</v>
      </c>
      <c r="F44" s="14" t="s">
        <v>2064</v>
      </c>
      <c r="G44" s="14" t="s">
        <v>1911</v>
      </c>
      <c r="H44" s="14">
        <v>109</v>
      </c>
      <c r="I44" s="176" t="s">
        <v>140</v>
      </c>
      <c r="J44" s="14">
        <v>58403</v>
      </c>
      <c r="K44" s="87"/>
      <c r="L44" s="14" t="s">
        <v>2071</v>
      </c>
      <c r="M44" s="324">
        <f>IF(I44="Staff Accident","Entry Required",IF(I44="Assaults","Entry Required",0))</f>
        <v>0</v>
      </c>
      <c r="N44" s="14" t="s">
        <v>1879</v>
      </c>
      <c r="O44" s="14" t="s">
        <v>1879</v>
      </c>
      <c r="P44" s="167" t="s">
        <v>143</v>
      </c>
      <c r="Q44" s="14"/>
      <c r="R44" s="170">
        <v>0</v>
      </c>
      <c r="S44" s="108">
        <f t="shared" si="5"/>
        <v>45341</v>
      </c>
      <c r="T44" s="79">
        <v>45313</v>
      </c>
      <c r="U44" s="14"/>
      <c r="V44" s="14"/>
      <c r="W44" s="14"/>
      <c r="X44" s="14"/>
      <c r="Y44" s="15" t="s">
        <v>2068</v>
      </c>
      <c r="Z44" s="14"/>
      <c r="AA44" s="2">
        <f t="shared" ca="1" si="6"/>
        <v>1</v>
      </c>
      <c r="AB44" s="153"/>
      <c r="AC44" s="454" t="str">
        <f t="shared" si="7"/>
        <v>1</v>
      </c>
    </row>
    <row r="45" spans="1:29" ht="29" x14ac:dyDescent="0.35">
      <c r="A45" s="169" t="str">
        <f t="shared" si="9"/>
        <v>Closed</v>
      </c>
      <c r="B45" s="222">
        <v>45313</v>
      </c>
      <c r="C45" s="14">
        <v>2310</v>
      </c>
      <c r="D45" s="14" t="s">
        <v>2072</v>
      </c>
      <c r="E45" s="14" t="s">
        <v>8</v>
      </c>
      <c r="F45" s="14" t="s">
        <v>2073</v>
      </c>
      <c r="G45" s="14" t="s">
        <v>1911</v>
      </c>
      <c r="H45" s="14"/>
      <c r="I45" s="176" t="s">
        <v>140</v>
      </c>
      <c r="K45" s="87"/>
      <c r="L45" s="14" t="s">
        <v>2074</v>
      </c>
      <c r="M45" s="324">
        <f>IF(I45="Staff Accident","Entry Required",IF(I45="Assaults","Entry Required",0))</f>
        <v>0</v>
      </c>
      <c r="N45" s="14" t="s">
        <v>1879</v>
      </c>
      <c r="O45" s="14" t="s">
        <v>1879</v>
      </c>
      <c r="P45" s="167" t="s">
        <v>143</v>
      </c>
      <c r="Q45" s="14"/>
      <c r="R45" s="170">
        <v>0</v>
      </c>
      <c r="S45" s="108">
        <f t="shared" si="5"/>
        <v>45341</v>
      </c>
      <c r="T45" s="79">
        <v>45313</v>
      </c>
      <c r="U45" s="14"/>
      <c r="V45" s="14"/>
      <c r="W45" s="14"/>
      <c r="X45" s="14"/>
      <c r="Y45" s="15" t="s">
        <v>2075</v>
      </c>
      <c r="Z45" s="14"/>
      <c r="AA45" s="2">
        <f t="shared" ca="1" si="6"/>
        <v>1</v>
      </c>
      <c r="AB45" s="153"/>
      <c r="AC45" s="454" t="str">
        <f t="shared" si="7"/>
        <v/>
      </c>
    </row>
    <row r="46" spans="1:29" ht="58" x14ac:dyDescent="0.35">
      <c r="A46" s="89" t="str">
        <f t="shared" si="9"/>
        <v>Closed</v>
      </c>
      <c r="B46" s="222">
        <v>45308</v>
      </c>
      <c r="C46" s="14">
        <v>2310</v>
      </c>
      <c r="D46" s="14" t="s">
        <v>2076</v>
      </c>
      <c r="E46" s="14" t="s">
        <v>38</v>
      </c>
      <c r="F46" s="14" t="s">
        <v>1972</v>
      </c>
      <c r="G46" s="14"/>
      <c r="H46" s="14"/>
      <c r="I46" s="176" t="s">
        <v>2</v>
      </c>
      <c r="K46" s="85" t="s">
        <v>137</v>
      </c>
      <c r="L46" s="14" t="s">
        <v>2077</v>
      </c>
      <c r="M46" s="324">
        <v>0</v>
      </c>
      <c r="N46" s="14" t="s">
        <v>1879</v>
      </c>
      <c r="O46" s="14" t="s">
        <v>1880</v>
      </c>
      <c r="P46" s="167" t="s">
        <v>143</v>
      </c>
      <c r="Q46" s="14" t="s">
        <v>183</v>
      </c>
      <c r="R46" s="223">
        <v>0</v>
      </c>
      <c r="S46" s="224">
        <f t="shared" si="5"/>
        <v>45336</v>
      </c>
      <c r="T46" s="79">
        <v>45902</v>
      </c>
      <c r="U46" s="14"/>
      <c r="V46" s="14"/>
      <c r="W46" s="14"/>
      <c r="X46" s="14"/>
      <c r="Z46" s="14" t="s">
        <v>2078</v>
      </c>
      <c r="AA46" s="2">
        <f t="shared" ca="1" si="6"/>
        <v>1</v>
      </c>
      <c r="AB46" s="153"/>
      <c r="AC46" s="454" t="str">
        <f t="shared" si="7"/>
        <v/>
      </c>
    </row>
    <row r="47" spans="1:29" ht="87" x14ac:dyDescent="0.35">
      <c r="A47" s="169" t="str">
        <f t="shared" si="9"/>
        <v>Closed</v>
      </c>
      <c r="B47" s="222">
        <v>45314</v>
      </c>
      <c r="C47" s="14">
        <v>2310</v>
      </c>
      <c r="D47" s="14" t="s">
        <v>2079</v>
      </c>
      <c r="E47" s="14" t="s">
        <v>27</v>
      </c>
      <c r="F47" s="14" t="s">
        <v>2080</v>
      </c>
      <c r="G47" s="14" t="s">
        <v>1911</v>
      </c>
      <c r="H47" s="14">
        <v>117</v>
      </c>
      <c r="I47" s="176" t="s">
        <v>5</v>
      </c>
      <c r="J47" s="14">
        <v>707</v>
      </c>
      <c r="K47" s="87"/>
      <c r="L47" s="14" t="s">
        <v>2081</v>
      </c>
      <c r="M47" s="324">
        <f>IF(J47="Staff Accident","Entry Required",IF(J47="Assaults","Entry Required",0))</f>
        <v>0</v>
      </c>
      <c r="N47" s="14" t="s">
        <v>1879</v>
      </c>
      <c r="O47" s="14" t="s">
        <v>1879</v>
      </c>
      <c r="P47" s="167" t="s">
        <v>147</v>
      </c>
      <c r="Q47" s="14" t="s">
        <v>174</v>
      </c>
      <c r="R47" s="170" t="s">
        <v>234</v>
      </c>
      <c r="S47" s="108">
        <f t="shared" si="5"/>
        <v>45342</v>
      </c>
      <c r="T47" s="79">
        <v>45425</v>
      </c>
      <c r="U47" s="14" t="s">
        <v>2082</v>
      </c>
      <c r="V47" s="14" t="s">
        <v>2083</v>
      </c>
      <c r="W47" s="14" t="s">
        <v>1879</v>
      </c>
      <c r="X47" s="14" t="s">
        <v>154</v>
      </c>
      <c r="Y47" s="14" t="s">
        <v>2084</v>
      </c>
      <c r="Z47" s="14" t="s">
        <v>2085</v>
      </c>
      <c r="AA47" s="2">
        <f t="shared" ca="1" si="6"/>
        <v>1</v>
      </c>
      <c r="AB47" s="153"/>
      <c r="AC47" s="454" t="str">
        <f t="shared" si="7"/>
        <v>1</v>
      </c>
    </row>
    <row r="48" spans="1:29" ht="58" x14ac:dyDescent="0.35">
      <c r="A48" s="169" t="str">
        <f t="shared" si="9"/>
        <v>Closed</v>
      </c>
      <c r="B48" s="222">
        <v>45315</v>
      </c>
      <c r="C48" s="14">
        <v>2310</v>
      </c>
      <c r="D48" s="14" t="s">
        <v>2086</v>
      </c>
      <c r="E48" s="14" t="s">
        <v>31</v>
      </c>
      <c r="F48" s="14" t="s">
        <v>2010</v>
      </c>
      <c r="G48" s="14" t="s">
        <v>1900</v>
      </c>
      <c r="H48" s="14"/>
      <c r="I48" s="176" t="s">
        <v>140</v>
      </c>
      <c r="J48" s="14">
        <v>37</v>
      </c>
      <c r="L48" s="14" t="s">
        <v>2087</v>
      </c>
      <c r="M48" s="324">
        <f>IF(J48="Staff Accident","Entry Required",IF(J48="Assaults","Entry Required",0))</f>
        <v>0</v>
      </c>
      <c r="N48" s="14" t="s">
        <v>1879</v>
      </c>
      <c r="O48" s="14" t="s">
        <v>1879</v>
      </c>
      <c r="P48" s="167" t="s">
        <v>143</v>
      </c>
      <c r="Q48" s="14"/>
      <c r="R48" s="170">
        <v>0</v>
      </c>
      <c r="S48" s="108">
        <f t="shared" si="5"/>
        <v>45343</v>
      </c>
      <c r="T48" s="79">
        <v>45315</v>
      </c>
      <c r="U48" s="14"/>
      <c r="V48" s="14"/>
      <c r="W48" s="14"/>
      <c r="X48" s="14"/>
      <c r="Y48" s="51" t="s">
        <v>2012</v>
      </c>
      <c r="Z48" s="14"/>
      <c r="AA48" s="2">
        <f t="shared" ca="1" si="6"/>
        <v>1</v>
      </c>
      <c r="AB48" s="153"/>
      <c r="AC48" s="454" t="str">
        <f>LEFT(J47,1)</f>
        <v>7</v>
      </c>
    </row>
    <row r="49" spans="1:29" ht="101.5" x14ac:dyDescent="0.35">
      <c r="A49" s="169" t="str">
        <f t="shared" si="9"/>
        <v>Closed</v>
      </c>
      <c r="B49" s="222">
        <v>45315</v>
      </c>
      <c r="C49" s="14">
        <v>2310</v>
      </c>
      <c r="D49" s="14" t="s">
        <v>2088</v>
      </c>
      <c r="E49" s="14" t="s">
        <v>192</v>
      </c>
      <c r="F49" s="14" t="s">
        <v>2037</v>
      </c>
      <c r="G49" s="14"/>
      <c r="H49" s="14">
        <v>122</v>
      </c>
      <c r="I49" s="176" t="s">
        <v>140</v>
      </c>
      <c r="J49" s="14">
        <v>97</v>
      </c>
      <c r="K49" s="87"/>
      <c r="L49" s="14" t="s">
        <v>2089</v>
      </c>
      <c r="M49" s="324">
        <f>IF(J49="Staff Accident","Entry Required",IF(J49="Assaults","Entry Required",0))</f>
        <v>0</v>
      </c>
      <c r="N49" s="14" t="s">
        <v>1879</v>
      </c>
      <c r="O49" s="14" t="s">
        <v>1879</v>
      </c>
      <c r="P49" s="167" t="s">
        <v>143</v>
      </c>
      <c r="Q49" s="14"/>
      <c r="R49" s="170">
        <v>0</v>
      </c>
      <c r="S49" s="108">
        <f t="shared" si="5"/>
        <v>45343</v>
      </c>
      <c r="T49" s="79">
        <v>45315</v>
      </c>
      <c r="U49" s="14"/>
      <c r="V49" s="14"/>
      <c r="W49" s="14"/>
      <c r="X49" s="14"/>
      <c r="Y49" s="167" t="s">
        <v>2039</v>
      </c>
      <c r="Z49" s="14"/>
      <c r="AA49" s="2">
        <f t="shared" ca="1" si="6"/>
        <v>1</v>
      </c>
      <c r="AB49" s="153"/>
      <c r="AC49" s="454" t="str">
        <f>LEFT(J48,1)</f>
        <v>3</v>
      </c>
    </row>
    <row r="50" spans="1:29" ht="58" x14ac:dyDescent="0.35">
      <c r="A50" s="169" t="str">
        <f t="shared" si="9"/>
        <v>Closed</v>
      </c>
      <c r="B50" s="222">
        <v>45315</v>
      </c>
      <c r="C50" s="14">
        <v>2310</v>
      </c>
      <c r="D50" s="14" t="s">
        <v>2090</v>
      </c>
      <c r="E50" s="14" t="s">
        <v>8</v>
      </c>
      <c r="F50" s="14" t="s">
        <v>2091</v>
      </c>
      <c r="H50" s="14">
        <v>110</v>
      </c>
      <c r="I50" s="176" t="s">
        <v>140</v>
      </c>
      <c r="K50" s="87"/>
      <c r="L50" s="14" t="s">
        <v>2092</v>
      </c>
      <c r="M50" s="324">
        <f>IF(J50="Staff Accident","Entry Required",IF(J50="Assaults","Entry Required",0))</f>
        <v>0</v>
      </c>
      <c r="N50" s="14" t="s">
        <v>1879</v>
      </c>
      <c r="O50" s="14" t="s">
        <v>1879</v>
      </c>
      <c r="P50" s="167" t="s">
        <v>143</v>
      </c>
      <c r="Q50" s="14"/>
      <c r="R50" s="170">
        <v>0</v>
      </c>
      <c r="S50" s="108">
        <f t="shared" si="5"/>
        <v>45343</v>
      </c>
      <c r="T50" s="79">
        <v>45315</v>
      </c>
      <c r="U50" s="14"/>
      <c r="V50" s="14"/>
      <c r="W50" s="14"/>
      <c r="X50" s="14"/>
      <c r="Y50" s="14" t="s">
        <v>2093</v>
      </c>
      <c r="Z50" s="14"/>
      <c r="AA50" s="2">
        <f t="shared" ca="1" si="6"/>
        <v>1</v>
      </c>
      <c r="AB50" s="153"/>
      <c r="AC50" s="454" t="str">
        <f>LEFT(J49,1)</f>
        <v>9</v>
      </c>
    </row>
    <row r="51" spans="1:29" ht="130.5" x14ac:dyDescent="0.35">
      <c r="A51" s="169" t="str">
        <f t="shared" si="9"/>
        <v>Closed</v>
      </c>
      <c r="B51" s="222">
        <v>45316</v>
      </c>
      <c r="C51" s="14">
        <v>2310</v>
      </c>
      <c r="D51" s="14" t="s">
        <v>2094</v>
      </c>
      <c r="E51" s="14" t="s">
        <v>31</v>
      </c>
      <c r="F51" s="14" t="s">
        <v>2095</v>
      </c>
      <c r="G51" s="14" t="s">
        <v>1900</v>
      </c>
      <c r="H51" s="14"/>
      <c r="I51" s="14" t="s">
        <v>140</v>
      </c>
      <c r="J51" s="14">
        <v>391</v>
      </c>
      <c r="K51" s="87"/>
      <c r="L51" s="14" t="s">
        <v>2096</v>
      </c>
      <c r="M51" s="324">
        <f t="shared" ref="M51:M58" si="10">IF(I51="Staff Accident","Entry Required",IF(I51="Assaults","Entry Required",0))</f>
        <v>0</v>
      </c>
      <c r="N51" s="14" t="s">
        <v>1879</v>
      </c>
      <c r="O51" s="14" t="s">
        <v>1879</v>
      </c>
      <c r="P51" s="167" t="s">
        <v>143</v>
      </c>
      <c r="Q51" s="14" t="s">
        <v>174</v>
      </c>
      <c r="R51" s="170">
        <v>0</v>
      </c>
      <c r="S51" s="108">
        <f t="shared" si="5"/>
        <v>45344</v>
      </c>
      <c r="T51" s="79">
        <v>45316</v>
      </c>
      <c r="U51" s="14"/>
      <c r="V51" s="14"/>
      <c r="W51" s="14"/>
      <c r="X51" s="14"/>
      <c r="Y51" s="23" t="s">
        <v>1915</v>
      </c>
      <c r="Z51" s="14" t="s">
        <v>2097</v>
      </c>
      <c r="AA51" s="2">
        <f t="shared" ca="1" si="6"/>
        <v>1</v>
      </c>
      <c r="AB51" s="153"/>
      <c r="AC51" s="454" t="str">
        <f>LEFT(J50,1)</f>
        <v/>
      </c>
    </row>
    <row r="52" spans="1:29" ht="29" x14ac:dyDescent="0.35">
      <c r="A52" s="169" t="str">
        <f t="shared" si="9"/>
        <v>Closed</v>
      </c>
      <c r="B52" s="222">
        <v>45306</v>
      </c>
      <c r="C52" s="14">
        <v>2310</v>
      </c>
      <c r="D52" s="14" t="s">
        <v>2098</v>
      </c>
      <c r="E52" s="14" t="s">
        <v>196</v>
      </c>
      <c r="F52" s="14" t="s">
        <v>2099</v>
      </c>
      <c r="G52" s="14" t="s">
        <v>1900</v>
      </c>
      <c r="H52" s="14"/>
      <c r="I52" s="14" t="s">
        <v>155</v>
      </c>
      <c r="J52" s="14">
        <v>69</v>
      </c>
      <c r="K52" s="87"/>
      <c r="L52" s="14" t="s">
        <v>2100</v>
      </c>
      <c r="M52" s="324">
        <f t="shared" si="10"/>
        <v>0</v>
      </c>
      <c r="N52" s="14" t="s">
        <v>1880</v>
      </c>
      <c r="O52" s="14" t="s">
        <v>1879</v>
      </c>
      <c r="P52" s="167" t="s">
        <v>147</v>
      </c>
      <c r="Q52" s="14" t="s">
        <v>183</v>
      </c>
      <c r="R52" s="170" t="s">
        <v>234</v>
      </c>
      <c r="S52" s="108">
        <f t="shared" si="5"/>
        <v>45334</v>
      </c>
      <c r="T52" s="79">
        <v>45306</v>
      </c>
      <c r="U52" s="14" t="s">
        <v>2101</v>
      </c>
      <c r="V52" s="14" t="s">
        <v>2102</v>
      </c>
      <c r="W52" s="14" t="s">
        <v>1880</v>
      </c>
      <c r="X52" s="176"/>
      <c r="Y52" s="14" t="s">
        <v>2103</v>
      </c>
      <c r="Z52" s="87" t="s">
        <v>2104</v>
      </c>
      <c r="AA52" s="2">
        <f t="shared" ca="1" si="6"/>
        <v>1</v>
      </c>
      <c r="AB52" s="153"/>
      <c r="AC52" s="454" t="str">
        <f>LEFT(I51,1)</f>
        <v>I</v>
      </c>
    </row>
    <row r="53" spans="1:29" ht="58" x14ac:dyDescent="0.35">
      <c r="A53" s="169" t="str">
        <f t="shared" si="9"/>
        <v>Closed</v>
      </c>
      <c r="B53" s="222">
        <v>45317</v>
      </c>
      <c r="C53" s="14">
        <v>2310</v>
      </c>
      <c r="D53" s="14" t="s">
        <v>2105</v>
      </c>
      <c r="E53" s="14" t="s">
        <v>192</v>
      </c>
      <c r="F53" s="14" t="s">
        <v>2037</v>
      </c>
      <c r="G53" s="14" t="s">
        <v>1900</v>
      </c>
      <c r="H53" s="14">
        <v>114</v>
      </c>
      <c r="I53" s="14" t="s">
        <v>140</v>
      </c>
      <c r="J53" s="14">
        <v>89116</v>
      </c>
      <c r="K53" s="87"/>
      <c r="L53" s="14" t="s">
        <v>2106</v>
      </c>
      <c r="M53" s="324">
        <f t="shared" si="10"/>
        <v>0</v>
      </c>
      <c r="N53" s="14" t="s">
        <v>1879</v>
      </c>
      <c r="O53" s="14" t="s">
        <v>1879</v>
      </c>
      <c r="P53" s="167" t="s">
        <v>143</v>
      </c>
      <c r="Q53" s="14"/>
      <c r="R53" s="170">
        <v>0</v>
      </c>
      <c r="S53" s="108">
        <f t="shared" si="5"/>
        <v>45345</v>
      </c>
      <c r="T53" s="79">
        <v>45317</v>
      </c>
      <c r="U53" s="14"/>
      <c r="V53" s="14"/>
      <c r="W53" s="14"/>
      <c r="X53" s="14"/>
      <c r="Y53" s="167" t="s">
        <v>2039</v>
      </c>
      <c r="Z53" s="14"/>
      <c r="AA53" s="2">
        <f t="shared" ca="1" si="6"/>
        <v>1</v>
      </c>
      <c r="AB53" s="153"/>
      <c r="AC53" s="454" t="str">
        <f>LEFT(I52,1)</f>
        <v>O</v>
      </c>
    </row>
    <row r="54" spans="1:29" ht="87" x14ac:dyDescent="0.35">
      <c r="A54" s="169" t="str">
        <f t="shared" si="9"/>
        <v>Closed</v>
      </c>
      <c r="B54" s="222">
        <v>45318</v>
      </c>
      <c r="C54" s="14">
        <v>2310</v>
      </c>
      <c r="D54" s="14" t="s">
        <v>2107</v>
      </c>
      <c r="E54" s="14" t="s">
        <v>206</v>
      </c>
      <c r="F54" s="14" t="s">
        <v>1985</v>
      </c>
      <c r="G54" s="14" t="s">
        <v>1911</v>
      </c>
      <c r="H54" s="14">
        <v>117</v>
      </c>
      <c r="I54" s="14" t="s">
        <v>140</v>
      </c>
      <c r="J54" s="14">
        <v>8502599</v>
      </c>
      <c r="K54" s="87"/>
      <c r="L54" s="14" t="s">
        <v>2108</v>
      </c>
      <c r="M54" s="324">
        <f t="shared" si="10"/>
        <v>0</v>
      </c>
      <c r="N54" s="14" t="s">
        <v>1879</v>
      </c>
      <c r="O54" s="14" t="s">
        <v>1879</v>
      </c>
      <c r="P54" s="167" t="s">
        <v>143</v>
      </c>
      <c r="Q54" s="14"/>
      <c r="R54" s="170">
        <v>0</v>
      </c>
      <c r="S54" s="108">
        <f t="shared" si="5"/>
        <v>45346</v>
      </c>
      <c r="T54" s="79">
        <v>45318</v>
      </c>
      <c r="U54" s="14"/>
      <c r="V54" s="14"/>
      <c r="W54" s="14"/>
      <c r="X54" s="14"/>
      <c r="Y54" s="14" t="s">
        <v>1989</v>
      </c>
      <c r="Z54" s="14"/>
      <c r="AA54" s="2">
        <f t="shared" ca="1" si="6"/>
        <v>1</v>
      </c>
      <c r="AB54" s="153"/>
      <c r="AC54" s="454" t="str">
        <f>LEFT(I53,1)</f>
        <v>I</v>
      </c>
    </row>
    <row r="55" spans="1:29" ht="43.5" x14ac:dyDescent="0.35">
      <c r="A55" s="169" t="str">
        <f t="shared" si="9"/>
        <v>Closed</v>
      </c>
      <c r="B55" s="222">
        <v>45318</v>
      </c>
      <c r="C55" s="14">
        <v>2310</v>
      </c>
      <c r="D55" s="14" t="s">
        <v>2109</v>
      </c>
      <c r="E55" s="14" t="s">
        <v>219</v>
      </c>
      <c r="F55" s="14" t="s">
        <v>1972</v>
      </c>
      <c r="G55" s="14"/>
      <c r="H55" s="14"/>
      <c r="I55" s="176" t="s">
        <v>140</v>
      </c>
      <c r="J55" s="14">
        <v>80976</v>
      </c>
      <c r="K55" s="87"/>
      <c r="L55" s="14" t="s">
        <v>2110</v>
      </c>
      <c r="M55" s="324">
        <f t="shared" si="10"/>
        <v>0</v>
      </c>
      <c r="N55" s="14" t="s">
        <v>1879</v>
      </c>
      <c r="O55" s="14" t="s">
        <v>1879</v>
      </c>
      <c r="P55" s="167" t="s">
        <v>143</v>
      </c>
      <c r="Q55" s="14"/>
      <c r="R55" s="170">
        <v>0</v>
      </c>
      <c r="S55" s="108">
        <f t="shared" si="5"/>
        <v>45346</v>
      </c>
      <c r="T55" s="79">
        <v>45318</v>
      </c>
      <c r="U55" s="14"/>
      <c r="V55" s="14"/>
      <c r="W55" s="14"/>
      <c r="X55" s="14"/>
      <c r="Z55" s="14"/>
      <c r="AA55" s="2">
        <f t="shared" ca="1" si="6"/>
        <v>1</v>
      </c>
      <c r="AB55" s="153"/>
      <c r="AC55" s="454" t="str">
        <f>LEFT(I54,1)</f>
        <v>I</v>
      </c>
    </row>
    <row r="56" spans="1:29" ht="58" x14ac:dyDescent="0.35">
      <c r="A56" s="169" t="str">
        <f t="shared" si="9"/>
        <v>Closed</v>
      </c>
      <c r="B56" s="222">
        <v>45318</v>
      </c>
      <c r="C56" s="14">
        <v>2310</v>
      </c>
      <c r="D56" s="14" t="s">
        <v>2111</v>
      </c>
      <c r="E56" s="14" t="s">
        <v>72</v>
      </c>
      <c r="F56" s="14" t="s">
        <v>2032</v>
      </c>
      <c r="G56" s="14" t="s">
        <v>1900</v>
      </c>
      <c r="H56" s="14">
        <v>120</v>
      </c>
      <c r="I56" s="176" t="s">
        <v>155</v>
      </c>
      <c r="J56" s="14">
        <v>58403</v>
      </c>
      <c r="K56" s="87"/>
      <c r="L56" s="14" t="s">
        <v>2112</v>
      </c>
      <c r="M56" s="324">
        <f t="shared" si="10"/>
        <v>0</v>
      </c>
      <c r="N56" s="14" t="s">
        <v>1879</v>
      </c>
      <c r="O56" s="14" t="s">
        <v>1879</v>
      </c>
      <c r="P56" s="167" t="s">
        <v>147</v>
      </c>
      <c r="Q56" s="14" t="s">
        <v>175</v>
      </c>
      <c r="R56" s="170" t="s">
        <v>234</v>
      </c>
      <c r="S56" s="108">
        <f t="shared" si="5"/>
        <v>45346</v>
      </c>
      <c r="T56" s="79">
        <v>45336</v>
      </c>
      <c r="U56" s="14" t="s">
        <v>2113</v>
      </c>
      <c r="V56" s="14" t="s">
        <v>1896</v>
      </c>
      <c r="W56" s="14" t="s">
        <v>1880</v>
      </c>
      <c r="X56" s="14" t="s">
        <v>1883</v>
      </c>
      <c r="Z56" s="14" t="s">
        <v>1897</v>
      </c>
      <c r="AA56" s="2">
        <f t="shared" ca="1" si="6"/>
        <v>1</v>
      </c>
      <c r="AB56" s="153"/>
      <c r="AC56" s="454" t="str">
        <f>LEFT(H56,1)</f>
        <v>1</v>
      </c>
    </row>
    <row r="57" spans="1:29" ht="43.5" x14ac:dyDescent="0.35">
      <c r="A57" s="169" t="str">
        <f t="shared" si="9"/>
        <v>Closed</v>
      </c>
      <c r="B57" s="222">
        <v>45318</v>
      </c>
      <c r="C57" s="14">
        <v>2310</v>
      </c>
      <c r="D57" s="14" t="s">
        <v>2114</v>
      </c>
      <c r="E57" s="14" t="s">
        <v>8</v>
      </c>
      <c r="F57" s="14"/>
      <c r="G57" s="14"/>
      <c r="H57" s="14">
        <v>122</v>
      </c>
      <c r="I57" s="176" t="s">
        <v>140</v>
      </c>
      <c r="J57" s="14">
        <v>8506977</v>
      </c>
      <c r="K57" s="87"/>
      <c r="L57" s="14" t="s">
        <v>2115</v>
      </c>
      <c r="M57" s="324">
        <f t="shared" si="10"/>
        <v>0</v>
      </c>
      <c r="N57" s="14" t="s">
        <v>1879</v>
      </c>
      <c r="O57" s="14" t="s">
        <v>1879</v>
      </c>
      <c r="P57" s="167" t="s">
        <v>143</v>
      </c>
      <c r="Q57" s="14"/>
      <c r="R57" s="170">
        <v>0</v>
      </c>
      <c r="S57" s="108">
        <f t="shared" si="5"/>
        <v>45346</v>
      </c>
      <c r="T57" s="79">
        <v>45318</v>
      </c>
      <c r="U57" s="14"/>
      <c r="V57" s="14"/>
      <c r="W57" s="14"/>
      <c r="X57" s="14"/>
      <c r="Z57" s="14"/>
      <c r="AA57" s="2">
        <f t="shared" ca="1" si="6"/>
        <v>1</v>
      </c>
      <c r="AB57" s="153"/>
      <c r="AC57" s="454" t="str">
        <f>LEFT(H57,1)</f>
        <v>1</v>
      </c>
    </row>
    <row r="58" spans="1:29" ht="58" x14ac:dyDescent="0.35">
      <c r="A58" s="169" t="str">
        <f t="shared" si="9"/>
        <v>Closed</v>
      </c>
      <c r="B58" s="222">
        <v>45318</v>
      </c>
      <c r="C58" s="14">
        <v>2310</v>
      </c>
      <c r="D58" s="14" t="s">
        <v>2116</v>
      </c>
      <c r="E58" s="14" t="s">
        <v>72</v>
      </c>
      <c r="F58" s="14" t="s">
        <v>2117</v>
      </c>
      <c r="G58" s="14" t="s">
        <v>1900</v>
      </c>
      <c r="H58" s="14">
        <v>110</v>
      </c>
      <c r="I58" s="176" t="s">
        <v>155</v>
      </c>
      <c r="J58" s="14">
        <v>8506977</v>
      </c>
      <c r="K58" s="87"/>
      <c r="L58" s="14" t="s">
        <v>2118</v>
      </c>
      <c r="M58" s="324">
        <f t="shared" si="10"/>
        <v>0</v>
      </c>
      <c r="N58" s="14" t="s">
        <v>1879</v>
      </c>
      <c r="O58" s="14" t="s">
        <v>1879</v>
      </c>
      <c r="P58" s="167" t="s">
        <v>147</v>
      </c>
      <c r="Q58" s="14" t="s">
        <v>175</v>
      </c>
      <c r="R58" s="170" t="s">
        <v>234</v>
      </c>
      <c r="S58" s="108">
        <f t="shared" si="5"/>
        <v>45346</v>
      </c>
      <c r="T58" s="79">
        <v>45336</v>
      </c>
      <c r="U58" s="14" t="s">
        <v>72</v>
      </c>
      <c r="V58" s="14" t="s">
        <v>1896</v>
      </c>
      <c r="W58" s="14" t="s">
        <v>1880</v>
      </c>
      <c r="X58" s="14" t="s">
        <v>1883</v>
      </c>
      <c r="Y58" s="23" t="s">
        <v>1915</v>
      </c>
      <c r="Z58" s="14" t="s">
        <v>1897</v>
      </c>
      <c r="AA58" s="2">
        <f t="shared" ca="1" si="6"/>
        <v>1</v>
      </c>
      <c r="AB58" s="153"/>
      <c r="AC58" s="454" t="str">
        <f>LEFT(H58,1)</f>
        <v>1</v>
      </c>
    </row>
    <row r="59" spans="1:29" ht="72.5" x14ac:dyDescent="0.35">
      <c r="A59" s="169" t="str">
        <f t="shared" si="9"/>
        <v>Closed</v>
      </c>
      <c r="B59" s="222">
        <v>45318</v>
      </c>
      <c r="C59" s="14">
        <v>2310</v>
      </c>
      <c r="D59" s="14" t="s">
        <v>493</v>
      </c>
      <c r="E59" s="14" t="s">
        <v>41</v>
      </c>
      <c r="F59" s="14" t="s">
        <v>2119</v>
      </c>
      <c r="G59" s="14" t="s">
        <v>1900</v>
      </c>
      <c r="H59" s="14">
        <v>203</v>
      </c>
      <c r="I59" s="176" t="s">
        <v>4</v>
      </c>
      <c r="J59" s="14">
        <v>555</v>
      </c>
      <c r="K59" s="87" t="s">
        <v>137</v>
      </c>
      <c r="L59" s="14" t="s">
        <v>2120</v>
      </c>
      <c r="M59" s="324">
        <v>0</v>
      </c>
      <c r="N59" s="14" t="s">
        <v>1879</v>
      </c>
      <c r="O59" s="14" t="s">
        <v>1880</v>
      </c>
      <c r="P59" s="167" t="s">
        <v>139</v>
      </c>
      <c r="Q59" s="14" t="s">
        <v>138</v>
      </c>
      <c r="R59" s="170" t="s">
        <v>234</v>
      </c>
      <c r="S59" s="108">
        <f t="shared" si="5"/>
        <v>45346</v>
      </c>
      <c r="T59" s="79">
        <v>45335</v>
      </c>
      <c r="U59" s="14" t="s">
        <v>2121</v>
      </c>
      <c r="V59" s="14" t="s">
        <v>2122</v>
      </c>
      <c r="W59" s="14" t="s">
        <v>1879</v>
      </c>
      <c r="X59" s="14" t="s">
        <v>1880</v>
      </c>
      <c r="Y59" s="14" t="s">
        <v>2093</v>
      </c>
      <c r="Z59" s="14" t="s">
        <v>2031</v>
      </c>
      <c r="AA59" s="2">
        <f t="shared" ca="1" si="6"/>
        <v>1</v>
      </c>
      <c r="AB59" s="153"/>
      <c r="AC59" s="454" t="str">
        <f>LEFT(H59,1)</f>
        <v>2</v>
      </c>
    </row>
    <row r="60" spans="1:29" ht="87" x14ac:dyDescent="0.35">
      <c r="A60" s="169" t="str">
        <f t="shared" si="9"/>
        <v>Closed</v>
      </c>
      <c r="B60" s="222">
        <v>45318</v>
      </c>
      <c r="C60" s="14">
        <v>2310</v>
      </c>
      <c r="D60" s="14" t="s">
        <v>2123</v>
      </c>
      <c r="E60" s="14" t="s">
        <v>192</v>
      </c>
      <c r="F60" s="14" t="s">
        <v>1921</v>
      </c>
      <c r="G60" s="14" t="s">
        <v>1900</v>
      </c>
      <c r="H60" s="14">
        <v>110</v>
      </c>
      <c r="I60" s="176" t="s">
        <v>140</v>
      </c>
      <c r="J60" s="14">
        <v>908</v>
      </c>
      <c r="K60" s="87"/>
      <c r="L60" s="14" t="s">
        <v>2124</v>
      </c>
      <c r="M60" s="324">
        <f>IF(I60="Staff Accident","Entry Required",IF(I60="Assaults","Entry Required",0))</f>
        <v>0</v>
      </c>
      <c r="N60" s="14" t="s">
        <v>1879</v>
      </c>
      <c r="O60" s="14" t="s">
        <v>1879</v>
      </c>
      <c r="P60" s="167" t="s">
        <v>143</v>
      </c>
      <c r="Q60" s="14"/>
      <c r="R60" s="170">
        <v>0</v>
      </c>
      <c r="S60" s="108">
        <f t="shared" si="5"/>
        <v>45346</v>
      </c>
      <c r="T60" s="79">
        <v>45318</v>
      </c>
      <c r="U60" s="14"/>
      <c r="V60" s="14"/>
      <c r="W60" s="14"/>
      <c r="X60" s="14"/>
      <c r="Y60" s="14" t="s">
        <v>1923</v>
      </c>
      <c r="Z60" s="14"/>
      <c r="AA60" s="2">
        <f t="shared" ca="1" si="6"/>
        <v>1</v>
      </c>
      <c r="AB60" s="153"/>
      <c r="AC60" s="454" t="e">
        <f>LEFT(#REF!,1)</f>
        <v>#REF!</v>
      </c>
    </row>
    <row r="61" spans="1:29" ht="72.5" x14ac:dyDescent="0.35">
      <c r="A61" s="169" t="str">
        <f t="shared" si="9"/>
        <v>Closed</v>
      </c>
      <c r="B61" s="222">
        <v>45319</v>
      </c>
      <c r="C61" s="14">
        <v>2310</v>
      </c>
      <c r="D61" s="14" t="s">
        <v>2125</v>
      </c>
      <c r="E61" s="14" t="s">
        <v>180</v>
      </c>
      <c r="F61" s="14" t="s">
        <v>2060</v>
      </c>
      <c r="G61" s="14" t="s">
        <v>1911</v>
      </c>
      <c r="H61" s="14">
        <v>110</v>
      </c>
      <c r="I61" s="176" t="s">
        <v>140</v>
      </c>
      <c r="J61" s="14">
        <v>57100</v>
      </c>
      <c r="K61" s="87"/>
      <c r="L61" s="14" t="s">
        <v>2126</v>
      </c>
      <c r="M61" s="324">
        <f>IF(I61="Staff Accident","Entry Required",IF(I61="Assaults","Entry Required",0))</f>
        <v>0</v>
      </c>
      <c r="N61" s="14" t="s">
        <v>1879</v>
      </c>
      <c r="O61" s="14" t="s">
        <v>1879</v>
      </c>
      <c r="P61" s="167" t="s">
        <v>143</v>
      </c>
      <c r="Q61" s="14"/>
      <c r="R61" s="170">
        <v>0</v>
      </c>
      <c r="S61" s="108">
        <f t="shared" si="5"/>
        <v>45347</v>
      </c>
      <c r="T61" s="79">
        <v>45319</v>
      </c>
      <c r="U61" s="14"/>
      <c r="V61" s="14"/>
      <c r="W61" s="14"/>
      <c r="X61" s="14"/>
      <c r="Y61" s="466" t="s">
        <v>2062</v>
      </c>
      <c r="Z61" s="14"/>
      <c r="AA61" s="2">
        <f t="shared" ca="1" si="6"/>
        <v>1</v>
      </c>
      <c r="AB61" s="153"/>
      <c r="AC61" s="454" t="str">
        <f t="shared" ref="AC61:AC85" si="11">LEFT(H61,1)</f>
        <v>1</v>
      </c>
    </row>
    <row r="62" spans="1:29" ht="72.5" x14ac:dyDescent="0.35">
      <c r="A62" s="169" t="str">
        <f t="shared" si="9"/>
        <v>Closed</v>
      </c>
      <c r="B62" s="222">
        <v>45320</v>
      </c>
      <c r="C62" s="14">
        <v>2310</v>
      </c>
      <c r="D62" s="14" t="s">
        <v>2127</v>
      </c>
      <c r="E62" s="14" t="s">
        <v>8</v>
      </c>
      <c r="F62" s="14"/>
      <c r="G62" s="14"/>
      <c r="H62" s="14">
        <v>207</v>
      </c>
      <c r="I62" s="176" t="s">
        <v>140</v>
      </c>
      <c r="J62" s="14">
        <v>62828</v>
      </c>
      <c r="K62" s="87"/>
      <c r="L62" s="14" t="s">
        <v>2128</v>
      </c>
      <c r="M62" s="324">
        <f>IF(I62="Staff Accident","Entry Required",IF(I62="Assaults","Entry Required",0))</f>
        <v>0</v>
      </c>
      <c r="N62" s="14" t="s">
        <v>1879</v>
      </c>
      <c r="O62" s="14" t="s">
        <v>1879</v>
      </c>
      <c r="P62" s="167" t="s">
        <v>143</v>
      </c>
      <c r="Q62" s="14"/>
      <c r="R62" s="170">
        <v>0</v>
      </c>
      <c r="S62" s="108">
        <f t="shared" si="5"/>
        <v>45348</v>
      </c>
      <c r="T62" s="79">
        <v>45320</v>
      </c>
      <c r="U62" s="14"/>
      <c r="V62" s="14"/>
      <c r="W62" s="14"/>
      <c r="X62" s="14"/>
      <c r="Z62" s="14"/>
      <c r="AA62" s="2">
        <f t="shared" ca="1" si="6"/>
        <v>1</v>
      </c>
      <c r="AB62" s="153"/>
      <c r="AC62" s="454" t="str">
        <f t="shared" si="11"/>
        <v>2</v>
      </c>
    </row>
    <row r="63" spans="1:29" ht="58" x14ac:dyDescent="0.35">
      <c r="A63" s="169" t="str">
        <f t="shared" si="9"/>
        <v>Closed</v>
      </c>
      <c r="B63" s="222">
        <v>45320</v>
      </c>
      <c r="C63" s="14">
        <v>2310</v>
      </c>
      <c r="D63" s="14" t="s">
        <v>2129</v>
      </c>
      <c r="E63" s="14" t="s">
        <v>27</v>
      </c>
      <c r="F63" s="14" t="s">
        <v>2130</v>
      </c>
      <c r="G63" s="14" t="s">
        <v>1900</v>
      </c>
      <c r="H63" s="14">
        <v>103</v>
      </c>
      <c r="I63" s="176" t="s">
        <v>5</v>
      </c>
      <c r="J63" s="14">
        <v>8506434</v>
      </c>
      <c r="K63" s="87"/>
      <c r="L63" s="14" t="s">
        <v>2131</v>
      </c>
      <c r="M63" s="324">
        <f>IF(I63="Staff Accident","Entry Required",IF(I63="Assaults","Entry Required",0))</f>
        <v>0</v>
      </c>
      <c r="N63" s="14" t="s">
        <v>1879</v>
      </c>
      <c r="O63" s="14" t="s">
        <v>1880</v>
      </c>
      <c r="P63" s="167" t="s">
        <v>147</v>
      </c>
      <c r="Q63" s="14" t="s">
        <v>175</v>
      </c>
      <c r="R63" s="170" t="s">
        <v>234</v>
      </c>
      <c r="S63" s="108">
        <f t="shared" si="5"/>
        <v>45348</v>
      </c>
      <c r="T63" s="79">
        <v>45335</v>
      </c>
      <c r="U63" s="14" t="s">
        <v>2132</v>
      </c>
      <c r="V63" s="14" t="s">
        <v>2133</v>
      </c>
      <c r="W63" s="14" t="s">
        <v>1879</v>
      </c>
      <c r="X63" s="14" t="s">
        <v>1883</v>
      </c>
      <c r="Y63" s="14" t="s">
        <v>2134</v>
      </c>
      <c r="Z63" s="14" t="s">
        <v>2135</v>
      </c>
      <c r="AA63" s="2">
        <f t="shared" ca="1" si="6"/>
        <v>1</v>
      </c>
      <c r="AB63" s="153"/>
      <c r="AC63" s="454" t="str">
        <f t="shared" si="11"/>
        <v>1</v>
      </c>
    </row>
    <row r="64" spans="1:29" ht="130.5" x14ac:dyDescent="0.35">
      <c r="A64" s="169" t="str">
        <f t="shared" si="9"/>
        <v>Closed</v>
      </c>
      <c r="B64" s="222">
        <v>45321</v>
      </c>
      <c r="C64" s="14">
        <v>2310</v>
      </c>
      <c r="D64" s="14" t="s">
        <v>469</v>
      </c>
      <c r="E64" s="14" t="s">
        <v>78</v>
      </c>
      <c r="F64" s="14" t="s">
        <v>2136</v>
      </c>
      <c r="G64" s="14" t="s">
        <v>1900</v>
      </c>
      <c r="H64" s="14">
        <v>113</v>
      </c>
      <c r="I64" s="176" t="s">
        <v>155</v>
      </c>
      <c r="J64" s="14">
        <v>8510009</v>
      </c>
      <c r="K64" s="14"/>
      <c r="L64" s="14" t="s">
        <v>2137</v>
      </c>
      <c r="M64" s="324">
        <f>IF(J64="Staff Accident","Entry Required",IF(J64="Assaults","Entry Required",0))</f>
        <v>0</v>
      </c>
      <c r="N64" s="14" t="s">
        <v>1879</v>
      </c>
      <c r="O64" s="14" t="s">
        <v>1879</v>
      </c>
      <c r="P64" s="167" t="s">
        <v>147</v>
      </c>
      <c r="Q64" s="14" t="s">
        <v>153</v>
      </c>
      <c r="R64" s="170" t="s">
        <v>234</v>
      </c>
      <c r="S64" s="108">
        <f t="shared" si="5"/>
        <v>45349</v>
      </c>
      <c r="T64" s="79">
        <v>45326</v>
      </c>
      <c r="U64" s="14" t="s">
        <v>2138</v>
      </c>
      <c r="V64" s="14" t="s">
        <v>2139</v>
      </c>
      <c r="W64" s="14" t="s">
        <v>1879</v>
      </c>
      <c r="X64" s="14" t="s">
        <v>1880</v>
      </c>
      <c r="Y64" s="14" t="s">
        <v>2140</v>
      </c>
      <c r="Z64" s="14" t="s">
        <v>2141</v>
      </c>
      <c r="AA64" s="2">
        <f t="shared" ca="1" si="6"/>
        <v>1</v>
      </c>
      <c r="AB64" s="153"/>
      <c r="AC64" s="454" t="str">
        <f t="shared" si="11"/>
        <v>1</v>
      </c>
    </row>
    <row r="65" spans="1:29" ht="87" x14ac:dyDescent="0.35">
      <c r="A65" s="169" t="str">
        <f t="shared" si="9"/>
        <v>Closed</v>
      </c>
      <c r="B65" s="222">
        <v>45323</v>
      </c>
      <c r="C65" s="14">
        <v>2310</v>
      </c>
      <c r="D65" s="14" t="s">
        <v>2142</v>
      </c>
      <c r="E65" s="14" t="s">
        <v>31</v>
      </c>
      <c r="F65" s="14" t="s">
        <v>2143</v>
      </c>
      <c r="G65" s="14"/>
      <c r="H65" s="14">
        <v>123</v>
      </c>
      <c r="I65" s="176" t="s">
        <v>140</v>
      </c>
      <c r="J65" s="14">
        <v>97</v>
      </c>
      <c r="K65" s="14"/>
      <c r="L65" s="14" t="s">
        <v>2144</v>
      </c>
      <c r="M65" s="324">
        <f>IF(J65="Staff Accident","Entry Required",IF(J65="Assaults","Entry Required",0))</f>
        <v>0</v>
      </c>
      <c r="N65" s="14" t="s">
        <v>1879</v>
      </c>
      <c r="O65" s="14" t="s">
        <v>1879</v>
      </c>
      <c r="P65" s="167" t="s">
        <v>143</v>
      </c>
      <c r="Q65" s="14"/>
      <c r="R65" s="170">
        <v>0</v>
      </c>
      <c r="S65" s="108">
        <f t="shared" si="5"/>
        <v>45351</v>
      </c>
      <c r="T65" s="79">
        <v>45348</v>
      </c>
      <c r="U65" s="14"/>
      <c r="V65" s="14"/>
      <c r="W65" s="14"/>
      <c r="X65" s="14"/>
      <c r="Z65" s="14" t="s">
        <v>2145</v>
      </c>
      <c r="AA65" s="2">
        <f t="shared" ca="1" si="6"/>
        <v>1</v>
      </c>
      <c r="AB65" s="153"/>
      <c r="AC65" s="454" t="str">
        <f t="shared" si="11"/>
        <v>1</v>
      </c>
    </row>
    <row r="66" spans="1:29" ht="116" x14ac:dyDescent="0.35">
      <c r="A66" s="169" t="str">
        <f t="shared" si="9"/>
        <v>Closed</v>
      </c>
      <c r="B66" s="222">
        <v>45324</v>
      </c>
      <c r="C66" s="14">
        <v>2310</v>
      </c>
      <c r="D66" s="14" t="s">
        <v>2146</v>
      </c>
      <c r="E66" s="14" t="s">
        <v>42</v>
      </c>
      <c r="F66" s="14" t="s">
        <v>2147</v>
      </c>
      <c r="G66" s="14" t="s">
        <v>1911</v>
      </c>
      <c r="H66" s="14">
        <v>113</v>
      </c>
      <c r="I66" s="176" t="s">
        <v>4</v>
      </c>
      <c r="J66" s="14">
        <v>8506250</v>
      </c>
      <c r="K66" s="14" t="s">
        <v>137</v>
      </c>
      <c r="L66" s="14" t="s">
        <v>2148</v>
      </c>
      <c r="M66" s="324">
        <f>IF(J66="Staff Accident","Entry Required",IF(J66="Assaults","Entry Required",0))</f>
        <v>0</v>
      </c>
      <c r="N66" s="14" t="s">
        <v>1879</v>
      </c>
      <c r="O66" s="14" t="s">
        <v>1879</v>
      </c>
      <c r="P66" s="167" t="s">
        <v>139</v>
      </c>
      <c r="Q66" s="14" t="s">
        <v>157</v>
      </c>
      <c r="R66" s="170" t="s">
        <v>234</v>
      </c>
      <c r="S66" s="108">
        <f t="shared" si="5"/>
        <v>45352</v>
      </c>
      <c r="T66" s="79">
        <v>45405</v>
      </c>
      <c r="U66" s="14" t="s">
        <v>2149</v>
      </c>
      <c r="V66" s="14" t="s">
        <v>2149</v>
      </c>
      <c r="W66" s="14" t="s">
        <v>1879</v>
      </c>
      <c r="X66" s="14" t="s">
        <v>154</v>
      </c>
      <c r="Y66" s="14" t="s">
        <v>2150</v>
      </c>
      <c r="Z66" s="14" t="s">
        <v>2151</v>
      </c>
      <c r="AA66" s="2">
        <f t="shared" ca="1" si="6"/>
        <v>1</v>
      </c>
      <c r="AB66" s="153"/>
      <c r="AC66" s="454" t="str">
        <f t="shared" si="11"/>
        <v>1</v>
      </c>
    </row>
    <row r="67" spans="1:29" ht="58" x14ac:dyDescent="0.35">
      <c r="A67" s="169" t="str">
        <f t="shared" si="9"/>
        <v>Closed</v>
      </c>
      <c r="B67" s="222">
        <v>45324</v>
      </c>
      <c r="C67" s="14">
        <v>2310</v>
      </c>
      <c r="D67" s="14" t="s">
        <v>2152</v>
      </c>
      <c r="E67" s="14" t="s">
        <v>8</v>
      </c>
      <c r="F67" s="14" t="s">
        <v>2037</v>
      </c>
      <c r="G67" s="14" t="s">
        <v>1911</v>
      </c>
      <c r="H67" s="14">
        <v>110</v>
      </c>
      <c r="I67" s="176" t="s">
        <v>140</v>
      </c>
      <c r="J67" s="14">
        <v>81716</v>
      </c>
      <c r="K67" s="14"/>
      <c r="L67" s="14" t="s">
        <v>2153</v>
      </c>
      <c r="M67" s="324">
        <f>IF(J67="Staff Accident","Entry Required",IF(J67="Assaults","Entry Required",0))</f>
        <v>0</v>
      </c>
      <c r="N67" s="14" t="s">
        <v>1879</v>
      </c>
      <c r="O67" s="14" t="s">
        <v>1879</v>
      </c>
      <c r="P67" s="167" t="s">
        <v>143</v>
      </c>
      <c r="Q67" s="14"/>
      <c r="R67" s="170">
        <v>0</v>
      </c>
      <c r="S67" s="108">
        <f t="shared" si="5"/>
        <v>45352</v>
      </c>
      <c r="T67" s="79">
        <v>45324</v>
      </c>
      <c r="U67" s="14"/>
      <c r="V67" s="14"/>
      <c r="W67" s="14"/>
      <c r="X67" s="14"/>
      <c r="Y67" s="167" t="s">
        <v>2039</v>
      </c>
      <c r="Z67" s="14"/>
      <c r="AA67" s="2">
        <f t="shared" ca="1" si="6"/>
        <v>1</v>
      </c>
      <c r="AB67" s="153"/>
      <c r="AC67" s="454" t="str">
        <f t="shared" si="11"/>
        <v>1</v>
      </c>
    </row>
    <row r="68" spans="1:29" ht="130.5" x14ac:dyDescent="0.35">
      <c r="A68" s="169" t="str">
        <f t="shared" si="9"/>
        <v>Closed</v>
      </c>
      <c r="B68" s="222">
        <v>45324</v>
      </c>
      <c r="C68" s="14">
        <v>2310</v>
      </c>
      <c r="D68" s="14" t="s">
        <v>2154</v>
      </c>
      <c r="E68" s="14" t="s">
        <v>192</v>
      </c>
      <c r="F68" s="14" t="s">
        <v>2155</v>
      </c>
      <c r="G68" s="14"/>
      <c r="H68" s="14"/>
      <c r="I68" s="14" t="s">
        <v>140</v>
      </c>
      <c r="K68" s="14"/>
      <c r="L68" s="14" t="s">
        <v>2156</v>
      </c>
      <c r="M68" s="324">
        <f>IF(J68="Staff Accident","Entry Required",IF(J68="Assaults","Entry Required",0))</f>
        <v>0</v>
      </c>
      <c r="N68" s="14" t="s">
        <v>1879</v>
      </c>
      <c r="O68" s="14" t="s">
        <v>1879</v>
      </c>
      <c r="P68" s="167" t="s">
        <v>143</v>
      </c>
      <c r="Q68" s="14"/>
      <c r="R68" s="170">
        <v>0</v>
      </c>
      <c r="S68" s="108">
        <f t="shared" si="5"/>
        <v>45352</v>
      </c>
      <c r="T68" s="79">
        <v>45324</v>
      </c>
      <c r="U68" s="14"/>
      <c r="V68" s="14"/>
      <c r="W68" s="14"/>
      <c r="X68" s="14"/>
      <c r="Z68" s="14"/>
      <c r="AA68" s="2">
        <f t="shared" ca="1" si="6"/>
        <v>1</v>
      </c>
      <c r="AB68" s="153"/>
      <c r="AC68" s="454" t="str">
        <f t="shared" si="11"/>
        <v/>
      </c>
    </row>
    <row r="69" spans="1:29" ht="58" x14ac:dyDescent="0.35">
      <c r="A69" s="169" t="str">
        <f t="shared" si="9"/>
        <v>Closed</v>
      </c>
      <c r="B69" s="222">
        <v>45324</v>
      </c>
      <c r="C69" s="14">
        <v>2310</v>
      </c>
      <c r="D69" s="14" t="s">
        <v>2157</v>
      </c>
      <c r="E69" s="14" t="s">
        <v>31</v>
      </c>
      <c r="F69" s="14" t="s">
        <v>2099</v>
      </c>
      <c r="G69" s="14" t="s">
        <v>1900</v>
      </c>
      <c r="H69" s="14">
        <v>115</v>
      </c>
      <c r="I69" s="176" t="s">
        <v>140</v>
      </c>
      <c r="J69" s="14">
        <v>788</v>
      </c>
      <c r="L69" s="14" t="s">
        <v>2158</v>
      </c>
      <c r="M69" s="324">
        <f>IF(I69="Staff Accident","Entry Required",IF(I69="Assaults","Entry Required",0))</f>
        <v>0</v>
      </c>
      <c r="N69" s="14" t="s">
        <v>1879</v>
      </c>
      <c r="O69" s="14" t="s">
        <v>1879</v>
      </c>
      <c r="P69" s="167" t="s">
        <v>143</v>
      </c>
      <c r="Q69" s="14"/>
      <c r="R69" s="170">
        <v>0</v>
      </c>
      <c r="S69" s="108">
        <f t="shared" si="5"/>
        <v>45352</v>
      </c>
      <c r="T69" s="79">
        <v>45324</v>
      </c>
      <c r="U69" s="14"/>
      <c r="V69" s="14"/>
      <c r="W69" s="14"/>
      <c r="X69" s="14"/>
      <c r="Y69" s="14" t="s">
        <v>2103</v>
      </c>
      <c r="Z69" s="14"/>
      <c r="AA69" s="2">
        <f t="shared" ca="1" si="6"/>
        <v>1</v>
      </c>
      <c r="AB69" s="153"/>
      <c r="AC69" s="454" t="str">
        <f t="shared" si="11"/>
        <v>1</v>
      </c>
    </row>
    <row r="70" spans="1:29" ht="58" x14ac:dyDescent="0.35">
      <c r="A70" s="169" t="str">
        <f t="shared" si="9"/>
        <v>Closed</v>
      </c>
      <c r="B70" s="222">
        <v>45324</v>
      </c>
      <c r="C70" s="14">
        <v>2310</v>
      </c>
      <c r="D70" s="14" t="s">
        <v>2159</v>
      </c>
      <c r="E70" s="14" t="s">
        <v>8</v>
      </c>
      <c r="F70" s="14" t="s">
        <v>2010</v>
      </c>
      <c r="G70" s="14" t="s">
        <v>1911</v>
      </c>
      <c r="H70" s="14">
        <v>118</v>
      </c>
      <c r="I70" s="176" t="s">
        <v>140</v>
      </c>
      <c r="J70" s="14">
        <v>8505276</v>
      </c>
      <c r="K70" s="87"/>
      <c r="L70" s="14" t="s">
        <v>2160</v>
      </c>
      <c r="M70" s="324">
        <f>IF(I70="Staff Accident","Entry Required",IF(I70="Assaults","Entry Required",0))</f>
        <v>0</v>
      </c>
      <c r="N70" s="14" t="s">
        <v>1879</v>
      </c>
      <c r="O70" s="14" t="s">
        <v>1879</v>
      </c>
      <c r="P70" s="167" t="s">
        <v>143</v>
      </c>
      <c r="Q70" s="14"/>
      <c r="R70" s="170">
        <v>0</v>
      </c>
      <c r="S70" s="108">
        <f t="shared" si="5"/>
        <v>45352</v>
      </c>
      <c r="T70" s="79">
        <v>45324</v>
      </c>
      <c r="U70" s="14"/>
      <c r="V70" s="14"/>
      <c r="W70" s="14"/>
      <c r="X70" s="14"/>
      <c r="Y70" s="51" t="s">
        <v>2012</v>
      </c>
      <c r="Z70" s="14"/>
      <c r="AA70" s="2">
        <f t="shared" ca="1" si="6"/>
        <v>1</v>
      </c>
      <c r="AB70" s="153"/>
      <c r="AC70" s="454" t="str">
        <f t="shared" si="11"/>
        <v>1</v>
      </c>
    </row>
    <row r="71" spans="1:29" ht="130.5" x14ac:dyDescent="0.35">
      <c r="A71" s="169" t="str">
        <f t="shared" si="9"/>
        <v>Closed</v>
      </c>
      <c r="B71" s="222">
        <v>45325</v>
      </c>
      <c r="C71" s="14">
        <v>2310</v>
      </c>
      <c r="D71" s="14" t="s">
        <v>2161</v>
      </c>
      <c r="E71" s="14" t="s">
        <v>192</v>
      </c>
      <c r="F71" s="167" t="s">
        <v>2162</v>
      </c>
      <c r="G71" s="14" t="s">
        <v>1911</v>
      </c>
      <c r="H71" s="14">
        <v>109</v>
      </c>
      <c r="I71" s="176" t="s">
        <v>140</v>
      </c>
      <c r="J71" s="14">
        <v>8506434</v>
      </c>
      <c r="K71" s="87"/>
      <c r="L71" s="14" t="s">
        <v>2163</v>
      </c>
      <c r="M71" s="324">
        <f>IF(I71="Staff Accident","Entry Required",IF(I71="Assaults","Entry Required",0))</f>
        <v>0</v>
      </c>
      <c r="N71" s="14" t="s">
        <v>1879</v>
      </c>
      <c r="O71" s="14" t="s">
        <v>1879</v>
      </c>
      <c r="P71" s="167" t="s">
        <v>143</v>
      </c>
      <c r="Q71" s="14"/>
      <c r="R71" s="170">
        <v>0</v>
      </c>
      <c r="S71" s="108">
        <f t="shared" si="5"/>
        <v>45353</v>
      </c>
      <c r="T71" s="79">
        <v>45324</v>
      </c>
      <c r="U71" s="14"/>
      <c r="V71" s="14"/>
      <c r="W71" s="14"/>
      <c r="X71" s="14"/>
      <c r="Y71" s="15" t="s">
        <v>2164</v>
      </c>
      <c r="Z71" s="87"/>
      <c r="AA71" s="2">
        <f t="shared" ca="1" si="6"/>
        <v>1</v>
      </c>
      <c r="AB71" s="153"/>
      <c r="AC71" s="454" t="str">
        <f t="shared" si="11"/>
        <v>1</v>
      </c>
    </row>
    <row r="72" spans="1:29" ht="72.5" x14ac:dyDescent="0.35">
      <c r="A72" s="169" t="str">
        <f t="shared" si="9"/>
        <v>Closed</v>
      </c>
      <c r="B72" s="222">
        <v>45325</v>
      </c>
      <c r="C72" s="14">
        <v>2310</v>
      </c>
      <c r="D72" s="14" t="s">
        <v>2165</v>
      </c>
      <c r="E72" s="14" t="s">
        <v>78</v>
      </c>
      <c r="F72" s="14" t="s">
        <v>2147</v>
      </c>
      <c r="G72" s="14" t="s">
        <v>1911</v>
      </c>
      <c r="H72" s="14">
        <v>108</v>
      </c>
      <c r="I72" s="176" t="s">
        <v>155</v>
      </c>
      <c r="J72" s="14">
        <v>426</v>
      </c>
      <c r="K72" s="87"/>
      <c r="L72" s="14" t="s">
        <v>2166</v>
      </c>
      <c r="M72" s="324">
        <f>IF(I72="Staff Accident","Entry Required",IF(I72="Assaults","Entry Required",0))</f>
        <v>0</v>
      </c>
      <c r="N72" s="14" t="s">
        <v>1879</v>
      </c>
      <c r="O72" s="14" t="s">
        <v>1880</v>
      </c>
      <c r="P72" s="167" t="s">
        <v>147</v>
      </c>
      <c r="Q72" s="14" t="s">
        <v>177</v>
      </c>
      <c r="R72" s="170" t="s">
        <v>234</v>
      </c>
      <c r="S72" s="108">
        <f t="shared" si="5"/>
        <v>45353</v>
      </c>
      <c r="T72" s="79">
        <v>45429</v>
      </c>
      <c r="U72" s="14" t="s">
        <v>2167</v>
      </c>
      <c r="V72" s="14" t="s">
        <v>2168</v>
      </c>
      <c r="W72" s="14" t="s">
        <v>1880</v>
      </c>
      <c r="X72" s="14" t="s">
        <v>1883</v>
      </c>
      <c r="Y72" s="14" t="s">
        <v>2150</v>
      </c>
      <c r="Z72" s="14" t="s">
        <v>2169</v>
      </c>
      <c r="AA72" s="2">
        <f t="shared" ca="1" si="6"/>
        <v>1</v>
      </c>
      <c r="AB72" s="153"/>
      <c r="AC72" s="454" t="str">
        <f t="shared" si="11"/>
        <v>1</v>
      </c>
    </row>
    <row r="73" spans="1:29" ht="87" x14ac:dyDescent="0.35">
      <c r="A73" s="169" t="str">
        <f t="shared" si="9"/>
        <v>Closed</v>
      </c>
      <c r="B73" s="222">
        <v>45325</v>
      </c>
      <c r="C73" s="14">
        <v>2310</v>
      </c>
      <c r="D73" s="14" t="s">
        <v>496</v>
      </c>
      <c r="E73" s="14" t="s">
        <v>42</v>
      </c>
      <c r="F73" s="14" t="s">
        <v>1968</v>
      </c>
      <c r="G73" s="14" t="s">
        <v>1911</v>
      </c>
      <c r="H73" s="14">
        <v>109</v>
      </c>
      <c r="I73" s="176" t="s">
        <v>4</v>
      </c>
      <c r="J73" s="14">
        <v>8511090</v>
      </c>
      <c r="K73" s="87" t="s">
        <v>137</v>
      </c>
      <c r="L73" s="14" t="s">
        <v>2170</v>
      </c>
      <c r="M73" s="324">
        <v>0</v>
      </c>
      <c r="N73" s="14" t="s">
        <v>1879</v>
      </c>
      <c r="O73" s="14" t="s">
        <v>1880</v>
      </c>
      <c r="P73" s="167" t="s">
        <v>139</v>
      </c>
      <c r="Q73" s="14" t="s">
        <v>138</v>
      </c>
      <c r="R73" s="170" t="s">
        <v>234</v>
      </c>
      <c r="S73" s="108">
        <f t="shared" si="5"/>
        <v>45353</v>
      </c>
      <c r="T73" s="79">
        <v>45337</v>
      </c>
      <c r="U73" s="14" t="s">
        <v>2171</v>
      </c>
      <c r="V73" s="14" t="s">
        <v>2172</v>
      </c>
      <c r="W73" s="14" t="s">
        <v>1879</v>
      </c>
      <c r="X73" s="14" t="s">
        <v>1880</v>
      </c>
      <c r="Y73" s="14" t="s">
        <v>1970</v>
      </c>
      <c r="Z73" s="14" t="s">
        <v>1884</v>
      </c>
      <c r="AA73" s="2">
        <f t="shared" ca="1" si="6"/>
        <v>1</v>
      </c>
      <c r="AB73" s="153"/>
      <c r="AC73" s="454" t="str">
        <f t="shared" si="11"/>
        <v>1</v>
      </c>
    </row>
    <row r="74" spans="1:29" ht="188.5" x14ac:dyDescent="0.35">
      <c r="A74" s="169" t="str">
        <f t="shared" si="9"/>
        <v>Closed</v>
      </c>
      <c r="B74" s="222">
        <v>45326</v>
      </c>
      <c r="C74" s="14">
        <v>2311</v>
      </c>
      <c r="D74" s="14" t="s">
        <v>2173</v>
      </c>
      <c r="E74" s="14" t="s">
        <v>206</v>
      </c>
      <c r="F74" s="14" t="s">
        <v>2010</v>
      </c>
      <c r="G74" s="14"/>
      <c r="H74" s="14"/>
      <c r="I74" s="176" t="s">
        <v>140</v>
      </c>
      <c r="K74" s="87"/>
      <c r="L74" s="14" t="s">
        <v>2174</v>
      </c>
      <c r="M74" s="324">
        <f t="shared" ref="M74:M112" si="12">IF(I74="Staff Accident","Entry Required",IF(I74="Assaults","Entry Required",0))</f>
        <v>0</v>
      </c>
      <c r="N74" s="14" t="s">
        <v>1879</v>
      </c>
      <c r="O74" s="14" t="s">
        <v>1879</v>
      </c>
      <c r="P74" s="167" t="s">
        <v>143</v>
      </c>
      <c r="Q74" s="14"/>
      <c r="R74" s="170">
        <v>0</v>
      </c>
      <c r="S74" s="108">
        <f t="shared" si="5"/>
        <v>45354</v>
      </c>
      <c r="T74" s="79">
        <v>45326</v>
      </c>
      <c r="U74" s="14"/>
      <c r="V74" s="14"/>
      <c r="W74" s="14"/>
      <c r="X74" s="14"/>
      <c r="Y74" s="51" t="s">
        <v>2012</v>
      </c>
      <c r="Z74" s="14"/>
      <c r="AA74" s="2">
        <f t="shared" ca="1" si="6"/>
        <v>1</v>
      </c>
      <c r="AB74" s="153"/>
      <c r="AC74" s="454" t="str">
        <f t="shared" si="11"/>
        <v/>
      </c>
    </row>
    <row r="75" spans="1:29" ht="72.5" x14ac:dyDescent="0.35">
      <c r="A75" s="169" t="str">
        <f t="shared" si="9"/>
        <v>Closed</v>
      </c>
      <c r="B75" s="222">
        <v>45326</v>
      </c>
      <c r="C75" s="14">
        <v>2311</v>
      </c>
      <c r="D75" s="14" t="s">
        <v>2175</v>
      </c>
      <c r="E75" s="14" t="s">
        <v>187</v>
      </c>
      <c r="F75" s="14" t="s">
        <v>1954</v>
      </c>
      <c r="G75" s="14" t="s">
        <v>1900</v>
      </c>
      <c r="H75" s="14">
        <v>203</v>
      </c>
      <c r="I75" s="176" t="s">
        <v>140</v>
      </c>
      <c r="J75" s="14">
        <v>97</v>
      </c>
      <c r="K75" s="87"/>
      <c r="L75" s="14" t="s">
        <v>2176</v>
      </c>
      <c r="M75" s="324">
        <f t="shared" si="12"/>
        <v>0</v>
      </c>
      <c r="N75" s="14" t="s">
        <v>1879</v>
      </c>
      <c r="O75" s="14" t="s">
        <v>1879</v>
      </c>
      <c r="P75" s="167" t="s">
        <v>143</v>
      </c>
      <c r="Q75" s="14"/>
      <c r="R75" s="170">
        <v>0</v>
      </c>
      <c r="S75" s="108">
        <f t="shared" si="5"/>
        <v>45354</v>
      </c>
      <c r="T75" s="79">
        <v>45326</v>
      </c>
      <c r="U75" s="14"/>
      <c r="V75" s="14"/>
      <c r="W75" s="14"/>
      <c r="X75" s="14"/>
      <c r="Y75" s="14" t="s">
        <v>1956</v>
      </c>
      <c r="Z75" s="14"/>
      <c r="AA75" s="2">
        <f t="shared" ca="1" si="6"/>
        <v>1</v>
      </c>
      <c r="AB75" s="153"/>
      <c r="AC75" s="454" t="str">
        <f t="shared" si="11"/>
        <v>2</v>
      </c>
    </row>
    <row r="76" spans="1:29" ht="58" x14ac:dyDescent="0.35">
      <c r="A76" s="169" t="str">
        <f t="shared" si="9"/>
        <v>Closed</v>
      </c>
      <c r="B76" s="222">
        <v>45326</v>
      </c>
      <c r="C76" s="14">
        <v>2311</v>
      </c>
      <c r="D76" s="14" t="s">
        <v>2177</v>
      </c>
      <c r="E76" s="14" t="s">
        <v>37</v>
      </c>
      <c r="F76" s="14" t="s">
        <v>2130</v>
      </c>
      <c r="G76" s="14" t="s">
        <v>1911</v>
      </c>
      <c r="H76" s="14">
        <v>113</v>
      </c>
      <c r="I76" s="176" t="s">
        <v>155</v>
      </c>
      <c r="J76" s="14">
        <v>707</v>
      </c>
      <c r="K76" s="87"/>
      <c r="L76" s="14" t="s">
        <v>2178</v>
      </c>
      <c r="M76" s="324">
        <f t="shared" si="12"/>
        <v>0</v>
      </c>
      <c r="N76" s="14" t="s">
        <v>1879</v>
      </c>
      <c r="O76" s="14"/>
      <c r="P76" s="167" t="s">
        <v>147</v>
      </c>
      <c r="Q76" s="14" t="s">
        <v>174</v>
      </c>
      <c r="R76" s="170" t="s">
        <v>234</v>
      </c>
      <c r="S76" s="108">
        <f t="shared" si="5"/>
        <v>45354</v>
      </c>
      <c r="T76" s="79">
        <v>45422</v>
      </c>
      <c r="U76" s="14" t="s">
        <v>2179</v>
      </c>
      <c r="V76" s="14" t="s">
        <v>2180</v>
      </c>
      <c r="W76" s="14" t="s">
        <v>1879</v>
      </c>
      <c r="X76" s="14" t="s">
        <v>1883</v>
      </c>
      <c r="Y76" s="15" t="s">
        <v>2134</v>
      </c>
      <c r="Z76" s="14" t="s">
        <v>2181</v>
      </c>
      <c r="AA76" s="2">
        <f t="shared" ca="1" si="6"/>
        <v>1</v>
      </c>
      <c r="AB76" s="153"/>
      <c r="AC76" s="454" t="str">
        <f t="shared" si="11"/>
        <v>1</v>
      </c>
    </row>
    <row r="77" spans="1:29" ht="43.5" x14ac:dyDescent="0.35">
      <c r="A77" s="169" t="str">
        <f t="shared" si="9"/>
        <v>Closed</v>
      </c>
      <c r="B77" s="222">
        <v>45326</v>
      </c>
      <c r="C77" s="14">
        <v>2311</v>
      </c>
      <c r="D77" s="14" t="s">
        <v>2182</v>
      </c>
      <c r="E77" s="14" t="s">
        <v>31</v>
      </c>
      <c r="F77" s="14" t="s">
        <v>2183</v>
      </c>
      <c r="G77" s="14" t="s">
        <v>1911</v>
      </c>
      <c r="H77" s="14">
        <v>111</v>
      </c>
      <c r="I77" s="176" t="s">
        <v>140</v>
      </c>
      <c r="K77" s="87"/>
      <c r="L77" s="14" t="s">
        <v>2184</v>
      </c>
      <c r="M77" s="324">
        <f t="shared" si="12"/>
        <v>0</v>
      </c>
      <c r="N77" s="14" t="s">
        <v>1879</v>
      </c>
      <c r="O77" s="14" t="s">
        <v>1879</v>
      </c>
      <c r="P77" s="167" t="s">
        <v>143</v>
      </c>
      <c r="Q77" s="14"/>
      <c r="R77" s="170">
        <v>0</v>
      </c>
      <c r="S77" s="108">
        <f t="shared" ref="S77:S140" si="13">IF(B77="","",B77+28)</f>
        <v>45354</v>
      </c>
      <c r="T77" s="79">
        <v>45326</v>
      </c>
      <c r="U77" s="14"/>
      <c r="V77" s="14"/>
      <c r="W77" s="14"/>
      <c r="X77" s="14"/>
      <c r="Y77" s="14" t="s">
        <v>2185</v>
      </c>
      <c r="Z77" s="14"/>
      <c r="AA77" s="2">
        <f t="shared" ca="1" si="6"/>
        <v>1</v>
      </c>
      <c r="AB77" s="153"/>
      <c r="AC77" s="454" t="str">
        <f t="shared" si="11"/>
        <v>1</v>
      </c>
    </row>
    <row r="78" spans="1:29" ht="58" x14ac:dyDescent="0.35">
      <c r="A78" s="169" t="str">
        <f t="shared" si="9"/>
        <v>Closed</v>
      </c>
      <c r="B78" s="222">
        <v>45327</v>
      </c>
      <c r="C78" s="14">
        <v>2311</v>
      </c>
      <c r="D78" s="14" t="s">
        <v>2186</v>
      </c>
      <c r="E78" s="14" t="s">
        <v>180</v>
      </c>
      <c r="F78" s="14" t="s">
        <v>2187</v>
      </c>
      <c r="G78" s="14" t="s">
        <v>1900</v>
      </c>
      <c r="H78" s="14">
        <v>117</v>
      </c>
      <c r="I78" s="176" t="s">
        <v>140</v>
      </c>
      <c r="K78" s="87"/>
      <c r="L78" s="14" t="s">
        <v>2188</v>
      </c>
      <c r="M78" s="324">
        <f t="shared" si="12"/>
        <v>0</v>
      </c>
      <c r="N78" s="14" t="s">
        <v>1879</v>
      </c>
      <c r="O78" s="14" t="s">
        <v>1879</v>
      </c>
      <c r="P78" s="167" t="s">
        <v>143</v>
      </c>
      <c r="Q78" s="14"/>
      <c r="R78" s="170">
        <v>0</v>
      </c>
      <c r="S78" s="108">
        <f t="shared" si="13"/>
        <v>45355</v>
      </c>
      <c r="T78" s="79">
        <v>45327</v>
      </c>
      <c r="U78" s="14"/>
      <c r="V78" s="14"/>
      <c r="W78" s="14"/>
      <c r="X78" s="14"/>
      <c r="Y78" s="14" t="s">
        <v>2023</v>
      </c>
      <c r="Z78" s="14"/>
      <c r="AA78" s="2">
        <f t="shared" ca="1" si="6"/>
        <v>1</v>
      </c>
      <c r="AB78" s="153"/>
      <c r="AC78" s="454" t="str">
        <f t="shared" si="11"/>
        <v>1</v>
      </c>
    </row>
    <row r="79" spans="1:29" ht="43.5" x14ac:dyDescent="0.35">
      <c r="A79" s="169" t="str">
        <f t="shared" si="9"/>
        <v>Closed</v>
      </c>
      <c r="B79" s="222">
        <v>45327</v>
      </c>
      <c r="C79" s="14">
        <v>2311</v>
      </c>
      <c r="D79" s="14" t="s">
        <v>2189</v>
      </c>
      <c r="E79" s="14" t="s">
        <v>72</v>
      </c>
      <c r="F79" s="14" t="s">
        <v>2190</v>
      </c>
      <c r="G79" s="14"/>
      <c r="H79" s="14">
        <v>205</v>
      </c>
      <c r="I79" s="176" t="s">
        <v>155</v>
      </c>
      <c r="J79" s="14">
        <v>75341</v>
      </c>
      <c r="K79" s="87"/>
      <c r="L79" s="14" t="s">
        <v>2191</v>
      </c>
      <c r="M79" s="324">
        <f t="shared" si="12"/>
        <v>0</v>
      </c>
      <c r="N79" s="14" t="s">
        <v>1879</v>
      </c>
      <c r="O79" s="14"/>
      <c r="P79" s="167" t="s">
        <v>147</v>
      </c>
      <c r="Q79" s="14" t="s">
        <v>174</v>
      </c>
      <c r="R79" s="170" t="s">
        <v>234</v>
      </c>
      <c r="S79" s="108">
        <f t="shared" si="13"/>
        <v>45355</v>
      </c>
      <c r="T79" s="79">
        <v>45398</v>
      </c>
      <c r="U79" s="14" t="s">
        <v>2192</v>
      </c>
      <c r="V79" s="14" t="s">
        <v>2193</v>
      </c>
      <c r="W79" s="14" t="s">
        <v>1880</v>
      </c>
      <c r="X79" s="14" t="s">
        <v>1883</v>
      </c>
      <c r="Z79" s="14" t="s">
        <v>2194</v>
      </c>
      <c r="AA79" s="2">
        <f t="shared" ref="AA79:AA142" ca="1" si="14">IF(B79="",3,IF(S79&lt;$A$1,1,0))</f>
        <v>1</v>
      </c>
      <c r="AB79" s="153"/>
      <c r="AC79" s="454" t="str">
        <f t="shared" si="11"/>
        <v>2</v>
      </c>
    </row>
    <row r="80" spans="1:29" ht="43.5" x14ac:dyDescent="0.35">
      <c r="A80" s="169" t="str">
        <f t="shared" si="9"/>
        <v>Closed</v>
      </c>
      <c r="B80" s="222">
        <v>45327</v>
      </c>
      <c r="C80" s="14">
        <v>2311</v>
      </c>
      <c r="D80" s="14" t="s">
        <v>2195</v>
      </c>
      <c r="E80" s="14" t="s">
        <v>152</v>
      </c>
      <c r="F80" s="14" t="s">
        <v>2196</v>
      </c>
      <c r="G80" s="14" t="s">
        <v>1900</v>
      </c>
      <c r="H80" s="14">
        <v>103</v>
      </c>
      <c r="I80" s="176" t="s">
        <v>140</v>
      </c>
      <c r="J80" s="14">
        <v>78670</v>
      </c>
      <c r="K80" s="87"/>
      <c r="L80" s="14" t="s">
        <v>2197</v>
      </c>
      <c r="M80" s="324">
        <f t="shared" si="12"/>
        <v>0</v>
      </c>
      <c r="N80" s="14" t="s">
        <v>1879</v>
      </c>
      <c r="O80" s="14" t="s">
        <v>1879</v>
      </c>
      <c r="P80" s="167" t="s">
        <v>143</v>
      </c>
      <c r="Q80" s="14"/>
      <c r="R80" s="170">
        <v>0</v>
      </c>
      <c r="S80" s="108">
        <f t="shared" si="13"/>
        <v>45355</v>
      </c>
      <c r="T80" s="79">
        <v>45327</v>
      </c>
      <c r="U80" s="14"/>
      <c r="V80" s="14"/>
      <c r="W80" s="14"/>
      <c r="X80" s="14"/>
      <c r="Y80" s="167" t="s">
        <v>2198</v>
      </c>
      <c r="Z80" s="14"/>
      <c r="AA80" s="2">
        <f t="shared" ca="1" si="14"/>
        <v>1</v>
      </c>
      <c r="AB80" s="153"/>
      <c r="AC80" s="454" t="str">
        <f t="shared" si="11"/>
        <v>1</v>
      </c>
    </row>
    <row r="81" spans="1:29" ht="58" x14ac:dyDescent="0.35">
      <c r="A81" s="169" t="str">
        <f t="shared" si="9"/>
        <v>Closed</v>
      </c>
      <c r="B81" s="222">
        <v>45328</v>
      </c>
      <c r="C81" s="14">
        <v>2311</v>
      </c>
      <c r="D81" s="14" t="s">
        <v>2199</v>
      </c>
      <c r="E81" s="14" t="s">
        <v>78</v>
      </c>
      <c r="F81" s="14" t="s">
        <v>2048</v>
      </c>
      <c r="G81" s="14"/>
      <c r="H81" s="14">
        <v>117</v>
      </c>
      <c r="I81" s="176" t="s">
        <v>155</v>
      </c>
      <c r="J81" s="14">
        <v>41395</v>
      </c>
      <c r="K81" s="87"/>
      <c r="L81" s="14" t="s">
        <v>2200</v>
      </c>
      <c r="M81" s="324">
        <f t="shared" si="12"/>
        <v>0</v>
      </c>
      <c r="N81" s="14" t="s">
        <v>1879</v>
      </c>
      <c r="O81" s="14" t="s">
        <v>1879</v>
      </c>
      <c r="P81" s="167" t="s">
        <v>147</v>
      </c>
      <c r="Q81" s="14" t="s">
        <v>135</v>
      </c>
      <c r="R81" s="170" t="s">
        <v>234</v>
      </c>
      <c r="S81" s="108">
        <f t="shared" si="13"/>
        <v>45356</v>
      </c>
      <c r="T81" s="79">
        <v>45420</v>
      </c>
      <c r="U81" s="14" t="s">
        <v>2201</v>
      </c>
      <c r="V81" s="14" t="s">
        <v>2202</v>
      </c>
      <c r="W81" s="14" t="s">
        <v>1880</v>
      </c>
      <c r="X81" s="14" t="s">
        <v>1880</v>
      </c>
      <c r="Y81" s="167" t="s">
        <v>2050</v>
      </c>
      <c r="Z81" s="14" t="s">
        <v>2203</v>
      </c>
      <c r="AA81" s="2">
        <f t="shared" ca="1" si="14"/>
        <v>1</v>
      </c>
      <c r="AB81" s="153"/>
      <c r="AC81" s="454" t="str">
        <f t="shared" si="11"/>
        <v>1</v>
      </c>
    </row>
    <row r="82" spans="1:29" ht="43.5" x14ac:dyDescent="0.35">
      <c r="A82" s="169" t="str">
        <f t="shared" si="9"/>
        <v>Closed</v>
      </c>
      <c r="B82" s="222">
        <v>45328</v>
      </c>
      <c r="C82" s="14">
        <v>2311</v>
      </c>
      <c r="D82" s="14" t="s">
        <v>2204</v>
      </c>
      <c r="E82" s="14" t="s">
        <v>27</v>
      </c>
      <c r="F82" s="14" t="s">
        <v>2205</v>
      </c>
      <c r="G82" s="14" t="s">
        <v>1911</v>
      </c>
      <c r="H82" s="14">
        <v>106</v>
      </c>
      <c r="I82" s="176" t="s">
        <v>5</v>
      </c>
      <c r="J82" s="14">
        <v>443</v>
      </c>
      <c r="K82" s="87"/>
      <c r="L82" s="14" t="s">
        <v>2206</v>
      </c>
      <c r="M82" s="324">
        <f t="shared" si="12"/>
        <v>0</v>
      </c>
      <c r="N82" s="14" t="s">
        <v>1879</v>
      </c>
      <c r="O82" s="14" t="s">
        <v>1880</v>
      </c>
      <c r="P82" s="167" t="s">
        <v>147</v>
      </c>
      <c r="Q82" s="14" t="s">
        <v>177</v>
      </c>
      <c r="R82" s="170" t="s">
        <v>234</v>
      </c>
      <c r="S82" s="108">
        <f t="shared" si="13"/>
        <v>45356</v>
      </c>
      <c r="T82" s="79">
        <v>45351</v>
      </c>
      <c r="U82" s="14" t="s">
        <v>2207</v>
      </c>
      <c r="V82" s="14" t="s">
        <v>2208</v>
      </c>
      <c r="W82" s="14" t="s">
        <v>1879</v>
      </c>
      <c r="X82" s="14" t="s">
        <v>1879</v>
      </c>
      <c r="Y82" s="14" t="s">
        <v>2209</v>
      </c>
      <c r="Z82" s="14" t="s">
        <v>2210</v>
      </c>
      <c r="AA82" s="2">
        <f t="shared" ca="1" si="14"/>
        <v>1</v>
      </c>
      <c r="AB82" s="153"/>
      <c r="AC82" s="454" t="str">
        <f t="shared" si="11"/>
        <v>1</v>
      </c>
    </row>
    <row r="83" spans="1:29" ht="101.5" x14ac:dyDescent="0.35">
      <c r="A83" s="169" t="str">
        <f t="shared" si="9"/>
        <v>Closed</v>
      </c>
      <c r="B83" s="222">
        <v>45328</v>
      </c>
      <c r="C83" s="14">
        <v>2311</v>
      </c>
      <c r="D83" s="14" t="s">
        <v>2211</v>
      </c>
      <c r="E83" s="14" t="s">
        <v>61</v>
      </c>
      <c r="F83" s="14" t="s">
        <v>2212</v>
      </c>
      <c r="G83" s="14" t="s">
        <v>1911</v>
      </c>
      <c r="H83" s="14">
        <v>108</v>
      </c>
      <c r="I83" s="176" t="s">
        <v>155</v>
      </c>
      <c r="J83" s="14">
        <v>548</v>
      </c>
      <c r="K83" s="87"/>
      <c r="L83" s="14" t="s">
        <v>2213</v>
      </c>
      <c r="M83" s="324">
        <f t="shared" si="12"/>
        <v>0</v>
      </c>
      <c r="N83" s="14" t="s">
        <v>1879</v>
      </c>
      <c r="O83" s="14" t="s">
        <v>1880</v>
      </c>
      <c r="P83" s="167" t="s">
        <v>147</v>
      </c>
      <c r="Q83" s="14" t="s">
        <v>135</v>
      </c>
      <c r="R83" s="170" t="s">
        <v>234</v>
      </c>
      <c r="S83" s="108">
        <f t="shared" si="13"/>
        <v>45356</v>
      </c>
      <c r="T83" s="79">
        <v>45342</v>
      </c>
      <c r="U83" s="14" t="s">
        <v>2214</v>
      </c>
      <c r="V83" s="14" t="s">
        <v>2215</v>
      </c>
      <c r="W83" s="14" t="s">
        <v>1879</v>
      </c>
      <c r="X83" s="14" t="s">
        <v>1879</v>
      </c>
      <c r="Y83" s="14" t="s">
        <v>2216</v>
      </c>
      <c r="Z83" s="14" t="s">
        <v>2217</v>
      </c>
      <c r="AA83" s="2">
        <f t="shared" ca="1" si="14"/>
        <v>1</v>
      </c>
      <c r="AB83" s="153"/>
      <c r="AC83" s="454" t="str">
        <f t="shared" si="11"/>
        <v>1</v>
      </c>
    </row>
    <row r="84" spans="1:29" ht="87" x14ac:dyDescent="0.35">
      <c r="A84" s="169" t="str">
        <f t="shared" si="9"/>
        <v>Closed</v>
      </c>
      <c r="B84" s="222">
        <v>45329</v>
      </c>
      <c r="C84" s="14">
        <v>2311</v>
      </c>
      <c r="D84" s="14" t="s">
        <v>2218</v>
      </c>
      <c r="E84" s="14" t="s">
        <v>206</v>
      </c>
      <c r="F84" s="14" t="s">
        <v>2032</v>
      </c>
      <c r="G84" s="14"/>
      <c r="H84" s="14"/>
      <c r="I84" s="176" t="s">
        <v>140</v>
      </c>
      <c r="K84" s="87"/>
      <c r="L84" s="14" t="s">
        <v>2219</v>
      </c>
      <c r="M84" s="324">
        <f t="shared" si="12"/>
        <v>0</v>
      </c>
      <c r="N84" s="14" t="s">
        <v>1879</v>
      </c>
      <c r="O84" s="14" t="s">
        <v>1879</v>
      </c>
      <c r="P84" s="167" t="s">
        <v>143</v>
      </c>
      <c r="Q84" s="14"/>
      <c r="R84" s="170">
        <v>0</v>
      </c>
      <c r="S84" s="108">
        <f t="shared" si="13"/>
        <v>45357</v>
      </c>
      <c r="T84" s="79">
        <v>45329</v>
      </c>
      <c r="U84" s="14"/>
      <c r="V84" s="14"/>
      <c r="W84" s="14"/>
      <c r="X84" s="14"/>
      <c r="Z84" s="14"/>
      <c r="AA84" s="2">
        <f t="shared" ca="1" si="14"/>
        <v>1</v>
      </c>
      <c r="AB84" s="153"/>
      <c r="AC84" s="454" t="str">
        <f t="shared" si="11"/>
        <v/>
      </c>
    </row>
    <row r="85" spans="1:29" ht="43.5" x14ac:dyDescent="0.35">
      <c r="A85" s="169" t="str">
        <f t="shared" si="9"/>
        <v>Closed</v>
      </c>
      <c r="B85" s="222">
        <v>45329</v>
      </c>
      <c r="C85" s="14">
        <v>2311</v>
      </c>
      <c r="D85" s="14" t="s">
        <v>2220</v>
      </c>
      <c r="E85" s="14" t="s">
        <v>31</v>
      </c>
      <c r="F85" s="14" t="s">
        <v>2196</v>
      </c>
      <c r="G85" s="14" t="s">
        <v>1900</v>
      </c>
      <c r="H85" s="14">
        <v>207</v>
      </c>
      <c r="I85" s="176" t="s">
        <v>140</v>
      </c>
      <c r="J85" s="14">
        <v>97</v>
      </c>
      <c r="K85" s="87"/>
      <c r="L85" s="14" t="s">
        <v>2221</v>
      </c>
      <c r="M85" s="324">
        <f t="shared" si="12"/>
        <v>0</v>
      </c>
      <c r="N85" s="14" t="s">
        <v>1879</v>
      </c>
      <c r="O85" s="14" t="s">
        <v>1879</v>
      </c>
      <c r="P85" s="167" t="s">
        <v>143</v>
      </c>
      <c r="Q85" s="14"/>
      <c r="R85" s="170">
        <v>0</v>
      </c>
      <c r="S85" s="108">
        <f t="shared" si="13"/>
        <v>45357</v>
      </c>
      <c r="T85" s="79">
        <v>45329</v>
      </c>
      <c r="U85" s="14"/>
      <c r="V85" s="14"/>
      <c r="W85" s="14"/>
      <c r="X85" s="14"/>
      <c r="Y85" s="167" t="s">
        <v>2198</v>
      </c>
      <c r="Z85" s="14"/>
      <c r="AA85" s="2">
        <f t="shared" ca="1" si="14"/>
        <v>1</v>
      </c>
      <c r="AB85" s="153"/>
      <c r="AC85" s="454" t="str">
        <f t="shared" si="11"/>
        <v>2</v>
      </c>
    </row>
    <row r="86" spans="1:29" ht="43.5" x14ac:dyDescent="0.35">
      <c r="A86" s="169" t="str">
        <f t="shared" si="9"/>
        <v>Closed</v>
      </c>
      <c r="B86" s="222">
        <v>45329</v>
      </c>
      <c r="C86" s="14">
        <v>2311</v>
      </c>
      <c r="D86" s="14" t="s">
        <v>2222</v>
      </c>
      <c r="E86" s="14" t="s">
        <v>192</v>
      </c>
      <c r="F86" s="14" t="s">
        <v>2196</v>
      </c>
      <c r="G86" s="14" t="s">
        <v>1911</v>
      </c>
      <c r="H86" s="14">
        <v>103</v>
      </c>
      <c r="I86" s="14" t="s">
        <v>140</v>
      </c>
      <c r="K86" s="87"/>
      <c r="L86" s="14" t="s">
        <v>2223</v>
      </c>
      <c r="M86" s="324">
        <f t="shared" si="12"/>
        <v>0</v>
      </c>
      <c r="N86" s="14" t="s">
        <v>1879</v>
      </c>
      <c r="O86" s="14" t="s">
        <v>1879</v>
      </c>
      <c r="P86" s="167" t="s">
        <v>143</v>
      </c>
      <c r="Q86" s="14"/>
      <c r="R86" s="170">
        <v>0</v>
      </c>
      <c r="S86" s="108">
        <f t="shared" si="13"/>
        <v>45357</v>
      </c>
      <c r="T86" s="79">
        <v>45329</v>
      </c>
      <c r="U86" s="14"/>
      <c r="V86" s="14"/>
      <c r="W86" s="14"/>
      <c r="X86" s="14"/>
      <c r="Y86" s="14" t="s">
        <v>2224</v>
      </c>
      <c r="Z86" s="14"/>
      <c r="AA86" s="2">
        <f t="shared" ca="1" si="14"/>
        <v>1</v>
      </c>
      <c r="AB86" s="153"/>
      <c r="AC86" s="454" t="str">
        <f>LEFT(I86,1)</f>
        <v>I</v>
      </c>
    </row>
    <row r="87" spans="1:29" ht="43.5" x14ac:dyDescent="0.35">
      <c r="A87" s="169" t="str">
        <f t="shared" si="9"/>
        <v>Closed</v>
      </c>
      <c r="B87" s="222">
        <v>45329</v>
      </c>
      <c r="C87" s="14">
        <v>2311</v>
      </c>
      <c r="D87" s="14" t="s">
        <v>2225</v>
      </c>
      <c r="E87" s="14" t="s">
        <v>152</v>
      </c>
      <c r="F87" s="14" t="s">
        <v>2196</v>
      </c>
      <c r="G87" s="14" t="s">
        <v>1900</v>
      </c>
      <c r="H87" s="14">
        <v>207</v>
      </c>
      <c r="I87" s="14" t="s">
        <v>140</v>
      </c>
      <c r="J87" s="14">
        <v>8502599</v>
      </c>
      <c r="K87" s="87"/>
      <c r="L87" s="14" t="s">
        <v>2226</v>
      </c>
      <c r="M87" s="324">
        <f t="shared" si="12"/>
        <v>0</v>
      </c>
      <c r="N87" s="14" t="s">
        <v>1879</v>
      </c>
      <c r="O87" s="14" t="s">
        <v>1879</v>
      </c>
      <c r="P87" s="167" t="s">
        <v>143</v>
      </c>
      <c r="Q87" s="14"/>
      <c r="R87" s="170">
        <v>0</v>
      </c>
      <c r="S87" s="108">
        <f t="shared" si="13"/>
        <v>45357</v>
      </c>
      <c r="T87" s="79">
        <v>45329</v>
      </c>
      <c r="U87" s="14"/>
      <c r="V87" s="14"/>
      <c r="W87" s="14"/>
      <c r="X87" s="14"/>
      <c r="Y87" s="167" t="s">
        <v>2198</v>
      </c>
      <c r="Z87" s="14"/>
      <c r="AA87" s="2">
        <f t="shared" ca="1" si="14"/>
        <v>1</v>
      </c>
      <c r="AB87" s="153"/>
      <c r="AC87" s="454" t="e">
        <f>LEFT(#REF!,1)</f>
        <v>#REF!</v>
      </c>
    </row>
    <row r="88" spans="1:29" ht="43.5" x14ac:dyDescent="0.35">
      <c r="A88" s="169" t="str">
        <f t="shared" si="9"/>
        <v>Closed</v>
      </c>
      <c r="B88" s="222">
        <v>45330</v>
      </c>
      <c r="C88" s="14">
        <v>2311</v>
      </c>
      <c r="D88" s="14" t="s">
        <v>2227</v>
      </c>
      <c r="E88" s="14" t="s">
        <v>152</v>
      </c>
      <c r="F88" s="14" t="s">
        <v>2196</v>
      </c>
      <c r="G88" s="14" t="s">
        <v>1900</v>
      </c>
      <c r="H88" s="14">
        <v>110</v>
      </c>
      <c r="I88" s="14" t="s">
        <v>140</v>
      </c>
      <c r="J88" s="14">
        <v>8506252</v>
      </c>
      <c r="K88" s="87"/>
      <c r="L88" s="14" t="s">
        <v>2228</v>
      </c>
      <c r="M88" s="324">
        <f t="shared" si="12"/>
        <v>0</v>
      </c>
      <c r="N88" s="14" t="s">
        <v>1879</v>
      </c>
      <c r="O88" s="14" t="s">
        <v>1879</v>
      </c>
      <c r="P88" s="167" t="s">
        <v>143</v>
      </c>
      <c r="Q88" s="14"/>
      <c r="R88" s="170">
        <v>0</v>
      </c>
      <c r="S88" s="108">
        <f t="shared" si="13"/>
        <v>45358</v>
      </c>
      <c r="T88" s="79">
        <v>45330</v>
      </c>
      <c r="U88" s="14"/>
      <c r="V88" s="14"/>
      <c r="W88" s="14"/>
      <c r="X88" s="14"/>
      <c r="Y88" s="167" t="s">
        <v>2198</v>
      </c>
      <c r="Z88" s="14"/>
      <c r="AA88" s="2">
        <f t="shared" ca="1" si="14"/>
        <v>1</v>
      </c>
      <c r="AB88" s="153"/>
      <c r="AC88" s="454" t="str">
        <f>LEFT(I88,1)</f>
        <v>I</v>
      </c>
    </row>
    <row r="89" spans="1:29" ht="72.5" x14ac:dyDescent="0.35">
      <c r="A89" s="169" t="str">
        <f t="shared" si="9"/>
        <v>Closed</v>
      </c>
      <c r="B89" s="222">
        <v>45330</v>
      </c>
      <c r="C89" s="14">
        <v>2311</v>
      </c>
      <c r="D89" s="14" t="s">
        <v>2229</v>
      </c>
      <c r="E89" s="14" t="s">
        <v>31</v>
      </c>
      <c r="F89" s="14" t="s">
        <v>2091</v>
      </c>
      <c r="G89" s="14" t="s">
        <v>1911</v>
      </c>
      <c r="H89" s="14">
        <v>113</v>
      </c>
      <c r="I89" s="14" t="s">
        <v>140</v>
      </c>
      <c r="J89" s="14">
        <v>64986</v>
      </c>
      <c r="K89" s="87"/>
      <c r="L89" s="14" t="s">
        <v>2230</v>
      </c>
      <c r="M89" s="324">
        <f t="shared" si="12"/>
        <v>0</v>
      </c>
      <c r="N89" s="14" t="s">
        <v>1879</v>
      </c>
      <c r="O89" s="14" t="s">
        <v>1880</v>
      </c>
      <c r="P89" s="167" t="s">
        <v>143</v>
      </c>
      <c r="Q89" s="14"/>
      <c r="R89" s="170">
        <v>0</v>
      </c>
      <c r="S89" s="108">
        <f t="shared" si="13"/>
        <v>45358</v>
      </c>
      <c r="T89" s="79">
        <v>45330</v>
      </c>
      <c r="U89" s="14"/>
      <c r="V89" s="14"/>
      <c r="W89" s="14"/>
      <c r="X89" s="14"/>
      <c r="Y89" s="85" t="s">
        <v>2093</v>
      </c>
      <c r="Z89" s="14"/>
      <c r="AA89" s="2">
        <f t="shared" ca="1" si="14"/>
        <v>1</v>
      </c>
      <c r="AB89" s="153"/>
      <c r="AC89" s="454" t="str">
        <f>LEFT(I89,1)</f>
        <v>I</v>
      </c>
    </row>
    <row r="90" spans="1:29" ht="29" x14ac:dyDescent="0.35">
      <c r="A90" s="169" t="str">
        <f t="shared" si="9"/>
        <v>Closed</v>
      </c>
      <c r="B90" s="222">
        <v>45331</v>
      </c>
      <c r="C90" s="14">
        <v>2311</v>
      </c>
      <c r="D90" s="14" t="s">
        <v>2231</v>
      </c>
      <c r="E90" s="14" t="s">
        <v>152</v>
      </c>
      <c r="F90" s="14" t="s">
        <v>2196</v>
      </c>
      <c r="G90" s="14" t="s">
        <v>1900</v>
      </c>
      <c r="H90" s="14">
        <v>122</v>
      </c>
      <c r="I90" s="14" t="s">
        <v>140</v>
      </c>
      <c r="J90" s="14">
        <v>426</v>
      </c>
      <c r="K90" s="87"/>
      <c r="L90" s="14" t="s">
        <v>2232</v>
      </c>
      <c r="M90" s="324">
        <f t="shared" si="12"/>
        <v>0</v>
      </c>
      <c r="N90" s="14" t="s">
        <v>1879</v>
      </c>
      <c r="O90" s="14" t="s">
        <v>1879</v>
      </c>
      <c r="P90" s="167" t="s">
        <v>143</v>
      </c>
      <c r="Q90" s="14"/>
      <c r="R90" s="170">
        <v>0</v>
      </c>
      <c r="S90" s="108">
        <f t="shared" si="13"/>
        <v>45359</v>
      </c>
      <c r="T90" s="79">
        <v>45331</v>
      </c>
      <c r="U90" s="14"/>
      <c r="V90" s="14"/>
      <c r="W90" s="14"/>
      <c r="X90" s="14"/>
      <c r="Y90" s="167" t="s">
        <v>2198</v>
      </c>
      <c r="Z90" s="14"/>
      <c r="AA90" s="2">
        <f t="shared" ca="1" si="14"/>
        <v>1</v>
      </c>
      <c r="AB90" s="153"/>
      <c r="AC90" s="454" t="str">
        <f>LEFT(I90,1)</f>
        <v>I</v>
      </c>
    </row>
    <row r="91" spans="1:29" ht="29" x14ac:dyDescent="0.35">
      <c r="A91" s="169" t="str">
        <f t="shared" si="9"/>
        <v>Closed</v>
      </c>
      <c r="B91" s="222">
        <v>45331</v>
      </c>
      <c r="C91" s="14">
        <v>2311</v>
      </c>
      <c r="D91" s="14" t="s">
        <v>2233</v>
      </c>
      <c r="E91" s="14" t="s">
        <v>152</v>
      </c>
      <c r="F91" s="14" t="s">
        <v>2196</v>
      </c>
      <c r="G91" s="14" t="s">
        <v>1900</v>
      </c>
      <c r="H91" s="14">
        <v>124</v>
      </c>
      <c r="I91" s="176" t="s">
        <v>140</v>
      </c>
      <c r="J91" s="14">
        <v>8502599</v>
      </c>
      <c r="K91" s="87"/>
      <c r="L91" s="14" t="s">
        <v>2234</v>
      </c>
      <c r="M91" s="324">
        <f t="shared" si="12"/>
        <v>0</v>
      </c>
      <c r="N91" s="14" t="s">
        <v>1879</v>
      </c>
      <c r="O91" s="14" t="s">
        <v>1879</v>
      </c>
      <c r="P91" s="167" t="s">
        <v>143</v>
      </c>
      <c r="Q91" s="14"/>
      <c r="R91" s="170">
        <v>0</v>
      </c>
      <c r="S91" s="108">
        <f t="shared" si="13"/>
        <v>45359</v>
      </c>
      <c r="T91" s="79">
        <v>45331</v>
      </c>
      <c r="U91" s="14"/>
      <c r="V91" s="14"/>
      <c r="W91" s="14"/>
      <c r="X91" s="14"/>
      <c r="Y91" s="167" t="s">
        <v>2198</v>
      </c>
      <c r="Z91" s="14"/>
      <c r="AA91" s="2">
        <f t="shared" ca="1" si="14"/>
        <v>1</v>
      </c>
      <c r="AB91" s="153"/>
      <c r="AC91" s="454" t="str">
        <f t="shared" ref="AC91:AC132" si="15">LEFT(H91,1)</f>
        <v>1</v>
      </c>
    </row>
    <row r="92" spans="1:29" ht="43.5" x14ac:dyDescent="0.35">
      <c r="A92" s="169" t="str">
        <f t="shared" si="9"/>
        <v>Closed</v>
      </c>
      <c r="B92" s="222">
        <v>45331</v>
      </c>
      <c r="C92" s="14">
        <v>2311</v>
      </c>
      <c r="D92" s="14" t="s">
        <v>2235</v>
      </c>
      <c r="E92" s="14" t="s">
        <v>204</v>
      </c>
      <c r="F92" s="14" t="s">
        <v>1893</v>
      </c>
      <c r="G92" s="14"/>
      <c r="H92" s="14"/>
      <c r="I92" s="176" t="s">
        <v>155</v>
      </c>
      <c r="J92" s="14">
        <v>391</v>
      </c>
      <c r="K92" s="87"/>
      <c r="L92" s="14" t="s">
        <v>2236</v>
      </c>
      <c r="M92" s="324">
        <f t="shared" si="12"/>
        <v>0</v>
      </c>
      <c r="N92" s="14" t="s">
        <v>1879</v>
      </c>
      <c r="O92" s="14" t="s">
        <v>1879</v>
      </c>
      <c r="P92" s="167" t="s">
        <v>147</v>
      </c>
      <c r="Q92" s="14" t="s">
        <v>174</v>
      </c>
      <c r="R92" s="170" t="s">
        <v>234</v>
      </c>
      <c r="S92" s="108">
        <f t="shared" si="13"/>
        <v>45359</v>
      </c>
      <c r="T92" s="79">
        <v>45483</v>
      </c>
      <c r="U92" s="14" t="s">
        <v>2102</v>
      </c>
      <c r="V92" s="14" t="s">
        <v>2237</v>
      </c>
      <c r="W92" s="14" t="s">
        <v>1880</v>
      </c>
      <c r="X92" s="14" t="s">
        <v>1880</v>
      </c>
      <c r="Z92" s="14" t="s">
        <v>2238</v>
      </c>
      <c r="AA92" s="2">
        <f t="shared" ca="1" si="14"/>
        <v>1</v>
      </c>
      <c r="AB92" s="153"/>
      <c r="AC92" s="454" t="str">
        <f t="shared" si="15"/>
        <v/>
      </c>
    </row>
    <row r="93" spans="1:29" ht="29" x14ac:dyDescent="0.35">
      <c r="A93" s="169" t="str">
        <f t="shared" si="9"/>
        <v>Closed</v>
      </c>
      <c r="B93" s="222">
        <v>45331</v>
      </c>
      <c r="C93" s="14">
        <v>2311</v>
      </c>
      <c r="D93" s="14" t="s">
        <v>2239</v>
      </c>
      <c r="E93" s="14" t="s">
        <v>152</v>
      </c>
      <c r="F93" s="14" t="s">
        <v>2196</v>
      </c>
      <c r="G93" s="14" t="s">
        <v>1900</v>
      </c>
      <c r="H93" s="14">
        <v>118</v>
      </c>
      <c r="I93" s="176" t="s">
        <v>140</v>
      </c>
      <c r="J93" s="14">
        <v>8504143</v>
      </c>
      <c r="K93" s="87"/>
      <c r="L93" s="14" t="s">
        <v>2240</v>
      </c>
      <c r="M93" s="324">
        <f t="shared" si="12"/>
        <v>0</v>
      </c>
      <c r="N93" s="14" t="s">
        <v>1879</v>
      </c>
      <c r="O93" s="14" t="s">
        <v>1879</v>
      </c>
      <c r="P93" s="167" t="s">
        <v>143</v>
      </c>
      <c r="Q93" s="14"/>
      <c r="R93" s="170">
        <v>0</v>
      </c>
      <c r="S93" s="108">
        <f t="shared" si="13"/>
        <v>45359</v>
      </c>
      <c r="T93" s="79">
        <v>45331</v>
      </c>
      <c r="U93" s="14"/>
      <c r="V93" s="14"/>
      <c r="W93" s="14"/>
      <c r="X93" s="14"/>
      <c r="Y93" s="167" t="s">
        <v>2198</v>
      </c>
      <c r="Z93" s="14"/>
      <c r="AA93" s="2">
        <f t="shared" ca="1" si="14"/>
        <v>1</v>
      </c>
      <c r="AB93" s="153"/>
      <c r="AC93" s="454" t="str">
        <f t="shared" si="15"/>
        <v>1</v>
      </c>
    </row>
    <row r="94" spans="1:29" ht="130.5" x14ac:dyDescent="0.35">
      <c r="A94" s="89" t="str">
        <f t="shared" si="9"/>
        <v>Closed</v>
      </c>
      <c r="B94" s="222">
        <v>45331</v>
      </c>
      <c r="C94" s="14">
        <v>2311</v>
      </c>
      <c r="D94" s="14" t="s">
        <v>2241</v>
      </c>
      <c r="E94" s="14" t="s">
        <v>27</v>
      </c>
      <c r="F94" s="14" t="s">
        <v>1921</v>
      </c>
      <c r="G94" s="14" t="s">
        <v>1911</v>
      </c>
      <c r="H94" s="14">
        <v>207</v>
      </c>
      <c r="I94" s="176" t="s">
        <v>5</v>
      </c>
      <c r="J94" s="14">
        <v>8502599</v>
      </c>
      <c r="K94" s="87"/>
      <c r="L94" s="14" t="s">
        <v>2242</v>
      </c>
      <c r="M94" s="324">
        <f t="shared" si="12"/>
        <v>0</v>
      </c>
      <c r="N94" s="14" t="s">
        <v>1879</v>
      </c>
      <c r="O94" s="14" t="s">
        <v>1879</v>
      </c>
      <c r="P94" s="167" t="s">
        <v>147</v>
      </c>
      <c r="Q94" s="14" t="s">
        <v>135</v>
      </c>
      <c r="R94" s="223" t="s">
        <v>234</v>
      </c>
      <c r="S94" s="224">
        <f t="shared" si="13"/>
        <v>45359</v>
      </c>
      <c r="T94" s="79">
        <v>45350</v>
      </c>
      <c r="U94" s="14"/>
      <c r="V94" s="14"/>
      <c r="W94" s="14"/>
      <c r="X94" s="14"/>
      <c r="Y94" s="14" t="s">
        <v>1923</v>
      </c>
      <c r="Z94" s="14" t="s">
        <v>2243</v>
      </c>
      <c r="AA94" s="2">
        <f t="shared" ca="1" si="14"/>
        <v>1</v>
      </c>
      <c r="AB94" s="153"/>
      <c r="AC94" s="454" t="str">
        <f t="shared" si="15"/>
        <v>2</v>
      </c>
    </row>
    <row r="95" spans="1:29" ht="58" x14ac:dyDescent="0.35">
      <c r="A95" s="169" t="str">
        <f t="shared" si="9"/>
        <v>Closed</v>
      </c>
      <c r="B95" s="222">
        <v>45332</v>
      </c>
      <c r="C95" s="14">
        <v>2311</v>
      </c>
      <c r="D95" s="14" t="s">
        <v>2244</v>
      </c>
      <c r="E95" s="14" t="s">
        <v>204</v>
      </c>
      <c r="F95" s="14" t="s">
        <v>2245</v>
      </c>
      <c r="G95" s="14" t="s">
        <v>1911</v>
      </c>
      <c r="H95" s="14">
        <v>118</v>
      </c>
      <c r="I95" s="176" t="s">
        <v>155</v>
      </c>
      <c r="J95" s="14">
        <v>443</v>
      </c>
      <c r="K95" s="87"/>
      <c r="L95" s="14" t="s">
        <v>2246</v>
      </c>
      <c r="M95" s="324">
        <f t="shared" si="12"/>
        <v>0</v>
      </c>
      <c r="N95" s="14" t="s">
        <v>1879</v>
      </c>
      <c r="O95" s="14" t="s">
        <v>1880</v>
      </c>
      <c r="P95" s="167" t="s">
        <v>147</v>
      </c>
      <c r="Q95" s="14" t="s">
        <v>177</v>
      </c>
      <c r="R95" s="170" t="s">
        <v>234</v>
      </c>
      <c r="S95" s="108">
        <f t="shared" si="13"/>
        <v>45360</v>
      </c>
      <c r="T95" s="79">
        <v>45398</v>
      </c>
      <c r="U95" s="14" t="s">
        <v>2247</v>
      </c>
      <c r="V95" s="14" t="s">
        <v>2247</v>
      </c>
      <c r="W95" s="14" t="s">
        <v>1880</v>
      </c>
      <c r="X95" s="14" t="s">
        <v>1883</v>
      </c>
      <c r="Z95" s="14" t="s">
        <v>2248</v>
      </c>
      <c r="AA95" s="2">
        <f t="shared" ca="1" si="14"/>
        <v>1</v>
      </c>
      <c r="AB95" s="153"/>
      <c r="AC95" s="454" t="str">
        <f t="shared" si="15"/>
        <v>1</v>
      </c>
    </row>
    <row r="96" spans="1:29" ht="43.5" x14ac:dyDescent="0.35">
      <c r="A96" s="169" t="str">
        <f t="shared" si="9"/>
        <v>Closed</v>
      </c>
      <c r="B96" s="222">
        <v>45332</v>
      </c>
      <c r="C96" s="14">
        <v>2311</v>
      </c>
      <c r="D96" s="14" t="s">
        <v>2249</v>
      </c>
      <c r="E96" s="14" t="s">
        <v>27</v>
      </c>
      <c r="F96" s="14" t="s">
        <v>2212</v>
      </c>
      <c r="G96" s="14" t="s">
        <v>1900</v>
      </c>
      <c r="H96" s="14">
        <v>122</v>
      </c>
      <c r="I96" s="176" t="s">
        <v>5</v>
      </c>
      <c r="J96" s="14">
        <v>8506434</v>
      </c>
      <c r="K96" s="87"/>
      <c r="L96" s="14" t="s">
        <v>2250</v>
      </c>
      <c r="M96" s="324">
        <f t="shared" si="12"/>
        <v>0</v>
      </c>
      <c r="N96" s="14" t="s">
        <v>1879</v>
      </c>
      <c r="O96" s="14" t="s">
        <v>1880</v>
      </c>
      <c r="P96" s="167" t="s">
        <v>147</v>
      </c>
      <c r="Q96" s="14" t="s">
        <v>175</v>
      </c>
      <c r="R96" s="170" t="s">
        <v>234</v>
      </c>
      <c r="S96" s="108">
        <f t="shared" si="13"/>
        <v>45360</v>
      </c>
      <c r="T96" s="79">
        <v>45425</v>
      </c>
      <c r="U96" s="14" t="s">
        <v>2251</v>
      </c>
      <c r="V96" s="14" t="s">
        <v>2252</v>
      </c>
      <c r="W96" s="14" t="s">
        <v>1879</v>
      </c>
      <c r="X96" s="14" t="s">
        <v>1883</v>
      </c>
      <c r="Y96" s="14" t="s">
        <v>2216</v>
      </c>
      <c r="Z96" s="14" t="s">
        <v>2253</v>
      </c>
      <c r="AA96" s="2">
        <f t="shared" ca="1" si="14"/>
        <v>1</v>
      </c>
      <c r="AB96" s="153"/>
      <c r="AC96" s="454" t="str">
        <f t="shared" si="15"/>
        <v>1</v>
      </c>
    </row>
    <row r="97" spans="1:29" ht="116" x14ac:dyDescent="0.35">
      <c r="A97" s="169" t="str">
        <f t="shared" si="9"/>
        <v>Closed</v>
      </c>
      <c r="B97" s="222">
        <v>45332</v>
      </c>
      <c r="C97" s="14">
        <v>2311</v>
      </c>
      <c r="D97" s="14" t="s">
        <v>2254</v>
      </c>
      <c r="E97" s="14" t="s">
        <v>27</v>
      </c>
      <c r="F97" s="14" t="s">
        <v>2255</v>
      </c>
      <c r="G97" s="14" t="s">
        <v>1911</v>
      </c>
      <c r="H97" s="14">
        <v>112</v>
      </c>
      <c r="I97" s="176" t="s">
        <v>5</v>
      </c>
      <c r="J97" s="14">
        <v>8506846</v>
      </c>
      <c r="K97" s="87"/>
      <c r="L97" s="14" t="s">
        <v>2256</v>
      </c>
      <c r="M97" s="324">
        <f t="shared" si="12"/>
        <v>0</v>
      </c>
      <c r="N97" s="14" t="s">
        <v>1880</v>
      </c>
      <c r="O97" s="14" t="s">
        <v>1880</v>
      </c>
      <c r="P97" s="167" t="s">
        <v>147</v>
      </c>
      <c r="Q97" s="14" t="s">
        <v>135</v>
      </c>
      <c r="R97" s="170" t="s">
        <v>234</v>
      </c>
      <c r="S97" s="108">
        <f t="shared" si="13"/>
        <v>45360</v>
      </c>
      <c r="T97" s="79">
        <v>45407</v>
      </c>
      <c r="U97" s="14" t="s">
        <v>2257</v>
      </c>
      <c r="V97" s="14" t="s">
        <v>2258</v>
      </c>
      <c r="W97" s="14" t="s">
        <v>1879</v>
      </c>
      <c r="X97" s="14" t="s">
        <v>1883</v>
      </c>
      <c r="Y97" s="14" t="s">
        <v>2259</v>
      </c>
      <c r="Z97" s="14" t="s">
        <v>2260</v>
      </c>
      <c r="AA97" s="2">
        <f t="shared" ca="1" si="14"/>
        <v>1</v>
      </c>
      <c r="AB97" s="153"/>
      <c r="AC97" s="454" t="str">
        <f t="shared" si="15"/>
        <v>1</v>
      </c>
    </row>
    <row r="98" spans="1:29" ht="159.5" x14ac:dyDescent="0.35">
      <c r="A98" s="169" t="str">
        <f t="shared" si="9"/>
        <v>Closed</v>
      </c>
      <c r="B98" s="222">
        <v>45332</v>
      </c>
      <c r="C98" s="14">
        <v>2311</v>
      </c>
      <c r="D98" s="14" t="s">
        <v>2261</v>
      </c>
      <c r="E98" s="14" t="s">
        <v>61</v>
      </c>
      <c r="F98" s="14" t="s">
        <v>2262</v>
      </c>
      <c r="G98" s="14" t="s">
        <v>1900</v>
      </c>
      <c r="H98" s="14"/>
      <c r="I98" s="176" t="s">
        <v>155</v>
      </c>
      <c r="J98" s="14">
        <v>8504143</v>
      </c>
      <c r="K98" s="87"/>
      <c r="L98" s="14" t="s">
        <v>2263</v>
      </c>
      <c r="M98" s="324">
        <f t="shared" si="12"/>
        <v>0</v>
      </c>
      <c r="N98" s="14" t="s">
        <v>1879</v>
      </c>
      <c r="O98" s="14" t="s">
        <v>1880</v>
      </c>
      <c r="P98" s="167" t="s">
        <v>147</v>
      </c>
      <c r="Q98" s="14" t="s">
        <v>135</v>
      </c>
      <c r="R98" s="170" t="s">
        <v>234</v>
      </c>
      <c r="S98" s="108">
        <f t="shared" si="13"/>
        <v>45360</v>
      </c>
      <c r="T98" s="79">
        <v>45410</v>
      </c>
      <c r="U98" s="14" t="s">
        <v>2264</v>
      </c>
      <c r="V98" s="14" t="s">
        <v>2265</v>
      </c>
      <c r="W98" s="14" t="s">
        <v>1879</v>
      </c>
      <c r="X98" s="14" t="s">
        <v>1883</v>
      </c>
      <c r="Y98" s="14" t="s">
        <v>2185</v>
      </c>
      <c r="Z98" s="14" t="s">
        <v>2266</v>
      </c>
      <c r="AA98" s="2">
        <f t="shared" ca="1" si="14"/>
        <v>1</v>
      </c>
      <c r="AB98" s="153"/>
      <c r="AC98" s="454" t="str">
        <f t="shared" si="15"/>
        <v/>
      </c>
    </row>
    <row r="99" spans="1:29" ht="72.5" x14ac:dyDescent="0.35">
      <c r="A99" s="169" t="str">
        <f t="shared" si="9"/>
        <v>Closed</v>
      </c>
      <c r="B99" s="222">
        <v>45333</v>
      </c>
      <c r="C99" s="14">
        <v>2311</v>
      </c>
      <c r="D99" s="14" t="s">
        <v>2267</v>
      </c>
      <c r="E99" s="14" t="s">
        <v>78</v>
      </c>
      <c r="F99" s="14" t="s">
        <v>2060</v>
      </c>
      <c r="G99" s="14" t="s">
        <v>1900</v>
      </c>
      <c r="H99" s="14">
        <v>124</v>
      </c>
      <c r="I99" s="176" t="s">
        <v>155</v>
      </c>
      <c r="J99" s="14">
        <v>443</v>
      </c>
      <c r="K99" s="87"/>
      <c r="L99" s="14" t="s">
        <v>2268</v>
      </c>
      <c r="M99" s="324">
        <f t="shared" si="12"/>
        <v>0</v>
      </c>
      <c r="N99" s="14" t="s">
        <v>1879</v>
      </c>
      <c r="O99" s="14" t="s">
        <v>1880</v>
      </c>
      <c r="P99" s="167" t="s">
        <v>147</v>
      </c>
      <c r="Q99" s="14" t="s">
        <v>177</v>
      </c>
      <c r="R99" s="170" t="s">
        <v>234</v>
      </c>
      <c r="S99" s="108">
        <f t="shared" si="13"/>
        <v>45361</v>
      </c>
      <c r="T99" s="79">
        <v>45351</v>
      </c>
      <c r="U99" s="14" t="s">
        <v>2269</v>
      </c>
      <c r="V99" s="14" t="s">
        <v>2270</v>
      </c>
      <c r="W99" s="14" t="s">
        <v>1879</v>
      </c>
      <c r="X99" s="14" t="s">
        <v>1883</v>
      </c>
      <c r="Y99" s="466" t="s">
        <v>2062</v>
      </c>
      <c r="Z99" s="14" t="s">
        <v>2271</v>
      </c>
      <c r="AA99" s="2">
        <f t="shared" ca="1" si="14"/>
        <v>1</v>
      </c>
      <c r="AB99" s="153"/>
      <c r="AC99" s="454" t="str">
        <f t="shared" si="15"/>
        <v>1</v>
      </c>
    </row>
    <row r="100" spans="1:29" ht="101.5" x14ac:dyDescent="0.35">
      <c r="A100" s="169" t="str">
        <f t="shared" si="9"/>
        <v>Closed</v>
      </c>
      <c r="B100" s="222">
        <v>45333</v>
      </c>
      <c r="C100" s="14">
        <v>2311</v>
      </c>
      <c r="D100" s="14" t="s">
        <v>2272</v>
      </c>
      <c r="E100" s="14" t="s">
        <v>8</v>
      </c>
      <c r="F100" s="14" t="s">
        <v>2073</v>
      </c>
      <c r="G100" s="14" t="s">
        <v>1911</v>
      </c>
      <c r="H100" s="14">
        <v>102</v>
      </c>
      <c r="I100" s="176" t="s">
        <v>140</v>
      </c>
      <c r="K100" s="87"/>
      <c r="L100" s="14" t="s">
        <v>2273</v>
      </c>
      <c r="M100" s="324">
        <f t="shared" si="12"/>
        <v>0</v>
      </c>
      <c r="N100" s="14" t="s">
        <v>1879</v>
      </c>
      <c r="O100" s="14" t="s">
        <v>1879</v>
      </c>
      <c r="P100" s="167" t="s">
        <v>143</v>
      </c>
      <c r="Q100" s="14"/>
      <c r="R100" s="170">
        <v>0</v>
      </c>
      <c r="S100" s="108">
        <f t="shared" si="13"/>
        <v>45361</v>
      </c>
      <c r="T100" s="79">
        <v>45333</v>
      </c>
      <c r="U100" s="14"/>
      <c r="V100" s="14"/>
      <c r="W100" s="14"/>
      <c r="X100" s="14"/>
      <c r="Y100" s="15" t="s">
        <v>2075</v>
      </c>
      <c r="Z100" s="14"/>
      <c r="AA100" s="2">
        <f t="shared" ca="1" si="14"/>
        <v>1</v>
      </c>
      <c r="AB100" s="153"/>
      <c r="AC100" s="454" t="str">
        <f t="shared" si="15"/>
        <v>1</v>
      </c>
    </row>
    <row r="101" spans="1:29" ht="130.5" x14ac:dyDescent="0.35">
      <c r="A101" s="169" t="str">
        <f t="shared" si="9"/>
        <v>Closed</v>
      </c>
      <c r="B101" s="222">
        <v>45334</v>
      </c>
      <c r="C101" s="14">
        <v>2311</v>
      </c>
      <c r="D101" s="14" t="s">
        <v>2274</v>
      </c>
      <c r="E101" s="14" t="s">
        <v>61</v>
      </c>
      <c r="F101" s="167" t="s">
        <v>2041</v>
      </c>
      <c r="G101" s="14" t="s">
        <v>1911</v>
      </c>
      <c r="H101" s="14">
        <v>119</v>
      </c>
      <c r="I101" s="176" t="s">
        <v>155</v>
      </c>
      <c r="J101" s="14">
        <v>8502599</v>
      </c>
      <c r="K101" s="87"/>
      <c r="L101" s="14" t="s">
        <v>2275</v>
      </c>
      <c r="M101" s="324">
        <f t="shared" si="12"/>
        <v>0</v>
      </c>
      <c r="N101" s="14" t="s">
        <v>1879</v>
      </c>
      <c r="O101" s="14" t="s">
        <v>1880</v>
      </c>
      <c r="P101" s="167" t="s">
        <v>147</v>
      </c>
      <c r="Q101" s="14" t="s">
        <v>135</v>
      </c>
      <c r="R101" s="170" t="s">
        <v>234</v>
      </c>
      <c r="S101" s="108">
        <f t="shared" si="13"/>
        <v>45362</v>
      </c>
      <c r="T101" s="79">
        <v>45407</v>
      </c>
      <c r="U101" s="14" t="s">
        <v>2276</v>
      </c>
      <c r="V101" s="14" t="s">
        <v>2277</v>
      </c>
      <c r="W101" s="14" t="s">
        <v>1879</v>
      </c>
      <c r="X101" s="14" t="s">
        <v>1883</v>
      </c>
      <c r="Y101" s="2" t="s">
        <v>2045</v>
      </c>
      <c r="Z101" s="14" t="s">
        <v>2278</v>
      </c>
      <c r="AA101" s="2">
        <f t="shared" ca="1" si="14"/>
        <v>1</v>
      </c>
      <c r="AB101" s="153"/>
      <c r="AC101" s="454" t="str">
        <f t="shared" si="15"/>
        <v>1</v>
      </c>
    </row>
    <row r="102" spans="1:29" ht="72.5" x14ac:dyDescent="0.35">
      <c r="A102" s="169" t="str">
        <f t="shared" si="9"/>
        <v>Closed</v>
      </c>
      <c r="B102" s="222">
        <v>45334</v>
      </c>
      <c r="C102" s="14">
        <v>2311</v>
      </c>
      <c r="D102" s="14" t="s">
        <v>2279</v>
      </c>
      <c r="E102" s="14" t="s">
        <v>196</v>
      </c>
      <c r="F102" s="14" t="s">
        <v>2280</v>
      </c>
      <c r="G102" s="14"/>
      <c r="H102" s="14"/>
      <c r="I102" s="176" t="s">
        <v>155</v>
      </c>
      <c r="J102" s="14">
        <v>58403</v>
      </c>
      <c r="K102" s="87"/>
      <c r="L102" s="14" t="s">
        <v>2281</v>
      </c>
      <c r="M102" s="324">
        <f t="shared" si="12"/>
        <v>0</v>
      </c>
      <c r="N102" s="14" t="s">
        <v>1880</v>
      </c>
      <c r="O102" s="30" t="s">
        <v>1879</v>
      </c>
      <c r="P102" s="167" t="s">
        <v>147</v>
      </c>
      <c r="Q102" s="14" t="s">
        <v>175</v>
      </c>
      <c r="R102" s="170" t="s">
        <v>234</v>
      </c>
      <c r="S102" s="108">
        <f t="shared" si="13"/>
        <v>45362</v>
      </c>
      <c r="T102" s="79">
        <v>45426</v>
      </c>
      <c r="U102" s="14"/>
      <c r="V102" s="14"/>
      <c r="W102" s="14"/>
      <c r="X102" s="14"/>
      <c r="Z102" s="14"/>
      <c r="AA102" s="2">
        <f t="shared" ca="1" si="14"/>
        <v>1</v>
      </c>
      <c r="AB102" s="153"/>
      <c r="AC102" s="454" t="str">
        <f t="shared" si="15"/>
        <v/>
      </c>
    </row>
    <row r="103" spans="1:29" ht="188.5" x14ac:dyDescent="0.35">
      <c r="A103" s="169" t="str">
        <f t="shared" si="9"/>
        <v>Closed</v>
      </c>
      <c r="B103" s="222">
        <v>45335</v>
      </c>
      <c r="C103" s="14">
        <v>2311</v>
      </c>
      <c r="D103" s="14" t="s">
        <v>2282</v>
      </c>
      <c r="E103" s="14" t="s">
        <v>64</v>
      </c>
      <c r="F103" s="14" t="s">
        <v>2130</v>
      </c>
      <c r="G103" s="14" t="s">
        <v>1911</v>
      </c>
      <c r="H103" s="14">
        <v>115</v>
      </c>
      <c r="I103" s="176" t="s">
        <v>140</v>
      </c>
      <c r="J103" s="14">
        <v>62828</v>
      </c>
      <c r="K103" s="87"/>
      <c r="L103" s="14" t="s">
        <v>2283</v>
      </c>
      <c r="M103" s="324">
        <f t="shared" si="12"/>
        <v>0</v>
      </c>
      <c r="N103" s="14" t="s">
        <v>1879</v>
      </c>
      <c r="O103" s="14" t="s">
        <v>2034</v>
      </c>
      <c r="P103" s="167" t="s">
        <v>143</v>
      </c>
      <c r="Q103" s="14"/>
      <c r="R103" s="170">
        <v>0</v>
      </c>
      <c r="S103" s="108">
        <f t="shared" si="13"/>
        <v>45363</v>
      </c>
      <c r="T103" s="79">
        <v>45335</v>
      </c>
      <c r="U103" s="14"/>
      <c r="V103" s="14"/>
      <c r="W103" s="14"/>
      <c r="X103" s="14"/>
      <c r="Y103" s="15" t="s">
        <v>2134</v>
      </c>
      <c r="Z103" s="14"/>
      <c r="AA103" s="2">
        <f t="shared" ca="1" si="14"/>
        <v>1</v>
      </c>
      <c r="AB103" s="153"/>
      <c r="AC103" s="454" t="str">
        <f t="shared" si="15"/>
        <v>1</v>
      </c>
    </row>
    <row r="104" spans="1:29" ht="72.5" x14ac:dyDescent="0.35">
      <c r="A104" s="169" t="str">
        <f t="shared" si="9"/>
        <v>Closed</v>
      </c>
      <c r="B104" s="222">
        <v>45335</v>
      </c>
      <c r="C104" s="14">
        <v>2311</v>
      </c>
      <c r="D104" s="14" t="s">
        <v>2284</v>
      </c>
      <c r="E104" s="14" t="s">
        <v>1907</v>
      </c>
      <c r="F104" s="14" t="s">
        <v>2119</v>
      </c>
      <c r="G104" s="14" t="s">
        <v>1900</v>
      </c>
      <c r="H104" s="14">
        <v>112</v>
      </c>
      <c r="I104" s="176" t="s">
        <v>140</v>
      </c>
      <c r="J104" s="14">
        <v>65149</v>
      </c>
      <c r="K104" s="87"/>
      <c r="L104" s="14" t="s">
        <v>2285</v>
      </c>
      <c r="M104" s="324">
        <f t="shared" si="12"/>
        <v>0</v>
      </c>
      <c r="N104" s="14" t="s">
        <v>1879</v>
      </c>
      <c r="O104" s="14" t="s">
        <v>1879</v>
      </c>
      <c r="P104" s="167" t="s">
        <v>143</v>
      </c>
      <c r="Q104" s="14"/>
      <c r="R104" s="170">
        <v>0</v>
      </c>
      <c r="S104" s="108">
        <f t="shared" si="13"/>
        <v>45363</v>
      </c>
      <c r="T104" s="79">
        <v>45335</v>
      </c>
      <c r="U104" s="14"/>
      <c r="V104" s="14"/>
      <c r="W104" s="14"/>
      <c r="X104" s="14"/>
      <c r="Y104" s="14" t="s">
        <v>2093</v>
      </c>
      <c r="Z104" s="14"/>
      <c r="AA104" s="2">
        <f t="shared" ca="1" si="14"/>
        <v>1</v>
      </c>
      <c r="AB104" s="153"/>
      <c r="AC104" s="454" t="str">
        <f t="shared" si="15"/>
        <v>1</v>
      </c>
    </row>
    <row r="105" spans="1:29" ht="43.5" x14ac:dyDescent="0.35">
      <c r="A105" s="169" t="str">
        <f t="shared" si="9"/>
        <v>Closed</v>
      </c>
      <c r="B105" s="222">
        <v>45336</v>
      </c>
      <c r="C105" s="14">
        <v>2311</v>
      </c>
      <c r="D105" s="14" t="s">
        <v>2286</v>
      </c>
      <c r="E105" s="14" t="s">
        <v>8</v>
      </c>
      <c r="F105" s="14" t="s">
        <v>1980</v>
      </c>
      <c r="G105" s="14"/>
      <c r="H105" s="14"/>
      <c r="I105" s="176" t="s">
        <v>140</v>
      </c>
      <c r="K105" s="87"/>
      <c r="L105" s="14" t="s">
        <v>2287</v>
      </c>
      <c r="M105" s="324">
        <f t="shared" si="12"/>
        <v>0</v>
      </c>
      <c r="N105" s="14" t="s">
        <v>1879</v>
      </c>
      <c r="O105" s="14" t="s">
        <v>1879</v>
      </c>
      <c r="P105" s="167" t="s">
        <v>143</v>
      </c>
      <c r="Q105" s="14"/>
      <c r="R105" s="170">
        <v>0</v>
      </c>
      <c r="S105" s="108">
        <f t="shared" si="13"/>
        <v>45364</v>
      </c>
      <c r="T105" s="79">
        <v>45336</v>
      </c>
      <c r="U105" s="14"/>
      <c r="V105" s="14"/>
      <c r="W105" s="14"/>
      <c r="X105" s="14"/>
      <c r="Y105" s="15" t="s">
        <v>1982</v>
      </c>
      <c r="Z105" s="14"/>
      <c r="AA105" s="2">
        <f t="shared" ca="1" si="14"/>
        <v>1</v>
      </c>
      <c r="AB105" s="153"/>
      <c r="AC105" s="454" t="str">
        <f t="shared" si="15"/>
        <v/>
      </c>
    </row>
    <row r="106" spans="1:29" ht="72.5" x14ac:dyDescent="0.35">
      <c r="A106" s="169" t="str">
        <f t="shared" si="9"/>
        <v>Closed</v>
      </c>
      <c r="B106" s="222">
        <v>45337</v>
      </c>
      <c r="C106" s="14">
        <v>2311</v>
      </c>
      <c r="D106" s="14" t="s">
        <v>2288</v>
      </c>
      <c r="E106" s="14" t="s">
        <v>31</v>
      </c>
      <c r="F106" s="14" t="s">
        <v>2289</v>
      </c>
      <c r="G106" s="14" t="s">
        <v>1900</v>
      </c>
      <c r="H106" s="14">
        <v>123</v>
      </c>
      <c r="I106" s="176" t="s">
        <v>155</v>
      </c>
      <c r="J106" s="14">
        <v>443</v>
      </c>
      <c r="K106" s="87"/>
      <c r="L106" s="14" t="s">
        <v>2290</v>
      </c>
      <c r="M106" s="324">
        <f t="shared" si="12"/>
        <v>0</v>
      </c>
      <c r="N106" s="14" t="s">
        <v>1879</v>
      </c>
      <c r="O106" s="14" t="s">
        <v>1880</v>
      </c>
      <c r="P106" s="167" t="s">
        <v>147</v>
      </c>
      <c r="Q106" s="14" t="s">
        <v>177</v>
      </c>
      <c r="R106" s="170" t="s">
        <v>234</v>
      </c>
      <c r="S106" s="108">
        <f t="shared" si="13"/>
        <v>45365</v>
      </c>
      <c r="T106" s="79">
        <v>45351</v>
      </c>
      <c r="U106" s="14" t="s">
        <v>2291</v>
      </c>
      <c r="V106" s="14" t="s">
        <v>2292</v>
      </c>
      <c r="W106" s="14" t="s">
        <v>1879</v>
      </c>
      <c r="X106" s="14" t="s">
        <v>1879</v>
      </c>
      <c r="Y106" s="15" t="s">
        <v>1915</v>
      </c>
      <c r="Z106" s="14" t="s">
        <v>2293</v>
      </c>
      <c r="AA106" s="2">
        <f t="shared" ca="1" si="14"/>
        <v>1</v>
      </c>
      <c r="AB106" s="153"/>
      <c r="AC106" s="454" t="str">
        <f t="shared" si="15"/>
        <v>1</v>
      </c>
    </row>
    <row r="107" spans="1:29" ht="43.5" x14ac:dyDescent="0.35">
      <c r="A107" s="169" t="str">
        <f t="shared" ref="A107:A170" si="16">IF(T107&gt;1,"Closed",IF(AA107=1,"Overdue",IF(AA107=3,"","Open")))</f>
        <v>Closed</v>
      </c>
      <c r="B107" s="222">
        <v>45337</v>
      </c>
      <c r="C107" s="14">
        <v>2311</v>
      </c>
      <c r="D107" s="14" t="s">
        <v>2294</v>
      </c>
      <c r="E107" s="14" t="s">
        <v>187</v>
      </c>
      <c r="F107" s="14" t="s">
        <v>2196</v>
      </c>
      <c r="G107" s="14" t="s">
        <v>1900</v>
      </c>
      <c r="H107" s="14"/>
      <c r="I107" s="176" t="s">
        <v>140</v>
      </c>
      <c r="K107" s="87"/>
      <c r="L107" s="14" t="s">
        <v>2295</v>
      </c>
      <c r="M107" s="324">
        <f t="shared" si="12"/>
        <v>0</v>
      </c>
      <c r="N107" s="14" t="s">
        <v>1879</v>
      </c>
      <c r="O107" s="14" t="s">
        <v>1879</v>
      </c>
      <c r="P107" s="167" t="s">
        <v>143</v>
      </c>
      <c r="Q107" s="14"/>
      <c r="R107" s="170">
        <v>0</v>
      </c>
      <c r="S107" s="108">
        <f t="shared" si="13"/>
        <v>45365</v>
      </c>
      <c r="T107" s="79">
        <v>45337</v>
      </c>
      <c r="U107" s="14"/>
      <c r="V107" s="14"/>
      <c r="W107" s="14"/>
      <c r="X107" s="14"/>
      <c r="Y107" s="167" t="s">
        <v>2198</v>
      </c>
      <c r="Z107" s="14"/>
      <c r="AA107" s="2">
        <f t="shared" ca="1" si="14"/>
        <v>1</v>
      </c>
      <c r="AB107" s="153"/>
      <c r="AC107" s="454" t="str">
        <f t="shared" si="15"/>
        <v/>
      </c>
    </row>
    <row r="108" spans="1:29" ht="43.5" x14ac:dyDescent="0.35">
      <c r="A108" s="169" t="str">
        <f t="shared" si="16"/>
        <v>Closed</v>
      </c>
      <c r="B108" s="222">
        <v>45337</v>
      </c>
      <c r="C108" s="14">
        <v>2311</v>
      </c>
      <c r="D108" s="14" t="s">
        <v>2296</v>
      </c>
      <c r="E108" s="14" t="s">
        <v>85</v>
      </c>
      <c r="F108" s="14" t="s">
        <v>2064</v>
      </c>
      <c r="G108" s="14"/>
      <c r="H108" s="14"/>
      <c r="I108" s="176" t="s">
        <v>140</v>
      </c>
      <c r="K108" s="87"/>
      <c r="L108" s="14" t="s">
        <v>2297</v>
      </c>
      <c r="M108" s="324">
        <f t="shared" si="12"/>
        <v>0</v>
      </c>
      <c r="N108" s="14" t="s">
        <v>1879</v>
      </c>
      <c r="O108" s="14" t="s">
        <v>1879</v>
      </c>
      <c r="P108" s="167" t="s">
        <v>143</v>
      </c>
      <c r="Q108" s="14"/>
      <c r="R108" s="170">
        <v>0</v>
      </c>
      <c r="S108" s="108">
        <f t="shared" si="13"/>
        <v>45365</v>
      </c>
      <c r="T108" s="79">
        <v>45337</v>
      </c>
      <c r="U108" s="14"/>
      <c r="V108" s="14"/>
      <c r="W108" s="14"/>
      <c r="X108" s="14"/>
      <c r="Y108" s="15" t="s">
        <v>2068</v>
      </c>
      <c r="Z108" s="14"/>
      <c r="AA108" s="2">
        <f t="shared" ca="1" si="14"/>
        <v>1</v>
      </c>
      <c r="AB108" s="153"/>
      <c r="AC108" s="454" t="str">
        <f t="shared" si="15"/>
        <v/>
      </c>
    </row>
    <row r="109" spans="1:29" ht="43.5" x14ac:dyDescent="0.35">
      <c r="A109" s="169" t="str">
        <f t="shared" si="16"/>
        <v>Closed</v>
      </c>
      <c r="B109" s="222">
        <v>45338</v>
      </c>
      <c r="C109" s="14">
        <v>2311</v>
      </c>
      <c r="D109" s="14" t="s">
        <v>2298</v>
      </c>
      <c r="E109" s="14" t="s">
        <v>72</v>
      </c>
      <c r="F109" s="14" t="s">
        <v>2299</v>
      </c>
      <c r="G109" s="14" t="s">
        <v>1911</v>
      </c>
      <c r="H109" s="14"/>
      <c r="I109" s="176" t="s">
        <v>155</v>
      </c>
      <c r="J109" s="14">
        <v>443</v>
      </c>
      <c r="K109" s="87"/>
      <c r="L109" s="14" t="s">
        <v>2300</v>
      </c>
      <c r="M109" s="324">
        <f t="shared" si="12"/>
        <v>0</v>
      </c>
      <c r="N109" s="14" t="s">
        <v>1879</v>
      </c>
      <c r="O109" s="14" t="s">
        <v>1879</v>
      </c>
      <c r="P109" s="167" t="s">
        <v>147</v>
      </c>
      <c r="Q109" s="14" t="s">
        <v>177</v>
      </c>
      <c r="R109" s="170" t="s">
        <v>234</v>
      </c>
      <c r="S109" s="108">
        <f t="shared" si="13"/>
        <v>45366</v>
      </c>
      <c r="T109" s="79">
        <v>45427</v>
      </c>
      <c r="U109" s="14" t="s">
        <v>2301</v>
      </c>
      <c r="V109" s="14" t="s">
        <v>2102</v>
      </c>
      <c r="W109" s="14" t="s">
        <v>1880</v>
      </c>
      <c r="X109" s="14" t="s">
        <v>154</v>
      </c>
      <c r="Y109" s="14" t="s">
        <v>2302</v>
      </c>
      <c r="Z109" s="14" t="s">
        <v>2303</v>
      </c>
      <c r="AA109" s="2">
        <f t="shared" ca="1" si="14"/>
        <v>1</v>
      </c>
      <c r="AB109" s="153"/>
      <c r="AC109" s="454" t="str">
        <f t="shared" si="15"/>
        <v/>
      </c>
    </row>
    <row r="110" spans="1:29" ht="72.5" x14ac:dyDescent="0.35">
      <c r="A110" s="169" t="str">
        <f t="shared" si="16"/>
        <v>Closed</v>
      </c>
      <c r="B110" s="222">
        <v>45338</v>
      </c>
      <c r="C110" s="14">
        <v>2311</v>
      </c>
      <c r="D110" s="14" t="s">
        <v>793</v>
      </c>
      <c r="E110" s="14" t="s">
        <v>192</v>
      </c>
      <c r="F110" s="14" t="s">
        <v>1925</v>
      </c>
      <c r="G110" s="14"/>
      <c r="H110" s="14"/>
      <c r="I110" s="176" t="s">
        <v>155</v>
      </c>
      <c r="J110" s="14">
        <v>893</v>
      </c>
      <c r="K110" s="87"/>
      <c r="L110" s="14" t="s">
        <v>2304</v>
      </c>
      <c r="M110" s="324">
        <f t="shared" si="12"/>
        <v>0</v>
      </c>
      <c r="N110" s="14" t="s">
        <v>1879</v>
      </c>
      <c r="O110" s="14" t="s">
        <v>1879</v>
      </c>
      <c r="P110" s="167" t="s">
        <v>147</v>
      </c>
      <c r="Q110" s="14" t="s">
        <v>135</v>
      </c>
      <c r="R110" s="170" t="s">
        <v>234</v>
      </c>
      <c r="S110" s="108">
        <f t="shared" si="13"/>
        <v>45366</v>
      </c>
      <c r="T110" s="79">
        <v>45432</v>
      </c>
      <c r="U110" s="14" t="s">
        <v>2305</v>
      </c>
      <c r="V110" s="14" t="s">
        <v>2306</v>
      </c>
      <c r="W110" s="14" t="s">
        <v>1880</v>
      </c>
      <c r="X110" s="14" t="s">
        <v>1883</v>
      </c>
      <c r="Y110" s="167" t="s">
        <v>1929</v>
      </c>
      <c r="Z110" s="14" t="s">
        <v>2307</v>
      </c>
      <c r="AA110" s="2">
        <f t="shared" ca="1" si="14"/>
        <v>1</v>
      </c>
      <c r="AB110" s="153"/>
      <c r="AC110" s="454" t="str">
        <f t="shared" si="15"/>
        <v/>
      </c>
    </row>
    <row r="111" spans="1:29" ht="72.5" x14ac:dyDescent="0.35">
      <c r="A111" s="169" t="str">
        <f t="shared" si="16"/>
        <v>Closed</v>
      </c>
      <c r="B111" s="222">
        <v>45338</v>
      </c>
      <c r="C111" s="14">
        <v>2311</v>
      </c>
      <c r="D111" s="14" t="s">
        <v>2308</v>
      </c>
      <c r="E111" s="14" t="s">
        <v>27</v>
      </c>
      <c r="F111" s="167" t="s">
        <v>2162</v>
      </c>
      <c r="G111" s="14" t="s">
        <v>1900</v>
      </c>
      <c r="H111" s="14">
        <v>202</v>
      </c>
      <c r="I111" s="176" t="s">
        <v>5</v>
      </c>
      <c r="J111" s="14">
        <v>306</v>
      </c>
      <c r="K111" s="87"/>
      <c r="L111" s="14" t="s">
        <v>2309</v>
      </c>
      <c r="M111" s="324">
        <f t="shared" si="12"/>
        <v>0</v>
      </c>
      <c r="N111" s="14" t="s">
        <v>1879</v>
      </c>
      <c r="O111" s="14" t="s">
        <v>1879</v>
      </c>
      <c r="P111" s="167" t="s">
        <v>147</v>
      </c>
      <c r="Q111" s="14" t="s">
        <v>174</v>
      </c>
      <c r="R111" s="170" t="s">
        <v>234</v>
      </c>
      <c r="S111" s="108">
        <f t="shared" si="13"/>
        <v>45366</v>
      </c>
      <c r="T111" s="79">
        <v>45422</v>
      </c>
      <c r="U111" s="14" t="s">
        <v>2310</v>
      </c>
      <c r="V111" s="14" t="s">
        <v>2310</v>
      </c>
      <c r="W111" s="14" t="s">
        <v>1879</v>
      </c>
      <c r="X111" s="14" t="s">
        <v>1883</v>
      </c>
      <c r="Y111" s="15" t="s">
        <v>2164</v>
      </c>
      <c r="Z111" s="14" t="s">
        <v>2311</v>
      </c>
      <c r="AA111" s="2">
        <f t="shared" ca="1" si="14"/>
        <v>1</v>
      </c>
      <c r="AB111" s="153"/>
      <c r="AC111" s="454" t="str">
        <f t="shared" si="15"/>
        <v>2</v>
      </c>
    </row>
    <row r="112" spans="1:29" ht="29" x14ac:dyDescent="0.35">
      <c r="A112" s="169" t="str">
        <f t="shared" si="16"/>
        <v>Closed</v>
      </c>
      <c r="B112" s="222">
        <v>45339</v>
      </c>
      <c r="C112" s="14">
        <v>2311</v>
      </c>
      <c r="D112" s="14" t="s">
        <v>2312</v>
      </c>
      <c r="E112" s="14" t="s">
        <v>152</v>
      </c>
      <c r="F112" s="14" t="s">
        <v>2196</v>
      </c>
      <c r="G112" s="14" t="s">
        <v>1900</v>
      </c>
      <c r="H112" s="14">
        <v>101</v>
      </c>
      <c r="I112" s="176" t="s">
        <v>140</v>
      </c>
      <c r="J112" s="14">
        <v>8506434</v>
      </c>
      <c r="K112" s="87"/>
      <c r="L112" s="14" t="s">
        <v>2313</v>
      </c>
      <c r="M112" s="324">
        <f t="shared" si="12"/>
        <v>0</v>
      </c>
      <c r="N112" s="14" t="s">
        <v>1879</v>
      </c>
      <c r="O112" s="14" t="s">
        <v>1879</v>
      </c>
      <c r="P112" s="167" t="s">
        <v>143</v>
      </c>
      <c r="Q112" s="14"/>
      <c r="R112" s="170">
        <v>0</v>
      </c>
      <c r="S112" s="108">
        <f t="shared" si="13"/>
        <v>45367</v>
      </c>
      <c r="T112" s="79">
        <v>45339</v>
      </c>
      <c r="U112" s="14"/>
      <c r="V112" s="14"/>
      <c r="W112" s="14"/>
      <c r="X112" s="14"/>
      <c r="Y112" s="167" t="s">
        <v>2198</v>
      </c>
      <c r="Z112" s="87"/>
      <c r="AA112" s="2">
        <f t="shared" ca="1" si="14"/>
        <v>1</v>
      </c>
      <c r="AB112" s="153"/>
      <c r="AC112" s="454" t="str">
        <f t="shared" si="15"/>
        <v>1</v>
      </c>
    </row>
    <row r="113" spans="1:29" ht="58" x14ac:dyDescent="0.35">
      <c r="A113" s="169" t="str">
        <f t="shared" si="16"/>
        <v>Closed</v>
      </c>
      <c r="B113" s="222">
        <v>45339</v>
      </c>
      <c r="C113" s="14">
        <v>2311</v>
      </c>
      <c r="D113" s="14" t="s">
        <v>2314</v>
      </c>
      <c r="E113" s="14" t="s">
        <v>38</v>
      </c>
      <c r="F113" s="14" t="s">
        <v>1972</v>
      </c>
      <c r="G113" s="14"/>
      <c r="H113" s="14"/>
      <c r="I113" s="176" t="s">
        <v>2</v>
      </c>
      <c r="J113" s="14">
        <v>8509438</v>
      </c>
      <c r="K113" s="85" t="s">
        <v>137</v>
      </c>
      <c r="L113" s="14" t="s">
        <v>2315</v>
      </c>
      <c r="M113" s="324">
        <v>0</v>
      </c>
      <c r="N113" s="14" t="s">
        <v>1879</v>
      </c>
      <c r="O113" s="14" t="s">
        <v>1880</v>
      </c>
      <c r="P113" s="167" t="s">
        <v>136</v>
      </c>
      <c r="Q113" s="14" t="s">
        <v>153</v>
      </c>
      <c r="R113" s="170" t="s">
        <v>234</v>
      </c>
      <c r="S113" s="108">
        <f t="shared" si="13"/>
        <v>45367</v>
      </c>
      <c r="T113" s="79">
        <v>45427</v>
      </c>
      <c r="U113" s="14" t="s">
        <v>2316</v>
      </c>
      <c r="V113" s="14" t="s">
        <v>2317</v>
      </c>
      <c r="W113" s="14" t="s">
        <v>1879</v>
      </c>
      <c r="X113" s="14" t="s">
        <v>154</v>
      </c>
      <c r="Y113" s="88"/>
      <c r="Z113" s="14" t="s">
        <v>2318</v>
      </c>
      <c r="AA113" s="2">
        <f t="shared" ca="1" si="14"/>
        <v>1</v>
      </c>
      <c r="AB113" s="153"/>
      <c r="AC113" s="454" t="str">
        <f t="shared" si="15"/>
        <v/>
      </c>
    </row>
    <row r="114" spans="1:29" ht="101.5" x14ac:dyDescent="0.35">
      <c r="A114" s="169" t="str">
        <f t="shared" si="16"/>
        <v>Closed</v>
      </c>
      <c r="B114" s="222">
        <v>45339</v>
      </c>
      <c r="C114" s="14">
        <v>2311</v>
      </c>
      <c r="D114" s="14" t="s">
        <v>2319</v>
      </c>
      <c r="E114" s="14" t="s">
        <v>38</v>
      </c>
      <c r="F114" s="14" t="s">
        <v>1972</v>
      </c>
      <c r="G114" s="14"/>
      <c r="H114" s="14"/>
      <c r="I114" s="176" t="s">
        <v>2</v>
      </c>
      <c r="J114" s="14">
        <v>8502937</v>
      </c>
      <c r="K114" s="85" t="s">
        <v>137</v>
      </c>
      <c r="L114" s="14" t="s">
        <v>2320</v>
      </c>
      <c r="M114" s="324">
        <v>0</v>
      </c>
      <c r="N114" s="14" t="s">
        <v>1879</v>
      </c>
      <c r="O114" s="14" t="s">
        <v>1880</v>
      </c>
      <c r="P114" s="167" t="s">
        <v>136</v>
      </c>
      <c r="Q114" s="14" t="s">
        <v>175</v>
      </c>
      <c r="R114" s="170" t="s">
        <v>234</v>
      </c>
      <c r="S114" s="108">
        <f t="shared" si="13"/>
        <v>45367</v>
      </c>
      <c r="T114" s="79">
        <v>45426</v>
      </c>
      <c r="U114" s="14" t="s">
        <v>2321</v>
      </c>
      <c r="V114" s="14" t="s">
        <v>2322</v>
      </c>
      <c r="W114" s="14" t="s">
        <v>1879</v>
      </c>
      <c r="X114" s="14" t="s">
        <v>1883</v>
      </c>
      <c r="Z114" s="14" t="s">
        <v>2323</v>
      </c>
      <c r="AA114" s="2">
        <f t="shared" ca="1" si="14"/>
        <v>1</v>
      </c>
      <c r="AB114" s="153"/>
      <c r="AC114" s="454" t="str">
        <f t="shared" si="15"/>
        <v/>
      </c>
    </row>
    <row r="115" spans="1:29" ht="116" x14ac:dyDescent="0.35">
      <c r="A115" s="169" t="str">
        <f t="shared" si="16"/>
        <v>Closed</v>
      </c>
      <c r="B115" s="222">
        <v>45339</v>
      </c>
      <c r="C115" s="14">
        <v>2311</v>
      </c>
      <c r="D115" s="14" t="s">
        <v>2324</v>
      </c>
      <c r="E115" s="14" t="s">
        <v>40</v>
      </c>
      <c r="F115" s="14" t="s">
        <v>1980</v>
      </c>
      <c r="G115" s="14" t="s">
        <v>1900</v>
      </c>
      <c r="H115" s="14">
        <v>112</v>
      </c>
      <c r="I115" s="176" t="s">
        <v>140</v>
      </c>
      <c r="J115" s="14">
        <v>8501812</v>
      </c>
      <c r="K115" s="87" t="s">
        <v>137</v>
      </c>
      <c r="L115" s="14" t="s">
        <v>2325</v>
      </c>
      <c r="M115" s="324">
        <v>0</v>
      </c>
      <c r="N115" s="14" t="s">
        <v>1879</v>
      </c>
      <c r="O115" s="14" t="s">
        <v>1880</v>
      </c>
      <c r="P115" s="167" t="s">
        <v>143</v>
      </c>
      <c r="Q115" s="14"/>
      <c r="R115" s="170">
        <v>0</v>
      </c>
      <c r="S115" s="108">
        <f t="shared" si="13"/>
        <v>45367</v>
      </c>
      <c r="T115" s="79">
        <v>45463</v>
      </c>
      <c r="U115" s="14"/>
      <c r="V115" s="14"/>
      <c r="W115" s="14"/>
      <c r="X115" s="14"/>
      <c r="Y115" s="15" t="s">
        <v>1982</v>
      </c>
      <c r="Z115" s="14" t="s">
        <v>2326</v>
      </c>
      <c r="AA115" s="2">
        <f t="shared" ca="1" si="14"/>
        <v>1</v>
      </c>
      <c r="AB115" s="153"/>
      <c r="AC115" s="454" t="str">
        <f t="shared" si="15"/>
        <v>1</v>
      </c>
    </row>
    <row r="116" spans="1:29" ht="72.5" x14ac:dyDescent="0.35">
      <c r="A116" s="169" t="str">
        <f t="shared" si="16"/>
        <v>Closed</v>
      </c>
      <c r="B116" s="222">
        <v>45339</v>
      </c>
      <c r="C116" s="14">
        <v>2311</v>
      </c>
      <c r="D116" s="14" t="s">
        <v>2327</v>
      </c>
      <c r="E116" s="14" t="s">
        <v>27</v>
      </c>
      <c r="F116" s="167" t="s">
        <v>2041</v>
      </c>
      <c r="G116" s="14" t="s">
        <v>1911</v>
      </c>
      <c r="H116" s="14"/>
      <c r="I116" s="176" t="s">
        <v>5</v>
      </c>
      <c r="J116" s="14">
        <v>541</v>
      </c>
      <c r="K116" s="87"/>
      <c r="L116" s="14" t="s">
        <v>2328</v>
      </c>
      <c r="M116" s="324">
        <f t="shared" ref="M116:M123" si="17">IF(I116="Staff Accident","Entry Required",IF(I116="Assaults","Entry Required",0))</f>
        <v>0</v>
      </c>
      <c r="N116" s="14" t="s">
        <v>1879</v>
      </c>
      <c r="O116" s="14" t="s">
        <v>1880</v>
      </c>
      <c r="P116" s="167" t="s">
        <v>147</v>
      </c>
      <c r="Q116" s="14" t="s">
        <v>174</v>
      </c>
      <c r="R116" s="170" t="s">
        <v>234</v>
      </c>
      <c r="S116" s="108">
        <f t="shared" si="13"/>
        <v>45367</v>
      </c>
      <c r="T116" s="79">
        <v>45422</v>
      </c>
      <c r="U116" s="14" t="s">
        <v>2329</v>
      </c>
      <c r="V116" s="14" t="s">
        <v>2330</v>
      </c>
      <c r="W116" s="14" t="s">
        <v>1879</v>
      </c>
      <c r="X116" s="14" t="s">
        <v>1883</v>
      </c>
      <c r="Y116" s="2" t="s">
        <v>2045</v>
      </c>
      <c r="Z116" s="14" t="s">
        <v>2181</v>
      </c>
      <c r="AA116" s="2">
        <f t="shared" ca="1" si="14"/>
        <v>1</v>
      </c>
      <c r="AB116" s="153"/>
      <c r="AC116" s="454" t="str">
        <f t="shared" si="15"/>
        <v/>
      </c>
    </row>
    <row r="117" spans="1:29" ht="43.5" x14ac:dyDescent="0.35">
      <c r="A117" s="169" t="str">
        <f t="shared" si="16"/>
        <v>Closed</v>
      </c>
      <c r="B117" s="222">
        <v>45340</v>
      </c>
      <c r="C117" s="14">
        <v>2311</v>
      </c>
      <c r="D117" s="14" t="s">
        <v>2331</v>
      </c>
      <c r="E117" s="14" t="s">
        <v>1997</v>
      </c>
      <c r="F117" s="14" t="s">
        <v>2064</v>
      </c>
      <c r="G117" s="14" t="s">
        <v>1911</v>
      </c>
      <c r="H117" s="14">
        <v>110</v>
      </c>
      <c r="I117" s="176" t="s">
        <v>140</v>
      </c>
      <c r="J117" s="14">
        <v>426</v>
      </c>
      <c r="K117" s="87"/>
      <c r="L117" s="14" t="s">
        <v>2332</v>
      </c>
      <c r="M117" s="324">
        <f t="shared" si="17"/>
        <v>0</v>
      </c>
      <c r="N117" s="14" t="s">
        <v>1879</v>
      </c>
      <c r="O117" s="14" t="s">
        <v>1879</v>
      </c>
      <c r="P117" s="167" t="s">
        <v>143</v>
      </c>
      <c r="Q117" s="14"/>
      <c r="R117" s="170">
        <v>0</v>
      </c>
      <c r="S117" s="108">
        <f t="shared" si="13"/>
        <v>45368</v>
      </c>
      <c r="T117" s="79">
        <v>45340</v>
      </c>
      <c r="U117" s="14"/>
      <c r="V117" s="14"/>
      <c r="W117" s="14"/>
      <c r="X117" s="14"/>
      <c r="Y117" s="15" t="s">
        <v>2068</v>
      </c>
      <c r="Z117" s="14"/>
      <c r="AA117" s="2">
        <f t="shared" ca="1" si="14"/>
        <v>1</v>
      </c>
      <c r="AB117" s="153"/>
      <c r="AC117" s="454" t="str">
        <f t="shared" si="15"/>
        <v>1</v>
      </c>
    </row>
    <row r="118" spans="1:29" ht="43.5" x14ac:dyDescent="0.35">
      <c r="A118" s="169" t="str">
        <f t="shared" si="16"/>
        <v>Closed</v>
      </c>
      <c r="B118" s="222">
        <v>45341</v>
      </c>
      <c r="C118" s="14">
        <v>2311</v>
      </c>
      <c r="D118" s="14" t="s">
        <v>2333</v>
      </c>
      <c r="E118" s="14" t="s">
        <v>152</v>
      </c>
      <c r="F118" s="14" t="s">
        <v>2196</v>
      </c>
      <c r="G118" s="14" t="s">
        <v>1900</v>
      </c>
      <c r="H118" s="14">
        <v>114</v>
      </c>
      <c r="I118" s="176" t="s">
        <v>140</v>
      </c>
      <c r="K118" s="87"/>
      <c r="L118" s="14" t="s">
        <v>2334</v>
      </c>
      <c r="M118" s="324">
        <f t="shared" si="17"/>
        <v>0</v>
      </c>
      <c r="N118" s="14" t="s">
        <v>1879</v>
      </c>
      <c r="O118" s="14" t="s">
        <v>1879</v>
      </c>
      <c r="P118" s="167" t="s">
        <v>143</v>
      </c>
      <c r="Q118" s="14"/>
      <c r="R118" s="170">
        <v>0</v>
      </c>
      <c r="S118" s="108">
        <f t="shared" si="13"/>
        <v>45369</v>
      </c>
      <c r="T118" s="79">
        <v>45341</v>
      </c>
      <c r="U118" s="14"/>
      <c r="V118" s="14"/>
      <c r="W118" s="14"/>
      <c r="X118" s="14"/>
      <c r="Y118" s="167" t="s">
        <v>2198</v>
      </c>
      <c r="Z118" s="14"/>
      <c r="AA118" s="2">
        <f t="shared" ca="1" si="14"/>
        <v>1</v>
      </c>
      <c r="AB118" s="153"/>
      <c r="AC118" s="454" t="str">
        <f t="shared" si="15"/>
        <v>1</v>
      </c>
    </row>
    <row r="119" spans="1:29" ht="43.5" x14ac:dyDescent="0.35">
      <c r="A119" s="169" t="str">
        <f t="shared" si="16"/>
        <v>Closed</v>
      </c>
      <c r="B119" s="222">
        <v>45341</v>
      </c>
      <c r="C119" s="14">
        <v>2311</v>
      </c>
      <c r="D119" s="14" t="s">
        <v>2335</v>
      </c>
      <c r="E119" s="14" t="s">
        <v>152</v>
      </c>
      <c r="F119" s="14" t="s">
        <v>2196</v>
      </c>
      <c r="G119" s="14" t="s">
        <v>1900</v>
      </c>
      <c r="H119" s="14">
        <v>104</v>
      </c>
      <c r="I119" s="176" t="s">
        <v>140</v>
      </c>
      <c r="K119" s="87"/>
      <c r="L119" s="14" t="s">
        <v>2336</v>
      </c>
      <c r="M119" s="324">
        <f t="shared" si="17"/>
        <v>0</v>
      </c>
      <c r="N119" s="14" t="s">
        <v>1879</v>
      </c>
      <c r="O119" s="14" t="s">
        <v>1879</v>
      </c>
      <c r="P119" s="167" t="s">
        <v>143</v>
      </c>
      <c r="Q119" s="14"/>
      <c r="R119" s="170">
        <v>0</v>
      </c>
      <c r="S119" s="108">
        <f t="shared" si="13"/>
        <v>45369</v>
      </c>
      <c r="T119" s="79">
        <v>45341</v>
      </c>
      <c r="U119" s="14"/>
      <c r="V119" s="14"/>
      <c r="W119" s="14"/>
      <c r="X119" s="14"/>
      <c r="Y119" s="167" t="s">
        <v>2198</v>
      </c>
      <c r="Z119" s="14"/>
      <c r="AA119" s="2">
        <f t="shared" ca="1" si="14"/>
        <v>1</v>
      </c>
      <c r="AB119" s="153"/>
      <c r="AC119" s="454" t="str">
        <f t="shared" si="15"/>
        <v>1</v>
      </c>
    </row>
    <row r="120" spans="1:29" ht="101.5" x14ac:dyDescent="0.45">
      <c r="A120" s="169" t="str">
        <f t="shared" si="16"/>
        <v>Closed</v>
      </c>
      <c r="B120" s="222">
        <v>45341</v>
      </c>
      <c r="C120" s="14">
        <v>2311</v>
      </c>
      <c r="D120" s="14" t="s">
        <v>2337</v>
      </c>
      <c r="E120" s="14" t="s">
        <v>192</v>
      </c>
      <c r="F120" s="14" t="s">
        <v>2338</v>
      </c>
      <c r="G120" s="14"/>
      <c r="H120" s="14">
        <v>201</v>
      </c>
      <c r="I120" s="176" t="s">
        <v>140</v>
      </c>
      <c r="K120" s="87"/>
      <c r="L120" s="14" t="s">
        <v>2339</v>
      </c>
      <c r="M120" s="324">
        <f t="shared" si="17"/>
        <v>0</v>
      </c>
      <c r="N120" s="14" t="s">
        <v>1879</v>
      </c>
      <c r="O120" s="14" t="s">
        <v>1879</v>
      </c>
      <c r="P120" s="167" t="s">
        <v>143</v>
      </c>
      <c r="Q120" s="14"/>
      <c r="R120" s="170">
        <v>0</v>
      </c>
      <c r="S120" s="108">
        <f t="shared" si="13"/>
        <v>45369</v>
      </c>
      <c r="T120" s="79">
        <v>45341</v>
      </c>
      <c r="U120" s="14"/>
      <c r="V120" s="14"/>
      <c r="W120" s="14"/>
      <c r="X120" s="14"/>
      <c r="Y120" s="463" t="s">
        <v>2340</v>
      </c>
      <c r="Z120" s="14"/>
      <c r="AA120" s="2">
        <f t="shared" ca="1" si="14"/>
        <v>1</v>
      </c>
      <c r="AB120" s="153"/>
      <c r="AC120" s="454" t="str">
        <f t="shared" si="15"/>
        <v>2</v>
      </c>
    </row>
    <row r="121" spans="1:29" ht="43.5" x14ac:dyDescent="0.35">
      <c r="A121" s="169" t="str">
        <f t="shared" si="16"/>
        <v>Closed</v>
      </c>
      <c r="B121" s="222">
        <v>45342</v>
      </c>
      <c r="C121" s="14">
        <v>2311</v>
      </c>
      <c r="D121" s="14" t="s">
        <v>2341</v>
      </c>
      <c r="E121" s="14" t="s">
        <v>152</v>
      </c>
      <c r="F121" s="14" t="s">
        <v>2196</v>
      </c>
      <c r="G121" s="14" t="s">
        <v>1900</v>
      </c>
      <c r="H121" s="14">
        <v>123</v>
      </c>
      <c r="I121" s="176" t="s">
        <v>140</v>
      </c>
      <c r="K121" s="87"/>
      <c r="L121" s="14" t="s">
        <v>2342</v>
      </c>
      <c r="M121" s="324">
        <f t="shared" si="17"/>
        <v>0</v>
      </c>
      <c r="N121" s="14" t="s">
        <v>1879</v>
      </c>
      <c r="O121" s="14" t="s">
        <v>1879</v>
      </c>
      <c r="P121" s="167" t="s">
        <v>143</v>
      </c>
      <c r="Q121" s="14"/>
      <c r="R121" s="170">
        <v>0</v>
      </c>
      <c r="S121" s="108">
        <f t="shared" si="13"/>
        <v>45370</v>
      </c>
      <c r="T121" s="79">
        <v>45342</v>
      </c>
      <c r="U121" s="14"/>
      <c r="V121" s="14"/>
      <c r="W121" s="14"/>
      <c r="X121" s="14"/>
      <c r="Y121" s="167" t="s">
        <v>2198</v>
      </c>
      <c r="Z121" s="14"/>
      <c r="AA121" s="2">
        <f t="shared" ca="1" si="14"/>
        <v>1</v>
      </c>
      <c r="AB121" s="153"/>
      <c r="AC121" s="454" t="str">
        <f t="shared" si="15"/>
        <v>1</v>
      </c>
    </row>
    <row r="122" spans="1:29" ht="58" x14ac:dyDescent="0.35">
      <c r="A122" s="169" t="str">
        <f t="shared" si="16"/>
        <v>Closed</v>
      </c>
      <c r="B122" s="222">
        <v>45342</v>
      </c>
      <c r="C122" s="14">
        <v>2311</v>
      </c>
      <c r="D122" s="14" t="s">
        <v>2343</v>
      </c>
      <c r="E122" s="14" t="s">
        <v>192</v>
      </c>
      <c r="F122" s="14" t="s">
        <v>1918</v>
      </c>
      <c r="G122" s="30" t="s">
        <v>1900</v>
      </c>
      <c r="H122" s="14">
        <v>104</v>
      </c>
      <c r="I122" s="176" t="s">
        <v>140</v>
      </c>
      <c r="K122" s="87"/>
      <c r="L122" s="14" t="s">
        <v>2344</v>
      </c>
      <c r="M122" s="324">
        <f t="shared" si="17"/>
        <v>0</v>
      </c>
      <c r="N122" s="14" t="s">
        <v>1879</v>
      </c>
      <c r="O122" s="14" t="s">
        <v>1879</v>
      </c>
      <c r="P122" s="167" t="s">
        <v>143</v>
      </c>
      <c r="Q122" s="14"/>
      <c r="R122" s="170">
        <v>0</v>
      </c>
      <c r="S122" s="108">
        <f t="shared" si="13"/>
        <v>45370</v>
      </c>
      <c r="T122" s="79">
        <v>45342</v>
      </c>
      <c r="U122" s="14"/>
      <c r="V122" s="14"/>
      <c r="W122" s="14"/>
      <c r="X122" s="14"/>
      <c r="Y122" s="51" t="s">
        <v>2001</v>
      </c>
      <c r="Z122" s="14"/>
      <c r="AA122" s="2">
        <f t="shared" ca="1" si="14"/>
        <v>1</v>
      </c>
      <c r="AB122" s="153"/>
      <c r="AC122" s="454" t="str">
        <f t="shared" si="15"/>
        <v>1</v>
      </c>
    </row>
    <row r="123" spans="1:29" ht="43.5" x14ac:dyDescent="0.35">
      <c r="A123" s="89" t="str">
        <f t="shared" si="16"/>
        <v>Closed</v>
      </c>
      <c r="B123" s="222">
        <v>45342</v>
      </c>
      <c r="C123" s="14">
        <v>2311</v>
      </c>
      <c r="D123" s="14" t="s">
        <v>2345</v>
      </c>
      <c r="E123" s="14" t="s">
        <v>31</v>
      </c>
      <c r="F123" s="14" t="s">
        <v>2052</v>
      </c>
      <c r="G123" s="14" t="s">
        <v>1900</v>
      </c>
      <c r="H123" s="14"/>
      <c r="I123" s="176" t="s">
        <v>21</v>
      </c>
      <c r="K123" s="87"/>
      <c r="L123" s="14" t="s">
        <v>2346</v>
      </c>
      <c r="M123" s="324">
        <f t="shared" si="17"/>
        <v>0</v>
      </c>
      <c r="N123" s="14" t="s">
        <v>1879</v>
      </c>
      <c r="O123" s="14" t="s">
        <v>1879</v>
      </c>
      <c r="P123" s="167" t="s">
        <v>151</v>
      </c>
      <c r="Q123" s="14" t="s">
        <v>172</v>
      </c>
      <c r="R123" s="223" t="s">
        <v>234</v>
      </c>
      <c r="S123" s="224">
        <f t="shared" si="13"/>
        <v>45370</v>
      </c>
      <c r="T123" s="79">
        <v>45902</v>
      </c>
      <c r="U123" s="14"/>
      <c r="V123" s="14"/>
      <c r="W123" s="14"/>
      <c r="X123" s="14"/>
      <c r="Y123" s="14" t="s">
        <v>2054</v>
      </c>
      <c r="Z123" s="14" t="s">
        <v>2347</v>
      </c>
      <c r="AA123" s="2">
        <f t="shared" ca="1" si="14"/>
        <v>1</v>
      </c>
      <c r="AB123" s="153"/>
      <c r="AC123" s="454" t="str">
        <f t="shared" si="15"/>
        <v/>
      </c>
    </row>
    <row r="124" spans="1:29" ht="29" x14ac:dyDescent="0.35">
      <c r="A124" s="89" t="str">
        <f t="shared" si="16"/>
        <v>Closed</v>
      </c>
      <c r="B124" s="222">
        <v>45336</v>
      </c>
      <c r="C124" s="14">
        <v>2311</v>
      </c>
      <c r="D124" s="14" t="s">
        <v>2348</v>
      </c>
      <c r="E124" s="14" t="s">
        <v>38</v>
      </c>
      <c r="F124" s="167" t="s">
        <v>2349</v>
      </c>
      <c r="G124" s="14" t="s">
        <v>1911</v>
      </c>
      <c r="H124" s="14"/>
      <c r="I124" s="176" t="s">
        <v>2</v>
      </c>
      <c r="K124" s="85" t="s">
        <v>137</v>
      </c>
      <c r="L124" s="14" t="s">
        <v>2350</v>
      </c>
      <c r="M124" s="324">
        <v>0</v>
      </c>
      <c r="N124" s="14" t="s">
        <v>1879</v>
      </c>
      <c r="O124" s="14" t="s">
        <v>1880</v>
      </c>
      <c r="P124" s="167" t="s">
        <v>143</v>
      </c>
      <c r="Q124" s="14"/>
      <c r="R124" s="223">
        <v>0</v>
      </c>
      <c r="S124" s="224">
        <f t="shared" si="13"/>
        <v>45364</v>
      </c>
      <c r="T124" s="79">
        <v>45702</v>
      </c>
      <c r="U124" s="14"/>
      <c r="V124" s="14"/>
      <c r="W124" s="14"/>
      <c r="X124" s="14"/>
      <c r="Y124" s="14" t="s">
        <v>2351</v>
      </c>
      <c r="Z124" s="14"/>
      <c r="AA124" s="2">
        <f t="shared" ca="1" si="14"/>
        <v>1</v>
      </c>
      <c r="AB124" s="153"/>
      <c r="AC124" s="454" t="str">
        <f t="shared" si="15"/>
        <v/>
      </c>
    </row>
    <row r="125" spans="1:29" ht="87" x14ac:dyDescent="0.35">
      <c r="A125" s="169" t="str">
        <f t="shared" si="16"/>
        <v>Closed</v>
      </c>
      <c r="B125" s="222">
        <v>45343</v>
      </c>
      <c r="C125" s="14">
        <v>2311</v>
      </c>
      <c r="D125" s="14" t="s">
        <v>2352</v>
      </c>
      <c r="E125" s="14" t="s">
        <v>180</v>
      </c>
      <c r="F125" s="14" t="s">
        <v>2048</v>
      </c>
      <c r="G125" s="14" t="s">
        <v>1900</v>
      </c>
      <c r="H125" s="14">
        <v>109</v>
      </c>
      <c r="I125" s="176" t="s">
        <v>140</v>
      </c>
      <c r="J125" s="14">
        <v>64124</v>
      </c>
      <c r="K125" s="87"/>
      <c r="L125" s="14" t="s">
        <v>2353</v>
      </c>
      <c r="M125" s="324">
        <f>IF(I125="Staff Accident","Entry Required",IF(I125="Assaults","Entry Required",0))</f>
        <v>0</v>
      </c>
      <c r="N125" s="14" t="s">
        <v>1879</v>
      </c>
      <c r="O125" s="14" t="s">
        <v>1879</v>
      </c>
      <c r="P125" s="167" t="s">
        <v>143</v>
      </c>
      <c r="Q125" s="14"/>
      <c r="R125" s="170">
        <v>0</v>
      </c>
      <c r="S125" s="108">
        <f t="shared" si="13"/>
        <v>45371</v>
      </c>
      <c r="T125" s="79">
        <v>45343</v>
      </c>
      <c r="U125" s="14"/>
      <c r="V125" s="14"/>
      <c r="W125" s="14"/>
      <c r="X125" s="14"/>
      <c r="Y125" s="167" t="s">
        <v>2050</v>
      </c>
      <c r="Z125" s="14"/>
      <c r="AA125" s="2">
        <f t="shared" ca="1" si="14"/>
        <v>1</v>
      </c>
      <c r="AB125" s="153"/>
      <c r="AC125" s="454" t="str">
        <f t="shared" si="15"/>
        <v>1</v>
      </c>
    </row>
    <row r="126" spans="1:29" ht="43.5" x14ac:dyDescent="0.35">
      <c r="A126" s="169" t="str">
        <f t="shared" si="16"/>
        <v>Closed</v>
      </c>
      <c r="B126" s="222">
        <v>45343</v>
      </c>
      <c r="C126" s="14">
        <v>2311</v>
      </c>
      <c r="D126" s="14" t="s">
        <v>2354</v>
      </c>
      <c r="E126" s="14" t="s">
        <v>37</v>
      </c>
      <c r="F126" s="14" t="s">
        <v>2037</v>
      </c>
      <c r="G126" s="14" t="s">
        <v>1911</v>
      </c>
      <c r="H126" s="14">
        <v>123</v>
      </c>
      <c r="I126" s="14" t="s">
        <v>155</v>
      </c>
      <c r="J126" s="14">
        <v>600</v>
      </c>
      <c r="K126" s="14"/>
      <c r="L126" s="14" t="s">
        <v>2355</v>
      </c>
      <c r="M126" s="324">
        <f>IF(I126="Staff Accident","Entry Required",IF(I126="Assaults","Entry Required",0))</f>
        <v>0</v>
      </c>
      <c r="N126" s="14" t="s">
        <v>1879</v>
      </c>
      <c r="O126" s="14" t="s">
        <v>1880</v>
      </c>
      <c r="P126" s="167" t="s">
        <v>147</v>
      </c>
      <c r="Q126" s="14" t="s">
        <v>174</v>
      </c>
      <c r="R126" s="170" t="s">
        <v>234</v>
      </c>
      <c r="S126" s="108">
        <f t="shared" si="13"/>
        <v>45371</v>
      </c>
      <c r="T126" s="79">
        <v>45422</v>
      </c>
      <c r="U126" s="14" t="s">
        <v>2356</v>
      </c>
      <c r="V126" s="14" t="s">
        <v>2357</v>
      </c>
      <c r="W126" s="14" t="s">
        <v>1880</v>
      </c>
      <c r="X126" s="14" t="s">
        <v>1883</v>
      </c>
      <c r="Y126" s="167" t="s">
        <v>2039</v>
      </c>
      <c r="Z126" s="14" t="s">
        <v>2358</v>
      </c>
      <c r="AA126" s="2">
        <f t="shared" ca="1" si="14"/>
        <v>1</v>
      </c>
      <c r="AB126" s="153"/>
      <c r="AC126" s="454" t="str">
        <f t="shared" si="15"/>
        <v>1</v>
      </c>
    </row>
    <row r="127" spans="1:29" ht="87" x14ac:dyDescent="0.35">
      <c r="A127" s="169" t="str">
        <f t="shared" si="16"/>
        <v>Closed</v>
      </c>
      <c r="B127" s="222">
        <v>45343</v>
      </c>
      <c r="C127" s="14">
        <v>2311</v>
      </c>
      <c r="D127" s="14" t="s">
        <v>2359</v>
      </c>
      <c r="E127" s="14" t="s">
        <v>192</v>
      </c>
      <c r="F127" s="14" t="s">
        <v>2027</v>
      </c>
      <c r="G127" s="14" t="s">
        <v>1900</v>
      </c>
      <c r="H127" s="14"/>
      <c r="I127" s="14" t="s">
        <v>140</v>
      </c>
      <c r="J127" s="14">
        <v>62018</v>
      </c>
      <c r="K127" s="14"/>
      <c r="L127" s="14" t="s">
        <v>2360</v>
      </c>
      <c r="M127" s="324">
        <f>IF(J127="Staff Accident","Entry Required",IF(J127="Assaults","Entry Required",0))</f>
        <v>0</v>
      </c>
      <c r="N127" s="14" t="s">
        <v>1879</v>
      </c>
      <c r="O127" s="14" t="s">
        <v>1879</v>
      </c>
      <c r="P127" s="167" t="s">
        <v>143</v>
      </c>
      <c r="Q127" s="14"/>
      <c r="R127" s="170">
        <v>0</v>
      </c>
      <c r="S127" s="108">
        <f t="shared" si="13"/>
        <v>45371</v>
      </c>
      <c r="T127" s="79">
        <v>45343</v>
      </c>
      <c r="U127" s="14"/>
      <c r="V127" s="14"/>
      <c r="W127" s="14"/>
      <c r="X127" s="14"/>
      <c r="Y127" s="14" t="s">
        <v>2361</v>
      </c>
      <c r="Z127" s="14"/>
      <c r="AA127" s="2">
        <f t="shared" ca="1" si="14"/>
        <v>1</v>
      </c>
      <c r="AB127" s="153"/>
      <c r="AC127" s="454" t="str">
        <f t="shared" si="15"/>
        <v/>
      </c>
    </row>
    <row r="128" spans="1:29" ht="58" x14ac:dyDescent="0.35">
      <c r="A128" s="169" t="str">
        <f t="shared" si="16"/>
        <v>Closed</v>
      </c>
      <c r="B128" s="222">
        <v>45343</v>
      </c>
      <c r="C128" s="14">
        <v>2311</v>
      </c>
      <c r="D128" s="14" t="s">
        <v>2362</v>
      </c>
      <c r="E128" s="14" t="s">
        <v>31</v>
      </c>
      <c r="F128" s="167" t="s">
        <v>1947</v>
      </c>
      <c r="G128" s="14" t="s">
        <v>1911</v>
      </c>
      <c r="H128" s="14">
        <v>114</v>
      </c>
      <c r="I128" s="14" t="s">
        <v>155</v>
      </c>
      <c r="J128" s="14">
        <v>914</v>
      </c>
      <c r="K128" s="14"/>
      <c r="L128" s="14" t="s">
        <v>2363</v>
      </c>
      <c r="M128" s="324">
        <f>IF(J128="Staff Accident","Entry Required",IF(J128="Assaults","Entry Required",0))</f>
        <v>0</v>
      </c>
      <c r="N128" s="14" t="s">
        <v>1879</v>
      </c>
      <c r="O128" s="14" t="s">
        <v>1880</v>
      </c>
      <c r="P128" s="167" t="s">
        <v>147</v>
      </c>
      <c r="Q128" s="14" t="s">
        <v>153</v>
      </c>
      <c r="R128" s="170" t="s">
        <v>234</v>
      </c>
      <c r="S128" s="108">
        <f t="shared" si="13"/>
        <v>45371</v>
      </c>
      <c r="T128" s="79">
        <v>45337</v>
      </c>
      <c r="U128" s="14" t="s">
        <v>2364</v>
      </c>
      <c r="V128" s="14" t="s">
        <v>2365</v>
      </c>
      <c r="W128" s="14" t="s">
        <v>1879</v>
      </c>
      <c r="X128" s="14" t="s">
        <v>154</v>
      </c>
      <c r="Y128" s="167" t="s">
        <v>1951</v>
      </c>
      <c r="Z128" s="14" t="s">
        <v>2366</v>
      </c>
      <c r="AA128" s="2">
        <f t="shared" ca="1" si="14"/>
        <v>1</v>
      </c>
      <c r="AB128" s="153"/>
      <c r="AC128" s="454" t="str">
        <f t="shared" si="15"/>
        <v>1</v>
      </c>
    </row>
    <row r="129" spans="1:29" ht="43.5" x14ac:dyDescent="0.35">
      <c r="A129" s="89" t="str">
        <f t="shared" si="16"/>
        <v>Closed</v>
      </c>
      <c r="B129" s="222">
        <v>45343</v>
      </c>
      <c r="C129" s="14">
        <v>2311</v>
      </c>
      <c r="D129" s="14" t="s">
        <v>2367</v>
      </c>
      <c r="E129" s="14" t="s">
        <v>40</v>
      </c>
      <c r="F129" s="14" t="s">
        <v>1910</v>
      </c>
      <c r="G129" s="14" t="s">
        <v>1911</v>
      </c>
      <c r="H129" s="14"/>
      <c r="I129" s="14" t="s">
        <v>4</v>
      </c>
      <c r="J129" s="14">
        <v>8501823</v>
      </c>
      <c r="K129" s="14" t="s">
        <v>137</v>
      </c>
      <c r="L129" s="14" t="s">
        <v>2368</v>
      </c>
      <c r="M129" s="324">
        <f>IF(J129="Staff Accident","Entry Required",IF(J129="Assaults","Entry Required",0))</f>
        <v>0</v>
      </c>
      <c r="N129" s="14" t="s">
        <v>1879</v>
      </c>
      <c r="O129" s="14" t="s">
        <v>1880</v>
      </c>
      <c r="P129" s="167" t="s">
        <v>143</v>
      </c>
      <c r="Q129" s="14" t="s">
        <v>138</v>
      </c>
      <c r="R129" s="223">
        <v>0</v>
      </c>
      <c r="S129" s="224">
        <f t="shared" si="13"/>
        <v>45371</v>
      </c>
      <c r="T129" s="79">
        <v>45902</v>
      </c>
      <c r="U129" s="14"/>
      <c r="V129" s="14"/>
      <c r="W129" s="14"/>
      <c r="X129" s="14"/>
      <c r="Y129" s="23" t="s">
        <v>1915</v>
      </c>
      <c r="Z129" s="14" t="s">
        <v>342</v>
      </c>
      <c r="AA129" s="2">
        <f t="shared" ca="1" si="14"/>
        <v>1</v>
      </c>
      <c r="AB129" s="153"/>
      <c r="AC129" s="454" t="str">
        <f t="shared" si="15"/>
        <v/>
      </c>
    </row>
    <row r="130" spans="1:29" ht="101.5" x14ac:dyDescent="0.35">
      <c r="A130" s="169" t="str">
        <f t="shared" si="16"/>
        <v>Closed</v>
      </c>
      <c r="B130" s="222">
        <v>45344</v>
      </c>
      <c r="C130" s="14">
        <v>2311</v>
      </c>
      <c r="D130" s="14" t="s">
        <v>2369</v>
      </c>
      <c r="E130" s="14" t="s">
        <v>41</v>
      </c>
      <c r="F130" s="14" t="s">
        <v>1910</v>
      </c>
      <c r="G130" s="14"/>
      <c r="H130" s="14"/>
      <c r="I130" s="14" t="s">
        <v>4</v>
      </c>
      <c r="J130" s="14">
        <v>169</v>
      </c>
      <c r="K130" s="14" t="s">
        <v>137</v>
      </c>
      <c r="L130" s="14" t="s">
        <v>2370</v>
      </c>
      <c r="M130" s="324">
        <f>IF(J130="Staff Accident","Entry Required",IF(J130="Assaults","Entry Required",0))</f>
        <v>0</v>
      </c>
      <c r="N130" s="14" t="s">
        <v>1879</v>
      </c>
      <c r="O130" s="14" t="s">
        <v>1880</v>
      </c>
      <c r="P130" s="167" t="s">
        <v>139</v>
      </c>
      <c r="Q130" s="14" t="s">
        <v>177</v>
      </c>
      <c r="R130" s="170" t="s">
        <v>234</v>
      </c>
      <c r="S130" s="108">
        <f t="shared" si="13"/>
        <v>45372</v>
      </c>
      <c r="T130" s="79">
        <v>45358</v>
      </c>
      <c r="U130" s="14" t="s">
        <v>2371</v>
      </c>
      <c r="V130" s="14" t="s">
        <v>2208</v>
      </c>
      <c r="W130" s="14" t="s">
        <v>1879</v>
      </c>
      <c r="X130" s="176" t="s">
        <v>1883</v>
      </c>
      <c r="Y130" s="15" t="s">
        <v>1915</v>
      </c>
      <c r="Z130" s="87" t="s">
        <v>2372</v>
      </c>
      <c r="AA130" s="2">
        <f t="shared" ca="1" si="14"/>
        <v>1</v>
      </c>
      <c r="AB130" s="153"/>
      <c r="AC130" s="454" t="str">
        <f t="shared" si="15"/>
        <v/>
      </c>
    </row>
    <row r="131" spans="1:29" ht="29" x14ac:dyDescent="0.35">
      <c r="A131" s="169" t="str">
        <f t="shared" si="16"/>
        <v>Closed</v>
      </c>
      <c r="B131" s="222">
        <v>45344</v>
      </c>
      <c r="C131" s="14">
        <v>2311</v>
      </c>
      <c r="D131" s="14" t="s">
        <v>2373</v>
      </c>
      <c r="E131" s="14" t="s">
        <v>152</v>
      </c>
      <c r="F131" s="14" t="s">
        <v>2196</v>
      </c>
      <c r="G131" s="14" t="s">
        <v>1900</v>
      </c>
      <c r="H131" s="14">
        <v>123</v>
      </c>
      <c r="I131" s="14" t="s">
        <v>140</v>
      </c>
      <c r="K131" s="14"/>
      <c r="L131" s="14" t="s">
        <v>2374</v>
      </c>
      <c r="M131" s="324">
        <f>IF(J131="Staff Accident","Entry Required",IF(J131="Assaults","Entry Required",0))</f>
        <v>0</v>
      </c>
      <c r="N131" s="14" t="s">
        <v>1879</v>
      </c>
      <c r="O131" s="14" t="s">
        <v>1879</v>
      </c>
      <c r="P131" s="167" t="s">
        <v>143</v>
      </c>
      <c r="Q131" s="14"/>
      <c r="R131" s="170">
        <v>0</v>
      </c>
      <c r="S131" s="108">
        <f t="shared" si="13"/>
        <v>45372</v>
      </c>
      <c r="T131" s="79">
        <v>45344</v>
      </c>
      <c r="U131" s="14"/>
      <c r="V131" s="14"/>
      <c r="W131" s="14"/>
      <c r="X131" s="14"/>
      <c r="Y131" s="167" t="s">
        <v>2198</v>
      </c>
      <c r="Z131" s="14"/>
      <c r="AA131" s="2">
        <f t="shared" ca="1" si="14"/>
        <v>1</v>
      </c>
      <c r="AB131" s="153"/>
      <c r="AC131" s="454" t="str">
        <f t="shared" si="15"/>
        <v>1</v>
      </c>
    </row>
    <row r="132" spans="1:29" ht="29" x14ac:dyDescent="0.35">
      <c r="A132" s="169" t="str">
        <f t="shared" si="16"/>
        <v>Closed</v>
      </c>
      <c r="B132" s="222">
        <v>45344</v>
      </c>
      <c r="C132" s="14">
        <v>2311</v>
      </c>
      <c r="D132" s="14" t="s">
        <v>2375</v>
      </c>
      <c r="E132" s="14" t="s">
        <v>152</v>
      </c>
      <c r="F132" s="14" t="s">
        <v>2196</v>
      </c>
      <c r="G132" s="14" t="s">
        <v>1900</v>
      </c>
      <c r="H132" s="14">
        <v>109</v>
      </c>
      <c r="I132" s="14" t="s">
        <v>140</v>
      </c>
      <c r="K132" s="14"/>
      <c r="L132" s="14" t="s">
        <v>2376</v>
      </c>
      <c r="M132" s="324">
        <f t="shared" ref="M132:M145" si="18">IF(I132="Staff Accident","Entry Required",IF(I132="Assaults","Entry Required",0))</f>
        <v>0</v>
      </c>
      <c r="N132" s="14" t="s">
        <v>1879</v>
      </c>
      <c r="O132" s="14" t="s">
        <v>1879</v>
      </c>
      <c r="P132" s="167" t="s">
        <v>143</v>
      </c>
      <c r="Q132" s="14"/>
      <c r="R132" s="170">
        <v>0</v>
      </c>
      <c r="S132" s="108">
        <f t="shared" si="13"/>
        <v>45372</v>
      </c>
      <c r="T132" s="79">
        <v>45344</v>
      </c>
      <c r="U132" s="14"/>
      <c r="V132" s="14"/>
      <c r="W132" s="14"/>
      <c r="X132" s="14"/>
      <c r="Y132" s="167" t="s">
        <v>2198</v>
      </c>
      <c r="Z132" s="14"/>
      <c r="AA132" s="2">
        <f t="shared" ca="1" si="14"/>
        <v>1</v>
      </c>
      <c r="AB132" s="153"/>
      <c r="AC132" s="454" t="str">
        <f t="shared" si="15"/>
        <v>1</v>
      </c>
    </row>
    <row r="133" spans="1:29" ht="145" x14ac:dyDescent="0.35">
      <c r="A133" s="169" t="str">
        <f t="shared" si="16"/>
        <v>Closed</v>
      </c>
      <c r="B133" s="222">
        <v>45345</v>
      </c>
      <c r="C133" s="14">
        <v>2311</v>
      </c>
      <c r="D133" s="14" t="s">
        <v>2377</v>
      </c>
      <c r="E133" s="14" t="s">
        <v>78</v>
      </c>
      <c r="F133" s="14" t="s">
        <v>2056</v>
      </c>
      <c r="G133" s="14" t="s">
        <v>1911</v>
      </c>
      <c r="H133" s="14">
        <v>110</v>
      </c>
      <c r="I133" s="176" t="s">
        <v>155</v>
      </c>
      <c r="J133" s="14">
        <v>323</v>
      </c>
      <c r="K133" s="87"/>
      <c r="L133" s="14" t="s">
        <v>2378</v>
      </c>
      <c r="M133" s="324">
        <f t="shared" si="18"/>
        <v>0</v>
      </c>
      <c r="N133" s="14" t="s">
        <v>1879</v>
      </c>
      <c r="O133" s="14" t="s">
        <v>1880</v>
      </c>
      <c r="P133" s="167" t="s">
        <v>147</v>
      </c>
      <c r="Q133" s="14" t="s">
        <v>153</v>
      </c>
      <c r="R133" s="170" t="s">
        <v>234</v>
      </c>
      <c r="S133" s="108">
        <f t="shared" si="13"/>
        <v>45373</v>
      </c>
      <c r="T133" s="79">
        <v>45450</v>
      </c>
      <c r="U133" s="14" t="s">
        <v>2379</v>
      </c>
      <c r="V133" s="14" t="s">
        <v>2380</v>
      </c>
      <c r="W133" s="14" t="s">
        <v>1879</v>
      </c>
      <c r="X133" s="14" t="s">
        <v>1883</v>
      </c>
      <c r="Y133" s="167" t="s">
        <v>2058</v>
      </c>
      <c r="Z133" s="14" t="s">
        <v>2381</v>
      </c>
      <c r="AA133" s="2">
        <f t="shared" ca="1" si="14"/>
        <v>1</v>
      </c>
      <c r="AB133" s="153"/>
      <c r="AC133" s="454" t="e">
        <f>LEFT(#REF!,1)</f>
        <v>#REF!</v>
      </c>
    </row>
    <row r="134" spans="1:29" ht="29" x14ac:dyDescent="0.35">
      <c r="A134" s="169" t="str">
        <f t="shared" si="16"/>
        <v>Closed</v>
      </c>
      <c r="B134" s="222">
        <v>45345</v>
      </c>
      <c r="C134" s="14">
        <v>2311</v>
      </c>
      <c r="D134" s="14" t="s">
        <v>2382</v>
      </c>
      <c r="E134" s="14" t="s">
        <v>152</v>
      </c>
      <c r="F134" s="14" t="s">
        <v>2196</v>
      </c>
      <c r="G134" s="14" t="s">
        <v>1900</v>
      </c>
      <c r="H134" s="14">
        <v>117</v>
      </c>
      <c r="I134" s="176" t="s">
        <v>140</v>
      </c>
      <c r="J134" s="14">
        <v>391</v>
      </c>
      <c r="K134" s="87"/>
      <c r="L134" s="14" t="s">
        <v>2383</v>
      </c>
      <c r="M134" s="324">
        <f t="shared" si="18"/>
        <v>0</v>
      </c>
      <c r="N134" s="14" t="s">
        <v>1879</v>
      </c>
      <c r="O134" s="14" t="s">
        <v>1879</v>
      </c>
      <c r="P134" s="167" t="s">
        <v>143</v>
      </c>
      <c r="Q134" s="14"/>
      <c r="R134" s="170">
        <v>0</v>
      </c>
      <c r="S134" s="108">
        <f t="shared" si="13"/>
        <v>45373</v>
      </c>
      <c r="T134" s="79">
        <v>45345</v>
      </c>
      <c r="U134" s="14"/>
      <c r="V134" s="14"/>
      <c r="W134" s="14"/>
      <c r="X134" s="14"/>
      <c r="Y134" s="167" t="s">
        <v>2198</v>
      </c>
      <c r="Z134" s="14"/>
      <c r="AA134" s="2">
        <f t="shared" ca="1" si="14"/>
        <v>1</v>
      </c>
      <c r="AB134" s="153"/>
      <c r="AC134" s="454" t="e">
        <f>LEFT(#REF!,1)</f>
        <v>#REF!</v>
      </c>
    </row>
    <row r="135" spans="1:29" ht="159.5" x14ac:dyDescent="0.35">
      <c r="A135" s="169" t="str">
        <f t="shared" si="16"/>
        <v>Closed</v>
      </c>
      <c r="B135" s="222">
        <v>45348</v>
      </c>
      <c r="C135" s="14">
        <v>2311</v>
      </c>
      <c r="D135" s="14" t="s">
        <v>2384</v>
      </c>
      <c r="E135" s="14" t="s">
        <v>194</v>
      </c>
      <c r="F135" s="14" t="s">
        <v>1980</v>
      </c>
      <c r="G135" s="14" t="s">
        <v>1911</v>
      </c>
      <c r="H135" s="14">
        <v>104</v>
      </c>
      <c r="I135" s="176" t="s">
        <v>155</v>
      </c>
      <c r="J135" s="14">
        <v>914</v>
      </c>
      <c r="K135" s="87"/>
      <c r="L135" s="14" t="s">
        <v>2385</v>
      </c>
      <c r="M135" s="324">
        <f t="shared" si="18"/>
        <v>0</v>
      </c>
      <c r="N135" s="14" t="s">
        <v>1879</v>
      </c>
      <c r="O135" s="14" t="s">
        <v>1880</v>
      </c>
      <c r="P135" s="167" t="s">
        <v>147</v>
      </c>
      <c r="Q135" s="14" t="s">
        <v>153</v>
      </c>
      <c r="R135" s="170" t="s">
        <v>234</v>
      </c>
      <c r="S135" s="108">
        <f t="shared" si="13"/>
        <v>45376</v>
      </c>
      <c r="T135" s="79">
        <v>45425</v>
      </c>
      <c r="U135" s="14" t="s">
        <v>2386</v>
      </c>
      <c r="V135" s="14" t="s">
        <v>2387</v>
      </c>
      <c r="W135" s="14" t="s">
        <v>1879</v>
      </c>
      <c r="X135" s="14" t="s">
        <v>1883</v>
      </c>
      <c r="Y135" s="15" t="s">
        <v>1982</v>
      </c>
      <c r="Z135" s="14" t="s">
        <v>2388</v>
      </c>
      <c r="AA135" s="2">
        <f t="shared" ca="1" si="14"/>
        <v>1</v>
      </c>
      <c r="AB135" s="153"/>
      <c r="AC135" s="454" t="str">
        <f t="shared" ref="AC135:AC149" si="19">LEFT(H135,1)</f>
        <v>1</v>
      </c>
    </row>
    <row r="136" spans="1:29" ht="43.5" x14ac:dyDescent="0.35">
      <c r="A136" s="169" t="str">
        <f t="shared" si="16"/>
        <v>Closed</v>
      </c>
      <c r="B136" s="222">
        <v>45348</v>
      </c>
      <c r="C136" s="14">
        <v>2311</v>
      </c>
      <c r="D136" s="14" t="s">
        <v>796</v>
      </c>
      <c r="E136" s="14" t="s">
        <v>196</v>
      </c>
      <c r="F136" s="14" t="s">
        <v>2289</v>
      </c>
      <c r="G136" s="14"/>
      <c r="H136" s="14">
        <v>114</v>
      </c>
      <c r="I136" s="176" t="s">
        <v>155</v>
      </c>
      <c r="J136" s="14">
        <v>41395</v>
      </c>
      <c r="K136" s="87"/>
      <c r="L136" s="14" t="s">
        <v>2389</v>
      </c>
      <c r="M136" s="324">
        <f t="shared" si="18"/>
        <v>0</v>
      </c>
      <c r="N136" s="14" t="s">
        <v>1880</v>
      </c>
      <c r="O136" s="14" t="s">
        <v>1880</v>
      </c>
      <c r="P136" s="167" t="s">
        <v>147</v>
      </c>
      <c r="Q136" s="14" t="s">
        <v>135</v>
      </c>
      <c r="R136" s="170" t="s">
        <v>234</v>
      </c>
      <c r="S136" s="108">
        <f t="shared" si="13"/>
        <v>45376</v>
      </c>
      <c r="T136" s="79">
        <v>45433</v>
      </c>
      <c r="U136" s="14" t="s">
        <v>2390</v>
      </c>
      <c r="V136" s="14" t="s">
        <v>2391</v>
      </c>
      <c r="W136" s="14" t="s">
        <v>1880</v>
      </c>
      <c r="X136" s="14" t="s">
        <v>1880</v>
      </c>
      <c r="Y136" s="15" t="s">
        <v>1915</v>
      </c>
      <c r="Z136" s="14" t="s">
        <v>2392</v>
      </c>
      <c r="AA136" s="2">
        <f t="shared" ca="1" si="14"/>
        <v>1</v>
      </c>
      <c r="AB136" s="153"/>
      <c r="AC136" s="454" t="str">
        <f t="shared" si="19"/>
        <v>1</v>
      </c>
    </row>
    <row r="137" spans="1:29" ht="116" x14ac:dyDescent="0.35">
      <c r="A137" s="169" t="str">
        <f t="shared" si="16"/>
        <v>Closed</v>
      </c>
      <c r="B137" s="222">
        <v>45348</v>
      </c>
      <c r="C137" s="14">
        <v>2311</v>
      </c>
      <c r="D137" s="14" t="s">
        <v>820</v>
      </c>
      <c r="E137" s="14" t="s">
        <v>204</v>
      </c>
      <c r="F137" s="14" t="s">
        <v>1972</v>
      </c>
      <c r="G137" s="14"/>
      <c r="H137" s="14">
        <v>112</v>
      </c>
      <c r="I137" s="176" t="s">
        <v>155</v>
      </c>
      <c r="J137" s="14">
        <v>8507246</v>
      </c>
      <c r="K137" s="87"/>
      <c r="L137" s="14" t="s">
        <v>2393</v>
      </c>
      <c r="M137" s="324">
        <f t="shared" si="18"/>
        <v>0</v>
      </c>
      <c r="N137" s="14" t="s">
        <v>1879</v>
      </c>
      <c r="O137" s="14" t="s">
        <v>1879</v>
      </c>
      <c r="P137" s="167" t="s">
        <v>147</v>
      </c>
      <c r="Q137" s="14" t="s">
        <v>135</v>
      </c>
      <c r="R137" s="170" t="s">
        <v>234</v>
      </c>
      <c r="S137" s="108">
        <f t="shared" si="13"/>
        <v>45376</v>
      </c>
      <c r="T137" s="79">
        <v>45436</v>
      </c>
      <c r="U137" s="14" t="s">
        <v>2394</v>
      </c>
      <c r="V137" s="14" t="s">
        <v>1896</v>
      </c>
      <c r="W137" s="14" t="s">
        <v>1880</v>
      </c>
      <c r="X137" s="14" t="s">
        <v>1880</v>
      </c>
      <c r="Z137" s="14" t="s">
        <v>2395</v>
      </c>
      <c r="AA137" s="2">
        <f t="shared" ca="1" si="14"/>
        <v>1</v>
      </c>
      <c r="AB137" s="153"/>
      <c r="AC137" s="454" t="str">
        <f t="shared" si="19"/>
        <v>1</v>
      </c>
    </row>
    <row r="138" spans="1:29" ht="58" x14ac:dyDescent="0.35">
      <c r="A138" s="169" t="str">
        <f t="shared" si="16"/>
        <v>Closed</v>
      </c>
      <c r="B138" s="222">
        <v>45346</v>
      </c>
      <c r="C138" s="14">
        <v>2311</v>
      </c>
      <c r="D138" s="14" t="s">
        <v>562</v>
      </c>
      <c r="E138" s="14" t="s">
        <v>202</v>
      </c>
      <c r="F138" s="14" t="s">
        <v>2147</v>
      </c>
      <c r="G138" s="14"/>
      <c r="H138" s="14"/>
      <c r="I138" s="176" t="s">
        <v>155</v>
      </c>
      <c r="J138" s="14">
        <v>568</v>
      </c>
      <c r="K138" s="87"/>
      <c r="L138" s="14" t="s">
        <v>2396</v>
      </c>
      <c r="M138" s="324">
        <f t="shared" si="18"/>
        <v>0</v>
      </c>
      <c r="N138" s="14" t="s">
        <v>1879</v>
      </c>
      <c r="O138" s="14"/>
      <c r="P138" s="167" t="s">
        <v>147</v>
      </c>
      <c r="Q138" s="14" t="s">
        <v>174</v>
      </c>
      <c r="R138" s="170" t="s">
        <v>234</v>
      </c>
      <c r="S138" s="108">
        <f t="shared" si="13"/>
        <v>45374</v>
      </c>
      <c r="T138" s="79">
        <v>45422</v>
      </c>
      <c r="U138" s="14" t="s">
        <v>2397</v>
      </c>
      <c r="V138" s="14" t="s">
        <v>2398</v>
      </c>
      <c r="W138" s="14" t="s">
        <v>1880</v>
      </c>
      <c r="X138" s="14" t="s">
        <v>1880</v>
      </c>
      <c r="Y138" s="14" t="s">
        <v>2150</v>
      </c>
      <c r="Z138" s="14" t="s">
        <v>2399</v>
      </c>
      <c r="AA138" s="2">
        <f t="shared" ca="1" si="14"/>
        <v>1</v>
      </c>
      <c r="AB138" s="153"/>
      <c r="AC138" s="454" t="str">
        <f t="shared" si="19"/>
        <v/>
      </c>
    </row>
    <row r="139" spans="1:29" ht="43.5" x14ac:dyDescent="0.35">
      <c r="A139" s="169" t="str">
        <f t="shared" si="16"/>
        <v>Closed</v>
      </c>
      <c r="B139" s="222">
        <v>45349</v>
      </c>
      <c r="C139" s="14">
        <v>2311</v>
      </c>
      <c r="D139" s="14" t="s">
        <v>2400</v>
      </c>
      <c r="E139" s="14" t="s">
        <v>27</v>
      </c>
      <c r="F139" s="14" t="s">
        <v>2037</v>
      </c>
      <c r="G139" s="14" t="s">
        <v>1900</v>
      </c>
      <c r="H139" s="14">
        <v>124</v>
      </c>
      <c r="I139" s="176" t="s">
        <v>5</v>
      </c>
      <c r="J139" s="14">
        <v>625</v>
      </c>
      <c r="K139" s="87"/>
      <c r="L139" s="14" t="s">
        <v>2401</v>
      </c>
      <c r="M139" s="324">
        <f t="shared" si="18"/>
        <v>0</v>
      </c>
      <c r="N139" s="14" t="s">
        <v>1879</v>
      </c>
      <c r="O139" s="14" t="s">
        <v>1880</v>
      </c>
      <c r="P139" s="167" t="s">
        <v>147</v>
      </c>
      <c r="Q139" s="14" t="s">
        <v>175</v>
      </c>
      <c r="R139" s="170" t="s">
        <v>234</v>
      </c>
      <c r="S139" s="108">
        <f t="shared" si="13"/>
        <v>45377</v>
      </c>
      <c r="T139" s="79">
        <v>45425</v>
      </c>
      <c r="U139" s="14" t="s">
        <v>2402</v>
      </c>
      <c r="V139" s="14" t="s">
        <v>2403</v>
      </c>
      <c r="W139" s="14" t="s">
        <v>1879</v>
      </c>
      <c r="X139" s="14" t="s">
        <v>1883</v>
      </c>
      <c r="Y139" s="167" t="s">
        <v>2039</v>
      </c>
      <c r="Z139" s="14" t="s">
        <v>2253</v>
      </c>
      <c r="AA139" s="2">
        <f t="shared" ca="1" si="14"/>
        <v>1</v>
      </c>
      <c r="AB139" s="153"/>
      <c r="AC139" s="454" t="str">
        <f t="shared" si="19"/>
        <v>1</v>
      </c>
    </row>
    <row r="140" spans="1:29" ht="43.5" x14ac:dyDescent="0.35">
      <c r="A140" s="169" t="str">
        <f t="shared" si="16"/>
        <v>Closed</v>
      </c>
      <c r="B140" s="222">
        <v>45349</v>
      </c>
      <c r="C140" s="14">
        <v>2311</v>
      </c>
      <c r="D140" s="14" t="s">
        <v>2404</v>
      </c>
      <c r="E140" s="14" t="s">
        <v>1907</v>
      </c>
      <c r="F140" s="14" t="s">
        <v>2010</v>
      </c>
      <c r="G140" s="14"/>
      <c r="H140" s="14">
        <v>111</v>
      </c>
      <c r="I140" s="176" t="s">
        <v>140</v>
      </c>
      <c r="J140" s="14">
        <v>77152</v>
      </c>
      <c r="K140" s="87"/>
      <c r="L140" s="14" t="s">
        <v>2405</v>
      </c>
      <c r="M140" s="324">
        <f t="shared" si="18"/>
        <v>0</v>
      </c>
      <c r="N140" s="14" t="s">
        <v>1879</v>
      </c>
      <c r="O140" s="14" t="s">
        <v>1880</v>
      </c>
      <c r="P140" s="167" t="s">
        <v>143</v>
      </c>
      <c r="Q140" s="14"/>
      <c r="R140" s="170">
        <v>0</v>
      </c>
      <c r="S140" s="108">
        <f t="shared" si="13"/>
        <v>45377</v>
      </c>
      <c r="T140" s="79">
        <v>45349</v>
      </c>
      <c r="U140" s="14"/>
      <c r="V140" s="14"/>
      <c r="W140" s="14"/>
      <c r="X140" s="14"/>
      <c r="Y140" s="51" t="s">
        <v>2012</v>
      </c>
      <c r="Z140" s="14"/>
      <c r="AA140" s="2">
        <f t="shared" ca="1" si="14"/>
        <v>1</v>
      </c>
      <c r="AB140" s="153"/>
      <c r="AC140" s="454" t="str">
        <f t="shared" si="19"/>
        <v>1</v>
      </c>
    </row>
    <row r="141" spans="1:29" ht="58" x14ac:dyDescent="0.35">
      <c r="A141" s="169" t="str">
        <f t="shared" si="16"/>
        <v>Closed</v>
      </c>
      <c r="B141" s="222">
        <v>45350</v>
      </c>
      <c r="C141" s="14">
        <v>2311</v>
      </c>
      <c r="D141" s="14" t="s">
        <v>2406</v>
      </c>
      <c r="E141" s="14" t="s">
        <v>192</v>
      </c>
      <c r="F141" s="14" t="s">
        <v>2003</v>
      </c>
      <c r="G141" s="14" t="s">
        <v>1900</v>
      </c>
      <c r="H141" s="14"/>
      <c r="I141" s="176" t="s">
        <v>140</v>
      </c>
      <c r="J141" s="14">
        <v>8506977</v>
      </c>
      <c r="K141" s="87"/>
      <c r="L141" s="14" t="s">
        <v>2407</v>
      </c>
      <c r="M141" s="324">
        <f t="shared" si="18"/>
        <v>0</v>
      </c>
      <c r="N141" s="14" t="s">
        <v>1879</v>
      </c>
      <c r="O141" s="14" t="s">
        <v>1879</v>
      </c>
      <c r="P141" s="167" t="s">
        <v>143</v>
      </c>
      <c r="Q141" s="14"/>
      <c r="R141" s="170">
        <v>0</v>
      </c>
      <c r="S141" s="108">
        <f t="shared" ref="S141:S204" si="20">IF(B141="","",B141+28)</f>
        <v>45378</v>
      </c>
      <c r="T141" s="79">
        <v>45350</v>
      </c>
      <c r="U141" s="14"/>
      <c r="V141" s="14"/>
      <c r="W141" s="14"/>
      <c r="X141" s="14"/>
      <c r="Y141" s="15" t="s">
        <v>2007</v>
      </c>
      <c r="Z141" s="14"/>
      <c r="AA141" s="2">
        <f t="shared" ca="1" si="14"/>
        <v>1</v>
      </c>
      <c r="AB141" s="153"/>
      <c r="AC141" s="454" t="str">
        <f t="shared" si="19"/>
        <v/>
      </c>
    </row>
    <row r="142" spans="1:29" ht="72.5" x14ac:dyDescent="0.35">
      <c r="A142" s="169" t="str">
        <f t="shared" si="16"/>
        <v>Closed</v>
      </c>
      <c r="B142" s="222">
        <v>45350</v>
      </c>
      <c r="C142" s="14">
        <v>2311</v>
      </c>
      <c r="D142" s="14" t="s">
        <v>723</v>
      </c>
      <c r="E142" s="14" t="s">
        <v>196</v>
      </c>
      <c r="F142" s="14" t="s">
        <v>2262</v>
      </c>
      <c r="G142" s="14" t="s">
        <v>1911</v>
      </c>
      <c r="H142" s="14"/>
      <c r="I142" s="176" t="s">
        <v>155</v>
      </c>
      <c r="J142" s="14">
        <v>548</v>
      </c>
      <c r="K142" s="87"/>
      <c r="L142" s="14" t="s">
        <v>2408</v>
      </c>
      <c r="M142" s="324">
        <f t="shared" si="18"/>
        <v>0</v>
      </c>
      <c r="N142" s="14" t="s">
        <v>1879</v>
      </c>
      <c r="O142" s="14" t="s">
        <v>1880</v>
      </c>
      <c r="P142" s="167" t="s">
        <v>147</v>
      </c>
      <c r="Q142" s="14" t="s">
        <v>135</v>
      </c>
      <c r="R142" s="170" t="s">
        <v>234</v>
      </c>
      <c r="S142" s="108">
        <f t="shared" si="20"/>
        <v>45378</v>
      </c>
      <c r="T142" s="79">
        <v>45425</v>
      </c>
      <c r="U142" s="14" t="s">
        <v>2409</v>
      </c>
      <c r="V142" s="14" t="s">
        <v>2410</v>
      </c>
      <c r="W142" s="14" t="s">
        <v>1879</v>
      </c>
      <c r="X142" s="14" t="s">
        <v>1880</v>
      </c>
      <c r="Y142" s="88" t="s">
        <v>2185</v>
      </c>
      <c r="Z142" s="14" t="s">
        <v>2411</v>
      </c>
      <c r="AA142" s="2">
        <f t="shared" ca="1" si="14"/>
        <v>1</v>
      </c>
      <c r="AB142" s="153"/>
      <c r="AC142" s="454" t="str">
        <f t="shared" si="19"/>
        <v/>
      </c>
    </row>
    <row r="143" spans="1:29" ht="43.5" x14ac:dyDescent="0.35">
      <c r="A143" s="169" t="str">
        <f t="shared" si="16"/>
        <v>Closed</v>
      </c>
      <c r="B143" s="222">
        <v>45350</v>
      </c>
      <c r="C143" s="14">
        <v>2311</v>
      </c>
      <c r="D143" s="14" t="s">
        <v>2412</v>
      </c>
      <c r="E143" s="14" t="s">
        <v>37</v>
      </c>
      <c r="F143" s="167" t="s">
        <v>2041</v>
      </c>
      <c r="G143" s="14" t="s">
        <v>1911</v>
      </c>
      <c r="H143" s="14">
        <v>113</v>
      </c>
      <c r="I143" s="176" t="s">
        <v>155</v>
      </c>
      <c r="J143" s="14">
        <v>391</v>
      </c>
      <c r="K143" s="87"/>
      <c r="L143" s="14" t="s">
        <v>2413</v>
      </c>
      <c r="M143" s="324">
        <f t="shared" si="18"/>
        <v>0</v>
      </c>
      <c r="N143" s="14" t="s">
        <v>1879</v>
      </c>
      <c r="O143" s="14" t="s">
        <v>1880</v>
      </c>
      <c r="P143" s="167" t="s">
        <v>147</v>
      </c>
      <c r="Q143" s="14" t="s">
        <v>174</v>
      </c>
      <c r="R143" s="170" t="s">
        <v>234</v>
      </c>
      <c r="S143" s="108">
        <f t="shared" si="20"/>
        <v>45378</v>
      </c>
      <c r="T143" s="79">
        <v>45422</v>
      </c>
      <c r="U143" s="14" t="s">
        <v>2414</v>
      </c>
      <c r="V143" s="14" t="s">
        <v>2414</v>
      </c>
      <c r="W143" s="14" t="s">
        <v>1879</v>
      </c>
      <c r="X143" s="14" t="s">
        <v>1883</v>
      </c>
      <c r="Y143" s="2" t="s">
        <v>2045</v>
      </c>
      <c r="Z143" s="14" t="s">
        <v>2415</v>
      </c>
      <c r="AA143" s="2">
        <f t="shared" ref="AA143:AA206" ca="1" si="21">IF(B143="",3,IF(S143&lt;$A$1,1,0))</f>
        <v>1</v>
      </c>
      <c r="AB143" s="153"/>
      <c r="AC143" s="454" t="str">
        <f t="shared" si="19"/>
        <v>1</v>
      </c>
    </row>
    <row r="144" spans="1:29" ht="72.5" x14ac:dyDescent="0.35">
      <c r="A144" s="169" t="str">
        <f t="shared" si="16"/>
        <v>Closed</v>
      </c>
      <c r="B144" s="222">
        <v>45350</v>
      </c>
      <c r="C144" s="14">
        <v>2311</v>
      </c>
      <c r="D144" s="14" t="s">
        <v>2416</v>
      </c>
      <c r="E144" s="14" t="s">
        <v>180</v>
      </c>
      <c r="F144" s="14" t="s">
        <v>2187</v>
      </c>
      <c r="G144" s="14" t="s">
        <v>1911</v>
      </c>
      <c r="H144" s="14"/>
      <c r="I144" s="176" t="s">
        <v>140</v>
      </c>
      <c r="J144" s="14">
        <v>8504629</v>
      </c>
      <c r="K144" s="87"/>
      <c r="L144" s="14" t="s">
        <v>2417</v>
      </c>
      <c r="M144" s="324">
        <f t="shared" si="18"/>
        <v>0</v>
      </c>
      <c r="N144" s="14" t="s">
        <v>1879</v>
      </c>
      <c r="O144" s="14" t="s">
        <v>1879</v>
      </c>
      <c r="P144" s="167" t="s">
        <v>143</v>
      </c>
      <c r="Q144" s="14"/>
      <c r="R144" s="170">
        <v>0</v>
      </c>
      <c r="S144" s="108">
        <f t="shared" si="20"/>
        <v>45378</v>
      </c>
      <c r="T144" s="79">
        <v>45350</v>
      </c>
      <c r="U144" s="14"/>
      <c r="V144" s="14"/>
      <c r="W144" s="14"/>
      <c r="X144" s="14"/>
      <c r="Y144" s="14" t="s">
        <v>2023</v>
      </c>
      <c r="Z144" s="14"/>
      <c r="AA144" s="2">
        <f t="shared" ca="1" si="21"/>
        <v>1</v>
      </c>
      <c r="AB144" s="153"/>
      <c r="AC144" s="454" t="str">
        <f t="shared" si="19"/>
        <v/>
      </c>
    </row>
    <row r="145" spans="1:29" ht="101.5" x14ac:dyDescent="0.35">
      <c r="A145" s="169" t="str">
        <f t="shared" si="16"/>
        <v>Closed</v>
      </c>
      <c r="B145" s="222">
        <v>45351</v>
      </c>
      <c r="C145" s="14">
        <v>2311</v>
      </c>
      <c r="D145" s="14" t="s">
        <v>2418</v>
      </c>
      <c r="E145" s="14" t="s">
        <v>180</v>
      </c>
      <c r="F145" s="14" t="s">
        <v>2060</v>
      </c>
      <c r="G145" s="14" t="s">
        <v>1911</v>
      </c>
      <c r="H145" s="14"/>
      <c r="I145" s="176" t="s">
        <v>140</v>
      </c>
      <c r="K145" s="87"/>
      <c r="L145" s="14" t="s">
        <v>2419</v>
      </c>
      <c r="M145" s="324">
        <f t="shared" si="18"/>
        <v>0</v>
      </c>
      <c r="N145" s="14" t="s">
        <v>1879</v>
      </c>
      <c r="O145" s="14" t="s">
        <v>1879</v>
      </c>
      <c r="P145" s="167" t="s">
        <v>143</v>
      </c>
      <c r="Q145" s="14"/>
      <c r="R145" s="170">
        <v>0</v>
      </c>
      <c r="S145" s="108">
        <f t="shared" si="20"/>
        <v>45379</v>
      </c>
      <c r="T145" s="79">
        <v>45351</v>
      </c>
      <c r="U145" s="14"/>
      <c r="V145" s="14"/>
      <c r="W145" s="14"/>
      <c r="X145" s="14"/>
      <c r="Y145" s="466" t="s">
        <v>2062</v>
      </c>
      <c r="Z145" s="14"/>
      <c r="AA145" s="2">
        <f t="shared" ca="1" si="21"/>
        <v>1</v>
      </c>
      <c r="AB145" s="153"/>
      <c r="AC145" s="454" t="str">
        <f t="shared" si="19"/>
        <v/>
      </c>
    </row>
    <row r="146" spans="1:29" ht="232" x14ac:dyDescent="0.35">
      <c r="A146" s="169" t="str">
        <f t="shared" si="16"/>
        <v>Closed</v>
      </c>
      <c r="B146" s="222">
        <v>45351</v>
      </c>
      <c r="C146" s="14">
        <v>2311</v>
      </c>
      <c r="D146" s="14" t="s">
        <v>2420</v>
      </c>
      <c r="E146" s="14" t="s">
        <v>42</v>
      </c>
      <c r="F146" s="14" t="s">
        <v>2010</v>
      </c>
      <c r="G146" s="14" t="s">
        <v>1900</v>
      </c>
      <c r="H146" s="14">
        <v>113</v>
      </c>
      <c r="I146" s="176" t="s">
        <v>4</v>
      </c>
      <c r="J146" s="14">
        <v>8506251</v>
      </c>
      <c r="K146" s="14" t="s">
        <v>137</v>
      </c>
      <c r="L146" s="14" t="s">
        <v>2421</v>
      </c>
      <c r="M146" s="324">
        <v>0</v>
      </c>
      <c r="N146" s="14" t="s">
        <v>1879</v>
      </c>
      <c r="O146" s="14" t="s">
        <v>1880</v>
      </c>
      <c r="P146" s="167" t="s">
        <v>139</v>
      </c>
      <c r="Q146" s="14" t="s">
        <v>157</v>
      </c>
      <c r="R146" s="170" t="s">
        <v>234</v>
      </c>
      <c r="S146" s="108">
        <f t="shared" si="20"/>
        <v>45379</v>
      </c>
      <c r="T146" s="79">
        <v>45375</v>
      </c>
      <c r="U146" s="30" t="s">
        <v>2422</v>
      </c>
      <c r="V146" s="14" t="s">
        <v>2423</v>
      </c>
      <c r="W146" s="14" t="s">
        <v>1879</v>
      </c>
      <c r="X146" s="14" t="s">
        <v>154</v>
      </c>
      <c r="Y146" s="51" t="s">
        <v>2012</v>
      </c>
      <c r="Z146" s="14" t="s">
        <v>2424</v>
      </c>
      <c r="AA146" s="2">
        <f t="shared" ca="1" si="21"/>
        <v>1</v>
      </c>
      <c r="AB146" s="153"/>
      <c r="AC146" s="454" t="str">
        <f t="shared" si="19"/>
        <v>1</v>
      </c>
    </row>
    <row r="147" spans="1:29" ht="72.5" x14ac:dyDescent="0.35">
      <c r="A147" s="169" t="str">
        <f t="shared" si="16"/>
        <v>Closed</v>
      </c>
      <c r="B147" s="222">
        <v>45351</v>
      </c>
      <c r="C147" s="14">
        <v>2311</v>
      </c>
      <c r="D147" s="14" t="s">
        <v>2425</v>
      </c>
      <c r="E147" s="14" t="s">
        <v>8</v>
      </c>
      <c r="F147" s="14" t="s">
        <v>2426</v>
      </c>
      <c r="G147" s="14" t="s">
        <v>1911</v>
      </c>
      <c r="H147" s="14">
        <v>115</v>
      </c>
      <c r="I147" s="176" t="s">
        <v>140</v>
      </c>
      <c r="J147" s="14">
        <v>625</v>
      </c>
      <c r="K147" s="87"/>
      <c r="L147" s="30" t="s">
        <v>2427</v>
      </c>
      <c r="M147" s="324">
        <f t="shared" ref="M147:M153" si="22">IF(I147="Staff Accident","Entry Required",IF(I147="Assaults","Entry Required",0))</f>
        <v>0</v>
      </c>
      <c r="N147" s="14" t="s">
        <v>1879</v>
      </c>
      <c r="O147" s="14" t="s">
        <v>1879</v>
      </c>
      <c r="P147" s="167" t="s">
        <v>143</v>
      </c>
      <c r="Q147" s="14"/>
      <c r="R147" s="170">
        <v>0</v>
      </c>
      <c r="S147" s="108">
        <f t="shared" si="20"/>
        <v>45379</v>
      </c>
      <c r="T147" s="79">
        <v>45351</v>
      </c>
      <c r="U147" s="14"/>
      <c r="V147" s="14"/>
      <c r="W147" s="14"/>
      <c r="X147" s="14"/>
      <c r="Y147" s="167" t="s">
        <v>2428</v>
      </c>
      <c r="Z147" s="14"/>
      <c r="AA147" s="2">
        <f t="shared" ca="1" si="21"/>
        <v>1</v>
      </c>
      <c r="AB147" s="153"/>
      <c r="AC147" s="454" t="str">
        <f t="shared" si="19"/>
        <v>1</v>
      </c>
    </row>
    <row r="148" spans="1:29" ht="43.5" x14ac:dyDescent="0.35">
      <c r="A148" s="169" t="str">
        <f t="shared" si="16"/>
        <v>Closed</v>
      </c>
      <c r="B148" s="222">
        <v>45352</v>
      </c>
      <c r="C148" s="14">
        <v>2311</v>
      </c>
      <c r="D148" s="14" t="s">
        <v>2429</v>
      </c>
      <c r="E148" s="14" t="s">
        <v>8</v>
      </c>
      <c r="F148" s="14" t="s">
        <v>2073</v>
      </c>
      <c r="G148" s="14" t="s">
        <v>1900</v>
      </c>
      <c r="H148" s="14">
        <v>115</v>
      </c>
      <c r="I148" s="176" t="s">
        <v>140</v>
      </c>
      <c r="J148" s="14">
        <v>254</v>
      </c>
      <c r="K148" s="87"/>
      <c r="L148" s="14" t="s">
        <v>2430</v>
      </c>
      <c r="M148" s="324">
        <f t="shared" si="22"/>
        <v>0</v>
      </c>
      <c r="N148" s="14" t="s">
        <v>1879</v>
      </c>
      <c r="O148" s="14" t="s">
        <v>1879</v>
      </c>
      <c r="P148" s="167" t="s">
        <v>143</v>
      </c>
      <c r="Q148" s="14"/>
      <c r="R148" s="170">
        <v>0</v>
      </c>
      <c r="S148" s="108">
        <f t="shared" si="20"/>
        <v>45380</v>
      </c>
      <c r="T148" s="79">
        <v>45352</v>
      </c>
      <c r="U148" s="14"/>
      <c r="V148" s="14"/>
      <c r="W148" s="14"/>
      <c r="X148" s="14"/>
      <c r="Y148" s="15" t="s">
        <v>2075</v>
      </c>
      <c r="Z148" s="14"/>
      <c r="AA148" s="2">
        <f t="shared" ca="1" si="21"/>
        <v>1</v>
      </c>
      <c r="AB148" s="153"/>
      <c r="AC148" s="454" t="str">
        <f t="shared" si="19"/>
        <v>1</v>
      </c>
    </row>
    <row r="149" spans="1:29" ht="72.5" x14ac:dyDescent="0.35">
      <c r="A149" s="169" t="str">
        <f t="shared" si="16"/>
        <v>Closed</v>
      </c>
      <c r="B149" s="222">
        <v>45353</v>
      </c>
      <c r="C149" s="14">
        <v>2311</v>
      </c>
      <c r="D149" s="14" t="s">
        <v>2431</v>
      </c>
      <c r="E149" s="14" t="s">
        <v>38</v>
      </c>
      <c r="F149" s="167" t="s">
        <v>2432</v>
      </c>
      <c r="G149" s="14" t="s">
        <v>1900</v>
      </c>
      <c r="H149" s="14">
        <v>114</v>
      </c>
      <c r="I149" s="176" t="s">
        <v>155</v>
      </c>
      <c r="J149" s="14">
        <v>443</v>
      </c>
      <c r="K149" s="87"/>
      <c r="L149" s="14" t="s">
        <v>2433</v>
      </c>
      <c r="M149" s="324">
        <f t="shared" si="22"/>
        <v>0</v>
      </c>
      <c r="N149" s="14" t="s">
        <v>1879</v>
      </c>
      <c r="O149" s="14" t="s">
        <v>1880</v>
      </c>
      <c r="P149" s="167" t="s">
        <v>147</v>
      </c>
      <c r="Q149" s="14" t="s">
        <v>177</v>
      </c>
      <c r="R149" s="170" t="s">
        <v>234</v>
      </c>
      <c r="S149" s="108">
        <f t="shared" si="20"/>
        <v>45381</v>
      </c>
      <c r="T149" s="79">
        <v>45461</v>
      </c>
      <c r="U149" s="14" t="s">
        <v>2434</v>
      </c>
      <c r="V149" s="14" t="s">
        <v>2435</v>
      </c>
      <c r="W149" s="14" t="s">
        <v>1879</v>
      </c>
      <c r="X149" s="14" t="s">
        <v>1883</v>
      </c>
      <c r="Y149" s="2" t="s">
        <v>2436</v>
      </c>
      <c r="Z149" s="14" t="s">
        <v>2437</v>
      </c>
      <c r="AA149" s="2">
        <f t="shared" ca="1" si="21"/>
        <v>1</v>
      </c>
      <c r="AB149" s="153"/>
      <c r="AC149" s="454" t="str">
        <f t="shared" si="19"/>
        <v>1</v>
      </c>
    </row>
    <row r="150" spans="1:29" ht="81.650000000000006" customHeight="1" x14ac:dyDescent="0.45">
      <c r="A150" s="169" t="str">
        <f t="shared" si="16"/>
        <v>Closed</v>
      </c>
      <c r="B150" s="222">
        <v>45353</v>
      </c>
      <c r="C150" s="14">
        <v>2311</v>
      </c>
      <c r="D150" s="14" t="s">
        <v>2438</v>
      </c>
      <c r="E150" s="14" t="s">
        <v>192</v>
      </c>
      <c r="F150" s="14" t="s">
        <v>2338</v>
      </c>
      <c r="G150" s="14"/>
      <c r="H150" s="14">
        <v>112</v>
      </c>
      <c r="I150" s="176" t="s">
        <v>140</v>
      </c>
      <c r="J150" s="14">
        <v>8505276</v>
      </c>
      <c r="K150" s="87"/>
      <c r="L150" s="327" t="s">
        <v>2439</v>
      </c>
      <c r="M150" s="324">
        <f t="shared" si="22"/>
        <v>0</v>
      </c>
      <c r="N150" s="14" t="s">
        <v>1879</v>
      </c>
      <c r="O150" s="14" t="s">
        <v>1879</v>
      </c>
      <c r="P150" s="167" t="s">
        <v>143</v>
      </c>
      <c r="Q150" s="14"/>
      <c r="R150" s="170">
        <v>0</v>
      </c>
      <c r="S150" s="108">
        <f t="shared" si="20"/>
        <v>45381</v>
      </c>
      <c r="T150" s="79">
        <v>45353</v>
      </c>
      <c r="U150" s="14"/>
      <c r="V150" s="14"/>
      <c r="W150" s="14"/>
      <c r="X150" s="14"/>
      <c r="Y150" s="463" t="s">
        <v>2340</v>
      </c>
      <c r="Z150" s="14"/>
      <c r="AA150" s="2">
        <f t="shared" ca="1" si="21"/>
        <v>1</v>
      </c>
      <c r="AB150" s="153"/>
      <c r="AC150" s="454" t="e">
        <f>LEFT(#REF!,1)</f>
        <v>#REF!</v>
      </c>
    </row>
    <row r="151" spans="1:29" ht="72.5" x14ac:dyDescent="0.35">
      <c r="A151" s="169" t="str">
        <f t="shared" si="16"/>
        <v>Closed</v>
      </c>
      <c r="B151" s="222">
        <v>45354</v>
      </c>
      <c r="C151" s="14">
        <v>2312</v>
      </c>
      <c r="D151" s="14" t="s">
        <v>2440</v>
      </c>
      <c r="E151" s="14" t="s">
        <v>31</v>
      </c>
      <c r="F151" s="14" t="s">
        <v>1972</v>
      </c>
      <c r="G151" s="14"/>
      <c r="H151" s="14"/>
      <c r="I151" s="176" t="s">
        <v>140</v>
      </c>
      <c r="K151" s="87"/>
      <c r="L151" s="14" t="s">
        <v>2441</v>
      </c>
      <c r="M151" s="324">
        <f t="shared" si="22"/>
        <v>0</v>
      </c>
      <c r="N151" s="14" t="s">
        <v>1879</v>
      </c>
      <c r="O151" s="14" t="s">
        <v>1879</v>
      </c>
      <c r="P151" s="167" t="s">
        <v>143</v>
      </c>
      <c r="Q151" s="14"/>
      <c r="R151" s="170">
        <v>0</v>
      </c>
      <c r="S151" s="108">
        <f t="shared" si="20"/>
        <v>45382</v>
      </c>
      <c r="T151" s="79">
        <v>45354</v>
      </c>
      <c r="U151" s="14"/>
      <c r="V151" s="14"/>
      <c r="W151" s="14"/>
      <c r="X151" s="14"/>
      <c r="Z151" s="14"/>
      <c r="AA151" s="2">
        <f t="shared" ca="1" si="21"/>
        <v>1</v>
      </c>
      <c r="AB151" s="153"/>
      <c r="AC151" s="454" t="e">
        <f>LEFT(#REF!,1)</f>
        <v>#REF!</v>
      </c>
    </row>
    <row r="152" spans="1:29" ht="116" x14ac:dyDescent="0.35">
      <c r="A152" s="169" t="str">
        <f t="shared" si="16"/>
        <v>Closed</v>
      </c>
      <c r="B152" s="222">
        <v>45355</v>
      </c>
      <c r="C152" s="14">
        <v>2312</v>
      </c>
      <c r="D152" s="14" t="s">
        <v>717</v>
      </c>
      <c r="E152" s="14" t="s">
        <v>49</v>
      </c>
      <c r="F152" s="14" t="s">
        <v>2289</v>
      </c>
      <c r="H152" s="14">
        <v>108</v>
      </c>
      <c r="I152" s="176" t="s">
        <v>155</v>
      </c>
      <c r="J152" s="14">
        <v>649860</v>
      </c>
      <c r="K152" s="87"/>
      <c r="L152" s="14" t="s">
        <v>2442</v>
      </c>
      <c r="M152" s="324">
        <f t="shared" si="22"/>
        <v>0</v>
      </c>
      <c r="N152" s="14" t="s">
        <v>1879</v>
      </c>
      <c r="O152" s="14" t="s">
        <v>1879</v>
      </c>
      <c r="P152" s="167" t="s">
        <v>147</v>
      </c>
      <c r="Q152" s="14" t="s">
        <v>175</v>
      </c>
      <c r="R152" s="170" t="s">
        <v>234</v>
      </c>
      <c r="S152" s="108">
        <f t="shared" si="20"/>
        <v>45383</v>
      </c>
      <c r="T152" s="79">
        <v>45059</v>
      </c>
      <c r="U152" s="14" t="s">
        <v>1896</v>
      </c>
      <c r="V152" s="14" t="s">
        <v>2102</v>
      </c>
      <c r="W152" s="14" t="s">
        <v>1880</v>
      </c>
      <c r="X152" s="14" t="s">
        <v>1880</v>
      </c>
      <c r="Y152" s="15" t="s">
        <v>1915</v>
      </c>
      <c r="Z152" s="14" t="s">
        <v>2253</v>
      </c>
      <c r="AA152" s="2">
        <f t="shared" ca="1" si="21"/>
        <v>1</v>
      </c>
      <c r="AB152" s="153"/>
      <c r="AC152" s="454" t="e">
        <f>LEFT(#REF!,1)</f>
        <v>#REF!</v>
      </c>
    </row>
    <row r="153" spans="1:29" ht="72.5" x14ac:dyDescent="0.35">
      <c r="A153" s="169" t="str">
        <f t="shared" si="16"/>
        <v>Closed</v>
      </c>
      <c r="B153" s="222">
        <v>45355</v>
      </c>
      <c r="C153" s="14">
        <v>2312</v>
      </c>
      <c r="D153" s="14" t="s">
        <v>2443</v>
      </c>
      <c r="E153" s="14" t="s">
        <v>27</v>
      </c>
      <c r="F153" s="14" t="s">
        <v>2095</v>
      </c>
      <c r="G153" s="14" t="s">
        <v>1911</v>
      </c>
      <c r="H153" s="14">
        <v>109</v>
      </c>
      <c r="I153" s="176" t="s">
        <v>5</v>
      </c>
      <c r="J153" s="14">
        <v>61202</v>
      </c>
      <c r="K153" s="87"/>
      <c r="L153" s="14" t="s">
        <v>2444</v>
      </c>
      <c r="M153" s="324">
        <f t="shared" si="22"/>
        <v>0</v>
      </c>
      <c r="N153" s="14" t="s">
        <v>1879</v>
      </c>
      <c r="O153" s="14" t="s">
        <v>1879</v>
      </c>
      <c r="P153" s="167" t="s">
        <v>147</v>
      </c>
      <c r="Q153" s="14" t="s">
        <v>153</v>
      </c>
      <c r="R153" s="170" t="s">
        <v>234</v>
      </c>
      <c r="S153" s="108">
        <f t="shared" si="20"/>
        <v>45383</v>
      </c>
      <c r="T153" s="79">
        <v>45427</v>
      </c>
      <c r="U153" s="14" t="s">
        <v>2445</v>
      </c>
      <c r="V153" s="14" t="s">
        <v>2446</v>
      </c>
      <c r="W153" s="14" t="s">
        <v>1879</v>
      </c>
      <c r="X153" s="176" t="s">
        <v>154</v>
      </c>
      <c r="Y153" s="15" t="s">
        <v>1915</v>
      </c>
      <c r="Z153" s="87" t="s">
        <v>2447</v>
      </c>
      <c r="AA153" s="2">
        <f t="shared" ca="1" si="21"/>
        <v>1</v>
      </c>
      <c r="AB153" s="153"/>
      <c r="AC153" s="454" t="e">
        <f>LEFT(#REF!,1)</f>
        <v>#REF!</v>
      </c>
    </row>
    <row r="154" spans="1:29" ht="87" x14ac:dyDescent="0.35">
      <c r="A154" s="169" t="str">
        <f t="shared" si="16"/>
        <v>Closed</v>
      </c>
      <c r="B154" s="222">
        <v>45356</v>
      </c>
      <c r="C154" s="14">
        <v>2312</v>
      </c>
      <c r="D154" s="14" t="s">
        <v>2448</v>
      </c>
      <c r="E154" s="14" t="s">
        <v>42</v>
      </c>
      <c r="F154" s="14" t="s">
        <v>2162</v>
      </c>
      <c r="G154" s="14" t="s">
        <v>1911</v>
      </c>
      <c r="H154" s="14">
        <v>119</v>
      </c>
      <c r="I154" s="176" t="s">
        <v>4</v>
      </c>
      <c r="J154" s="14">
        <v>8506250</v>
      </c>
      <c r="K154" s="14" t="s">
        <v>137</v>
      </c>
      <c r="L154" s="14" t="s">
        <v>2449</v>
      </c>
      <c r="M154" s="324">
        <v>0</v>
      </c>
      <c r="N154" s="14" t="s">
        <v>1879</v>
      </c>
      <c r="O154" s="14" t="s">
        <v>1879</v>
      </c>
      <c r="P154" s="167" t="s">
        <v>139</v>
      </c>
      <c r="Q154" s="14" t="s">
        <v>157</v>
      </c>
      <c r="R154" s="170" t="s">
        <v>234</v>
      </c>
      <c r="S154" s="108">
        <f t="shared" si="20"/>
        <v>45384</v>
      </c>
      <c r="T154" s="79">
        <v>45428</v>
      </c>
      <c r="U154" s="14" t="s">
        <v>2450</v>
      </c>
      <c r="V154" s="14" t="s">
        <v>2451</v>
      </c>
      <c r="W154" s="14" t="s">
        <v>1879</v>
      </c>
      <c r="X154" s="14" t="s">
        <v>154</v>
      </c>
      <c r="Y154" s="15" t="s">
        <v>2164</v>
      </c>
      <c r="Z154" s="14" t="s">
        <v>2452</v>
      </c>
      <c r="AA154" s="2">
        <f t="shared" ca="1" si="21"/>
        <v>1</v>
      </c>
      <c r="AB154" s="153"/>
      <c r="AC154" s="454" t="e">
        <f>LEFT(#REF!,1)</f>
        <v>#REF!</v>
      </c>
    </row>
    <row r="155" spans="1:29" ht="72.5" x14ac:dyDescent="0.35">
      <c r="A155" s="169" t="str">
        <f t="shared" si="16"/>
        <v>Closed</v>
      </c>
      <c r="B155" s="222">
        <v>45360</v>
      </c>
      <c r="C155" s="14">
        <v>2312</v>
      </c>
      <c r="D155" s="14" t="s">
        <v>2453</v>
      </c>
      <c r="E155" s="14" t="s">
        <v>41</v>
      </c>
      <c r="F155" s="14" t="s">
        <v>2299</v>
      </c>
      <c r="G155" s="14"/>
      <c r="H155" s="14"/>
      <c r="I155" s="176" t="s">
        <v>4</v>
      </c>
      <c r="J155" s="14">
        <v>8505074</v>
      </c>
      <c r="K155" s="14" t="s">
        <v>137</v>
      </c>
      <c r="L155" s="14" t="s">
        <v>2454</v>
      </c>
      <c r="M155" s="324">
        <v>0</v>
      </c>
      <c r="N155" s="14" t="s">
        <v>1879</v>
      </c>
      <c r="O155" s="14" t="s">
        <v>1880</v>
      </c>
      <c r="P155" s="167" t="s">
        <v>139</v>
      </c>
      <c r="Q155" s="14" t="s">
        <v>135</v>
      </c>
      <c r="R155" s="170" t="s">
        <v>234</v>
      </c>
      <c r="S155" s="108">
        <f t="shared" si="20"/>
        <v>45388</v>
      </c>
      <c r="T155" s="79">
        <v>45435</v>
      </c>
      <c r="U155" s="14" t="s">
        <v>2455</v>
      </c>
      <c r="V155" s="14" t="s">
        <v>2456</v>
      </c>
      <c r="W155" s="14" t="s">
        <v>1879</v>
      </c>
      <c r="X155" s="14" t="s">
        <v>1883</v>
      </c>
      <c r="Y155" s="14" t="s">
        <v>2302</v>
      </c>
      <c r="Z155" s="14" t="s">
        <v>2457</v>
      </c>
      <c r="AA155" s="2">
        <f t="shared" ca="1" si="21"/>
        <v>1</v>
      </c>
      <c r="AB155" s="153"/>
      <c r="AC155" s="454" t="e">
        <f>LEFT(#REF!,1)</f>
        <v>#REF!</v>
      </c>
    </row>
    <row r="156" spans="1:29" ht="130.5" x14ac:dyDescent="0.35">
      <c r="A156" s="169" t="str">
        <f t="shared" si="16"/>
        <v>Closed</v>
      </c>
      <c r="B156" s="222">
        <v>45360</v>
      </c>
      <c r="C156" s="14">
        <v>2312</v>
      </c>
      <c r="D156" s="14" t="s">
        <v>2458</v>
      </c>
      <c r="E156" s="14" t="s">
        <v>31</v>
      </c>
      <c r="F156" s="14" t="s">
        <v>2060</v>
      </c>
      <c r="G156" s="14" t="s">
        <v>1900</v>
      </c>
      <c r="H156" s="14"/>
      <c r="I156" s="176" t="s">
        <v>155</v>
      </c>
      <c r="J156" s="14">
        <v>254</v>
      </c>
      <c r="K156" s="87"/>
      <c r="L156" s="14" t="s">
        <v>2459</v>
      </c>
      <c r="M156" s="324">
        <f t="shared" ref="M156:M165" si="23">IF(I156="Staff Accident","Entry Required",IF(I156="Assaults","Entry Required",0))</f>
        <v>0</v>
      </c>
      <c r="N156" s="14" t="s">
        <v>1879</v>
      </c>
      <c r="O156" s="14" t="s">
        <v>1879</v>
      </c>
      <c r="P156" s="167" t="s">
        <v>143</v>
      </c>
      <c r="Q156" s="14" t="s">
        <v>177</v>
      </c>
      <c r="R156" s="170">
        <v>0</v>
      </c>
      <c r="S156" s="108">
        <f t="shared" si="20"/>
        <v>45388</v>
      </c>
      <c r="T156" s="79">
        <v>45401</v>
      </c>
      <c r="U156" s="14"/>
      <c r="V156" s="14"/>
      <c r="W156" s="14"/>
      <c r="X156" s="14"/>
      <c r="Y156" s="466" t="s">
        <v>2062</v>
      </c>
      <c r="Z156" s="14" t="s">
        <v>2460</v>
      </c>
      <c r="AA156" s="2">
        <f t="shared" ca="1" si="21"/>
        <v>1</v>
      </c>
      <c r="AB156" s="153"/>
      <c r="AC156" s="454" t="e">
        <f>LEFT(#REF!,1)</f>
        <v>#REF!</v>
      </c>
    </row>
    <row r="157" spans="1:29" ht="58" x14ac:dyDescent="0.35">
      <c r="A157" s="169" t="str">
        <f t="shared" si="16"/>
        <v>Closed</v>
      </c>
      <c r="B157" s="222">
        <v>45364</v>
      </c>
      <c r="C157" s="14">
        <v>2312</v>
      </c>
      <c r="D157" s="14" t="s">
        <v>2461</v>
      </c>
      <c r="E157" s="14" t="s">
        <v>78</v>
      </c>
      <c r="F157" s="14" t="s">
        <v>2048</v>
      </c>
      <c r="G157" s="14"/>
      <c r="H157" s="14">
        <v>108</v>
      </c>
      <c r="I157" s="176" t="s">
        <v>155</v>
      </c>
      <c r="J157" s="14">
        <v>58403</v>
      </c>
      <c r="K157" s="87"/>
      <c r="L157" s="14" t="s">
        <v>2462</v>
      </c>
      <c r="M157" s="324">
        <f t="shared" si="23"/>
        <v>0</v>
      </c>
      <c r="N157" s="14" t="s">
        <v>1879</v>
      </c>
      <c r="O157" s="14" t="s">
        <v>1879</v>
      </c>
      <c r="P157" s="167" t="s">
        <v>143</v>
      </c>
      <c r="Q157" s="14"/>
      <c r="R157" s="170">
        <v>0</v>
      </c>
      <c r="S157" s="108">
        <f t="shared" si="20"/>
        <v>45392</v>
      </c>
      <c r="T157" s="79">
        <v>45364</v>
      </c>
      <c r="U157" s="14"/>
      <c r="V157" s="14"/>
      <c r="W157" s="14"/>
      <c r="X157" s="14"/>
      <c r="Y157" s="167" t="s">
        <v>2050</v>
      </c>
      <c r="Z157" s="14"/>
      <c r="AA157" s="2">
        <f t="shared" ca="1" si="21"/>
        <v>1</v>
      </c>
      <c r="AB157" s="153"/>
      <c r="AC157" s="454" t="str">
        <f t="shared" ref="AC157:AC190" si="24">LEFT(H157,1)</f>
        <v>1</v>
      </c>
    </row>
    <row r="158" spans="1:29" ht="101.5" x14ac:dyDescent="0.35">
      <c r="A158" s="169" t="str">
        <f t="shared" si="16"/>
        <v>Closed</v>
      </c>
      <c r="B158" s="222">
        <v>45364</v>
      </c>
      <c r="C158" s="14">
        <v>2312</v>
      </c>
      <c r="D158" s="14" t="s">
        <v>2463</v>
      </c>
      <c r="E158" s="14" t="s">
        <v>206</v>
      </c>
      <c r="F158" s="14" t="s">
        <v>2037</v>
      </c>
      <c r="G158" s="14" t="s">
        <v>1911</v>
      </c>
      <c r="H158" s="14">
        <v>108</v>
      </c>
      <c r="I158" s="176" t="s">
        <v>140</v>
      </c>
      <c r="J158" s="14">
        <v>8504629</v>
      </c>
      <c r="K158" s="87"/>
      <c r="L158" s="14" t="s">
        <v>2464</v>
      </c>
      <c r="M158" s="324">
        <f t="shared" si="23"/>
        <v>0</v>
      </c>
      <c r="N158" s="14" t="s">
        <v>1879</v>
      </c>
      <c r="O158" s="14" t="s">
        <v>1879</v>
      </c>
      <c r="P158" s="167" t="s">
        <v>143</v>
      </c>
      <c r="Q158" s="14"/>
      <c r="R158" s="170">
        <v>0</v>
      </c>
      <c r="S158" s="108">
        <f t="shared" si="20"/>
        <v>45392</v>
      </c>
      <c r="T158" s="79">
        <v>45364</v>
      </c>
      <c r="U158" s="14"/>
      <c r="V158" s="14"/>
      <c r="W158" s="14"/>
      <c r="X158" s="14"/>
      <c r="Y158" s="167" t="s">
        <v>2039</v>
      </c>
      <c r="Z158" s="14"/>
      <c r="AA158" s="2">
        <f t="shared" ca="1" si="21"/>
        <v>1</v>
      </c>
      <c r="AB158" s="153"/>
      <c r="AC158" s="454" t="str">
        <f t="shared" si="24"/>
        <v>1</v>
      </c>
    </row>
    <row r="159" spans="1:29" ht="43.5" x14ac:dyDescent="0.35">
      <c r="A159" s="169" t="str">
        <f t="shared" si="16"/>
        <v>Closed</v>
      </c>
      <c r="B159" s="222">
        <v>45364</v>
      </c>
      <c r="C159" s="14">
        <v>2312</v>
      </c>
      <c r="D159" s="14" t="s">
        <v>684</v>
      </c>
      <c r="E159" s="14" t="s">
        <v>204</v>
      </c>
      <c r="F159" s="14" t="s">
        <v>2037</v>
      </c>
      <c r="G159" s="14" t="s">
        <v>1911</v>
      </c>
      <c r="H159" s="14">
        <v>104</v>
      </c>
      <c r="I159" s="176" t="s">
        <v>155</v>
      </c>
      <c r="J159" s="14">
        <v>8506977</v>
      </c>
      <c r="K159" s="87"/>
      <c r="L159" s="14" t="s">
        <v>2465</v>
      </c>
      <c r="M159" s="324">
        <f t="shared" si="23"/>
        <v>0</v>
      </c>
      <c r="N159" s="14" t="s">
        <v>1879</v>
      </c>
      <c r="O159" s="14" t="s">
        <v>1880</v>
      </c>
      <c r="P159" s="167" t="s">
        <v>147</v>
      </c>
      <c r="Q159" s="14" t="s">
        <v>175</v>
      </c>
      <c r="R159" s="170" t="s">
        <v>234</v>
      </c>
      <c r="S159" s="108">
        <f t="shared" si="20"/>
        <v>45392</v>
      </c>
      <c r="T159" s="79">
        <v>45436</v>
      </c>
      <c r="U159" s="14" t="s">
        <v>2102</v>
      </c>
      <c r="V159" s="14" t="s">
        <v>2102</v>
      </c>
      <c r="W159" s="14" t="s">
        <v>1880</v>
      </c>
      <c r="X159" s="14" t="s">
        <v>1880</v>
      </c>
      <c r="Y159" s="167" t="s">
        <v>2039</v>
      </c>
      <c r="Z159" s="14" t="s">
        <v>2466</v>
      </c>
      <c r="AA159" s="2">
        <f t="shared" ca="1" si="21"/>
        <v>1</v>
      </c>
      <c r="AB159" s="153"/>
      <c r="AC159" s="454" t="str">
        <f t="shared" si="24"/>
        <v>1</v>
      </c>
    </row>
    <row r="160" spans="1:29" ht="43.5" x14ac:dyDescent="0.35">
      <c r="A160" s="169" t="str">
        <f t="shared" si="16"/>
        <v>Closed</v>
      </c>
      <c r="B160" s="222">
        <v>45364</v>
      </c>
      <c r="C160" s="14">
        <v>2312</v>
      </c>
      <c r="D160" s="14" t="s">
        <v>2467</v>
      </c>
      <c r="E160" s="14" t="s">
        <v>64</v>
      </c>
      <c r="F160" s="14" t="s">
        <v>2147</v>
      </c>
      <c r="G160" s="14" t="s">
        <v>1911</v>
      </c>
      <c r="H160" s="14"/>
      <c r="I160" s="176" t="s">
        <v>140</v>
      </c>
      <c r="K160" s="87"/>
      <c r="L160" s="14" t="s">
        <v>2468</v>
      </c>
      <c r="M160" s="324">
        <f t="shared" si="23"/>
        <v>0</v>
      </c>
      <c r="N160" s="14" t="s">
        <v>1879</v>
      </c>
      <c r="O160" s="14" t="s">
        <v>1879</v>
      </c>
      <c r="P160" s="167" t="s">
        <v>143</v>
      </c>
      <c r="Q160" s="14"/>
      <c r="R160" s="170">
        <v>0</v>
      </c>
      <c r="S160" s="108">
        <f t="shared" si="20"/>
        <v>45392</v>
      </c>
      <c r="T160" s="79">
        <v>45364</v>
      </c>
      <c r="U160" s="14"/>
      <c r="V160" s="14"/>
      <c r="W160" s="14"/>
      <c r="X160" s="14"/>
      <c r="Y160" s="14" t="s">
        <v>2150</v>
      </c>
      <c r="Z160" s="14"/>
      <c r="AA160" s="2">
        <f t="shared" ca="1" si="21"/>
        <v>1</v>
      </c>
      <c r="AB160" s="153"/>
      <c r="AC160" s="454" t="str">
        <f t="shared" si="24"/>
        <v/>
      </c>
    </row>
    <row r="161" spans="1:29" ht="43.5" x14ac:dyDescent="0.35">
      <c r="A161" s="169" t="str">
        <f t="shared" si="16"/>
        <v>Closed</v>
      </c>
      <c r="B161" s="222">
        <v>45364</v>
      </c>
      <c r="C161" s="14">
        <v>2312</v>
      </c>
      <c r="D161" s="14" t="s">
        <v>2469</v>
      </c>
      <c r="E161" s="14" t="s">
        <v>27</v>
      </c>
      <c r="F161" s="14" t="s">
        <v>2470</v>
      </c>
      <c r="G161" s="14" t="s">
        <v>1911</v>
      </c>
      <c r="H161" s="14">
        <v>203</v>
      </c>
      <c r="I161" s="176" t="s">
        <v>5</v>
      </c>
      <c r="J161" s="14">
        <v>547</v>
      </c>
      <c r="K161" s="87"/>
      <c r="L161" s="14" t="s">
        <v>2471</v>
      </c>
      <c r="M161" s="324">
        <f t="shared" si="23"/>
        <v>0</v>
      </c>
      <c r="N161" s="14" t="s">
        <v>1879</v>
      </c>
      <c r="O161" s="14" t="s">
        <v>1880</v>
      </c>
      <c r="P161" s="167" t="s">
        <v>147</v>
      </c>
      <c r="Q161" s="14" t="s">
        <v>168</v>
      </c>
      <c r="R161" s="170" t="s">
        <v>234</v>
      </c>
      <c r="S161" s="108">
        <f t="shared" si="20"/>
        <v>45392</v>
      </c>
      <c r="T161" s="79">
        <v>45426</v>
      </c>
      <c r="U161" s="14" t="s">
        <v>2472</v>
      </c>
      <c r="V161" s="14" t="s">
        <v>2473</v>
      </c>
      <c r="W161" s="14" t="s">
        <v>1879</v>
      </c>
      <c r="X161" s="14" t="s">
        <v>154</v>
      </c>
      <c r="Y161" s="14" t="s">
        <v>2216</v>
      </c>
      <c r="Z161" s="14" t="s">
        <v>2474</v>
      </c>
      <c r="AA161" s="2">
        <f t="shared" ca="1" si="21"/>
        <v>1</v>
      </c>
      <c r="AB161" s="153"/>
      <c r="AC161" s="454" t="str">
        <f t="shared" si="24"/>
        <v>2</v>
      </c>
    </row>
    <row r="162" spans="1:29" ht="246.5" x14ac:dyDescent="0.35">
      <c r="A162" s="169" t="str">
        <f t="shared" si="16"/>
        <v>Closed</v>
      </c>
      <c r="B162" s="222">
        <v>45366</v>
      </c>
      <c r="C162" s="14">
        <v>2312</v>
      </c>
      <c r="D162" s="14" t="s">
        <v>2475</v>
      </c>
      <c r="E162" s="14" t="s">
        <v>180</v>
      </c>
      <c r="F162" s="14" t="s">
        <v>1954</v>
      </c>
      <c r="G162" s="14"/>
      <c r="H162" s="14"/>
      <c r="I162" s="176" t="s">
        <v>140</v>
      </c>
      <c r="K162" s="87"/>
      <c r="L162" s="14" t="s">
        <v>2476</v>
      </c>
      <c r="M162" s="324">
        <f t="shared" si="23"/>
        <v>0</v>
      </c>
      <c r="N162" s="14" t="s">
        <v>1879</v>
      </c>
      <c r="O162" s="14" t="s">
        <v>1879</v>
      </c>
      <c r="P162" s="167" t="s">
        <v>143</v>
      </c>
      <c r="Q162" s="14"/>
      <c r="R162" s="170">
        <v>0</v>
      </c>
      <c r="S162" s="108">
        <f t="shared" si="20"/>
        <v>45394</v>
      </c>
      <c r="T162" s="79">
        <v>45366</v>
      </c>
      <c r="U162" s="14"/>
      <c r="V162" s="14"/>
      <c r="W162" s="14"/>
      <c r="X162" s="14"/>
      <c r="Y162" s="14" t="s">
        <v>1956</v>
      </c>
      <c r="Z162" s="14"/>
      <c r="AA162" s="2">
        <f t="shared" ca="1" si="21"/>
        <v>1</v>
      </c>
      <c r="AB162" s="153"/>
      <c r="AC162" s="454" t="str">
        <f t="shared" si="24"/>
        <v/>
      </c>
    </row>
    <row r="163" spans="1:29" ht="101.5" x14ac:dyDescent="0.35">
      <c r="A163" s="169" t="str">
        <f t="shared" si="16"/>
        <v>Closed</v>
      </c>
      <c r="B163" s="222">
        <v>45366</v>
      </c>
      <c r="C163" s="14">
        <v>2312</v>
      </c>
      <c r="D163" s="14" t="s">
        <v>2477</v>
      </c>
      <c r="E163" s="14" t="s">
        <v>192</v>
      </c>
      <c r="F163" s="14" t="s">
        <v>2147</v>
      </c>
      <c r="G163" s="14" t="s">
        <v>1911</v>
      </c>
      <c r="H163" s="14">
        <v>124</v>
      </c>
      <c r="I163" s="176" t="s">
        <v>140</v>
      </c>
      <c r="J163" s="14">
        <v>8501802</v>
      </c>
      <c r="K163" s="87"/>
      <c r="L163" s="14" t="s">
        <v>2478</v>
      </c>
      <c r="M163" s="324">
        <f t="shared" si="23"/>
        <v>0</v>
      </c>
      <c r="N163" s="14" t="s">
        <v>1879</v>
      </c>
      <c r="O163" s="14" t="s">
        <v>1879</v>
      </c>
      <c r="P163" s="167" t="s">
        <v>143</v>
      </c>
      <c r="Q163" s="14"/>
      <c r="R163" s="170">
        <v>0</v>
      </c>
      <c r="S163" s="108">
        <f t="shared" si="20"/>
        <v>45394</v>
      </c>
      <c r="T163" s="79">
        <v>45366</v>
      </c>
      <c r="U163" s="14"/>
      <c r="V163" s="14"/>
      <c r="W163" s="14"/>
      <c r="X163" s="14"/>
      <c r="Y163" s="14" t="s">
        <v>2150</v>
      </c>
      <c r="Z163" s="14"/>
      <c r="AA163" s="2">
        <f t="shared" ca="1" si="21"/>
        <v>1</v>
      </c>
      <c r="AB163" s="153"/>
      <c r="AC163" s="454" t="str">
        <f t="shared" si="24"/>
        <v>1</v>
      </c>
    </row>
    <row r="164" spans="1:29" ht="87" x14ac:dyDescent="0.35">
      <c r="A164" s="169" t="str">
        <f t="shared" si="16"/>
        <v>Closed</v>
      </c>
      <c r="B164" s="222">
        <v>45366</v>
      </c>
      <c r="C164" s="14">
        <v>2312</v>
      </c>
      <c r="D164" s="14" t="s">
        <v>2479</v>
      </c>
      <c r="E164" s="14" t="s">
        <v>192</v>
      </c>
      <c r="F164" s="14"/>
      <c r="G164" s="14"/>
      <c r="H164" s="14">
        <v>123</v>
      </c>
      <c r="I164" s="176" t="s">
        <v>140</v>
      </c>
      <c r="K164" s="87"/>
      <c r="L164" s="14" t="s">
        <v>2480</v>
      </c>
      <c r="M164" s="324">
        <f t="shared" si="23"/>
        <v>0</v>
      </c>
      <c r="N164" s="14" t="s">
        <v>1879</v>
      </c>
      <c r="O164" s="14" t="s">
        <v>1879</v>
      </c>
      <c r="P164" s="167" t="s">
        <v>143</v>
      </c>
      <c r="Q164" s="14"/>
      <c r="R164" s="170">
        <v>0</v>
      </c>
      <c r="S164" s="108">
        <f t="shared" si="20"/>
        <v>45394</v>
      </c>
      <c r="T164" s="79">
        <v>45366</v>
      </c>
      <c r="U164" s="14"/>
      <c r="V164" s="14"/>
      <c r="W164" s="14"/>
      <c r="X164" s="14"/>
      <c r="Z164" s="14"/>
      <c r="AA164" s="2">
        <f t="shared" ca="1" si="21"/>
        <v>1</v>
      </c>
      <c r="AB164" s="153"/>
      <c r="AC164" s="454" t="str">
        <f t="shared" si="24"/>
        <v>1</v>
      </c>
    </row>
    <row r="165" spans="1:29" ht="58" x14ac:dyDescent="0.35">
      <c r="A165" s="169" t="str">
        <f t="shared" si="16"/>
        <v>Closed</v>
      </c>
      <c r="B165" s="222">
        <v>45366</v>
      </c>
      <c r="C165" s="14">
        <v>2312</v>
      </c>
      <c r="D165" s="14" t="s">
        <v>2481</v>
      </c>
      <c r="E165" s="14" t="s">
        <v>27</v>
      </c>
      <c r="F165" s="14" t="s">
        <v>2147</v>
      </c>
      <c r="G165" s="14" t="s">
        <v>1911</v>
      </c>
      <c r="H165" s="14">
        <v>101</v>
      </c>
      <c r="I165" s="176" t="s">
        <v>5</v>
      </c>
      <c r="J165" s="14">
        <v>254</v>
      </c>
      <c r="K165" s="87"/>
      <c r="L165" s="14" t="s">
        <v>2482</v>
      </c>
      <c r="M165" s="324">
        <f t="shared" si="23"/>
        <v>0</v>
      </c>
      <c r="N165" s="14" t="s">
        <v>1879</v>
      </c>
      <c r="O165" s="14" t="s">
        <v>1880</v>
      </c>
      <c r="P165" s="167" t="s">
        <v>147</v>
      </c>
      <c r="Q165" s="14" t="s">
        <v>177</v>
      </c>
      <c r="R165" s="170" t="s">
        <v>234</v>
      </c>
      <c r="S165" s="108">
        <f t="shared" si="20"/>
        <v>45394</v>
      </c>
      <c r="T165" s="79">
        <v>45427</v>
      </c>
      <c r="U165" s="14" t="s">
        <v>2483</v>
      </c>
      <c r="V165" s="14" t="s">
        <v>2484</v>
      </c>
      <c r="W165" s="14" t="s">
        <v>2034</v>
      </c>
      <c r="X165" s="14" t="s">
        <v>1883</v>
      </c>
      <c r="Y165" s="14" t="s">
        <v>2150</v>
      </c>
      <c r="Z165" s="14" t="s">
        <v>2485</v>
      </c>
      <c r="AA165" s="2">
        <f t="shared" ca="1" si="21"/>
        <v>1</v>
      </c>
      <c r="AB165" s="153"/>
      <c r="AC165" s="454" t="str">
        <f t="shared" si="24"/>
        <v>1</v>
      </c>
    </row>
    <row r="166" spans="1:29" ht="188.5" x14ac:dyDescent="0.35">
      <c r="A166" s="169" t="str">
        <f t="shared" si="16"/>
        <v>Closed</v>
      </c>
      <c r="B166" s="222">
        <v>45366</v>
      </c>
      <c r="C166" s="14">
        <v>2312</v>
      </c>
      <c r="D166" s="14" t="s">
        <v>2486</v>
      </c>
      <c r="E166" s="14" t="s">
        <v>40</v>
      </c>
      <c r="F166" s="14" t="s">
        <v>2299</v>
      </c>
      <c r="G166" s="14"/>
      <c r="H166" s="14">
        <v>107</v>
      </c>
      <c r="I166" s="176" t="s">
        <v>4</v>
      </c>
      <c r="J166" s="14">
        <v>85000445</v>
      </c>
      <c r="K166" s="14" t="s">
        <v>137</v>
      </c>
      <c r="L166" s="14" t="s">
        <v>2487</v>
      </c>
      <c r="M166" s="324">
        <v>0</v>
      </c>
      <c r="N166" s="14" t="s">
        <v>1879</v>
      </c>
      <c r="O166" s="14" t="s">
        <v>1880</v>
      </c>
      <c r="P166" s="167" t="s">
        <v>139</v>
      </c>
      <c r="Q166" s="14" t="s">
        <v>153</v>
      </c>
      <c r="R166" s="170" t="s">
        <v>234</v>
      </c>
      <c r="S166" s="108">
        <f t="shared" si="20"/>
        <v>45394</v>
      </c>
      <c r="T166" s="79">
        <v>45428</v>
      </c>
      <c r="U166" s="14" t="s">
        <v>2488</v>
      </c>
      <c r="V166" s="14" t="s">
        <v>2489</v>
      </c>
      <c r="W166" s="14" t="s">
        <v>1879</v>
      </c>
      <c r="X166" s="14" t="s">
        <v>154</v>
      </c>
      <c r="Y166" s="14" t="s">
        <v>2302</v>
      </c>
      <c r="Z166" s="14" t="s">
        <v>2490</v>
      </c>
      <c r="AA166" s="2">
        <f t="shared" ca="1" si="21"/>
        <v>1</v>
      </c>
      <c r="AB166" s="153"/>
      <c r="AC166" s="454" t="str">
        <f t="shared" si="24"/>
        <v>1</v>
      </c>
    </row>
    <row r="167" spans="1:29" ht="58" x14ac:dyDescent="0.35">
      <c r="A167" s="169" t="str">
        <f t="shared" si="16"/>
        <v>Closed</v>
      </c>
      <c r="B167" s="222">
        <v>45367</v>
      </c>
      <c r="C167" s="14">
        <v>2312</v>
      </c>
      <c r="D167" s="14" t="s">
        <v>2491</v>
      </c>
      <c r="E167" s="14" t="s">
        <v>27</v>
      </c>
      <c r="F167" s="14" t="s">
        <v>2212</v>
      </c>
      <c r="G167" s="14" t="s">
        <v>1900</v>
      </c>
      <c r="H167" s="14">
        <v>116</v>
      </c>
      <c r="I167" s="176" t="s">
        <v>5</v>
      </c>
      <c r="J167" s="14">
        <v>757</v>
      </c>
      <c r="K167" s="87"/>
      <c r="L167" s="14" t="s">
        <v>2492</v>
      </c>
      <c r="M167" s="324">
        <f t="shared" ref="M167:M173" si="25">IF(I167="Staff Accident","Entry Required",IF(I167="Assaults","Entry Required",0))</f>
        <v>0</v>
      </c>
      <c r="N167" s="14" t="s">
        <v>1879</v>
      </c>
      <c r="O167" s="14" t="s">
        <v>1879</v>
      </c>
      <c r="P167" s="167" t="s">
        <v>147</v>
      </c>
      <c r="Q167" s="14" t="s">
        <v>174</v>
      </c>
      <c r="R167" s="170" t="s">
        <v>234</v>
      </c>
      <c r="S167" s="108">
        <f t="shared" si="20"/>
        <v>45395</v>
      </c>
      <c r="T167" s="79">
        <v>45390</v>
      </c>
      <c r="U167" s="14" t="s">
        <v>2493</v>
      </c>
      <c r="V167" s="14" t="s">
        <v>2493</v>
      </c>
      <c r="W167" s="14" t="s">
        <v>1879</v>
      </c>
      <c r="X167" s="14" t="s">
        <v>154</v>
      </c>
      <c r="Y167" s="14" t="s">
        <v>2216</v>
      </c>
      <c r="Z167" s="14" t="s">
        <v>2181</v>
      </c>
      <c r="AA167" s="2">
        <f t="shared" ca="1" si="21"/>
        <v>1</v>
      </c>
      <c r="AB167" s="153"/>
      <c r="AC167" s="454" t="str">
        <f t="shared" si="24"/>
        <v>1</v>
      </c>
    </row>
    <row r="168" spans="1:29" ht="72.5" x14ac:dyDescent="0.35">
      <c r="A168" s="169" t="str">
        <f t="shared" si="16"/>
        <v>Closed</v>
      </c>
      <c r="B168" s="222">
        <v>45367</v>
      </c>
      <c r="C168" s="14">
        <v>2312</v>
      </c>
      <c r="D168" s="14" t="s">
        <v>2494</v>
      </c>
      <c r="E168" s="14" t="s">
        <v>192</v>
      </c>
      <c r="F168" s="14" t="s">
        <v>2048</v>
      </c>
      <c r="G168" s="14"/>
      <c r="H168" s="14"/>
      <c r="I168" s="176" t="s">
        <v>140</v>
      </c>
      <c r="K168" s="87"/>
      <c r="L168" s="14" t="s">
        <v>2495</v>
      </c>
      <c r="M168" s="324">
        <f t="shared" si="25"/>
        <v>0</v>
      </c>
      <c r="N168" s="14" t="s">
        <v>1879</v>
      </c>
      <c r="O168" s="14" t="s">
        <v>1879</v>
      </c>
      <c r="P168" s="167" t="s">
        <v>143</v>
      </c>
      <c r="Q168" s="14"/>
      <c r="R168" s="170">
        <v>0</v>
      </c>
      <c r="S168" s="108">
        <f t="shared" si="20"/>
        <v>45395</v>
      </c>
      <c r="T168" s="79">
        <v>45367</v>
      </c>
      <c r="U168" s="14"/>
      <c r="V168" s="14"/>
      <c r="W168" s="14"/>
      <c r="X168" s="14"/>
      <c r="Y168" s="167" t="s">
        <v>2050</v>
      </c>
      <c r="Z168" s="14"/>
      <c r="AA168" s="2">
        <f t="shared" ca="1" si="21"/>
        <v>1</v>
      </c>
      <c r="AB168" s="153"/>
      <c r="AC168" s="454" t="str">
        <f t="shared" si="24"/>
        <v/>
      </c>
    </row>
    <row r="169" spans="1:29" ht="139.5" x14ac:dyDescent="0.35">
      <c r="A169" s="169" t="str">
        <f t="shared" si="16"/>
        <v>Closed</v>
      </c>
      <c r="B169" s="222">
        <v>45367</v>
      </c>
      <c r="C169" s="14">
        <v>2312</v>
      </c>
      <c r="D169" s="14" t="s">
        <v>2496</v>
      </c>
      <c r="E169" s="14" t="s">
        <v>192</v>
      </c>
      <c r="F169" s="14" t="s">
        <v>2262</v>
      </c>
      <c r="G169" s="14" t="s">
        <v>1900</v>
      </c>
      <c r="H169" s="14">
        <v>201</v>
      </c>
      <c r="I169" s="176" t="s">
        <v>155</v>
      </c>
      <c r="J169" s="14">
        <v>547</v>
      </c>
      <c r="K169" s="87"/>
      <c r="L169" s="14" t="s">
        <v>2497</v>
      </c>
      <c r="M169" s="324">
        <f t="shared" si="25"/>
        <v>0</v>
      </c>
      <c r="N169" s="14" t="s">
        <v>1879</v>
      </c>
      <c r="O169" s="14" t="s">
        <v>1880</v>
      </c>
      <c r="P169" s="167" t="s">
        <v>147</v>
      </c>
      <c r="Q169" s="14" t="s">
        <v>168</v>
      </c>
      <c r="R169" s="170" t="s">
        <v>234</v>
      </c>
      <c r="S169" s="108">
        <f t="shared" si="20"/>
        <v>45395</v>
      </c>
      <c r="T169" s="79">
        <v>45371</v>
      </c>
      <c r="U169" s="14"/>
      <c r="V169" s="15"/>
      <c r="W169" s="14"/>
      <c r="X169" s="14"/>
      <c r="Z169" s="209" t="s">
        <v>2498</v>
      </c>
      <c r="AA169" s="2">
        <f t="shared" ca="1" si="21"/>
        <v>1</v>
      </c>
      <c r="AB169" s="153"/>
      <c r="AC169" s="454" t="str">
        <f t="shared" si="24"/>
        <v>2</v>
      </c>
    </row>
    <row r="170" spans="1:29" ht="43.5" x14ac:dyDescent="0.35">
      <c r="A170" s="169" t="str">
        <f t="shared" si="16"/>
        <v>Closed</v>
      </c>
      <c r="B170" s="222">
        <v>45369</v>
      </c>
      <c r="C170" s="14">
        <v>2312</v>
      </c>
      <c r="D170" s="14" t="s">
        <v>2499</v>
      </c>
      <c r="E170" s="14" t="s">
        <v>192</v>
      </c>
      <c r="F170" s="14" t="s">
        <v>2196</v>
      </c>
      <c r="G170" s="14" t="s">
        <v>1900</v>
      </c>
      <c r="H170" s="14">
        <v>114</v>
      </c>
      <c r="I170" s="176" t="s">
        <v>140</v>
      </c>
      <c r="J170" s="14">
        <v>41395</v>
      </c>
      <c r="K170" s="87"/>
      <c r="L170" s="14" t="s">
        <v>2500</v>
      </c>
      <c r="M170" s="324">
        <f t="shared" si="25"/>
        <v>0</v>
      </c>
      <c r="N170" s="14" t="s">
        <v>1879</v>
      </c>
      <c r="O170" s="14" t="s">
        <v>1880</v>
      </c>
      <c r="P170" s="167" t="s">
        <v>147</v>
      </c>
      <c r="Q170" s="14" t="s">
        <v>135</v>
      </c>
      <c r="R170" s="170" t="s">
        <v>234</v>
      </c>
      <c r="S170" s="108">
        <f t="shared" si="20"/>
        <v>45397</v>
      </c>
      <c r="T170" s="79">
        <v>45369</v>
      </c>
      <c r="U170" s="14"/>
      <c r="V170" s="14"/>
      <c r="W170" s="14"/>
      <c r="X170" s="14"/>
      <c r="Y170" s="167" t="s">
        <v>2198</v>
      </c>
      <c r="Z170" s="14" t="s">
        <v>2501</v>
      </c>
      <c r="AA170" s="2">
        <f t="shared" ca="1" si="21"/>
        <v>1</v>
      </c>
      <c r="AB170" s="153"/>
      <c r="AC170" s="454" t="str">
        <f t="shared" si="24"/>
        <v>1</v>
      </c>
    </row>
    <row r="171" spans="1:29" ht="130" x14ac:dyDescent="0.35">
      <c r="A171" s="169" t="str">
        <f t="shared" ref="A171:A232" si="26">IF(T171&gt;1,"Closed",IF(AA171=1,"Overdue",IF(AA171=3,"","Open")))</f>
        <v>Closed</v>
      </c>
      <c r="B171" s="222">
        <v>45369</v>
      </c>
      <c r="C171" s="14">
        <v>2312</v>
      </c>
      <c r="D171" s="14" t="s">
        <v>2502</v>
      </c>
      <c r="E171" s="14" t="s">
        <v>206</v>
      </c>
      <c r="F171" s="14" t="s">
        <v>2003</v>
      </c>
      <c r="G171" s="14" t="s">
        <v>1911</v>
      </c>
      <c r="H171" s="14">
        <v>123</v>
      </c>
      <c r="I171" s="176" t="s">
        <v>140</v>
      </c>
      <c r="K171" s="87"/>
      <c r="L171" s="14" t="s">
        <v>2503</v>
      </c>
      <c r="M171" s="324">
        <f t="shared" si="25"/>
        <v>0</v>
      </c>
      <c r="N171" s="14" t="s">
        <v>1879</v>
      </c>
      <c r="O171" s="14" t="s">
        <v>1879</v>
      </c>
      <c r="P171" s="167" t="s">
        <v>143</v>
      </c>
      <c r="Q171" s="14"/>
      <c r="R171" s="170">
        <v>0</v>
      </c>
      <c r="S171" s="108">
        <f t="shared" si="20"/>
        <v>45397</v>
      </c>
      <c r="T171" s="79">
        <v>45369</v>
      </c>
      <c r="U171" s="14"/>
      <c r="V171" s="14"/>
      <c r="W171" s="14"/>
      <c r="X171" s="14"/>
      <c r="Y171" s="14" t="s">
        <v>2504</v>
      </c>
      <c r="Z171" s="213" t="s">
        <v>2505</v>
      </c>
      <c r="AA171" s="2">
        <f t="shared" ca="1" si="21"/>
        <v>1</v>
      </c>
      <c r="AB171" s="153"/>
      <c r="AC171" s="454" t="str">
        <f t="shared" si="24"/>
        <v>1</v>
      </c>
    </row>
    <row r="172" spans="1:29" ht="58" x14ac:dyDescent="0.35">
      <c r="A172" s="169" t="str">
        <f t="shared" si="26"/>
        <v>Closed</v>
      </c>
      <c r="B172" s="222">
        <v>45370</v>
      </c>
      <c r="C172" s="14">
        <v>2312</v>
      </c>
      <c r="D172" s="14" t="s">
        <v>2506</v>
      </c>
      <c r="E172" s="14" t="s">
        <v>37</v>
      </c>
      <c r="F172" s="14" t="s">
        <v>1980</v>
      </c>
      <c r="G172" s="14" t="s">
        <v>1911</v>
      </c>
      <c r="H172" s="14">
        <v>114</v>
      </c>
      <c r="I172" s="176" t="s">
        <v>155</v>
      </c>
      <c r="J172" s="14">
        <v>391</v>
      </c>
      <c r="K172" s="87"/>
      <c r="L172" s="14" t="s">
        <v>2507</v>
      </c>
      <c r="M172" s="324">
        <f t="shared" si="25"/>
        <v>0</v>
      </c>
      <c r="N172" s="14" t="s">
        <v>1879</v>
      </c>
      <c r="O172" s="14" t="s">
        <v>1880</v>
      </c>
      <c r="P172" s="167" t="s">
        <v>147</v>
      </c>
      <c r="Q172" s="14" t="s">
        <v>174</v>
      </c>
      <c r="R172" s="170" t="s">
        <v>234</v>
      </c>
      <c r="S172" s="108">
        <f t="shared" si="20"/>
        <v>45398</v>
      </c>
      <c r="T172" s="79">
        <v>45407</v>
      </c>
      <c r="U172" s="14" t="s">
        <v>2508</v>
      </c>
      <c r="V172" s="14" t="s">
        <v>2509</v>
      </c>
      <c r="W172" s="14" t="s">
        <v>1879</v>
      </c>
      <c r="X172" s="14" t="s">
        <v>154</v>
      </c>
      <c r="Y172" s="15" t="s">
        <v>1982</v>
      </c>
      <c r="Z172" s="14" t="s">
        <v>2510</v>
      </c>
      <c r="AA172" s="2">
        <f t="shared" ca="1" si="21"/>
        <v>1</v>
      </c>
      <c r="AB172" s="153"/>
      <c r="AC172" s="454" t="str">
        <f t="shared" si="24"/>
        <v>1</v>
      </c>
    </row>
    <row r="173" spans="1:29" ht="72.5" x14ac:dyDescent="0.35">
      <c r="A173" s="169" t="str">
        <f t="shared" si="26"/>
        <v>Closed</v>
      </c>
      <c r="B173" s="222">
        <v>45370</v>
      </c>
      <c r="C173" s="14">
        <v>2312</v>
      </c>
      <c r="D173" s="14" t="s">
        <v>2511</v>
      </c>
      <c r="E173" s="14" t="s">
        <v>192</v>
      </c>
      <c r="F173" s="14" t="s">
        <v>2048</v>
      </c>
      <c r="G173" s="14"/>
      <c r="H173" s="14">
        <v>113</v>
      </c>
      <c r="I173" s="176" t="s">
        <v>140</v>
      </c>
      <c r="J173" s="14">
        <v>95</v>
      </c>
      <c r="K173" s="87"/>
      <c r="L173" s="14" t="s">
        <v>2512</v>
      </c>
      <c r="M173" s="324">
        <f t="shared" si="25"/>
        <v>0</v>
      </c>
      <c r="N173" s="14" t="s">
        <v>1879</v>
      </c>
      <c r="O173" s="14" t="s">
        <v>1879</v>
      </c>
      <c r="P173" s="167" t="s">
        <v>143</v>
      </c>
      <c r="Q173" s="14"/>
      <c r="R173" s="170">
        <v>0</v>
      </c>
      <c r="S173" s="108">
        <f t="shared" si="20"/>
        <v>45398</v>
      </c>
      <c r="T173" s="79">
        <v>45370</v>
      </c>
      <c r="U173" s="14"/>
      <c r="V173" s="14"/>
      <c r="W173" s="14"/>
      <c r="X173" s="14"/>
      <c r="Y173" s="167" t="s">
        <v>2050</v>
      </c>
      <c r="Z173" s="14"/>
      <c r="AA173" s="2">
        <f t="shared" ca="1" si="21"/>
        <v>1</v>
      </c>
      <c r="AB173" s="153"/>
      <c r="AC173" s="454" t="str">
        <f t="shared" si="24"/>
        <v>1</v>
      </c>
    </row>
    <row r="174" spans="1:29" ht="58" x14ac:dyDescent="0.35">
      <c r="A174" s="169" t="str">
        <f t="shared" si="26"/>
        <v>Closed</v>
      </c>
      <c r="B174" s="222">
        <v>45371</v>
      </c>
      <c r="C174" s="14">
        <v>2312</v>
      </c>
      <c r="D174" s="14" t="s">
        <v>2513</v>
      </c>
      <c r="E174" s="14" t="s">
        <v>42</v>
      </c>
      <c r="F174" s="14" t="s">
        <v>1910</v>
      </c>
      <c r="G174" s="14"/>
      <c r="H174" s="14">
        <v>202</v>
      </c>
      <c r="I174" s="176" t="s">
        <v>4</v>
      </c>
      <c r="J174" s="14">
        <v>553</v>
      </c>
      <c r="K174" s="14" t="s">
        <v>137</v>
      </c>
      <c r="L174" s="14" t="s">
        <v>2514</v>
      </c>
      <c r="M174" s="324">
        <v>0</v>
      </c>
      <c r="N174" s="14" t="s">
        <v>1879</v>
      </c>
      <c r="O174" s="14" t="s">
        <v>1880</v>
      </c>
      <c r="P174" s="167" t="s">
        <v>139</v>
      </c>
      <c r="Q174" s="14" t="s">
        <v>177</v>
      </c>
      <c r="R174" s="170" t="s">
        <v>234</v>
      </c>
      <c r="S174" s="108">
        <f t="shared" si="20"/>
        <v>45399</v>
      </c>
      <c r="T174" s="79">
        <v>45429</v>
      </c>
      <c r="U174" s="14" t="s">
        <v>2515</v>
      </c>
      <c r="V174" s="14" t="s">
        <v>2208</v>
      </c>
      <c r="W174" s="14" t="s">
        <v>1879</v>
      </c>
      <c r="X174" s="176" t="s">
        <v>1883</v>
      </c>
      <c r="Y174" s="15" t="s">
        <v>1915</v>
      </c>
      <c r="Z174" s="87" t="s">
        <v>2516</v>
      </c>
      <c r="AA174" s="2">
        <f t="shared" ca="1" si="21"/>
        <v>1</v>
      </c>
      <c r="AB174" s="153"/>
      <c r="AC174" s="454" t="str">
        <f t="shared" si="24"/>
        <v>2</v>
      </c>
    </row>
    <row r="175" spans="1:29" ht="72.5" x14ac:dyDescent="0.35">
      <c r="A175" s="169" t="str">
        <f t="shared" si="26"/>
        <v>Closed</v>
      </c>
      <c r="B175" s="222">
        <v>45371</v>
      </c>
      <c r="C175" s="14">
        <v>2312</v>
      </c>
      <c r="D175" s="14" t="s">
        <v>2517</v>
      </c>
      <c r="E175" s="14" t="s">
        <v>192</v>
      </c>
      <c r="F175" s="14" t="s">
        <v>2032</v>
      </c>
      <c r="G175" s="14"/>
      <c r="H175" s="14">
        <v>203</v>
      </c>
      <c r="I175" s="176" t="s">
        <v>140</v>
      </c>
      <c r="K175" s="87"/>
      <c r="L175" s="14" t="s">
        <v>2518</v>
      </c>
      <c r="M175" s="324">
        <f t="shared" ref="M175:M182" si="27">IF(I175="Staff Accident","Entry Required",IF(I175="Assaults","Entry Required",0))</f>
        <v>0</v>
      </c>
      <c r="N175" s="14" t="s">
        <v>1879</v>
      </c>
      <c r="O175" s="14" t="s">
        <v>1879</v>
      </c>
      <c r="P175" s="167" t="s">
        <v>143</v>
      </c>
      <c r="Q175" s="14"/>
      <c r="R175" s="170">
        <v>0</v>
      </c>
      <c r="S175" s="108">
        <f t="shared" si="20"/>
        <v>45399</v>
      </c>
      <c r="T175" s="79">
        <v>45371</v>
      </c>
      <c r="U175" s="14"/>
      <c r="V175" s="14"/>
      <c r="W175" s="14"/>
      <c r="X175" s="14"/>
      <c r="Y175" s="88"/>
      <c r="Z175" s="14"/>
      <c r="AA175" s="2">
        <f t="shared" ca="1" si="21"/>
        <v>1</v>
      </c>
      <c r="AB175" s="153"/>
      <c r="AC175" s="454" t="str">
        <f t="shared" si="24"/>
        <v>2</v>
      </c>
    </row>
    <row r="176" spans="1:29" ht="72.5" x14ac:dyDescent="0.35">
      <c r="A176" s="169" t="str">
        <f t="shared" si="26"/>
        <v>Closed</v>
      </c>
      <c r="B176" s="222">
        <v>45371</v>
      </c>
      <c r="C176" s="14">
        <v>2312</v>
      </c>
      <c r="D176" s="14" t="s">
        <v>2519</v>
      </c>
      <c r="E176" s="14" t="s">
        <v>8</v>
      </c>
      <c r="F176" s="14" t="s">
        <v>2119</v>
      </c>
      <c r="G176" s="14" t="s">
        <v>1900</v>
      </c>
      <c r="H176" s="14">
        <v>104</v>
      </c>
      <c r="I176" s="176" t="s">
        <v>140</v>
      </c>
      <c r="J176" s="14">
        <v>75341</v>
      </c>
      <c r="K176" s="87"/>
      <c r="L176" s="14" t="s">
        <v>2520</v>
      </c>
      <c r="M176" s="324">
        <f t="shared" si="27"/>
        <v>0</v>
      </c>
      <c r="N176" s="14" t="s">
        <v>1879</v>
      </c>
      <c r="O176" s="14" t="s">
        <v>1879</v>
      </c>
      <c r="P176" s="167" t="s">
        <v>143</v>
      </c>
      <c r="Q176" s="14"/>
      <c r="R176" s="170">
        <v>0</v>
      </c>
      <c r="S176" s="108">
        <f t="shared" si="20"/>
        <v>45399</v>
      </c>
      <c r="T176" s="79">
        <v>45371</v>
      </c>
      <c r="U176" s="14"/>
      <c r="V176" s="14"/>
      <c r="W176" s="14"/>
      <c r="X176" s="14"/>
      <c r="Y176" s="14" t="s">
        <v>2093</v>
      </c>
      <c r="Z176" s="14"/>
      <c r="AA176" s="2">
        <f t="shared" ca="1" si="21"/>
        <v>1</v>
      </c>
      <c r="AB176" s="153"/>
      <c r="AC176" s="454" t="str">
        <f t="shared" si="24"/>
        <v>1</v>
      </c>
    </row>
    <row r="177" spans="1:29" ht="58" x14ac:dyDescent="0.35">
      <c r="A177" s="169" t="str">
        <f t="shared" si="26"/>
        <v>Closed</v>
      </c>
      <c r="B177" s="222">
        <v>45371</v>
      </c>
      <c r="C177" s="14">
        <v>2312</v>
      </c>
      <c r="D177" s="14" t="s">
        <v>2521</v>
      </c>
      <c r="E177" s="14" t="s">
        <v>8</v>
      </c>
      <c r="F177" s="14"/>
      <c r="G177" s="14"/>
      <c r="H177" s="14">
        <v>111</v>
      </c>
      <c r="I177" s="176" t="s">
        <v>140</v>
      </c>
      <c r="J177" s="14">
        <v>569</v>
      </c>
      <c r="K177" s="87"/>
      <c r="L177" s="14" t="s">
        <v>2522</v>
      </c>
      <c r="M177" s="324">
        <f t="shared" si="27"/>
        <v>0</v>
      </c>
      <c r="N177" s="14" t="s">
        <v>1879</v>
      </c>
      <c r="O177" s="14" t="s">
        <v>1879</v>
      </c>
      <c r="P177" s="167" t="s">
        <v>143</v>
      </c>
      <c r="Q177" s="14"/>
      <c r="R177" s="170">
        <v>0</v>
      </c>
      <c r="S177" s="108">
        <f t="shared" si="20"/>
        <v>45399</v>
      </c>
      <c r="T177" s="79">
        <v>45371</v>
      </c>
      <c r="U177" s="14"/>
      <c r="V177" s="14"/>
      <c r="W177" s="14"/>
      <c r="X177" s="14"/>
      <c r="Z177" s="14"/>
      <c r="AA177" s="2">
        <f t="shared" ca="1" si="21"/>
        <v>1</v>
      </c>
      <c r="AB177" s="153"/>
      <c r="AC177" s="454" t="str">
        <f t="shared" si="24"/>
        <v>1</v>
      </c>
    </row>
    <row r="178" spans="1:29" ht="72.5" x14ac:dyDescent="0.35">
      <c r="A178" s="169" t="str">
        <f t="shared" si="26"/>
        <v>Closed</v>
      </c>
      <c r="B178" s="222">
        <v>45371</v>
      </c>
      <c r="C178" s="14">
        <v>2312</v>
      </c>
      <c r="D178" s="14" t="s">
        <v>2523</v>
      </c>
      <c r="E178" s="14" t="s">
        <v>72</v>
      </c>
      <c r="F178" s="14" t="s">
        <v>2524</v>
      </c>
      <c r="G178" s="14"/>
      <c r="H178" s="14">
        <v>122</v>
      </c>
      <c r="I178" s="176" t="s">
        <v>140</v>
      </c>
      <c r="J178" s="14">
        <v>391</v>
      </c>
      <c r="K178" s="87"/>
      <c r="L178" s="14" t="s">
        <v>2525</v>
      </c>
      <c r="M178" s="324">
        <f t="shared" si="27"/>
        <v>0</v>
      </c>
      <c r="N178" s="14" t="s">
        <v>1879</v>
      </c>
      <c r="O178" s="14" t="s">
        <v>1879</v>
      </c>
      <c r="P178" s="167" t="s">
        <v>143</v>
      </c>
      <c r="Q178" s="14"/>
      <c r="R178" s="170">
        <v>0</v>
      </c>
      <c r="S178" s="108">
        <f t="shared" si="20"/>
        <v>45399</v>
      </c>
      <c r="T178" s="79">
        <v>45371</v>
      </c>
      <c r="U178" s="14"/>
      <c r="V178" s="14"/>
      <c r="W178" s="14"/>
      <c r="X178" s="14"/>
      <c r="Z178" s="14"/>
      <c r="AA178" s="2">
        <f t="shared" ca="1" si="21"/>
        <v>1</v>
      </c>
      <c r="AB178" s="153"/>
      <c r="AC178" s="454" t="str">
        <f t="shared" si="24"/>
        <v>1</v>
      </c>
    </row>
    <row r="179" spans="1:29" ht="72.5" x14ac:dyDescent="0.35">
      <c r="A179" s="89" t="str">
        <f t="shared" si="26"/>
        <v>Closed</v>
      </c>
      <c r="B179" s="222">
        <v>45372</v>
      </c>
      <c r="C179" s="14">
        <v>2312</v>
      </c>
      <c r="D179" s="14" t="s">
        <v>720</v>
      </c>
      <c r="E179" s="14" t="s">
        <v>27</v>
      </c>
      <c r="F179" s="14" t="s">
        <v>2056</v>
      </c>
      <c r="G179" s="14"/>
      <c r="H179" s="14">
        <v>103</v>
      </c>
      <c r="I179" s="176" t="s">
        <v>5</v>
      </c>
      <c r="J179" s="14">
        <v>8505712</v>
      </c>
      <c r="K179" s="87"/>
      <c r="L179" s="14" t="s">
        <v>2526</v>
      </c>
      <c r="M179" s="324">
        <f t="shared" si="27"/>
        <v>0</v>
      </c>
      <c r="N179" s="14" t="s">
        <v>1879</v>
      </c>
      <c r="O179" s="14" t="s">
        <v>1880</v>
      </c>
      <c r="P179" s="167" t="s">
        <v>147</v>
      </c>
      <c r="Q179" s="14" t="s">
        <v>135</v>
      </c>
      <c r="R179" s="223" t="s">
        <v>234</v>
      </c>
      <c r="S179" s="224">
        <f t="shared" si="20"/>
        <v>45400</v>
      </c>
      <c r="T179" s="79">
        <v>45423</v>
      </c>
      <c r="U179" s="14" t="s">
        <v>2527</v>
      </c>
      <c r="V179" s="14" t="s">
        <v>2528</v>
      </c>
      <c r="W179" s="14" t="s">
        <v>1879</v>
      </c>
      <c r="X179" s="14" t="s">
        <v>1880</v>
      </c>
      <c r="Y179" s="167" t="s">
        <v>2058</v>
      </c>
      <c r="Z179" s="14" t="s">
        <v>2529</v>
      </c>
      <c r="AA179" s="2">
        <f t="shared" ca="1" si="21"/>
        <v>1</v>
      </c>
      <c r="AB179" s="153"/>
      <c r="AC179" s="454" t="str">
        <f t="shared" si="24"/>
        <v>1</v>
      </c>
    </row>
    <row r="180" spans="1:29" ht="43.5" x14ac:dyDescent="0.35">
      <c r="A180" s="169" t="str">
        <f t="shared" si="26"/>
        <v>Closed</v>
      </c>
      <c r="B180" s="222">
        <v>45372</v>
      </c>
      <c r="C180" s="14">
        <v>2312</v>
      </c>
      <c r="D180" s="14" t="s">
        <v>2530</v>
      </c>
      <c r="E180" s="14" t="s">
        <v>31</v>
      </c>
      <c r="F180" s="14" t="s">
        <v>2003</v>
      </c>
      <c r="G180" s="14" t="s">
        <v>1911</v>
      </c>
      <c r="H180" s="14">
        <v>120</v>
      </c>
      <c r="I180" s="176" t="s">
        <v>140</v>
      </c>
      <c r="K180" s="87"/>
      <c r="L180" s="14" t="s">
        <v>2531</v>
      </c>
      <c r="M180" s="324">
        <f t="shared" si="27"/>
        <v>0</v>
      </c>
      <c r="N180" s="14" t="s">
        <v>1879</v>
      </c>
      <c r="O180" s="14" t="s">
        <v>1879</v>
      </c>
      <c r="P180" s="167" t="s">
        <v>143</v>
      </c>
      <c r="Q180" s="14"/>
      <c r="R180" s="170">
        <v>0</v>
      </c>
      <c r="S180" s="108">
        <f t="shared" si="20"/>
        <v>45400</v>
      </c>
      <c r="T180" s="79">
        <v>45372</v>
      </c>
      <c r="U180" s="14"/>
      <c r="V180" s="14"/>
      <c r="W180" s="14"/>
      <c r="X180" s="14"/>
      <c r="Y180" s="14" t="s">
        <v>2504</v>
      </c>
      <c r="Z180" s="14"/>
      <c r="AA180" s="2">
        <f t="shared" ca="1" si="21"/>
        <v>1</v>
      </c>
      <c r="AB180" s="153"/>
      <c r="AC180" s="454" t="str">
        <f t="shared" si="24"/>
        <v>1</v>
      </c>
    </row>
    <row r="181" spans="1:29" ht="43.5" x14ac:dyDescent="0.35">
      <c r="A181" s="89" t="str">
        <f t="shared" si="26"/>
        <v>Closed</v>
      </c>
      <c r="B181" s="222">
        <v>45373</v>
      </c>
      <c r="C181" s="14">
        <v>2312</v>
      </c>
      <c r="D181" s="14" t="s">
        <v>2532</v>
      </c>
      <c r="E181" s="14" t="s">
        <v>72</v>
      </c>
      <c r="F181" s="14" t="s">
        <v>2533</v>
      </c>
      <c r="G181" s="14"/>
      <c r="H181" s="14"/>
      <c r="I181" s="176" t="s">
        <v>155</v>
      </c>
      <c r="J181" s="14">
        <v>391</v>
      </c>
      <c r="K181" s="87"/>
      <c r="L181" s="14" t="s">
        <v>2534</v>
      </c>
      <c r="M181" s="324">
        <f t="shared" si="27"/>
        <v>0</v>
      </c>
      <c r="N181" s="14" t="s">
        <v>1879</v>
      </c>
      <c r="O181" s="14"/>
      <c r="P181" s="167" t="s">
        <v>147</v>
      </c>
      <c r="Q181" s="14" t="s">
        <v>174</v>
      </c>
      <c r="R181" s="223" t="s">
        <v>234</v>
      </c>
      <c r="S181" s="224">
        <f t="shared" si="20"/>
        <v>45401</v>
      </c>
      <c r="T181" s="79">
        <v>45902</v>
      </c>
      <c r="U181" s="14"/>
      <c r="V181" s="14"/>
      <c r="W181" s="14"/>
      <c r="X181" s="14"/>
      <c r="Z181" s="14" t="s">
        <v>2535</v>
      </c>
      <c r="AA181" s="2">
        <f t="shared" ca="1" si="21"/>
        <v>1</v>
      </c>
      <c r="AB181" s="153"/>
      <c r="AC181" s="454" t="str">
        <f t="shared" si="24"/>
        <v/>
      </c>
    </row>
    <row r="182" spans="1:29" x14ac:dyDescent="0.35">
      <c r="A182" s="89" t="str">
        <f t="shared" si="26"/>
        <v>Closed</v>
      </c>
      <c r="B182" s="222">
        <v>45373</v>
      </c>
      <c r="C182" s="14">
        <v>2312</v>
      </c>
      <c r="D182" s="14" t="s">
        <v>2536</v>
      </c>
      <c r="E182" s="14" t="s">
        <v>180</v>
      </c>
      <c r="F182" s="14" t="s">
        <v>2147</v>
      </c>
      <c r="G182" s="14" t="s">
        <v>1911</v>
      </c>
      <c r="H182" s="14"/>
      <c r="I182" s="176" t="s">
        <v>140</v>
      </c>
      <c r="K182" s="87"/>
      <c r="L182" s="14" t="s">
        <v>2537</v>
      </c>
      <c r="M182" s="324">
        <f t="shared" si="27"/>
        <v>0</v>
      </c>
      <c r="N182" s="14" t="s">
        <v>1879</v>
      </c>
      <c r="O182" s="14" t="s">
        <v>1879</v>
      </c>
      <c r="P182" s="167" t="s">
        <v>143</v>
      </c>
      <c r="Q182" s="14"/>
      <c r="R182" s="223">
        <v>0</v>
      </c>
      <c r="S182" s="224">
        <f t="shared" si="20"/>
        <v>45401</v>
      </c>
      <c r="T182" s="79">
        <v>45373</v>
      </c>
      <c r="U182" s="14"/>
      <c r="V182" s="14"/>
      <c r="W182" s="14"/>
      <c r="X182" s="14"/>
      <c r="Y182" s="14" t="s">
        <v>2150</v>
      </c>
      <c r="Z182" s="14"/>
      <c r="AA182" s="2">
        <f t="shared" ca="1" si="21"/>
        <v>1</v>
      </c>
      <c r="AB182" s="153"/>
      <c r="AC182" s="454" t="str">
        <f t="shared" si="24"/>
        <v/>
      </c>
    </row>
    <row r="183" spans="1:29" ht="43.5" x14ac:dyDescent="0.35">
      <c r="A183" s="89" t="str">
        <f t="shared" si="26"/>
        <v>Closed</v>
      </c>
      <c r="B183" s="222">
        <v>45373</v>
      </c>
      <c r="C183" s="14">
        <v>2312</v>
      </c>
      <c r="D183" s="14" t="s">
        <v>2538</v>
      </c>
      <c r="E183" s="14" t="s">
        <v>38</v>
      </c>
      <c r="F183" s="14" t="s">
        <v>2245</v>
      </c>
      <c r="G183" s="14"/>
      <c r="H183" s="14"/>
      <c r="I183" s="176" t="s">
        <v>2</v>
      </c>
      <c r="J183" s="14">
        <v>423</v>
      </c>
      <c r="K183" s="85" t="s">
        <v>137</v>
      </c>
      <c r="L183" s="14" t="s">
        <v>2539</v>
      </c>
      <c r="M183" s="324">
        <v>0</v>
      </c>
      <c r="N183" s="14" t="s">
        <v>1879</v>
      </c>
      <c r="O183" s="14" t="s">
        <v>1880</v>
      </c>
      <c r="P183" s="167" t="s">
        <v>136</v>
      </c>
      <c r="Q183" s="14" t="s">
        <v>168</v>
      </c>
      <c r="R183" s="223" t="s">
        <v>234</v>
      </c>
      <c r="S183" s="224">
        <f t="shared" si="20"/>
        <v>45401</v>
      </c>
      <c r="T183" s="79">
        <v>45373</v>
      </c>
      <c r="U183" s="14"/>
      <c r="V183" s="14"/>
      <c r="W183" s="14"/>
      <c r="X183" s="14"/>
      <c r="Z183" s="14" t="s">
        <v>2540</v>
      </c>
      <c r="AA183" s="2">
        <f t="shared" ca="1" si="21"/>
        <v>1</v>
      </c>
      <c r="AB183" s="153"/>
      <c r="AC183" s="454" t="str">
        <f t="shared" si="24"/>
        <v/>
      </c>
    </row>
    <row r="184" spans="1:29" ht="58" x14ac:dyDescent="0.35">
      <c r="A184" s="89" t="str">
        <f t="shared" si="26"/>
        <v>Closed</v>
      </c>
      <c r="B184" s="222">
        <v>45373</v>
      </c>
      <c r="C184" s="14">
        <v>2312</v>
      </c>
      <c r="D184" s="14" t="s">
        <v>2541</v>
      </c>
      <c r="E184" s="14" t="s">
        <v>8</v>
      </c>
      <c r="F184" s="14" t="s">
        <v>2130</v>
      </c>
      <c r="G184" s="14" t="s">
        <v>1900</v>
      </c>
      <c r="H184" s="14">
        <v>113</v>
      </c>
      <c r="I184" s="176" t="s">
        <v>140</v>
      </c>
      <c r="J184" s="14">
        <v>8506252</v>
      </c>
      <c r="K184" s="87"/>
      <c r="L184" s="14" t="s">
        <v>2542</v>
      </c>
      <c r="M184" s="324">
        <f>IF(I184="Staff Accident","Entry Required",IF(I184="Assaults","Entry Required",0))</f>
        <v>0</v>
      </c>
      <c r="N184" s="14" t="s">
        <v>1879</v>
      </c>
      <c r="O184" s="14" t="s">
        <v>1879</v>
      </c>
      <c r="P184" s="167" t="s">
        <v>143</v>
      </c>
      <c r="Q184" s="14"/>
      <c r="R184" s="223">
        <v>0</v>
      </c>
      <c r="S184" s="224">
        <f t="shared" si="20"/>
        <v>45401</v>
      </c>
      <c r="T184" s="79">
        <v>45373</v>
      </c>
      <c r="U184" s="14"/>
      <c r="V184" s="14"/>
      <c r="W184" s="14"/>
      <c r="X184" s="14"/>
      <c r="Y184" s="14" t="s">
        <v>2134</v>
      </c>
      <c r="Z184" s="14"/>
      <c r="AA184" s="2">
        <f t="shared" ca="1" si="21"/>
        <v>1</v>
      </c>
      <c r="AB184" s="153"/>
      <c r="AC184" s="454" t="str">
        <f t="shared" si="24"/>
        <v>1</v>
      </c>
    </row>
    <row r="185" spans="1:29" ht="29" x14ac:dyDescent="0.35">
      <c r="A185" s="89" t="str">
        <f t="shared" si="26"/>
        <v>Closed</v>
      </c>
      <c r="B185" s="222">
        <v>45373</v>
      </c>
      <c r="C185" s="14">
        <v>2312</v>
      </c>
      <c r="D185" s="14" t="s">
        <v>2543</v>
      </c>
      <c r="E185" s="14" t="s">
        <v>8</v>
      </c>
      <c r="F185" s="14"/>
      <c r="G185" s="14"/>
      <c r="H185" s="14"/>
      <c r="I185" s="176" t="s">
        <v>140</v>
      </c>
      <c r="K185" s="87"/>
      <c r="L185" s="14" t="s">
        <v>2544</v>
      </c>
      <c r="M185" s="324">
        <f>IF(I185="Staff Accident","Entry Required",IF(I185="Assaults","Entry Required",0))</f>
        <v>0</v>
      </c>
      <c r="N185" s="14" t="s">
        <v>1879</v>
      </c>
      <c r="O185" s="14" t="s">
        <v>1879</v>
      </c>
      <c r="P185" s="167" t="s">
        <v>143</v>
      </c>
      <c r="Q185" s="14"/>
      <c r="R185" s="223">
        <v>0</v>
      </c>
      <c r="S185" s="224">
        <f t="shared" si="20"/>
        <v>45401</v>
      </c>
      <c r="T185" s="79">
        <v>45373</v>
      </c>
      <c r="U185" s="14"/>
      <c r="V185" s="14"/>
      <c r="W185" s="14"/>
      <c r="X185" s="14"/>
      <c r="Z185" s="14"/>
      <c r="AA185" s="2">
        <f t="shared" ca="1" si="21"/>
        <v>1</v>
      </c>
      <c r="AB185" s="153"/>
      <c r="AC185" s="454" t="str">
        <f t="shared" si="24"/>
        <v/>
      </c>
    </row>
    <row r="186" spans="1:29" ht="43.5" x14ac:dyDescent="0.35">
      <c r="A186" s="89" t="str">
        <f t="shared" si="26"/>
        <v>Closed</v>
      </c>
      <c r="B186" s="222">
        <v>45374</v>
      </c>
      <c r="C186" s="14">
        <v>2312</v>
      </c>
      <c r="D186" s="14" t="s">
        <v>2545</v>
      </c>
      <c r="E186" s="14" t="s">
        <v>27</v>
      </c>
      <c r="F186" s="14" t="s">
        <v>2052</v>
      </c>
      <c r="G186" s="14" t="s">
        <v>1900</v>
      </c>
      <c r="H186" s="14">
        <v>109</v>
      </c>
      <c r="I186" s="176" t="s">
        <v>5</v>
      </c>
      <c r="J186" s="14">
        <v>757</v>
      </c>
      <c r="K186" s="87"/>
      <c r="L186" s="14" t="s">
        <v>2546</v>
      </c>
      <c r="M186" s="324">
        <f>IF(I186="Staff Accident","Entry Required",IF(I186="Assaults","Entry Required",0))</f>
        <v>0</v>
      </c>
      <c r="N186" s="14" t="s">
        <v>1879</v>
      </c>
      <c r="O186" s="14"/>
      <c r="P186" s="167" t="s">
        <v>147</v>
      </c>
      <c r="Q186" s="14" t="s">
        <v>174</v>
      </c>
      <c r="R186" s="223" t="s">
        <v>234</v>
      </c>
      <c r="S186" s="224">
        <f t="shared" si="20"/>
        <v>45402</v>
      </c>
      <c r="T186" s="79">
        <v>45902</v>
      </c>
      <c r="U186" s="14"/>
      <c r="V186" s="14"/>
      <c r="W186" s="14"/>
      <c r="X186" s="14"/>
      <c r="Y186" s="14" t="s">
        <v>2054</v>
      </c>
      <c r="Z186" s="14" t="s">
        <v>2547</v>
      </c>
      <c r="AA186" s="2">
        <f t="shared" ca="1" si="21"/>
        <v>1</v>
      </c>
      <c r="AB186" s="153"/>
      <c r="AC186" s="454" t="str">
        <f t="shared" si="24"/>
        <v>1</v>
      </c>
    </row>
    <row r="187" spans="1:29" ht="58" x14ac:dyDescent="0.35">
      <c r="A187" s="169" t="str">
        <f t="shared" si="26"/>
        <v>Closed</v>
      </c>
      <c r="B187" s="222">
        <v>45374</v>
      </c>
      <c r="C187" s="14">
        <v>2312</v>
      </c>
      <c r="D187" s="14" t="s">
        <v>2548</v>
      </c>
      <c r="E187" s="14" t="s">
        <v>42</v>
      </c>
      <c r="F187" s="14"/>
      <c r="G187" s="14"/>
      <c r="H187" s="14">
        <v>120</v>
      </c>
      <c r="I187" s="176" t="s">
        <v>4</v>
      </c>
      <c r="J187" s="14">
        <v>8503271</v>
      </c>
      <c r="K187" s="14" t="s">
        <v>137</v>
      </c>
      <c r="L187" s="14" t="s">
        <v>2549</v>
      </c>
      <c r="M187" s="324">
        <v>0</v>
      </c>
      <c r="N187" s="14" t="s">
        <v>1879</v>
      </c>
      <c r="O187" s="14" t="s">
        <v>1879</v>
      </c>
      <c r="P187" s="167" t="s">
        <v>139</v>
      </c>
      <c r="Q187" s="14" t="s">
        <v>157</v>
      </c>
      <c r="R187" s="170" t="s">
        <v>234</v>
      </c>
      <c r="S187" s="108">
        <f t="shared" si="20"/>
        <v>45402</v>
      </c>
      <c r="T187" s="79">
        <v>45446</v>
      </c>
      <c r="U187" s="14" t="s">
        <v>2451</v>
      </c>
      <c r="V187" s="14" t="s">
        <v>2422</v>
      </c>
      <c r="W187" s="14" t="s">
        <v>1879</v>
      </c>
      <c r="X187" s="14" t="s">
        <v>154</v>
      </c>
      <c r="Z187" s="14" t="s">
        <v>2550</v>
      </c>
      <c r="AA187" s="2">
        <f t="shared" ca="1" si="21"/>
        <v>1</v>
      </c>
      <c r="AB187" s="153"/>
      <c r="AC187" s="454" t="str">
        <f t="shared" si="24"/>
        <v>1</v>
      </c>
    </row>
    <row r="188" spans="1:29" ht="72.5" x14ac:dyDescent="0.35">
      <c r="A188" s="169" t="str">
        <f t="shared" si="26"/>
        <v>Closed</v>
      </c>
      <c r="B188" s="222">
        <v>45375</v>
      </c>
      <c r="C188" s="14">
        <v>2312</v>
      </c>
      <c r="D188" s="14" t="s">
        <v>2551</v>
      </c>
      <c r="E188" s="14" t="s">
        <v>38</v>
      </c>
      <c r="F188" s="14" t="s">
        <v>2196</v>
      </c>
      <c r="G188" s="14" t="s">
        <v>1900</v>
      </c>
      <c r="H188" s="14">
        <v>119</v>
      </c>
      <c r="I188" s="176" t="s">
        <v>6</v>
      </c>
      <c r="J188" s="14">
        <v>8501802</v>
      </c>
      <c r="K188" s="87"/>
      <c r="L188" s="14" t="s">
        <v>2552</v>
      </c>
      <c r="M188" s="324">
        <f t="shared" ref="M188:M198" si="28">IF(I188="Staff Accident","Entry Required",IF(I188="Assaults","Entry Required",0))</f>
        <v>0</v>
      </c>
      <c r="N188" s="14" t="s">
        <v>1879</v>
      </c>
      <c r="O188" s="14" t="s">
        <v>1880</v>
      </c>
      <c r="P188" s="167" t="s">
        <v>147</v>
      </c>
      <c r="Q188" s="14" t="s">
        <v>153</v>
      </c>
      <c r="R188" s="170" t="s">
        <v>234</v>
      </c>
      <c r="S188" s="108">
        <f t="shared" si="20"/>
        <v>45403</v>
      </c>
      <c r="T188" s="79">
        <v>45407</v>
      </c>
      <c r="U188" s="14" t="s">
        <v>2553</v>
      </c>
      <c r="V188" s="14" t="s">
        <v>2554</v>
      </c>
      <c r="W188" s="14" t="s">
        <v>1879</v>
      </c>
      <c r="X188" s="14" t="s">
        <v>1883</v>
      </c>
      <c r="Y188" s="167" t="s">
        <v>2198</v>
      </c>
      <c r="Z188" s="14" t="s">
        <v>2555</v>
      </c>
      <c r="AA188" s="2">
        <f t="shared" ca="1" si="21"/>
        <v>1</v>
      </c>
      <c r="AB188" s="153"/>
      <c r="AC188" s="454" t="str">
        <f t="shared" si="24"/>
        <v>1</v>
      </c>
    </row>
    <row r="189" spans="1:29" ht="58" x14ac:dyDescent="0.35">
      <c r="A189" s="169" t="str">
        <f t="shared" si="26"/>
        <v>Closed</v>
      </c>
      <c r="B189" s="222">
        <v>45375</v>
      </c>
      <c r="C189" s="14">
        <v>2312</v>
      </c>
      <c r="D189" s="14" t="s">
        <v>2556</v>
      </c>
      <c r="E189" s="14" t="s">
        <v>72</v>
      </c>
      <c r="F189" s="14" t="s">
        <v>2557</v>
      </c>
      <c r="G189" s="14"/>
      <c r="H189" s="14">
        <v>112</v>
      </c>
      <c r="I189" s="176" t="s">
        <v>155</v>
      </c>
      <c r="J189" s="14">
        <v>8502032</v>
      </c>
      <c r="K189" s="87"/>
      <c r="L189" s="14" t="s">
        <v>2558</v>
      </c>
      <c r="M189" s="324">
        <f t="shared" si="28"/>
        <v>0</v>
      </c>
      <c r="N189" s="14" t="s">
        <v>1879</v>
      </c>
      <c r="O189" s="14" t="s">
        <v>1879</v>
      </c>
      <c r="P189" s="167" t="s">
        <v>147</v>
      </c>
      <c r="Q189" s="14" t="s">
        <v>135</v>
      </c>
      <c r="R189" s="170" t="s">
        <v>234</v>
      </c>
      <c r="S189" s="108">
        <f t="shared" si="20"/>
        <v>45403</v>
      </c>
      <c r="T189" s="79">
        <v>45407</v>
      </c>
      <c r="U189" s="14" t="s">
        <v>2559</v>
      </c>
      <c r="V189" s="14" t="s">
        <v>2560</v>
      </c>
      <c r="W189" s="14" t="s">
        <v>1880</v>
      </c>
      <c r="X189" s="14" t="s">
        <v>1880</v>
      </c>
      <c r="Y189" s="85"/>
      <c r="Z189" s="14" t="s">
        <v>2561</v>
      </c>
      <c r="AA189" s="2">
        <f t="shared" ca="1" si="21"/>
        <v>1</v>
      </c>
      <c r="AB189" s="153"/>
      <c r="AC189" s="454" t="str">
        <f t="shared" si="24"/>
        <v>1</v>
      </c>
    </row>
    <row r="190" spans="1:29" ht="130.5" x14ac:dyDescent="0.35">
      <c r="A190" s="169" t="str">
        <f t="shared" si="26"/>
        <v>Closed</v>
      </c>
      <c r="B190" s="222">
        <v>45375</v>
      </c>
      <c r="C190" s="14">
        <v>2312</v>
      </c>
      <c r="D190" s="14" t="s">
        <v>616</v>
      </c>
      <c r="E190" s="14" t="s">
        <v>31</v>
      </c>
      <c r="F190" s="14" t="s">
        <v>2095</v>
      </c>
      <c r="G190" s="14" t="s">
        <v>1900</v>
      </c>
      <c r="H190" s="14"/>
      <c r="I190" s="176" t="s">
        <v>155</v>
      </c>
      <c r="K190" s="87"/>
      <c r="L190" s="14" t="s">
        <v>2562</v>
      </c>
      <c r="M190" s="324">
        <f t="shared" si="28"/>
        <v>0</v>
      </c>
      <c r="N190" s="14" t="s">
        <v>1879</v>
      </c>
      <c r="O190" s="14" t="s">
        <v>1879</v>
      </c>
      <c r="P190" s="167" t="s">
        <v>147</v>
      </c>
      <c r="Q190" s="14" t="s">
        <v>177</v>
      </c>
      <c r="R190" s="170" t="s">
        <v>234</v>
      </c>
      <c r="S190" s="108">
        <f t="shared" si="20"/>
        <v>45403</v>
      </c>
      <c r="T190" s="79">
        <v>45391</v>
      </c>
      <c r="U190" s="14" t="s">
        <v>2563</v>
      </c>
      <c r="V190" s="14" t="s">
        <v>2564</v>
      </c>
      <c r="W190" s="14" t="s">
        <v>1880</v>
      </c>
      <c r="X190" s="176" t="s">
        <v>1880</v>
      </c>
      <c r="Y190" s="15" t="s">
        <v>1915</v>
      </c>
      <c r="Z190" s="87" t="s">
        <v>2565</v>
      </c>
      <c r="AA190" s="2">
        <f t="shared" ca="1" si="21"/>
        <v>1</v>
      </c>
      <c r="AB190" s="153"/>
      <c r="AC190" s="454" t="str">
        <f t="shared" si="24"/>
        <v/>
      </c>
    </row>
    <row r="191" spans="1:29" ht="261" x14ac:dyDescent="0.35">
      <c r="A191" s="169" t="str">
        <f t="shared" si="26"/>
        <v>Closed</v>
      </c>
      <c r="B191" s="222">
        <v>45375</v>
      </c>
      <c r="C191" s="14">
        <v>2312</v>
      </c>
      <c r="D191" s="14" t="s">
        <v>568</v>
      </c>
      <c r="E191" s="14" t="s">
        <v>31</v>
      </c>
      <c r="F191" s="14" t="s">
        <v>2566</v>
      </c>
      <c r="G191" s="14"/>
      <c r="H191" s="101"/>
      <c r="I191" s="176" t="s">
        <v>11</v>
      </c>
      <c r="K191" s="87"/>
      <c r="L191" s="14" t="s">
        <v>2567</v>
      </c>
      <c r="M191" s="324">
        <f t="shared" si="28"/>
        <v>0</v>
      </c>
      <c r="N191" s="14" t="s">
        <v>1879</v>
      </c>
      <c r="O191" s="14" t="s">
        <v>1879</v>
      </c>
      <c r="P191" s="167" t="s">
        <v>151</v>
      </c>
      <c r="Q191" s="14" t="s">
        <v>2568</v>
      </c>
      <c r="R191" s="170" t="s">
        <v>236</v>
      </c>
      <c r="S191" s="108">
        <f t="shared" si="20"/>
        <v>45403</v>
      </c>
      <c r="T191" s="79">
        <v>45443</v>
      </c>
      <c r="U191" s="14" t="s">
        <v>2569</v>
      </c>
      <c r="V191" s="14" t="s">
        <v>2570</v>
      </c>
      <c r="W191" s="14" t="s">
        <v>1879</v>
      </c>
      <c r="X191" s="14" t="s">
        <v>1880</v>
      </c>
      <c r="Y191" s="88"/>
      <c r="Z191" s="14" t="s">
        <v>2571</v>
      </c>
      <c r="AA191" s="2">
        <f t="shared" ca="1" si="21"/>
        <v>1</v>
      </c>
      <c r="AB191" s="153"/>
      <c r="AC191" s="454" t="str">
        <f>LEFT(I191,1)</f>
        <v>S</v>
      </c>
    </row>
    <row r="192" spans="1:29" ht="43.5" x14ac:dyDescent="0.35">
      <c r="A192" s="169" t="str">
        <f t="shared" si="26"/>
        <v>Closed</v>
      </c>
      <c r="B192" s="222">
        <v>45377</v>
      </c>
      <c r="C192" s="14">
        <v>2312</v>
      </c>
      <c r="D192" s="14" t="s">
        <v>2572</v>
      </c>
      <c r="E192" s="14" t="s">
        <v>8</v>
      </c>
      <c r="F192" s="14" t="s">
        <v>2573</v>
      </c>
      <c r="G192" s="14" t="s">
        <v>1900</v>
      </c>
      <c r="H192" s="14">
        <v>202</v>
      </c>
      <c r="I192" s="176" t="s">
        <v>140</v>
      </c>
      <c r="J192" s="14">
        <v>651</v>
      </c>
      <c r="K192" s="87"/>
      <c r="L192" s="14" t="s">
        <v>2574</v>
      </c>
      <c r="M192" s="324">
        <f t="shared" si="28"/>
        <v>0</v>
      </c>
      <c r="N192" s="14" t="s">
        <v>1879</v>
      </c>
      <c r="O192" s="14" t="s">
        <v>1879</v>
      </c>
      <c r="P192" s="167" t="s">
        <v>143</v>
      </c>
      <c r="Q192" s="14"/>
      <c r="R192" s="170">
        <v>0</v>
      </c>
      <c r="S192" s="108">
        <f t="shared" si="20"/>
        <v>45405</v>
      </c>
      <c r="T192" s="79">
        <v>45377</v>
      </c>
      <c r="U192" s="14"/>
      <c r="V192" s="14"/>
      <c r="W192" s="14"/>
      <c r="X192" s="14"/>
      <c r="Z192" s="14"/>
      <c r="AA192" s="2">
        <f t="shared" ca="1" si="21"/>
        <v>1</v>
      </c>
      <c r="AB192" s="153"/>
      <c r="AC192" s="454" t="str">
        <f t="shared" ref="AC192:AC200" si="29">LEFT(H192,1)</f>
        <v>2</v>
      </c>
    </row>
    <row r="193" spans="1:29" ht="29" x14ac:dyDescent="0.35">
      <c r="A193" s="89" t="str">
        <f t="shared" si="26"/>
        <v>Closed</v>
      </c>
      <c r="B193" s="222">
        <v>45378</v>
      </c>
      <c r="C193" s="14">
        <v>2312</v>
      </c>
      <c r="D193" s="14" t="s">
        <v>2575</v>
      </c>
      <c r="E193" s="14" t="s">
        <v>72</v>
      </c>
      <c r="F193" s="14" t="s">
        <v>2576</v>
      </c>
      <c r="G193" s="14"/>
      <c r="H193" s="14">
        <v>206</v>
      </c>
      <c r="I193" s="176" t="s">
        <v>155</v>
      </c>
      <c r="K193" s="87"/>
      <c r="L193" s="14" t="s">
        <v>2577</v>
      </c>
      <c r="M193" s="324">
        <f t="shared" si="28"/>
        <v>0</v>
      </c>
      <c r="N193" s="14" t="s">
        <v>1879</v>
      </c>
      <c r="O193" s="14" t="s">
        <v>1879</v>
      </c>
      <c r="P193" s="167" t="s">
        <v>147</v>
      </c>
      <c r="Q193" s="14" t="s">
        <v>135</v>
      </c>
      <c r="R193" s="223" t="s">
        <v>234</v>
      </c>
      <c r="S193" s="224">
        <f t="shared" si="20"/>
        <v>45406</v>
      </c>
      <c r="T193" s="79">
        <v>45434</v>
      </c>
      <c r="U193" s="14" t="s">
        <v>2578</v>
      </c>
      <c r="V193" s="14" t="s">
        <v>2579</v>
      </c>
      <c r="W193" s="14" t="s">
        <v>1880</v>
      </c>
      <c r="X193" s="14"/>
      <c r="Z193" s="14" t="s">
        <v>2580</v>
      </c>
      <c r="AA193" s="2">
        <f t="shared" ca="1" si="21"/>
        <v>1</v>
      </c>
      <c r="AB193" s="153"/>
      <c r="AC193" s="454" t="str">
        <f t="shared" si="29"/>
        <v>2</v>
      </c>
    </row>
    <row r="194" spans="1:29" ht="72.5" x14ac:dyDescent="0.35">
      <c r="A194" s="169" t="str">
        <f t="shared" si="26"/>
        <v>Closed</v>
      </c>
      <c r="B194" s="222">
        <v>45378</v>
      </c>
      <c r="C194" s="14">
        <v>2312</v>
      </c>
      <c r="D194" s="14" t="s">
        <v>2581</v>
      </c>
      <c r="E194" s="14" t="s">
        <v>27</v>
      </c>
      <c r="F194" s="14" t="s">
        <v>1910</v>
      </c>
      <c r="G194" s="14" t="s">
        <v>1911</v>
      </c>
      <c r="H194" s="14">
        <v>106</v>
      </c>
      <c r="I194" s="176" t="s">
        <v>5</v>
      </c>
      <c r="K194" s="87"/>
      <c r="L194" s="14" t="s">
        <v>2582</v>
      </c>
      <c r="M194" s="324">
        <f t="shared" si="28"/>
        <v>0</v>
      </c>
      <c r="N194" s="14" t="s">
        <v>1879</v>
      </c>
      <c r="O194" s="14" t="s">
        <v>1880</v>
      </c>
      <c r="P194" s="167" t="s">
        <v>147</v>
      </c>
      <c r="Q194" s="14" t="s">
        <v>135</v>
      </c>
      <c r="R194" s="170" t="s">
        <v>234</v>
      </c>
      <c r="S194" s="108">
        <f t="shared" si="20"/>
        <v>45406</v>
      </c>
      <c r="T194" s="79">
        <v>45432</v>
      </c>
      <c r="U194" s="14" t="s">
        <v>2583</v>
      </c>
      <c r="V194" s="14" t="s">
        <v>2584</v>
      </c>
      <c r="W194" s="14" t="s">
        <v>1879</v>
      </c>
      <c r="X194" s="14" t="s">
        <v>1883</v>
      </c>
      <c r="Y194" s="23" t="s">
        <v>1915</v>
      </c>
      <c r="Z194" s="14" t="s">
        <v>2585</v>
      </c>
      <c r="AA194" s="2">
        <f t="shared" ca="1" si="21"/>
        <v>1</v>
      </c>
      <c r="AB194" s="153"/>
      <c r="AC194" s="454" t="str">
        <f t="shared" si="29"/>
        <v>1</v>
      </c>
    </row>
    <row r="195" spans="1:29" ht="43.5" x14ac:dyDescent="0.35">
      <c r="A195" s="169" t="str">
        <f t="shared" si="26"/>
        <v>Closed</v>
      </c>
      <c r="B195" s="222">
        <v>45379</v>
      </c>
      <c r="C195" s="14">
        <v>2312</v>
      </c>
      <c r="D195" s="14" t="s">
        <v>2586</v>
      </c>
      <c r="E195" s="14" t="s">
        <v>192</v>
      </c>
      <c r="F195" s="167" t="s">
        <v>2162</v>
      </c>
      <c r="G195" s="14" t="s">
        <v>1900</v>
      </c>
      <c r="H195" s="14">
        <v>120</v>
      </c>
      <c r="I195" s="176" t="s">
        <v>140</v>
      </c>
      <c r="J195" s="14">
        <v>8501802</v>
      </c>
      <c r="K195" s="87"/>
      <c r="L195" s="14" t="s">
        <v>2587</v>
      </c>
      <c r="M195" s="324">
        <f t="shared" si="28"/>
        <v>0</v>
      </c>
      <c r="N195" s="14" t="s">
        <v>1879</v>
      </c>
      <c r="O195" s="14" t="s">
        <v>1880</v>
      </c>
      <c r="P195" s="167" t="s">
        <v>143</v>
      </c>
      <c r="Q195" s="14"/>
      <c r="R195" s="170">
        <v>0</v>
      </c>
      <c r="S195" s="108">
        <f t="shared" si="20"/>
        <v>45407</v>
      </c>
      <c r="T195" s="79">
        <v>45379</v>
      </c>
      <c r="U195" s="14"/>
      <c r="V195" s="14"/>
      <c r="W195" s="14"/>
      <c r="X195" s="14"/>
      <c r="Y195" s="15" t="s">
        <v>2164</v>
      </c>
      <c r="Z195" s="87"/>
      <c r="AA195" s="2">
        <f t="shared" ca="1" si="21"/>
        <v>1</v>
      </c>
      <c r="AB195" s="153"/>
      <c r="AC195" s="454" t="str">
        <f t="shared" si="29"/>
        <v>1</v>
      </c>
    </row>
    <row r="196" spans="1:29" ht="58" x14ac:dyDescent="0.35">
      <c r="A196" s="169" t="str">
        <f t="shared" si="26"/>
        <v>Closed</v>
      </c>
      <c r="B196" s="222">
        <v>45381</v>
      </c>
      <c r="C196" s="14">
        <v>2312</v>
      </c>
      <c r="D196" s="14" t="s">
        <v>2588</v>
      </c>
      <c r="E196" s="14" t="s">
        <v>8</v>
      </c>
      <c r="F196" s="14"/>
      <c r="G196" s="14"/>
      <c r="H196" s="14">
        <v>124</v>
      </c>
      <c r="I196" s="176" t="s">
        <v>140</v>
      </c>
      <c r="J196" s="14">
        <v>8504143</v>
      </c>
      <c r="K196" s="87"/>
      <c r="L196" s="14" t="s">
        <v>2589</v>
      </c>
      <c r="M196" s="324">
        <f t="shared" si="28"/>
        <v>0</v>
      </c>
      <c r="N196" s="14" t="s">
        <v>1879</v>
      </c>
      <c r="O196" s="14" t="s">
        <v>1879</v>
      </c>
      <c r="P196" s="167" t="s">
        <v>143</v>
      </c>
      <c r="Q196" s="14"/>
      <c r="R196" s="170">
        <v>0</v>
      </c>
      <c r="S196" s="108">
        <f t="shared" si="20"/>
        <v>45409</v>
      </c>
      <c r="T196" s="79">
        <v>45381</v>
      </c>
      <c r="U196" s="14"/>
      <c r="V196" s="14"/>
      <c r="W196" s="14"/>
      <c r="X196" s="14"/>
      <c r="Y196" s="88"/>
      <c r="Z196" s="14"/>
      <c r="AA196" s="2">
        <f t="shared" ca="1" si="21"/>
        <v>1</v>
      </c>
      <c r="AB196" s="153"/>
      <c r="AC196" s="454" t="str">
        <f t="shared" si="29"/>
        <v>1</v>
      </c>
    </row>
    <row r="197" spans="1:29" ht="87" x14ac:dyDescent="0.35">
      <c r="A197" s="169" t="str">
        <f t="shared" si="26"/>
        <v>Closed</v>
      </c>
      <c r="B197" s="222">
        <v>45381</v>
      </c>
      <c r="C197" s="14">
        <v>2312</v>
      </c>
      <c r="D197" s="14" t="s">
        <v>2590</v>
      </c>
      <c r="E197" s="14" t="s">
        <v>31</v>
      </c>
      <c r="F197" s="14" t="s">
        <v>2426</v>
      </c>
      <c r="G197" s="14" t="s">
        <v>1911</v>
      </c>
      <c r="H197" s="14">
        <v>119</v>
      </c>
      <c r="I197" s="176" t="s">
        <v>155</v>
      </c>
      <c r="J197" s="14">
        <v>8509439</v>
      </c>
      <c r="K197" s="87"/>
      <c r="L197" s="14" t="s">
        <v>2591</v>
      </c>
      <c r="M197" s="324">
        <f t="shared" si="28"/>
        <v>0</v>
      </c>
      <c r="N197" s="14" t="s">
        <v>1879</v>
      </c>
      <c r="O197" s="14" t="s">
        <v>1880</v>
      </c>
      <c r="P197" s="167" t="s">
        <v>147</v>
      </c>
      <c r="Q197" s="14" t="s">
        <v>135</v>
      </c>
      <c r="R197" s="170" t="s">
        <v>234</v>
      </c>
      <c r="S197" s="108">
        <f t="shared" si="20"/>
        <v>45409</v>
      </c>
      <c r="T197" s="14" t="s">
        <v>2592</v>
      </c>
      <c r="U197" s="14"/>
      <c r="V197" s="14"/>
      <c r="W197" s="14"/>
      <c r="X197" s="14"/>
      <c r="Y197" s="167" t="s">
        <v>2428</v>
      </c>
      <c r="Z197" s="14" t="s">
        <v>2593</v>
      </c>
      <c r="AA197" s="2">
        <f t="shared" ca="1" si="21"/>
        <v>1</v>
      </c>
      <c r="AB197" s="153"/>
      <c r="AC197" s="454" t="str">
        <f t="shared" si="29"/>
        <v>1</v>
      </c>
    </row>
    <row r="198" spans="1:29" ht="43.5" x14ac:dyDescent="0.35">
      <c r="A198" s="111" t="str">
        <f t="shared" si="26"/>
        <v>Closed</v>
      </c>
      <c r="B198" s="222">
        <v>45383</v>
      </c>
      <c r="C198" s="14">
        <v>2401</v>
      </c>
      <c r="D198" s="14" t="s">
        <v>2594</v>
      </c>
      <c r="E198" s="14" t="s">
        <v>192</v>
      </c>
      <c r="F198" s="14" t="s">
        <v>2064</v>
      </c>
      <c r="G198" s="14"/>
      <c r="H198" s="14"/>
      <c r="I198" s="176" t="s">
        <v>140</v>
      </c>
      <c r="K198" s="87"/>
      <c r="L198" s="14" t="s">
        <v>2595</v>
      </c>
      <c r="M198" s="324">
        <f t="shared" si="28"/>
        <v>0</v>
      </c>
      <c r="N198" s="14" t="s">
        <v>1879</v>
      </c>
      <c r="O198" s="14" t="s">
        <v>1879</v>
      </c>
      <c r="P198" s="167" t="s">
        <v>143</v>
      </c>
      <c r="Q198" s="14"/>
      <c r="R198" s="170">
        <v>0</v>
      </c>
      <c r="S198" s="108">
        <f t="shared" si="20"/>
        <v>45411</v>
      </c>
      <c r="T198" s="79">
        <v>45383</v>
      </c>
      <c r="U198" s="14"/>
      <c r="V198" s="14"/>
      <c r="W198" s="14"/>
      <c r="X198" s="14"/>
      <c r="Y198" s="15" t="s">
        <v>2068</v>
      </c>
      <c r="Z198" s="14"/>
      <c r="AA198" s="2">
        <f t="shared" ca="1" si="21"/>
        <v>1</v>
      </c>
      <c r="AB198" s="153"/>
      <c r="AC198" s="454" t="str">
        <f t="shared" si="29"/>
        <v/>
      </c>
    </row>
    <row r="199" spans="1:29" ht="43.5" x14ac:dyDescent="0.35">
      <c r="A199" s="111" t="str">
        <f t="shared" si="26"/>
        <v>Closed</v>
      </c>
      <c r="B199" s="222">
        <v>45383</v>
      </c>
      <c r="C199" s="14">
        <v>2401</v>
      </c>
      <c r="D199" s="14" t="s">
        <v>2596</v>
      </c>
      <c r="E199" s="14" t="s">
        <v>42</v>
      </c>
      <c r="F199" s="14" t="s">
        <v>2212</v>
      </c>
      <c r="G199" s="14" t="s">
        <v>1911</v>
      </c>
      <c r="H199" s="14">
        <v>115</v>
      </c>
      <c r="I199" s="176" t="s">
        <v>4</v>
      </c>
      <c r="J199" s="14">
        <v>81820</v>
      </c>
      <c r="K199" s="14" t="s">
        <v>137</v>
      </c>
      <c r="L199" s="14" t="s">
        <v>2597</v>
      </c>
      <c r="M199" s="324">
        <v>0</v>
      </c>
      <c r="N199" s="14" t="s">
        <v>1879</v>
      </c>
      <c r="O199" s="14" t="s">
        <v>1880</v>
      </c>
      <c r="P199" s="167" t="s">
        <v>139</v>
      </c>
      <c r="Q199" s="14" t="s">
        <v>138</v>
      </c>
      <c r="R199" s="170" t="s">
        <v>234</v>
      </c>
      <c r="S199" s="108">
        <f t="shared" si="20"/>
        <v>45411</v>
      </c>
      <c r="T199" s="79">
        <v>45388</v>
      </c>
      <c r="U199" s="14" t="s">
        <v>2598</v>
      </c>
      <c r="V199" s="14" t="s">
        <v>2599</v>
      </c>
      <c r="W199" s="14" t="s">
        <v>1879</v>
      </c>
      <c r="X199" s="14" t="s">
        <v>1880</v>
      </c>
      <c r="Y199" s="14" t="s">
        <v>2216</v>
      </c>
      <c r="Z199" s="14" t="s">
        <v>2600</v>
      </c>
      <c r="AA199" s="2">
        <f t="shared" ca="1" si="21"/>
        <v>1</v>
      </c>
      <c r="AB199" s="153"/>
      <c r="AC199" s="454" t="str">
        <f t="shared" si="29"/>
        <v>1</v>
      </c>
    </row>
    <row r="200" spans="1:29" ht="43.5" x14ac:dyDescent="0.35">
      <c r="A200" s="111" t="str">
        <f t="shared" si="26"/>
        <v>Closed</v>
      </c>
      <c r="B200" s="222">
        <v>45383</v>
      </c>
      <c r="C200" s="14">
        <v>2401</v>
      </c>
      <c r="D200" s="14" t="s">
        <v>2601</v>
      </c>
      <c r="E200" s="14" t="s">
        <v>27</v>
      </c>
      <c r="F200" s="14" t="s">
        <v>2048</v>
      </c>
      <c r="G200" s="14" t="s">
        <v>1900</v>
      </c>
      <c r="H200" s="14">
        <v>111</v>
      </c>
      <c r="I200" s="176" t="s">
        <v>140</v>
      </c>
      <c r="K200" s="87"/>
      <c r="L200" s="14" t="s">
        <v>2602</v>
      </c>
      <c r="M200" s="324">
        <f t="shared" ref="M200:M206" si="30">IF(I200="Staff Accident","Entry Required",IF(I200="Assaults","Entry Required",0))</f>
        <v>0</v>
      </c>
      <c r="N200" s="14" t="s">
        <v>1879</v>
      </c>
      <c r="O200" s="14" t="s">
        <v>1880</v>
      </c>
      <c r="P200" s="167" t="s">
        <v>143</v>
      </c>
      <c r="Q200" s="14"/>
      <c r="R200" s="170">
        <v>0</v>
      </c>
      <c r="S200" s="108">
        <f t="shared" si="20"/>
        <v>45411</v>
      </c>
      <c r="T200" s="79">
        <v>45383</v>
      </c>
      <c r="U200" s="14"/>
      <c r="V200" s="14"/>
      <c r="W200" s="14"/>
      <c r="X200" s="14"/>
      <c r="Y200" s="167" t="s">
        <v>2050</v>
      </c>
      <c r="Z200" s="14"/>
      <c r="AA200" s="2">
        <f t="shared" ca="1" si="21"/>
        <v>1</v>
      </c>
      <c r="AB200" s="153"/>
      <c r="AC200" s="454" t="str">
        <f t="shared" si="29"/>
        <v>1</v>
      </c>
    </row>
    <row r="201" spans="1:29" ht="116" x14ac:dyDescent="0.35">
      <c r="A201" s="111" t="str">
        <f t="shared" si="26"/>
        <v>Closed</v>
      </c>
      <c r="B201" s="222">
        <v>45384</v>
      </c>
      <c r="C201" s="14">
        <v>2401</v>
      </c>
      <c r="D201" s="14" t="s">
        <v>2603</v>
      </c>
      <c r="E201" s="14" t="s">
        <v>42</v>
      </c>
      <c r="F201" s="14" t="s">
        <v>1925</v>
      </c>
      <c r="G201" s="14" t="s">
        <v>1900</v>
      </c>
      <c r="H201" s="14">
        <v>202</v>
      </c>
      <c r="I201" s="176" t="s">
        <v>4</v>
      </c>
      <c r="J201" s="14">
        <v>8501823</v>
      </c>
      <c r="K201" s="14" t="s">
        <v>137</v>
      </c>
      <c r="L201" s="14" t="s">
        <v>2604</v>
      </c>
      <c r="M201" s="324">
        <v>0</v>
      </c>
      <c r="N201" s="14" t="s">
        <v>1879</v>
      </c>
      <c r="O201" s="14" t="s">
        <v>1879</v>
      </c>
      <c r="P201" s="167" t="s">
        <v>139</v>
      </c>
      <c r="Q201" s="14" t="s">
        <v>138</v>
      </c>
      <c r="R201" s="170" t="s">
        <v>234</v>
      </c>
      <c r="S201" s="108">
        <f t="shared" si="20"/>
        <v>45412</v>
      </c>
      <c r="T201" s="79">
        <v>45390</v>
      </c>
      <c r="U201" s="14" t="s">
        <v>2605</v>
      </c>
      <c r="V201" s="14" t="s">
        <v>2451</v>
      </c>
      <c r="W201" s="14" t="s">
        <v>1879</v>
      </c>
      <c r="X201" s="14" t="s">
        <v>1879</v>
      </c>
      <c r="Y201" s="167" t="s">
        <v>1929</v>
      </c>
      <c r="Z201" s="14" t="s">
        <v>2606</v>
      </c>
      <c r="AA201" s="2">
        <f t="shared" ca="1" si="21"/>
        <v>1</v>
      </c>
      <c r="AB201" s="153"/>
      <c r="AC201" s="454" t="e">
        <f>LEFT(#REF!,1)</f>
        <v>#REF!</v>
      </c>
    </row>
    <row r="202" spans="1:29" ht="130.5" x14ac:dyDescent="0.35">
      <c r="A202" s="111" t="str">
        <f t="shared" si="26"/>
        <v>Closed</v>
      </c>
      <c r="B202" s="222">
        <v>45385</v>
      </c>
      <c r="C202" s="14">
        <v>2401</v>
      </c>
      <c r="D202" s="14" t="s">
        <v>2607</v>
      </c>
      <c r="E202" s="14" t="s">
        <v>192</v>
      </c>
      <c r="F202" s="14" t="s">
        <v>2245</v>
      </c>
      <c r="G202" s="14"/>
      <c r="H202" s="101"/>
      <c r="I202" s="176" t="s">
        <v>140</v>
      </c>
      <c r="K202" s="87"/>
      <c r="L202" s="14" t="s">
        <v>2608</v>
      </c>
      <c r="M202" s="324">
        <f t="shared" si="30"/>
        <v>0</v>
      </c>
      <c r="N202" s="14" t="s">
        <v>1879</v>
      </c>
      <c r="O202" s="14" t="s">
        <v>1880</v>
      </c>
      <c r="P202" s="167" t="s">
        <v>143</v>
      </c>
      <c r="Q202" s="14"/>
      <c r="R202" s="170">
        <v>0</v>
      </c>
      <c r="S202" s="108">
        <f t="shared" si="20"/>
        <v>45413</v>
      </c>
      <c r="T202" s="79">
        <v>45385</v>
      </c>
      <c r="U202" s="14"/>
      <c r="V202" s="14"/>
      <c r="W202" s="14"/>
      <c r="X202" s="14"/>
      <c r="Z202" s="14"/>
      <c r="AA202" s="2">
        <f t="shared" ca="1" si="21"/>
        <v>1</v>
      </c>
      <c r="AB202" s="153"/>
      <c r="AC202" s="454" t="str">
        <f>LEFT(H201,1)</f>
        <v>2</v>
      </c>
    </row>
    <row r="203" spans="1:29" ht="43.5" x14ac:dyDescent="0.35">
      <c r="A203" s="111" t="str">
        <f t="shared" si="26"/>
        <v>Closed</v>
      </c>
      <c r="B203" s="222">
        <v>45385</v>
      </c>
      <c r="C203" s="14">
        <v>2401</v>
      </c>
      <c r="D203" s="14" t="s">
        <v>2609</v>
      </c>
      <c r="E203" s="14" t="s">
        <v>192</v>
      </c>
      <c r="F203" s="14" t="s">
        <v>2610</v>
      </c>
      <c r="G203" s="14"/>
      <c r="H203" s="14">
        <v>118</v>
      </c>
      <c r="I203" s="176" t="s">
        <v>140</v>
      </c>
      <c r="K203" s="87"/>
      <c r="L203" s="14" t="s">
        <v>2611</v>
      </c>
      <c r="M203" s="324">
        <f t="shared" si="30"/>
        <v>0</v>
      </c>
      <c r="N203" s="14" t="s">
        <v>1879</v>
      </c>
      <c r="O203" s="14" t="s">
        <v>1879</v>
      </c>
      <c r="P203" s="167" t="s">
        <v>143</v>
      </c>
      <c r="Q203" s="14"/>
      <c r="R203" s="170">
        <v>0</v>
      </c>
      <c r="S203" s="108">
        <f t="shared" si="20"/>
        <v>45413</v>
      </c>
      <c r="T203" s="79">
        <v>45385</v>
      </c>
      <c r="U203" s="14"/>
      <c r="V203" s="14"/>
      <c r="W203" s="14"/>
      <c r="X203" s="14"/>
      <c r="Z203" s="14"/>
      <c r="AA203" s="2">
        <f t="shared" ca="1" si="21"/>
        <v>1</v>
      </c>
      <c r="AB203" s="153"/>
      <c r="AC203" s="454" t="str">
        <f>LEFT(H203,1)</f>
        <v>1</v>
      </c>
    </row>
    <row r="204" spans="1:29" ht="43.5" x14ac:dyDescent="0.35">
      <c r="A204" s="111" t="str">
        <f t="shared" si="26"/>
        <v>Closed</v>
      </c>
      <c r="B204" s="222">
        <v>45385</v>
      </c>
      <c r="C204" s="14">
        <v>2401</v>
      </c>
      <c r="D204" s="14" t="s">
        <v>2612</v>
      </c>
      <c r="E204" s="14" t="s">
        <v>180</v>
      </c>
      <c r="F204" s="14" t="s">
        <v>2060</v>
      </c>
      <c r="G204" s="14" t="s">
        <v>1900</v>
      </c>
      <c r="H204" s="30"/>
      <c r="I204" s="14" t="s">
        <v>140</v>
      </c>
      <c r="K204" s="87"/>
      <c r="L204" s="329" t="s">
        <v>2613</v>
      </c>
      <c r="M204" s="324">
        <f t="shared" si="30"/>
        <v>0</v>
      </c>
      <c r="N204" s="14" t="s">
        <v>1879</v>
      </c>
      <c r="O204" s="14" t="s">
        <v>1879</v>
      </c>
      <c r="P204" s="167" t="s">
        <v>143</v>
      </c>
      <c r="Q204" s="14"/>
      <c r="R204" s="170">
        <v>0</v>
      </c>
      <c r="S204" s="108">
        <f t="shared" si="20"/>
        <v>45413</v>
      </c>
      <c r="T204" s="79">
        <v>45385</v>
      </c>
      <c r="U204" s="14"/>
      <c r="V204" s="14"/>
      <c r="W204" s="14"/>
      <c r="X204" s="14"/>
      <c r="Y204" s="466" t="s">
        <v>2062</v>
      </c>
      <c r="Z204" s="14"/>
      <c r="AA204" s="2">
        <f t="shared" ca="1" si="21"/>
        <v>1</v>
      </c>
      <c r="AB204" s="153"/>
      <c r="AC204" s="454" t="str">
        <f>LEFT(H204,1)</f>
        <v/>
      </c>
    </row>
    <row r="205" spans="1:29" x14ac:dyDescent="0.35">
      <c r="A205" s="111" t="str">
        <f t="shared" si="26"/>
        <v>Closed</v>
      </c>
      <c r="B205" s="222">
        <v>45386</v>
      </c>
      <c r="C205" s="14">
        <v>2401</v>
      </c>
      <c r="D205" s="14" t="s">
        <v>2614</v>
      </c>
      <c r="E205" s="14" t="s">
        <v>31</v>
      </c>
      <c r="F205" s="14" t="s">
        <v>1972</v>
      </c>
      <c r="G205" s="14"/>
      <c r="H205" s="14"/>
      <c r="I205" s="176" t="s">
        <v>155</v>
      </c>
      <c r="K205" s="87"/>
      <c r="L205" s="14" t="s">
        <v>2615</v>
      </c>
      <c r="M205" s="324">
        <f t="shared" si="30"/>
        <v>0</v>
      </c>
      <c r="N205" s="14" t="s">
        <v>1879</v>
      </c>
      <c r="O205" s="14" t="s">
        <v>1879</v>
      </c>
      <c r="P205" s="167" t="s">
        <v>147</v>
      </c>
      <c r="Q205" s="14" t="s">
        <v>184</v>
      </c>
      <c r="R205" s="170" t="s">
        <v>234</v>
      </c>
      <c r="S205" s="108">
        <f t="shared" ref="S205:S266" si="31">IF(B205="","",B205+28)</f>
        <v>45414</v>
      </c>
      <c r="T205" s="79">
        <v>45392</v>
      </c>
      <c r="U205" s="14"/>
      <c r="V205" s="14"/>
      <c r="W205" s="14"/>
      <c r="X205" s="14"/>
      <c r="Z205" s="14"/>
      <c r="AA205" s="2">
        <f t="shared" ca="1" si="21"/>
        <v>1</v>
      </c>
      <c r="AB205" s="153"/>
      <c r="AC205" s="454" t="e">
        <f>LEFT(#REF!,1)</f>
        <v>#REF!</v>
      </c>
    </row>
    <row r="206" spans="1:29" ht="87" x14ac:dyDescent="0.35">
      <c r="A206" s="111" t="str">
        <f t="shared" si="26"/>
        <v>Closed</v>
      </c>
      <c r="B206" s="222">
        <v>45386</v>
      </c>
      <c r="C206" s="14">
        <v>2401</v>
      </c>
      <c r="D206" s="14" t="s">
        <v>2616</v>
      </c>
      <c r="E206" s="14" t="s">
        <v>64</v>
      </c>
      <c r="F206" s="14" t="s">
        <v>2056</v>
      </c>
      <c r="G206" s="14" t="s">
        <v>1900</v>
      </c>
      <c r="I206" s="14" t="s">
        <v>140</v>
      </c>
      <c r="K206" s="87"/>
      <c r="L206" s="30" t="s">
        <v>2617</v>
      </c>
      <c r="M206" s="324">
        <f t="shared" si="30"/>
        <v>0</v>
      </c>
      <c r="N206" s="14" t="s">
        <v>1879</v>
      </c>
      <c r="O206" s="14" t="s">
        <v>1879</v>
      </c>
      <c r="P206" s="167" t="s">
        <v>143</v>
      </c>
      <c r="Q206" s="14"/>
      <c r="R206" s="170">
        <v>0</v>
      </c>
      <c r="S206" s="108">
        <f t="shared" si="31"/>
        <v>45414</v>
      </c>
      <c r="T206" s="79">
        <v>45386</v>
      </c>
      <c r="U206" s="14"/>
      <c r="V206" s="14"/>
      <c r="W206" s="14"/>
      <c r="X206" s="14"/>
      <c r="Y206" s="167" t="s">
        <v>2058</v>
      </c>
      <c r="Z206" s="14"/>
      <c r="AA206" s="2">
        <f t="shared" ca="1" si="21"/>
        <v>1</v>
      </c>
      <c r="AB206" s="153"/>
      <c r="AC206" s="454" t="e">
        <f>LEFT(#REF!,1)</f>
        <v>#REF!</v>
      </c>
    </row>
    <row r="207" spans="1:29" ht="43.5" x14ac:dyDescent="0.35">
      <c r="A207" s="89" t="str">
        <f t="shared" si="26"/>
        <v>Closed</v>
      </c>
      <c r="B207" s="222">
        <v>45387</v>
      </c>
      <c r="C207" s="14">
        <v>2401</v>
      </c>
      <c r="D207" s="14" t="s">
        <v>2618</v>
      </c>
      <c r="E207" s="14" t="s">
        <v>38</v>
      </c>
      <c r="F207" s="14" t="s">
        <v>1972</v>
      </c>
      <c r="G207" s="14"/>
      <c r="H207" s="14"/>
      <c r="I207" s="176" t="s">
        <v>2</v>
      </c>
      <c r="K207" s="85" t="s">
        <v>137</v>
      </c>
      <c r="L207" s="14" t="s">
        <v>2619</v>
      </c>
      <c r="M207" s="324">
        <v>0</v>
      </c>
      <c r="N207" s="14" t="s">
        <v>1879</v>
      </c>
      <c r="O207" s="14" t="s">
        <v>1879</v>
      </c>
      <c r="P207" s="167" t="s">
        <v>143</v>
      </c>
      <c r="Q207" s="14"/>
      <c r="R207" s="223">
        <v>0</v>
      </c>
      <c r="S207" s="224">
        <f t="shared" si="31"/>
        <v>45415</v>
      </c>
      <c r="T207" s="79">
        <v>45537</v>
      </c>
      <c r="U207" s="14"/>
      <c r="V207" s="14"/>
      <c r="W207" s="14"/>
      <c r="X207" s="14"/>
      <c r="Z207" s="14" t="s">
        <v>342</v>
      </c>
      <c r="AA207" s="2">
        <f t="shared" ref="AA207:AA270" ca="1" si="32">IF(B207="",3,IF(S207&lt;$A$1,1,0))</f>
        <v>1</v>
      </c>
      <c r="AB207" s="153"/>
      <c r="AC207" s="454" t="e">
        <f>LEFT(#REF!,1)</f>
        <v>#REF!</v>
      </c>
    </row>
    <row r="208" spans="1:29" ht="43.5" x14ac:dyDescent="0.35">
      <c r="A208" s="111" t="str">
        <f t="shared" si="26"/>
        <v>Closed</v>
      </c>
      <c r="B208" s="222">
        <v>45388</v>
      </c>
      <c r="C208" s="14">
        <v>2401</v>
      </c>
      <c r="D208" s="14" t="s">
        <v>2620</v>
      </c>
      <c r="E208" s="14" t="s">
        <v>27</v>
      </c>
      <c r="F208" s="167" t="s">
        <v>2349</v>
      </c>
      <c r="G208" s="14" t="s">
        <v>1900</v>
      </c>
      <c r="H208" s="14"/>
      <c r="I208" s="176" t="s">
        <v>5</v>
      </c>
      <c r="J208" s="14">
        <v>86735</v>
      </c>
      <c r="K208" s="87"/>
      <c r="L208" s="14" t="s">
        <v>2621</v>
      </c>
      <c r="M208" s="324">
        <f>IF(I208="Staff Accident","Entry Required",IF(I208="Assaults","Entry Required",0))</f>
        <v>0</v>
      </c>
      <c r="N208" s="14" t="s">
        <v>1879</v>
      </c>
      <c r="O208" s="14" t="s">
        <v>1880</v>
      </c>
      <c r="P208" s="167" t="s">
        <v>147</v>
      </c>
      <c r="Q208" s="14" t="s">
        <v>175</v>
      </c>
      <c r="R208" s="170" t="s">
        <v>234</v>
      </c>
      <c r="S208" s="108">
        <f t="shared" si="31"/>
        <v>45416</v>
      </c>
      <c r="T208" s="79">
        <v>45338</v>
      </c>
      <c r="U208" s="14" t="s">
        <v>2622</v>
      </c>
      <c r="V208" s="14" t="s">
        <v>2623</v>
      </c>
      <c r="W208" s="14" t="s">
        <v>1879</v>
      </c>
      <c r="X208" s="14" t="s">
        <v>1883</v>
      </c>
      <c r="Y208" s="14" t="s">
        <v>2351</v>
      </c>
      <c r="Z208" s="14" t="s">
        <v>2624</v>
      </c>
      <c r="AA208" s="2">
        <f t="shared" ca="1" si="32"/>
        <v>1</v>
      </c>
      <c r="AB208" s="153"/>
      <c r="AC208" s="454" t="e">
        <f>LEFT(#REF!,1)</f>
        <v>#REF!</v>
      </c>
    </row>
    <row r="209" spans="1:29" ht="29" x14ac:dyDescent="0.35">
      <c r="A209" s="111" t="str">
        <f t="shared" si="26"/>
        <v>Closed</v>
      </c>
      <c r="B209" s="222">
        <v>45388</v>
      </c>
      <c r="C209" s="14">
        <v>2401</v>
      </c>
      <c r="D209" s="14" t="s">
        <v>2625</v>
      </c>
      <c r="E209" s="14" t="s">
        <v>8</v>
      </c>
      <c r="F209" s="14" t="s">
        <v>2212</v>
      </c>
      <c r="G209" s="14" t="s">
        <v>1911</v>
      </c>
      <c r="H209" s="14">
        <v>113</v>
      </c>
      <c r="I209" s="176" t="s">
        <v>140</v>
      </c>
      <c r="K209" s="87"/>
      <c r="L209" s="14" t="s">
        <v>2626</v>
      </c>
      <c r="M209" s="324">
        <f>IF(I209="Staff Accident","Entry Required",IF(I209="Assaults","Entry Required",0))</f>
        <v>0</v>
      </c>
      <c r="N209" s="14" t="s">
        <v>1879</v>
      </c>
      <c r="O209" s="14" t="s">
        <v>1879</v>
      </c>
      <c r="P209" s="167" t="s">
        <v>143</v>
      </c>
      <c r="Q209" s="14"/>
      <c r="R209" s="170">
        <v>0</v>
      </c>
      <c r="S209" s="108">
        <f t="shared" si="31"/>
        <v>45416</v>
      </c>
      <c r="T209" s="79">
        <v>45388</v>
      </c>
      <c r="U209" s="14"/>
      <c r="V209" s="14"/>
      <c r="W209" s="14"/>
      <c r="X209" s="14"/>
      <c r="Y209" s="14" t="s">
        <v>2216</v>
      </c>
      <c r="Z209" s="14"/>
      <c r="AA209" s="2">
        <f t="shared" ca="1" si="32"/>
        <v>1</v>
      </c>
      <c r="AB209" s="153"/>
      <c r="AC209" s="454" t="e">
        <f>LEFT(#REF!,1)</f>
        <v>#REF!</v>
      </c>
    </row>
    <row r="210" spans="1:29" ht="130.5" x14ac:dyDescent="0.45">
      <c r="A210" s="111" t="str">
        <f t="shared" si="26"/>
        <v>Closed</v>
      </c>
      <c r="B210" s="222">
        <v>45388</v>
      </c>
      <c r="C210" s="14">
        <v>2401</v>
      </c>
      <c r="D210" s="14" t="s">
        <v>2627</v>
      </c>
      <c r="E210" s="14" t="s">
        <v>192</v>
      </c>
      <c r="F210" s="14" t="s">
        <v>2338</v>
      </c>
      <c r="G210" s="14" t="s">
        <v>1900</v>
      </c>
      <c r="H210" s="14"/>
      <c r="I210" s="176" t="s">
        <v>140</v>
      </c>
      <c r="K210" s="87"/>
      <c r="L210" s="14" t="s">
        <v>2628</v>
      </c>
      <c r="M210" s="324">
        <f>IF(H209="Staff Accident","Entry Required",IF(H209="Assaults","Entry Required",0))</f>
        <v>0</v>
      </c>
      <c r="N210" s="14" t="s">
        <v>1879</v>
      </c>
      <c r="O210" s="14" t="s">
        <v>1879</v>
      </c>
      <c r="P210" s="167" t="s">
        <v>143</v>
      </c>
      <c r="Q210" s="14"/>
      <c r="R210" s="170">
        <v>0</v>
      </c>
      <c r="S210" s="108">
        <f t="shared" si="31"/>
        <v>45416</v>
      </c>
      <c r="T210" s="79">
        <v>45388</v>
      </c>
      <c r="U210" s="14"/>
      <c r="V210" s="14"/>
      <c r="W210" s="14"/>
      <c r="X210" s="14"/>
      <c r="Y210" s="463" t="s">
        <v>2340</v>
      </c>
      <c r="Z210" s="14"/>
      <c r="AA210" s="2">
        <f t="shared" ca="1" si="32"/>
        <v>1</v>
      </c>
      <c r="AB210" s="153"/>
      <c r="AC210" s="454" t="e">
        <f>LEFT(#REF!,1)</f>
        <v>#REF!</v>
      </c>
    </row>
    <row r="211" spans="1:29" ht="58" x14ac:dyDescent="0.35">
      <c r="A211" s="111" t="str">
        <f t="shared" si="26"/>
        <v>Closed</v>
      </c>
      <c r="B211" s="222">
        <v>45389</v>
      </c>
      <c r="C211" s="14">
        <v>2401</v>
      </c>
      <c r="D211" s="14" t="s">
        <v>2629</v>
      </c>
      <c r="E211" s="30" t="s">
        <v>8</v>
      </c>
      <c r="F211" s="14"/>
      <c r="G211" s="14"/>
      <c r="H211" s="14">
        <v>206</v>
      </c>
      <c r="I211" s="176" t="s">
        <v>140</v>
      </c>
      <c r="K211" s="87"/>
      <c r="L211" s="14" t="s">
        <v>2630</v>
      </c>
      <c r="M211" s="324">
        <f>IF(I211="Staff Accident","Entry Required",IF(I211="Assaults","Entry Required",0))</f>
        <v>0</v>
      </c>
      <c r="N211" s="14" t="s">
        <v>1879</v>
      </c>
      <c r="O211" s="14" t="s">
        <v>1879</v>
      </c>
      <c r="P211" s="167" t="s">
        <v>143</v>
      </c>
      <c r="Q211" s="14"/>
      <c r="R211" s="170">
        <v>0</v>
      </c>
      <c r="S211" s="108">
        <f t="shared" si="31"/>
        <v>45417</v>
      </c>
      <c r="T211" s="79">
        <v>45389</v>
      </c>
      <c r="U211" s="14"/>
      <c r="V211" s="14"/>
      <c r="W211" s="14"/>
      <c r="X211" s="14"/>
      <c r="Z211" s="14"/>
      <c r="AA211" s="2">
        <f t="shared" ca="1" si="32"/>
        <v>1</v>
      </c>
      <c r="AB211" s="153"/>
      <c r="AC211" s="454" t="e">
        <f>LEFT(#REF!,1)</f>
        <v>#REF!</v>
      </c>
    </row>
    <row r="212" spans="1:29" x14ac:dyDescent="0.35">
      <c r="A212" s="111" t="str">
        <f t="shared" si="26"/>
        <v>Closed</v>
      </c>
      <c r="B212" s="222">
        <v>45390</v>
      </c>
      <c r="C212" s="14">
        <v>2401</v>
      </c>
      <c r="D212" s="14" t="s">
        <v>2631</v>
      </c>
      <c r="E212" s="14" t="s">
        <v>8</v>
      </c>
      <c r="F212" s="14" t="s">
        <v>1921</v>
      </c>
      <c r="G212" s="14" t="s">
        <v>1911</v>
      </c>
      <c r="H212" s="14"/>
      <c r="I212" s="176" t="s">
        <v>140</v>
      </c>
      <c r="K212" s="87"/>
      <c r="L212" s="14" t="s">
        <v>2632</v>
      </c>
      <c r="M212" s="324">
        <f>IF(I212="Staff Accident","Entry Required",IF(I212="Assaults","Entry Required",0))</f>
        <v>0</v>
      </c>
      <c r="N212" s="14" t="s">
        <v>1879</v>
      </c>
      <c r="O212" s="14" t="s">
        <v>1879</v>
      </c>
      <c r="P212" s="167" t="s">
        <v>143</v>
      </c>
      <c r="Q212" s="14"/>
      <c r="R212" s="170">
        <v>0</v>
      </c>
      <c r="S212" s="108">
        <f t="shared" si="31"/>
        <v>45418</v>
      </c>
      <c r="T212" s="79">
        <v>45390</v>
      </c>
      <c r="U212" s="14"/>
      <c r="V212" s="14"/>
      <c r="W212" s="14"/>
      <c r="X212" s="14"/>
      <c r="Y212" s="14" t="s">
        <v>1923</v>
      </c>
      <c r="Z212" s="14"/>
      <c r="AA212" s="2">
        <f t="shared" ca="1" si="32"/>
        <v>1</v>
      </c>
      <c r="AB212" s="153"/>
      <c r="AC212" s="454" t="e">
        <f>LEFT(#REF!,1)</f>
        <v>#REF!</v>
      </c>
    </row>
    <row r="213" spans="1:29" ht="72.5" x14ac:dyDescent="0.35">
      <c r="A213" s="111" t="str">
        <f t="shared" si="26"/>
        <v>Closed</v>
      </c>
      <c r="B213" s="222">
        <v>45390</v>
      </c>
      <c r="C213" s="14">
        <v>2401</v>
      </c>
      <c r="D213" s="14" t="s">
        <v>2633</v>
      </c>
      <c r="E213" s="14" t="s">
        <v>31</v>
      </c>
      <c r="F213" s="14" t="s">
        <v>2573</v>
      </c>
      <c r="G213" s="14"/>
      <c r="H213" s="14">
        <v>112</v>
      </c>
      <c r="I213" s="176" t="s">
        <v>155</v>
      </c>
      <c r="K213" s="87"/>
      <c r="L213" s="14" t="s">
        <v>2634</v>
      </c>
      <c r="M213" s="324">
        <f>IF(I213="Staff Accident","Entry Required",IF(I213="Assaults","Entry Required",0))</f>
        <v>0</v>
      </c>
      <c r="N213" s="14" t="s">
        <v>1879</v>
      </c>
      <c r="O213" s="14" t="s">
        <v>1880</v>
      </c>
      <c r="P213" s="167" t="s">
        <v>147</v>
      </c>
      <c r="Q213" s="14" t="s">
        <v>175</v>
      </c>
      <c r="R213" s="170" t="s">
        <v>234</v>
      </c>
      <c r="S213" s="108">
        <f t="shared" si="31"/>
        <v>45418</v>
      </c>
      <c r="T213" s="79">
        <v>45398</v>
      </c>
      <c r="U213" s="14" t="s">
        <v>2635</v>
      </c>
      <c r="V213" s="14" t="s">
        <v>2636</v>
      </c>
      <c r="W213" s="14" t="s">
        <v>1880</v>
      </c>
      <c r="X213" s="14" t="s">
        <v>1880</v>
      </c>
      <c r="Y213" s="85"/>
      <c r="Z213" s="14" t="s">
        <v>2637</v>
      </c>
      <c r="AA213" s="2">
        <f t="shared" ca="1" si="32"/>
        <v>1</v>
      </c>
      <c r="AB213" s="153"/>
      <c r="AC213" s="454" t="str">
        <f t="shared" ref="AC213:AC223" si="33">LEFT(H213,1)</f>
        <v>1</v>
      </c>
    </row>
    <row r="214" spans="1:29" ht="203" x14ac:dyDescent="0.35">
      <c r="A214" s="89" t="str">
        <f t="shared" si="26"/>
        <v>Closed</v>
      </c>
      <c r="B214" s="222">
        <v>45391</v>
      </c>
      <c r="C214" s="14">
        <v>2401</v>
      </c>
      <c r="D214" s="14" t="s">
        <v>1543</v>
      </c>
      <c r="E214" s="14" t="s">
        <v>194</v>
      </c>
      <c r="F214" s="14" t="s">
        <v>1910</v>
      </c>
      <c r="G214" s="14" t="s">
        <v>1900</v>
      </c>
      <c r="H214" s="14"/>
      <c r="I214" s="176" t="s">
        <v>155</v>
      </c>
      <c r="J214" s="14">
        <v>8508846</v>
      </c>
      <c r="K214" s="87"/>
      <c r="L214" s="14" t="s">
        <v>2638</v>
      </c>
      <c r="M214" s="324">
        <f>IF(I214="Staff Accident","Entry Required",IF(I214="Assaults","Entry Required",0))</f>
        <v>0</v>
      </c>
      <c r="N214" s="14" t="s">
        <v>1879</v>
      </c>
      <c r="O214" s="14" t="s">
        <v>1880</v>
      </c>
      <c r="P214" s="167" t="s">
        <v>147</v>
      </c>
      <c r="Q214" s="14" t="s">
        <v>177</v>
      </c>
      <c r="R214" s="223" t="s">
        <v>234</v>
      </c>
      <c r="S214" s="224">
        <f t="shared" si="31"/>
        <v>45419</v>
      </c>
      <c r="T214" s="79">
        <v>45396</v>
      </c>
      <c r="U214" s="14" t="s">
        <v>2639</v>
      </c>
      <c r="V214" s="14" t="s">
        <v>2640</v>
      </c>
      <c r="W214" s="14" t="s">
        <v>1880</v>
      </c>
      <c r="X214" s="176" t="s">
        <v>1880</v>
      </c>
      <c r="Y214" s="15" t="s">
        <v>1915</v>
      </c>
      <c r="Z214" s="87"/>
      <c r="AA214" s="2">
        <f t="shared" ca="1" si="32"/>
        <v>1</v>
      </c>
      <c r="AB214" s="153"/>
      <c r="AC214" s="454" t="str">
        <f t="shared" si="33"/>
        <v/>
      </c>
    </row>
    <row r="215" spans="1:29" ht="29" x14ac:dyDescent="0.35">
      <c r="A215" s="111" t="str">
        <f t="shared" si="26"/>
        <v>Closed</v>
      </c>
      <c r="B215" s="222">
        <v>45392</v>
      </c>
      <c r="C215" s="14">
        <v>2401</v>
      </c>
      <c r="D215" s="14" t="s">
        <v>2641</v>
      </c>
      <c r="E215" s="14" t="s">
        <v>8</v>
      </c>
      <c r="F215" s="14"/>
      <c r="G215" s="14"/>
      <c r="H215" s="14">
        <v>203</v>
      </c>
      <c r="I215" s="176" t="s">
        <v>140</v>
      </c>
      <c r="K215" s="87"/>
      <c r="L215" s="14" t="s">
        <v>2642</v>
      </c>
      <c r="M215" s="324">
        <f>IF(I215="Staff Accident","Entry Required",IF(I215="Assaults","Entry Required",0))</f>
        <v>0</v>
      </c>
      <c r="N215" s="14" t="s">
        <v>1879</v>
      </c>
      <c r="O215" s="14" t="s">
        <v>1879</v>
      </c>
      <c r="P215" s="167" t="s">
        <v>143</v>
      </c>
      <c r="Q215" s="14"/>
      <c r="R215" s="170">
        <v>0</v>
      </c>
      <c r="S215" s="108">
        <f t="shared" si="31"/>
        <v>45420</v>
      </c>
      <c r="T215" s="79">
        <v>45392</v>
      </c>
      <c r="U215" s="14"/>
      <c r="V215" s="14"/>
      <c r="W215" s="14"/>
      <c r="X215" s="14"/>
      <c r="Y215" s="88"/>
      <c r="Z215" s="14"/>
      <c r="AA215" s="2">
        <f t="shared" ca="1" si="32"/>
        <v>1</v>
      </c>
      <c r="AB215" s="153"/>
      <c r="AC215" s="454" t="str">
        <f t="shared" si="33"/>
        <v>2</v>
      </c>
    </row>
    <row r="216" spans="1:29" ht="72.5" x14ac:dyDescent="0.35">
      <c r="A216" s="111" t="str">
        <f t="shared" si="26"/>
        <v>Closed</v>
      </c>
      <c r="B216" s="222">
        <v>45393</v>
      </c>
      <c r="C216" s="14">
        <v>2401</v>
      </c>
      <c r="D216" s="14" t="s">
        <v>2643</v>
      </c>
      <c r="E216" s="14" t="s">
        <v>42</v>
      </c>
      <c r="F216" s="14" t="s">
        <v>1954</v>
      </c>
      <c r="G216" s="14" t="s">
        <v>1911</v>
      </c>
      <c r="H216" s="14">
        <v>205</v>
      </c>
      <c r="I216" s="176" t="s">
        <v>4</v>
      </c>
      <c r="J216" s="14">
        <v>670</v>
      </c>
      <c r="K216" s="14" t="s">
        <v>137</v>
      </c>
      <c r="L216" s="14" t="s">
        <v>2644</v>
      </c>
      <c r="M216" s="324">
        <v>0</v>
      </c>
      <c r="N216" s="14" t="s">
        <v>1879</v>
      </c>
      <c r="O216" s="14" t="s">
        <v>1880</v>
      </c>
      <c r="P216" s="167" t="s">
        <v>147</v>
      </c>
      <c r="Q216" s="14" t="s">
        <v>174</v>
      </c>
      <c r="R216" s="170" t="s">
        <v>234</v>
      </c>
      <c r="S216" s="108">
        <f t="shared" si="31"/>
        <v>45421</v>
      </c>
      <c r="T216" s="79">
        <v>45483</v>
      </c>
      <c r="U216" s="14" t="s">
        <v>2645</v>
      </c>
      <c r="V216" s="14" t="s">
        <v>2646</v>
      </c>
      <c r="W216" s="14" t="s">
        <v>1879</v>
      </c>
      <c r="X216" s="14" t="s">
        <v>154</v>
      </c>
      <c r="Y216" s="14" t="s">
        <v>1956</v>
      </c>
      <c r="Z216" s="14" t="s">
        <v>2647</v>
      </c>
      <c r="AA216" s="2">
        <f t="shared" ca="1" si="32"/>
        <v>1</v>
      </c>
      <c r="AB216" s="153"/>
      <c r="AC216" s="454" t="str">
        <f t="shared" si="33"/>
        <v>2</v>
      </c>
    </row>
    <row r="217" spans="1:29" ht="43.5" x14ac:dyDescent="0.35">
      <c r="A217" s="111" t="str">
        <f t="shared" si="26"/>
        <v>Closed</v>
      </c>
      <c r="B217" s="222">
        <v>45393</v>
      </c>
      <c r="C217" s="14">
        <v>2401</v>
      </c>
      <c r="D217" s="14" t="s">
        <v>2648</v>
      </c>
      <c r="E217" s="14" t="s">
        <v>42</v>
      </c>
      <c r="F217" s="14" t="s">
        <v>1910</v>
      </c>
      <c r="G217" s="14" t="s">
        <v>1911</v>
      </c>
      <c r="H217" s="14">
        <v>205</v>
      </c>
      <c r="I217" s="176" t="s">
        <v>4</v>
      </c>
      <c r="K217" s="14" t="s">
        <v>137</v>
      </c>
      <c r="L217" s="14" t="s">
        <v>2649</v>
      </c>
      <c r="M217" s="324">
        <f>IF(J217="Staff Accident","Entry Required",IF(J217="Assaults","Entry Required",0))</f>
        <v>0</v>
      </c>
      <c r="N217" s="14" t="s">
        <v>2034</v>
      </c>
      <c r="O217" s="14" t="s">
        <v>1880</v>
      </c>
      <c r="P217" s="167" t="s">
        <v>139</v>
      </c>
      <c r="Q217" s="14" t="s">
        <v>138</v>
      </c>
      <c r="R217" s="170" t="s">
        <v>234</v>
      </c>
      <c r="S217" s="108">
        <f t="shared" si="31"/>
        <v>45421</v>
      </c>
      <c r="T217" s="79">
        <v>45414</v>
      </c>
      <c r="U217" s="14" t="s">
        <v>2605</v>
      </c>
      <c r="V217" s="14" t="s">
        <v>2451</v>
      </c>
      <c r="W217" s="14" t="s">
        <v>1879</v>
      </c>
      <c r="X217" s="14" t="s">
        <v>1880</v>
      </c>
      <c r="Y217" s="23" t="s">
        <v>1915</v>
      </c>
      <c r="Z217" s="14"/>
      <c r="AA217" s="2">
        <f t="shared" ca="1" si="32"/>
        <v>1</v>
      </c>
      <c r="AB217" s="153"/>
      <c r="AC217" s="454" t="str">
        <f t="shared" si="33"/>
        <v>2</v>
      </c>
    </row>
    <row r="218" spans="1:29" ht="43.5" x14ac:dyDescent="0.35">
      <c r="A218" s="111" t="str">
        <f t="shared" si="26"/>
        <v>Closed</v>
      </c>
      <c r="B218" s="222">
        <v>45394</v>
      </c>
      <c r="C218" s="14">
        <v>2401</v>
      </c>
      <c r="D218" s="14" t="s">
        <v>2650</v>
      </c>
      <c r="E218" s="14" t="s">
        <v>192</v>
      </c>
      <c r="F218" s="14" t="s">
        <v>2651</v>
      </c>
      <c r="G218" s="14"/>
      <c r="H218" s="14"/>
      <c r="I218" s="176" t="s">
        <v>140</v>
      </c>
      <c r="K218" s="87"/>
      <c r="L218" s="14" t="s">
        <v>2652</v>
      </c>
      <c r="M218" s="324">
        <f>IF(J218="Staff Accident","Entry Required",IF(J218="Assaults","Entry Required",0))</f>
        <v>0</v>
      </c>
      <c r="N218" s="14" t="s">
        <v>1879</v>
      </c>
      <c r="O218" s="14" t="s">
        <v>1879</v>
      </c>
      <c r="P218" s="167" t="s">
        <v>143</v>
      </c>
      <c r="Q218" s="14"/>
      <c r="R218" s="170">
        <f>IF(J218="Staff Accident","Entry Required",IF(J218="Assaults","Entry Required",0))</f>
        <v>0</v>
      </c>
      <c r="S218" s="108">
        <f t="shared" si="31"/>
        <v>45422</v>
      </c>
      <c r="T218" s="79">
        <v>45394</v>
      </c>
      <c r="U218" s="14"/>
      <c r="V218" s="14"/>
      <c r="W218" s="14"/>
      <c r="X218" s="14"/>
      <c r="Z218" s="14"/>
      <c r="AA218" s="2">
        <f t="shared" ca="1" si="32"/>
        <v>1</v>
      </c>
      <c r="AB218" s="153"/>
      <c r="AC218" s="454" t="str">
        <f t="shared" si="33"/>
        <v/>
      </c>
    </row>
    <row r="219" spans="1:29" ht="29" x14ac:dyDescent="0.35">
      <c r="A219" s="111" t="str">
        <f t="shared" si="26"/>
        <v>Closed</v>
      </c>
      <c r="B219" s="222">
        <v>45394</v>
      </c>
      <c r="C219" s="14">
        <v>2401</v>
      </c>
      <c r="D219" s="14" t="s">
        <v>2653</v>
      </c>
      <c r="E219" s="14" t="s">
        <v>31</v>
      </c>
      <c r="F219" s="14" t="s">
        <v>1972</v>
      </c>
      <c r="G219" s="14"/>
      <c r="H219" s="14"/>
      <c r="I219" s="176" t="s">
        <v>140</v>
      </c>
      <c r="K219" s="87"/>
      <c r="L219" s="14" t="s">
        <v>2654</v>
      </c>
      <c r="M219" s="324">
        <f>IF(I219="Staff Accident","Entry Required",IF(I219="Assaults","Entry Required",0))</f>
        <v>0</v>
      </c>
      <c r="N219" s="14" t="s">
        <v>1879</v>
      </c>
      <c r="O219" s="14" t="s">
        <v>1879</v>
      </c>
      <c r="P219" s="167" t="s">
        <v>143</v>
      </c>
      <c r="Q219" s="14"/>
      <c r="R219" s="170">
        <v>0</v>
      </c>
      <c r="S219" s="108">
        <f t="shared" si="31"/>
        <v>45422</v>
      </c>
      <c r="T219" s="79">
        <v>45394</v>
      </c>
      <c r="U219" s="14"/>
      <c r="V219" s="14"/>
      <c r="W219" s="14"/>
      <c r="X219" s="14"/>
      <c r="Z219" s="14"/>
      <c r="AA219" s="2">
        <f t="shared" ca="1" si="32"/>
        <v>1</v>
      </c>
      <c r="AB219" s="153"/>
      <c r="AC219" s="454" t="str">
        <f t="shared" si="33"/>
        <v/>
      </c>
    </row>
    <row r="220" spans="1:29" ht="58" x14ac:dyDescent="0.35">
      <c r="A220" s="111" t="str">
        <f t="shared" si="26"/>
        <v>Closed</v>
      </c>
      <c r="B220" s="222">
        <v>45395</v>
      </c>
      <c r="C220" s="14">
        <v>2401</v>
      </c>
      <c r="D220" s="14" t="s">
        <v>2655</v>
      </c>
      <c r="E220" s="14" t="s">
        <v>78</v>
      </c>
      <c r="F220" s="14" t="s">
        <v>2048</v>
      </c>
      <c r="G220" s="14" t="s">
        <v>1911</v>
      </c>
      <c r="H220" s="14">
        <v>116</v>
      </c>
      <c r="I220" s="176" t="s">
        <v>155</v>
      </c>
      <c r="K220" s="14"/>
      <c r="L220" s="14" t="s">
        <v>2656</v>
      </c>
      <c r="M220" s="324">
        <f>IF(J220="Staff Accident","Entry Required",IF(J220="Assaults","Entry Required",0))</f>
        <v>0</v>
      </c>
      <c r="N220" s="14" t="s">
        <v>1879</v>
      </c>
      <c r="O220" s="14" t="s">
        <v>1880</v>
      </c>
      <c r="P220" s="167" t="s">
        <v>147</v>
      </c>
      <c r="Q220" s="14" t="s">
        <v>153</v>
      </c>
      <c r="R220" s="170" t="s">
        <v>234</v>
      </c>
      <c r="S220" s="108">
        <f t="shared" si="31"/>
        <v>45423</v>
      </c>
      <c r="T220" s="79">
        <v>45367</v>
      </c>
      <c r="U220" s="14" t="s">
        <v>2657</v>
      </c>
      <c r="V220" s="14" t="s">
        <v>2658</v>
      </c>
      <c r="W220" s="14" t="s">
        <v>1880</v>
      </c>
      <c r="X220" s="14" t="s">
        <v>1880</v>
      </c>
      <c r="Y220" s="167" t="s">
        <v>2050</v>
      </c>
      <c r="Z220" s="14" t="s">
        <v>2659</v>
      </c>
      <c r="AA220" s="2">
        <f t="shared" ca="1" si="32"/>
        <v>1</v>
      </c>
      <c r="AB220" s="153"/>
      <c r="AC220" s="454" t="str">
        <f t="shared" si="33"/>
        <v>1</v>
      </c>
    </row>
    <row r="221" spans="1:29" ht="58" x14ac:dyDescent="0.35">
      <c r="A221" s="111" t="str">
        <f t="shared" si="26"/>
        <v>Closed</v>
      </c>
      <c r="B221" s="222">
        <v>45397</v>
      </c>
      <c r="C221" s="14">
        <v>2401</v>
      </c>
      <c r="D221" s="14" t="s">
        <v>2660</v>
      </c>
      <c r="E221" s="14" t="s">
        <v>8</v>
      </c>
      <c r="F221" s="14"/>
      <c r="G221" s="14"/>
      <c r="H221" s="14">
        <v>203</v>
      </c>
      <c r="I221" s="176" t="s">
        <v>140</v>
      </c>
      <c r="K221" s="87"/>
      <c r="L221" s="14" t="s">
        <v>2661</v>
      </c>
      <c r="M221" s="324">
        <f>IF(I221="Staff Accident","Entry Required",IF(I221="Assaults","Entry Required",0))</f>
        <v>0</v>
      </c>
      <c r="N221" s="14" t="s">
        <v>1879</v>
      </c>
      <c r="O221" s="14" t="s">
        <v>1879</v>
      </c>
      <c r="P221" s="167" t="s">
        <v>143</v>
      </c>
      <c r="Q221" s="14"/>
      <c r="R221" s="170">
        <v>0</v>
      </c>
      <c r="S221" s="108">
        <f t="shared" si="31"/>
        <v>45425</v>
      </c>
      <c r="T221" s="79">
        <v>45397</v>
      </c>
      <c r="U221" s="14"/>
      <c r="V221" s="14"/>
      <c r="W221" s="14"/>
      <c r="X221" s="14"/>
      <c r="Z221" s="14"/>
      <c r="AA221" s="2">
        <f t="shared" ca="1" si="32"/>
        <v>1</v>
      </c>
      <c r="AB221" s="153"/>
      <c r="AC221" s="454" t="str">
        <f t="shared" si="33"/>
        <v>2</v>
      </c>
    </row>
    <row r="222" spans="1:29" ht="29" x14ac:dyDescent="0.35">
      <c r="A222" s="111" t="str">
        <f t="shared" si="26"/>
        <v>Closed</v>
      </c>
      <c r="B222" s="222">
        <v>45398</v>
      </c>
      <c r="C222" s="14">
        <v>2401</v>
      </c>
      <c r="D222" s="14" t="s">
        <v>2662</v>
      </c>
      <c r="E222" s="14" t="s">
        <v>64</v>
      </c>
      <c r="F222" s="14"/>
      <c r="G222" s="14"/>
      <c r="H222" s="14"/>
      <c r="I222" s="176" t="s">
        <v>140</v>
      </c>
      <c r="K222" s="87"/>
      <c r="L222" s="14" t="s">
        <v>2663</v>
      </c>
      <c r="M222" s="324">
        <f>IF(I222="Staff Accident","Entry Required",IF(I222="Assaults","Entry Required",0))</f>
        <v>0</v>
      </c>
      <c r="N222" s="14" t="s">
        <v>1879</v>
      </c>
      <c r="O222" s="14" t="s">
        <v>1879</v>
      </c>
      <c r="P222" s="167" t="s">
        <v>143</v>
      </c>
      <c r="Q222" s="14"/>
      <c r="R222" s="170">
        <v>0</v>
      </c>
      <c r="S222" s="108">
        <f t="shared" si="31"/>
        <v>45426</v>
      </c>
      <c r="T222" s="79">
        <v>45398</v>
      </c>
      <c r="U222" s="14"/>
      <c r="V222" s="14"/>
      <c r="W222" s="14"/>
      <c r="X222" s="14"/>
      <c r="Z222" s="14"/>
      <c r="AA222" s="2">
        <f t="shared" ca="1" si="32"/>
        <v>1</v>
      </c>
      <c r="AB222" s="153"/>
      <c r="AC222" s="454" t="str">
        <f t="shared" si="33"/>
        <v/>
      </c>
    </row>
    <row r="223" spans="1:29" ht="43.5" x14ac:dyDescent="0.35">
      <c r="A223" s="111" t="str">
        <f t="shared" si="26"/>
        <v>Closed</v>
      </c>
      <c r="B223" s="222">
        <v>45398</v>
      </c>
      <c r="C223" s="14">
        <v>2401</v>
      </c>
      <c r="D223" s="14" t="s">
        <v>2664</v>
      </c>
      <c r="E223" s="14" t="s">
        <v>8</v>
      </c>
      <c r="F223" s="14" t="s">
        <v>2262</v>
      </c>
      <c r="G223" s="14" t="s">
        <v>1900</v>
      </c>
      <c r="H223" s="14">
        <v>205</v>
      </c>
      <c r="I223" s="176" t="s">
        <v>140</v>
      </c>
      <c r="K223" s="87"/>
      <c r="L223" s="14" t="s">
        <v>2665</v>
      </c>
      <c r="M223" s="324">
        <f>IF(I223="Staff Accident","Entry Required",IF(I223="Assaults","Entry Required",0))</f>
        <v>0</v>
      </c>
      <c r="N223" s="14" t="s">
        <v>1879</v>
      </c>
      <c r="O223" s="14" t="s">
        <v>1879</v>
      </c>
      <c r="P223" s="167" t="s">
        <v>143</v>
      </c>
      <c r="Q223" s="14"/>
      <c r="R223" s="170">
        <v>0</v>
      </c>
      <c r="S223" s="108">
        <f t="shared" si="31"/>
        <v>45426</v>
      </c>
      <c r="T223" s="79">
        <v>45398</v>
      </c>
      <c r="U223" s="14"/>
      <c r="V223" s="14"/>
      <c r="W223" s="14"/>
      <c r="X223" s="14"/>
      <c r="Y223" s="14" t="s">
        <v>2185</v>
      </c>
      <c r="Z223" s="14"/>
      <c r="AA223" s="2">
        <f t="shared" ca="1" si="32"/>
        <v>1</v>
      </c>
      <c r="AB223" s="153"/>
      <c r="AC223" s="454" t="str">
        <f t="shared" si="33"/>
        <v>2</v>
      </c>
    </row>
    <row r="224" spans="1:29" ht="72.5" x14ac:dyDescent="0.35">
      <c r="A224" s="111" t="str">
        <f t="shared" si="26"/>
        <v>Closed</v>
      </c>
      <c r="B224" s="222">
        <v>45399</v>
      </c>
      <c r="C224" s="14">
        <v>2401</v>
      </c>
      <c r="D224" s="14" t="s">
        <v>2666</v>
      </c>
      <c r="E224" s="14" t="s">
        <v>37</v>
      </c>
      <c r="F224" s="167" t="s">
        <v>2162</v>
      </c>
      <c r="G224" s="14" t="s">
        <v>1900</v>
      </c>
      <c r="H224" s="14">
        <v>107</v>
      </c>
      <c r="I224" s="176" t="s">
        <v>5</v>
      </c>
      <c r="J224" s="14">
        <v>788</v>
      </c>
      <c r="K224" s="87"/>
      <c r="L224" s="14" t="s">
        <v>2667</v>
      </c>
      <c r="M224" s="324">
        <f>IF(I224="Staff Accident","Entry Required",IF(I224="Assaults","Entry Required",0))</f>
        <v>0</v>
      </c>
      <c r="N224" s="14" t="s">
        <v>1879</v>
      </c>
      <c r="O224" s="14" t="s">
        <v>1880</v>
      </c>
      <c r="P224" s="167" t="s">
        <v>147</v>
      </c>
      <c r="Q224" s="14" t="s">
        <v>135</v>
      </c>
      <c r="R224" s="170" t="s">
        <v>234</v>
      </c>
      <c r="S224" s="108">
        <f t="shared" si="31"/>
        <v>45427</v>
      </c>
      <c r="T224" s="79">
        <v>45410</v>
      </c>
      <c r="U224" s="14" t="s">
        <v>2668</v>
      </c>
      <c r="V224" s="14" t="s">
        <v>2669</v>
      </c>
      <c r="W224" s="14" t="s">
        <v>1879</v>
      </c>
      <c r="X224" s="14" t="s">
        <v>1883</v>
      </c>
      <c r="Y224" s="15" t="s">
        <v>2164</v>
      </c>
      <c r="Z224" s="87" t="s">
        <v>2670</v>
      </c>
      <c r="AA224" s="2">
        <f t="shared" ca="1" si="32"/>
        <v>1</v>
      </c>
      <c r="AB224" s="153"/>
      <c r="AC224" s="454" t="e">
        <f>LEFT(#REF!,1)</f>
        <v>#REF!</v>
      </c>
    </row>
    <row r="225" spans="1:29" ht="87" x14ac:dyDescent="0.35">
      <c r="A225" s="111" t="str">
        <f t="shared" si="26"/>
        <v>Closed</v>
      </c>
      <c r="B225" s="222">
        <v>45400</v>
      </c>
      <c r="C225" s="14">
        <v>2401</v>
      </c>
      <c r="D225" s="14" t="s">
        <v>2671</v>
      </c>
      <c r="E225" s="14" t="s">
        <v>65</v>
      </c>
      <c r="F225" s="14" t="s">
        <v>2245</v>
      </c>
      <c r="G225" s="14"/>
      <c r="H225" s="14">
        <v>206</v>
      </c>
      <c r="I225" s="176" t="s">
        <v>11</v>
      </c>
      <c r="J225" s="14">
        <v>73323</v>
      </c>
      <c r="K225" s="87"/>
      <c r="L225" s="14" t="s">
        <v>2672</v>
      </c>
      <c r="M225" s="324">
        <f>IF(I225="Staff Accident","Entry Required",IF(I225="Assaults","Entry Required",0))</f>
        <v>0</v>
      </c>
      <c r="N225" s="14" t="s">
        <v>1879</v>
      </c>
      <c r="O225" s="14" t="s">
        <v>1879</v>
      </c>
      <c r="P225" s="167" t="s">
        <v>143</v>
      </c>
      <c r="Q225" s="14"/>
      <c r="R225" s="170">
        <v>0</v>
      </c>
      <c r="S225" s="108">
        <f t="shared" si="31"/>
        <v>45428</v>
      </c>
      <c r="T225" s="79">
        <v>45400</v>
      </c>
      <c r="U225" s="14"/>
      <c r="V225" s="14"/>
      <c r="W225" s="14"/>
      <c r="X225" s="14"/>
      <c r="Y225" s="88"/>
      <c r="Z225" s="30" t="s">
        <v>2673</v>
      </c>
      <c r="AA225" s="2">
        <f t="shared" ca="1" si="32"/>
        <v>1</v>
      </c>
      <c r="AB225" s="153"/>
      <c r="AC225" s="454" t="str">
        <f>LEFT(H225,1)</f>
        <v>2</v>
      </c>
    </row>
    <row r="226" spans="1:29" ht="43.5" x14ac:dyDescent="0.35">
      <c r="A226" s="111" t="str">
        <f t="shared" si="26"/>
        <v>Closed</v>
      </c>
      <c r="B226" s="222">
        <v>45400</v>
      </c>
      <c r="C226" s="14">
        <v>2401</v>
      </c>
      <c r="D226" s="14" t="s">
        <v>702</v>
      </c>
      <c r="E226" s="14" t="s">
        <v>42</v>
      </c>
      <c r="F226" s="14" t="s">
        <v>2048</v>
      </c>
      <c r="H226" s="14">
        <v>113</v>
      </c>
      <c r="I226" s="176" t="s">
        <v>4</v>
      </c>
      <c r="J226" s="14">
        <v>8512678</v>
      </c>
      <c r="K226" s="14" t="s">
        <v>137</v>
      </c>
      <c r="L226" s="14" t="s">
        <v>2674</v>
      </c>
      <c r="M226" s="324">
        <v>0</v>
      </c>
      <c r="N226" s="14" t="s">
        <v>1879</v>
      </c>
      <c r="O226" s="14" t="s">
        <v>1880</v>
      </c>
      <c r="P226" s="167" t="s">
        <v>139</v>
      </c>
      <c r="Q226" s="14" t="s">
        <v>138</v>
      </c>
      <c r="R226" s="170" t="s">
        <v>234</v>
      </c>
      <c r="S226" s="108">
        <f t="shared" si="31"/>
        <v>45428</v>
      </c>
      <c r="T226" s="79">
        <v>45414</v>
      </c>
      <c r="U226" s="14" t="s">
        <v>2675</v>
      </c>
      <c r="V226" s="14" t="s">
        <v>2676</v>
      </c>
      <c r="W226" s="14" t="s">
        <v>1879</v>
      </c>
      <c r="X226" s="14" t="s">
        <v>1880</v>
      </c>
      <c r="Y226" s="167" t="s">
        <v>2050</v>
      </c>
      <c r="Z226" s="14" t="s">
        <v>1884</v>
      </c>
      <c r="AA226" s="2">
        <f t="shared" ca="1" si="32"/>
        <v>1</v>
      </c>
      <c r="AB226" s="153"/>
      <c r="AC226" s="454" t="str">
        <f>LEFT(I226,1)</f>
        <v>A</v>
      </c>
    </row>
    <row r="227" spans="1:29" ht="29" x14ac:dyDescent="0.35">
      <c r="A227" s="89" t="str">
        <f t="shared" si="26"/>
        <v>Closed</v>
      </c>
      <c r="B227" s="222">
        <v>45400</v>
      </c>
      <c r="C227" s="14">
        <v>2401</v>
      </c>
      <c r="D227" s="14" t="s">
        <v>2677</v>
      </c>
      <c r="E227" s="14" t="s">
        <v>42</v>
      </c>
      <c r="F227" s="14" t="s">
        <v>2037</v>
      </c>
      <c r="G227" s="14" t="s">
        <v>1911</v>
      </c>
      <c r="H227" s="14"/>
      <c r="I227" s="176" t="s">
        <v>4</v>
      </c>
      <c r="J227" s="14">
        <v>79797</v>
      </c>
      <c r="K227" s="14" t="s">
        <v>137</v>
      </c>
      <c r="L227" s="14" t="s">
        <v>2678</v>
      </c>
      <c r="M227" s="324">
        <v>0</v>
      </c>
      <c r="N227" s="14" t="s">
        <v>1879</v>
      </c>
      <c r="O227" s="14" t="s">
        <v>1880</v>
      </c>
      <c r="P227" s="167" t="s">
        <v>143</v>
      </c>
      <c r="Q227" s="14" t="s">
        <v>177</v>
      </c>
      <c r="R227" s="223">
        <v>0</v>
      </c>
      <c r="S227" s="224">
        <f t="shared" si="31"/>
        <v>45428</v>
      </c>
      <c r="T227" s="79">
        <v>45902</v>
      </c>
      <c r="U227" s="14"/>
      <c r="V227" s="14"/>
      <c r="W227" s="14"/>
      <c r="X227" s="14"/>
      <c r="Y227" s="167" t="s">
        <v>2039</v>
      </c>
      <c r="Z227" s="14" t="s">
        <v>342</v>
      </c>
      <c r="AA227" s="2">
        <f t="shared" ca="1" si="32"/>
        <v>1</v>
      </c>
      <c r="AB227" s="153"/>
      <c r="AC227" s="454" t="str">
        <f t="shared" ref="AC227:AC256" si="34">LEFT(H227,1)</f>
        <v/>
      </c>
    </row>
    <row r="228" spans="1:29" ht="58" x14ac:dyDescent="0.35">
      <c r="A228" s="89" t="str">
        <f t="shared" si="26"/>
        <v>Closed</v>
      </c>
      <c r="B228" s="222">
        <v>45401</v>
      </c>
      <c r="C228" s="14">
        <v>2401</v>
      </c>
      <c r="D228" s="14" t="s">
        <v>2679</v>
      </c>
      <c r="E228" s="14" t="s">
        <v>27</v>
      </c>
      <c r="F228" s="14" t="s">
        <v>2048</v>
      </c>
      <c r="G228" s="14" t="s">
        <v>1900</v>
      </c>
      <c r="H228" s="30">
        <v>206</v>
      </c>
      <c r="I228" s="14" t="s">
        <v>5</v>
      </c>
      <c r="J228" s="14">
        <v>651</v>
      </c>
      <c r="K228" s="87"/>
      <c r="L228" s="328" t="s">
        <v>2680</v>
      </c>
      <c r="M228" s="324">
        <f t="shared" ref="M228:M236" si="35">IF(I228="Staff Accident","Entry Required",IF(I228="Assaults","Entry Required",0))</f>
        <v>0</v>
      </c>
      <c r="N228" s="14" t="s">
        <v>1879</v>
      </c>
      <c r="O228" s="14" t="s">
        <v>1880</v>
      </c>
      <c r="P228" s="167" t="s">
        <v>147</v>
      </c>
      <c r="Q228" s="14" t="s">
        <v>174</v>
      </c>
      <c r="R228" s="223" t="s">
        <v>234</v>
      </c>
      <c r="S228" s="224">
        <f t="shared" si="31"/>
        <v>45429</v>
      </c>
      <c r="T228" s="79">
        <v>45483</v>
      </c>
      <c r="U228" s="14" t="s">
        <v>2681</v>
      </c>
      <c r="V228" s="14" t="s">
        <v>2681</v>
      </c>
      <c r="W228" s="14" t="s">
        <v>1879</v>
      </c>
      <c r="X228" s="14" t="s">
        <v>1883</v>
      </c>
      <c r="Y228" s="167" t="s">
        <v>2050</v>
      </c>
      <c r="Z228" s="14" t="s">
        <v>2682</v>
      </c>
      <c r="AA228" s="2">
        <f t="shared" ca="1" si="32"/>
        <v>1</v>
      </c>
      <c r="AB228" s="153"/>
      <c r="AC228" s="454" t="str">
        <f t="shared" si="34"/>
        <v>2</v>
      </c>
    </row>
    <row r="229" spans="1:29" ht="58" x14ac:dyDescent="0.35">
      <c r="A229" s="89" t="str">
        <f t="shared" si="26"/>
        <v>Closed</v>
      </c>
      <c r="B229" s="222">
        <v>45401</v>
      </c>
      <c r="C229" s="14">
        <v>2401</v>
      </c>
      <c r="D229" s="14" t="s">
        <v>2683</v>
      </c>
      <c r="E229" s="14" t="s">
        <v>27</v>
      </c>
      <c r="F229" s="14" t="s">
        <v>2099</v>
      </c>
      <c r="G229" s="14" t="s">
        <v>1911</v>
      </c>
      <c r="H229" s="14">
        <v>116</v>
      </c>
      <c r="I229" s="176" t="s">
        <v>5</v>
      </c>
      <c r="J229" s="14">
        <v>60660</v>
      </c>
      <c r="K229" s="87"/>
      <c r="L229" s="14" t="s">
        <v>2684</v>
      </c>
      <c r="M229" s="324">
        <f t="shared" si="35"/>
        <v>0</v>
      </c>
      <c r="N229" s="14" t="s">
        <v>1879</v>
      </c>
      <c r="O229" s="14" t="s">
        <v>1880</v>
      </c>
      <c r="P229" s="167" t="s">
        <v>147</v>
      </c>
      <c r="Q229" s="14" t="s">
        <v>174</v>
      </c>
      <c r="R229" s="223" t="s">
        <v>234</v>
      </c>
      <c r="S229" s="224">
        <f t="shared" si="31"/>
        <v>45429</v>
      </c>
      <c r="T229" s="79">
        <v>45483</v>
      </c>
      <c r="U229" s="14" t="s">
        <v>2493</v>
      </c>
      <c r="V229" s="14" t="s">
        <v>2685</v>
      </c>
      <c r="W229" s="14" t="s">
        <v>1879</v>
      </c>
      <c r="X229" s="14" t="s">
        <v>154</v>
      </c>
      <c r="Y229" s="14" t="s">
        <v>2103</v>
      </c>
      <c r="Z229" s="14" t="s">
        <v>2181</v>
      </c>
      <c r="AA229" s="2">
        <f t="shared" ca="1" si="32"/>
        <v>1</v>
      </c>
      <c r="AB229" s="153"/>
      <c r="AC229" s="454" t="str">
        <f t="shared" si="34"/>
        <v>1</v>
      </c>
    </row>
    <row r="230" spans="1:29" ht="43.5" x14ac:dyDescent="0.35">
      <c r="A230" s="89" t="str">
        <f t="shared" si="26"/>
        <v>Closed</v>
      </c>
      <c r="B230" s="222">
        <v>45401</v>
      </c>
      <c r="C230" s="14">
        <v>2401</v>
      </c>
      <c r="D230" s="14" t="s">
        <v>2686</v>
      </c>
      <c r="E230" s="14" t="s">
        <v>31</v>
      </c>
      <c r="F230" s="14" t="s">
        <v>2687</v>
      </c>
      <c r="G230" s="14" t="s">
        <v>1900</v>
      </c>
      <c r="H230" s="14">
        <v>206</v>
      </c>
      <c r="I230" s="176" t="s">
        <v>155</v>
      </c>
      <c r="J230" s="14">
        <v>788</v>
      </c>
      <c r="K230" s="87"/>
      <c r="L230" s="14" t="s">
        <v>2688</v>
      </c>
      <c r="M230" s="324">
        <f t="shared" si="35"/>
        <v>0</v>
      </c>
      <c r="N230" s="14" t="s">
        <v>1879</v>
      </c>
      <c r="O230" s="14" t="s">
        <v>1879</v>
      </c>
      <c r="P230" s="167" t="s">
        <v>147</v>
      </c>
      <c r="Q230" s="14" t="s">
        <v>135</v>
      </c>
      <c r="R230" s="223" t="s">
        <v>234</v>
      </c>
      <c r="S230" s="224">
        <f t="shared" si="31"/>
        <v>45429</v>
      </c>
      <c r="T230" s="79">
        <v>45902</v>
      </c>
      <c r="U230" s="14"/>
      <c r="V230" s="14"/>
      <c r="W230" s="14"/>
      <c r="X230" s="14"/>
      <c r="Z230" s="14" t="s">
        <v>342</v>
      </c>
      <c r="AA230" s="2">
        <f t="shared" ca="1" si="32"/>
        <v>1</v>
      </c>
      <c r="AB230" s="153"/>
      <c r="AC230" s="454" t="str">
        <f t="shared" si="34"/>
        <v>2</v>
      </c>
    </row>
    <row r="231" spans="1:29" ht="130.5" x14ac:dyDescent="0.35">
      <c r="A231" s="111" t="str">
        <f t="shared" si="26"/>
        <v>Closed</v>
      </c>
      <c r="B231" s="222">
        <v>45401</v>
      </c>
      <c r="C231" s="14">
        <v>2401</v>
      </c>
      <c r="D231" s="14" t="s">
        <v>2689</v>
      </c>
      <c r="E231" s="14" t="s">
        <v>192</v>
      </c>
      <c r="F231" s="14" t="s">
        <v>2136</v>
      </c>
      <c r="G231" s="14" t="s">
        <v>1900</v>
      </c>
      <c r="H231" s="14">
        <v>113</v>
      </c>
      <c r="I231" s="176" t="s">
        <v>140</v>
      </c>
      <c r="J231" s="14">
        <v>60660</v>
      </c>
      <c r="K231" s="87"/>
      <c r="L231" s="14" t="s">
        <v>2690</v>
      </c>
      <c r="M231" s="324">
        <f t="shared" si="35"/>
        <v>0</v>
      </c>
      <c r="N231" s="14" t="s">
        <v>1879</v>
      </c>
      <c r="O231" s="14" t="s">
        <v>1879</v>
      </c>
      <c r="P231" s="167" t="s">
        <v>143</v>
      </c>
      <c r="Q231" s="14"/>
      <c r="R231" s="170">
        <v>0</v>
      </c>
      <c r="S231" s="108">
        <f t="shared" si="31"/>
        <v>45429</v>
      </c>
      <c r="T231" s="79">
        <v>45401</v>
      </c>
      <c r="U231" s="14"/>
      <c r="V231" s="14"/>
      <c r="W231" s="14"/>
      <c r="X231" s="14"/>
      <c r="Y231" s="14" t="s">
        <v>2140</v>
      </c>
      <c r="Z231" s="14"/>
      <c r="AA231" s="2">
        <f t="shared" ca="1" si="32"/>
        <v>1</v>
      </c>
      <c r="AB231" s="153"/>
      <c r="AC231" s="454" t="str">
        <f t="shared" si="34"/>
        <v>1</v>
      </c>
    </row>
    <row r="232" spans="1:29" ht="43.5" x14ac:dyDescent="0.35">
      <c r="A232" s="111" t="str">
        <f t="shared" si="26"/>
        <v>Closed</v>
      </c>
      <c r="B232" s="222">
        <v>45401</v>
      </c>
      <c r="C232" s="14">
        <v>2401</v>
      </c>
      <c r="D232" s="14" t="s">
        <v>2691</v>
      </c>
      <c r="E232" s="14" t="s">
        <v>27</v>
      </c>
      <c r="F232" s="14" t="s">
        <v>2073</v>
      </c>
      <c r="G232" s="14" t="s">
        <v>1900</v>
      </c>
      <c r="H232" s="14"/>
      <c r="I232" s="176" t="s">
        <v>5</v>
      </c>
      <c r="J232" s="14">
        <v>80750</v>
      </c>
      <c r="K232" s="87"/>
      <c r="L232" s="14" t="s">
        <v>2692</v>
      </c>
      <c r="M232" s="324">
        <f t="shared" si="35"/>
        <v>0</v>
      </c>
      <c r="N232" s="14" t="s">
        <v>1879</v>
      </c>
      <c r="O232" s="14" t="s">
        <v>1879</v>
      </c>
      <c r="P232" s="167" t="s">
        <v>147</v>
      </c>
      <c r="Q232" s="112" t="s">
        <v>168</v>
      </c>
      <c r="R232" s="170" t="s">
        <v>234</v>
      </c>
      <c r="S232" s="108">
        <f t="shared" si="31"/>
        <v>45429</v>
      </c>
      <c r="T232" s="79">
        <v>45544</v>
      </c>
      <c r="U232" s="14" t="s">
        <v>2693</v>
      </c>
      <c r="V232" s="14" t="s">
        <v>2102</v>
      </c>
      <c r="W232" s="14" t="s">
        <v>1880</v>
      </c>
      <c r="X232" s="14" t="s">
        <v>1879</v>
      </c>
      <c r="Z232" s="14" t="s">
        <v>2694</v>
      </c>
      <c r="AA232" s="2">
        <f t="shared" ca="1" si="32"/>
        <v>1</v>
      </c>
      <c r="AB232" s="153"/>
      <c r="AC232" s="454" t="str">
        <f t="shared" si="34"/>
        <v/>
      </c>
    </row>
    <row r="233" spans="1:29" ht="43.5" x14ac:dyDescent="0.35">
      <c r="A233" s="111" t="str">
        <f t="shared" ref="A233:A295" si="36">IF(T233&gt;1,"Closed",IF(AA233=1,"Overdue",IF(AA233=3,"","Open")))</f>
        <v>Closed</v>
      </c>
      <c r="B233" s="222">
        <v>45403</v>
      </c>
      <c r="C233" s="14">
        <v>2401</v>
      </c>
      <c r="D233" s="14" t="s">
        <v>2695</v>
      </c>
      <c r="E233" s="14" t="s">
        <v>1997</v>
      </c>
      <c r="F233" s="14" t="s">
        <v>2262</v>
      </c>
      <c r="G233" s="14" t="s">
        <v>1911</v>
      </c>
      <c r="H233" s="14">
        <v>201</v>
      </c>
      <c r="I233" s="176" t="s">
        <v>140</v>
      </c>
      <c r="K233" s="87"/>
      <c r="L233" s="14" t="s">
        <v>2696</v>
      </c>
      <c r="M233" s="324">
        <f t="shared" si="35"/>
        <v>0</v>
      </c>
      <c r="N233" s="14" t="s">
        <v>1879</v>
      </c>
      <c r="O233" s="14" t="s">
        <v>1880</v>
      </c>
      <c r="P233" s="167" t="s">
        <v>143</v>
      </c>
      <c r="Q233" s="14"/>
      <c r="R233" s="170">
        <v>0</v>
      </c>
      <c r="S233" s="108">
        <f t="shared" si="31"/>
        <v>45431</v>
      </c>
      <c r="T233" s="79">
        <v>45403</v>
      </c>
      <c r="U233" s="14"/>
      <c r="V233" s="14"/>
      <c r="W233" s="14"/>
      <c r="X233" s="14"/>
      <c r="Y233" s="88" t="s">
        <v>2185</v>
      </c>
      <c r="Z233" s="14"/>
      <c r="AA233" s="2">
        <f t="shared" ca="1" si="32"/>
        <v>1</v>
      </c>
      <c r="AB233" s="153"/>
      <c r="AC233" s="454" t="str">
        <f t="shared" si="34"/>
        <v>2</v>
      </c>
    </row>
    <row r="234" spans="1:29" ht="72.5" x14ac:dyDescent="0.35">
      <c r="A234" s="111" t="str">
        <f t="shared" si="36"/>
        <v>Closed</v>
      </c>
      <c r="B234" s="222">
        <v>45403</v>
      </c>
      <c r="C234" s="14">
        <v>2401</v>
      </c>
      <c r="D234" s="14" t="s">
        <v>2697</v>
      </c>
      <c r="E234" s="14" t="s">
        <v>192</v>
      </c>
      <c r="F234" s="14" t="s">
        <v>2698</v>
      </c>
      <c r="G234" s="14" t="s">
        <v>1900</v>
      </c>
      <c r="H234" s="14">
        <v>115</v>
      </c>
      <c r="I234" s="176" t="s">
        <v>140</v>
      </c>
      <c r="J234" s="14">
        <v>625</v>
      </c>
      <c r="K234" s="87"/>
      <c r="L234" s="14" t="s">
        <v>2699</v>
      </c>
      <c r="M234" s="324">
        <f t="shared" si="35"/>
        <v>0</v>
      </c>
      <c r="N234" s="14" t="s">
        <v>1879</v>
      </c>
      <c r="O234" s="14" t="s">
        <v>1879</v>
      </c>
      <c r="P234" s="167" t="s">
        <v>143</v>
      </c>
      <c r="Q234" s="14"/>
      <c r="R234" s="170">
        <v>0</v>
      </c>
      <c r="S234" s="108">
        <f t="shared" si="31"/>
        <v>45431</v>
      </c>
      <c r="T234" s="79">
        <v>45403</v>
      </c>
      <c r="U234" s="14"/>
      <c r="V234" s="14"/>
      <c r="W234" s="14"/>
      <c r="X234" s="14"/>
      <c r="Y234" s="15" t="s">
        <v>2007</v>
      </c>
      <c r="Z234" s="14"/>
      <c r="AA234" s="2">
        <f t="shared" ca="1" si="32"/>
        <v>1</v>
      </c>
      <c r="AB234" s="153"/>
      <c r="AC234" s="454" t="str">
        <f t="shared" si="34"/>
        <v>1</v>
      </c>
    </row>
    <row r="235" spans="1:29" ht="72.5" x14ac:dyDescent="0.35">
      <c r="A235" s="111" t="str">
        <f t="shared" si="36"/>
        <v>Closed</v>
      </c>
      <c r="B235" s="222">
        <v>45403</v>
      </c>
      <c r="C235" s="14">
        <v>2401</v>
      </c>
      <c r="D235" s="14" t="s">
        <v>2700</v>
      </c>
      <c r="E235" s="14" t="s">
        <v>27</v>
      </c>
      <c r="F235" s="14" t="s">
        <v>2064</v>
      </c>
      <c r="G235" s="14" t="s">
        <v>1911</v>
      </c>
      <c r="H235" s="14">
        <v>108</v>
      </c>
      <c r="I235" s="176" t="s">
        <v>5</v>
      </c>
      <c r="K235" s="87"/>
      <c r="L235" s="14" t="s">
        <v>2701</v>
      </c>
      <c r="M235" s="324">
        <f t="shared" si="35"/>
        <v>0</v>
      </c>
      <c r="N235" s="14" t="s">
        <v>1879</v>
      </c>
      <c r="O235" s="14" t="s">
        <v>1879</v>
      </c>
      <c r="P235" s="167" t="s">
        <v>147</v>
      </c>
      <c r="Q235" s="112" t="s">
        <v>174</v>
      </c>
      <c r="R235" s="170" t="s">
        <v>234</v>
      </c>
      <c r="S235" s="108">
        <f t="shared" si="31"/>
        <v>45431</v>
      </c>
      <c r="T235" s="79">
        <v>45483</v>
      </c>
      <c r="U235" s="14" t="s">
        <v>2082</v>
      </c>
      <c r="V235" s="14" t="s">
        <v>2702</v>
      </c>
      <c r="W235" s="14" t="s">
        <v>1879</v>
      </c>
      <c r="X235" s="14" t="s">
        <v>1883</v>
      </c>
      <c r="Y235" s="15" t="s">
        <v>2068</v>
      </c>
      <c r="Z235" s="14" t="s">
        <v>2415</v>
      </c>
      <c r="AA235" s="2">
        <f t="shared" ca="1" si="32"/>
        <v>1</v>
      </c>
      <c r="AB235" s="153"/>
      <c r="AC235" s="454" t="str">
        <f t="shared" si="34"/>
        <v>1</v>
      </c>
    </row>
    <row r="236" spans="1:29" ht="29" x14ac:dyDescent="0.35">
      <c r="A236" s="111" t="str">
        <f t="shared" si="36"/>
        <v>Closed</v>
      </c>
      <c r="B236" s="222">
        <v>45404</v>
      </c>
      <c r="C236" s="14">
        <v>2401</v>
      </c>
      <c r="D236" s="14" t="s">
        <v>2703</v>
      </c>
      <c r="E236" s="14" t="s">
        <v>152</v>
      </c>
      <c r="F236" s="14" t="s">
        <v>2196</v>
      </c>
      <c r="G236" s="14" t="s">
        <v>1900</v>
      </c>
      <c r="H236" s="14">
        <v>122</v>
      </c>
      <c r="I236" s="176" t="s">
        <v>140</v>
      </c>
      <c r="K236" s="87"/>
      <c r="L236" s="14" t="s">
        <v>2704</v>
      </c>
      <c r="M236" s="324">
        <f t="shared" si="35"/>
        <v>0</v>
      </c>
      <c r="N236" s="14" t="s">
        <v>1879</v>
      </c>
      <c r="O236" s="14" t="s">
        <v>1879</v>
      </c>
      <c r="P236" s="167" t="s">
        <v>143</v>
      </c>
      <c r="Q236" s="14"/>
      <c r="R236" s="170">
        <v>0</v>
      </c>
      <c r="S236" s="108">
        <f t="shared" si="31"/>
        <v>45432</v>
      </c>
      <c r="T236" s="79">
        <v>45404</v>
      </c>
      <c r="U236" s="14"/>
      <c r="V236" s="14"/>
      <c r="W236" s="14"/>
      <c r="X236" s="14"/>
      <c r="Y236" s="14" t="s">
        <v>2198</v>
      </c>
      <c r="Z236" s="14"/>
      <c r="AA236" s="2">
        <f t="shared" ca="1" si="32"/>
        <v>1</v>
      </c>
      <c r="AB236" s="153"/>
      <c r="AC236" s="454" t="str">
        <f t="shared" si="34"/>
        <v>1</v>
      </c>
    </row>
    <row r="237" spans="1:29" ht="101.5" x14ac:dyDescent="0.35">
      <c r="A237" s="89" t="str">
        <f t="shared" si="36"/>
        <v>Closed</v>
      </c>
      <c r="B237" s="222">
        <v>45404</v>
      </c>
      <c r="C237" s="14">
        <v>2401</v>
      </c>
      <c r="D237" s="14" t="s">
        <v>2705</v>
      </c>
      <c r="E237" s="14" t="s">
        <v>40</v>
      </c>
      <c r="F237" s="167" t="s">
        <v>2162</v>
      </c>
      <c r="G237" s="14" t="s">
        <v>1911</v>
      </c>
      <c r="H237" s="14">
        <v>104</v>
      </c>
      <c r="I237" s="176" t="s">
        <v>4</v>
      </c>
      <c r="J237" s="14">
        <v>8501802</v>
      </c>
      <c r="K237" s="14" t="s">
        <v>137</v>
      </c>
      <c r="L237" s="14" t="s">
        <v>2706</v>
      </c>
      <c r="M237" s="324">
        <v>0</v>
      </c>
      <c r="N237" s="14" t="s">
        <v>1879</v>
      </c>
      <c r="O237" s="14" t="s">
        <v>1879</v>
      </c>
      <c r="P237" s="167" t="s">
        <v>143</v>
      </c>
      <c r="Q237" s="14" t="s">
        <v>135</v>
      </c>
      <c r="R237" s="223">
        <v>0</v>
      </c>
      <c r="S237" s="224">
        <f t="shared" si="31"/>
        <v>45432</v>
      </c>
      <c r="T237" s="79">
        <v>45404</v>
      </c>
      <c r="U237" s="14"/>
      <c r="V237" s="14"/>
      <c r="W237" s="14"/>
      <c r="X237" s="14"/>
      <c r="Y237" s="15" t="s">
        <v>2164</v>
      </c>
      <c r="Z237" s="87"/>
      <c r="AA237" s="2">
        <f t="shared" ca="1" si="32"/>
        <v>1</v>
      </c>
      <c r="AB237" s="153"/>
      <c r="AC237" s="454" t="str">
        <f t="shared" si="34"/>
        <v>1</v>
      </c>
    </row>
    <row r="238" spans="1:29" ht="130.5" x14ac:dyDescent="0.35">
      <c r="A238" s="111" t="str">
        <f t="shared" si="36"/>
        <v>Closed</v>
      </c>
      <c r="B238" s="222">
        <v>45405</v>
      </c>
      <c r="C238" s="14">
        <v>2401</v>
      </c>
      <c r="D238" s="14" t="s">
        <v>2707</v>
      </c>
      <c r="E238" s="14" t="s">
        <v>31</v>
      </c>
      <c r="F238" s="14" t="s">
        <v>2027</v>
      </c>
      <c r="G238" s="14" t="s">
        <v>1911</v>
      </c>
      <c r="H238" s="14">
        <v>202</v>
      </c>
      <c r="I238" s="176" t="s">
        <v>140</v>
      </c>
      <c r="K238" s="87"/>
      <c r="L238" s="14" t="s">
        <v>2708</v>
      </c>
      <c r="M238" s="324">
        <f>IF(I238="Staff Accident","Entry Required",IF(I238="Assaults","Entry Required",0))</f>
        <v>0</v>
      </c>
      <c r="N238" s="14" t="s">
        <v>1879</v>
      </c>
      <c r="O238" s="14" t="s">
        <v>1879</v>
      </c>
      <c r="P238" s="167" t="s">
        <v>143</v>
      </c>
      <c r="Q238" s="14"/>
      <c r="R238" s="170">
        <v>0</v>
      </c>
      <c r="S238" s="108">
        <f t="shared" si="31"/>
        <v>45433</v>
      </c>
      <c r="T238" s="14" t="s">
        <v>2709</v>
      </c>
      <c r="U238" s="14"/>
      <c r="V238" s="14"/>
      <c r="W238" s="14"/>
      <c r="X238" s="14"/>
      <c r="Y238" s="14" t="s">
        <v>2361</v>
      </c>
      <c r="Z238" s="14"/>
      <c r="AA238" s="2">
        <f t="shared" ca="1" si="32"/>
        <v>1</v>
      </c>
      <c r="AB238" s="153"/>
      <c r="AC238" s="454" t="str">
        <f t="shared" si="34"/>
        <v>2</v>
      </c>
    </row>
    <row r="239" spans="1:29" ht="101.5" x14ac:dyDescent="0.35">
      <c r="A239" s="111" t="str">
        <f t="shared" si="36"/>
        <v>Closed</v>
      </c>
      <c r="B239" s="222">
        <v>45405</v>
      </c>
      <c r="C239" s="14">
        <v>2401</v>
      </c>
      <c r="D239" s="14" t="s">
        <v>2710</v>
      </c>
      <c r="E239" s="14" t="s">
        <v>38</v>
      </c>
      <c r="F239" s="14" t="s">
        <v>2091</v>
      </c>
      <c r="G239" s="14" t="s">
        <v>1911</v>
      </c>
      <c r="H239" s="14">
        <v>101</v>
      </c>
      <c r="I239" s="176" t="s">
        <v>6</v>
      </c>
      <c r="J239" s="14">
        <v>8504143</v>
      </c>
      <c r="K239" s="87"/>
      <c r="L239" s="14" t="s">
        <v>2711</v>
      </c>
      <c r="M239" s="324">
        <f>IF(I239="Staff Accident","Entry Required",IF(I239="Assaults","Entry Required",0))</f>
        <v>0</v>
      </c>
      <c r="N239" s="14" t="s">
        <v>1879</v>
      </c>
      <c r="O239" s="14" t="s">
        <v>1879</v>
      </c>
      <c r="P239" s="167" t="s">
        <v>143</v>
      </c>
      <c r="Q239" s="14"/>
      <c r="R239" s="170">
        <v>0</v>
      </c>
      <c r="S239" s="108">
        <f t="shared" si="31"/>
        <v>45433</v>
      </c>
      <c r="T239" s="79">
        <v>45405</v>
      </c>
      <c r="U239" s="14"/>
      <c r="V239" s="14"/>
      <c r="W239" s="14"/>
      <c r="X239" s="14"/>
      <c r="Y239" s="85" t="s">
        <v>2093</v>
      </c>
      <c r="Z239" s="14"/>
      <c r="AA239" s="2">
        <f t="shared" ca="1" si="32"/>
        <v>1</v>
      </c>
      <c r="AB239" s="153"/>
      <c r="AC239" s="454" t="str">
        <f t="shared" si="34"/>
        <v>1</v>
      </c>
    </row>
    <row r="240" spans="1:29" ht="43.5" x14ac:dyDescent="0.35">
      <c r="A240" s="111" t="str">
        <f t="shared" si="36"/>
        <v>Closed</v>
      </c>
      <c r="B240" s="222">
        <v>45405</v>
      </c>
      <c r="C240" s="14">
        <v>2401</v>
      </c>
      <c r="D240" s="14" t="s">
        <v>2712</v>
      </c>
      <c r="E240" s="14" t="s">
        <v>41</v>
      </c>
      <c r="F240" s="14" t="s">
        <v>1980</v>
      </c>
      <c r="G240" s="14" t="s">
        <v>1911</v>
      </c>
      <c r="H240" s="14">
        <v>104</v>
      </c>
      <c r="I240" s="176" t="s">
        <v>4</v>
      </c>
      <c r="J240" s="14">
        <v>8510009</v>
      </c>
      <c r="K240" s="14" t="s">
        <v>137</v>
      </c>
      <c r="L240" s="14" t="s">
        <v>2713</v>
      </c>
      <c r="M240" s="324">
        <v>0</v>
      </c>
      <c r="N240" s="14" t="s">
        <v>1879</v>
      </c>
      <c r="O240" s="14" t="s">
        <v>1880</v>
      </c>
      <c r="P240" s="167" t="s">
        <v>139</v>
      </c>
      <c r="Q240" s="112" t="s">
        <v>138</v>
      </c>
      <c r="R240" s="170" t="s">
        <v>234</v>
      </c>
      <c r="S240" s="108">
        <f t="shared" si="31"/>
        <v>45433</v>
      </c>
      <c r="T240" s="79">
        <v>45405</v>
      </c>
      <c r="U240" s="14" t="s">
        <v>2714</v>
      </c>
      <c r="V240" s="14" t="s">
        <v>2030</v>
      </c>
      <c r="W240" s="14" t="s">
        <v>1879</v>
      </c>
      <c r="X240" s="14" t="s">
        <v>1880</v>
      </c>
      <c r="Z240" s="14" t="s">
        <v>2715</v>
      </c>
      <c r="AA240" s="2">
        <f t="shared" ca="1" si="32"/>
        <v>1</v>
      </c>
      <c r="AB240" s="153"/>
      <c r="AC240" s="454" t="str">
        <f t="shared" si="34"/>
        <v>1</v>
      </c>
    </row>
    <row r="241" spans="1:29" ht="43.5" x14ac:dyDescent="0.35">
      <c r="A241" s="111" t="str">
        <f t="shared" si="36"/>
        <v>Closed</v>
      </c>
      <c r="B241" s="222">
        <v>45405</v>
      </c>
      <c r="C241" s="14">
        <v>2401</v>
      </c>
      <c r="D241" s="14" t="s">
        <v>2716</v>
      </c>
      <c r="E241" s="14" t="s">
        <v>27</v>
      </c>
      <c r="F241" s="14" t="s">
        <v>2048</v>
      </c>
      <c r="G241" s="14" t="s">
        <v>1911</v>
      </c>
      <c r="H241" s="14"/>
      <c r="I241" s="176" t="s">
        <v>5</v>
      </c>
      <c r="J241" s="14">
        <v>8503165</v>
      </c>
      <c r="K241" s="87"/>
      <c r="L241" s="14" t="s">
        <v>2717</v>
      </c>
      <c r="M241" s="324">
        <f>IF(I241="Staff Accident","Entry Required",IF(I241="Assaults","Entry Required",0))</f>
        <v>0</v>
      </c>
      <c r="N241" s="14" t="s">
        <v>1879</v>
      </c>
      <c r="O241" s="14" t="s">
        <v>1880</v>
      </c>
      <c r="P241" s="167" t="s">
        <v>147</v>
      </c>
      <c r="Q241" s="112" t="s">
        <v>153</v>
      </c>
      <c r="R241" s="170" t="s">
        <v>234</v>
      </c>
      <c r="S241" s="108">
        <f t="shared" si="31"/>
        <v>45433</v>
      </c>
      <c r="T241" s="79">
        <v>45416</v>
      </c>
      <c r="U241" s="14" t="s">
        <v>2718</v>
      </c>
      <c r="V241" s="14" t="s">
        <v>2719</v>
      </c>
      <c r="W241" s="14" t="s">
        <v>1879</v>
      </c>
      <c r="X241" s="14" t="s">
        <v>1883</v>
      </c>
      <c r="Y241" s="167" t="s">
        <v>2050</v>
      </c>
      <c r="Z241" s="14" t="s">
        <v>2720</v>
      </c>
      <c r="AA241" s="2">
        <f t="shared" ca="1" si="32"/>
        <v>1</v>
      </c>
      <c r="AB241" s="153"/>
      <c r="AC241" s="454" t="str">
        <f t="shared" si="34"/>
        <v/>
      </c>
    </row>
    <row r="242" spans="1:29" ht="72.5" x14ac:dyDescent="0.35">
      <c r="A242" s="111" t="str">
        <f t="shared" si="36"/>
        <v>Closed</v>
      </c>
      <c r="B242" s="222">
        <v>45405</v>
      </c>
      <c r="C242" s="14">
        <v>2401</v>
      </c>
      <c r="D242" s="14" t="s">
        <v>2721</v>
      </c>
      <c r="E242" s="14" t="s">
        <v>8</v>
      </c>
      <c r="F242" s="14" t="s">
        <v>1937</v>
      </c>
      <c r="G242" s="14" t="s">
        <v>1911</v>
      </c>
      <c r="H242" s="14">
        <v>118</v>
      </c>
      <c r="I242" s="176" t="s">
        <v>140</v>
      </c>
      <c r="J242" s="14">
        <v>64986</v>
      </c>
      <c r="K242" s="87"/>
      <c r="L242" s="14" t="s">
        <v>2722</v>
      </c>
      <c r="M242" s="324">
        <f>IF(I242="Staff Accident","Entry Required",IF(I242="Assaults","Entry Required",0))</f>
        <v>0</v>
      </c>
      <c r="N242" s="14" t="s">
        <v>1879</v>
      </c>
      <c r="O242" s="14" t="s">
        <v>1879</v>
      </c>
      <c r="P242" s="167" t="s">
        <v>143</v>
      </c>
      <c r="Q242" s="14"/>
      <c r="R242" s="170">
        <v>0</v>
      </c>
      <c r="S242" s="108">
        <f t="shared" si="31"/>
        <v>45433</v>
      </c>
      <c r="T242" s="79">
        <v>45405</v>
      </c>
      <c r="U242" s="14"/>
      <c r="V242" s="14"/>
      <c r="W242" s="14"/>
      <c r="X242" s="14"/>
      <c r="Z242" s="14"/>
      <c r="AA242" s="2">
        <f t="shared" ca="1" si="32"/>
        <v>1</v>
      </c>
      <c r="AB242" s="153"/>
      <c r="AC242" s="454" t="str">
        <f t="shared" si="34"/>
        <v>1</v>
      </c>
    </row>
    <row r="243" spans="1:29" ht="116" x14ac:dyDescent="0.35">
      <c r="A243" s="169" t="str">
        <f t="shared" si="36"/>
        <v>Closed</v>
      </c>
      <c r="B243" s="222">
        <v>45346</v>
      </c>
      <c r="C243" s="14">
        <v>2312</v>
      </c>
      <c r="D243" s="14" t="s">
        <v>2723</v>
      </c>
      <c r="E243" s="14" t="s">
        <v>41</v>
      </c>
      <c r="F243" s="14" t="s">
        <v>2205</v>
      </c>
      <c r="G243" s="14" t="s">
        <v>1900</v>
      </c>
      <c r="H243" s="14"/>
      <c r="I243" s="176" t="s">
        <v>4</v>
      </c>
      <c r="J243" s="14">
        <v>450</v>
      </c>
      <c r="K243" s="14" t="s">
        <v>137</v>
      </c>
      <c r="L243" s="14" t="s">
        <v>2724</v>
      </c>
      <c r="M243" s="324">
        <v>0</v>
      </c>
      <c r="N243" s="14" t="s">
        <v>1879</v>
      </c>
      <c r="O243" s="14" t="s">
        <v>1880</v>
      </c>
      <c r="P243" s="167" t="s">
        <v>147</v>
      </c>
      <c r="Q243" s="112" t="s">
        <v>157</v>
      </c>
      <c r="R243" s="170" t="s">
        <v>234</v>
      </c>
      <c r="S243" s="108">
        <f t="shared" si="31"/>
        <v>45374</v>
      </c>
      <c r="T243" s="79">
        <v>45407</v>
      </c>
      <c r="U243" s="14" t="s">
        <v>2725</v>
      </c>
      <c r="V243" s="14" t="s">
        <v>2422</v>
      </c>
      <c r="W243" s="14" t="s">
        <v>1879</v>
      </c>
      <c r="X243" s="14" t="s">
        <v>1883</v>
      </c>
      <c r="Y243" s="14" t="s">
        <v>2726</v>
      </c>
      <c r="Z243" s="14" t="s">
        <v>2727</v>
      </c>
      <c r="AA243" s="2">
        <f t="shared" ca="1" si="32"/>
        <v>1</v>
      </c>
      <c r="AB243" s="153"/>
      <c r="AC243" s="454" t="str">
        <f t="shared" si="34"/>
        <v/>
      </c>
    </row>
    <row r="244" spans="1:29" ht="29" x14ac:dyDescent="0.35">
      <c r="A244" s="111" t="str">
        <f t="shared" si="36"/>
        <v>Closed</v>
      </c>
      <c r="B244" s="222">
        <v>45406</v>
      </c>
      <c r="C244" s="14">
        <v>2401</v>
      </c>
      <c r="D244" s="14" t="s">
        <v>2728</v>
      </c>
      <c r="E244" s="14" t="s">
        <v>152</v>
      </c>
      <c r="F244" s="14" t="s">
        <v>2196</v>
      </c>
      <c r="G244" s="14" t="s">
        <v>1900</v>
      </c>
      <c r="H244" s="14">
        <v>122</v>
      </c>
      <c r="I244" s="176" t="s">
        <v>140</v>
      </c>
      <c r="K244" s="87"/>
      <c r="L244" s="14" t="s">
        <v>2729</v>
      </c>
      <c r="M244" s="324">
        <f t="shared" ref="M244:M252" si="37">IF(I244="Staff Accident","Entry Required",IF(I244="Assaults","Entry Required",0))</f>
        <v>0</v>
      </c>
      <c r="N244" s="14" t="s">
        <v>1879</v>
      </c>
      <c r="O244" s="14" t="s">
        <v>1879</v>
      </c>
      <c r="P244" s="167" t="s">
        <v>143</v>
      </c>
      <c r="Q244" s="14"/>
      <c r="R244" s="170">
        <v>0</v>
      </c>
      <c r="S244" s="108">
        <f t="shared" si="31"/>
        <v>45434</v>
      </c>
      <c r="T244" s="79">
        <v>45346</v>
      </c>
      <c r="U244" s="14"/>
      <c r="V244" s="14"/>
      <c r="W244" s="14"/>
      <c r="X244" s="14"/>
      <c r="Y244" s="167" t="s">
        <v>2198</v>
      </c>
      <c r="Z244" s="14"/>
      <c r="AA244" s="2">
        <f t="shared" ca="1" si="32"/>
        <v>1</v>
      </c>
      <c r="AB244" s="153"/>
      <c r="AC244" s="454" t="str">
        <f t="shared" si="34"/>
        <v>1</v>
      </c>
    </row>
    <row r="245" spans="1:29" ht="43.5" x14ac:dyDescent="0.35">
      <c r="A245" s="111" t="str">
        <f t="shared" si="36"/>
        <v>Closed</v>
      </c>
      <c r="B245" s="222">
        <v>45406</v>
      </c>
      <c r="C245" s="14">
        <v>2401</v>
      </c>
      <c r="D245" s="14" t="s">
        <v>2730</v>
      </c>
      <c r="E245" s="14" t="s">
        <v>27</v>
      </c>
      <c r="F245" s="14" t="s">
        <v>2130</v>
      </c>
      <c r="G245" s="14" t="s">
        <v>1911</v>
      </c>
      <c r="H245" s="14">
        <v>106</v>
      </c>
      <c r="I245" s="176" t="s">
        <v>5</v>
      </c>
      <c r="J245" s="14">
        <v>377</v>
      </c>
      <c r="K245" s="87"/>
      <c r="L245" s="14" t="s">
        <v>2731</v>
      </c>
      <c r="M245" s="324">
        <f t="shared" si="37"/>
        <v>0</v>
      </c>
      <c r="N245" s="14" t="s">
        <v>1879</v>
      </c>
      <c r="O245" s="14" t="s">
        <v>1880</v>
      </c>
      <c r="P245" s="167" t="s">
        <v>147</v>
      </c>
      <c r="Q245" s="112" t="s">
        <v>175</v>
      </c>
      <c r="R245" s="170" t="s">
        <v>234</v>
      </c>
      <c r="S245" s="108">
        <f t="shared" si="31"/>
        <v>45434</v>
      </c>
      <c r="T245" s="79">
        <v>45408</v>
      </c>
      <c r="U245" s="14" t="s">
        <v>2732</v>
      </c>
      <c r="V245" s="14" t="s">
        <v>2732</v>
      </c>
      <c r="W245" s="14" t="s">
        <v>1879</v>
      </c>
      <c r="X245" s="14" t="s">
        <v>1883</v>
      </c>
      <c r="Y245" s="15" t="s">
        <v>2134</v>
      </c>
      <c r="Z245" s="14" t="s">
        <v>2733</v>
      </c>
      <c r="AA245" s="2">
        <f t="shared" ca="1" si="32"/>
        <v>1</v>
      </c>
      <c r="AB245" s="153"/>
      <c r="AC245" s="454" t="str">
        <f t="shared" si="34"/>
        <v>1</v>
      </c>
    </row>
    <row r="246" spans="1:29" ht="43.5" x14ac:dyDescent="0.35">
      <c r="A246" s="111" t="str">
        <f t="shared" si="36"/>
        <v>Closed</v>
      </c>
      <c r="B246" s="222">
        <v>45406</v>
      </c>
      <c r="C246" s="14">
        <v>2401</v>
      </c>
      <c r="D246" s="14" t="s">
        <v>2734</v>
      </c>
      <c r="E246" s="14" t="s">
        <v>27</v>
      </c>
      <c r="F246" s="14" t="s">
        <v>2037</v>
      </c>
      <c r="G246" s="14" t="s">
        <v>1900</v>
      </c>
      <c r="H246" s="14">
        <v>115</v>
      </c>
      <c r="I246" s="176" t="s">
        <v>5</v>
      </c>
      <c r="J246" s="14">
        <v>8501802</v>
      </c>
      <c r="K246" s="87"/>
      <c r="L246" s="14" t="s">
        <v>2735</v>
      </c>
      <c r="M246" s="324">
        <f t="shared" si="37"/>
        <v>0</v>
      </c>
      <c r="N246" s="14" t="s">
        <v>1879</v>
      </c>
      <c r="O246" s="14" t="s">
        <v>1880</v>
      </c>
      <c r="P246" s="167" t="s">
        <v>147</v>
      </c>
      <c r="Q246" s="112" t="s">
        <v>153</v>
      </c>
      <c r="R246" s="170" t="s">
        <v>234</v>
      </c>
      <c r="S246" s="108">
        <f t="shared" si="31"/>
        <v>45434</v>
      </c>
      <c r="T246" s="79">
        <v>45417</v>
      </c>
      <c r="U246" s="14" t="s">
        <v>2736</v>
      </c>
      <c r="V246" s="14" t="s">
        <v>2737</v>
      </c>
      <c r="W246" s="14" t="s">
        <v>1879</v>
      </c>
      <c r="X246" s="14" t="s">
        <v>1883</v>
      </c>
      <c r="Y246" s="167" t="s">
        <v>2039</v>
      </c>
      <c r="Z246" s="14" t="s">
        <v>2738</v>
      </c>
      <c r="AA246" s="2">
        <f t="shared" ca="1" si="32"/>
        <v>1</v>
      </c>
      <c r="AB246" s="153"/>
      <c r="AC246" s="454" t="str">
        <f t="shared" si="34"/>
        <v>1</v>
      </c>
    </row>
    <row r="247" spans="1:29" ht="145" x14ac:dyDescent="0.35">
      <c r="A247" s="111" t="str">
        <f t="shared" si="36"/>
        <v>Closed</v>
      </c>
      <c r="B247" s="222">
        <v>45406</v>
      </c>
      <c r="C247" s="14">
        <v>2401</v>
      </c>
      <c r="D247" s="14" t="s">
        <v>756</v>
      </c>
      <c r="E247" s="14" t="s">
        <v>80</v>
      </c>
      <c r="F247" s="14" t="s">
        <v>2052</v>
      </c>
      <c r="G247" s="14" t="s">
        <v>1911</v>
      </c>
      <c r="H247" s="14">
        <v>117</v>
      </c>
      <c r="I247" s="176" t="s">
        <v>155</v>
      </c>
      <c r="J247" s="14">
        <v>8506977</v>
      </c>
      <c r="K247" s="87"/>
      <c r="L247" s="14" t="s">
        <v>2739</v>
      </c>
      <c r="M247" s="324">
        <f t="shared" si="37"/>
        <v>0</v>
      </c>
      <c r="N247" s="14" t="s">
        <v>1880</v>
      </c>
      <c r="O247" s="14" t="s">
        <v>1880</v>
      </c>
      <c r="P247" s="167" t="s">
        <v>151</v>
      </c>
      <c r="Q247" s="112" t="s">
        <v>184</v>
      </c>
      <c r="R247" s="170" t="s">
        <v>234</v>
      </c>
      <c r="S247" s="108">
        <f t="shared" si="31"/>
        <v>45434</v>
      </c>
      <c r="T247" s="79">
        <v>45428</v>
      </c>
      <c r="U247" s="14" t="s">
        <v>2740</v>
      </c>
      <c r="V247" s="14" t="s">
        <v>2741</v>
      </c>
      <c r="W247" s="14" t="s">
        <v>1880</v>
      </c>
      <c r="X247" s="14" t="s">
        <v>1880</v>
      </c>
      <c r="Y247" s="14" t="s">
        <v>2054</v>
      </c>
      <c r="Z247" s="14"/>
      <c r="AA247" s="2">
        <f t="shared" ca="1" si="32"/>
        <v>1</v>
      </c>
      <c r="AB247" s="153"/>
      <c r="AC247" s="454" t="str">
        <f t="shared" si="34"/>
        <v>1</v>
      </c>
    </row>
    <row r="248" spans="1:29" ht="43.5" x14ac:dyDescent="0.35">
      <c r="A248" s="89" t="str">
        <f t="shared" si="36"/>
        <v>Closed</v>
      </c>
      <c r="B248" s="222">
        <v>45407</v>
      </c>
      <c r="C248" s="14">
        <v>2401</v>
      </c>
      <c r="D248" s="14" t="s">
        <v>2742</v>
      </c>
      <c r="E248" s="14" t="s">
        <v>72</v>
      </c>
      <c r="F248" s="14" t="s">
        <v>2533</v>
      </c>
      <c r="G248" s="14" t="s">
        <v>1911</v>
      </c>
      <c r="H248" s="14">
        <v>124</v>
      </c>
      <c r="I248" s="176" t="s">
        <v>155</v>
      </c>
      <c r="J248" s="14">
        <v>8506979</v>
      </c>
      <c r="K248" s="87"/>
      <c r="L248" s="14" t="s">
        <v>2743</v>
      </c>
      <c r="M248" s="324">
        <f t="shared" si="37"/>
        <v>0</v>
      </c>
      <c r="N248" s="14" t="s">
        <v>1879</v>
      </c>
      <c r="O248" s="14" t="s">
        <v>1879</v>
      </c>
      <c r="P248" s="167" t="s">
        <v>143</v>
      </c>
      <c r="Q248" s="14" t="s">
        <v>175</v>
      </c>
      <c r="R248" s="223">
        <v>0</v>
      </c>
      <c r="S248" s="224">
        <f t="shared" si="31"/>
        <v>45435</v>
      </c>
      <c r="T248" s="79">
        <v>45902</v>
      </c>
      <c r="U248" s="14"/>
      <c r="V248" s="14"/>
      <c r="W248" s="14"/>
      <c r="X248" s="14"/>
      <c r="Z248" s="14" t="s">
        <v>2326</v>
      </c>
      <c r="AA248" s="2">
        <f t="shared" ca="1" si="32"/>
        <v>1</v>
      </c>
      <c r="AB248" s="153"/>
      <c r="AC248" s="454" t="str">
        <f t="shared" si="34"/>
        <v>1</v>
      </c>
    </row>
    <row r="249" spans="1:29" ht="58" x14ac:dyDescent="0.35">
      <c r="A249" s="111" t="str">
        <f t="shared" si="36"/>
        <v>Closed</v>
      </c>
      <c r="B249" s="222">
        <v>45407</v>
      </c>
      <c r="C249" s="14">
        <v>2401</v>
      </c>
      <c r="D249" s="14" t="s">
        <v>2744</v>
      </c>
      <c r="E249" s="14" t="s">
        <v>204</v>
      </c>
      <c r="F249" s="14" t="s">
        <v>2245</v>
      </c>
      <c r="G249" s="14" t="s">
        <v>1911</v>
      </c>
      <c r="H249" s="14">
        <v>114</v>
      </c>
      <c r="I249" s="176" t="s">
        <v>155</v>
      </c>
      <c r="J249" s="14">
        <v>59665</v>
      </c>
      <c r="K249" s="87"/>
      <c r="L249" s="14" t="s">
        <v>2745</v>
      </c>
      <c r="M249" s="324">
        <f t="shared" si="37"/>
        <v>0</v>
      </c>
      <c r="N249" s="14" t="s">
        <v>1879</v>
      </c>
      <c r="O249" s="14" t="s">
        <v>1880</v>
      </c>
      <c r="P249" s="167" t="s">
        <v>147</v>
      </c>
      <c r="Q249" s="112" t="s">
        <v>175</v>
      </c>
      <c r="R249" s="170" t="s">
        <v>234</v>
      </c>
      <c r="S249" s="108">
        <f t="shared" si="31"/>
        <v>45435</v>
      </c>
      <c r="T249" s="79">
        <v>45417</v>
      </c>
      <c r="U249" s="14" t="s">
        <v>2746</v>
      </c>
      <c r="V249" s="14" t="s">
        <v>1896</v>
      </c>
      <c r="W249" s="14" t="s">
        <v>1880</v>
      </c>
      <c r="X249" s="14" t="s">
        <v>1880</v>
      </c>
      <c r="Z249" s="14" t="s">
        <v>2747</v>
      </c>
      <c r="AA249" s="2">
        <f t="shared" ca="1" si="32"/>
        <v>1</v>
      </c>
      <c r="AB249" s="153"/>
      <c r="AC249" s="454" t="str">
        <f t="shared" si="34"/>
        <v>1</v>
      </c>
    </row>
    <row r="250" spans="1:29" ht="72.5" x14ac:dyDescent="0.35">
      <c r="A250" s="111" t="str">
        <f t="shared" si="36"/>
        <v>Closed</v>
      </c>
      <c r="B250" s="222">
        <v>45407</v>
      </c>
      <c r="C250" s="14">
        <v>2401</v>
      </c>
      <c r="D250" s="14" t="s">
        <v>2748</v>
      </c>
      <c r="E250" s="14" t="s">
        <v>31</v>
      </c>
      <c r="F250" s="14" t="s">
        <v>2080</v>
      </c>
      <c r="G250" s="14" t="s">
        <v>1911</v>
      </c>
      <c r="H250" s="14">
        <v>117</v>
      </c>
      <c r="I250" s="176" t="s">
        <v>155</v>
      </c>
      <c r="J250" s="14">
        <v>8508846</v>
      </c>
      <c r="K250" s="87"/>
      <c r="L250" s="14" t="s">
        <v>2749</v>
      </c>
      <c r="M250" s="324">
        <f t="shared" si="37"/>
        <v>0</v>
      </c>
      <c r="N250" s="14" t="s">
        <v>1879</v>
      </c>
      <c r="O250" s="14" t="s">
        <v>1879</v>
      </c>
      <c r="P250" s="167" t="s">
        <v>147</v>
      </c>
      <c r="Q250" s="112" t="s">
        <v>177</v>
      </c>
      <c r="R250" s="170" t="s">
        <v>234</v>
      </c>
      <c r="S250" s="108">
        <f t="shared" si="31"/>
        <v>45435</v>
      </c>
      <c r="T250" s="79">
        <v>45429</v>
      </c>
      <c r="U250" s="14" t="s">
        <v>2750</v>
      </c>
      <c r="V250" s="14" t="s">
        <v>2208</v>
      </c>
      <c r="W250" s="14" t="s">
        <v>1879</v>
      </c>
      <c r="X250" s="14" t="s">
        <v>154</v>
      </c>
      <c r="Y250" s="14" t="s">
        <v>2084</v>
      </c>
      <c r="Z250" s="14" t="s">
        <v>2751</v>
      </c>
      <c r="AA250" s="2">
        <f t="shared" ca="1" si="32"/>
        <v>1</v>
      </c>
      <c r="AB250" s="153"/>
      <c r="AC250" s="454" t="str">
        <f t="shared" si="34"/>
        <v>1</v>
      </c>
    </row>
    <row r="251" spans="1:29" ht="29" x14ac:dyDescent="0.35">
      <c r="A251" s="111" t="str">
        <f t="shared" si="36"/>
        <v>Closed</v>
      </c>
      <c r="B251" s="222">
        <v>45407</v>
      </c>
      <c r="C251" s="14">
        <v>2401</v>
      </c>
      <c r="D251" s="14" t="s">
        <v>2752</v>
      </c>
      <c r="E251" s="14" t="s">
        <v>192</v>
      </c>
      <c r="F251" s="14" t="s">
        <v>2753</v>
      </c>
      <c r="G251" s="14"/>
      <c r="H251" s="14">
        <v>206</v>
      </c>
      <c r="I251" s="176" t="s">
        <v>140</v>
      </c>
      <c r="K251" s="87"/>
      <c r="L251" s="14" t="s">
        <v>2754</v>
      </c>
      <c r="M251" s="324">
        <f t="shared" si="37"/>
        <v>0</v>
      </c>
      <c r="N251" s="14" t="s">
        <v>1879</v>
      </c>
      <c r="O251" s="14" t="s">
        <v>1879</v>
      </c>
      <c r="P251" s="167" t="s">
        <v>143</v>
      </c>
      <c r="Q251" s="14"/>
      <c r="R251" s="170">
        <v>0</v>
      </c>
      <c r="S251" s="108">
        <f t="shared" si="31"/>
        <v>45435</v>
      </c>
      <c r="T251" s="79">
        <v>45407</v>
      </c>
      <c r="U251" s="14"/>
      <c r="V251" s="14"/>
      <c r="W251" s="14"/>
      <c r="X251" s="14"/>
      <c r="Z251" s="14"/>
      <c r="AA251" s="2">
        <f t="shared" ca="1" si="32"/>
        <v>1</v>
      </c>
      <c r="AB251" s="153"/>
      <c r="AC251" s="454" t="str">
        <f t="shared" si="34"/>
        <v>2</v>
      </c>
    </row>
    <row r="252" spans="1:29" ht="58" x14ac:dyDescent="0.35">
      <c r="A252" s="111" t="str">
        <f t="shared" si="36"/>
        <v>Closed</v>
      </c>
      <c r="B252" s="222">
        <v>45407</v>
      </c>
      <c r="C252" s="14">
        <v>2401</v>
      </c>
      <c r="D252" s="14" t="s">
        <v>2755</v>
      </c>
      <c r="E252" s="14" t="s">
        <v>76</v>
      </c>
      <c r="F252" s="167" t="s">
        <v>1947</v>
      </c>
      <c r="G252" s="14" t="s">
        <v>1900</v>
      </c>
      <c r="H252" s="14">
        <v>117</v>
      </c>
      <c r="I252" s="176" t="s">
        <v>140</v>
      </c>
      <c r="J252" s="14">
        <v>757</v>
      </c>
      <c r="K252" s="87"/>
      <c r="L252" s="14" t="s">
        <v>2756</v>
      </c>
      <c r="M252" s="324">
        <f t="shared" si="37"/>
        <v>0</v>
      </c>
      <c r="N252" s="14" t="s">
        <v>1879</v>
      </c>
      <c r="O252" s="14" t="s">
        <v>1879</v>
      </c>
      <c r="P252" s="167" t="s">
        <v>143</v>
      </c>
      <c r="Q252" s="14"/>
      <c r="R252" s="170">
        <v>0</v>
      </c>
      <c r="S252" s="108">
        <f t="shared" si="31"/>
        <v>45435</v>
      </c>
      <c r="T252" s="79">
        <v>45407</v>
      </c>
      <c r="U252" s="14"/>
      <c r="V252" s="14"/>
      <c r="W252" s="14"/>
      <c r="X252" s="14"/>
      <c r="Y252" s="167" t="s">
        <v>1951</v>
      </c>
      <c r="Z252" s="14"/>
      <c r="AA252" s="2">
        <f t="shared" ca="1" si="32"/>
        <v>1</v>
      </c>
      <c r="AB252" s="153"/>
      <c r="AC252" s="454" t="str">
        <f t="shared" si="34"/>
        <v>1</v>
      </c>
    </row>
    <row r="253" spans="1:29" ht="29" x14ac:dyDescent="0.35">
      <c r="A253" s="111" t="str">
        <f t="shared" si="36"/>
        <v>Closed</v>
      </c>
      <c r="B253" s="222">
        <v>45407</v>
      </c>
      <c r="C253" s="14">
        <v>2401</v>
      </c>
      <c r="D253" s="14" t="s">
        <v>2757</v>
      </c>
      <c r="E253" s="14" t="s">
        <v>40</v>
      </c>
      <c r="F253" s="14" t="s">
        <v>1980</v>
      </c>
      <c r="G253" s="14" t="s">
        <v>1911</v>
      </c>
      <c r="H253" s="14">
        <v>104</v>
      </c>
      <c r="I253" s="176" t="s">
        <v>4</v>
      </c>
      <c r="K253" s="14" t="s">
        <v>137</v>
      </c>
      <c r="L253" s="14" t="s">
        <v>2758</v>
      </c>
      <c r="M253" s="324">
        <v>0</v>
      </c>
      <c r="N253" s="14" t="s">
        <v>1879</v>
      </c>
      <c r="O253" s="14" t="s">
        <v>1880</v>
      </c>
      <c r="P253" s="167" t="s">
        <v>139</v>
      </c>
      <c r="Q253" s="112" t="s">
        <v>138</v>
      </c>
      <c r="R253" s="170" t="s">
        <v>234</v>
      </c>
      <c r="S253" s="108">
        <f t="shared" si="31"/>
        <v>45435</v>
      </c>
      <c r="T253" s="79">
        <v>45413</v>
      </c>
      <c r="U253" s="14" t="s">
        <v>2759</v>
      </c>
      <c r="V253" s="14" t="s">
        <v>2451</v>
      </c>
      <c r="W253" s="14" t="s">
        <v>1879</v>
      </c>
      <c r="X253" s="14" t="s">
        <v>1880</v>
      </c>
      <c r="Y253" s="15" t="s">
        <v>1982</v>
      </c>
      <c r="Z253" s="14" t="s">
        <v>2760</v>
      </c>
      <c r="AA253" s="2">
        <f t="shared" ca="1" si="32"/>
        <v>1</v>
      </c>
      <c r="AB253" s="153"/>
      <c r="AC253" s="454" t="str">
        <f t="shared" si="34"/>
        <v>1</v>
      </c>
    </row>
    <row r="254" spans="1:29" ht="29" x14ac:dyDescent="0.35">
      <c r="A254" s="111" t="str">
        <f t="shared" si="36"/>
        <v>Closed</v>
      </c>
      <c r="B254" s="222">
        <v>45407</v>
      </c>
      <c r="C254" s="14">
        <v>2401</v>
      </c>
      <c r="D254" s="14" t="s">
        <v>2761</v>
      </c>
      <c r="E254" s="14" t="s">
        <v>85</v>
      </c>
      <c r="F254" s="167" t="s">
        <v>2162</v>
      </c>
      <c r="G254" s="14" t="s">
        <v>1900</v>
      </c>
      <c r="H254" s="14">
        <v>123</v>
      </c>
      <c r="I254" s="176" t="s">
        <v>140</v>
      </c>
      <c r="K254" s="87"/>
      <c r="L254" s="14" t="s">
        <v>2762</v>
      </c>
      <c r="M254" s="324">
        <f t="shared" ref="M254:M272" si="38">IF(I254="Staff Accident","Entry Required",IF(I254="Assaults","Entry Required",0))</f>
        <v>0</v>
      </c>
      <c r="N254" s="14" t="s">
        <v>1879</v>
      </c>
      <c r="O254" s="14" t="s">
        <v>1879</v>
      </c>
      <c r="P254" s="167" t="s">
        <v>143</v>
      </c>
      <c r="Q254" s="14"/>
      <c r="R254" s="170">
        <v>0</v>
      </c>
      <c r="S254" s="108">
        <f t="shared" si="31"/>
        <v>45435</v>
      </c>
      <c r="T254" s="79">
        <v>45407</v>
      </c>
      <c r="U254" s="14"/>
      <c r="V254" s="14"/>
      <c r="W254" s="14"/>
      <c r="X254" s="14"/>
      <c r="Y254" s="15" t="s">
        <v>2164</v>
      </c>
      <c r="Z254" s="87"/>
      <c r="AA254" s="2">
        <f t="shared" ca="1" si="32"/>
        <v>1</v>
      </c>
      <c r="AB254" s="153"/>
      <c r="AC254" s="454" t="str">
        <f t="shared" si="34"/>
        <v>1</v>
      </c>
    </row>
    <row r="255" spans="1:29" ht="58" x14ac:dyDescent="0.35">
      <c r="A255" s="111" t="str">
        <f t="shared" si="36"/>
        <v>Closed</v>
      </c>
      <c r="B255" s="222">
        <v>45408</v>
      </c>
      <c r="C255" s="14">
        <v>2401</v>
      </c>
      <c r="D255" s="14" t="s">
        <v>693</v>
      </c>
      <c r="E255" s="14" t="s">
        <v>1997</v>
      </c>
      <c r="F255" s="14" t="s">
        <v>2262</v>
      </c>
      <c r="G255" s="14" t="s">
        <v>1911</v>
      </c>
      <c r="H255" s="14">
        <v>201</v>
      </c>
      <c r="I255" s="176" t="s">
        <v>140</v>
      </c>
      <c r="J255" s="14">
        <v>306</v>
      </c>
      <c r="K255" s="87"/>
      <c r="L255" s="14" t="s">
        <v>2763</v>
      </c>
      <c r="M255" s="324">
        <f t="shared" si="38"/>
        <v>0</v>
      </c>
      <c r="N255" s="14" t="s">
        <v>1879</v>
      </c>
      <c r="O255" s="14" t="s">
        <v>1879</v>
      </c>
      <c r="P255" s="167" t="s">
        <v>143</v>
      </c>
      <c r="Q255" s="14"/>
      <c r="R255" s="170">
        <v>0</v>
      </c>
      <c r="S255" s="108">
        <f t="shared" si="31"/>
        <v>45436</v>
      </c>
      <c r="T255" s="79">
        <v>45408</v>
      </c>
      <c r="U255" s="14"/>
      <c r="V255" s="14"/>
      <c r="W255" s="14"/>
      <c r="X255" s="14"/>
      <c r="Y255" s="88" t="s">
        <v>2185</v>
      </c>
      <c r="Z255" s="14"/>
      <c r="AA255" s="2">
        <f t="shared" ca="1" si="32"/>
        <v>1</v>
      </c>
      <c r="AB255" s="153"/>
      <c r="AC255" s="454" t="str">
        <f t="shared" si="34"/>
        <v>2</v>
      </c>
    </row>
    <row r="256" spans="1:29" ht="43.5" x14ac:dyDescent="0.35">
      <c r="A256" s="111" t="str">
        <f t="shared" si="36"/>
        <v>Closed</v>
      </c>
      <c r="B256" s="222">
        <v>45408</v>
      </c>
      <c r="C256" s="14">
        <v>2401</v>
      </c>
      <c r="D256" s="14" t="s">
        <v>2764</v>
      </c>
      <c r="E256" s="14" t="s">
        <v>219</v>
      </c>
      <c r="F256" s="14" t="s">
        <v>2765</v>
      </c>
      <c r="G256" s="14" t="s">
        <v>1911</v>
      </c>
      <c r="H256" s="14">
        <v>205</v>
      </c>
      <c r="I256" s="176" t="s">
        <v>140</v>
      </c>
      <c r="K256" s="87"/>
      <c r="L256" s="14" t="s">
        <v>2766</v>
      </c>
      <c r="M256" s="324">
        <f t="shared" si="38"/>
        <v>0</v>
      </c>
      <c r="N256" s="14" t="s">
        <v>1879</v>
      </c>
      <c r="O256" s="14" t="s">
        <v>1879</v>
      </c>
      <c r="P256" s="167" t="s">
        <v>143</v>
      </c>
      <c r="Q256" s="14"/>
      <c r="R256" s="170">
        <v>0</v>
      </c>
      <c r="S256" s="108">
        <f t="shared" si="31"/>
        <v>45436</v>
      </c>
      <c r="T256" s="79">
        <v>45408</v>
      </c>
      <c r="U256" s="14"/>
      <c r="V256" s="14"/>
      <c r="W256" s="14"/>
      <c r="X256" s="14"/>
      <c r="Z256" s="14"/>
      <c r="AA256" s="2">
        <f t="shared" ca="1" si="32"/>
        <v>1</v>
      </c>
      <c r="AB256" s="153"/>
      <c r="AC256" s="454" t="str">
        <f t="shared" si="34"/>
        <v>2</v>
      </c>
    </row>
    <row r="257" spans="1:29" ht="43.5" x14ac:dyDescent="0.35">
      <c r="A257" s="111" t="str">
        <f t="shared" si="36"/>
        <v>Closed</v>
      </c>
      <c r="B257" s="222">
        <v>45409</v>
      </c>
      <c r="C257" s="14">
        <v>2401</v>
      </c>
      <c r="D257" s="14" t="s">
        <v>2767</v>
      </c>
      <c r="E257" s="14" t="s">
        <v>2768</v>
      </c>
      <c r="F257" s="14" t="s">
        <v>2533</v>
      </c>
      <c r="G257" s="14" t="s">
        <v>1911</v>
      </c>
      <c r="H257" s="14">
        <v>104</v>
      </c>
      <c r="I257" s="176" t="s">
        <v>155</v>
      </c>
      <c r="J257" s="14">
        <v>41867</v>
      </c>
      <c r="K257" s="87"/>
      <c r="L257" s="14" t="s">
        <v>2769</v>
      </c>
      <c r="M257" s="324">
        <f t="shared" si="38"/>
        <v>0</v>
      </c>
      <c r="N257" s="14" t="s">
        <v>1879</v>
      </c>
      <c r="O257" s="14" t="s">
        <v>1879</v>
      </c>
      <c r="P257" s="167" t="s">
        <v>147</v>
      </c>
      <c r="Q257" s="112" t="s">
        <v>174</v>
      </c>
      <c r="R257" s="170" t="s">
        <v>234</v>
      </c>
      <c r="S257" s="108">
        <f t="shared" si="31"/>
        <v>45437</v>
      </c>
      <c r="T257" s="79">
        <v>45481</v>
      </c>
      <c r="U257" s="14" t="s">
        <v>2770</v>
      </c>
      <c r="V257" s="14" t="s">
        <v>2102</v>
      </c>
      <c r="W257" s="14" t="s">
        <v>1880</v>
      </c>
      <c r="X257" s="14" t="s">
        <v>154</v>
      </c>
      <c r="Z257" s="14" t="s">
        <v>2248</v>
      </c>
      <c r="AA257" s="2">
        <f t="shared" ca="1" si="32"/>
        <v>1</v>
      </c>
      <c r="AB257" s="153"/>
      <c r="AC257" s="454" t="str">
        <f t="shared" ref="AC257:AC288" si="39">LEFT(H257,1)</f>
        <v>1</v>
      </c>
    </row>
    <row r="258" spans="1:29" ht="43.5" x14ac:dyDescent="0.35">
      <c r="A258" s="111" t="str">
        <f t="shared" si="36"/>
        <v>Closed</v>
      </c>
      <c r="B258" s="222">
        <v>45410</v>
      </c>
      <c r="C258" s="14">
        <v>2401</v>
      </c>
      <c r="D258" s="14" t="s">
        <v>2771</v>
      </c>
      <c r="E258" s="14" t="s">
        <v>1907</v>
      </c>
      <c r="F258" s="14" t="s">
        <v>2073</v>
      </c>
      <c r="G258" s="14" t="s">
        <v>1900</v>
      </c>
      <c r="H258" s="14">
        <v>117</v>
      </c>
      <c r="I258" s="176" t="s">
        <v>140</v>
      </c>
      <c r="J258" s="14">
        <v>651</v>
      </c>
      <c r="K258" s="87"/>
      <c r="L258" s="14" t="s">
        <v>2772</v>
      </c>
      <c r="M258" s="324">
        <f t="shared" si="38"/>
        <v>0</v>
      </c>
      <c r="N258" s="14" t="s">
        <v>1879</v>
      </c>
      <c r="O258" s="14" t="s">
        <v>1879</v>
      </c>
      <c r="P258" s="167" t="s">
        <v>143</v>
      </c>
      <c r="Q258" s="14"/>
      <c r="R258" s="170">
        <v>0</v>
      </c>
      <c r="S258" s="108">
        <f t="shared" si="31"/>
        <v>45438</v>
      </c>
      <c r="T258" s="79">
        <v>45410</v>
      </c>
      <c r="U258" s="14"/>
      <c r="V258" s="14"/>
      <c r="W258" s="14"/>
      <c r="X258" s="14"/>
      <c r="Y258" s="15" t="s">
        <v>2075</v>
      </c>
      <c r="Z258" s="14"/>
      <c r="AA258" s="2">
        <f t="shared" ca="1" si="32"/>
        <v>1</v>
      </c>
      <c r="AB258" s="153"/>
      <c r="AC258" s="454" t="str">
        <f t="shared" si="39"/>
        <v>1</v>
      </c>
    </row>
    <row r="259" spans="1:29" ht="58" x14ac:dyDescent="0.35">
      <c r="A259" s="111" t="str">
        <f t="shared" si="36"/>
        <v>Closed</v>
      </c>
      <c r="B259" s="222">
        <v>45411</v>
      </c>
      <c r="C259" s="14">
        <v>2401</v>
      </c>
      <c r="D259" s="14" t="s">
        <v>2773</v>
      </c>
      <c r="E259" s="14" t="s">
        <v>78</v>
      </c>
      <c r="F259" s="14" t="s">
        <v>2774</v>
      </c>
      <c r="G259" s="14" t="s">
        <v>1911</v>
      </c>
      <c r="H259" s="14"/>
      <c r="I259" s="176" t="s">
        <v>155</v>
      </c>
      <c r="J259" s="14">
        <v>568</v>
      </c>
      <c r="K259" s="87"/>
      <c r="L259" s="14" t="s">
        <v>2775</v>
      </c>
      <c r="M259" s="324">
        <f t="shared" si="38"/>
        <v>0</v>
      </c>
      <c r="N259" s="14" t="s">
        <v>1879</v>
      </c>
      <c r="O259" s="14" t="s">
        <v>1880</v>
      </c>
      <c r="P259" s="167" t="s">
        <v>147</v>
      </c>
      <c r="Q259" s="14" t="s">
        <v>174</v>
      </c>
      <c r="R259" s="170" t="s">
        <v>234</v>
      </c>
      <c r="S259" s="108">
        <f t="shared" si="31"/>
        <v>45439</v>
      </c>
      <c r="T259" s="79">
        <v>45459</v>
      </c>
      <c r="U259" s="14" t="s">
        <v>2776</v>
      </c>
      <c r="V259" s="14" t="s">
        <v>2777</v>
      </c>
      <c r="W259" s="14" t="s">
        <v>1879</v>
      </c>
      <c r="X259" s="14" t="s">
        <v>1883</v>
      </c>
      <c r="Y259" s="15"/>
      <c r="Z259" s="14" t="s">
        <v>2181</v>
      </c>
      <c r="AA259" s="2">
        <f t="shared" ca="1" si="32"/>
        <v>1</v>
      </c>
      <c r="AB259" s="153"/>
      <c r="AC259" s="454" t="str">
        <f t="shared" si="39"/>
        <v/>
      </c>
    </row>
    <row r="260" spans="1:29" ht="43.5" x14ac:dyDescent="0.35">
      <c r="A260" s="89" t="str">
        <f t="shared" si="36"/>
        <v>Closed</v>
      </c>
      <c r="B260" s="222">
        <v>45412</v>
      </c>
      <c r="C260" s="14">
        <v>2401</v>
      </c>
      <c r="D260" s="14" t="s">
        <v>2778</v>
      </c>
      <c r="E260" s="14" t="s">
        <v>204</v>
      </c>
      <c r="F260" s="14" t="s">
        <v>1980</v>
      </c>
      <c r="G260" s="14" t="s">
        <v>1911</v>
      </c>
      <c r="H260" s="14"/>
      <c r="I260" s="176" t="s">
        <v>155</v>
      </c>
      <c r="J260" s="14">
        <v>8506846</v>
      </c>
      <c r="K260" s="87"/>
      <c r="L260" s="14" t="s">
        <v>2779</v>
      </c>
      <c r="M260" s="324">
        <f t="shared" si="38"/>
        <v>0</v>
      </c>
      <c r="N260" s="14" t="s">
        <v>1879</v>
      </c>
      <c r="O260" s="14" t="s">
        <v>1880</v>
      </c>
      <c r="P260" s="167" t="s">
        <v>147</v>
      </c>
      <c r="Q260" s="14" t="s">
        <v>135</v>
      </c>
      <c r="R260" s="223" t="s">
        <v>234</v>
      </c>
      <c r="S260" s="224">
        <f t="shared" si="31"/>
        <v>45440</v>
      </c>
      <c r="T260" s="79">
        <v>45773</v>
      </c>
      <c r="U260" s="14" t="s">
        <v>2780</v>
      </c>
      <c r="V260" s="14" t="s">
        <v>2780</v>
      </c>
      <c r="W260" s="14" t="s">
        <v>1879</v>
      </c>
      <c r="X260" s="14" t="s">
        <v>154</v>
      </c>
      <c r="Y260" s="15" t="s">
        <v>1982</v>
      </c>
      <c r="Z260" s="14" t="s">
        <v>2781</v>
      </c>
      <c r="AA260" s="2">
        <f t="shared" ca="1" si="32"/>
        <v>1</v>
      </c>
      <c r="AB260" s="153"/>
      <c r="AC260" s="454" t="str">
        <f t="shared" si="39"/>
        <v/>
      </c>
    </row>
    <row r="261" spans="1:29" ht="29" x14ac:dyDescent="0.35">
      <c r="A261" s="111" t="str">
        <f t="shared" si="36"/>
        <v>Closed</v>
      </c>
      <c r="B261" s="222">
        <v>45413</v>
      </c>
      <c r="C261" s="14">
        <v>2402</v>
      </c>
      <c r="D261" s="14" t="s">
        <v>2782</v>
      </c>
      <c r="E261" s="14" t="s">
        <v>8</v>
      </c>
      <c r="F261" s="14" t="s">
        <v>2783</v>
      </c>
      <c r="G261" s="14"/>
      <c r="H261" s="14"/>
      <c r="I261" s="176" t="s">
        <v>140</v>
      </c>
      <c r="K261" s="87"/>
      <c r="L261" s="14" t="s">
        <v>2784</v>
      </c>
      <c r="M261" s="324">
        <f t="shared" si="38"/>
        <v>0</v>
      </c>
      <c r="N261" s="14" t="s">
        <v>1879</v>
      </c>
      <c r="O261" s="14" t="s">
        <v>1879</v>
      </c>
      <c r="P261" s="167" t="s">
        <v>143</v>
      </c>
      <c r="Q261" s="14"/>
      <c r="R261" s="170">
        <v>0</v>
      </c>
      <c r="S261" s="108">
        <f t="shared" si="31"/>
        <v>45441</v>
      </c>
      <c r="T261" s="79">
        <v>45413</v>
      </c>
      <c r="U261" s="14"/>
      <c r="V261" s="14"/>
      <c r="W261" s="14"/>
      <c r="X261" s="14"/>
      <c r="Z261" s="14"/>
      <c r="AA261" s="2">
        <f t="shared" ca="1" si="32"/>
        <v>1</v>
      </c>
      <c r="AB261" s="153"/>
      <c r="AC261" s="454" t="str">
        <f t="shared" si="39"/>
        <v/>
      </c>
    </row>
    <row r="262" spans="1:29" ht="58" x14ac:dyDescent="0.35">
      <c r="A262" s="111" t="str">
        <f t="shared" si="36"/>
        <v>Closed</v>
      </c>
      <c r="B262" s="222">
        <v>45413</v>
      </c>
      <c r="C262" s="14">
        <v>2402</v>
      </c>
      <c r="D262" s="14" t="s">
        <v>899</v>
      </c>
      <c r="E262" s="14" t="s">
        <v>8</v>
      </c>
      <c r="F262" s="14" t="s">
        <v>1968</v>
      </c>
      <c r="G262" s="14" t="s">
        <v>1900</v>
      </c>
      <c r="H262" s="14"/>
      <c r="I262" s="176" t="s">
        <v>140</v>
      </c>
      <c r="K262" s="87"/>
      <c r="L262" s="14" t="s">
        <v>2785</v>
      </c>
      <c r="M262" s="324">
        <f t="shared" si="38"/>
        <v>0</v>
      </c>
      <c r="N262" s="14" t="s">
        <v>1879</v>
      </c>
      <c r="O262" s="14" t="s">
        <v>1879</v>
      </c>
      <c r="P262" s="167" t="s">
        <v>143</v>
      </c>
      <c r="Q262" s="14"/>
      <c r="R262" s="170">
        <v>0</v>
      </c>
      <c r="S262" s="108">
        <f t="shared" si="31"/>
        <v>45441</v>
      </c>
      <c r="T262" s="79">
        <v>45413</v>
      </c>
      <c r="U262" s="14"/>
      <c r="V262" s="14"/>
      <c r="W262" s="14"/>
      <c r="X262" s="14"/>
      <c r="Y262" s="14" t="s">
        <v>1970</v>
      </c>
      <c r="Z262" s="14"/>
      <c r="AA262" s="2">
        <f t="shared" ca="1" si="32"/>
        <v>1</v>
      </c>
      <c r="AB262" s="153"/>
      <c r="AC262" s="454" t="str">
        <f t="shared" si="39"/>
        <v/>
      </c>
    </row>
    <row r="263" spans="1:29" ht="58" x14ac:dyDescent="0.35">
      <c r="A263" s="111" t="str">
        <f t="shared" si="36"/>
        <v>Closed</v>
      </c>
      <c r="B263" s="222">
        <v>45414</v>
      </c>
      <c r="C263" s="14">
        <v>2402</v>
      </c>
      <c r="D263" s="14" t="s">
        <v>2786</v>
      </c>
      <c r="E263" s="14" t="s">
        <v>31</v>
      </c>
      <c r="F263" s="167" t="s">
        <v>2162</v>
      </c>
      <c r="G263" s="14" t="s">
        <v>1911</v>
      </c>
      <c r="H263" s="14"/>
      <c r="I263" s="176" t="s">
        <v>155</v>
      </c>
      <c r="K263" s="87"/>
      <c r="L263" s="14" t="s">
        <v>2787</v>
      </c>
      <c r="M263" s="324">
        <f t="shared" si="38"/>
        <v>0</v>
      </c>
      <c r="N263" s="14" t="s">
        <v>1879</v>
      </c>
      <c r="O263" s="14" t="s">
        <v>1880</v>
      </c>
      <c r="P263" s="167" t="s">
        <v>147</v>
      </c>
      <c r="Q263" s="14" t="s">
        <v>175</v>
      </c>
      <c r="R263" s="170" t="s">
        <v>234</v>
      </c>
      <c r="S263" s="108">
        <f t="shared" si="31"/>
        <v>45442</v>
      </c>
      <c r="T263" s="79">
        <v>45421</v>
      </c>
      <c r="U263" s="14" t="s">
        <v>2788</v>
      </c>
      <c r="V263" s="14" t="s">
        <v>2789</v>
      </c>
      <c r="W263" s="14" t="s">
        <v>1879</v>
      </c>
      <c r="X263" s="14" t="s">
        <v>1883</v>
      </c>
      <c r="Y263" s="15" t="s">
        <v>2164</v>
      </c>
      <c r="Z263" s="87" t="s">
        <v>2790</v>
      </c>
      <c r="AA263" s="2">
        <f t="shared" ca="1" si="32"/>
        <v>1</v>
      </c>
      <c r="AB263" s="153"/>
      <c r="AC263" s="454" t="str">
        <f t="shared" si="39"/>
        <v/>
      </c>
    </row>
    <row r="264" spans="1:29" ht="101.5" x14ac:dyDescent="0.35">
      <c r="A264" s="111" t="str">
        <f t="shared" si="36"/>
        <v>Closed</v>
      </c>
      <c r="B264" s="222">
        <v>45415</v>
      </c>
      <c r="C264" s="14">
        <v>2402</v>
      </c>
      <c r="D264" s="14" t="s">
        <v>2791</v>
      </c>
      <c r="E264" s="14" t="s">
        <v>78</v>
      </c>
      <c r="F264" s="14" t="s">
        <v>2187</v>
      </c>
      <c r="G264" s="14" t="s">
        <v>1900</v>
      </c>
      <c r="H264" s="14"/>
      <c r="I264" s="176" t="s">
        <v>155</v>
      </c>
      <c r="K264" s="87"/>
      <c r="L264" s="14" t="s">
        <v>2792</v>
      </c>
      <c r="M264" s="324">
        <f t="shared" si="38"/>
        <v>0</v>
      </c>
      <c r="N264" s="14" t="s">
        <v>1879</v>
      </c>
      <c r="O264" s="14" t="s">
        <v>1880</v>
      </c>
      <c r="P264" s="167" t="s">
        <v>147</v>
      </c>
      <c r="Q264" s="14" t="s">
        <v>174</v>
      </c>
      <c r="R264" s="170" t="s">
        <v>234</v>
      </c>
      <c r="S264" s="108">
        <f t="shared" si="31"/>
        <v>45443</v>
      </c>
      <c r="T264" s="79">
        <v>45476</v>
      </c>
      <c r="U264" s="14" t="s">
        <v>2793</v>
      </c>
      <c r="V264" s="14" t="s">
        <v>1896</v>
      </c>
      <c r="W264" s="14" t="s">
        <v>1880</v>
      </c>
      <c r="X264" s="14" t="s">
        <v>1880</v>
      </c>
      <c r="Y264" s="14" t="s">
        <v>2023</v>
      </c>
      <c r="Z264" s="14" t="s">
        <v>2181</v>
      </c>
      <c r="AA264" s="2">
        <f t="shared" ca="1" si="32"/>
        <v>1</v>
      </c>
      <c r="AB264" s="153"/>
      <c r="AC264" s="454" t="str">
        <f t="shared" si="39"/>
        <v/>
      </c>
    </row>
    <row r="265" spans="1:29" ht="159.5" x14ac:dyDescent="0.35">
      <c r="A265" s="111" t="str">
        <f t="shared" si="36"/>
        <v>Closed</v>
      </c>
      <c r="B265" s="222">
        <v>45415</v>
      </c>
      <c r="C265" s="14">
        <v>2402</v>
      </c>
      <c r="D265" s="14" t="s">
        <v>2794</v>
      </c>
      <c r="E265" s="14" t="s">
        <v>192</v>
      </c>
      <c r="F265" s="14" t="s">
        <v>2119</v>
      </c>
      <c r="G265" s="14" t="s">
        <v>1900</v>
      </c>
      <c r="H265" s="14"/>
      <c r="I265" s="176" t="s">
        <v>140</v>
      </c>
      <c r="K265" s="87"/>
      <c r="L265" s="14" t="s">
        <v>2795</v>
      </c>
      <c r="M265" s="324">
        <f t="shared" si="38"/>
        <v>0</v>
      </c>
      <c r="N265" s="14" t="s">
        <v>1879</v>
      </c>
      <c r="O265" s="14" t="s">
        <v>1879</v>
      </c>
      <c r="P265" s="167" t="s">
        <v>143</v>
      </c>
      <c r="Q265" s="14"/>
      <c r="R265" s="170">
        <v>0</v>
      </c>
      <c r="S265" s="108">
        <f t="shared" si="31"/>
        <v>45443</v>
      </c>
      <c r="T265" s="79">
        <v>45415</v>
      </c>
      <c r="U265" s="14"/>
      <c r="V265" s="14"/>
      <c r="W265" s="14"/>
      <c r="X265" s="14"/>
      <c r="Y265" s="14" t="s">
        <v>2093</v>
      </c>
      <c r="Z265" s="14"/>
      <c r="AA265" s="2">
        <f t="shared" ca="1" si="32"/>
        <v>1</v>
      </c>
      <c r="AB265" s="153"/>
      <c r="AC265" s="454" t="str">
        <f t="shared" si="39"/>
        <v/>
      </c>
    </row>
    <row r="266" spans="1:29" x14ac:dyDescent="0.35">
      <c r="A266" s="111" t="str">
        <f t="shared" si="36"/>
        <v>Closed</v>
      </c>
      <c r="B266" s="222">
        <v>45415</v>
      </c>
      <c r="C266" s="14">
        <v>2402</v>
      </c>
      <c r="D266" s="14" t="s">
        <v>2796</v>
      </c>
      <c r="E266" s="14" t="s">
        <v>152</v>
      </c>
      <c r="F266" s="14" t="s">
        <v>2196</v>
      </c>
      <c r="G266" s="14" t="s">
        <v>1900</v>
      </c>
      <c r="H266" s="14"/>
      <c r="I266" s="176" t="s">
        <v>140</v>
      </c>
      <c r="K266" s="87"/>
      <c r="L266" s="14" t="s">
        <v>2797</v>
      </c>
      <c r="M266" s="324">
        <f t="shared" si="38"/>
        <v>0</v>
      </c>
      <c r="N266" s="14" t="s">
        <v>1879</v>
      </c>
      <c r="O266" s="14" t="s">
        <v>1879</v>
      </c>
      <c r="P266" s="167" t="s">
        <v>143</v>
      </c>
      <c r="Q266" s="14"/>
      <c r="R266" s="170">
        <v>0</v>
      </c>
      <c r="S266" s="108">
        <f t="shared" si="31"/>
        <v>45443</v>
      </c>
      <c r="T266" s="79">
        <v>45415</v>
      </c>
      <c r="U266" s="14"/>
      <c r="V266" s="14"/>
      <c r="W266" s="14"/>
      <c r="X266" s="14"/>
      <c r="Y266" s="167" t="s">
        <v>2198</v>
      </c>
      <c r="Z266" s="14"/>
      <c r="AA266" s="2">
        <f t="shared" ca="1" si="32"/>
        <v>1</v>
      </c>
      <c r="AB266" s="153"/>
      <c r="AC266" s="454" t="str">
        <f t="shared" si="39"/>
        <v/>
      </c>
    </row>
    <row r="267" spans="1:29" ht="29" x14ac:dyDescent="0.35">
      <c r="A267" s="111" t="str">
        <f t="shared" si="36"/>
        <v>Closed</v>
      </c>
      <c r="B267" s="222">
        <v>45416</v>
      </c>
      <c r="C267" s="14">
        <v>2402</v>
      </c>
      <c r="D267" s="14" t="s">
        <v>2798</v>
      </c>
      <c r="E267" s="14" t="s">
        <v>206</v>
      </c>
      <c r="F267" s="14" t="s">
        <v>2048</v>
      </c>
      <c r="G267" s="14" t="s">
        <v>1911</v>
      </c>
      <c r="H267" s="14"/>
      <c r="I267" s="176" t="s">
        <v>140</v>
      </c>
      <c r="K267" s="87"/>
      <c r="L267" s="14" t="s">
        <v>2799</v>
      </c>
      <c r="M267" s="324">
        <f t="shared" si="38"/>
        <v>0</v>
      </c>
      <c r="N267" s="14" t="s">
        <v>1879</v>
      </c>
      <c r="O267" s="14" t="s">
        <v>1879</v>
      </c>
      <c r="P267" s="167" t="s">
        <v>143</v>
      </c>
      <c r="Q267" s="14"/>
      <c r="R267" s="170">
        <v>0</v>
      </c>
      <c r="S267" s="108">
        <f t="shared" ref="S267:S329" si="40">IF(B267="","",B267+28)</f>
        <v>45444</v>
      </c>
      <c r="T267" s="79">
        <v>45416</v>
      </c>
      <c r="U267" s="14"/>
      <c r="V267" s="14"/>
      <c r="W267" s="14"/>
      <c r="X267" s="14"/>
      <c r="Y267" s="167" t="s">
        <v>2050</v>
      </c>
      <c r="Z267" s="14"/>
      <c r="AA267" s="2">
        <f t="shared" ca="1" si="32"/>
        <v>1</v>
      </c>
      <c r="AB267" s="153"/>
      <c r="AC267" s="454" t="str">
        <f t="shared" si="39"/>
        <v/>
      </c>
    </row>
    <row r="268" spans="1:29" ht="43.5" x14ac:dyDescent="0.35">
      <c r="A268" s="111" t="str">
        <f t="shared" si="36"/>
        <v>Closed</v>
      </c>
      <c r="B268" s="222">
        <v>45417</v>
      </c>
      <c r="C268" s="14">
        <v>2402</v>
      </c>
      <c r="D268" s="14" t="s">
        <v>2800</v>
      </c>
      <c r="E268" s="14" t="s">
        <v>192</v>
      </c>
      <c r="F268" s="14" t="s">
        <v>2801</v>
      </c>
      <c r="G268" s="14" t="s">
        <v>1911</v>
      </c>
      <c r="H268" s="14"/>
      <c r="I268" s="176" t="s">
        <v>140</v>
      </c>
      <c r="K268" s="87"/>
      <c r="L268" s="14" t="s">
        <v>2802</v>
      </c>
      <c r="M268" s="324">
        <f t="shared" si="38"/>
        <v>0</v>
      </c>
      <c r="N268" s="14" t="s">
        <v>1879</v>
      </c>
      <c r="O268" s="14" t="s">
        <v>1879</v>
      </c>
      <c r="P268" s="167" t="s">
        <v>143</v>
      </c>
      <c r="Q268" s="14"/>
      <c r="R268" s="170">
        <v>0</v>
      </c>
      <c r="S268" s="108">
        <f t="shared" si="40"/>
        <v>45445</v>
      </c>
      <c r="T268" s="79">
        <v>45417</v>
      </c>
      <c r="U268" s="14"/>
      <c r="V268" s="14"/>
      <c r="W268" s="14"/>
      <c r="X268" s="14"/>
      <c r="Z268" s="14"/>
      <c r="AA268" s="2">
        <f t="shared" ca="1" si="32"/>
        <v>1</v>
      </c>
      <c r="AB268" s="153"/>
      <c r="AC268" s="454" t="str">
        <f t="shared" si="39"/>
        <v/>
      </c>
    </row>
    <row r="269" spans="1:29" ht="87" x14ac:dyDescent="0.35">
      <c r="A269" s="111" t="str">
        <f t="shared" si="36"/>
        <v>Closed</v>
      </c>
      <c r="B269" s="222">
        <v>45417</v>
      </c>
      <c r="C269" s="14">
        <v>2402</v>
      </c>
      <c r="D269" s="14" t="s">
        <v>2803</v>
      </c>
      <c r="E269" s="14" t="s">
        <v>52</v>
      </c>
      <c r="F269" s="14" t="s">
        <v>2804</v>
      </c>
      <c r="G269" s="14"/>
      <c r="H269" s="14"/>
      <c r="I269" s="176" t="s">
        <v>140</v>
      </c>
      <c r="K269" s="87"/>
      <c r="L269" s="14" t="s">
        <v>2805</v>
      </c>
      <c r="M269" s="324">
        <f t="shared" si="38"/>
        <v>0</v>
      </c>
      <c r="N269" s="14" t="s">
        <v>1879</v>
      </c>
      <c r="O269" s="14" t="s">
        <v>1879</v>
      </c>
      <c r="P269" s="167" t="s">
        <v>143</v>
      </c>
      <c r="Q269" s="14"/>
      <c r="R269" s="170">
        <v>0</v>
      </c>
      <c r="S269" s="108">
        <f t="shared" si="40"/>
        <v>45445</v>
      </c>
      <c r="T269" s="79">
        <v>45417</v>
      </c>
      <c r="U269" s="14"/>
      <c r="V269" s="14"/>
      <c r="W269" s="14"/>
      <c r="X269" s="14"/>
      <c r="Y269" s="14" t="s">
        <v>2185</v>
      </c>
      <c r="Z269" s="14"/>
      <c r="AA269" s="2">
        <f t="shared" ca="1" si="32"/>
        <v>1</v>
      </c>
      <c r="AB269" s="153"/>
      <c r="AC269" s="454" t="str">
        <f t="shared" si="39"/>
        <v/>
      </c>
    </row>
    <row r="270" spans="1:29" ht="43.5" x14ac:dyDescent="0.35">
      <c r="A270" s="111" t="str">
        <f t="shared" si="36"/>
        <v>Closed</v>
      </c>
      <c r="B270" s="222">
        <v>45418</v>
      </c>
      <c r="C270" s="14">
        <v>2402</v>
      </c>
      <c r="D270" s="14" t="s">
        <v>2806</v>
      </c>
      <c r="E270" s="14" t="s">
        <v>58</v>
      </c>
      <c r="F270" s="14" t="s">
        <v>2533</v>
      </c>
      <c r="G270" s="14"/>
      <c r="H270" s="14"/>
      <c r="I270" s="176" t="s">
        <v>140</v>
      </c>
      <c r="K270" s="87"/>
      <c r="L270" s="14" t="s">
        <v>2807</v>
      </c>
      <c r="M270" s="324">
        <f t="shared" si="38"/>
        <v>0</v>
      </c>
      <c r="N270" s="14" t="s">
        <v>1879</v>
      </c>
      <c r="O270" s="14" t="s">
        <v>1879</v>
      </c>
      <c r="P270" s="167" t="s">
        <v>143</v>
      </c>
      <c r="Q270" s="14"/>
      <c r="R270" s="170">
        <v>0</v>
      </c>
      <c r="S270" s="108">
        <f t="shared" si="40"/>
        <v>45446</v>
      </c>
      <c r="T270" s="79">
        <v>45418</v>
      </c>
      <c r="U270" s="14"/>
      <c r="V270" s="14"/>
      <c r="W270" s="14"/>
      <c r="X270" s="14"/>
      <c r="Z270" s="14"/>
      <c r="AA270" s="2">
        <f t="shared" ca="1" si="32"/>
        <v>1</v>
      </c>
      <c r="AB270" s="153"/>
      <c r="AC270" s="454" t="str">
        <f t="shared" si="39"/>
        <v/>
      </c>
    </row>
    <row r="271" spans="1:29" ht="29" x14ac:dyDescent="0.35">
      <c r="A271" s="111" t="str">
        <f t="shared" si="36"/>
        <v>Closed</v>
      </c>
      <c r="B271" s="222">
        <v>45418</v>
      </c>
      <c r="C271" s="14">
        <v>2402</v>
      </c>
      <c r="D271" s="14" t="s">
        <v>2808</v>
      </c>
      <c r="E271" s="14" t="s">
        <v>31</v>
      </c>
      <c r="F271" s="14" t="s">
        <v>1972</v>
      </c>
      <c r="G271" s="14"/>
      <c r="H271" s="14"/>
      <c r="I271" s="176" t="s">
        <v>140</v>
      </c>
      <c r="K271" s="87"/>
      <c r="L271" s="14" t="s">
        <v>2809</v>
      </c>
      <c r="M271" s="324">
        <f t="shared" si="38"/>
        <v>0</v>
      </c>
      <c r="N271" s="14" t="s">
        <v>1879</v>
      </c>
      <c r="O271" s="14" t="s">
        <v>1879</v>
      </c>
      <c r="P271" s="167" t="s">
        <v>143</v>
      </c>
      <c r="Q271" s="14"/>
      <c r="R271" s="170">
        <v>0</v>
      </c>
      <c r="S271" s="108">
        <f t="shared" si="40"/>
        <v>45446</v>
      </c>
      <c r="T271" s="79">
        <v>45418</v>
      </c>
      <c r="U271" s="14"/>
      <c r="V271" s="14"/>
      <c r="W271" s="14"/>
      <c r="X271" s="14"/>
      <c r="Z271" s="14"/>
      <c r="AA271" s="2">
        <f t="shared" ref="AA271:AA334" ca="1" si="41">IF(B271="",3,IF(S271&lt;$A$1,1,0))</f>
        <v>1</v>
      </c>
      <c r="AB271" s="153"/>
      <c r="AC271" s="454" t="str">
        <f t="shared" si="39"/>
        <v/>
      </c>
    </row>
    <row r="272" spans="1:29" ht="43.5" x14ac:dyDescent="0.35">
      <c r="A272" s="111" t="str">
        <f t="shared" si="36"/>
        <v>Closed</v>
      </c>
      <c r="B272" s="222">
        <v>45419</v>
      </c>
      <c r="C272" s="14">
        <v>2402</v>
      </c>
      <c r="D272" s="14" t="s">
        <v>2810</v>
      </c>
      <c r="E272" s="14" t="s">
        <v>80</v>
      </c>
      <c r="F272" s="14" t="s">
        <v>2811</v>
      </c>
      <c r="G272" s="14"/>
      <c r="H272" s="14">
        <v>121</v>
      </c>
      <c r="I272" s="176" t="s">
        <v>155</v>
      </c>
      <c r="K272" s="87"/>
      <c r="L272" s="14" t="s">
        <v>2812</v>
      </c>
      <c r="M272" s="324">
        <f t="shared" si="38"/>
        <v>0</v>
      </c>
      <c r="N272" s="14" t="s">
        <v>1879</v>
      </c>
      <c r="O272" s="14" t="s">
        <v>1880</v>
      </c>
      <c r="P272" s="167" t="s">
        <v>147</v>
      </c>
      <c r="Q272" s="14" t="s">
        <v>153</v>
      </c>
      <c r="R272" s="170" t="s">
        <v>234</v>
      </c>
      <c r="S272" s="108">
        <f t="shared" si="40"/>
        <v>45447</v>
      </c>
      <c r="T272" s="79">
        <v>45463</v>
      </c>
      <c r="U272" s="14" t="s">
        <v>2813</v>
      </c>
      <c r="V272" s="14" t="s">
        <v>2814</v>
      </c>
      <c r="W272" s="14" t="s">
        <v>1879</v>
      </c>
      <c r="X272" s="14" t="s">
        <v>154</v>
      </c>
      <c r="Z272" s="14" t="s">
        <v>2815</v>
      </c>
      <c r="AA272" s="2">
        <f t="shared" ca="1" si="41"/>
        <v>1</v>
      </c>
      <c r="AB272" s="153"/>
      <c r="AC272" s="454" t="str">
        <f t="shared" si="39"/>
        <v>1</v>
      </c>
    </row>
    <row r="273" spans="1:29" ht="101.5" x14ac:dyDescent="0.35">
      <c r="A273" s="111" t="str">
        <f t="shared" si="36"/>
        <v>Closed</v>
      </c>
      <c r="B273" s="222">
        <v>45419</v>
      </c>
      <c r="C273" s="14">
        <v>2402</v>
      </c>
      <c r="D273" s="14" t="s">
        <v>2816</v>
      </c>
      <c r="E273" s="14" t="s">
        <v>42</v>
      </c>
      <c r="F273" s="14" t="s">
        <v>2698</v>
      </c>
      <c r="G273" s="14" t="s">
        <v>1900</v>
      </c>
      <c r="H273" s="14">
        <v>119</v>
      </c>
      <c r="I273" s="176" t="s">
        <v>4</v>
      </c>
      <c r="J273" s="14">
        <v>8513587</v>
      </c>
      <c r="K273" s="14" t="s">
        <v>137</v>
      </c>
      <c r="L273" s="51" t="s">
        <v>2817</v>
      </c>
      <c r="M273" s="324">
        <v>0</v>
      </c>
      <c r="N273" s="14" t="s">
        <v>1879</v>
      </c>
      <c r="O273" s="14" t="s">
        <v>1880</v>
      </c>
      <c r="P273" s="167" t="s">
        <v>147</v>
      </c>
      <c r="Q273" s="14" t="s">
        <v>157</v>
      </c>
      <c r="R273" s="170" t="s">
        <v>234</v>
      </c>
      <c r="S273" s="108">
        <f t="shared" si="40"/>
        <v>45447</v>
      </c>
      <c r="T273" s="79">
        <v>45544</v>
      </c>
      <c r="U273" s="14" t="s">
        <v>2818</v>
      </c>
      <c r="V273" s="14" t="s">
        <v>2819</v>
      </c>
      <c r="W273" s="14" t="s">
        <v>1879</v>
      </c>
      <c r="X273" s="14" t="s">
        <v>154</v>
      </c>
      <c r="Y273" s="15" t="s">
        <v>2007</v>
      </c>
      <c r="Z273" s="14" t="s">
        <v>2820</v>
      </c>
      <c r="AA273" s="2">
        <f t="shared" ca="1" si="41"/>
        <v>1</v>
      </c>
      <c r="AB273" s="153"/>
      <c r="AC273" s="454" t="str">
        <f t="shared" si="39"/>
        <v>1</v>
      </c>
    </row>
    <row r="274" spans="1:29" ht="58" x14ac:dyDescent="0.35">
      <c r="A274" s="111" t="str">
        <f t="shared" si="36"/>
        <v>Closed</v>
      </c>
      <c r="B274" s="222">
        <v>45420</v>
      </c>
      <c r="C274" s="14">
        <v>2402</v>
      </c>
      <c r="D274" s="14" t="s">
        <v>2821</v>
      </c>
      <c r="E274" s="14" t="s">
        <v>38</v>
      </c>
      <c r="F274" s="14" t="s">
        <v>1972</v>
      </c>
      <c r="G274" s="14"/>
      <c r="H274" s="14">
        <v>207</v>
      </c>
      <c r="I274" s="176" t="s">
        <v>2</v>
      </c>
      <c r="J274" s="14">
        <v>425</v>
      </c>
      <c r="K274" s="85" t="s">
        <v>137</v>
      </c>
      <c r="L274" s="51" t="s">
        <v>2822</v>
      </c>
      <c r="M274" s="324">
        <v>0</v>
      </c>
      <c r="N274" s="14" t="s">
        <v>1879</v>
      </c>
      <c r="O274" s="14" t="s">
        <v>1880</v>
      </c>
      <c r="P274" s="167" t="s">
        <v>136</v>
      </c>
      <c r="Q274" s="14" t="s">
        <v>157</v>
      </c>
      <c r="R274" s="170" t="s">
        <v>234</v>
      </c>
      <c r="S274" s="108">
        <f t="shared" si="40"/>
        <v>45448</v>
      </c>
      <c r="T274" s="79">
        <v>45498</v>
      </c>
      <c r="U274" s="14" t="s">
        <v>2823</v>
      </c>
      <c r="V274" s="14" t="s">
        <v>2149</v>
      </c>
      <c r="W274" s="14" t="s">
        <v>1879</v>
      </c>
      <c r="X274" s="14" t="s">
        <v>154</v>
      </c>
      <c r="Y274" s="88"/>
      <c r="Z274" s="14" t="s">
        <v>2824</v>
      </c>
      <c r="AA274" s="2">
        <f t="shared" ca="1" si="41"/>
        <v>1</v>
      </c>
      <c r="AB274" s="153"/>
      <c r="AC274" s="454" t="str">
        <f t="shared" si="39"/>
        <v>2</v>
      </c>
    </row>
    <row r="275" spans="1:29" ht="72.5" x14ac:dyDescent="0.35">
      <c r="A275" s="111" t="str">
        <f t="shared" si="36"/>
        <v>Closed</v>
      </c>
      <c r="B275" s="222">
        <v>45420</v>
      </c>
      <c r="C275" s="14">
        <v>2402</v>
      </c>
      <c r="D275" s="14" t="s">
        <v>2825</v>
      </c>
      <c r="E275" s="14" t="s">
        <v>41</v>
      </c>
      <c r="F275" s="14" t="s">
        <v>1899</v>
      </c>
      <c r="G275" s="14" t="s">
        <v>1900</v>
      </c>
      <c r="H275" s="14"/>
      <c r="I275" s="176" t="s">
        <v>140</v>
      </c>
      <c r="J275" s="14">
        <v>8508695</v>
      </c>
      <c r="K275" s="14" t="s">
        <v>137</v>
      </c>
      <c r="L275" s="51" t="s">
        <v>2826</v>
      </c>
      <c r="M275" s="324">
        <v>0</v>
      </c>
      <c r="N275" s="14" t="s">
        <v>1879</v>
      </c>
      <c r="O275" s="14" t="s">
        <v>1879</v>
      </c>
      <c r="P275" s="167" t="s">
        <v>143</v>
      </c>
      <c r="Q275" s="14"/>
      <c r="R275" s="170">
        <v>0</v>
      </c>
      <c r="S275" s="108">
        <f t="shared" si="40"/>
        <v>45448</v>
      </c>
      <c r="T275" s="79">
        <v>45902</v>
      </c>
      <c r="U275" s="14"/>
      <c r="V275" s="14"/>
      <c r="W275" s="14"/>
      <c r="X275" s="14"/>
      <c r="Y275" s="14" t="s">
        <v>1904</v>
      </c>
      <c r="Z275" s="14" t="s">
        <v>2827</v>
      </c>
      <c r="AA275" s="2">
        <f t="shared" ca="1" si="41"/>
        <v>1</v>
      </c>
      <c r="AB275" s="153"/>
      <c r="AC275" s="454" t="str">
        <f t="shared" si="39"/>
        <v/>
      </c>
    </row>
    <row r="276" spans="1:29" ht="58" x14ac:dyDescent="0.35">
      <c r="A276" s="111" t="str">
        <f t="shared" si="36"/>
        <v>Closed</v>
      </c>
      <c r="B276" s="222">
        <v>45420</v>
      </c>
      <c r="C276" s="14">
        <v>2402</v>
      </c>
      <c r="D276" s="14" t="s">
        <v>2828</v>
      </c>
      <c r="E276" s="14" t="s">
        <v>27</v>
      </c>
      <c r="F276" s="167" t="s">
        <v>2041</v>
      </c>
      <c r="G276" s="14" t="s">
        <v>1911</v>
      </c>
      <c r="H276" s="14"/>
      <c r="I276" s="176" t="s">
        <v>5</v>
      </c>
      <c r="K276" s="87"/>
      <c r="L276" s="51" t="s">
        <v>2829</v>
      </c>
      <c r="M276" s="324">
        <f t="shared" ref="M276:M282" si="42">IF(I276="Staff Accident","Entry Required",IF(I276="Assaults","Entry Required",0))</f>
        <v>0</v>
      </c>
      <c r="N276" s="14" t="s">
        <v>1879</v>
      </c>
      <c r="O276" s="14" t="s">
        <v>1880</v>
      </c>
      <c r="P276" s="167" t="s">
        <v>147</v>
      </c>
      <c r="Q276" s="14" t="s">
        <v>135</v>
      </c>
      <c r="R276" s="170" t="s">
        <v>234</v>
      </c>
      <c r="S276" s="108">
        <f t="shared" si="40"/>
        <v>45448</v>
      </c>
      <c r="T276" s="79">
        <v>45447</v>
      </c>
      <c r="U276" s="14" t="s">
        <v>2830</v>
      </c>
      <c r="V276" s="14" t="s">
        <v>2831</v>
      </c>
      <c r="W276" s="14" t="s">
        <v>1879</v>
      </c>
      <c r="X276" s="14" t="s">
        <v>154</v>
      </c>
      <c r="Y276" s="2" t="s">
        <v>2045</v>
      </c>
      <c r="Z276" s="14" t="s">
        <v>2832</v>
      </c>
      <c r="AA276" s="2">
        <f t="shared" ca="1" si="41"/>
        <v>1</v>
      </c>
      <c r="AB276" s="153"/>
      <c r="AC276" s="454" t="str">
        <f t="shared" si="39"/>
        <v/>
      </c>
    </row>
    <row r="277" spans="1:29" ht="43.5" x14ac:dyDescent="0.35">
      <c r="A277" s="111" t="str">
        <f t="shared" si="36"/>
        <v>Closed</v>
      </c>
      <c r="B277" s="222">
        <v>45420</v>
      </c>
      <c r="C277" s="14">
        <v>2402</v>
      </c>
      <c r="D277" s="14" t="s">
        <v>836</v>
      </c>
      <c r="E277" s="14" t="s">
        <v>78</v>
      </c>
      <c r="F277" s="14" t="s">
        <v>1972</v>
      </c>
      <c r="G277" s="14"/>
      <c r="H277" s="14">
        <v>124</v>
      </c>
      <c r="I277" s="176" t="s">
        <v>155</v>
      </c>
      <c r="J277" s="14">
        <v>87</v>
      </c>
      <c r="K277" s="87"/>
      <c r="L277" s="51" t="s">
        <v>2833</v>
      </c>
      <c r="M277" s="324">
        <f t="shared" si="42"/>
        <v>0</v>
      </c>
      <c r="N277" s="14" t="s">
        <v>1879</v>
      </c>
      <c r="O277" s="14" t="s">
        <v>1880</v>
      </c>
      <c r="P277" s="167" t="s">
        <v>147</v>
      </c>
      <c r="Q277" s="14" t="s">
        <v>135</v>
      </c>
      <c r="R277" s="170" t="s">
        <v>234</v>
      </c>
      <c r="S277" s="108">
        <f t="shared" si="40"/>
        <v>45448</v>
      </c>
      <c r="T277" s="79">
        <v>45447</v>
      </c>
      <c r="U277" s="14" t="s">
        <v>2834</v>
      </c>
      <c r="V277" s="14" t="s">
        <v>2835</v>
      </c>
      <c r="W277" s="14" t="s">
        <v>1880</v>
      </c>
      <c r="X277" s="14" t="s">
        <v>1880</v>
      </c>
      <c r="Z277" s="14" t="s">
        <v>2836</v>
      </c>
      <c r="AA277" s="2">
        <f t="shared" ca="1" si="41"/>
        <v>1</v>
      </c>
      <c r="AB277" s="153"/>
      <c r="AC277" s="454" t="str">
        <f t="shared" si="39"/>
        <v>1</v>
      </c>
    </row>
    <row r="278" spans="1:29" ht="58" x14ac:dyDescent="0.35">
      <c r="A278" s="111" t="str">
        <f t="shared" si="36"/>
        <v>Closed</v>
      </c>
      <c r="B278" s="222">
        <v>45421</v>
      </c>
      <c r="C278" s="14">
        <v>2402</v>
      </c>
      <c r="D278" s="14" t="s">
        <v>2837</v>
      </c>
      <c r="E278" s="14" t="s">
        <v>78</v>
      </c>
      <c r="F278" s="167" t="s">
        <v>1947</v>
      </c>
      <c r="G278" s="14" t="s">
        <v>1900</v>
      </c>
      <c r="H278" s="14">
        <v>114</v>
      </c>
      <c r="I278" s="176" t="s">
        <v>155</v>
      </c>
      <c r="J278" s="14">
        <v>8506977</v>
      </c>
      <c r="K278" s="87"/>
      <c r="L278" s="330" t="s">
        <v>2838</v>
      </c>
      <c r="M278" s="324">
        <f t="shared" si="42"/>
        <v>0</v>
      </c>
      <c r="N278" s="14" t="s">
        <v>1879</v>
      </c>
      <c r="O278" s="14" t="s">
        <v>1880</v>
      </c>
      <c r="P278" s="167" t="s">
        <v>147</v>
      </c>
      <c r="Q278" s="14" t="s">
        <v>175</v>
      </c>
      <c r="R278" s="170" t="s">
        <v>234</v>
      </c>
      <c r="S278" s="108">
        <f t="shared" si="40"/>
        <v>45449</v>
      </c>
      <c r="T278" s="79">
        <v>45429</v>
      </c>
      <c r="U278" s="14" t="s">
        <v>2839</v>
      </c>
      <c r="V278" s="14" t="s">
        <v>2840</v>
      </c>
      <c r="W278" s="14" t="s">
        <v>1879</v>
      </c>
      <c r="X278" s="14" t="s">
        <v>154</v>
      </c>
      <c r="Y278" s="167" t="s">
        <v>1951</v>
      </c>
      <c r="Z278" s="14" t="s">
        <v>2790</v>
      </c>
      <c r="AA278" s="2">
        <f t="shared" ca="1" si="41"/>
        <v>1</v>
      </c>
      <c r="AB278" s="153"/>
      <c r="AC278" s="454" t="str">
        <f t="shared" si="39"/>
        <v>1</v>
      </c>
    </row>
    <row r="279" spans="1:29" ht="43.5" x14ac:dyDescent="0.35">
      <c r="A279" s="111" t="str">
        <f t="shared" si="36"/>
        <v>Closed</v>
      </c>
      <c r="B279" s="222">
        <v>45421</v>
      </c>
      <c r="C279" s="14">
        <v>2402</v>
      </c>
      <c r="D279" s="14" t="s">
        <v>2841</v>
      </c>
      <c r="E279" s="14" t="s">
        <v>192</v>
      </c>
      <c r="F279" s="14" t="s">
        <v>1980</v>
      </c>
      <c r="G279" s="14" t="s">
        <v>1900</v>
      </c>
      <c r="H279" s="14">
        <v>112</v>
      </c>
      <c r="I279" s="176" t="s">
        <v>140</v>
      </c>
      <c r="K279" s="87"/>
      <c r="L279" s="14" t="s">
        <v>2842</v>
      </c>
      <c r="M279" s="324">
        <f t="shared" si="42"/>
        <v>0</v>
      </c>
      <c r="N279" s="14" t="s">
        <v>1879</v>
      </c>
      <c r="O279" s="14" t="s">
        <v>1879</v>
      </c>
      <c r="P279" s="167" t="s">
        <v>143</v>
      </c>
      <c r="Q279" s="14"/>
      <c r="R279" s="170">
        <v>0</v>
      </c>
      <c r="S279" s="108">
        <f t="shared" si="40"/>
        <v>45449</v>
      </c>
      <c r="T279" s="79">
        <v>45421</v>
      </c>
      <c r="U279" s="14"/>
      <c r="V279" s="14"/>
      <c r="W279" s="14"/>
      <c r="X279" s="14"/>
      <c r="Y279" s="15" t="s">
        <v>1982</v>
      </c>
      <c r="Z279" s="14"/>
      <c r="AA279" s="2">
        <f t="shared" ca="1" si="41"/>
        <v>1</v>
      </c>
      <c r="AB279" s="153"/>
      <c r="AC279" s="454" t="str">
        <f t="shared" si="39"/>
        <v>1</v>
      </c>
    </row>
    <row r="280" spans="1:29" ht="43.5" x14ac:dyDescent="0.35">
      <c r="A280" s="111" t="str">
        <f t="shared" si="36"/>
        <v>Closed</v>
      </c>
      <c r="B280" s="222">
        <v>45421</v>
      </c>
      <c r="C280" s="14">
        <v>2402</v>
      </c>
      <c r="D280" s="14" t="s">
        <v>2843</v>
      </c>
      <c r="E280" s="14" t="s">
        <v>192</v>
      </c>
      <c r="F280" s="14" t="s">
        <v>1980</v>
      </c>
      <c r="G280" s="14" t="s">
        <v>1900</v>
      </c>
      <c r="H280" s="14">
        <v>106</v>
      </c>
      <c r="I280" s="176" t="s">
        <v>140</v>
      </c>
      <c r="K280" s="87"/>
      <c r="L280" s="14" t="s">
        <v>2844</v>
      </c>
      <c r="M280" s="324">
        <f t="shared" si="42"/>
        <v>0</v>
      </c>
      <c r="N280" s="14" t="s">
        <v>1879</v>
      </c>
      <c r="O280" s="14" t="s">
        <v>1879</v>
      </c>
      <c r="P280" s="167" t="s">
        <v>143</v>
      </c>
      <c r="Q280" s="14"/>
      <c r="R280" s="170">
        <v>0</v>
      </c>
      <c r="S280" s="108">
        <f t="shared" si="40"/>
        <v>45449</v>
      </c>
      <c r="T280" s="79">
        <v>45421</v>
      </c>
      <c r="U280" s="14"/>
      <c r="V280" s="14"/>
      <c r="W280" s="14"/>
      <c r="X280" s="14"/>
      <c r="Y280" s="15" t="s">
        <v>1982</v>
      </c>
      <c r="Z280" s="14"/>
      <c r="AA280" s="2">
        <f t="shared" ca="1" si="41"/>
        <v>1</v>
      </c>
      <c r="AB280" s="153"/>
      <c r="AC280" s="454" t="str">
        <f t="shared" si="39"/>
        <v>1</v>
      </c>
    </row>
    <row r="281" spans="1:29" ht="58" x14ac:dyDescent="0.35">
      <c r="A281" s="111" t="str">
        <f t="shared" si="36"/>
        <v>Closed</v>
      </c>
      <c r="B281" s="222">
        <v>45421</v>
      </c>
      <c r="C281" s="14">
        <v>2402</v>
      </c>
      <c r="D281" s="14" t="s">
        <v>2845</v>
      </c>
      <c r="E281" s="14" t="s">
        <v>27</v>
      </c>
      <c r="F281" s="14" t="s">
        <v>1985</v>
      </c>
      <c r="G281" s="14" t="s">
        <v>1911</v>
      </c>
      <c r="H281" s="14">
        <v>111</v>
      </c>
      <c r="I281" s="176" t="s">
        <v>5</v>
      </c>
      <c r="J281" s="14">
        <v>85223</v>
      </c>
      <c r="K281" s="87"/>
      <c r="L281" s="14" t="s">
        <v>2846</v>
      </c>
      <c r="M281" s="324">
        <f t="shared" si="42"/>
        <v>0</v>
      </c>
      <c r="N281" s="14" t="s">
        <v>1879</v>
      </c>
      <c r="O281" s="14" t="s">
        <v>1879</v>
      </c>
      <c r="P281" s="167" t="s">
        <v>147</v>
      </c>
      <c r="Q281" s="14" t="s">
        <v>168</v>
      </c>
      <c r="R281" s="170" t="s">
        <v>234</v>
      </c>
      <c r="S281" s="108">
        <f t="shared" si="40"/>
        <v>45449</v>
      </c>
      <c r="T281" s="79">
        <v>45544</v>
      </c>
      <c r="U281" s="14" t="s">
        <v>2847</v>
      </c>
      <c r="V281" s="14" t="s">
        <v>2102</v>
      </c>
      <c r="W281" s="14" t="s">
        <v>1880</v>
      </c>
      <c r="X281" s="14" t="s">
        <v>1879</v>
      </c>
      <c r="Y281" s="14" t="s">
        <v>1989</v>
      </c>
      <c r="Z281" s="14" t="s">
        <v>2694</v>
      </c>
      <c r="AA281" s="2">
        <f t="shared" ca="1" si="41"/>
        <v>1</v>
      </c>
      <c r="AB281" s="153"/>
      <c r="AC281" s="454" t="str">
        <f t="shared" si="39"/>
        <v>1</v>
      </c>
    </row>
    <row r="282" spans="1:29" ht="43.5" x14ac:dyDescent="0.35">
      <c r="A282" s="111" t="str">
        <f t="shared" si="36"/>
        <v>Closed</v>
      </c>
      <c r="B282" s="222">
        <v>45422</v>
      </c>
      <c r="C282" s="14">
        <v>2402</v>
      </c>
      <c r="D282" s="14" t="s">
        <v>832</v>
      </c>
      <c r="E282" s="14" t="s">
        <v>31</v>
      </c>
      <c r="F282" s="14" t="s">
        <v>2060</v>
      </c>
      <c r="G282" s="14"/>
      <c r="H282" s="14"/>
      <c r="I282" s="176" t="s">
        <v>155</v>
      </c>
      <c r="J282" s="14">
        <v>8504629</v>
      </c>
      <c r="K282" s="87"/>
      <c r="L282" s="14" t="s">
        <v>2848</v>
      </c>
      <c r="M282" s="324">
        <f t="shared" si="42"/>
        <v>0</v>
      </c>
      <c r="N282" s="14" t="s">
        <v>1879</v>
      </c>
      <c r="O282" s="14" t="s">
        <v>1880</v>
      </c>
      <c r="P282" s="167" t="s">
        <v>147</v>
      </c>
      <c r="Q282" s="14" t="s">
        <v>175</v>
      </c>
      <c r="R282" s="170" t="s">
        <v>234</v>
      </c>
      <c r="S282" s="108">
        <f t="shared" si="40"/>
        <v>45450</v>
      </c>
      <c r="T282" s="79">
        <v>45441</v>
      </c>
      <c r="U282" s="14" t="s">
        <v>2849</v>
      </c>
      <c r="V282" s="14" t="s">
        <v>2850</v>
      </c>
      <c r="W282" s="14" t="s">
        <v>1879</v>
      </c>
      <c r="X282" s="14" t="s">
        <v>1880</v>
      </c>
      <c r="Y282" s="466" t="s">
        <v>2062</v>
      </c>
      <c r="Z282" s="14" t="s">
        <v>2790</v>
      </c>
      <c r="AA282" s="2">
        <f t="shared" ca="1" si="41"/>
        <v>1</v>
      </c>
      <c r="AB282" s="153"/>
      <c r="AC282" s="454" t="str">
        <f t="shared" si="39"/>
        <v/>
      </c>
    </row>
    <row r="283" spans="1:29" ht="58" x14ac:dyDescent="0.35">
      <c r="A283" s="111" t="str">
        <f t="shared" si="36"/>
        <v>Closed</v>
      </c>
      <c r="B283" s="222">
        <v>45422</v>
      </c>
      <c r="C283" s="14">
        <v>2402</v>
      </c>
      <c r="D283" s="14" t="s">
        <v>2851</v>
      </c>
      <c r="E283" s="14" t="s">
        <v>38</v>
      </c>
      <c r="F283" s="14" t="s">
        <v>2130</v>
      </c>
      <c r="G283" s="14" t="s">
        <v>1911</v>
      </c>
      <c r="H283" s="14">
        <v>115</v>
      </c>
      <c r="I283" s="176" t="s">
        <v>2</v>
      </c>
      <c r="J283" s="14">
        <v>8506728</v>
      </c>
      <c r="K283" s="85" t="s">
        <v>137</v>
      </c>
      <c r="L283" s="14" t="s">
        <v>2852</v>
      </c>
      <c r="M283" s="324">
        <v>0</v>
      </c>
      <c r="N283" s="14" t="s">
        <v>1879</v>
      </c>
      <c r="O283" s="14" t="s">
        <v>1880</v>
      </c>
      <c r="P283" s="167" t="s">
        <v>136</v>
      </c>
      <c r="Q283" s="14" t="s">
        <v>135</v>
      </c>
      <c r="R283" s="170" t="s">
        <v>234</v>
      </c>
      <c r="S283" s="108">
        <f t="shared" si="40"/>
        <v>45450</v>
      </c>
      <c r="T283" s="79">
        <v>45442</v>
      </c>
      <c r="U283" s="14"/>
      <c r="V283" s="14"/>
      <c r="W283" s="14"/>
      <c r="X283" s="14"/>
      <c r="Y283" s="15" t="s">
        <v>2134</v>
      </c>
      <c r="Z283" s="14" t="s">
        <v>2853</v>
      </c>
      <c r="AA283" s="2">
        <f t="shared" ca="1" si="41"/>
        <v>1</v>
      </c>
      <c r="AB283" s="153"/>
      <c r="AC283" s="454" t="str">
        <f t="shared" si="39"/>
        <v>1</v>
      </c>
    </row>
    <row r="284" spans="1:29" ht="43.5" x14ac:dyDescent="0.35">
      <c r="A284" s="111" t="str">
        <f t="shared" si="36"/>
        <v>Closed</v>
      </c>
      <c r="B284" s="222">
        <v>45422</v>
      </c>
      <c r="C284" s="14">
        <v>2402</v>
      </c>
      <c r="D284" s="14" t="s">
        <v>2854</v>
      </c>
      <c r="E284" s="14" t="s">
        <v>1997</v>
      </c>
      <c r="F284" s="14"/>
      <c r="G284" s="14"/>
      <c r="H284" s="14">
        <v>101</v>
      </c>
      <c r="I284" s="176" t="s">
        <v>140</v>
      </c>
      <c r="J284" s="14">
        <v>65149</v>
      </c>
      <c r="K284" s="87"/>
      <c r="L284" s="14" t="s">
        <v>2855</v>
      </c>
      <c r="M284" s="324">
        <f>IF(I284="Staff Accident","Entry Required",IF(I284="Assaults","Entry Required",0))</f>
        <v>0</v>
      </c>
      <c r="N284" s="14" t="s">
        <v>1879</v>
      </c>
      <c r="O284" s="14" t="s">
        <v>1879</v>
      </c>
      <c r="P284" s="167" t="s">
        <v>143</v>
      </c>
      <c r="Q284" s="14"/>
      <c r="R284" s="170">
        <v>0</v>
      </c>
      <c r="S284" s="108">
        <f t="shared" si="40"/>
        <v>45450</v>
      </c>
      <c r="T284" s="79">
        <v>45392</v>
      </c>
      <c r="U284" s="14"/>
      <c r="V284" s="14"/>
      <c r="W284" s="14"/>
      <c r="X284" s="14"/>
      <c r="Z284" s="14"/>
      <c r="AA284" s="2">
        <f t="shared" ca="1" si="41"/>
        <v>1</v>
      </c>
      <c r="AB284" s="153"/>
      <c r="AC284" s="454" t="str">
        <f t="shared" si="39"/>
        <v>1</v>
      </c>
    </row>
    <row r="285" spans="1:29" ht="72.5" x14ac:dyDescent="0.35">
      <c r="A285" s="111" t="str">
        <f t="shared" si="36"/>
        <v>Closed</v>
      </c>
      <c r="B285" s="222">
        <v>45423</v>
      </c>
      <c r="C285" s="14">
        <v>2402</v>
      </c>
      <c r="D285" s="14" t="s">
        <v>863</v>
      </c>
      <c r="E285" s="14" t="s">
        <v>38</v>
      </c>
      <c r="F285" s="167" t="s">
        <v>2349</v>
      </c>
      <c r="G285" s="14" t="s">
        <v>1900</v>
      </c>
      <c r="H285" s="14"/>
      <c r="I285" s="176" t="s">
        <v>2</v>
      </c>
      <c r="J285" s="14">
        <v>80749</v>
      </c>
      <c r="K285" s="85" t="s">
        <v>137</v>
      </c>
      <c r="L285" s="14" t="s">
        <v>2856</v>
      </c>
      <c r="M285" s="324">
        <v>4</v>
      </c>
      <c r="N285" s="14" t="s">
        <v>1879</v>
      </c>
      <c r="O285" s="14" t="s">
        <v>1880</v>
      </c>
      <c r="P285" s="167" t="s">
        <v>136</v>
      </c>
      <c r="Q285" s="14" t="s">
        <v>168</v>
      </c>
      <c r="R285" s="170" t="s">
        <v>234</v>
      </c>
      <c r="S285" s="108">
        <f t="shared" si="40"/>
        <v>45451</v>
      </c>
      <c r="T285" s="79">
        <v>45454</v>
      </c>
      <c r="U285" s="14" t="s">
        <v>2857</v>
      </c>
      <c r="V285" s="14" t="s">
        <v>1896</v>
      </c>
      <c r="W285" s="14" t="s">
        <v>1880</v>
      </c>
      <c r="X285" s="14" t="s">
        <v>1880</v>
      </c>
      <c r="Y285" s="14" t="s">
        <v>2351</v>
      </c>
      <c r="Z285" s="14" t="s">
        <v>2858</v>
      </c>
      <c r="AA285" s="2">
        <f t="shared" ca="1" si="41"/>
        <v>1</v>
      </c>
      <c r="AB285" s="153"/>
      <c r="AC285" s="454" t="str">
        <f t="shared" si="39"/>
        <v/>
      </c>
    </row>
    <row r="286" spans="1:29" ht="58" x14ac:dyDescent="0.35">
      <c r="A286" s="111" t="str">
        <f t="shared" si="36"/>
        <v>Closed</v>
      </c>
      <c r="B286" s="222">
        <v>45423</v>
      </c>
      <c r="C286" s="14">
        <v>2402</v>
      </c>
      <c r="D286" s="14" t="s">
        <v>2859</v>
      </c>
      <c r="E286" s="14" t="s">
        <v>78</v>
      </c>
      <c r="F286" s="14" t="s">
        <v>2052</v>
      </c>
      <c r="G286" s="14" t="s">
        <v>1911</v>
      </c>
      <c r="H286" s="14">
        <v>104</v>
      </c>
      <c r="I286" s="176" t="s">
        <v>155</v>
      </c>
      <c r="J286" s="14">
        <v>377</v>
      </c>
      <c r="K286" s="87"/>
      <c r="L286" s="14" t="s">
        <v>2860</v>
      </c>
      <c r="M286" s="324">
        <f>IF(I286="Staff Accident","Entry Required",IF(I286="Assaults","Entry Required",0))</f>
        <v>0</v>
      </c>
      <c r="N286" s="14" t="s">
        <v>1879</v>
      </c>
      <c r="O286" s="14" t="s">
        <v>1880</v>
      </c>
      <c r="P286" s="167" t="s">
        <v>147</v>
      </c>
      <c r="Q286" s="14" t="s">
        <v>175</v>
      </c>
      <c r="R286" s="170" t="s">
        <v>234</v>
      </c>
      <c r="S286" s="108">
        <f t="shared" si="40"/>
        <v>45451</v>
      </c>
      <c r="T286" s="79">
        <v>45544</v>
      </c>
      <c r="U286" s="14" t="s">
        <v>2861</v>
      </c>
      <c r="V286" s="14" t="s">
        <v>2850</v>
      </c>
      <c r="W286" s="14" t="s">
        <v>1879</v>
      </c>
      <c r="X286" s="14" t="s">
        <v>154</v>
      </c>
      <c r="Y286" s="14" t="s">
        <v>2054</v>
      </c>
      <c r="Z286" s="14" t="s">
        <v>2862</v>
      </c>
      <c r="AA286" s="2">
        <f t="shared" ca="1" si="41"/>
        <v>1</v>
      </c>
      <c r="AB286" s="153"/>
      <c r="AC286" s="454" t="str">
        <f t="shared" si="39"/>
        <v>1</v>
      </c>
    </row>
    <row r="287" spans="1:29" ht="43.5" x14ac:dyDescent="0.35">
      <c r="A287" s="111" t="str">
        <f t="shared" si="36"/>
        <v>Closed</v>
      </c>
      <c r="B287" s="222">
        <v>45423</v>
      </c>
      <c r="C287" s="14">
        <v>2402</v>
      </c>
      <c r="D287" s="14" t="s">
        <v>2863</v>
      </c>
      <c r="E287" s="14" t="s">
        <v>42</v>
      </c>
      <c r="F287" s="14" t="s">
        <v>2864</v>
      </c>
      <c r="G287" s="14" t="s">
        <v>1900</v>
      </c>
      <c r="H287" s="14"/>
      <c r="I287" s="176" t="s">
        <v>4</v>
      </c>
      <c r="J287" s="14">
        <v>8512174</v>
      </c>
      <c r="K287" s="14" t="s">
        <v>137</v>
      </c>
      <c r="L287" s="14" t="s">
        <v>2865</v>
      </c>
      <c r="M287" s="324">
        <v>0</v>
      </c>
      <c r="N287" s="14" t="s">
        <v>1879</v>
      </c>
      <c r="O287" s="14" t="s">
        <v>1880</v>
      </c>
      <c r="P287" s="167" t="s">
        <v>139</v>
      </c>
      <c r="Q287" s="14" t="s">
        <v>168</v>
      </c>
      <c r="R287" s="170" t="s">
        <v>234</v>
      </c>
      <c r="S287" s="108">
        <f t="shared" si="40"/>
        <v>45451</v>
      </c>
      <c r="T287" s="79">
        <v>45544</v>
      </c>
      <c r="U287" s="14" t="s">
        <v>2866</v>
      </c>
      <c r="V287" s="14" t="s">
        <v>2867</v>
      </c>
      <c r="W287" s="14" t="s">
        <v>1879</v>
      </c>
      <c r="X287" s="14" t="s">
        <v>1883</v>
      </c>
      <c r="Y287" s="14" t="s">
        <v>2868</v>
      </c>
      <c r="Z287" s="14" t="s">
        <v>2869</v>
      </c>
      <c r="AA287" s="2">
        <f t="shared" ca="1" si="41"/>
        <v>1</v>
      </c>
      <c r="AB287" s="153"/>
      <c r="AC287" s="454" t="str">
        <f t="shared" si="39"/>
        <v/>
      </c>
    </row>
    <row r="288" spans="1:29" ht="29" x14ac:dyDescent="0.35">
      <c r="A288" s="111" t="str">
        <f t="shared" si="36"/>
        <v>Closed</v>
      </c>
      <c r="B288" s="222">
        <v>45424</v>
      </c>
      <c r="C288" s="14">
        <v>2402</v>
      </c>
      <c r="D288" s="14" t="s">
        <v>2870</v>
      </c>
      <c r="E288" s="14" t="s">
        <v>180</v>
      </c>
      <c r="F288" s="14" t="s">
        <v>2014</v>
      </c>
      <c r="G288" s="14"/>
      <c r="H288" s="14">
        <v>115</v>
      </c>
      <c r="I288" s="176" t="s">
        <v>140</v>
      </c>
      <c r="K288" s="87"/>
      <c r="L288" s="14" t="s">
        <v>2871</v>
      </c>
      <c r="M288" s="324">
        <f>IF(I288="Staff Accident","Entry Required",IF(I288="Assaults","Entry Required",0))</f>
        <v>0</v>
      </c>
      <c r="N288" s="14" t="s">
        <v>1879</v>
      </c>
      <c r="O288" s="14" t="s">
        <v>1879</v>
      </c>
      <c r="P288" s="167" t="s">
        <v>143</v>
      </c>
      <c r="Q288" s="14"/>
      <c r="R288" s="170">
        <v>0</v>
      </c>
      <c r="S288" s="108">
        <f t="shared" si="40"/>
        <v>45452</v>
      </c>
      <c r="T288" s="79">
        <v>45424</v>
      </c>
      <c r="U288" s="14"/>
      <c r="V288" s="14"/>
      <c r="W288" s="14"/>
      <c r="X288" s="14"/>
      <c r="Y288" s="51" t="s">
        <v>2001</v>
      </c>
      <c r="Z288" s="14"/>
      <c r="AA288" s="2">
        <f t="shared" ca="1" si="41"/>
        <v>1</v>
      </c>
      <c r="AB288" s="153"/>
      <c r="AC288" s="454" t="str">
        <f t="shared" si="39"/>
        <v>1</v>
      </c>
    </row>
    <row r="289" spans="1:29" ht="43.5" x14ac:dyDescent="0.35">
      <c r="A289" s="111" t="str">
        <f t="shared" si="36"/>
        <v>Closed</v>
      </c>
      <c r="B289" s="222">
        <v>45425</v>
      </c>
      <c r="C289" s="14">
        <v>2402</v>
      </c>
      <c r="D289" s="14" t="s">
        <v>2872</v>
      </c>
      <c r="E289" s="14" t="s">
        <v>72</v>
      </c>
      <c r="F289" s="14" t="s">
        <v>1910</v>
      </c>
      <c r="G289" s="14"/>
      <c r="H289" s="14">
        <v>118</v>
      </c>
      <c r="I289" s="176" t="s">
        <v>155</v>
      </c>
      <c r="K289" s="87"/>
      <c r="L289" s="14" t="s">
        <v>2873</v>
      </c>
      <c r="M289" s="324">
        <f>IF(I289="Staff Accident","Entry Required",IF(I289="Assaults","Entry Required",0))</f>
        <v>0</v>
      </c>
      <c r="N289" s="14" t="s">
        <v>1879</v>
      </c>
      <c r="O289" s="14" t="s">
        <v>1879</v>
      </c>
      <c r="P289" s="167" t="s">
        <v>147</v>
      </c>
      <c r="Q289" s="14" t="s">
        <v>168</v>
      </c>
      <c r="R289" s="170" t="s">
        <v>234</v>
      </c>
      <c r="S289" s="108">
        <f t="shared" si="40"/>
        <v>45453</v>
      </c>
      <c r="T289" s="79">
        <v>45544</v>
      </c>
      <c r="U289" s="14" t="s">
        <v>2874</v>
      </c>
      <c r="V289" s="14" t="s">
        <v>1896</v>
      </c>
      <c r="W289" s="14" t="s">
        <v>1880</v>
      </c>
      <c r="X289" s="176" t="s">
        <v>1883</v>
      </c>
      <c r="Y289" s="15" t="s">
        <v>1915</v>
      </c>
      <c r="Z289" s="87" t="s">
        <v>2875</v>
      </c>
      <c r="AA289" s="2">
        <f t="shared" ca="1" si="41"/>
        <v>1</v>
      </c>
      <c r="AB289" s="153"/>
      <c r="AC289" s="454" t="str">
        <f t="shared" ref="AC289:AC319" si="43">LEFT(H289,1)</f>
        <v>1</v>
      </c>
    </row>
    <row r="290" spans="1:29" ht="43.5" x14ac:dyDescent="0.35">
      <c r="A290" s="111" t="str">
        <f t="shared" si="36"/>
        <v>Closed</v>
      </c>
      <c r="B290" s="222">
        <v>45425</v>
      </c>
      <c r="C290" s="14">
        <v>2402</v>
      </c>
      <c r="D290" s="14" t="s">
        <v>2876</v>
      </c>
      <c r="E290" s="14" t="s">
        <v>27</v>
      </c>
      <c r="F290" s="14" t="s">
        <v>2212</v>
      </c>
      <c r="G290" s="14" t="s">
        <v>1900</v>
      </c>
      <c r="H290" s="14">
        <v>203</v>
      </c>
      <c r="I290" s="176" t="s">
        <v>5</v>
      </c>
      <c r="K290" s="87"/>
      <c r="L290" s="14" t="s">
        <v>2877</v>
      </c>
      <c r="M290" s="324">
        <f>IF(I290="Staff Accident","Entry Required",IF(I290="Assaults","Entry Required",0))</f>
        <v>0</v>
      </c>
      <c r="N290" s="14" t="s">
        <v>1879</v>
      </c>
      <c r="O290" s="14" t="s">
        <v>1879</v>
      </c>
      <c r="P290" s="167" t="s">
        <v>147</v>
      </c>
      <c r="Q290" s="14" t="s">
        <v>168</v>
      </c>
      <c r="R290" s="170" t="s">
        <v>234</v>
      </c>
      <c r="S290" s="108">
        <f t="shared" si="40"/>
        <v>45453</v>
      </c>
      <c r="T290" s="79">
        <v>45489</v>
      </c>
      <c r="U290" s="14" t="s">
        <v>2878</v>
      </c>
      <c r="V290" s="14" t="s">
        <v>2879</v>
      </c>
      <c r="W290" s="14" t="s">
        <v>1879</v>
      </c>
      <c r="X290" s="14" t="s">
        <v>154</v>
      </c>
      <c r="Y290" s="14" t="s">
        <v>2216</v>
      </c>
      <c r="Z290" s="14" t="s">
        <v>2880</v>
      </c>
      <c r="AA290" s="2">
        <f t="shared" ca="1" si="41"/>
        <v>1</v>
      </c>
      <c r="AB290" s="153"/>
      <c r="AC290" s="454" t="str">
        <f t="shared" si="43"/>
        <v>2</v>
      </c>
    </row>
    <row r="291" spans="1:29" ht="43.5" x14ac:dyDescent="0.35">
      <c r="A291" s="111" t="str">
        <f t="shared" si="36"/>
        <v>Closed</v>
      </c>
      <c r="B291" s="222">
        <v>45425</v>
      </c>
      <c r="C291" s="14">
        <v>2402</v>
      </c>
      <c r="D291" s="14" t="s">
        <v>2881</v>
      </c>
      <c r="E291" s="14" t="s">
        <v>1907</v>
      </c>
      <c r="F291" s="14" t="s">
        <v>2205</v>
      </c>
      <c r="G291" s="14" t="s">
        <v>1911</v>
      </c>
      <c r="H291" s="14">
        <v>104</v>
      </c>
      <c r="I291" s="176" t="s">
        <v>140</v>
      </c>
      <c r="J291" s="14">
        <v>8508698</v>
      </c>
      <c r="K291" s="14" t="s">
        <v>137</v>
      </c>
      <c r="L291" s="14" t="s">
        <v>2882</v>
      </c>
      <c r="M291" s="324">
        <v>0</v>
      </c>
      <c r="N291" s="14" t="s">
        <v>1879</v>
      </c>
      <c r="O291" s="14" t="s">
        <v>1880</v>
      </c>
      <c r="P291" s="167" t="s">
        <v>143</v>
      </c>
      <c r="Q291" s="14"/>
      <c r="R291" s="170">
        <v>0</v>
      </c>
      <c r="S291" s="108">
        <f t="shared" si="40"/>
        <v>45453</v>
      </c>
      <c r="T291" s="79">
        <v>45425</v>
      </c>
      <c r="U291" s="14"/>
      <c r="V291" s="14"/>
      <c r="W291" s="14"/>
      <c r="X291" s="14"/>
      <c r="Z291" s="14"/>
      <c r="AA291" s="2">
        <f t="shared" ca="1" si="41"/>
        <v>1</v>
      </c>
      <c r="AB291" s="153"/>
      <c r="AC291" s="454" t="str">
        <f t="shared" si="43"/>
        <v>1</v>
      </c>
    </row>
    <row r="292" spans="1:29" ht="29" x14ac:dyDescent="0.35">
      <c r="A292" s="111" t="str">
        <f t="shared" si="36"/>
        <v>Closed</v>
      </c>
      <c r="B292" s="222">
        <v>45426</v>
      </c>
      <c r="C292" s="14">
        <v>2402</v>
      </c>
      <c r="D292" s="14" t="s">
        <v>2883</v>
      </c>
      <c r="E292" s="14" t="s">
        <v>152</v>
      </c>
      <c r="F292" s="14" t="s">
        <v>2196</v>
      </c>
      <c r="G292" s="14" t="s">
        <v>1900</v>
      </c>
      <c r="H292" s="14">
        <v>110</v>
      </c>
      <c r="I292" s="176" t="s">
        <v>140</v>
      </c>
      <c r="K292" s="87"/>
      <c r="L292" s="328" t="s">
        <v>2884</v>
      </c>
      <c r="M292" s="324">
        <f>IF(I292="Staff Accident","Entry Required",IF(I292="Assaults","Entry Required",0))</f>
        <v>0</v>
      </c>
      <c r="N292" s="14" t="s">
        <v>1879</v>
      </c>
      <c r="O292" s="14" t="s">
        <v>1879</v>
      </c>
      <c r="P292" s="167" t="s">
        <v>143</v>
      </c>
      <c r="Q292" s="14"/>
      <c r="R292" s="170">
        <v>0</v>
      </c>
      <c r="S292" s="108">
        <f t="shared" si="40"/>
        <v>45454</v>
      </c>
      <c r="T292" s="79">
        <v>45426</v>
      </c>
      <c r="U292" s="14"/>
      <c r="V292" s="14"/>
      <c r="W292" s="14"/>
      <c r="X292" s="14"/>
      <c r="Y292" s="167" t="s">
        <v>2198</v>
      </c>
      <c r="Z292" s="14"/>
      <c r="AA292" s="2">
        <f t="shared" ca="1" si="41"/>
        <v>1</v>
      </c>
      <c r="AB292" s="153"/>
      <c r="AC292" s="454" t="str">
        <f t="shared" si="43"/>
        <v>1</v>
      </c>
    </row>
    <row r="293" spans="1:29" ht="43.5" x14ac:dyDescent="0.35">
      <c r="A293" s="111" t="str">
        <f t="shared" si="36"/>
        <v>Closed</v>
      </c>
      <c r="B293" s="222">
        <v>45426</v>
      </c>
      <c r="C293" s="14">
        <v>2402</v>
      </c>
      <c r="D293" s="14" t="s">
        <v>2885</v>
      </c>
      <c r="E293" s="14" t="s">
        <v>37</v>
      </c>
      <c r="F293" s="14" t="s">
        <v>1921</v>
      </c>
      <c r="G293" s="14" t="s">
        <v>1911</v>
      </c>
      <c r="H293" s="14">
        <v>112</v>
      </c>
      <c r="I293" s="176" t="s">
        <v>5</v>
      </c>
      <c r="J293" s="14">
        <v>169</v>
      </c>
      <c r="K293" s="87"/>
      <c r="L293" s="14" t="s">
        <v>2886</v>
      </c>
      <c r="M293" s="324">
        <f>IF(I293="Staff Accident","Entry Required",IF(I293="Assaults","Entry Required",0))</f>
        <v>0</v>
      </c>
      <c r="N293" s="14" t="s">
        <v>1879</v>
      </c>
      <c r="O293" s="14" t="s">
        <v>1880</v>
      </c>
      <c r="P293" s="167" t="s">
        <v>147</v>
      </c>
      <c r="Q293" s="14" t="s">
        <v>177</v>
      </c>
      <c r="R293" s="170" t="s">
        <v>234</v>
      </c>
      <c r="S293" s="108">
        <f t="shared" si="40"/>
        <v>45454</v>
      </c>
      <c r="T293" s="79">
        <v>45449</v>
      </c>
      <c r="U293" s="14" t="s">
        <v>2887</v>
      </c>
      <c r="V293" s="14" t="s">
        <v>2888</v>
      </c>
      <c r="W293" s="14" t="s">
        <v>1880</v>
      </c>
      <c r="X293" s="14" t="s">
        <v>1883</v>
      </c>
      <c r="Y293" s="14" t="s">
        <v>1923</v>
      </c>
      <c r="Z293" s="14" t="s">
        <v>2889</v>
      </c>
      <c r="AA293" s="2">
        <f t="shared" ca="1" si="41"/>
        <v>1</v>
      </c>
      <c r="AB293" s="153"/>
      <c r="AC293" s="454" t="str">
        <f t="shared" si="43"/>
        <v>1</v>
      </c>
    </row>
    <row r="294" spans="1:29" ht="58" x14ac:dyDescent="0.35">
      <c r="A294" s="111" t="str">
        <f t="shared" si="36"/>
        <v>Closed</v>
      </c>
      <c r="B294" s="222">
        <v>45427</v>
      </c>
      <c r="C294" s="14">
        <v>2402</v>
      </c>
      <c r="D294" s="14" t="s">
        <v>2890</v>
      </c>
      <c r="E294" s="14" t="s">
        <v>31</v>
      </c>
      <c r="F294" s="14" t="s">
        <v>2048</v>
      </c>
      <c r="G294" s="14"/>
      <c r="H294" s="14"/>
      <c r="I294" s="331" t="s">
        <v>155</v>
      </c>
      <c r="J294" s="85"/>
      <c r="K294" s="87"/>
      <c r="L294" s="14" t="s">
        <v>2891</v>
      </c>
      <c r="M294" s="324">
        <f>IF(I294="Staff Accident","Entry Required",IF(I294="Assaults","Entry Required",0))</f>
        <v>0</v>
      </c>
      <c r="N294" s="14" t="s">
        <v>1879</v>
      </c>
      <c r="O294" s="14" t="s">
        <v>1880</v>
      </c>
      <c r="P294" s="167" t="s">
        <v>147</v>
      </c>
      <c r="Q294" s="14" t="s">
        <v>177</v>
      </c>
      <c r="R294" s="170" t="s">
        <v>234</v>
      </c>
      <c r="S294" s="108">
        <f t="shared" si="40"/>
        <v>45455</v>
      </c>
      <c r="T294" s="79">
        <v>45492</v>
      </c>
      <c r="U294" s="14" t="s">
        <v>2892</v>
      </c>
      <c r="V294" s="14" t="s">
        <v>2893</v>
      </c>
      <c r="W294" s="14" t="s">
        <v>1879</v>
      </c>
      <c r="X294" s="14" t="s">
        <v>154</v>
      </c>
      <c r="Y294" s="167" t="s">
        <v>2050</v>
      </c>
      <c r="Z294" s="14" t="s">
        <v>2181</v>
      </c>
      <c r="AA294" s="2">
        <f t="shared" ca="1" si="41"/>
        <v>1</v>
      </c>
      <c r="AB294" s="153"/>
      <c r="AC294" s="454" t="str">
        <f t="shared" si="43"/>
        <v/>
      </c>
    </row>
    <row r="295" spans="1:29" ht="72.5" x14ac:dyDescent="0.35">
      <c r="A295" s="111" t="str">
        <f t="shared" si="36"/>
        <v>Closed</v>
      </c>
      <c r="B295" s="222">
        <v>45427</v>
      </c>
      <c r="C295" s="14">
        <v>2402</v>
      </c>
      <c r="D295" s="14" t="s">
        <v>2894</v>
      </c>
      <c r="E295" s="14" t="s">
        <v>38</v>
      </c>
      <c r="F295" s="167" t="s">
        <v>2349</v>
      </c>
      <c r="G295" s="14" t="s">
        <v>1900</v>
      </c>
      <c r="H295" s="176"/>
      <c r="I295" s="331" t="s">
        <v>6</v>
      </c>
      <c r="J295" s="85">
        <v>134</v>
      </c>
      <c r="K295" s="87"/>
      <c r="L295" s="14" t="s">
        <v>2895</v>
      </c>
      <c r="M295" s="324">
        <f>IF(J295="Staff Accident","Entry Required",IF(J295="Assaults","Entry Required",0))</f>
        <v>0</v>
      </c>
      <c r="N295" s="14" t="s">
        <v>1879</v>
      </c>
      <c r="O295" s="14" t="s">
        <v>1879</v>
      </c>
      <c r="P295" s="167" t="s">
        <v>143</v>
      </c>
      <c r="Q295" s="14"/>
      <c r="R295" s="170">
        <v>0</v>
      </c>
      <c r="S295" s="108">
        <f t="shared" si="40"/>
        <v>45455</v>
      </c>
      <c r="T295" s="79">
        <v>45427</v>
      </c>
      <c r="U295" s="14"/>
      <c r="V295" s="14"/>
      <c r="W295" s="14"/>
      <c r="X295" s="14"/>
      <c r="Y295" s="14" t="s">
        <v>2351</v>
      </c>
      <c r="Z295" s="14"/>
      <c r="AA295" s="2">
        <f t="shared" ca="1" si="41"/>
        <v>1</v>
      </c>
      <c r="AB295" s="153"/>
      <c r="AC295" s="454" t="str">
        <f t="shared" si="43"/>
        <v/>
      </c>
    </row>
    <row r="296" spans="1:29" ht="101.5" x14ac:dyDescent="0.35">
      <c r="A296" s="111" t="str">
        <f t="shared" ref="A296:A359" si="44">IF(T296&gt;1,"Closed",IF(AA296=1,"Overdue",IF(AA296=3,"","Open")))</f>
        <v>Closed</v>
      </c>
      <c r="B296" s="222">
        <v>45427</v>
      </c>
      <c r="C296" s="14">
        <v>2402</v>
      </c>
      <c r="D296" s="14" t="s">
        <v>2896</v>
      </c>
      <c r="E296" s="14" t="s">
        <v>78</v>
      </c>
      <c r="F296" s="14" t="s">
        <v>2130</v>
      </c>
      <c r="G296" s="14" t="s">
        <v>1911</v>
      </c>
      <c r="H296" s="176"/>
      <c r="I296" s="331" t="s">
        <v>155</v>
      </c>
      <c r="J296" s="85">
        <v>60660</v>
      </c>
      <c r="K296" s="87"/>
      <c r="L296" s="14" t="s">
        <v>2897</v>
      </c>
      <c r="M296" s="324">
        <f>IF(J296="Staff Accident","Entry Required",IF(J296="Assaults","Entry Required",0))</f>
        <v>0</v>
      </c>
      <c r="N296" s="14" t="s">
        <v>1879</v>
      </c>
      <c r="O296" s="14" t="s">
        <v>1880</v>
      </c>
      <c r="P296" s="167" t="s">
        <v>147</v>
      </c>
      <c r="Q296" s="14" t="s">
        <v>174</v>
      </c>
      <c r="R296" s="170" t="s">
        <v>234</v>
      </c>
      <c r="S296" s="108">
        <f t="shared" si="40"/>
        <v>45455</v>
      </c>
      <c r="T296" s="79">
        <v>45846</v>
      </c>
      <c r="U296" s="14" t="s">
        <v>2898</v>
      </c>
      <c r="V296" s="14" t="s">
        <v>2899</v>
      </c>
      <c r="W296" s="14" t="s">
        <v>1879</v>
      </c>
      <c r="X296" s="14" t="s">
        <v>1883</v>
      </c>
      <c r="Y296" s="15" t="s">
        <v>2134</v>
      </c>
      <c r="Z296" s="14" t="s">
        <v>2181</v>
      </c>
      <c r="AA296" s="2">
        <f t="shared" ca="1" si="41"/>
        <v>1</v>
      </c>
      <c r="AB296" s="153"/>
      <c r="AC296" s="454" t="str">
        <f t="shared" si="43"/>
        <v/>
      </c>
    </row>
    <row r="297" spans="1:29" ht="29" x14ac:dyDescent="0.35">
      <c r="A297" s="89" t="str">
        <f t="shared" si="44"/>
        <v>Closed</v>
      </c>
      <c r="B297" s="222">
        <v>45427</v>
      </c>
      <c r="C297" s="14">
        <v>2402</v>
      </c>
      <c r="D297" s="14" t="s">
        <v>2900</v>
      </c>
      <c r="E297" s="14" t="s">
        <v>41</v>
      </c>
      <c r="F297" s="14" t="s">
        <v>2037</v>
      </c>
      <c r="G297" s="14"/>
      <c r="H297" s="176">
        <v>111</v>
      </c>
      <c r="I297" s="331" t="s">
        <v>4</v>
      </c>
      <c r="J297" s="85">
        <v>254</v>
      </c>
      <c r="K297" s="14" t="s">
        <v>137</v>
      </c>
      <c r="L297" s="14" t="s">
        <v>2901</v>
      </c>
      <c r="M297" s="324">
        <f>IF(J297="Staff Accident","Entry Required",IF(J297="Assaults","Entry Required",0))</f>
        <v>0</v>
      </c>
      <c r="N297" s="14" t="s">
        <v>1879</v>
      </c>
      <c r="O297" s="14" t="s">
        <v>1880</v>
      </c>
      <c r="P297" s="167" t="s">
        <v>143</v>
      </c>
      <c r="Q297" s="14"/>
      <c r="R297" s="223">
        <v>0</v>
      </c>
      <c r="S297" s="224">
        <f t="shared" si="40"/>
        <v>45455</v>
      </c>
      <c r="T297" s="79">
        <v>45902</v>
      </c>
      <c r="U297" s="14"/>
      <c r="V297" s="14"/>
      <c r="W297" s="14"/>
      <c r="X297" s="14"/>
      <c r="Y297" s="167" t="s">
        <v>2039</v>
      </c>
      <c r="Z297" s="14" t="s">
        <v>2593</v>
      </c>
      <c r="AA297" s="2">
        <f t="shared" ca="1" si="41"/>
        <v>1</v>
      </c>
      <c r="AB297" s="153"/>
      <c r="AC297" s="454" t="str">
        <f t="shared" si="43"/>
        <v>1</v>
      </c>
    </row>
    <row r="298" spans="1:29" ht="29" x14ac:dyDescent="0.35">
      <c r="A298" s="111" t="str">
        <f t="shared" si="44"/>
        <v>Closed</v>
      </c>
      <c r="B298" s="222">
        <v>45427</v>
      </c>
      <c r="C298" s="14">
        <v>2402</v>
      </c>
      <c r="D298" s="14" t="s">
        <v>2902</v>
      </c>
      <c r="E298" s="14" t="s">
        <v>31</v>
      </c>
      <c r="F298" s="14" t="s">
        <v>1972</v>
      </c>
      <c r="G298" s="14"/>
      <c r="H298" s="176"/>
      <c r="I298" s="332" t="s">
        <v>140</v>
      </c>
      <c r="K298" s="87"/>
      <c r="L298" s="14" t="s">
        <v>2903</v>
      </c>
      <c r="M298" s="324">
        <f t="shared" ref="M298:M307" si="45">IF(I298="Staff Accident","Entry Required",IF(I298="Assaults","Entry Required",0))</f>
        <v>0</v>
      </c>
      <c r="N298" s="14" t="s">
        <v>1879</v>
      </c>
      <c r="O298" s="14" t="s">
        <v>1879</v>
      </c>
      <c r="P298" s="167" t="s">
        <v>143</v>
      </c>
      <c r="Q298" s="14"/>
      <c r="R298" s="170">
        <v>0</v>
      </c>
      <c r="S298" s="108">
        <f t="shared" si="40"/>
        <v>45455</v>
      </c>
      <c r="T298" s="79">
        <v>45427</v>
      </c>
      <c r="U298" s="14"/>
      <c r="V298" s="14"/>
      <c r="W298" s="14"/>
      <c r="X298" s="14"/>
      <c r="Z298" s="14"/>
      <c r="AA298" s="2">
        <f t="shared" ca="1" si="41"/>
        <v>1</v>
      </c>
      <c r="AB298" s="153"/>
      <c r="AC298" s="454" t="str">
        <f t="shared" si="43"/>
        <v/>
      </c>
    </row>
    <row r="299" spans="1:29" ht="217.5" x14ac:dyDescent="0.35">
      <c r="A299" s="111" t="str">
        <f t="shared" si="44"/>
        <v>Closed</v>
      </c>
      <c r="B299" s="222">
        <v>45429</v>
      </c>
      <c r="C299" s="14">
        <v>2402</v>
      </c>
      <c r="D299" s="14" t="s">
        <v>2904</v>
      </c>
      <c r="E299" s="14" t="s">
        <v>192</v>
      </c>
      <c r="F299" s="14" t="s">
        <v>2245</v>
      </c>
      <c r="G299" s="14"/>
      <c r="H299" s="14">
        <v>111</v>
      </c>
      <c r="I299" s="333" t="s">
        <v>140</v>
      </c>
      <c r="J299" s="14">
        <v>8506846</v>
      </c>
      <c r="K299" s="87"/>
      <c r="L299" s="14" t="s">
        <v>2905</v>
      </c>
      <c r="M299" s="324">
        <f t="shared" si="45"/>
        <v>0</v>
      </c>
      <c r="N299" s="14" t="s">
        <v>1879</v>
      </c>
      <c r="O299" s="14" t="s">
        <v>1879</v>
      </c>
      <c r="P299" s="167" t="s">
        <v>143</v>
      </c>
      <c r="Q299" s="14"/>
      <c r="R299" s="170">
        <v>0</v>
      </c>
      <c r="S299" s="108">
        <f t="shared" si="40"/>
        <v>45457</v>
      </c>
      <c r="T299" s="79">
        <v>45429</v>
      </c>
      <c r="U299" s="14"/>
      <c r="V299" s="14"/>
      <c r="W299" s="14"/>
      <c r="X299" s="14"/>
      <c r="Z299" s="14"/>
      <c r="AA299" s="2">
        <f t="shared" ca="1" si="41"/>
        <v>1</v>
      </c>
      <c r="AB299" s="153"/>
      <c r="AC299" s="454" t="str">
        <f t="shared" si="43"/>
        <v>1</v>
      </c>
    </row>
    <row r="300" spans="1:29" ht="72.5" x14ac:dyDescent="0.35">
      <c r="A300" s="111" t="str">
        <f t="shared" si="44"/>
        <v>Closed</v>
      </c>
      <c r="B300" s="222">
        <v>45430</v>
      </c>
      <c r="C300" s="14">
        <v>2402</v>
      </c>
      <c r="D300" s="14" t="s">
        <v>2906</v>
      </c>
      <c r="E300" s="14" t="s">
        <v>1997</v>
      </c>
      <c r="F300" s="14" t="s">
        <v>1937</v>
      </c>
      <c r="G300" s="14" t="s">
        <v>1900</v>
      </c>
      <c r="H300" s="14">
        <v>102</v>
      </c>
      <c r="I300" s="176" t="s">
        <v>140</v>
      </c>
      <c r="J300" s="14">
        <v>850634</v>
      </c>
      <c r="K300" s="87"/>
      <c r="L300" s="14" t="s">
        <v>2907</v>
      </c>
      <c r="M300" s="324">
        <f t="shared" si="45"/>
        <v>0</v>
      </c>
      <c r="N300" s="14" t="s">
        <v>1879</v>
      </c>
      <c r="O300" s="14" t="s">
        <v>1880</v>
      </c>
      <c r="P300" s="167" t="s">
        <v>143</v>
      </c>
      <c r="Q300" s="14"/>
      <c r="R300" s="170">
        <v>0</v>
      </c>
      <c r="S300" s="108">
        <f t="shared" si="40"/>
        <v>45458</v>
      </c>
      <c r="T300" s="79">
        <v>45430</v>
      </c>
      <c r="U300" s="14"/>
      <c r="V300" s="14"/>
      <c r="W300" s="14"/>
      <c r="X300" s="14"/>
      <c r="Z300" s="14"/>
      <c r="AA300" s="2">
        <f t="shared" ca="1" si="41"/>
        <v>1</v>
      </c>
      <c r="AB300" s="153"/>
      <c r="AC300" s="454" t="str">
        <f t="shared" si="43"/>
        <v>1</v>
      </c>
    </row>
    <row r="301" spans="1:29" ht="72.5" x14ac:dyDescent="0.35">
      <c r="A301" s="111" t="str">
        <f t="shared" si="44"/>
        <v>Closed</v>
      </c>
      <c r="B301" s="222">
        <v>45430</v>
      </c>
      <c r="C301" s="14">
        <v>2402</v>
      </c>
      <c r="D301" s="14" t="s">
        <v>2908</v>
      </c>
      <c r="E301" s="14" t="s">
        <v>192</v>
      </c>
      <c r="F301" s="14" t="s">
        <v>2426</v>
      </c>
      <c r="G301" s="14"/>
      <c r="H301" s="14">
        <v>101</v>
      </c>
      <c r="I301" s="176" t="s">
        <v>140</v>
      </c>
      <c r="J301" s="14">
        <v>893</v>
      </c>
      <c r="K301" s="87"/>
      <c r="L301" s="14" t="s">
        <v>2909</v>
      </c>
      <c r="M301" s="324">
        <f t="shared" si="45"/>
        <v>0</v>
      </c>
      <c r="N301" s="14" t="s">
        <v>1879</v>
      </c>
      <c r="O301" s="14" t="s">
        <v>1879</v>
      </c>
      <c r="P301" s="167" t="s">
        <v>143</v>
      </c>
      <c r="Q301" s="14"/>
      <c r="R301" s="170">
        <v>0</v>
      </c>
      <c r="S301" s="108">
        <f t="shared" si="40"/>
        <v>45458</v>
      </c>
      <c r="T301" s="79">
        <v>45430</v>
      </c>
      <c r="U301" s="14"/>
      <c r="V301" s="14"/>
      <c r="W301" s="14"/>
      <c r="X301" s="14"/>
      <c r="Y301" s="167" t="s">
        <v>2428</v>
      </c>
      <c r="Z301" s="14"/>
      <c r="AA301" s="2">
        <f t="shared" ca="1" si="41"/>
        <v>1</v>
      </c>
      <c r="AB301" s="153"/>
      <c r="AC301" s="454" t="str">
        <f t="shared" si="43"/>
        <v>1</v>
      </c>
    </row>
    <row r="302" spans="1:29" ht="58" x14ac:dyDescent="0.35">
      <c r="A302" s="111" t="str">
        <f t="shared" si="44"/>
        <v>Closed</v>
      </c>
      <c r="B302" s="222">
        <v>45430</v>
      </c>
      <c r="C302" s="14">
        <v>2402</v>
      </c>
      <c r="D302" s="14" t="s">
        <v>2910</v>
      </c>
      <c r="E302" s="14" t="s">
        <v>192</v>
      </c>
      <c r="F302" s="14" t="s">
        <v>2245</v>
      </c>
      <c r="G302" s="14"/>
      <c r="H302" s="14"/>
      <c r="I302" s="176" t="s">
        <v>140</v>
      </c>
      <c r="K302" s="87"/>
      <c r="L302" s="14" t="s">
        <v>2911</v>
      </c>
      <c r="M302" s="324">
        <f t="shared" si="45"/>
        <v>0</v>
      </c>
      <c r="N302" s="14" t="s">
        <v>1879</v>
      </c>
      <c r="O302" s="14" t="s">
        <v>1879</v>
      </c>
      <c r="P302" s="167" t="s">
        <v>143</v>
      </c>
      <c r="Q302" s="14"/>
      <c r="R302" s="170">
        <v>0</v>
      </c>
      <c r="S302" s="108">
        <f t="shared" si="40"/>
        <v>45458</v>
      </c>
      <c r="T302" s="79">
        <v>45430</v>
      </c>
      <c r="U302" s="14"/>
      <c r="V302" s="14"/>
      <c r="W302" s="14"/>
      <c r="X302" s="14"/>
      <c r="Z302" s="14"/>
      <c r="AA302" s="2">
        <f t="shared" ca="1" si="41"/>
        <v>1</v>
      </c>
      <c r="AB302" s="153"/>
      <c r="AC302" s="454" t="str">
        <f t="shared" si="43"/>
        <v/>
      </c>
    </row>
    <row r="303" spans="1:29" ht="29" x14ac:dyDescent="0.35">
      <c r="A303" s="111" t="str">
        <f t="shared" si="44"/>
        <v>Closed</v>
      </c>
      <c r="B303" s="222">
        <v>45430</v>
      </c>
      <c r="C303" s="14">
        <v>2402</v>
      </c>
      <c r="D303" s="14" t="s">
        <v>2912</v>
      </c>
      <c r="E303" s="14" t="s">
        <v>8</v>
      </c>
      <c r="F303" s="14" t="s">
        <v>1925</v>
      </c>
      <c r="G303" s="14" t="s">
        <v>1911</v>
      </c>
      <c r="H303" s="14"/>
      <c r="I303" s="176" t="s">
        <v>140</v>
      </c>
      <c r="K303" s="87"/>
      <c r="L303" s="14" t="s">
        <v>2913</v>
      </c>
      <c r="M303" s="324">
        <f t="shared" si="45"/>
        <v>0</v>
      </c>
      <c r="N303" s="14" t="s">
        <v>1879</v>
      </c>
      <c r="O303" s="14" t="s">
        <v>1879</v>
      </c>
      <c r="P303" s="167" t="s">
        <v>143</v>
      </c>
      <c r="Q303" s="14"/>
      <c r="R303" s="170">
        <v>0</v>
      </c>
      <c r="S303" s="108">
        <f t="shared" si="40"/>
        <v>45458</v>
      </c>
      <c r="T303" s="79">
        <v>45430</v>
      </c>
      <c r="U303" s="14"/>
      <c r="V303" s="14"/>
      <c r="W303" s="14"/>
      <c r="X303" s="14"/>
      <c r="Y303" s="167" t="s">
        <v>1929</v>
      </c>
      <c r="Z303" s="14"/>
      <c r="AA303" s="2">
        <f t="shared" ca="1" si="41"/>
        <v>1</v>
      </c>
      <c r="AB303" s="153"/>
      <c r="AC303" s="454" t="str">
        <f t="shared" si="43"/>
        <v/>
      </c>
    </row>
    <row r="304" spans="1:29" ht="29" x14ac:dyDescent="0.35">
      <c r="A304" s="111" t="str">
        <f t="shared" si="44"/>
        <v>Closed</v>
      </c>
      <c r="B304" s="222">
        <v>45430</v>
      </c>
      <c r="C304" s="14">
        <v>2402</v>
      </c>
      <c r="D304" s="14" t="s">
        <v>2914</v>
      </c>
      <c r="E304" s="14" t="s">
        <v>1907</v>
      </c>
      <c r="F304" s="14"/>
      <c r="G304" s="14"/>
      <c r="H304" s="14">
        <v>122</v>
      </c>
      <c r="I304" s="176" t="s">
        <v>140</v>
      </c>
      <c r="K304" s="87"/>
      <c r="L304" s="14" t="s">
        <v>2915</v>
      </c>
      <c r="M304" s="324">
        <f t="shared" si="45"/>
        <v>0</v>
      </c>
      <c r="N304" s="14" t="s">
        <v>1879</v>
      </c>
      <c r="O304" s="14" t="s">
        <v>1879</v>
      </c>
      <c r="P304" s="167" t="s">
        <v>143</v>
      </c>
      <c r="Q304" s="14"/>
      <c r="R304" s="170">
        <v>0</v>
      </c>
      <c r="S304" s="108">
        <f t="shared" si="40"/>
        <v>45458</v>
      </c>
      <c r="T304" s="79">
        <v>45430</v>
      </c>
      <c r="U304" s="14"/>
      <c r="V304" s="14"/>
      <c r="W304" s="14"/>
      <c r="X304" s="14"/>
      <c r="Z304" s="14"/>
      <c r="AA304" s="2">
        <f t="shared" ca="1" si="41"/>
        <v>1</v>
      </c>
      <c r="AB304" s="153"/>
      <c r="AC304" s="454" t="str">
        <f t="shared" si="43"/>
        <v>1</v>
      </c>
    </row>
    <row r="305" spans="1:29" ht="145" x14ac:dyDescent="0.35">
      <c r="A305" s="111" t="str">
        <f t="shared" si="44"/>
        <v>Closed</v>
      </c>
      <c r="B305" s="222">
        <v>45431</v>
      </c>
      <c r="C305" s="14">
        <v>2402</v>
      </c>
      <c r="D305" s="14" t="s">
        <v>2916</v>
      </c>
      <c r="E305" s="14" t="s">
        <v>27</v>
      </c>
      <c r="F305" s="14" t="s">
        <v>2064</v>
      </c>
      <c r="G305" s="14" t="s">
        <v>1911</v>
      </c>
      <c r="H305" s="14">
        <v>201</v>
      </c>
      <c r="I305" s="176" t="s">
        <v>5</v>
      </c>
      <c r="J305" s="14">
        <v>64610</v>
      </c>
      <c r="K305" s="87"/>
      <c r="L305" s="14" t="s">
        <v>2917</v>
      </c>
      <c r="M305" s="324">
        <f t="shared" si="45"/>
        <v>0</v>
      </c>
      <c r="N305" s="14" t="s">
        <v>1880</v>
      </c>
      <c r="O305" s="14" t="s">
        <v>1880</v>
      </c>
      <c r="P305" s="167" t="s">
        <v>147</v>
      </c>
      <c r="Q305" s="14" t="s">
        <v>168</v>
      </c>
      <c r="R305" s="170" t="s">
        <v>234</v>
      </c>
      <c r="S305" s="108">
        <f t="shared" si="40"/>
        <v>45459</v>
      </c>
      <c r="T305" s="79">
        <v>45503</v>
      </c>
      <c r="U305" s="14" t="s">
        <v>2527</v>
      </c>
      <c r="V305" s="14" t="s">
        <v>2918</v>
      </c>
      <c r="W305" s="14" t="s">
        <v>1879</v>
      </c>
      <c r="X305" s="14" t="s">
        <v>154</v>
      </c>
      <c r="Y305" s="15" t="s">
        <v>2068</v>
      </c>
      <c r="Z305" s="14" t="s">
        <v>2919</v>
      </c>
      <c r="AA305" s="2">
        <f t="shared" ca="1" si="41"/>
        <v>1</v>
      </c>
      <c r="AB305" s="153"/>
      <c r="AC305" s="454" t="str">
        <f t="shared" si="43"/>
        <v>2</v>
      </c>
    </row>
    <row r="306" spans="1:29" ht="43.5" x14ac:dyDescent="0.35">
      <c r="A306" s="111" t="str">
        <f t="shared" si="44"/>
        <v>Closed</v>
      </c>
      <c r="B306" s="222">
        <v>45431</v>
      </c>
      <c r="C306" s="14">
        <v>2402</v>
      </c>
      <c r="D306" s="14" t="s">
        <v>2920</v>
      </c>
      <c r="E306" s="14" t="s">
        <v>192</v>
      </c>
      <c r="F306" s="14" t="s">
        <v>1925</v>
      </c>
      <c r="G306" s="14" t="s">
        <v>1911</v>
      </c>
      <c r="H306" s="14">
        <v>203</v>
      </c>
      <c r="I306" s="176" t="s">
        <v>140</v>
      </c>
      <c r="J306" s="14">
        <v>64610</v>
      </c>
      <c r="K306" s="87"/>
      <c r="L306" s="14" t="s">
        <v>2921</v>
      </c>
      <c r="M306" s="324">
        <f t="shared" si="45"/>
        <v>0</v>
      </c>
      <c r="N306" s="14" t="s">
        <v>1879</v>
      </c>
      <c r="O306" s="14" t="s">
        <v>1879</v>
      </c>
      <c r="P306" s="167" t="s">
        <v>143</v>
      </c>
      <c r="Q306" s="14"/>
      <c r="R306" s="170">
        <v>0</v>
      </c>
      <c r="S306" s="108">
        <f t="shared" si="40"/>
        <v>45459</v>
      </c>
      <c r="T306" s="79">
        <v>45431</v>
      </c>
      <c r="U306" s="14"/>
      <c r="V306" s="14"/>
      <c r="W306" s="14"/>
      <c r="X306" s="14"/>
      <c r="Y306" s="167" t="s">
        <v>1929</v>
      </c>
      <c r="Z306" s="14"/>
      <c r="AA306" s="2">
        <f t="shared" ca="1" si="41"/>
        <v>1</v>
      </c>
      <c r="AB306" s="153"/>
      <c r="AC306" s="454" t="str">
        <f t="shared" si="43"/>
        <v>2</v>
      </c>
    </row>
    <row r="307" spans="1:29" ht="72.5" x14ac:dyDescent="0.35">
      <c r="A307" s="111" t="str">
        <f t="shared" si="44"/>
        <v>Closed</v>
      </c>
      <c r="B307" s="222">
        <v>45431</v>
      </c>
      <c r="C307" s="14">
        <v>2402</v>
      </c>
      <c r="D307" s="14" t="s">
        <v>2922</v>
      </c>
      <c r="E307" s="14" t="s">
        <v>8</v>
      </c>
      <c r="F307" s="14" t="s">
        <v>1925</v>
      </c>
      <c r="G307" s="14"/>
      <c r="H307" s="14"/>
      <c r="I307" s="176" t="s">
        <v>140</v>
      </c>
      <c r="K307" s="87"/>
      <c r="L307" s="14" t="s">
        <v>2923</v>
      </c>
      <c r="M307" s="324">
        <f t="shared" si="45"/>
        <v>0</v>
      </c>
      <c r="N307" s="14" t="s">
        <v>1879</v>
      </c>
      <c r="O307" s="14" t="s">
        <v>1879</v>
      </c>
      <c r="P307" s="167" t="s">
        <v>143</v>
      </c>
      <c r="Q307" s="14"/>
      <c r="R307" s="170">
        <v>0</v>
      </c>
      <c r="S307" s="108">
        <f t="shared" si="40"/>
        <v>45459</v>
      </c>
      <c r="T307" s="79">
        <v>45431</v>
      </c>
      <c r="U307" s="14"/>
      <c r="V307" s="14"/>
      <c r="W307" s="14"/>
      <c r="X307" s="14"/>
      <c r="Y307" s="167" t="s">
        <v>1929</v>
      </c>
      <c r="Z307" s="14"/>
      <c r="AA307" s="2">
        <f t="shared" ca="1" si="41"/>
        <v>1</v>
      </c>
      <c r="AB307" s="153"/>
      <c r="AC307" s="454" t="str">
        <f t="shared" si="43"/>
        <v/>
      </c>
    </row>
    <row r="308" spans="1:29" ht="87" x14ac:dyDescent="0.35">
      <c r="A308" s="111" t="str">
        <f t="shared" si="44"/>
        <v>Closed</v>
      </c>
      <c r="B308" s="222">
        <v>45432</v>
      </c>
      <c r="C308" s="14">
        <v>2402</v>
      </c>
      <c r="D308" s="14" t="s">
        <v>815</v>
      </c>
      <c r="E308" s="14" t="s">
        <v>42</v>
      </c>
      <c r="F308" s="14" t="s">
        <v>1910</v>
      </c>
      <c r="G308" s="14" t="s">
        <v>1911</v>
      </c>
      <c r="H308" s="14">
        <v>120</v>
      </c>
      <c r="I308" s="176" t="s">
        <v>4</v>
      </c>
      <c r="J308" s="14">
        <v>8512390</v>
      </c>
      <c r="K308" s="14" t="s">
        <v>137</v>
      </c>
      <c r="L308" s="14" t="s">
        <v>2924</v>
      </c>
      <c r="M308" s="324">
        <v>0</v>
      </c>
      <c r="N308" s="14" t="s">
        <v>1879</v>
      </c>
      <c r="O308" s="14" t="s">
        <v>1880</v>
      </c>
      <c r="P308" s="167" t="s">
        <v>147</v>
      </c>
      <c r="Q308" s="14" t="s">
        <v>138</v>
      </c>
      <c r="R308" s="170" t="s">
        <v>234</v>
      </c>
      <c r="S308" s="108">
        <f t="shared" si="40"/>
        <v>45460</v>
      </c>
      <c r="T308" s="79">
        <v>45436</v>
      </c>
      <c r="U308" s="14" t="s">
        <v>2925</v>
      </c>
      <c r="V308" s="14" t="s">
        <v>2926</v>
      </c>
      <c r="W308" s="14" t="s">
        <v>1879</v>
      </c>
      <c r="X308" s="176" t="s">
        <v>1880</v>
      </c>
      <c r="Y308" s="15" t="s">
        <v>1915</v>
      </c>
      <c r="Z308" s="87" t="s">
        <v>2927</v>
      </c>
      <c r="AA308" s="2">
        <f t="shared" ca="1" si="41"/>
        <v>1</v>
      </c>
      <c r="AB308" s="153"/>
      <c r="AC308" s="454" t="str">
        <f t="shared" si="43"/>
        <v>1</v>
      </c>
    </row>
    <row r="309" spans="1:29" ht="72.5" x14ac:dyDescent="0.35">
      <c r="A309" s="111" t="str">
        <f t="shared" si="44"/>
        <v>Closed</v>
      </c>
      <c r="B309" s="222">
        <v>45432</v>
      </c>
      <c r="C309" s="14">
        <v>2402</v>
      </c>
      <c r="D309" s="14" t="s">
        <v>2928</v>
      </c>
      <c r="E309" s="14" t="s">
        <v>31</v>
      </c>
      <c r="F309" s="14" t="s">
        <v>2010</v>
      </c>
      <c r="G309" s="14" t="s">
        <v>1900</v>
      </c>
      <c r="H309" s="14">
        <v>107</v>
      </c>
      <c r="I309" s="176" t="s">
        <v>155</v>
      </c>
      <c r="J309" s="14">
        <v>58403</v>
      </c>
      <c r="K309" s="87"/>
      <c r="L309" s="14" t="s">
        <v>2929</v>
      </c>
      <c r="M309" s="324">
        <f>IF(I309="Staff Accident","Entry Required",IF(I309="Assaults","Entry Required",0))</f>
        <v>0</v>
      </c>
      <c r="N309" s="14" t="s">
        <v>1879</v>
      </c>
      <c r="O309" s="14" t="s">
        <v>1880</v>
      </c>
      <c r="P309" s="167" t="s">
        <v>147</v>
      </c>
      <c r="Q309" s="14" t="s">
        <v>175</v>
      </c>
      <c r="R309" s="170" t="s">
        <v>234</v>
      </c>
      <c r="S309" s="108">
        <f t="shared" si="40"/>
        <v>45460</v>
      </c>
      <c r="T309" s="79">
        <v>45446</v>
      </c>
      <c r="U309" s="14" t="s">
        <v>2930</v>
      </c>
      <c r="V309" s="14" t="s">
        <v>2931</v>
      </c>
      <c r="W309" s="14" t="s">
        <v>1879</v>
      </c>
      <c r="X309" s="14" t="s">
        <v>154</v>
      </c>
      <c r="Y309" s="51" t="s">
        <v>2012</v>
      </c>
      <c r="Z309" s="14" t="s">
        <v>2253</v>
      </c>
      <c r="AA309" s="2">
        <f t="shared" ca="1" si="41"/>
        <v>1</v>
      </c>
      <c r="AB309" s="153"/>
      <c r="AC309" s="454" t="str">
        <f t="shared" si="43"/>
        <v>1</v>
      </c>
    </row>
    <row r="310" spans="1:29" ht="72.5" x14ac:dyDescent="0.35">
      <c r="A310" s="111" t="str">
        <f t="shared" si="44"/>
        <v>Closed</v>
      </c>
      <c r="B310" s="222">
        <v>45432</v>
      </c>
      <c r="C310" s="14">
        <v>2402</v>
      </c>
      <c r="D310" s="14" t="s">
        <v>2932</v>
      </c>
      <c r="E310" s="14" t="s">
        <v>192</v>
      </c>
      <c r="F310" s="14" t="s">
        <v>2426</v>
      </c>
      <c r="G310" s="14" t="s">
        <v>1911</v>
      </c>
      <c r="H310" s="14">
        <v>107</v>
      </c>
      <c r="I310" s="176" t="s">
        <v>140</v>
      </c>
      <c r="J310" s="14">
        <v>426</v>
      </c>
      <c r="K310" s="87"/>
      <c r="L310" s="14" t="s">
        <v>2933</v>
      </c>
      <c r="M310" s="324">
        <f>IF(I310="Staff Accident","Entry Required",IF(I310="Assaults","Entry Required",0))</f>
        <v>0</v>
      </c>
      <c r="N310" s="14" t="s">
        <v>1879</v>
      </c>
      <c r="O310" s="14" t="s">
        <v>1879</v>
      </c>
      <c r="P310" s="167" t="s">
        <v>143</v>
      </c>
      <c r="Q310" s="14"/>
      <c r="R310" s="170">
        <v>0</v>
      </c>
      <c r="S310" s="108">
        <f t="shared" si="40"/>
        <v>45460</v>
      </c>
      <c r="T310" s="79">
        <v>45797</v>
      </c>
      <c r="U310" s="14"/>
      <c r="V310" s="14"/>
      <c r="W310" s="14"/>
      <c r="X310" s="14"/>
      <c r="Y310" s="167" t="s">
        <v>2428</v>
      </c>
      <c r="Z310" s="14"/>
      <c r="AA310" s="2">
        <f t="shared" ca="1" si="41"/>
        <v>1</v>
      </c>
      <c r="AB310" s="153"/>
      <c r="AC310" s="454" t="str">
        <f t="shared" si="43"/>
        <v>1</v>
      </c>
    </row>
    <row r="311" spans="1:29" ht="58" x14ac:dyDescent="0.35">
      <c r="A311" s="111" t="str">
        <f t="shared" si="44"/>
        <v>Closed</v>
      </c>
      <c r="B311" s="222">
        <v>45432</v>
      </c>
      <c r="C311" s="14">
        <v>2402</v>
      </c>
      <c r="D311" s="14" t="s">
        <v>2934</v>
      </c>
      <c r="E311" s="14" t="s">
        <v>1997</v>
      </c>
      <c r="F311" s="14" t="s">
        <v>2056</v>
      </c>
      <c r="G311" s="14"/>
      <c r="H311" s="14">
        <v>120</v>
      </c>
      <c r="I311" s="176" t="s">
        <v>140</v>
      </c>
      <c r="J311" s="14">
        <v>41867</v>
      </c>
      <c r="K311" s="87"/>
      <c r="L311" s="328" t="s">
        <v>2935</v>
      </c>
      <c r="M311" s="324">
        <f>IF(I311="Staff Accident","Entry Required",IF(I311="Assaults","Entry Required",0))</f>
        <v>0</v>
      </c>
      <c r="N311" s="14" t="s">
        <v>1879</v>
      </c>
      <c r="O311" s="14" t="s">
        <v>1880</v>
      </c>
      <c r="P311" s="167" t="s">
        <v>143</v>
      </c>
      <c r="Q311" s="14"/>
      <c r="R311" s="170">
        <v>0</v>
      </c>
      <c r="S311" s="108">
        <f t="shared" si="40"/>
        <v>45460</v>
      </c>
      <c r="T311" s="79">
        <v>45797</v>
      </c>
      <c r="U311" s="14"/>
      <c r="V311" s="14"/>
      <c r="W311" s="14"/>
      <c r="X311" s="14"/>
      <c r="Y311" s="167" t="s">
        <v>2058</v>
      </c>
      <c r="Z311" s="14"/>
      <c r="AA311" s="2">
        <f t="shared" ca="1" si="41"/>
        <v>1</v>
      </c>
      <c r="AB311" s="153"/>
      <c r="AC311" s="454" t="str">
        <f t="shared" si="43"/>
        <v>1</v>
      </c>
    </row>
    <row r="312" spans="1:29" ht="72.5" x14ac:dyDescent="0.35">
      <c r="A312" s="111" t="str">
        <f t="shared" si="44"/>
        <v>Closed</v>
      </c>
      <c r="B312" s="222">
        <v>45432</v>
      </c>
      <c r="C312" s="14">
        <v>2402</v>
      </c>
      <c r="D312" s="14" t="s">
        <v>2936</v>
      </c>
      <c r="E312" s="14" t="s">
        <v>38</v>
      </c>
      <c r="F312" s="14" t="s">
        <v>1985</v>
      </c>
      <c r="G312" s="14" t="s">
        <v>1900</v>
      </c>
      <c r="H312" s="14">
        <v>122</v>
      </c>
      <c r="I312" s="176" t="s">
        <v>2</v>
      </c>
      <c r="J312" s="14">
        <v>8511393</v>
      </c>
      <c r="K312" s="85" t="s">
        <v>137</v>
      </c>
      <c r="L312" s="328" t="s">
        <v>2937</v>
      </c>
      <c r="M312" s="324">
        <v>0</v>
      </c>
      <c r="N312" s="14" t="s">
        <v>1879</v>
      </c>
      <c r="O312" s="14" t="s">
        <v>1880</v>
      </c>
      <c r="P312" s="167" t="s">
        <v>136</v>
      </c>
      <c r="Q312" s="14" t="s">
        <v>138</v>
      </c>
      <c r="R312" s="170" t="s">
        <v>234</v>
      </c>
      <c r="S312" s="108">
        <f t="shared" si="40"/>
        <v>45460</v>
      </c>
      <c r="T312" s="79">
        <v>45436</v>
      </c>
      <c r="U312" s="14" t="s">
        <v>2938</v>
      </c>
      <c r="V312" s="14" t="s">
        <v>2939</v>
      </c>
      <c r="W312" s="14" t="s">
        <v>1879</v>
      </c>
      <c r="X312" s="14" t="s">
        <v>154</v>
      </c>
      <c r="Y312" s="14" t="s">
        <v>1989</v>
      </c>
      <c r="Z312" s="14" t="s">
        <v>2940</v>
      </c>
      <c r="AA312" s="2">
        <f t="shared" ca="1" si="41"/>
        <v>1</v>
      </c>
      <c r="AB312" s="153"/>
      <c r="AC312" s="454" t="str">
        <f t="shared" si="43"/>
        <v>1</v>
      </c>
    </row>
    <row r="313" spans="1:29" ht="72.5" x14ac:dyDescent="0.35">
      <c r="A313" s="111" t="str">
        <f t="shared" si="44"/>
        <v>Closed</v>
      </c>
      <c r="B313" s="222">
        <v>45433</v>
      </c>
      <c r="C313" s="14">
        <v>2402</v>
      </c>
      <c r="D313" s="14" t="s">
        <v>2941</v>
      </c>
      <c r="E313" s="14" t="s">
        <v>27</v>
      </c>
      <c r="F313" s="14" t="s">
        <v>2037</v>
      </c>
      <c r="G313" s="14" t="s">
        <v>1900</v>
      </c>
      <c r="H313" s="14">
        <v>112</v>
      </c>
      <c r="I313" s="176" t="s">
        <v>5</v>
      </c>
      <c r="J313" s="14">
        <v>64986</v>
      </c>
      <c r="K313" s="87"/>
      <c r="L313" s="14" t="s">
        <v>2942</v>
      </c>
      <c r="M313" s="324">
        <f t="shared" ref="M313:M333" si="46">IF(I313="Staff Accident","Entry Required",IF(I313="Assaults","Entry Required",0))</f>
        <v>0</v>
      </c>
      <c r="N313" s="14" t="s">
        <v>1879</v>
      </c>
      <c r="O313" s="14" t="s">
        <v>1880</v>
      </c>
      <c r="P313" s="167" t="s">
        <v>147</v>
      </c>
      <c r="Q313" s="14" t="s">
        <v>175</v>
      </c>
      <c r="R313" s="170" t="s">
        <v>234</v>
      </c>
      <c r="S313" s="108">
        <f t="shared" si="40"/>
        <v>45461</v>
      </c>
      <c r="T313" s="79">
        <v>45446</v>
      </c>
      <c r="U313" s="14" t="s">
        <v>2943</v>
      </c>
      <c r="V313" s="14" t="s">
        <v>2943</v>
      </c>
      <c r="W313" s="14" t="s">
        <v>1879</v>
      </c>
      <c r="X313" s="14" t="s">
        <v>1883</v>
      </c>
      <c r="Y313" s="167" t="s">
        <v>2039</v>
      </c>
      <c r="Z313" s="14" t="s">
        <v>2790</v>
      </c>
      <c r="AA313" s="2">
        <f t="shared" ca="1" si="41"/>
        <v>1</v>
      </c>
      <c r="AB313" s="153"/>
      <c r="AC313" s="454" t="str">
        <f t="shared" si="43"/>
        <v>1</v>
      </c>
    </row>
    <row r="314" spans="1:29" ht="43.5" x14ac:dyDescent="0.35">
      <c r="A314" s="111" t="str">
        <f t="shared" si="44"/>
        <v>Closed</v>
      </c>
      <c r="B314" s="222">
        <v>45434</v>
      </c>
      <c r="C314" s="14">
        <v>2402</v>
      </c>
      <c r="D314" s="14" t="s">
        <v>2944</v>
      </c>
      <c r="E314" s="14" t="s">
        <v>206</v>
      </c>
      <c r="F314" s="14" t="s">
        <v>2205</v>
      </c>
      <c r="G314" s="14" t="s">
        <v>1900</v>
      </c>
      <c r="H314" s="14"/>
      <c r="I314" s="176" t="s">
        <v>140</v>
      </c>
      <c r="K314" s="87"/>
      <c r="L314" s="14" t="s">
        <v>2945</v>
      </c>
      <c r="M314" s="324">
        <f t="shared" si="46"/>
        <v>0</v>
      </c>
      <c r="N314" s="14" t="s">
        <v>1879</v>
      </c>
      <c r="O314" s="14" t="s">
        <v>1880</v>
      </c>
      <c r="P314" s="167" t="s">
        <v>143</v>
      </c>
      <c r="Q314" s="14"/>
      <c r="R314" s="170">
        <v>0</v>
      </c>
      <c r="S314" s="108">
        <f t="shared" si="40"/>
        <v>45462</v>
      </c>
      <c r="T314" s="79">
        <v>45434</v>
      </c>
      <c r="U314" s="14"/>
      <c r="V314" s="14"/>
      <c r="W314" s="14"/>
      <c r="X314" s="14"/>
      <c r="Y314" s="14" t="s">
        <v>2726</v>
      </c>
      <c r="Z314" s="14"/>
      <c r="AA314" s="2">
        <f t="shared" ca="1" si="41"/>
        <v>1</v>
      </c>
      <c r="AB314" s="153"/>
      <c r="AC314" s="454" t="str">
        <f t="shared" si="43"/>
        <v/>
      </c>
    </row>
    <row r="315" spans="1:29" ht="58" x14ac:dyDescent="0.35">
      <c r="A315" s="111" t="str">
        <f t="shared" si="44"/>
        <v>Closed</v>
      </c>
      <c r="B315" s="222">
        <v>45436</v>
      </c>
      <c r="C315" s="14">
        <v>2402</v>
      </c>
      <c r="D315" s="14" t="s">
        <v>2946</v>
      </c>
      <c r="E315" s="14" t="s">
        <v>80</v>
      </c>
      <c r="F315" s="14" t="s">
        <v>2811</v>
      </c>
      <c r="G315" s="14"/>
      <c r="H315" s="14">
        <v>116</v>
      </c>
      <c r="I315" s="176" t="s">
        <v>140</v>
      </c>
      <c r="K315" s="87"/>
      <c r="L315" s="14" t="s">
        <v>2947</v>
      </c>
      <c r="M315" s="324">
        <f t="shared" si="46"/>
        <v>0</v>
      </c>
      <c r="N315" s="14" t="s">
        <v>1879</v>
      </c>
      <c r="O315" s="14"/>
      <c r="P315" s="167" t="s">
        <v>143</v>
      </c>
      <c r="Q315" s="14"/>
      <c r="R315" s="170">
        <v>0</v>
      </c>
      <c r="S315" s="108">
        <f t="shared" si="40"/>
        <v>45464</v>
      </c>
      <c r="T315" s="79">
        <v>45436</v>
      </c>
      <c r="U315" s="14"/>
      <c r="V315" s="14"/>
      <c r="W315" s="14"/>
      <c r="X315" s="14"/>
      <c r="Z315" s="14"/>
      <c r="AA315" s="2">
        <f t="shared" ca="1" si="41"/>
        <v>1</v>
      </c>
      <c r="AB315" s="153"/>
      <c r="AC315" s="454" t="str">
        <f t="shared" si="43"/>
        <v>1</v>
      </c>
    </row>
    <row r="316" spans="1:29" ht="77.5" customHeight="1" x14ac:dyDescent="0.35">
      <c r="A316" s="111" t="str">
        <f t="shared" si="44"/>
        <v>Closed</v>
      </c>
      <c r="B316" s="222">
        <v>45437</v>
      </c>
      <c r="C316" s="14">
        <v>2402</v>
      </c>
      <c r="D316" s="14" t="s">
        <v>2946</v>
      </c>
      <c r="E316" s="14" t="s">
        <v>38</v>
      </c>
      <c r="F316" s="14" t="s">
        <v>2056</v>
      </c>
      <c r="G316" s="14"/>
      <c r="H316" s="14"/>
      <c r="I316" s="176" t="s">
        <v>140</v>
      </c>
      <c r="K316" s="87"/>
      <c r="L316" s="14" t="s">
        <v>2948</v>
      </c>
      <c r="M316" s="324">
        <f t="shared" si="46"/>
        <v>0</v>
      </c>
      <c r="N316" s="14" t="s">
        <v>2034</v>
      </c>
      <c r="O316" s="14" t="s">
        <v>1879</v>
      </c>
      <c r="P316" s="167" t="s">
        <v>143</v>
      </c>
      <c r="Q316" s="14"/>
      <c r="R316" s="170">
        <v>0</v>
      </c>
      <c r="S316" s="108">
        <f t="shared" si="40"/>
        <v>45465</v>
      </c>
      <c r="T316" s="79">
        <v>45437</v>
      </c>
      <c r="U316" s="14"/>
      <c r="V316" s="14"/>
      <c r="W316" s="14"/>
      <c r="X316" s="14"/>
      <c r="Y316" s="167" t="s">
        <v>2058</v>
      </c>
      <c r="Z316" s="14"/>
      <c r="AA316" s="2">
        <f t="shared" ca="1" si="41"/>
        <v>1</v>
      </c>
      <c r="AB316" s="153"/>
      <c r="AC316" s="454" t="str">
        <f t="shared" si="43"/>
        <v/>
      </c>
    </row>
    <row r="317" spans="1:29" ht="109" customHeight="1" x14ac:dyDescent="0.35">
      <c r="A317" s="169" t="str">
        <f t="shared" si="44"/>
        <v>Closed</v>
      </c>
      <c r="B317" s="222">
        <v>45438</v>
      </c>
      <c r="C317" s="14">
        <v>2403</v>
      </c>
      <c r="D317" s="14" t="s">
        <v>2949</v>
      </c>
      <c r="E317" s="14" t="s">
        <v>31</v>
      </c>
      <c r="F317" s="14" t="s">
        <v>1972</v>
      </c>
      <c r="G317" s="14" t="s">
        <v>1900</v>
      </c>
      <c r="H317" s="14">
        <v>115</v>
      </c>
      <c r="I317" s="176" t="s">
        <v>155</v>
      </c>
      <c r="J317" s="14">
        <v>757</v>
      </c>
      <c r="K317" s="87"/>
      <c r="L317" s="14" t="s">
        <v>2950</v>
      </c>
      <c r="M317" s="324">
        <f t="shared" si="46"/>
        <v>0</v>
      </c>
      <c r="N317" s="14" t="s">
        <v>2034</v>
      </c>
      <c r="O317" s="14" t="s">
        <v>1880</v>
      </c>
      <c r="P317" s="167" t="s">
        <v>147</v>
      </c>
      <c r="Q317" s="14" t="s">
        <v>174</v>
      </c>
      <c r="R317" s="170" t="s">
        <v>234</v>
      </c>
      <c r="S317" s="108">
        <f t="shared" si="40"/>
        <v>45466</v>
      </c>
      <c r="T317" s="79">
        <v>45448</v>
      </c>
      <c r="U317" s="14" t="s">
        <v>1896</v>
      </c>
      <c r="V317" s="14" t="s">
        <v>2951</v>
      </c>
      <c r="W317" s="14" t="s">
        <v>1880</v>
      </c>
      <c r="X317" s="14" t="s">
        <v>1880</v>
      </c>
      <c r="Z317" s="14" t="s">
        <v>2952</v>
      </c>
      <c r="AA317" s="2">
        <f t="shared" ca="1" si="41"/>
        <v>1</v>
      </c>
      <c r="AB317" s="153"/>
      <c r="AC317" s="454" t="str">
        <f t="shared" si="43"/>
        <v>1</v>
      </c>
    </row>
    <row r="318" spans="1:29" ht="43.5" x14ac:dyDescent="0.35">
      <c r="A318" s="111" t="str">
        <f t="shared" si="44"/>
        <v>Closed</v>
      </c>
      <c r="B318" s="222">
        <v>45438</v>
      </c>
      <c r="C318" s="14">
        <v>2403</v>
      </c>
      <c r="D318" s="14" t="s">
        <v>2949</v>
      </c>
      <c r="E318" s="14" t="s">
        <v>180</v>
      </c>
      <c r="F318" s="14" t="s">
        <v>2953</v>
      </c>
      <c r="G318" s="14" t="s">
        <v>1911</v>
      </c>
      <c r="H318" s="14">
        <v>115</v>
      </c>
      <c r="I318" s="176" t="s">
        <v>140</v>
      </c>
      <c r="K318" s="87"/>
      <c r="L318" s="14" t="s">
        <v>2954</v>
      </c>
      <c r="M318" s="324">
        <f t="shared" si="46"/>
        <v>0</v>
      </c>
      <c r="N318" s="14" t="s">
        <v>2034</v>
      </c>
      <c r="O318" s="14" t="s">
        <v>1879</v>
      </c>
      <c r="P318" s="167" t="s">
        <v>143</v>
      </c>
      <c r="Q318" s="14"/>
      <c r="R318" s="170">
        <v>0</v>
      </c>
      <c r="S318" s="108">
        <f t="shared" si="40"/>
        <v>45466</v>
      </c>
      <c r="T318" s="79">
        <v>45438</v>
      </c>
      <c r="U318" s="14"/>
      <c r="V318" s="14"/>
      <c r="W318" s="14"/>
      <c r="X318" s="14"/>
      <c r="Z318" s="14"/>
      <c r="AA318" s="2">
        <f t="shared" ca="1" si="41"/>
        <v>1</v>
      </c>
      <c r="AB318" s="153"/>
      <c r="AC318" s="454" t="str">
        <f t="shared" si="43"/>
        <v>1</v>
      </c>
    </row>
    <row r="319" spans="1:29" ht="43.5" x14ac:dyDescent="0.35">
      <c r="A319" s="111" t="str">
        <f t="shared" si="44"/>
        <v>Closed</v>
      </c>
      <c r="B319" s="222">
        <v>45439</v>
      </c>
      <c r="C319" s="14">
        <v>2403</v>
      </c>
      <c r="D319" s="14" t="s">
        <v>2955</v>
      </c>
      <c r="E319" s="14" t="s">
        <v>192</v>
      </c>
      <c r="F319" s="14" t="s">
        <v>2064</v>
      </c>
      <c r="G319" s="14"/>
      <c r="H319" s="14"/>
      <c r="I319" s="176" t="s">
        <v>140</v>
      </c>
      <c r="K319" s="87"/>
      <c r="L319" s="14" t="s">
        <v>2956</v>
      </c>
      <c r="M319" s="324">
        <f t="shared" si="46"/>
        <v>0</v>
      </c>
      <c r="N319" s="14" t="s">
        <v>2034</v>
      </c>
      <c r="O319" s="14" t="s">
        <v>1879</v>
      </c>
      <c r="P319" s="167" t="s">
        <v>143</v>
      </c>
      <c r="Q319" s="14"/>
      <c r="R319" s="170">
        <v>0</v>
      </c>
      <c r="S319" s="108">
        <f t="shared" si="40"/>
        <v>45467</v>
      </c>
      <c r="T319" s="79">
        <v>45439</v>
      </c>
      <c r="U319" s="14"/>
      <c r="V319" s="14"/>
      <c r="W319" s="14"/>
      <c r="X319" s="14"/>
      <c r="Y319" s="15" t="s">
        <v>2068</v>
      </c>
      <c r="Z319" s="14"/>
      <c r="AA319" s="2">
        <f t="shared" ca="1" si="41"/>
        <v>1</v>
      </c>
      <c r="AB319" s="153"/>
      <c r="AC319" s="454" t="str">
        <f t="shared" si="43"/>
        <v/>
      </c>
    </row>
    <row r="320" spans="1:29" ht="72.5" x14ac:dyDescent="0.35">
      <c r="A320" s="111" t="str">
        <f t="shared" si="44"/>
        <v>Closed</v>
      </c>
      <c r="B320" s="222">
        <v>45439</v>
      </c>
      <c r="C320" s="14">
        <v>2403</v>
      </c>
      <c r="D320" s="14" t="s">
        <v>2957</v>
      </c>
      <c r="E320" s="14" t="s">
        <v>192</v>
      </c>
      <c r="F320" s="14" t="s">
        <v>2056</v>
      </c>
      <c r="G320" s="14"/>
      <c r="H320" s="14"/>
      <c r="I320" s="176" t="s">
        <v>140</v>
      </c>
      <c r="K320" s="87"/>
      <c r="L320" s="14" t="s">
        <v>2958</v>
      </c>
      <c r="M320" s="324">
        <f t="shared" si="46"/>
        <v>0</v>
      </c>
      <c r="N320" s="14" t="s">
        <v>2034</v>
      </c>
      <c r="O320" s="14" t="s">
        <v>1879</v>
      </c>
      <c r="P320" s="167" t="s">
        <v>143</v>
      </c>
      <c r="Q320" s="14"/>
      <c r="R320" s="170">
        <v>0</v>
      </c>
      <c r="S320" s="108">
        <f t="shared" si="40"/>
        <v>45467</v>
      </c>
      <c r="T320" s="79">
        <v>45439</v>
      </c>
      <c r="U320" s="14"/>
      <c r="V320" s="14"/>
      <c r="W320" s="14"/>
      <c r="X320" s="14"/>
      <c r="Y320" s="167" t="s">
        <v>2058</v>
      </c>
      <c r="Z320" s="14"/>
      <c r="AA320" s="2">
        <f t="shared" ca="1" si="41"/>
        <v>1</v>
      </c>
      <c r="AB320" s="153"/>
      <c r="AC320" s="454" t="str">
        <f t="shared" ref="AC320:AC351" si="47">LEFT(H320,1)</f>
        <v/>
      </c>
    </row>
    <row r="321" spans="1:29" ht="43.5" x14ac:dyDescent="0.35">
      <c r="A321" s="111" t="str">
        <f t="shared" si="44"/>
        <v>Closed</v>
      </c>
      <c r="B321" s="222">
        <v>45439</v>
      </c>
      <c r="C321" s="14">
        <v>2403</v>
      </c>
      <c r="D321" s="14" t="s">
        <v>2959</v>
      </c>
      <c r="E321" s="14" t="s">
        <v>8</v>
      </c>
      <c r="F321" s="167" t="s">
        <v>2349</v>
      </c>
      <c r="G321" s="14"/>
      <c r="H321" s="14"/>
      <c r="I321" s="176" t="s">
        <v>140</v>
      </c>
      <c r="K321" s="87"/>
      <c r="L321" s="14" t="s">
        <v>2960</v>
      </c>
      <c r="M321" s="324">
        <f t="shared" si="46"/>
        <v>0</v>
      </c>
      <c r="N321" s="14" t="s">
        <v>2034</v>
      </c>
      <c r="O321" s="14" t="s">
        <v>1879</v>
      </c>
      <c r="P321" s="167" t="s">
        <v>143</v>
      </c>
      <c r="Q321" s="14"/>
      <c r="R321" s="170">
        <v>0</v>
      </c>
      <c r="S321" s="108">
        <f t="shared" si="40"/>
        <v>45467</v>
      </c>
      <c r="T321" s="79">
        <v>45439</v>
      </c>
      <c r="U321" s="14"/>
      <c r="V321" s="14"/>
      <c r="W321" s="14"/>
      <c r="X321" s="14"/>
      <c r="Y321" s="14" t="s">
        <v>2351</v>
      </c>
      <c r="Z321" s="14"/>
      <c r="AA321" s="2">
        <f t="shared" ca="1" si="41"/>
        <v>1</v>
      </c>
      <c r="AB321" s="153"/>
      <c r="AC321" s="454" t="str">
        <f t="shared" si="47"/>
        <v/>
      </c>
    </row>
    <row r="322" spans="1:29" ht="174" x14ac:dyDescent="0.35">
      <c r="A322" s="169" t="str">
        <f t="shared" si="44"/>
        <v>Closed</v>
      </c>
      <c r="B322" s="222">
        <v>45439</v>
      </c>
      <c r="C322" s="14">
        <v>2403</v>
      </c>
      <c r="D322" s="14" t="s">
        <v>2961</v>
      </c>
      <c r="E322" s="14" t="s">
        <v>195</v>
      </c>
      <c r="F322" s="14" t="s">
        <v>2962</v>
      </c>
      <c r="G322" s="14" t="s">
        <v>1911</v>
      </c>
      <c r="H322" s="14">
        <v>113</v>
      </c>
      <c r="I322" s="176" t="s">
        <v>155</v>
      </c>
      <c r="J322" s="14">
        <v>568</v>
      </c>
      <c r="K322" s="87"/>
      <c r="L322" s="14" t="s">
        <v>2963</v>
      </c>
      <c r="M322" s="324">
        <f t="shared" si="46"/>
        <v>0</v>
      </c>
      <c r="N322" s="14" t="s">
        <v>2034</v>
      </c>
      <c r="O322" s="14" t="s">
        <v>1880</v>
      </c>
      <c r="P322" s="167" t="s">
        <v>143</v>
      </c>
      <c r="Q322" s="14"/>
      <c r="R322" s="170">
        <f t="shared" ref="R322" si="48">IF(I322="Staff Accident","Entry Required",IF(I322="Assaults","Entry Required",0))</f>
        <v>0</v>
      </c>
      <c r="S322" s="108">
        <f t="shared" si="40"/>
        <v>45467</v>
      </c>
      <c r="T322" s="79">
        <v>45439</v>
      </c>
      <c r="U322" s="14"/>
      <c r="V322" s="14"/>
      <c r="W322" s="14"/>
      <c r="X322" s="14"/>
      <c r="Y322" s="167" t="s">
        <v>2964</v>
      </c>
      <c r="Z322" s="14" t="s">
        <v>2965</v>
      </c>
      <c r="AA322" s="2">
        <f t="shared" ca="1" si="41"/>
        <v>1</v>
      </c>
      <c r="AB322" s="153"/>
      <c r="AC322" s="454" t="str">
        <f t="shared" si="47"/>
        <v>1</v>
      </c>
    </row>
    <row r="323" spans="1:29" ht="58" x14ac:dyDescent="0.35">
      <c r="A323" s="169" t="str">
        <f t="shared" si="44"/>
        <v>Closed</v>
      </c>
      <c r="B323" s="222">
        <v>45440</v>
      </c>
      <c r="C323" s="14">
        <v>2403</v>
      </c>
      <c r="D323" s="14" t="s">
        <v>2966</v>
      </c>
      <c r="E323" s="14" t="s">
        <v>27</v>
      </c>
      <c r="F323" s="14" t="s">
        <v>2010</v>
      </c>
      <c r="G323" s="14" t="s">
        <v>1911</v>
      </c>
      <c r="H323" s="14">
        <v>104</v>
      </c>
      <c r="I323" s="176" t="s">
        <v>5</v>
      </c>
      <c r="J323" s="14">
        <v>89116</v>
      </c>
      <c r="K323" s="87"/>
      <c r="L323" s="30" t="s">
        <v>2967</v>
      </c>
      <c r="M323" s="324">
        <f t="shared" si="46"/>
        <v>0</v>
      </c>
      <c r="N323" s="14" t="s">
        <v>2034</v>
      </c>
      <c r="O323" s="14" t="s">
        <v>1880</v>
      </c>
      <c r="P323" s="167" t="s">
        <v>147</v>
      </c>
      <c r="Q323" s="14" t="s">
        <v>168</v>
      </c>
      <c r="R323" s="170" t="s">
        <v>234</v>
      </c>
      <c r="S323" s="108">
        <f t="shared" si="40"/>
        <v>45468</v>
      </c>
      <c r="T323" s="79">
        <v>45680</v>
      </c>
      <c r="U323" s="14" t="s">
        <v>2943</v>
      </c>
      <c r="V323" s="14" t="s">
        <v>2879</v>
      </c>
      <c r="W323" s="14" t="s">
        <v>1879</v>
      </c>
      <c r="X323" s="14" t="s">
        <v>154</v>
      </c>
      <c r="Y323" s="51" t="s">
        <v>2012</v>
      </c>
      <c r="Z323" s="14" t="s">
        <v>2694</v>
      </c>
      <c r="AA323" s="2">
        <f t="shared" ca="1" si="41"/>
        <v>1</v>
      </c>
      <c r="AB323" s="153"/>
      <c r="AC323" s="454" t="str">
        <f t="shared" si="47"/>
        <v>1</v>
      </c>
    </row>
    <row r="324" spans="1:29" ht="43.5" x14ac:dyDescent="0.35">
      <c r="A324" s="169" t="str">
        <f t="shared" si="44"/>
        <v>Closed</v>
      </c>
      <c r="B324" s="222">
        <v>45442</v>
      </c>
      <c r="C324" s="14">
        <v>2403</v>
      </c>
      <c r="D324" s="14" t="s">
        <v>2968</v>
      </c>
      <c r="E324" s="14" t="s">
        <v>27</v>
      </c>
      <c r="F324" s="14" t="s">
        <v>2969</v>
      </c>
      <c r="G324" s="14"/>
      <c r="H324" s="14">
        <v>203</v>
      </c>
      <c r="I324" s="176" t="s">
        <v>5</v>
      </c>
      <c r="K324" s="87"/>
      <c r="L324" s="14" t="s">
        <v>2970</v>
      </c>
      <c r="M324" s="324">
        <f t="shared" si="46"/>
        <v>0</v>
      </c>
      <c r="N324" s="14" t="s">
        <v>2034</v>
      </c>
      <c r="O324" s="14" t="s">
        <v>1880</v>
      </c>
      <c r="P324" s="167" t="s">
        <v>147</v>
      </c>
      <c r="Q324" s="14" t="s">
        <v>174</v>
      </c>
      <c r="R324" s="170" t="s">
        <v>234</v>
      </c>
      <c r="S324" s="108">
        <f t="shared" si="40"/>
        <v>45470</v>
      </c>
      <c r="T324" s="79">
        <v>45482</v>
      </c>
      <c r="U324" s="14" t="s">
        <v>2082</v>
      </c>
      <c r="V324" s="14" t="s">
        <v>2971</v>
      </c>
      <c r="W324" s="14" t="s">
        <v>1879</v>
      </c>
      <c r="X324" s="14" t="s">
        <v>154</v>
      </c>
      <c r="Z324" s="14" t="s">
        <v>2972</v>
      </c>
      <c r="AA324" s="2">
        <f t="shared" ca="1" si="41"/>
        <v>1</v>
      </c>
      <c r="AB324" s="153"/>
      <c r="AC324" s="454" t="str">
        <f t="shared" si="47"/>
        <v>2</v>
      </c>
    </row>
    <row r="325" spans="1:29" ht="43.5" x14ac:dyDescent="0.35">
      <c r="A325" s="111" t="str">
        <f t="shared" si="44"/>
        <v>Closed</v>
      </c>
      <c r="B325" s="222">
        <v>45442</v>
      </c>
      <c r="C325" s="14">
        <v>2403</v>
      </c>
      <c r="D325" s="14" t="s">
        <v>2973</v>
      </c>
      <c r="E325" s="14" t="s">
        <v>215</v>
      </c>
      <c r="F325" s="14" t="s">
        <v>2974</v>
      </c>
      <c r="G325" s="14" t="s">
        <v>1911</v>
      </c>
      <c r="H325" s="14">
        <v>110</v>
      </c>
      <c r="I325" s="176" t="s">
        <v>140</v>
      </c>
      <c r="K325" s="87"/>
      <c r="L325" s="14" t="s">
        <v>2975</v>
      </c>
      <c r="M325" s="324">
        <f t="shared" si="46"/>
        <v>0</v>
      </c>
      <c r="N325" s="14" t="s">
        <v>2034</v>
      </c>
      <c r="O325" s="14" t="s">
        <v>1879</v>
      </c>
      <c r="P325" s="167" t="s">
        <v>143</v>
      </c>
      <c r="Q325" s="14"/>
      <c r="R325" s="170">
        <v>0</v>
      </c>
      <c r="S325" s="108">
        <f t="shared" si="40"/>
        <v>45470</v>
      </c>
      <c r="T325" s="79">
        <v>45442</v>
      </c>
      <c r="U325" s="14"/>
      <c r="V325" s="14"/>
      <c r="W325" s="14"/>
      <c r="X325" s="14"/>
      <c r="Y325" s="15" t="s">
        <v>2164</v>
      </c>
      <c r="Z325" s="14"/>
      <c r="AA325" s="2">
        <f t="shared" ca="1" si="41"/>
        <v>1</v>
      </c>
      <c r="AB325" s="153"/>
      <c r="AC325" s="454" t="str">
        <f t="shared" si="47"/>
        <v>1</v>
      </c>
    </row>
    <row r="326" spans="1:29" ht="43.5" x14ac:dyDescent="0.35">
      <c r="A326" s="169" t="str">
        <f t="shared" si="44"/>
        <v>Closed</v>
      </c>
      <c r="B326" s="222">
        <v>45442</v>
      </c>
      <c r="C326" s="14">
        <v>2403</v>
      </c>
      <c r="D326" s="14" t="s">
        <v>2976</v>
      </c>
      <c r="E326" s="14" t="s">
        <v>204</v>
      </c>
      <c r="F326" s="14" t="s">
        <v>2037</v>
      </c>
      <c r="G326" s="14" t="s">
        <v>1911</v>
      </c>
      <c r="H326" s="14">
        <v>120</v>
      </c>
      <c r="I326" s="176" t="s">
        <v>155</v>
      </c>
      <c r="J326" s="14">
        <v>80750</v>
      </c>
      <c r="K326" s="87"/>
      <c r="L326" s="14" t="s">
        <v>2977</v>
      </c>
      <c r="M326" s="324">
        <f t="shared" si="46"/>
        <v>0</v>
      </c>
      <c r="N326" s="14" t="s">
        <v>2034</v>
      </c>
      <c r="O326" s="14" t="s">
        <v>1880</v>
      </c>
      <c r="P326" s="167" t="s">
        <v>147</v>
      </c>
      <c r="Q326" s="14" t="s">
        <v>168</v>
      </c>
      <c r="R326" s="170" t="s">
        <v>234</v>
      </c>
      <c r="S326" s="108">
        <f t="shared" si="40"/>
        <v>45470</v>
      </c>
      <c r="T326" s="79">
        <v>45544</v>
      </c>
      <c r="U326" s="14" t="s">
        <v>2978</v>
      </c>
      <c r="V326" s="14" t="s">
        <v>2102</v>
      </c>
      <c r="W326" s="14" t="s">
        <v>1880</v>
      </c>
      <c r="X326" s="14" t="s">
        <v>1883</v>
      </c>
      <c r="Y326" s="167" t="s">
        <v>2039</v>
      </c>
      <c r="Z326" s="14" t="s">
        <v>2979</v>
      </c>
      <c r="AA326" s="2">
        <f t="shared" ca="1" si="41"/>
        <v>1</v>
      </c>
      <c r="AB326" s="153"/>
      <c r="AC326" s="454" t="str">
        <f t="shared" si="47"/>
        <v>1</v>
      </c>
    </row>
    <row r="327" spans="1:29" ht="58" x14ac:dyDescent="0.35">
      <c r="A327" s="89" t="str">
        <f t="shared" si="44"/>
        <v>Closed</v>
      </c>
      <c r="B327" s="222">
        <v>45443</v>
      </c>
      <c r="C327" s="14">
        <v>2403</v>
      </c>
      <c r="D327" s="14" t="s">
        <v>2980</v>
      </c>
      <c r="E327" s="14" t="s">
        <v>27</v>
      </c>
      <c r="F327" s="14" t="s">
        <v>2037</v>
      </c>
      <c r="G327" s="14" t="s">
        <v>1900</v>
      </c>
      <c r="H327" s="14">
        <v>102</v>
      </c>
      <c r="I327" s="176" t="s">
        <v>5</v>
      </c>
      <c r="J327" s="14">
        <v>8505792</v>
      </c>
      <c r="K327" s="87"/>
      <c r="L327" s="14" t="s">
        <v>2981</v>
      </c>
      <c r="M327" s="324">
        <f t="shared" si="46"/>
        <v>0</v>
      </c>
      <c r="N327" s="14" t="s">
        <v>2034</v>
      </c>
      <c r="O327" s="14" t="s">
        <v>1880</v>
      </c>
      <c r="P327" s="167" t="s">
        <v>147</v>
      </c>
      <c r="Q327" s="14" t="s">
        <v>135</v>
      </c>
      <c r="R327" s="223" t="s">
        <v>234</v>
      </c>
      <c r="S327" s="224">
        <f t="shared" si="40"/>
        <v>45471</v>
      </c>
      <c r="T327" s="79">
        <v>45902</v>
      </c>
      <c r="U327" s="14"/>
      <c r="V327" s="14"/>
      <c r="W327" s="14"/>
      <c r="X327" s="14"/>
      <c r="Y327" s="167" t="s">
        <v>2039</v>
      </c>
      <c r="Z327" s="14" t="s">
        <v>2982</v>
      </c>
      <c r="AA327" s="2">
        <f t="shared" ca="1" si="41"/>
        <v>1</v>
      </c>
      <c r="AB327" s="153"/>
      <c r="AC327" s="454" t="str">
        <f t="shared" si="47"/>
        <v>1</v>
      </c>
    </row>
    <row r="328" spans="1:29" ht="43.5" x14ac:dyDescent="0.35">
      <c r="A328" s="169" t="str">
        <f t="shared" si="44"/>
        <v>Closed</v>
      </c>
      <c r="B328" s="222">
        <v>45444</v>
      </c>
      <c r="C328" s="14">
        <v>2403</v>
      </c>
      <c r="D328" s="14" t="s">
        <v>2983</v>
      </c>
      <c r="E328" s="14" t="s">
        <v>72</v>
      </c>
      <c r="F328" s="14" t="s">
        <v>2037</v>
      </c>
      <c r="G328" s="14" t="s">
        <v>1911</v>
      </c>
      <c r="H328" s="14"/>
      <c r="I328" s="176" t="s">
        <v>155</v>
      </c>
      <c r="J328" s="14">
        <v>65149</v>
      </c>
      <c r="K328" s="87"/>
      <c r="L328" s="14" t="s">
        <v>2984</v>
      </c>
      <c r="M328" s="324">
        <f t="shared" si="46"/>
        <v>0</v>
      </c>
      <c r="N328" s="14" t="s">
        <v>2034</v>
      </c>
      <c r="O328" s="14" t="s">
        <v>1879</v>
      </c>
      <c r="P328" s="167" t="s">
        <v>147</v>
      </c>
      <c r="Q328" s="14" t="s">
        <v>175</v>
      </c>
      <c r="R328" s="170" t="s">
        <v>234</v>
      </c>
      <c r="S328" s="108">
        <f t="shared" si="40"/>
        <v>45472</v>
      </c>
      <c r="T328" s="79">
        <v>45492</v>
      </c>
      <c r="U328" s="14" t="s">
        <v>72</v>
      </c>
      <c r="V328" s="14" t="s">
        <v>72</v>
      </c>
      <c r="W328" s="14" t="s">
        <v>1879</v>
      </c>
      <c r="X328" s="14" t="s">
        <v>1883</v>
      </c>
      <c r="Y328" s="167" t="s">
        <v>2039</v>
      </c>
      <c r="Z328" s="14" t="s">
        <v>1897</v>
      </c>
      <c r="AA328" s="2">
        <f t="shared" ca="1" si="41"/>
        <v>1</v>
      </c>
      <c r="AB328" s="153"/>
      <c r="AC328" s="454" t="str">
        <f t="shared" si="47"/>
        <v/>
      </c>
    </row>
    <row r="329" spans="1:29" ht="43.5" x14ac:dyDescent="0.35">
      <c r="A329" s="169" t="str">
        <f t="shared" si="44"/>
        <v>Closed</v>
      </c>
      <c r="B329" s="222">
        <v>45445</v>
      </c>
      <c r="C329" s="14">
        <v>2403</v>
      </c>
      <c r="D329" s="14" t="s">
        <v>2985</v>
      </c>
      <c r="E329" s="14" t="s">
        <v>72</v>
      </c>
      <c r="F329" s="14" t="s">
        <v>2557</v>
      </c>
      <c r="G329" s="14"/>
      <c r="H329" s="14">
        <v>118</v>
      </c>
      <c r="I329" s="176" t="s">
        <v>155</v>
      </c>
      <c r="K329" s="87"/>
      <c r="L329" s="14" t="s">
        <v>2986</v>
      </c>
      <c r="M329" s="324">
        <f t="shared" si="46"/>
        <v>0</v>
      </c>
      <c r="N329" s="14" t="s">
        <v>2034</v>
      </c>
      <c r="O329" s="14" t="s">
        <v>1879</v>
      </c>
      <c r="P329" s="167" t="s">
        <v>147</v>
      </c>
      <c r="Q329" s="14" t="s">
        <v>168</v>
      </c>
      <c r="R329" s="170" t="s">
        <v>234</v>
      </c>
      <c r="S329" s="108">
        <f t="shared" si="40"/>
        <v>45473</v>
      </c>
      <c r="T329" s="79">
        <v>45544</v>
      </c>
      <c r="U329" s="14" t="s">
        <v>2874</v>
      </c>
      <c r="V329" s="14" t="s">
        <v>2102</v>
      </c>
      <c r="W329" s="14" t="s">
        <v>1880</v>
      </c>
      <c r="X329" s="14" t="s">
        <v>1883</v>
      </c>
      <c r="Z329" s="14" t="s">
        <v>2987</v>
      </c>
      <c r="AA329" s="2">
        <f t="shared" ca="1" si="41"/>
        <v>1</v>
      </c>
      <c r="AB329" s="153"/>
      <c r="AC329" s="454" t="str">
        <f t="shared" si="47"/>
        <v>1</v>
      </c>
    </row>
    <row r="330" spans="1:29" ht="58" x14ac:dyDescent="0.35">
      <c r="A330" s="169" t="str">
        <f t="shared" si="44"/>
        <v>Closed</v>
      </c>
      <c r="B330" s="222">
        <v>45445</v>
      </c>
      <c r="C330" s="14">
        <v>2403</v>
      </c>
      <c r="D330" s="14" t="s">
        <v>2988</v>
      </c>
      <c r="E330" s="14" t="s">
        <v>61</v>
      </c>
      <c r="F330" s="14" t="s">
        <v>2205</v>
      </c>
      <c r="G330" s="14" t="s">
        <v>1900</v>
      </c>
      <c r="H330" s="14">
        <v>123</v>
      </c>
      <c r="I330" s="176" t="s">
        <v>155</v>
      </c>
      <c r="J330" s="14">
        <v>37</v>
      </c>
      <c r="K330" s="87"/>
      <c r="L330" s="14" t="s">
        <v>2989</v>
      </c>
      <c r="M330" s="324">
        <f t="shared" si="46"/>
        <v>0</v>
      </c>
      <c r="N330" s="14" t="s">
        <v>2034</v>
      </c>
      <c r="O330" s="14" t="s">
        <v>1880</v>
      </c>
      <c r="P330" s="167" t="s">
        <v>147</v>
      </c>
      <c r="Q330" s="14" t="s">
        <v>177</v>
      </c>
      <c r="R330" s="170" t="s">
        <v>234</v>
      </c>
      <c r="S330" s="108">
        <f t="shared" ref="S330:S392" si="49">IF(B330="","",B330+28)</f>
        <v>45473</v>
      </c>
      <c r="T330" s="79">
        <v>45458</v>
      </c>
      <c r="U330" s="14" t="s">
        <v>2990</v>
      </c>
      <c r="V330" s="14" t="s">
        <v>2991</v>
      </c>
      <c r="W330" s="14" t="s">
        <v>1879</v>
      </c>
      <c r="X330" s="14" t="s">
        <v>1883</v>
      </c>
      <c r="Y330" s="14" t="s">
        <v>2726</v>
      </c>
      <c r="Z330" s="14" t="s">
        <v>2992</v>
      </c>
      <c r="AA330" s="2">
        <f t="shared" ca="1" si="41"/>
        <v>1</v>
      </c>
      <c r="AB330" s="153"/>
      <c r="AC330" s="454" t="str">
        <f t="shared" si="47"/>
        <v>1</v>
      </c>
    </row>
    <row r="331" spans="1:29" ht="72.5" x14ac:dyDescent="0.35">
      <c r="A331" s="111" t="str">
        <f t="shared" si="44"/>
        <v>Closed</v>
      </c>
      <c r="B331" s="222">
        <v>45446</v>
      </c>
      <c r="C331" s="14">
        <v>2403</v>
      </c>
      <c r="D331" s="14" t="s">
        <v>2993</v>
      </c>
      <c r="E331" s="14" t="s">
        <v>27</v>
      </c>
      <c r="F331" s="14" t="s">
        <v>2864</v>
      </c>
      <c r="G331" s="14" t="s">
        <v>1911</v>
      </c>
      <c r="H331" s="14">
        <v>101</v>
      </c>
      <c r="I331" s="176" t="s">
        <v>140</v>
      </c>
      <c r="J331" s="14">
        <v>8506846</v>
      </c>
      <c r="K331" s="87"/>
      <c r="L331" s="14" t="s">
        <v>2994</v>
      </c>
      <c r="M331" s="324">
        <f t="shared" si="46"/>
        <v>0</v>
      </c>
      <c r="N331" s="14" t="s">
        <v>2034</v>
      </c>
      <c r="O331" s="14" t="s">
        <v>1879</v>
      </c>
      <c r="P331" s="167" t="s">
        <v>143</v>
      </c>
      <c r="Q331" s="14" t="s">
        <v>135</v>
      </c>
      <c r="R331" s="170">
        <v>0</v>
      </c>
      <c r="S331" s="108">
        <f t="shared" si="49"/>
        <v>45474</v>
      </c>
      <c r="T331" s="79">
        <v>45463</v>
      </c>
      <c r="U331" s="14"/>
      <c r="V331" s="14"/>
      <c r="W331" s="14"/>
      <c r="X331" s="14"/>
      <c r="Y331" s="14" t="s">
        <v>2868</v>
      </c>
      <c r="Z331" s="14" t="s">
        <v>2995</v>
      </c>
      <c r="AA331" s="2">
        <f t="shared" ca="1" si="41"/>
        <v>1</v>
      </c>
      <c r="AB331" s="153"/>
      <c r="AC331" s="454" t="str">
        <f t="shared" si="47"/>
        <v>1</v>
      </c>
    </row>
    <row r="332" spans="1:29" ht="58" x14ac:dyDescent="0.35">
      <c r="A332" s="111" t="str">
        <f t="shared" si="44"/>
        <v>Closed</v>
      </c>
      <c r="B332" s="222">
        <v>45446</v>
      </c>
      <c r="C332" s="14">
        <v>2403</v>
      </c>
      <c r="D332" s="14" t="s">
        <v>2996</v>
      </c>
      <c r="E332" s="14" t="s">
        <v>31</v>
      </c>
      <c r="F332" s="167" t="s">
        <v>2432</v>
      </c>
      <c r="G332" s="14" t="s">
        <v>1900</v>
      </c>
      <c r="H332" s="14">
        <v>106</v>
      </c>
      <c r="I332" s="176" t="s">
        <v>155</v>
      </c>
      <c r="J332" s="14">
        <v>70450</v>
      </c>
      <c r="K332" s="87"/>
      <c r="L332" s="14" t="s">
        <v>2997</v>
      </c>
      <c r="M332" s="324">
        <f t="shared" si="46"/>
        <v>0</v>
      </c>
      <c r="N332" s="14" t="s">
        <v>2034</v>
      </c>
      <c r="O332" s="14" t="s">
        <v>1879</v>
      </c>
      <c r="P332" s="167" t="s">
        <v>147</v>
      </c>
      <c r="Q332" s="14" t="s">
        <v>153</v>
      </c>
      <c r="R332" s="170" t="s">
        <v>234</v>
      </c>
      <c r="S332" s="108">
        <f t="shared" si="49"/>
        <v>45474</v>
      </c>
      <c r="T332" s="79">
        <v>45483</v>
      </c>
      <c r="U332" s="14" t="s">
        <v>2998</v>
      </c>
      <c r="V332" s="14" t="s">
        <v>2999</v>
      </c>
      <c r="W332" s="14" t="s">
        <v>1879</v>
      </c>
      <c r="X332" s="14" t="s">
        <v>1883</v>
      </c>
      <c r="Y332" s="2" t="s">
        <v>2436</v>
      </c>
      <c r="Z332" s="14" t="s">
        <v>3000</v>
      </c>
      <c r="AA332" s="2">
        <f t="shared" ca="1" si="41"/>
        <v>1</v>
      </c>
      <c r="AB332" s="153"/>
      <c r="AC332" s="454" t="str">
        <f t="shared" si="47"/>
        <v>1</v>
      </c>
    </row>
    <row r="333" spans="1:29" ht="58" x14ac:dyDescent="0.35">
      <c r="A333" s="111" t="str">
        <f t="shared" si="44"/>
        <v>Closed</v>
      </c>
      <c r="B333" s="222">
        <v>45446</v>
      </c>
      <c r="C333" s="14">
        <v>2403</v>
      </c>
      <c r="D333" s="14" t="s">
        <v>3001</v>
      </c>
      <c r="E333" s="14" t="s">
        <v>192</v>
      </c>
      <c r="F333" s="14" t="s">
        <v>2073</v>
      </c>
      <c r="G333" s="14"/>
      <c r="H333" s="14"/>
      <c r="I333" s="176" t="s">
        <v>140</v>
      </c>
      <c r="K333" s="87"/>
      <c r="L333" s="14" t="s">
        <v>3002</v>
      </c>
      <c r="M333" s="324">
        <f t="shared" si="46"/>
        <v>0</v>
      </c>
      <c r="N333" s="14" t="s">
        <v>2034</v>
      </c>
      <c r="O333" s="14" t="s">
        <v>1879</v>
      </c>
      <c r="P333" s="167" t="s">
        <v>143</v>
      </c>
      <c r="Q333" s="14"/>
      <c r="R333" s="170">
        <v>0</v>
      </c>
      <c r="S333" s="108">
        <f t="shared" si="49"/>
        <v>45474</v>
      </c>
      <c r="T333" s="79">
        <v>45446</v>
      </c>
      <c r="U333" s="14"/>
      <c r="V333" s="14"/>
      <c r="W333" s="14"/>
      <c r="X333" s="14"/>
      <c r="Y333" s="15" t="s">
        <v>2075</v>
      </c>
      <c r="Z333" s="14"/>
      <c r="AA333" s="2">
        <f t="shared" ca="1" si="41"/>
        <v>1</v>
      </c>
      <c r="AB333" s="153"/>
      <c r="AC333" s="454" t="str">
        <f t="shared" si="47"/>
        <v/>
      </c>
    </row>
    <row r="334" spans="1:29" ht="58" x14ac:dyDescent="0.35">
      <c r="A334" s="111" t="str">
        <f t="shared" si="44"/>
        <v>Closed</v>
      </c>
      <c r="B334" s="222">
        <v>45446</v>
      </c>
      <c r="C334" s="14">
        <v>2403</v>
      </c>
      <c r="D334" s="14" t="s">
        <v>841</v>
      </c>
      <c r="E334" s="14" t="s">
        <v>40</v>
      </c>
      <c r="F334" s="14" t="s">
        <v>1925</v>
      </c>
      <c r="G334" s="14" t="s">
        <v>1900</v>
      </c>
      <c r="H334" s="14">
        <v>202</v>
      </c>
      <c r="I334" s="176" t="s">
        <v>4</v>
      </c>
      <c r="J334" s="14">
        <v>8501823</v>
      </c>
      <c r="K334" s="14" t="s">
        <v>137</v>
      </c>
      <c r="L334" s="14" t="s">
        <v>3003</v>
      </c>
      <c r="M334" s="324">
        <v>0</v>
      </c>
      <c r="N334" s="14" t="s">
        <v>2034</v>
      </c>
      <c r="O334" s="14" t="s">
        <v>1880</v>
      </c>
      <c r="P334" s="167" t="s">
        <v>139</v>
      </c>
      <c r="Q334" s="30" t="s">
        <v>138</v>
      </c>
      <c r="R334" s="170" t="s">
        <v>234</v>
      </c>
      <c r="S334" s="108">
        <f t="shared" si="49"/>
        <v>45474</v>
      </c>
      <c r="T334" s="79">
        <v>45447</v>
      </c>
      <c r="U334" s="14" t="s">
        <v>3004</v>
      </c>
      <c r="V334" s="14" t="s">
        <v>2676</v>
      </c>
      <c r="W334" s="14" t="s">
        <v>1879</v>
      </c>
      <c r="X334" s="14" t="s">
        <v>1880</v>
      </c>
      <c r="Y334" s="167" t="s">
        <v>1929</v>
      </c>
      <c r="Z334" s="14" t="s">
        <v>2927</v>
      </c>
      <c r="AA334" s="2">
        <f t="shared" ca="1" si="41"/>
        <v>1</v>
      </c>
      <c r="AB334" s="153"/>
      <c r="AC334" s="454" t="str">
        <f t="shared" si="47"/>
        <v>2</v>
      </c>
    </row>
    <row r="335" spans="1:29" ht="43.5" x14ac:dyDescent="0.35">
      <c r="A335" s="89" t="str">
        <f t="shared" si="44"/>
        <v>Closed</v>
      </c>
      <c r="B335" s="222">
        <v>45447</v>
      </c>
      <c r="C335" s="14">
        <v>2403</v>
      </c>
      <c r="D335" s="14" t="s">
        <v>1546</v>
      </c>
      <c r="E335" s="14" t="s">
        <v>31</v>
      </c>
      <c r="F335" s="14" t="s">
        <v>2052</v>
      </c>
      <c r="G335" s="14" t="s">
        <v>1911</v>
      </c>
      <c r="H335" s="14">
        <v>101</v>
      </c>
      <c r="I335" s="176" t="s">
        <v>155</v>
      </c>
      <c r="J335" s="14">
        <v>57100</v>
      </c>
      <c r="K335" s="87"/>
      <c r="L335" s="14" t="s">
        <v>3005</v>
      </c>
      <c r="M335" s="324">
        <f>IF(I335="Staff Accident","Entry Required",IF(I335="Assaults","Entry Required",0))</f>
        <v>0</v>
      </c>
      <c r="N335" s="14" t="s">
        <v>2034</v>
      </c>
      <c r="O335" s="14" t="s">
        <v>1880</v>
      </c>
      <c r="P335" s="167" t="s">
        <v>147</v>
      </c>
      <c r="Q335" s="14" t="s">
        <v>135</v>
      </c>
      <c r="R335" s="223" t="s">
        <v>234</v>
      </c>
      <c r="S335" s="224">
        <f t="shared" si="49"/>
        <v>45475</v>
      </c>
      <c r="T335" s="79">
        <v>45522</v>
      </c>
      <c r="U335" s="14" t="s">
        <v>3006</v>
      </c>
      <c r="V335" s="14" t="s">
        <v>3007</v>
      </c>
      <c r="W335" s="14" t="s">
        <v>1880</v>
      </c>
      <c r="X335" s="14" t="s">
        <v>1880</v>
      </c>
      <c r="Y335" s="14" t="s">
        <v>2054</v>
      </c>
      <c r="Z335" s="14"/>
      <c r="AA335" s="2">
        <f t="shared" ref="AA335:AA398" ca="1" si="50">IF(B335="",3,IF(S335&lt;$A$1,1,0))</f>
        <v>1</v>
      </c>
      <c r="AB335" s="153"/>
      <c r="AC335" s="454" t="str">
        <f t="shared" si="47"/>
        <v>1</v>
      </c>
    </row>
    <row r="336" spans="1:29" ht="58" x14ac:dyDescent="0.35">
      <c r="A336" s="111" t="str">
        <f t="shared" si="44"/>
        <v>Closed</v>
      </c>
      <c r="B336" s="222">
        <v>45448</v>
      </c>
      <c r="C336" s="14">
        <v>2403</v>
      </c>
      <c r="D336" s="14" t="s">
        <v>852</v>
      </c>
      <c r="E336" s="14" t="s">
        <v>27</v>
      </c>
      <c r="F336" s="14" t="s">
        <v>2205</v>
      </c>
      <c r="G336" s="14"/>
      <c r="H336" s="14">
        <v>122</v>
      </c>
      <c r="I336" s="14" t="s">
        <v>5</v>
      </c>
      <c r="J336" s="14">
        <v>615</v>
      </c>
      <c r="K336" s="14"/>
      <c r="L336" s="87" t="s">
        <v>3008</v>
      </c>
      <c r="M336" s="324">
        <f>IF(I336="Staff Accident","Entry Required",IF(I336="Assaults","Entry Required",0))</f>
        <v>0</v>
      </c>
      <c r="N336" s="14" t="s">
        <v>2034</v>
      </c>
      <c r="O336" s="14" t="s">
        <v>1880</v>
      </c>
      <c r="P336" s="167" t="s">
        <v>147</v>
      </c>
      <c r="Q336" s="14" t="s">
        <v>177</v>
      </c>
      <c r="R336" s="170" t="s">
        <v>234</v>
      </c>
      <c r="S336" s="108">
        <f t="shared" si="49"/>
        <v>45476</v>
      </c>
      <c r="T336" s="79">
        <v>45452</v>
      </c>
      <c r="U336" s="14" t="s">
        <v>3009</v>
      </c>
      <c r="V336" s="14" t="s">
        <v>3010</v>
      </c>
      <c r="W336" s="14" t="s">
        <v>1879</v>
      </c>
      <c r="X336" s="14" t="s">
        <v>1880</v>
      </c>
      <c r="Y336" s="14" t="s">
        <v>2726</v>
      </c>
      <c r="Z336" s="14" t="s">
        <v>3011</v>
      </c>
      <c r="AA336" s="2">
        <f t="shared" ca="1" si="50"/>
        <v>1</v>
      </c>
      <c r="AB336" s="153"/>
      <c r="AC336" s="454" t="str">
        <f t="shared" si="47"/>
        <v>1</v>
      </c>
    </row>
    <row r="337" spans="1:29" ht="58" x14ac:dyDescent="0.35">
      <c r="A337" s="111" t="str">
        <f t="shared" si="44"/>
        <v>Closed</v>
      </c>
      <c r="B337" s="222">
        <v>45448</v>
      </c>
      <c r="C337" s="14">
        <v>2403</v>
      </c>
      <c r="D337" s="14" t="s">
        <v>3012</v>
      </c>
      <c r="E337" s="14" t="s">
        <v>27</v>
      </c>
      <c r="F337" s="167" t="s">
        <v>2041</v>
      </c>
      <c r="G337" s="14" t="s">
        <v>1900</v>
      </c>
      <c r="H337" s="14">
        <v>121</v>
      </c>
      <c r="I337" s="14" t="s">
        <v>5</v>
      </c>
      <c r="J337" s="14">
        <v>80750</v>
      </c>
      <c r="K337" s="14"/>
      <c r="L337" s="87" t="s">
        <v>3013</v>
      </c>
      <c r="M337" s="324">
        <f>IF(I337="Staff Accident","Entry Required",IF(I337="Assaults","Entry Required",0))</f>
        <v>0</v>
      </c>
      <c r="N337" s="14" t="s">
        <v>2034</v>
      </c>
      <c r="O337" s="14" t="s">
        <v>1880</v>
      </c>
      <c r="P337" s="167" t="s">
        <v>147</v>
      </c>
      <c r="Q337" s="14" t="s">
        <v>168</v>
      </c>
      <c r="R337" s="170" t="s">
        <v>234</v>
      </c>
      <c r="S337" s="108">
        <f t="shared" si="49"/>
        <v>45476</v>
      </c>
      <c r="T337" s="79">
        <v>45544</v>
      </c>
      <c r="U337" s="14" t="s">
        <v>3014</v>
      </c>
      <c r="V337" s="14" t="s">
        <v>2102</v>
      </c>
      <c r="W337" s="14" t="s">
        <v>1880</v>
      </c>
      <c r="X337" s="14" t="s">
        <v>1883</v>
      </c>
      <c r="Y337" s="2" t="s">
        <v>3015</v>
      </c>
      <c r="Z337" s="14" t="s">
        <v>2694</v>
      </c>
      <c r="AA337" s="2">
        <f t="shared" ca="1" si="50"/>
        <v>1</v>
      </c>
      <c r="AB337" s="153"/>
      <c r="AC337" s="454" t="str">
        <f t="shared" si="47"/>
        <v>1</v>
      </c>
    </row>
    <row r="338" spans="1:29" ht="29" x14ac:dyDescent="0.35">
      <c r="A338" s="111" t="str">
        <f t="shared" si="44"/>
        <v>Closed</v>
      </c>
      <c r="B338" s="222">
        <v>45448</v>
      </c>
      <c r="C338" s="14">
        <v>2403</v>
      </c>
      <c r="D338" s="14" t="s">
        <v>3016</v>
      </c>
      <c r="E338" s="14" t="s">
        <v>85</v>
      </c>
      <c r="F338" s="14"/>
      <c r="G338" s="14"/>
      <c r="H338" s="14">
        <v>123</v>
      </c>
      <c r="I338" s="14" t="s">
        <v>140</v>
      </c>
      <c r="K338" s="14"/>
      <c r="L338" s="87" t="s">
        <v>3017</v>
      </c>
      <c r="M338" s="324">
        <f>IF(I338="Staff Accident","Entry Required",IF(I338="Assaults","Entry Required",0))</f>
        <v>0</v>
      </c>
      <c r="N338" s="14" t="s">
        <v>1879</v>
      </c>
      <c r="O338" s="14" t="s">
        <v>1879</v>
      </c>
      <c r="P338" s="167" t="s">
        <v>143</v>
      </c>
      <c r="Q338" s="14"/>
      <c r="R338" s="170">
        <v>0</v>
      </c>
      <c r="S338" s="108">
        <f t="shared" si="49"/>
        <v>45476</v>
      </c>
      <c r="T338" s="79">
        <v>45448</v>
      </c>
      <c r="U338" s="14"/>
      <c r="V338" s="14"/>
      <c r="W338" s="14"/>
      <c r="X338" s="14"/>
      <c r="Z338" s="14"/>
      <c r="AA338" s="2">
        <f t="shared" ca="1" si="50"/>
        <v>1</v>
      </c>
      <c r="AB338" s="153"/>
      <c r="AC338" s="454" t="str">
        <f t="shared" si="47"/>
        <v>1</v>
      </c>
    </row>
    <row r="339" spans="1:29" ht="43.5" x14ac:dyDescent="0.35">
      <c r="A339" s="89" t="str">
        <f t="shared" si="44"/>
        <v>Closed</v>
      </c>
      <c r="B339" s="222">
        <v>45449</v>
      </c>
      <c r="C339" s="14">
        <v>2403</v>
      </c>
      <c r="D339" s="14" t="s">
        <v>3018</v>
      </c>
      <c r="E339" s="14" t="s">
        <v>40</v>
      </c>
      <c r="F339" s="14" t="s">
        <v>1910</v>
      </c>
      <c r="G339" s="14" t="s">
        <v>1911</v>
      </c>
      <c r="H339" s="14">
        <v>120</v>
      </c>
      <c r="I339" s="14" t="s">
        <v>140</v>
      </c>
      <c r="J339" s="14">
        <v>8508698</v>
      </c>
      <c r="K339" s="14" t="s">
        <v>137</v>
      </c>
      <c r="L339" s="87" t="s">
        <v>3019</v>
      </c>
      <c r="M339" s="324">
        <v>0</v>
      </c>
      <c r="N339" s="14" t="s">
        <v>1879</v>
      </c>
      <c r="O339" s="14" t="s">
        <v>1879</v>
      </c>
      <c r="P339" s="167" t="s">
        <v>143</v>
      </c>
      <c r="Q339" s="14"/>
      <c r="R339" s="223">
        <v>0</v>
      </c>
      <c r="S339" s="224">
        <f t="shared" si="49"/>
        <v>45477</v>
      </c>
      <c r="T339" s="79">
        <v>45902</v>
      </c>
      <c r="U339" s="14"/>
      <c r="V339" s="14"/>
      <c r="W339" s="14"/>
      <c r="X339" s="14"/>
      <c r="Z339" s="14" t="s">
        <v>2593</v>
      </c>
      <c r="AA339" s="2">
        <f t="shared" ca="1" si="50"/>
        <v>1</v>
      </c>
      <c r="AB339" s="153"/>
      <c r="AC339" s="454" t="str">
        <f t="shared" si="47"/>
        <v>1</v>
      </c>
    </row>
    <row r="340" spans="1:29" ht="43.5" x14ac:dyDescent="0.35">
      <c r="A340" s="111" t="str">
        <f t="shared" si="44"/>
        <v>Closed</v>
      </c>
      <c r="B340" s="222">
        <v>45449</v>
      </c>
      <c r="C340" s="14">
        <v>2403</v>
      </c>
      <c r="D340" s="14" t="s">
        <v>3020</v>
      </c>
      <c r="E340" s="14" t="s">
        <v>196</v>
      </c>
      <c r="F340" s="14" t="s">
        <v>3021</v>
      </c>
      <c r="G340" s="14" t="s">
        <v>1900</v>
      </c>
      <c r="H340" s="14"/>
      <c r="I340" s="14" t="s">
        <v>155</v>
      </c>
      <c r="J340" s="14">
        <v>254</v>
      </c>
      <c r="K340" s="14"/>
      <c r="L340" s="87" t="s">
        <v>3022</v>
      </c>
      <c r="M340" s="324">
        <f>IF(I340="Staff Accident","Entry Required",IF(I340="Assaults","Entry Required",0))</f>
        <v>0</v>
      </c>
      <c r="N340" s="14" t="s">
        <v>1879</v>
      </c>
      <c r="O340" s="14" t="s">
        <v>1880</v>
      </c>
      <c r="P340" s="167" t="s">
        <v>147</v>
      </c>
      <c r="Q340" s="14" t="s">
        <v>177</v>
      </c>
      <c r="R340" s="170" t="s">
        <v>234</v>
      </c>
      <c r="S340" s="108">
        <f t="shared" si="49"/>
        <v>45477</v>
      </c>
      <c r="T340" s="79">
        <v>45452</v>
      </c>
      <c r="U340" s="14" t="s">
        <v>3023</v>
      </c>
      <c r="V340" s="14" t="s">
        <v>3024</v>
      </c>
      <c r="W340" s="14" t="s">
        <v>1879</v>
      </c>
      <c r="X340" s="14" t="s">
        <v>1883</v>
      </c>
      <c r="Y340" s="466" t="s">
        <v>2062</v>
      </c>
      <c r="Z340" s="14" t="s">
        <v>3025</v>
      </c>
      <c r="AA340" s="2">
        <f t="shared" ca="1" si="50"/>
        <v>1</v>
      </c>
      <c r="AB340" s="153"/>
      <c r="AC340" s="454" t="str">
        <f t="shared" si="47"/>
        <v/>
      </c>
    </row>
    <row r="341" spans="1:29" ht="58" x14ac:dyDescent="0.35">
      <c r="A341" s="111" t="str">
        <f t="shared" si="44"/>
        <v>Closed</v>
      </c>
      <c r="B341" s="222">
        <v>45449</v>
      </c>
      <c r="C341" s="14">
        <v>2403</v>
      </c>
      <c r="D341" s="14" t="s">
        <v>869</v>
      </c>
      <c r="E341" s="14" t="s">
        <v>42</v>
      </c>
      <c r="F341" s="14" t="s">
        <v>2130</v>
      </c>
      <c r="G341" s="14" t="s">
        <v>1900</v>
      </c>
      <c r="H341" s="14">
        <v>120</v>
      </c>
      <c r="I341" s="14" t="s">
        <v>4</v>
      </c>
      <c r="J341" s="14">
        <v>713</v>
      </c>
      <c r="K341" s="14" t="s">
        <v>137</v>
      </c>
      <c r="L341" s="87" t="s">
        <v>3026</v>
      </c>
      <c r="M341" s="324">
        <v>0</v>
      </c>
      <c r="N341" s="14" t="s">
        <v>1879</v>
      </c>
      <c r="O341" s="14" t="s">
        <v>1880</v>
      </c>
      <c r="P341" s="167" t="s">
        <v>139</v>
      </c>
      <c r="Q341" s="14" t="s">
        <v>138</v>
      </c>
      <c r="R341" s="170" t="s">
        <v>234</v>
      </c>
      <c r="S341" s="108">
        <f t="shared" si="49"/>
        <v>45477</v>
      </c>
      <c r="T341" s="79">
        <v>45455</v>
      </c>
      <c r="U341" s="14" t="s">
        <v>3027</v>
      </c>
      <c r="V341" s="14" t="s">
        <v>2599</v>
      </c>
      <c r="W341" s="14" t="s">
        <v>1879</v>
      </c>
      <c r="X341" s="14" t="s">
        <v>1880</v>
      </c>
      <c r="Y341" s="14" t="s">
        <v>2134</v>
      </c>
      <c r="Z341" s="14" t="s">
        <v>3028</v>
      </c>
      <c r="AA341" s="2">
        <f t="shared" ca="1" si="50"/>
        <v>1</v>
      </c>
      <c r="AB341" s="153"/>
      <c r="AC341" s="454" t="str">
        <f t="shared" si="47"/>
        <v>1</v>
      </c>
    </row>
    <row r="342" spans="1:29" ht="29" x14ac:dyDescent="0.35">
      <c r="A342" s="111" t="str">
        <f t="shared" si="44"/>
        <v>Closed</v>
      </c>
      <c r="B342" s="222">
        <v>45449</v>
      </c>
      <c r="C342" s="14">
        <v>2403</v>
      </c>
      <c r="D342" s="14" t="s">
        <v>3029</v>
      </c>
      <c r="E342" s="14" t="s">
        <v>85</v>
      </c>
      <c r="F342" s="14" t="s">
        <v>2064</v>
      </c>
      <c r="G342" s="14"/>
      <c r="H342" s="14">
        <v>110</v>
      </c>
      <c r="I342" s="14" t="s">
        <v>140</v>
      </c>
      <c r="K342" s="14"/>
      <c r="L342" s="87" t="s">
        <v>3030</v>
      </c>
      <c r="M342" s="324">
        <f t="shared" ref="M342:M359" si="51">IF(I342="Staff Accident","Entry Required",IF(I342="Assaults","Entry Required",0))</f>
        <v>0</v>
      </c>
      <c r="N342" s="14" t="s">
        <v>1879</v>
      </c>
      <c r="O342" s="14" t="s">
        <v>1879</v>
      </c>
      <c r="P342" s="167" t="s">
        <v>143</v>
      </c>
      <c r="Q342" s="14"/>
      <c r="R342" s="170">
        <v>0</v>
      </c>
      <c r="S342" s="108">
        <f t="shared" si="49"/>
        <v>45477</v>
      </c>
      <c r="T342" s="79">
        <v>45449</v>
      </c>
      <c r="U342" s="14"/>
      <c r="V342" s="14"/>
      <c r="W342" s="14"/>
      <c r="X342" s="14"/>
      <c r="Y342" s="15" t="s">
        <v>2068</v>
      </c>
      <c r="Z342" s="14"/>
      <c r="AA342" s="2">
        <f t="shared" ca="1" si="50"/>
        <v>1</v>
      </c>
      <c r="AB342" s="153"/>
      <c r="AC342" s="454" t="str">
        <f t="shared" si="47"/>
        <v>1</v>
      </c>
    </row>
    <row r="343" spans="1:29" ht="58" x14ac:dyDescent="0.35">
      <c r="A343" s="111" t="str">
        <f t="shared" si="44"/>
        <v>Closed</v>
      </c>
      <c r="B343" s="222">
        <v>45450</v>
      </c>
      <c r="C343" s="14">
        <v>2403</v>
      </c>
      <c r="D343" s="14" t="s">
        <v>3031</v>
      </c>
      <c r="E343" s="14" t="s">
        <v>1907</v>
      </c>
      <c r="F343" s="14" t="s">
        <v>1910</v>
      </c>
      <c r="G343" s="14"/>
      <c r="H343" s="14"/>
      <c r="I343" s="14" t="s">
        <v>140</v>
      </c>
      <c r="K343" s="14"/>
      <c r="L343" s="87" t="s">
        <v>3032</v>
      </c>
      <c r="M343" s="324">
        <f t="shared" si="51"/>
        <v>0</v>
      </c>
      <c r="N343" s="14" t="s">
        <v>1879</v>
      </c>
      <c r="O343" s="14" t="s">
        <v>1879</v>
      </c>
      <c r="P343" s="167" t="s">
        <v>143</v>
      </c>
      <c r="Q343" s="14"/>
      <c r="R343" s="170">
        <v>0</v>
      </c>
      <c r="S343" s="108">
        <f t="shared" si="49"/>
        <v>45478</v>
      </c>
      <c r="T343" s="79">
        <v>45450</v>
      </c>
      <c r="U343" s="14"/>
      <c r="V343" s="14"/>
      <c r="W343" s="14"/>
      <c r="X343" s="176"/>
      <c r="Y343" s="15" t="s">
        <v>1915</v>
      </c>
      <c r="Z343" s="87"/>
      <c r="AA343" s="2">
        <f t="shared" ca="1" si="50"/>
        <v>1</v>
      </c>
      <c r="AB343" s="153"/>
      <c r="AC343" s="454" t="str">
        <f t="shared" si="47"/>
        <v/>
      </c>
    </row>
    <row r="344" spans="1:29" ht="29" x14ac:dyDescent="0.35">
      <c r="A344" s="111" t="str">
        <f t="shared" si="44"/>
        <v>Closed</v>
      </c>
      <c r="B344" s="222">
        <v>45450</v>
      </c>
      <c r="C344" s="14">
        <v>2403</v>
      </c>
      <c r="D344" s="14" t="s">
        <v>3033</v>
      </c>
      <c r="E344" s="14" t="s">
        <v>8</v>
      </c>
      <c r="F344" s="14" t="s">
        <v>2262</v>
      </c>
      <c r="G344" s="14" t="s">
        <v>1911</v>
      </c>
      <c r="H344" s="14">
        <v>125</v>
      </c>
      <c r="I344" s="14" t="s">
        <v>140</v>
      </c>
      <c r="J344" s="14">
        <v>169</v>
      </c>
      <c r="K344" s="14"/>
      <c r="L344" s="87" t="s">
        <v>3034</v>
      </c>
      <c r="M344" s="324">
        <f t="shared" si="51"/>
        <v>0</v>
      </c>
      <c r="N344" s="14" t="s">
        <v>1879</v>
      </c>
      <c r="O344" s="14" t="s">
        <v>1879</v>
      </c>
      <c r="P344" s="167" t="s">
        <v>143</v>
      </c>
      <c r="Q344" s="14"/>
      <c r="R344" s="170">
        <v>0</v>
      </c>
      <c r="S344" s="108">
        <f t="shared" si="49"/>
        <v>45478</v>
      </c>
      <c r="T344" s="79">
        <v>45450</v>
      </c>
      <c r="U344" s="14"/>
      <c r="V344" s="14"/>
      <c r="W344" s="14"/>
      <c r="X344" s="14"/>
      <c r="Y344" s="88" t="s">
        <v>2185</v>
      </c>
      <c r="Z344" s="14"/>
      <c r="AA344" s="2">
        <f t="shared" ca="1" si="50"/>
        <v>1</v>
      </c>
      <c r="AB344" s="153"/>
      <c r="AC344" s="454" t="str">
        <f t="shared" si="47"/>
        <v>1</v>
      </c>
    </row>
    <row r="345" spans="1:29" ht="130.5" x14ac:dyDescent="0.45">
      <c r="A345" s="111" t="str">
        <f t="shared" si="44"/>
        <v>Closed</v>
      </c>
      <c r="B345" s="222">
        <v>45450</v>
      </c>
      <c r="C345" s="14">
        <v>2403</v>
      </c>
      <c r="D345" s="14" t="s">
        <v>3035</v>
      </c>
      <c r="E345" s="14" t="s">
        <v>192</v>
      </c>
      <c r="F345" s="14" t="s">
        <v>2338</v>
      </c>
      <c r="G345" s="14" t="s">
        <v>1911</v>
      </c>
      <c r="I345" s="14" t="s">
        <v>140</v>
      </c>
      <c r="J345" s="14">
        <v>81716</v>
      </c>
      <c r="K345" s="14"/>
      <c r="L345" s="14" t="s">
        <v>3036</v>
      </c>
      <c r="M345" s="326">
        <f t="shared" si="51"/>
        <v>0</v>
      </c>
      <c r="N345" s="14" t="s">
        <v>1879</v>
      </c>
      <c r="O345" s="14" t="s">
        <v>1879</v>
      </c>
      <c r="P345" s="167" t="s">
        <v>143</v>
      </c>
      <c r="Q345" s="14"/>
      <c r="R345" s="170">
        <v>0</v>
      </c>
      <c r="S345" s="108">
        <f t="shared" si="49"/>
        <v>45478</v>
      </c>
      <c r="T345" s="79">
        <v>45450</v>
      </c>
      <c r="U345" s="14"/>
      <c r="V345" s="14"/>
      <c r="W345" s="14"/>
      <c r="X345" s="14"/>
      <c r="Y345" s="463" t="s">
        <v>2340</v>
      </c>
      <c r="Z345" s="14"/>
      <c r="AA345" s="2">
        <f t="shared" ca="1" si="50"/>
        <v>1</v>
      </c>
      <c r="AB345" s="153"/>
      <c r="AC345" s="454" t="str">
        <f t="shared" si="47"/>
        <v/>
      </c>
    </row>
    <row r="346" spans="1:29" ht="58" x14ac:dyDescent="0.35">
      <c r="A346" s="111" t="str">
        <f t="shared" si="44"/>
        <v>Closed</v>
      </c>
      <c r="B346" s="222">
        <v>45451</v>
      </c>
      <c r="C346" s="14">
        <v>2403</v>
      </c>
      <c r="D346" s="14" t="s">
        <v>3037</v>
      </c>
      <c r="E346" s="14" t="s">
        <v>1907</v>
      </c>
      <c r="F346" s="14" t="s">
        <v>1968</v>
      </c>
      <c r="G346" s="14"/>
      <c r="H346" s="14"/>
      <c r="I346" s="14" t="s">
        <v>140</v>
      </c>
      <c r="K346" s="14"/>
      <c r="L346" s="87" t="s">
        <v>3038</v>
      </c>
      <c r="M346" s="324">
        <f t="shared" si="51"/>
        <v>0</v>
      </c>
      <c r="N346" s="14" t="s">
        <v>1879</v>
      </c>
      <c r="O346" s="14" t="s">
        <v>1879</v>
      </c>
      <c r="P346" s="167" t="s">
        <v>143</v>
      </c>
      <c r="Q346" s="14"/>
      <c r="R346" s="170">
        <v>0</v>
      </c>
      <c r="S346" s="108">
        <f t="shared" si="49"/>
        <v>45479</v>
      </c>
      <c r="T346" s="79">
        <v>45451</v>
      </c>
      <c r="U346" s="14"/>
      <c r="V346" s="14"/>
      <c r="W346" s="14"/>
      <c r="X346" s="14"/>
      <c r="Y346" s="14" t="s">
        <v>1970</v>
      </c>
      <c r="Z346" s="14"/>
      <c r="AA346" s="2">
        <f t="shared" ca="1" si="50"/>
        <v>1</v>
      </c>
      <c r="AB346" s="153"/>
      <c r="AC346" s="454" t="str">
        <f t="shared" si="47"/>
        <v/>
      </c>
    </row>
    <row r="347" spans="1:29" ht="58" x14ac:dyDescent="0.35">
      <c r="A347" s="111" t="str">
        <f t="shared" si="44"/>
        <v>Closed</v>
      </c>
      <c r="B347" s="222">
        <v>45451</v>
      </c>
      <c r="C347" s="14">
        <v>2403</v>
      </c>
      <c r="D347" s="14" t="s">
        <v>3039</v>
      </c>
      <c r="E347" s="14" t="s">
        <v>31</v>
      </c>
      <c r="F347" s="14" t="s">
        <v>3040</v>
      </c>
      <c r="G347" s="14" t="s">
        <v>1900</v>
      </c>
      <c r="H347" s="14">
        <v>117</v>
      </c>
      <c r="I347" s="176" t="s">
        <v>155</v>
      </c>
      <c r="J347" s="14">
        <v>254</v>
      </c>
      <c r="K347" s="14"/>
      <c r="L347" s="87" t="s">
        <v>3041</v>
      </c>
      <c r="M347" s="324">
        <f t="shared" si="51"/>
        <v>0</v>
      </c>
      <c r="N347" s="14" t="s">
        <v>1879</v>
      </c>
      <c r="O347" s="14" t="s">
        <v>1880</v>
      </c>
      <c r="P347" s="167" t="s">
        <v>147</v>
      </c>
      <c r="Q347" s="14" t="s">
        <v>177</v>
      </c>
      <c r="R347" s="170" t="s">
        <v>234</v>
      </c>
      <c r="S347" s="108">
        <f t="shared" si="49"/>
        <v>45479</v>
      </c>
      <c r="T347" s="79">
        <v>45457</v>
      </c>
      <c r="U347" s="14" t="s">
        <v>3042</v>
      </c>
      <c r="V347" s="14" t="s">
        <v>3043</v>
      </c>
      <c r="W347" s="14" t="s">
        <v>1879</v>
      </c>
      <c r="X347" s="14" t="s">
        <v>154</v>
      </c>
      <c r="Y347" s="85" t="s">
        <v>3044</v>
      </c>
      <c r="Z347" s="14" t="s">
        <v>3045</v>
      </c>
      <c r="AA347" s="2">
        <f t="shared" ca="1" si="50"/>
        <v>1</v>
      </c>
      <c r="AB347" s="153"/>
      <c r="AC347" s="454" t="str">
        <f t="shared" si="47"/>
        <v>1</v>
      </c>
    </row>
    <row r="348" spans="1:29" ht="58" x14ac:dyDescent="0.35">
      <c r="A348" s="89" t="str">
        <f t="shared" si="44"/>
        <v>Closed</v>
      </c>
      <c r="B348" s="222">
        <v>45451</v>
      </c>
      <c r="C348" s="14">
        <v>2403</v>
      </c>
      <c r="D348" s="14" t="s">
        <v>1549</v>
      </c>
      <c r="E348" s="14" t="s">
        <v>61</v>
      </c>
      <c r="F348" s="14" t="s">
        <v>1910</v>
      </c>
      <c r="G348" s="14" t="s">
        <v>1900</v>
      </c>
      <c r="H348" s="14">
        <v>203</v>
      </c>
      <c r="I348" s="14" t="s">
        <v>140</v>
      </c>
      <c r="J348" s="14">
        <v>306</v>
      </c>
      <c r="K348" s="87"/>
      <c r="L348" s="14" t="s">
        <v>3046</v>
      </c>
      <c r="M348" s="324">
        <f t="shared" si="51"/>
        <v>0</v>
      </c>
      <c r="N348" s="14" t="s">
        <v>1879</v>
      </c>
      <c r="O348" s="14" t="s">
        <v>1879</v>
      </c>
      <c r="P348" s="167" t="s">
        <v>143</v>
      </c>
      <c r="Q348" s="14"/>
      <c r="R348" s="223">
        <v>0</v>
      </c>
      <c r="S348" s="224">
        <f t="shared" si="49"/>
        <v>45479</v>
      </c>
      <c r="T348" s="79">
        <v>45451</v>
      </c>
      <c r="U348" s="14"/>
      <c r="V348" s="14"/>
      <c r="W348" s="14"/>
      <c r="X348" s="176"/>
      <c r="Y348" s="15" t="s">
        <v>1915</v>
      </c>
      <c r="Z348" s="87" t="s">
        <v>3047</v>
      </c>
      <c r="AA348" s="2">
        <f t="shared" ca="1" si="50"/>
        <v>1</v>
      </c>
      <c r="AB348" s="153"/>
      <c r="AC348" s="454" t="str">
        <f t="shared" si="47"/>
        <v>2</v>
      </c>
    </row>
    <row r="349" spans="1:29" ht="43.5" x14ac:dyDescent="0.35">
      <c r="A349" s="111" t="str">
        <f t="shared" si="44"/>
        <v>Closed</v>
      </c>
      <c r="B349" s="222">
        <v>45451</v>
      </c>
      <c r="C349" s="14">
        <v>2403</v>
      </c>
      <c r="D349" s="14" t="s">
        <v>3048</v>
      </c>
      <c r="E349" s="14" t="s">
        <v>1907</v>
      </c>
      <c r="F349" s="14" t="s">
        <v>2027</v>
      </c>
      <c r="G349" s="14" t="s">
        <v>1900</v>
      </c>
      <c r="H349" s="30">
        <v>122</v>
      </c>
      <c r="I349" s="176" t="s">
        <v>140</v>
      </c>
      <c r="J349" s="14">
        <v>77027</v>
      </c>
      <c r="K349" s="87"/>
      <c r="L349" s="14" t="s">
        <v>3049</v>
      </c>
      <c r="M349" s="324">
        <f t="shared" si="51"/>
        <v>0</v>
      </c>
      <c r="N349" s="14" t="s">
        <v>1879</v>
      </c>
      <c r="O349" s="14" t="s">
        <v>1879</v>
      </c>
      <c r="P349" s="167" t="s">
        <v>143</v>
      </c>
      <c r="Q349" s="14"/>
      <c r="R349" s="170">
        <v>0</v>
      </c>
      <c r="S349" s="108">
        <f t="shared" si="49"/>
        <v>45479</v>
      </c>
      <c r="T349" s="79">
        <v>45451</v>
      </c>
      <c r="U349" s="14"/>
      <c r="V349" s="14"/>
      <c r="W349" s="14"/>
      <c r="X349" s="14"/>
      <c r="Y349" s="14" t="s">
        <v>2361</v>
      </c>
      <c r="Z349" s="14"/>
      <c r="AA349" s="2">
        <f t="shared" ca="1" si="50"/>
        <v>1</v>
      </c>
      <c r="AB349" s="153"/>
      <c r="AC349" s="454" t="str">
        <f t="shared" si="47"/>
        <v>1</v>
      </c>
    </row>
    <row r="350" spans="1:29" ht="58" x14ac:dyDescent="0.35">
      <c r="A350" s="111" t="str">
        <f t="shared" si="44"/>
        <v>Closed</v>
      </c>
      <c r="B350" s="222">
        <v>45451</v>
      </c>
      <c r="C350" s="14">
        <v>2403</v>
      </c>
      <c r="D350" s="14" t="s">
        <v>3050</v>
      </c>
      <c r="E350" s="14" t="s">
        <v>27</v>
      </c>
      <c r="F350" s="14" t="s">
        <v>2052</v>
      </c>
      <c r="G350" s="14" t="s">
        <v>1911</v>
      </c>
      <c r="H350" s="14">
        <v>111</v>
      </c>
      <c r="I350" s="176" t="s">
        <v>5</v>
      </c>
      <c r="J350" s="14">
        <v>70450</v>
      </c>
      <c r="K350" s="87"/>
      <c r="L350" s="14" t="s">
        <v>3051</v>
      </c>
      <c r="M350" s="324">
        <f t="shared" si="51"/>
        <v>0</v>
      </c>
      <c r="N350" s="14" t="s">
        <v>1879</v>
      </c>
      <c r="O350" s="14" t="s">
        <v>1880</v>
      </c>
      <c r="P350" s="167" t="s">
        <v>147</v>
      </c>
      <c r="Q350" s="14" t="s">
        <v>175</v>
      </c>
      <c r="R350" s="170" t="s">
        <v>234</v>
      </c>
      <c r="S350" s="108">
        <f t="shared" si="49"/>
        <v>45479</v>
      </c>
      <c r="T350" s="79">
        <v>45492</v>
      </c>
      <c r="U350" s="14" t="s">
        <v>2943</v>
      </c>
      <c r="V350" s="14" t="s">
        <v>2943</v>
      </c>
      <c r="W350" s="14" t="s">
        <v>1879</v>
      </c>
      <c r="X350" s="14" t="s">
        <v>1883</v>
      </c>
      <c r="Y350" s="14" t="s">
        <v>2054</v>
      </c>
      <c r="Z350" s="14" t="s">
        <v>1897</v>
      </c>
      <c r="AA350" s="2">
        <f t="shared" ca="1" si="50"/>
        <v>1</v>
      </c>
      <c r="AB350" s="153"/>
      <c r="AC350" s="454" t="str">
        <f t="shared" si="47"/>
        <v>1</v>
      </c>
    </row>
    <row r="351" spans="1:29" ht="43.5" x14ac:dyDescent="0.35">
      <c r="A351" s="89" t="str">
        <f t="shared" si="44"/>
        <v>Closed</v>
      </c>
      <c r="B351" s="222">
        <v>45451</v>
      </c>
      <c r="C351" s="14">
        <v>2403</v>
      </c>
      <c r="D351" s="14" t="s">
        <v>3052</v>
      </c>
      <c r="E351" s="14" t="s">
        <v>31</v>
      </c>
      <c r="F351" s="14" t="s">
        <v>1972</v>
      </c>
      <c r="G351" s="14" t="s">
        <v>1911</v>
      </c>
      <c r="H351" s="14">
        <v>109</v>
      </c>
      <c r="I351" s="14" t="s">
        <v>155</v>
      </c>
      <c r="J351" s="14">
        <v>70150</v>
      </c>
      <c r="K351" s="87"/>
      <c r="L351" s="14" t="s">
        <v>3053</v>
      </c>
      <c r="M351" s="324">
        <f t="shared" si="51"/>
        <v>0</v>
      </c>
      <c r="N351" s="14" t="s">
        <v>1879</v>
      </c>
      <c r="O351" s="14" t="s">
        <v>1879</v>
      </c>
      <c r="P351" s="167" t="s">
        <v>147</v>
      </c>
      <c r="Q351" s="14" t="s">
        <v>174</v>
      </c>
      <c r="R351" s="223" t="s">
        <v>234</v>
      </c>
      <c r="S351" s="224">
        <f t="shared" si="49"/>
        <v>45479</v>
      </c>
      <c r="T351" s="79">
        <v>45527</v>
      </c>
      <c r="U351" s="14" t="s">
        <v>3054</v>
      </c>
      <c r="V351" s="14" t="s">
        <v>3055</v>
      </c>
      <c r="W351" s="14" t="s">
        <v>1879</v>
      </c>
      <c r="X351" s="14" t="s">
        <v>1880</v>
      </c>
      <c r="Z351" s="14" t="s">
        <v>3056</v>
      </c>
      <c r="AA351" s="2">
        <f t="shared" ca="1" si="50"/>
        <v>1</v>
      </c>
      <c r="AB351" s="153"/>
      <c r="AC351" s="454" t="str">
        <f t="shared" si="47"/>
        <v>1</v>
      </c>
    </row>
    <row r="352" spans="1:29" ht="43.5" x14ac:dyDescent="0.35">
      <c r="A352" s="111" t="str">
        <f t="shared" si="44"/>
        <v>Closed</v>
      </c>
      <c r="B352" s="222">
        <v>45451</v>
      </c>
      <c r="C352" s="14">
        <v>2403</v>
      </c>
      <c r="D352" s="14" t="s">
        <v>3057</v>
      </c>
      <c r="E352" s="14" t="s">
        <v>72</v>
      </c>
      <c r="F352" s="14" t="s">
        <v>1972</v>
      </c>
      <c r="G352" s="14" t="s">
        <v>1911</v>
      </c>
      <c r="H352" s="14">
        <v>118</v>
      </c>
      <c r="I352" s="14" t="s">
        <v>155</v>
      </c>
      <c r="K352" s="87"/>
      <c r="L352" s="14" t="s">
        <v>3058</v>
      </c>
      <c r="M352" s="324">
        <f t="shared" si="51"/>
        <v>0</v>
      </c>
      <c r="N352" s="14" t="s">
        <v>1879</v>
      </c>
      <c r="O352" s="14" t="s">
        <v>1879</v>
      </c>
      <c r="P352" s="167" t="s">
        <v>143</v>
      </c>
      <c r="Q352" s="14"/>
      <c r="R352" s="170">
        <v>0</v>
      </c>
      <c r="S352" s="108">
        <f t="shared" si="49"/>
        <v>45479</v>
      </c>
      <c r="T352" s="79">
        <v>45451</v>
      </c>
      <c r="U352" s="14"/>
      <c r="V352" s="14"/>
      <c r="W352" s="14"/>
      <c r="X352" s="14"/>
      <c r="Z352" s="14"/>
      <c r="AA352" s="2">
        <f t="shared" ca="1" si="50"/>
        <v>1</v>
      </c>
      <c r="AB352" s="153"/>
      <c r="AC352" s="454" t="str">
        <f t="shared" ref="AC352:AC382" si="52">LEFT(H352,1)</f>
        <v>1</v>
      </c>
    </row>
    <row r="353" spans="1:29" ht="29" x14ac:dyDescent="0.35">
      <c r="A353" s="111" t="str">
        <f t="shared" si="44"/>
        <v>Closed</v>
      </c>
      <c r="B353" s="222">
        <v>45451</v>
      </c>
      <c r="C353" s="14">
        <v>2403</v>
      </c>
      <c r="D353" s="14" t="s">
        <v>3059</v>
      </c>
      <c r="E353" s="14" t="s">
        <v>51</v>
      </c>
      <c r="F353" s="176" t="s">
        <v>2048</v>
      </c>
      <c r="G353" s="14"/>
      <c r="H353" s="14">
        <v>122</v>
      </c>
      <c r="I353" s="14" t="s">
        <v>140</v>
      </c>
      <c r="K353" s="87"/>
      <c r="L353" s="14" t="s">
        <v>3060</v>
      </c>
      <c r="M353" s="324">
        <f t="shared" si="51"/>
        <v>0</v>
      </c>
      <c r="N353" s="14" t="s">
        <v>1879</v>
      </c>
      <c r="O353" s="14" t="s">
        <v>1879</v>
      </c>
      <c r="P353" s="167" t="s">
        <v>143</v>
      </c>
      <c r="Q353" s="14"/>
      <c r="R353" s="170">
        <v>0</v>
      </c>
      <c r="S353" s="108">
        <f t="shared" si="49"/>
        <v>45479</v>
      </c>
      <c r="T353" s="79">
        <v>45451</v>
      </c>
      <c r="U353" s="14"/>
      <c r="V353" s="14"/>
      <c r="W353" s="14"/>
      <c r="X353" s="14"/>
      <c r="Y353" s="167" t="s">
        <v>2050</v>
      </c>
      <c r="Z353" s="14"/>
      <c r="AA353" s="2">
        <f t="shared" ca="1" si="50"/>
        <v>1</v>
      </c>
      <c r="AB353" s="153"/>
      <c r="AC353" s="454" t="str">
        <f t="shared" si="52"/>
        <v>1</v>
      </c>
    </row>
    <row r="354" spans="1:29" ht="58" x14ac:dyDescent="0.35">
      <c r="A354" s="111" t="str">
        <f t="shared" si="44"/>
        <v>Closed</v>
      </c>
      <c r="B354" s="222">
        <v>45452</v>
      </c>
      <c r="C354" s="14">
        <v>2403</v>
      </c>
      <c r="D354" s="14" t="s">
        <v>3061</v>
      </c>
      <c r="E354" s="14" t="s">
        <v>192</v>
      </c>
      <c r="F354" s="14" t="s">
        <v>2864</v>
      </c>
      <c r="G354" s="14"/>
      <c r="H354" s="14">
        <v>119</v>
      </c>
      <c r="I354" s="14" t="s">
        <v>140</v>
      </c>
      <c r="K354" s="87"/>
      <c r="L354" s="14" t="s">
        <v>3062</v>
      </c>
      <c r="M354" s="324">
        <f t="shared" si="51"/>
        <v>0</v>
      </c>
      <c r="N354" s="14" t="s">
        <v>1879</v>
      </c>
      <c r="O354" s="14" t="s">
        <v>1879</v>
      </c>
      <c r="P354" s="167" t="s">
        <v>143</v>
      </c>
      <c r="Q354" s="14"/>
      <c r="R354" s="170">
        <v>0</v>
      </c>
      <c r="S354" s="108">
        <f t="shared" si="49"/>
        <v>45480</v>
      </c>
      <c r="T354" s="79">
        <v>45452</v>
      </c>
      <c r="U354" s="14"/>
      <c r="V354" s="14"/>
      <c r="W354" s="14"/>
      <c r="X354" s="14"/>
      <c r="Z354" s="14"/>
      <c r="AA354" s="2">
        <f t="shared" ca="1" si="50"/>
        <v>1</v>
      </c>
      <c r="AB354" s="153"/>
      <c r="AC354" s="454" t="str">
        <f t="shared" si="52"/>
        <v>1</v>
      </c>
    </row>
    <row r="355" spans="1:29" ht="43.5" x14ac:dyDescent="0.35">
      <c r="A355" s="89" t="str">
        <f t="shared" si="44"/>
        <v>Closed</v>
      </c>
      <c r="B355" s="222">
        <v>45452</v>
      </c>
      <c r="C355" s="14">
        <v>2403</v>
      </c>
      <c r="D355" s="14" t="s">
        <v>3063</v>
      </c>
      <c r="E355" s="14" t="s">
        <v>192</v>
      </c>
      <c r="F355" s="176" t="s">
        <v>2533</v>
      </c>
      <c r="G355" s="14"/>
      <c r="H355" s="14">
        <v>206</v>
      </c>
      <c r="I355" s="176" t="s">
        <v>155</v>
      </c>
      <c r="K355" s="87"/>
      <c r="L355" s="14" t="s">
        <v>3064</v>
      </c>
      <c r="M355" s="324">
        <f t="shared" si="51"/>
        <v>0</v>
      </c>
      <c r="N355" s="14" t="s">
        <v>1879</v>
      </c>
      <c r="O355" s="14" t="s">
        <v>1880</v>
      </c>
      <c r="P355" s="167" t="s">
        <v>147</v>
      </c>
      <c r="Q355" s="14" t="s">
        <v>135</v>
      </c>
      <c r="R355" s="223" t="s">
        <v>234</v>
      </c>
      <c r="S355" s="224">
        <f t="shared" si="49"/>
        <v>45480</v>
      </c>
      <c r="T355" s="79">
        <v>45537</v>
      </c>
      <c r="U355" s="14"/>
      <c r="V355" s="14"/>
      <c r="W355" s="14"/>
      <c r="X355" s="14"/>
      <c r="Z355" s="14" t="s">
        <v>3065</v>
      </c>
      <c r="AA355" s="2">
        <f t="shared" ca="1" si="50"/>
        <v>1</v>
      </c>
      <c r="AB355" s="153"/>
      <c r="AC355" s="454" t="str">
        <f t="shared" si="52"/>
        <v>2</v>
      </c>
    </row>
    <row r="356" spans="1:29" ht="29" x14ac:dyDescent="0.35">
      <c r="A356" s="111" t="str">
        <f t="shared" si="44"/>
        <v>Closed</v>
      </c>
      <c r="B356" s="222">
        <v>45452</v>
      </c>
      <c r="C356" s="14">
        <v>2403</v>
      </c>
      <c r="D356" s="14" t="s">
        <v>3066</v>
      </c>
      <c r="E356" s="14" t="s">
        <v>8</v>
      </c>
      <c r="F356" s="176" t="s">
        <v>1958</v>
      </c>
      <c r="G356" s="14" t="s">
        <v>1900</v>
      </c>
      <c r="H356" s="14">
        <v>109</v>
      </c>
      <c r="I356" s="176" t="s">
        <v>140</v>
      </c>
      <c r="J356" s="14">
        <v>548</v>
      </c>
      <c r="K356" s="87"/>
      <c r="L356" s="14" t="s">
        <v>3067</v>
      </c>
      <c r="M356" s="324">
        <f t="shared" si="51"/>
        <v>0</v>
      </c>
      <c r="N356" s="14" t="s">
        <v>1879</v>
      </c>
      <c r="O356" s="14" t="s">
        <v>1879</v>
      </c>
      <c r="P356" s="167" t="s">
        <v>143</v>
      </c>
      <c r="Q356" s="14"/>
      <c r="R356" s="170">
        <v>0</v>
      </c>
      <c r="S356" s="108">
        <f t="shared" si="49"/>
        <v>45480</v>
      </c>
      <c r="T356" s="79">
        <v>45452</v>
      </c>
      <c r="U356" s="14"/>
      <c r="V356" s="14"/>
      <c r="W356" s="14"/>
      <c r="X356" s="14"/>
      <c r="Y356" s="14" t="s">
        <v>1960</v>
      </c>
      <c r="Z356" s="14"/>
      <c r="AA356" s="2">
        <f t="shared" ca="1" si="50"/>
        <v>1</v>
      </c>
      <c r="AB356" s="153"/>
      <c r="AC356" s="454" t="str">
        <f t="shared" si="52"/>
        <v>1</v>
      </c>
    </row>
    <row r="357" spans="1:29" ht="43.5" x14ac:dyDescent="0.45">
      <c r="A357" s="111" t="str">
        <f t="shared" si="44"/>
        <v>Closed</v>
      </c>
      <c r="B357" s="222">
        <v>45452</v>
      </c>
      <c r="C357" s="14">
        <v>2403</v>
      </c>
      <c r="D357" s="14" t="s">
        <v>3068</v>
      </c>
      <c r="E357" s="14" t="s">
        <v>192</v>
      </c>
      <c r="F357" s="14" t="s">
        <v>2338</v>
      </c>
      <c r="G357" s="14"/>
      <c r="H357" s="87"/>
      <c r="I357" s="176" t="s">
        <v>140</v>
      </c>
      <c r="K357" s="87"/>
      <c r="L357" s="14" t="s">
        <v>3069</v>
      </c>
      <c r="M357" s="324">
        <f t="shared" si="51"/>
        <v>0</v>
      </c>
      <c r="N357" s="14" t="s">
        <v>1879</v>
      </c>
      <c r="O357" s="14" t="s">
        <v>1879</v>
      </c>
      <c r="P357" s="167" t="s">
        <v>143</v>
      </c>
      <c r="Q357" s="14"/>
      <c r="R357" s="170">
        <v>0</v>
      </c>
      <c r="S357" s="108">
        <f t="shared" si="49"/>
        <v>45480</v>
      </c>
      <c r="T357" s="79">
        <v>45452</v>
      </c>
      <c r="U357" s="14"/>
      <c r="V357" s="14"/>
      <c r="W357" s="14"/>
      <c r="X357" s="14"/>
      <c r="Y357" s="463" t="s">
        <v>2340</v>
      </c>
      <c r="Z357" s="14"/>
      <c r="AA357" s="2">
        <f t="shared" ca="1" si="50"/>
        <v>1</v>
      </c>
      <c r="AB357" s="153"/>
      <c r="AC357" s="454" t="str">
        <f t="shared" si="52"/>
        <v/>
      </c>
    </row>
    <row r="358" spans="1:29" ht="101.5" x14ac:dyDescent="0.35">
      <c r="A358" s="111" t="str">
        <f t="shared" si="44"/>
        <v>Closed</v>
      </c>
      <c r="B358" s="222">
        <v>45452</v>
      </c>
      <c r="C358" s="14">
        <v>2403</v>
      </c>
      <c r="D358" s="14" t="s">
        <v>3070</v>
      </c>
      <c r="E358" s="14" t="s">
        <v>206</v>
      </c>
      <c r="F358" s="167" t="s">
        <v>2432</v>
      </c>
      <c r="G358" s="14"/>
      <c r="H358" s="87">
        <v>108</v>
      </c>
      <c r="I358" s="176" t="s">
        <v>140</v>
      </c>
      <c r="J358" s="14">
        <v>254</v>
      </c>
      <c r="K358" s="87"/>
      <c r="L358" s="14" t="s">
        <v>3071</v>
      </c>
      <c r="M358" s="324">
        <f t="shared" si="51"/>
        <v>0</v>
      </c>
      <c r="N358" s="14" t="s">
        <v>1879</v>
      </c>
      <c r="O358" s="14" t="s">
        <v>1879</v>
      </c>
      <c r="P358" s="167" t="s">
        <v>143</v>
      </c>
      <c r="Q358" s="14"/>
      <c r="R358" s="170">
        <v>0</v>
      </c>
      <c r="S358" s="108">
        <f t="shared" si="49"/>
        <v>45480</v>
      </c>
      <c r="T358" s="79">
        <v>45452</v>
      </c>
      <c r="U358" s="14"/>
      <c r="V358" s="14"/>
      <c r="W358" s="14"/>
      <c r="X358" s="14"/>
      <c r="Y358" s="2" t="s">
        <v>2436</v>
      </c>
      <c r="Z358" s="14"/>
      <c r="AA358" s="2">
        <f t="shared" ca="1" si="50"/>
        <v>1</v>
      </c>
      <c r="AB358" s="153"/>
      <c r="AC358" s="454" t="str">
        <f t="shared" si="52"/>
        <v>1</v>
      </c>
    </row>
    <row r="359" spans="1:29" ht="43.5" x14ac:dyDescent="0.35">
      <c r="A359" s="111" t="str">
        <f t="shared" si="44"/>
        <v>Closed</v>
      </c>
      <c r="B359" s="222">
        <v>45452</v>
      </c>
      <c r="C359" s="14">
        <v>2403</v>
      </c>
      <c r="D359" s="14" t="s">
        <v>3072</v>
      </c>
      <c r="E359" s="14" t="s">
        <v>8</v>
      </c>
      <c r="F359" s="14" t="s">
        <v>2099</v>
      </c>
      <c r="G359" s="14"/>
      <c r="H359" s="87">
        <v>108</v>
      </c>
      <c r="I359" s="176" t="s">
        <v>140</v>
      </c>
      <c r="J359" s="14">
        <v>254</v>
      </c>
      <c r="K359" s="87"/>
      <c r="L359" s="14" t="s">
        <v>3073</v>
      </c>
      <c r="M359" s="324">
        <f t="shared" si="51"/>
        <v>0</v>
      </c>
      <c r="N359" s="14" t="s">
        <v>1879</v>
      </c>
      <c r="O359" s="14" t="s">
        <v>1879</v>
      </c>
      <c r="P359" s="167" t="s">
        <v>143</v>
      </c>
      <c r="Q359" s="14"/>
      <c r="R359" s="170">
        <v>0</v>
      </c>
      <c r="S359" s="108">
        <f t="shared" si="49"/>
        <v>45480</v>
      </c>
      <c r="T359" s="79">
        <v>45452</v>
      </c>
      <c r="U359" s="14"/>
      <c r="V359" s="14"/>
      <c r="W359" s="14"/>
      <c r="X359" s="14"/>
      <c r="Y359" s="14" t="s">
        <v>2103</v>
      </c>
      <c r="Z359" s="14"/>
      <c r="AA359" s="2">
        <f t="shared" ca="1" si="50"/>
        <v>1</v>
      </c>
      <c r="AB359" s="153"/>
      <c r="AC359" s="454" t="str">
        <f t="shared" si="52"/>
        <v>1</v>
      </c>
    </row>
    <row r="360" spans="1:29" ht="101.5" x14ac:dyDescent="0.35">
      <c r="A360" s="111" t="str">
        <f t="shared" ref="A360:A422" si="53">IF(T360&gt;1,"Closed",IF(AA360=1,"Overdue",IF(AA360=3,"","Open")))</f>
        <v>Closed</v>
      </c>
      <c r="B360" s="222">
        <v>45453</v>
      </c>
      <c r="C360" s="14">
        <v>2403</v>
      </c>
      <c r="D360" s="14" t="s">
        <v>3074</v>
      </c>
      <c r="E360" s="14" t="s">
        <v>40</v>
      </c>
      <c r="F360" s="176" t="s">
        <v>1910</v>
      </c>
      <c r="G360" s="14" t="s">
        <v>1911</v>
      </c>
      <c r="H360" s="87"/>
      <c r="I360" s="176" t="s">
        <v>4</v>
      </c>
      <c r="J360" s="14">
        <v>8513586</v>
      </c>
      <c r="K360" s="14" t="s">
        <v>137</v>
      </c>
      <c r="L360" s="14" t="s">
        <v>3075</v>
      </c>
      <c r="M360" s="324">
        <v>0</v>
      </c>
      <c r="N360" s="14" t="s">
        <v>1879</v>
      </c>
      <c r="O360" s="14" t="s">
        <v>1880</v>
      </c>
      <c r="P360" s="167" t="s">
        <v>139</v>
      </c>
      <c r="Q360" s="14" t="s">
        <v>157</v>
      </c>
      <c r="R360" s="170" t="s">
        <v>234</v>
      </c>
      <c r="S360" s="108">
        <f t="shared" si="49"/>
        <v>45481</v>
      </c>
      <c r="T360" s="79">
        <v>45544</v>
      </c>
      <c r="U360" s="14" t="s">
        <v>2451</v>
      </c>
      <c r="V360" s="14" t="s">
        <v>3076</v>
      </c>
      <c r="W360" s="14" t="s">
        <v>1879</v>
      </c>
      <c r="X360" s="176" t="s">
        <v>1883</v>
      </c>
      <c r="Y360" s="15" t="s">
        <v>1915</v>
      </c>
      <c r="Z360" s="87" t="s">
        <v>3077</v>
      </c>
      <c r="AA360" s="2">
        <f t="shared" ca="1" si="50"/>
        <v>1</v>
      </c>
      <c r="AB360" s="153"/>
      <c r="AC360" s="454" t="str">
        <f t="shared" si="52"/>
        <v/>
      </c>
    </row>
    <row r="361" spans="1:29" ht="58" x14ac:dyDescent="0.35">
      <c r="A361" s="111" t="str">
        <f t="shared" si="53"/>
        <v>Closed</v>
      </c>
      <c r="B361" s="222">
        <v>45456</v>
      </c>
      <c r="C361" s="14">
        <v>2403</v>
      </c>
      <c r="D361" s="14" t="s">
        <v>3078</v>
      </c>
      <c r="E361" s="14" t="s">
        <v>31</v>
      </c>
      <c r="F361" s="14" t="s">
        <v>2962</v>
      </c>
      <c r="G361" s="14" t="s">
        <v>1911</v>
      </c>
      <c r="H361" s="14">
        <v>111</v>
      </c>
      <c r="I361" s="176" t="s">
        <v>140</v>
      </c>
      <c r="J361" s="14">
        <v>567</v>
      </c>
      <c r="K361" s="87"/>
      <c r="L361" s="14" t="s">
        <v>3079</v>
      </c>
      <c r="M361" s="324">
        <f t="shared" ref="M361:M368" si="54">IF(I361="Staff Accident","Entry Required",IF(I361="Assaults","Entry Required",0))</f>
        <v>0</v>
      </c>
      <c r="N361" s="14" t="s">
        <v>1879</v>
      </c>
      <c r="O361" s="14" t="s">
        <v>1879</v>
      </c>
      <c r="P361" s="167" t="s">
        <v>143</v>
      </c>
      <c r="Q361" s="14"/>
      <c r="R361" s="170">
        <v>0</v>
      </c>
      <c r="S361" s="108">
        <f t="shared" si="49"/>
        <v>45484</v>
      </c>
      <c r="T361" s="79">
        <v>45456</v>
      </c>
      <c r="U361" s="14"/>
      <c r="V361" s="14"/>
      <c r="W361" s="14"/>
      <c r="X361" s="14"/>
      <c r="Y361" s="167" t="s">
        <v>2964</v>
      </c>
      <c r="Z361" s="14"/>
      <c r="AA361" s="2">
        <f t="shared" ca="1" si="50"/>
        <v>1</v>
      </c>
      <c r="AB361" s="153"/>
      <c r="AC361" s="454" t="str">
        <f t="shared" si="52"/>
        <v>1</v>
      </c>
    </row>
    <row r="362" spans="1:29" ht="101.5" x14ac:dyDescent="0.35">
      <c r="A362" s="111" t="str">
        <f t="shared" si="53"/>
        <v>Closed</v>
      </c>
      <c r="B362" s="222">
        <v>45456</v>
      </c>
      <c r="C362" s="14">
        <v>2403</v>
      </c>
      <c r="D362" s="14" t="s">
        <v>3080</v>
      </c>
      <c r="E362" s="14" t="s">
        <v>8</v>
      </c>
      <c r="F362" s="14" t="s">
        <v>3081</v>
      </c>
      <c r="G362" s="14" t="s">
        <v>1911</v>
      </c>
      <c r="H362" s="14">
        <v>201</v>
      </c>
      <c r="I362" s="176" t="s">
        <v>140</v>
      </c>
      <c r="J362" s="14">
        <v>85223</v>
      </c>
      <c r="K362" s="87"/>
      <c r="L362" s="14" t="s">
        <v>3082</v>
      </c>
      <c r="M362" s="324">
        <f t="shared" si="54"/>
        <v>0</v>
      </c>
      <c r="N362" s="14" t="s">
        <v>1879</v>
      </c>
      <c r="O362" s="14" t="s">
        <v>1879</v>
      </c>
      <c r="P362" s="167" t="s">
        <v>143</v>
      </c>
      <c r="Q362" s="14"/>
      <c r="R362" s="170">
        <v>0</v>
      </c>
      <c r="S362" s="108">
        <f t="shared" si="49"/>
        <v>45484</v>
      </c>
      <c r="T362" s="79">
        <v>45456</v>
      </c>
      <c r="U362" s="14"/>
      <c r="V362" s="14"/>
      <c r="W362" s="14"/>
      <c r="X362" s="14"/>
      <c r="Y362" s="88" t="s">
        <v>2185</v>
      </c>
      <c r="Z362" s="14"/>
      <c r="AA362" s="2">
        <f t="shared" ca="1" si="50"/>
        <v>1</v>
      </c>
      <c r="AB362" s="153"/>
      <c r="AC362" s="454" t="str">
        <f t="shared" si="52"/>
        <v>2</v>
      </c>
    </row>
    <row r="363" spans="1:29" ht="43.5" x14ac:dyDescent="0.35">
      <c r="A363" s="111" t="str">
        <f t="shared" si="53"/>
        <v>Closed</v>
      </c>
      <c r="B363" s="222">
        <v>45457</v>
      </c>
      <c r="C363" s="14">
        <v>2403</v>
      </c>
      <c r="D363" s="14" t="s">
        <v>3083</v>
      </c>
      <c r="E363" s="14" t="s">
        <v>85</v>
      </c>
      <c r="F363" s="14" t="s">
        <v>2064</v>
      </c>
      <c r="G363" s="14" t="s">
        <v>1911</v>
      </c>
      <c r="H363" s="14">
        <v>107</v>
      </c>
      <c r="I363" s="176" t="s">
        <v>140</v>
      </c>
      <c r="K363" s="87"/>
      <c r="L363" s="14" t="s">
        <v>3084</v>
      </c>
      <c r="M363" s="324">
        <f t="shared" si="54"/>
        <v>0</v>
      </c>
      <c r="N363" s="14" t="s">
        <v>1879</v>
      </c>
      <c r="O363" s="14" t="s">
        <v>1879</v>
      </c>
      <c r="P363" s="167" t="s">
        <v>143</v>
      </c>
      <c r="Q363" s="14"/>
      <c r="R363" s="170">
        <v>0</v>
      </c>
      <c r="S363" s="108">
        <f t="shared" si="49"/>
        <v>45485</v>
      </c>
      <c r="T363" s="79">
        <v>45457</v>
      </c>
      <c r="U363" s="14"/>
      <c r="V363" s="14"/>
      <c r="W363" s="14"/>
      <c r="X363" s="14"/>
      <c r="Y363" s="15" t="s">
        <v>2068</v>
      </c>
      <c r="Z363" s="14"/>
      <c r="AA363" s="2">
        <f t="shared" ca="1" si="50"/>
        <v>1</v>
      </c>
      <c r="AB363" s="153"/>
      <c r="AC363" s="454" t="str">
        <f t="shared" si="52"/>
        <v>1</v>
      </c>
    </row>
    <row r="364" spans="1:29" ht="29" x14ac:dyDescent="0.35">
      <c r="A364" s="111" t="str">
        <f t="shared" si="53"/>
        <v>Closed</v>
      </c>
      <c r="B364" s="222">
        <v>45457</v>
      </c>
      <c r="C364" s="14">
        <v>2403</v>
      </c>
      <c r="D364" s="14" t="s">
        <v>3085</v>
      </c>
      <c r="E364" s="14" t="s">
        <v>8</v>
      </c>
      <c r="F364" s="167" t="s">
        <v>3086</v>
      </c>
      <c r="G364" s="14"/>
      <c r="H364" s="14"/>
      <c r="I364" s="176" t="s">
        <v>140</v>
      </c>
      <c r="J364" s="14">
        <v>147</v>
      </c>
      <c r="K364" s="87"/>
      <c r="L364" s="14" t="s">
        <v>3087</v>
      </c>
      <c r="M364" s="324">
        <f t="shared" si="54"/>
        <v>0</v>
      </c>
      <c r="N364" s="14" t="s">
        <v>1879</v>
      </c>
      <c r="O364" s="14" t="s">
        <v>1879</v>
      </c>
      <c r="P364" s="167" t="s">
        <v>143</v>
      </c>
      <c r="Q364" s="14"/>
      <c r="R364" s="170">
        <v>0</v>
      </c>
      <c r="S364" s="108">
        <f t="shared" si="49"/>
        <v>45485</v>
      </c>
      <c r="T364" s="79">
        <v>45457</v>
      </c>
      <c r="U364" s="14"/>
      <c r="V364" s="14"/>
      <c r="W364" s="14"/>
      <c r="X364" s="14"/>
      <c r="Y364" s="167" t="s">
        <v>3088</v>
      </c>
      <c r="Z364" s="14"/>
      <c r="AA364" s="2">
        <f t="shared" ca="1" si="50"/>
        <v>1</v>
      </c>
      <c r="AB364" s="153"/>
      <c r="AC364" s="454" t="str">
        <f t="shared" si="52"/>
        <v/>
      </c>
    </row>
    <row r="365" spans="1:29" ht="43.5" x14ac:dyDescent="0.35">
      <c r="A365" s="111" t="str">
        <f t="shared" si="53"/>
        <v>Closed</v>
      </c>
      <c r="B365" s="222">
        <v>45457</v>
      </c>
      <c r="C365" s="14">
        <v>2403</v>
      </c>
      <c r="D365" s="14" t="s">
        <v>3089</v>
      </c>
      <c r="E365" s="14" t="s">
        <v>37</v>
      </c>
      <c r="F365" s="167" t="s">
        <v>1947</v>
      </c>
      <c r="G365" s="14" t="s">
        <v>1911</v>
      </c>
      <c r="H365" s="14">
        <v>119</v>
      </c>
      <c r="I365" s="176" t="s">
        <v>5</v>
      </c>
      <c r="J365" s="14">
        <v>443</v>
      </c>
      <c r="K365" s="87"/>
      <c r="L365" s="14" t="s">
        <v>3090</v>
      </c>
      <c r="M365" s="324">
        <f t="shared" si="54"/>
        <v>0</v>
      </c>
      <c r="N365" s="14" t="s">
        <v>1879</v>
      </c>
      <c r="O365" s="14" t="s">
        <v>1879</v>
      </c>
      <c r="P365" s="167" t="s">
        <v>147</v>
      </c>
      <c r="Q365" s="14" t="s">
        <v>177</v>
      </c>
      <c r="R365" s="170" t="s">
        <v>234</v>
      </c>
      <c r="S365" s="108">
        <f t="shared" si="49"/>
        <v>45485</v>
      </c>
      <c r="T365" s="79">
        <v>45462</v>
      </c>
      <c r="U365" s="14" t="s">
        <v>3091</v>
      </c>
      <c r="V365" s="14" t="s">
        <v>3092</v>
      </c>
      <c r="W365" s="14" t="s">
        <v>1879</v>
      </c>
      <c r="X365" s="14" t="s">
        <v>1883</v>
      </c>
      <c r="Y365" s="167" t="s">
        <v>1951</v>
      </c>
      <c r="Z365" s="14" t="s">
        <v>3093</v>
      </c>
      <c r="AA365" s="2">
        <f t="shared" ca="1" si="50"/>
        <v>1</v>
      </c>
      <c r="AB365" s="153"/>
      <c r="AC365" s="454" t="str">
        <f t="shared" si="52"/>
        <v>1</v>
      </c>
    </row>
    <row r="366" spans="1:29" ht="72.5" x14ac:dyDescent="0.35">
      <c r="A366" s="111" t="str">
        <f t="shared" si="53"/>
        <v>Closed</v>
      </c>
      <c r="B366" s="222">
        <v>45457</v>
      </c>
      <c r="C366" s="14">
        <v>2403</v>
      </c>
      <c r="D366" s="14" t="s">
        <v>3094</v>
      </c>
      <c r="E366" s="14" t="s">
        <v>192</v>
      </c>
      <c r="F366" s="14" t="s">
        <v>2864</v>
      </c>
      <c r="G366" s="14"/>
      <c r="H366" s="14"/>
      <c r="I366" s="176" t="s">
        <v>140</v>
      </c>
      <c r="J366" s="14">
        <v>893</v>
      </c>
      <c r="K366" s="87"/>
      <c r="L366" s="14" t="s">
        <v>3095</v>
      </c>
      <c r="M366" s="324">
        <f t="shared" si="54"/>
        <v>0</v>
      </c>
      <c r="N366" s="14" t="s">
        <v>1879</v>
      </c>
      <c r="O366" s="14" t="s">
        <v>1879</v>
      </c>
      <c r="P366" s="167" t="s">
        <v>143</v>
      </c>
      <c r="Q366" s="14"/>
      <c r="R366" s="170">
        <v>0</v>
      </c>
      <c r="S366" s="108">
        <f t="shared" si="49"/>
        <v>45485</v>
      </c>
      <c r="T366" s="79">
        <v>45457</v>
      </c>
      <c r="U366" s="14"/>
      <c r="V366" s="14"/>
      <c r="W366" s="14"/>
      <c r="X366" s="14"/>
      <c r="Y366" s="14" t="s">
        <v>2868</v>
      </c>
      <c r="Z366" s="14"/>
      <c r="AA366" s="2">
        <f t="shared" ca="1" si="50"/>
        <v>1</v>
      </c>
      <c r="AB366" s="153"/>
      <c r="AC366" s="454" t="str">
        <f t="shared" si="52"/>
        <v/>
      </c>
    </row>
    <row r="367" spans="1:29" ht="43.5" x14ac:dyDescent="0.35">
      <c r="A367" s="111" t="str">
        <f t="shared" si="53"/>
        <v>Closed</v>
      </c>
      <c r="B367" s="222">
        <v>45458</v>
      </c>
      <c r="C367" s="14">
        <v>2403</v>
      </c>
      <c r="D367" s="14" t="s">
        <v>3096</v>
      </c>
      <c r="E367" s="14" t="s">
        <v>37</v>
      </c>
      <c r="F367" s="30" t="s">
        <v>1910</v>
      </c>
      <c r="G367" s="14"/>
      <c r="H367" s="14">
        <v>109</v>
      </c>
      <c r="I367" s="176" t="s">
        <v>5</v>
      </c>
      <c r="J367" s="14">
        <v>600</v>
      </c>
      <c r="K367" s="87"/>
      <c r="L367" s="14" t="s">
        <v>3097</v>
      </c>
      <c r="M367" s="324">
        <f t="shared" si="54"/>
        <v>0</v>
      </c>
      <c r="N367" s="14" t="s">
        <v>1879</v>
      </c>
      <c r="O367" s="14" t="s">
        <v>1880</v>
      </c>
      <c r="P367" s="167" t="s">
        <v>147</v>
      </c>
      <c r="Q367" s="14" t="s">
        <v>174</v>
      </c>
      <c r="R367" s="170" t="s">
        <v>234</v>
      </c>
      <c r="S367" s="108">
        <f t="shared" si="49"/>
        <v>45486</v>
      </c>
      <c r="T367" s="79">
        <v>45547</v>
      </c>
      <c r="U367" s="14" t="s">
        <v>3098</v>
      </c>
      <c r="V367" s="14" t="s">
        <v>3099</v>
      </c>
      <c r="W367" s="14" t="s">
        <v>1879</v>
      </c>
      <c r="X367" s="14" t="s">
        <v>1883</v>
      </c>
      <c r="Z367" s="14" t="s">
        <v>2415</v>
      </c>
      <c r="AA367" s="2">
        <f t="shared" ca="1" si="50"/>
        <v>1</v>
      </c>
      <c r="AB367" s="153"/>
      <c r="AC367" s="454" t="str">
        <f t="shared" si="52"/>
        <v>1</v>
      </c>
    </row>
    <row r="368" spans="1:29" ht="43.5" x14ac:dyDescent="0.35">
      <c r="A368" s="111" t="str">
        <f t="shared" si="53"/>
        <v>Closed</v>
      </c>
      <c r="B368" s="222">
        <v>45459</v>
      </c>
      <c r="C368" s="14">
        <v>2403</v>
      </c>
      <c r="D368" s="14" t="s">
        <v>3100</v>
      </c>
      <c r="E368" s="14" t="s">
        <v>192</v>
      </c>
      <c r="F368" s="14" t="s">
        <v>2119</v>
      </c>
      <c r="G368" s="14" t="s">
        <v>1911</v>
      </c>
      <c r="H368" s="14"/>
      <c r="I368" s="176" t="s">
        <v>140</v>
      </c>
      <c r="K368" s="87"/>
      <c r="L368" s="14" t="s">
        <v>3101</v>
      </c>
      <c r="M368" s="324">
        <f t="shared" si="54"/>
        <v>0</v>
      </c>
      <c r="N368" s="14" t="s">
        <v>1879</v>
      </c>
      <c r="O368" s="14" t="s">
        <v>1879</v>
      </c>
      <c r="P368" s="167" t="s">
        <v>143</v>
      </c>
      <c r="Q368" s="14"/>
      <c r="R368" s="170">
        <v>0</v>
      </c>
      <c r="S368" s="108">
        <f t="shared" si="49"/>
        <v>45487</v>
      </c>
      <c r="T368" s="79">
        <v>45459</v>
      </c>
      <c r="U368" s="14"/>
      <c r="V368" s="14"/>
      <c r="W368" s="14"/>
      <c r="X368" s="14"/>
      <c r="Y368" s="14" t="s">
        <v>2093</v>
      </c>
      <c r="Z368" s="14"/>
      <c r="AA368" s="2">
        <f t="shared" ca="1" si="50"/>
        <v>1</v>
      </c>
      <c r="AB368" s="153"/>
      <c r="AC368" s="454" t="str">
        <f t="shared" si="52"/>
        <v/>
      </c>
    </row>
    <row r="369" spans="1:29" ht="116" x14ac:dyDescent="0.35">
      <c r="A369" s="111" t="str">
        <f t="shared" si="53"/>
        <v>Closed</v>
      </c>
      <c r="B369" s="222">
        <v>45460</v>
      </c>
      <c r="C369" s="14">
        <v>2403</v>
      </c>
      <c r="D369" s="14" t="s">
        <v>3102</v>
      </c>
      <c r="E369" s="14" t="s">
        <v>42</v>
      </c>
      <c r="F369" s="14" t="s">
        <v>1980</v>
      </c>
      <c r="G369" s="14" t="s">
        <v>1900</v>
      </c>
      <c r="H369" s="14">
        <v>108</v>
      </c>
      <c r="I369" s="176" t="s">
        <v>4</v>
      </c>
      <c r="J369" s="14">
        <v>8506977</v>
      </c>
      <c r="K369" s="14" t="s">
        <v>137</v>
      </c>
      <c r="L369" s="14" t="s">
        <v>3103</v>
      </c>
      <c r="M369" s="324">
        <v>0</v>
      </c>
      <c r="N369" s="14" t="s">
        <v>1879</v>
      </c>
      <c r="O369" s="14" t="s">
        <v>1880</v>
      </c>
      <c r="P369" s="167" t="s">
        <v>139</v>
      </c>
      <c r="Q369" s="14" t="s">
        <v>157</v>
      </c>
      <c r="R369" s="170" t="s">
        <v>234</v>
      </c>
      <c r="S369" s="108">
        <f t="shared" si="49"/>
        <v>45488</v>
      </c>
      <c r="T369" s="79">
        <v>45544</v>
      </c>
      <c r="U369" s="14" t="s">
        <v>3104</v>
      </c>
      <c r="V369" s="14" t="s">
        <v>3105</v>
      </c>
      <c r="W369" s="14" t="s">
        <v>1879</v>
      </c>
      <c r="X369" s="14" t="s">
        <v>154</v>
      </c>
      <c r="Y369" s="15" t="s">
        <v>1982</v>
      </c>
      <c r="Z369" s="14" t="s">
        <v>3106</v>
      </c>
      <c r="AA369" s="2">
        <f t="shared" ca="1" si="50"/>
        <v>1</v>
      </c>
      <c r="AB369" s="153"/>
      <c r="AC369" s="454" t="str">
        <f t="shared" si="52"/>
        <v>1</v>
      </c>
    </row>
    <row r="370" spans="1:29" ht="58" x14ac:dyDescent="0.35">
      <c r="A370" s="89" t="str">
        <f t="shared" si="53"/>
        <v>Closed</v>
      </c>
      <c r="B370" s="222">
        <v>45461</v>
      </c>
      <c r="C370" s="14">
        <v>2403</v>
      </c>
      <c r="D370" s="14" t="s">
        <v>3107</v>
      </c>
      <c r="E370" s="14" t="s">
        <v>27</v>
      </c>
      <c r="F370" s="14" t="s">
        <v>2010</v>
      </c>
      <c r="G370" s="14" t="s">
        <v>1900</v>
      </c>
      <c r="H370" s="14">
        <v>106</v>
      </c>
      <c r="I370" s="176" t="s">
        <v>140</v>
      </c>
      <c r="J370" s="14">
        <v>615</v>
      </c>
      <c r="K370" s="87"/>
      <c r="L370" s="14" t="s">
        <v>3108</v>
      </c>
      <c r="M370" s="324">
        <f t="shared" ref="M370:M389" si="55">IF(I370="Staff Accident","Entry Required",IF(I370="Assaults","Entry Required",0))</f>
        <v>0</v>
      </c>
      <c r="N370" s="14" t="s">
        <v>1879</v>
      </c>
      <c r="O370" s="14" t="s">
        <v>1879</v>
      </c>
      <c r="P370" s="167" t="s">
        <v>143</v>
      </c>
      <c r="Q370" s="14"/>
      <c r="R370" s="223">
        <v>0</v>
      </c>
      <c r="S370" s="224">
        <f t="shared" si="49"/>
        <v>45489</v>
      </c>
      <c r="T370" s="79">
        <v>45461</v>
      </c>
      <c r="U370" s="14"/>
      <c r="V370" s="14"/>
      <c r="W370" s="14"/>
      <c r="X370" s="14"/>
      <c r="Y370" s="51" t="s">
        <v>2012</v>
      </c>
      <c r="Z370" s="14"/>
      <c r="AA370" s="2">
        <f t="shared" ca="1" si="50"/>
        <v>1</v>
      </c>
      <c r="AB370" s="153"/>
      <c r="AC370" s="454" t="str">
        <f t="shared" si="52"/>
        <v>1</v>
      </c>
    </row>
    <row r="371" spans="1:29" ht="43.5" x14ac:dyDescent="0.35">
      <c r="A371" s="111" t="str">
        <f t="shared" si="53"/>
        <v>Closed</v>
      </c>
      <c r="B371" s="222">
        <v>45461</v>
      </c>
      <c r="C371" s="14">
        <v>2403</v>
      </c>
      <c r="D371" s="14" t="s">
        <v>3109</v>
      </c>
      <c r="E371" s="14" t="s">
        <v>27</v>
      </c>
      <c r="F371" s="14" t="s">
        <v>1910</v>
      </c>
      <c r="G371" s="14"/>
      <c r="H371" s="14">
        <v>205</v>
      </c>
      <c r="I371" s="176" t="s">
        <v>5</v>
      </c>
      <c r="J371" s="14">
        <v>78671</v>
      </c>
      <c r="K371" s="87"/>
      <c r="L371" s="14" t="s">
        <v>3110</v>
      </c>
      <c r="M371" s="324">
        <f t="shared" si="55"/>
        <v>0</v>
      </c>
      <c r="N371" s="14" t="s">
        <v>1879</v>
      </c>
      <c r="O371" s="14" t="s">
        <v>2034</v>
      </c>
      <c r="P371" s="167" t="s">
        <v>147</v>
      </c>
      <c r="Q371" s="14" t="s">
        <v>168</v>
      </c>
      <c r="R371" s="170" t="s">
        <v>234</v>
      </c>
      <c r="S371" s="108">
        <f t="shared" si="49"/>
        <v>45489</v>
      </c>
      <c r="T371" s="79">
        <v>45515</v>
      </c>
      <c r="U371" s="14" t="s">
        <v>3111</v>
      </c>
      <c r="V371" s="14" t="s">
        <v>3112</v>
      </c>
      <c r="W371" s="14" t="s">
        <v>1879</v>
      </c>
      <c r="X371" s="176" t="s">
        <v>154</v>
      </c>
      <c r="Y371" s="15" t="s">
        <v>1915</v>
      </c>
      <c r="Z371" s="87" t="s">
        <v>3113</v>
      </c>
      <c r="AA371" s="2">
        <f t="shared" ca="1" si="50"/>
        <v>1</v>
      </c>
      <c r="AB371" s="153"/>
      <c r="AC371" s="454" t="str">
        <f t="shared" si="52"/>
        <v>2</v>
      </c>
    </row>
    <row r="372" spans="1:29" ht="43.5" x14ac:dyDescent="0.35">
      <c r="A372" s="111" t="str">
        <f t="shared" si="53"/>
        <v>Closed</v>
      </c>
      <c r="B372" s="222">
        <v>45463</v>
      </c>
      <c r="C372" s="14">
        <v>2403</v>
      </c>
      <c r="D372" s="14" t="s">
        <v>3114</v>
      </c>
      <c r="E372" s="14" t="s">
        <v>1907</v>
      </c>
      <c r="F372" s="14" t="s">
        <v>2205</v>
      </c>
      <c r="G372" s="14" t="s">
        <v>1911</v>
      </c>
      <c r="H372" s="14">
        <v>102</v>
      </c>
      <c r="I372" s="176" t="s">
        <v>140</v>
      </c>
      <c r="J372" s="14">
        <v>8506434</v>
      </c>
      <c r="K372" s="87"/>
      <c r="L372" s="14" t="s">
        <v>3115</v>
      </c>
      <c r="M372" s="324">
        <f t="shared" si="55"/>
        <v>0</v>
      </c>
      <c r="N372" s="14" t="s">
        <v>1879</v>
      </c>
      <c r="O372" s="14" t="s">
        <v>2034</v>
      </c>
      <c r="P372" s="167" t="s">
        <v>143</v>
      </c>
      <c r="Q372" s="14"/>
      <c r="R372" s="170">
        <v>0</v>
      </c>
      <c r="S372" s="108">
        <f t="shared" si="49"/>
        <v>45491</v>
      </c>
      <c r="T372" s="79">
        <v>45463</v>
      </c>
      <c r="U372" s="14"/>
      <c r="V372" s="14"/>
      <c r="W372" s="14"/>
      <c r="X372" s="14"/>
      <c r="Y372" s="14" t="s">
        <v>2209</v>
      </c>
      <c r="Z372" s="14"/>
      <c r="AA372" s="2">
        <f t="shared" ca="1" si="50"/>
        <v>1</v>
      </c>
      <c r="AB372" s="153"/>
      <c r="AC372" s="454" t="str">
        <f t="shared" si="52"/>
        <v>1</v>
      </c>
    </row>
    <row r="373" spans="1:29" ht="116" x14ac:dyDescent="0.35">
      <c r="A373" s="111" t="str">
        <f t="shared" si="53"/>
        <v>Closed</v>
      </c>
      <c r="B373" s="222">
        <v>45463</v>
      </c>
      <c r="C373" s="14">
        <v>2403</v>
      </c>
      <c r="D373" s="14" t="s">
        <v>3116</v>
      </c>
      <c r="E373" s="14" t="s">
        <v>192</v>
      </c>
      <c r="F373" s="14" t="s">
        <v>2052</v>
      </c>
      <c r="G373" s="14" t="s">
        <v>1911</v>
      </c>
      <c r="H373" s="14">
        <v>112</v>
      </c>
      <c r="I373" s="176" t="s">
        <v>140</v>
      </c>
      <c r="J373" s="14">
        <v>443</v>
      </c>
      <c r="K373" s="87"/>
      <c r="L373" s="14" t="s">
        <v>3117</v>
      </c>
      <c r="M373" s="324">
        <f t="shared" si="55"/>
        <v>0</v>
      </c>
      <c r="N373" s="14" t="s">
        <v>1879</v>
      </c>
      <c r="O373" s="14" t="s">
        <v>2034</v>
      </c>
      <c r="P373" s="167" t="s">
        <v>143</v>
      </c>
      <c r="Q373" s="14"/>
      <c r="R373" s="170">
        <v>0</v>
      </c>
      <c r="S373" s="108">
        <f t="shared" si="49"/>
        <v>45491</v>
      </c>
      <c r="T373" s="79">
        <v>45463</v>
      </c>
      <c r="U373" s="14"/>
      <c r="V373" s="14"/>
      <c r="W373" s="14"/>
      <c r="X373" s="14"/>
      <c r="Y373" s="14" t="s">
        <v>2054</v>
      </c>
      <c r="Z373" s="14"/>
      <c r="AA373" s="2">
        <f t="shared" ca="1" si="50"/>
        <v>1</v>
      </c>
      <c r="AB373" s="153"/>
      <c r="AC373" s="454" t="str">
        <f t="shared" si="52"/>
        <v>1</v>
      </c>
    </row>
    <row r="374" spans="1:29" ht="29" x14ac:dyDescent="0.35">
      <c r="A374" s="89" t="str">
        <f t="shared" si="53"/>
        <v>Closed</v>
      </c>
      <c r="B374" s="222">
        <v>45464</v>
      </c>
      <c r="C374" s="14">
        <v>2403</v>
      </c>
      <c r="D374" s="14" t="s">
        <v>3118</v>
      </c>
      <c r="E374" s="14" t="s">
        <v>72</v>
      </c>
      <c r="F374" s="14" t="s">
        <v>3119</v>
      </c>
      <c r="G374" s="14" t="s">
        <v>1911</v>
      </c>
      <c r="H374" s="14">
        <v>120</v>
      </c>
      <c r="I374" s="176" t="s">
        <v>155</v>
      </c>
      <c r="J374" s="14">
        <v>37</v>
      </c>
      <c r="K374" s="87"/>
      <c r="L374" s="14" t="s">
        <v>3120</v>
      </c>
      <c r="M374" s="324">
        <f t="shared" si="55"/>
        <v>0</v>
      </c>
      <c r="N374" s="14" t="s">
        <v>1879</v>
      </c>
      <c r="O374" s="14" t="s">
        <v>1879</v>
      </c>
      <c r="P374" s="167" t="s">
        <v>147</v>
      </c>
      <c r="Q374" s="14" t="s">
        <v>177</v>
      </c>
      <c r="R374" s="223" t="s">
        <v>234</v>
      </c>
      <c r="S374" s="224">
        <f t="shared" si="49"/>
        <v>45492</v>
      </c>
      <c r="T374" s="79">
        <v>45537</v>
      </c>
      <c r="U374" s="14"/>
      <c r="V374" s="14"/>
      <c r="W374" s="14"/>
      <c r="X374" s="14"/>
      <c r="Z374" s="14" t="s">
        <v>3121</v>
      </c>
      <c r="AA374" s="2">
        <f t="shared" ca="1" si="50"/>
        <v>1</v>
      </c>
      <c r="AB374" s="153"/>
      <c r="AC374" s="454" t="str">
        <f t="shared" si="52"/>
        <v>1</v>
      </c>
    </row>
    <row r="375" spans="1:29" ht="43.5" x14ac:dyDescent="0.35">
      <c r="A375" s="111" t="str">
        <f t="shared" si="53"/>
        <v>Closed</v>
      </c>
      <c r="B375" s="222">
        <v>45464</v>
      </c>
      <c r="C375" s="14">
        <v>2403</v>
      </c>
      <c r="D375" s="14" t="s">
        <v>3122</v>
      </c>
      <c r="E375" s="14" t="s">
        <v>31</v>
      </c>
      <c r="F375" s="14" t="s">
        <v>1975</v>
      </c>
      <c r="G375" s="14"/>
      <c r="H375" s="14"/>
      <c r="I375" s="176" t="s">
        <v>140</v>
      </c>
      <c r="K375" s="87"/>
      <c r="L375" s="14" t="s">
        <v>3123</v>
      </c>
      <c r="M375" s="324">
        <f t="shared" si="55"/>
        <v>0</v>
      </c>
      <c r="N375" s="14" t="s">
        <v>1879</v>
      </c>
      <c r="O375" s="14" t="s">
        <v>2034</v>
      </c>
      <c r="P375" s="167" t="s">
        <v>143</v>
      </c>
      <c r="Q375" s="14"/>
      <c r="R375" s="170">
        <v>0</v>
      </c>
      <c r="S375" s="108">
        <f t="shared" si="49"/>
        <v>45492</v>
      </c>
      <c r="T375" s="79">
        <v>45464</v>
      </c>
      <c r="U375" s="14"/>
      <c r="V375" s="14"/>
      <c r="W375" s="14"/>
      <c r="X375" s="14"/>
      <c r="Z375" s="14"/>
      <c r="AA375" s="2">
        <f t="shared" ca="1" si="50"/>
        <v>1</v>
      </c>
      <c r="AB375" s="153"/>
      <c r="AC375" s="454" t="str">
        <f t="shared" si="52"/>
        <v/>
      </c>
    </row>
    <row r="376" spans="1:29" ht="43.5" x14ac:dyDescent="0.35">
      <c r="A376" s="111" t="str">
        <f t="shared" si="53"/>
        <v>Closed</v>
      </c>
      <c r="B376" s="222">
        <v>45464</v>
      </c>
      <c r="C376" s="14">
        <v>2403</v>
      </c>
      <c r="D376" s="14" t="s">
        <v>3124</v>
      </c>
      <c r="E376" s="14" t="s">
        <v>85</v>
      </c>
      <c r="F376" s="14" t="s">
        <v>2037</v>
      </c>
      <c r="G376" s="14" t="s">
        <v>1911</v>
      </c>
      <c r="H376" s="14"/>
      <c r="I376" s="176" t="s">
        <v>140</v>
      </c>
      <c r="J376" s="14">
        <v>8508846</v>
      </c>
      <c r="K376" s="87"/>
      <c r="L376" s="14" t="s">
        <v>3125</v>
      </c>
      <c r="M376" s="324">
        <f t="shared" si="55"/>
        <v>0</v>
      </c>
      <c r="N376" s="14" t="s">
        <v>1879</v>
      </c>
      <c r="O376" s="14" t="s">
        <v>2034</v>
      </c>
      <c r="P376" s="167" t="s">
        <v>143</v>
      </c>
      <c r="Q376" s="14"/>
      <c r="R376" s="170">
        <v>0</v>
      </c>
      <c r="S376" s="108">
        <f t="shared" si="49"/>
        <v>45492</v>
      </c>
      <c r="T376" s="79">
        <v>45464</v>
      </c>
      <c r="U376" s="14"/>
      <c r="V376" s="14"/>
      <c r="W376" s="14"/>
      <c r="X376" s="14"/>
      <c r="Y376" s="167" t="s">
        <v>2039</v>
      </c>
      <c r="Z376" s="14"/>
      <c r="AA376" s="2">
        <f t="shared" ca="1" si="50"/>
        <v>1</v>
      </c>
      <c r="AB376" s="153"/>
      <c r="AC376" s="454" t="str">
        <f t="shared" si="52"/>
        <v/>
      </c>
    </row>
    <row r="377" spans="1:29" ht="29" x14ac:dyDescent="0.35">
      <c r="A377" s="111" t="str">
        <f t="shared" si="53"/>
        <v>Closed</v>
      </c>
      <c r="B377" s="222">
        <v>45464</v>
      </c>
      <c r="C377" s="14">
        <v>2403</v>
      </c>
      <c r="D377" s="14" t="s">
        <v>3126</v>
      </c>
      <c r="E377" s="14" t="s">
        <v>76</v>
      </c>
      <c r="F377" s="14" t="s">
        <v>3127</v>
      </c>
      <c r="G377" s="14"/>
      <c r="H377" s="14">
        <v>124</v>
      </c>
      <c r="I377" s="176" t="s">
        <v>140</v>
      </c>
      <c r="K377" s="87"/>
      <c r="L377" s="14" t="s">
        <v>3128</v>
      </c>
      <c r="M377" s="324">
        <f t="shared" si="55"/>
        <v>0</v>
      </c>
      <c r="N377" s="14" t="s">
        <v>1879</v>
      </c>
      <c r="O377" s="14" t="s">
        <v>2034</v>
      </c>
      <c r="P377" s="167" t="s">
        <v>143</v>
      </c>
      <c r="Q377" s="14"/>
      <c r="R377" s="170">
        <v>0</v>
      </c>
      <c r="S377" s="108">
        <f t="shared" si="49"/>
        <v>45492</v>
      </c>
      <c r="T377" s="79">
        <v>45464</v>
      </c>
      <c r="U377" s="14"/>
      <c r="V377" s="14"/>
      <c r="W377" s="14"/>
      <c r="X377" s="14"/>
      <c r="Y377" s="14" t="s">
        <v>2150</v>
      </c>
      <c r="Z377" s="14"/>
      <c r="AA377" s="2">
        <f t="shared" ca="1" si="50"/>
        <v>1</v>
      </c>
      <c r="AB377" s="153"/>
      <c r="AC377" s="454" t="str">
        <f t="shared" si="52"/>
        <v>1</v>
      </c>
    </row>
    <row r="378" spans="1:29" ht="29" x14ac:dyDescent="0.35">
      <c r="A378" s="111" t="str">
        <f t="shared" si="53"/>
        <v>Closed</v>
      </c>
      <c r="B378" s="222">
        <v>45464</v>
      </c>
      <c r="C378" s="14">
        <v>2403</v>
      </c>
      <c r="D378" s="14" t="s">
        <v>3129</v>
      </c>
      <c r="E378" s="14" t="s">
        <v>1997</v>
      </c>
      <c r="F378" s="14" t="s">
        <v>1910</v>
      </c>
      <c r="G378" s="14"/>
      <c r="H378" s="14">
        <v>123</v>
      </c>
      <c r="I378" s="176" t="s">
        <v>140</v>
      </c>
      <c r="J378" s="14">
        <v>254</v>
      </c>
      <c r="K378" s="87"/>
      <c r="L378" s="14" t="s">
        <v>3130</v>
      </c>
      <c r="M378" s="324">
        <f t="shared" si="55"/>
        <v>0</v>
      </c>
      <c r="N378" s="14" t="s">
        <v>1879</v>
      </c>
      <c r="O378" s="14" t="s">
        <v>2034</v>
      </c>
      <c r="P378" s="167" t="s">
        <v>143</v>
      </c>
      <c r="Q378" s="14"/>
      <c r="R378" s="170">
        <v>0</v>
      </c>
      <c r="S378" s="108">
        <f t="shared" si="49"/>
        <v>45492</v>
      </c>
      <c r="T378" s="79">
        <v>45464</v>
      </c>
      <c r="U378" s="14"/>
      <c r="V378" s="14"/>
      <c r="W378" s="14"/>
      <c r="X378" s="14"/>
      <c r="Z378" s="14"/>
      <c r="AA378" s="2">
        <f t="shared" ca="1" si="50"/>
        <v>1</v>
      </c>
      <c r="AB378" s="153"/>
      <c r="AC378" s="454" t="str">
        <f t="shared" si="52"/>
        <v>1</v>
      </c>
    </row>
    <row r="379" spans="1:29" ht="72.5" x14ac:dyDescent="0.35">
      <c r="A379" s="111" t="str">
        <f t="shared" si="53"/>
        <v>Closed</v>
      </c>
      <c r="B379" s="222">
        <v>45465</v>
      </c>
      <c r="C379" s="14">
        <v>2403</v>
      </c>
      <c r="D379" s="14" t="s">
        <v>3131</v>
      </c>
      <c r="E379" s="14" t="s">
        <v>27</v>
      </c>
      <c r="F379" s="14" t="s">
        <v>1980</v>
      </c>
      <c r="G379" s="14" t="s">
        <v>1900</v>
      </c>
      <c r="H379" s="14">
        <v>111</v>
      </c>
      <c r="I379" s="176" t="s">
        <v>155</v>
      </c>
      <c r="J379" s="14">
        <v>8504143</v>
      </c>
      <c r="K379" s="87"/>
      <c r="L379" s="14" t="s">
        <v>3132</v>
      </c>
      <c r="M379" s="324">
        <f t="shared" si="55"/>
        <v>0</v>
      </c>
      <c r="N379" s="14" t="s">
        <v>1879</v>
      </c>
      <c r="O379" s="14" t="s">
        <v>1879</v>
      </c>
      <c r="P379" s="167" t="s">
        <v>143</v>
      </c>
      <c r="Q379" s="14"/>
      <c r="R379" s="170">
        <v>0</v>
      </c>
      <c r="S379" s="108">
        <f t="shared" si="49"/>
        <v>45493</v>
      </c>
      <c r="T379" s="79">
        <v>45465</v>
      </c>
      <c r="U379" s="14"/>
      <c r="V379" s="14"/>
      <c r="W379" s="14"/>
      <c r="X379" s="14"/>
      <c r="Y379" s="15" t="s">
        <v>1982</v>
      </c>
      <c r="Z379" s="14"/>
      <c r="AA379" s="2">
        <f t="shared" ca="1" si="50"/>
        <v>1</v>
      </c>
      <c r="AB379" s="153"/>
      <c r="AC379" s="454" t="str">
        <f t="shared" si="52"/>
        <v>1</v>
      </c>
    </row>
    <row r="380" spans="1:29" ht="29" x14ac:dyDescent="0.35">
      <c r="A380" s="111" t="str">
        <f t="shared" si="53"/>
        <v>Closed</v>
      </c>
      <c r="B380" s="222">
        <v>45465</v>
      </c>
      <c r="C380" s="14">
        <v>2403</v>
      </c>
      <c r="D380" s="14" t="s">
        <v>3133</v>
      </c>
      <c r="E380" s="14" t="s">
        <v>8</v>
      </c>
      <c r="F380" s="14" t="s">
        <v>2060</v>
      </c>
      <c r="G380" s="14" t="s">
        <v>1911</v>
      </c>
      <c r="H380" s="14">
        <v>118</v>
      </c>
      <c r="I380" s="176" t="s">
        <v>140</v>
      </c>
      <c r="K380" s="87"/>
      <c r="L380" s="14" t="s">
        <v>3134</v>
      </c>
      <c r="M380" s="324">
        <f t="shared" si="55"/>
        <v>0</v>
      </c>
      <c r="N380" s="14" t="s">
        <v>1879</v>
      </c>
      <c r="O380" s="14" t="s">
        <v>2034</v>
      </c>
      <c r="P380" s="167" t="s">
        <v>143</v>
      </c>
      <c r="Q380" s="14"/>
      <c r="R380" s="170">
        <v>0</v>
      </c>
      <c r="S380" s="108">
        <f t="shared" si="49"/>
        <v>45493</v>
      </c>
      <c r="T380" s="79">
        <v>45465</v>
      </c>
      <c r="U380" s="14"/>
      <c r="V380" s="14"/>
      <c r="W380" s="14"/>
      <c r="X380" s="14"/>
      <c r="Y380" s="466" t="s">
        <v>2062</v>
      </c>
      <c r="Z380" s="14"/>
      <c r="AA380" s="2">
        <f t="shared" ca="1" si="50"/>
        <v>1</v>
      </c>
      <c r="AB380" s="153"/>
      <c r="AC380" s="454" t="str">
        <f t="shared" si="52"/>
        <v>1</v>
      </c>
    </row>
    <row r="381" spans="1:29" ht="29" x14ac:dyDescent="0.45">
      <c r="A381" s="111" t="str">
        <f t="shared" si="53"/>
        <v>Closed</v>
      </c>
      <c r="B381" s="222">
        <v>45465</v>
      </c>
      <c r="C381" s="14">
        <v>2403</v>
      </c>
      <c r="D381" s="14" t="s">
        <v>3135</v>
      </c>
      <c r="E381" s="14" t="s">
        <v>192</v>
      </c>
      <c r="F381" s="14" t="s">
        <v>2338</v>
      </c>
      <c r="G381" s="14"/>
      <c r="H381" s="14"/>
      <c r="I381" s="176" t="s">
        <v>140</v>
      </c>
      <c r="K381" s="87"/>
      <c r="L381" s="14" t="s">
        <v>3136</v>
      </c>
      <c r="M381" s="324">
        <f t="shared" si="55"/>
        <v>0</v>
      </c>
      <c r="N381" s="14" t="s">
        <v>1879</v>
      </c>
      <c r="O381" s="14" t="s">
        <v>2034</v>
      </c>
      <c r="P381" s="167" t="s">
        <v>143</v>
      </c>
      <c r="Q381" s="14"/>
      <c r="R381" s="170">
        <v>0</v>
      </c>
      <c r="S381" s="108">
        <f t="shared" si="49"/>
        <v>45493</v>
      </c>
      <c r="T381" s="79">
        <v>45465</v>
      </c>
      <c r="U381" s="14"/>
      <c r="V381" s="14"/>
      <c r="W381" s="14"/>
      <c r="X381" s="14"/>
      <c r="Y381" s="463" t="s">
        <v>2340</v>
      </c>
      <c r="Z381" s="14"/>
      <c r="AA381" s="2">
        <f t="shared" ca="1" si="50"/>
        <v>1</v>
      </c>
      <c r="AB381" s="153"/>
      <c r="AC381" s="454" t="str">
        <f t="shared" si="52"/>
        <v/>
      </c>
    </row>
    <row r="382" spans="1:29" ht="43.5" x14ac:dyDescent="0.45">
      <c r="A382" s="111" t="str">
        <f t="shared" si="53"/>
        <v>Closed</v>
      </c>
      <c r="B382" s="222">
        <v>45466</v>
      </c>
      <c r="C382" s="14">
        <v>2404</v>
      </c>
      <c r="D382" s="14" t="s">
        <v>3137</v>
      </c>
      <c r="E382" s="14" t="s">
        <v>192</v>
      </c>
      <c r="F382" s="14" t="s">
        <v>2338</v>
      </c>
      <c r="G382" s="14"/>
      <c r="H382" s="14"/>
      <c r="I382" s="176" t="s">
        <v>140</v>
      </c>
      <c r="K382" s="87"/>
      <c r="L382" s="14" t="s">
        <v>3138</v>
      </c>
      <c r="M382" s="324">
        <f t="shared" si="55"/>
        <v>0</v>
      </c>
      <c r="N382" s="14" t="s">
        <v>1879</v>
      </c>
      <c r="O382" s="14" t="s">
        <v>2034</v>
      </c>
      <c r="P382" s="167" t="s">
        <v>143</v>
      </c>
      <c r="Q382" s="14"/>
      <c r="R382" s="170">
        <v>0</v>
      </c>
      <c r="S382" s="108">
        <f t="shared" si="49"/>
        <v>45494</v>
      </c>
      <c r="T382" s="79">
        <v>45466</v>
      </c>
      <c r="U382" s="14"/>
      <c r="V382" s="14"/>
      <c r="W382" s="14"/>
      <c r="X382" s="14"/>
      <c r="Y382" s="463" t="s">
        <v>2340</v>
      </c>
      <c r="Z382" s="14"/>
      <c r="AA382" s="2">
        <f t="shared" ca="1" si="50"/>
        <v>1</v>
      </c>
      <c r="AB382" s="153"/>
      <c r="AC382" s="454" t="str">
        <f t="shared" si="52"/>
        <v/>
      </c>
    </row>
    <row r="383" spans="1:29" ht="58" x14ac:dyDescent="0.35">
      <c r="A383" s="111" t="str">
        <f t="shared" si="53"/>
        <v>Closed</v>
      </c>
      <c r="B383" s="222">
        <v>45466</v>
      </c>
      <c r="C383" s="14">
        <v>2404</v>
      </c>
      <c r="D383" s="14" t="s">
        <v>3139</v>
      </c>
      <c r="E383" s="14" t="s">
        <v>192</v>
      </c>
      <c r="F383" s="14" t="s">
        <v>2212</v>
      </c>
      <c r="G383" s="14" t="s">
        <v>1900</v>
      </c>
      <c r="H383" s="14"/>
      <c r="I383" s="176" t="s">
        <v>140</v>
      </c>
      <c r="K383" s="87"/>
      <c r="L383" s="14" t="s">
        <v>3140</v>
      </c>
      <c r="M383" s="324">
        <f t="shared" si="55"/>
        <v>0</v>
      </c>
      <c r="N383" s="14" t="s">
        <v>1879</v>
      </c>
      <c r="O383" s="14" t="s">
        <v>2034</v>
      </c>
      <c r="P383" s="167" t="s">
        <v>143</v>
      </c>
      <c r="Q383" s="14"/>
      <c r="R383" s="170">
        <v>0</v>
      </c>
      <c r="S383" s="108">
        <f t="shared" si="49"/>
        <v>45494</v>
      </c>
      <c r="T383" s="79">
        <v>45466</v>
      </c>
      <c r="U383" s="14"/>
      <c r="V383" s="14"/>
      <c r="W383" s="14"/>
      <c r="X383" s="14"/>
      <c r="Y383" s="14" t="s">
        <v>2216</v>
      </c>
      <c r="Z383" s="14"/>
      <c r="AA383" s="2">
        <f t="shared" ca="1" si="50"/>
        <v>1</v>
      </c>
      <c r="AB383" s="153"/>
      <c r="AC383" s="454" t="str">
        <f t="shared" ref="AC383:AC408" si="56">LEFT(H383,1)</f>
        <v/>
      </c>
    </row>
    <row r="384" spans="1:29" ht="29" x14ac:dyDescent="0.35">
      <c r="A384" s="111" t="str">
        <f t="shared" si="53"/>
        <v>Closed</v>
      </c>
      <c r="B384" s="222">
        <v>45467</v>
      </c>
      <c r="C384" s="14">
        <v>2404</v>
      </c>
      <c r="D384" s="14" t="s">
        <v>3141</v>
      </c>
      <c r="E384" s="14" t="s">
        <v>31</v>
      </c>
      <c r="F384" s="14" t="s">
        <v>3142</v>
      </c>
      <c r="G384" s="14" t="s">
        <v>1900</v>
      </c>
      <c r="H384" s="14">
        <v>109</v>
      </c>
      <c r="I384" s="176" t="s">
        <v>140</v>
      </c>
      <c r="K384" s="87"/>
      <c r="L384" s="14" t="s">
        <v>3143</v>
      </c>
      <c r="M384" s="324">
        <f t="shared" si="55"/>
        <v>0</v>
      </c>
      <c r="N384" s="14" t="s">
        <v>1879</v>
      </c>
      <c r="O384" s="14" t="s">
        <v>1879</v>
      </c>
      <c r="P384" s="167" t="s">
        <v>143</v>
      </c>
      <c r="Q384" s="14"/>
      <c r="R384" s="170">
        <v>0</v>
      </c>
      <c r="S384" s="108">
        <f t="shared" si="49"/>
        <v>45495</v>
      </c>
      <c r="T384" s="79">
        <v>45832</v>
      </c>
      <c r="U384" s="14"/>
      <c r="V384" s="14"/>
      <c r="W384" s="14"/>
      <c r="X384" s="14"/>
      <c r="Y384" s="85"/>
      <c r="Z384" s="14"/>
      <c r="AA384" s="2">
        <f t="shared" ca="1" si="50"/>
        <v>1</v>
      </c>
      <c r="AB384" s="153"/>
      <c r="AC384" s="454" t="str">
        <f t="shared" si="56"/>
        <v>1</v>
      </c>
    </row>
    <row r="385" spans="1:29" ht="29" x14ac:dyDescent="0.35">
      <c r="A385" s="111" t="str">
        <f t="shared" si="53"/>
        <v>Closed</v>
      </c>
      <c r="B385" s="222">
        <v>45467</v>
      </c>
      <c r="C385" s="14">
        <v>2404</v>
      </c>
      <c r="D385" s="14" t="s">
        <v>3144</v>
      </c>
      <c r="E385" s="14" t="s">
        <v>27</v>
      </c>
      <c r="F385" s="14" t="s">
        <v>1910</v>
      </c>
      <c r="G385" s="14"/>
      <c r="H385" s="14">
        <v>205</v>
      </c>
      <c r="I385" s="176" t="s">
        <v>5</v>
      </c>
      <c r="K385" s="87"/>
      <c r="L385" s="14" t="s">
        <v>3145</v>
      </c>
      <c r="M385" s="324">
        <f t="shared" si="55"/>
        <v>0</v>
      </c>
      <c r="N385" s="14" t="s">
        <v>1879</v>
      </c>
      <c r="O385" s="14" t="s">
        <v>1879</v>
      </c>
      <c r="P385" s="167" t="s">
        <v>147</v>
      </c>
      <c r="Q385" s="14" t="s">
        <v>168</v>
      </c>
      <c r="R385" s="170" t="s">
        <v>234</v>
      </c>
      <c r="S385" s="108">
        <f t="shared" si="49"/>
        <v>45495</v>
      </c>
      <c r="T385" s="79">
        <v>45565</v>
      </c>
      <c r="U385" s="14" t="s">
        <v>3146</v>
      </c>
      <c r="V385" s="14" t="s">
        <v>2879</v>
      </c>
      <c r="W385" s="14" t="s">
        <v>1879</v>
      </c>
      <c r="X385" s="176" t="s">
        <v>1879</v>
      </c>
      <c r="Y385" s="15" t="s">
        <v>1915</v>
      </c>
      <c r="Z385" s="87" t="s">
        <v>3147</v>
      </c>
      <c r="AA385" s="2">
        <f t="shared" ca="1" si="50"/>
        <v>1</v>
      </c>
      <c r="AB385" s="153"/>
      <c r="AC385" s="454" t="str">
        <f t="shared" si="56"/>
        <v>2</v>
      </c>
    </row>
    <row r="386" spans="1:29" ht="58" x14ac:dyDescent="0.35">
      <c r="A386" s="111" t="str">
        <f t="shared" si="53"/>
        <v>Closed</v>
      </c>
      <c r="B386" s="222">
        <v>45468</v>
      </c>
      <c r="C386" s="14">
        <v>2404</v>
      </c>
      <c r="D386" s="14" t="s">
        <v>3148</v>
      </c>
      <c r="E386" s="14" t="s">
        <v>38</v>
      </c>
      <c r="F386" s="14" t="s">
        <v>1910</v>
      </c>
      <c r="G386" s="14"/>
      <c r="H386" s="14"/>
      <c r="I386" s="176" t="s">
        <v>6</v>
      </c>
      <c r="J386" s="14">
        <v>8512745</v>
      </c>
      <c r="K386" s="87"/>
      <c r="L386" s="14" t="s">
        <v>3149</v>
      </c>
      <c r="M386" s="324">
        <f t="shared" si="55"/>
        <v>0</v>
      </c>
      <c r="N386" s="14" t="s">
        <v>1879</v>
      </c>
      <c r="O386" s="14" t="s">
        <v>1880</v>
      </c>
      <c r="P386" s="14" t="s">
        <v>143</v>
      </c>
      <c r="R386" s="170">
        <v>0</v>
      </c>
      <c r="S386" s="108">
        <f t="shared" si="49"/>
        <v>45496</v>
      </c>
      <c r="T386" s="79">
        <v>45468</v>
      </c>
      <c r="U386" s="14"/>
      <c r="V386" s="14"/>
      <c r="W386" s="14"/>
      <c r="X386" s="176"/>
      <c r="Y386" s="15" t="s">
        <v>1915</v>
      </c>
      <c r="Z386" s="87"/>
      <c r="AA386" s="2">
        <f t="shared" ca="1" si="50"/>
        <v>1</v>
      </c>
      <c r="AB386" s="153"/>
      <c r="AC386" s="454" t="str">
        <f t="shared" si="56"/>
        <v/>
      </c>
    </row>
    <row r="387" spans="1:29" ht="43.5" x14ac:dyDescent="0.35">
      <c r="A387" s="111" t="str">
        <f t="shared" si="53"/>
        <v>Closed</v>
      </c>
      <c r="B387" s="222">
        <v>45468</v>
      </c>
      <c r="C387" s="14">
        <v>2404</v>
      </c>
      <c r="D387" s="14" t="s">
        <v>3150</v>
      </c>
      <c r="E387" s="14" t="s">
        <v>64</v>
      </c>
      <c r="F387" s="14" t="s">
        <v>1954</v>
      </c>
      <c r="G387" s="14" t="s">
        <v>1900</v>
      </c>
      <c r="H387" s="14"/>
      <c r="I387" s="176" t="s">
        <v>140</v>
      </c>
      <c r="K387" s="87"/>
      <c r="L387" s="14" t="s">
        <v>3151</v>
      </c>
      <c r="M387" s="324">
        <f t="shared" si="55"/>
        <v>0</v>
      </c>
      <c r="N387" s="14" t="s">
        <v>1879</v>
      </c>
      <c r="O387" s="14" t="s">
        <v>1879</v>
      </c>
      <c r="P387" s="167" t="s">
        <v>143</v>
      </c>
      <c r="Q387" s="14"/>
      <c r="R387" s="170">
        <v>0</v>
      </c>
      <c r="S387" s="108">
        <f t="shared" si="49"/>
        <v>45496</v>
      </c>
      <c r="T387" s="79">
        <v>45468</v>
      </c>
      <c r="U387" s="14"/>
      <c r="V387" s="14"/>
      <c r="W387" s="14"/>
      <c r="X387" s="14"/>
      <c r="Y387" s="14" t="s">
        <v>1956</v>
      </c>
      <c r="Z387" s="14"/>
      <c r="AA387" s="2">
        <f t="shared" ca="1" si="50"/>
        <v>1</v>
      </c>
      <c r="AB387" s="153"/>
      <c r="AC387" s="454" t="str">
        <f t="shared" si="56"/>
        <v/>
      </c>
    </row>
    <row r="388" spans="1:29" ht="43.5" x14ac:dyDescent="0.35">
      <c r="A388" s="111" t="str">
        <f t="shared" si="53"/>
        <v>Closed</v>
      </c>
      <c r="B388" s="222">
        <v>45468</v>
      </c>
      <c r="C388" s="14">
        <v>2404</v>
      </c>
      <c r="D388" s="14" t="s">
        <v>3152</v>
      </c>
      <c r="E388" s="14" t="s">
        <v>31</v>
      </c>
      <c r="F388" s="14" t="s">
        <v>2774</v>
      </c>
      <c r="G388" s="14" t="s">
        <v>1900</v>
      </c>
      <c r="H388" s="14">
        <v>206</v>
      </c>
      <c r="I388" s="176" t="s">
        <v>140</v>
      </c>
      <c r="J388" s="14">
        <v>8505276</v>
      </c>
      <c r="K388" s="87"/>
      <c r="L388" s="14" t="s">
        <v>3153</v>
      </c>
      <c r="M388" s="324">
        <f t="shared" si="55"/>
        <v>0</v>
      </c>
      <c r="N388" s="14" t="s">
        <v>1879</v>
      </c>
      <c r="O388" s="14" t="s">
        <v>1879</v>
      </c>
      <c r="P388" s="167" t="s">
        <v>143</v>
      </c>
      <c r="Q388" s="14"/>
      <c r="R388" s="170">
        <v>0</v>
      </c>
      <c r="S388" s="108">
        <f t="shared" si="49"/>
        <v>45496</v>
      </c>
      <c r="T388" s="79">
        <v>45468</v>
      </c>
      <c r="U388" s="14"/>
      <c r="V388" s="14"/>
      <c r="W388" s="14"/>
      <c r="X388" s="14"/>
      <c r="Z388" s="14"/>
      <c r="AA388" s="2">
        <f t="shared" ca="1" si="50"/>
        <v>1</v>
      </c>
      <c r="AB388" s="153"/>
      <c r="AC388" s="454" t="str">
        <f t="shared" si="56"/>
        <v>2</v>
      </c>
    </row>
    <row r="389" spans="1:29" ht="29" x14ac:dyDescent="0.35">
      <c r="A389" s="111" t="str">
        <f t="shared" si="53"/>
        <v>Closed</v>
      </c>
      <c r="B389" s="222">
        <v>45469</v>
      </c>
      <c r="C389" s="14">
        <v>2404</v>
      </c>
      <c r="D389" s="14" t="s">
        <v>3154</v>
      </c>
      <c r="E389" s="14" t="s">
        <v>42</v>
      </c>
      <c r="F389" s="14" t="s">
        <v>2119</v>
      </c>
      <c r="G389" s="14" t="s">
        <v>1911</v>
      </c>
      <c r="H389" s="14"/>
      <c r="I389" s="176" t="s">
        <v>140</v>
      </c>
      <c r="K389" s="87"/>
      <c r="L389" s="334" t="s">
        <v>3155</v>
      </c>
      <c r="M389" s="324">
        <f t="shared" si="55"/>
        <v>0</v>
      </c>
      <c r="N389" s="14" t="s">
        <v>1879</v>
      </c>
      <c r="O389" s="14" t="s">
        <v>1879</v>
      </c>
      <c r="P389" s="167" t="s">
        <v>143</v>
      </c>
      <c r="Q389" s="14"/>
      <c r="R389" s="170">
        <v>0</v>
      </c>
      <c r="S389" s="108">
        <f t="shared" si="49"/>
        <v>45497</v>
      </c>
      <c r="T389" s="79">
        <v>45469</v>
      </c>
      <c r="U389" s="14"/>
      <c r="V389" s="14"/>
      <c r="W389" s="14"/>
      <c r="X389" s="14"/>
      <c r="Y389" s="14" t="s">
        <v>2093</v>
      </c>
      <c r="Z389" s="14"/>
      <c r="AA389" s="2">
        <f t="shared" ca="1" si="50"/>
        <v>1</v>
      </c>
      <c r="AB389" s="153"/>
      <c r="AC389" s="454" t="str">
        <f t="shared" si="56"/>
        <v/>
      </c>
    </row>
    <row r="390" spans="1:29" ht="29" x14ac:dyDescent="0.35">
      <c r="A390" s="111" t="str">
        <f t="shared" si="53"/>
        <v>Closed</v>
      </c>
      <c r="B390" s="222">
        <v>45469</v>
      </c>
      <c r="C390" s="14">
        <v>2404</v>
      </c>
      <c r="D390" s="14" t="s">
        <v>3156</v>
      </c>
      <c r="E390" s="14" t="s">
        <v>40</v>
      </c>
      <c r="F390" s="14" t="s">
        <v>2196</v>
      </c>
      <c r="G390" s="14" t="s">
        <v>1911</v>
      </c>
      <c r="H390" s="14">
        <v>206</v>
      </c>
      <c r="I390" s="176" t="s">
        <v>4</v>
      </c>
      <c r="K390" s="14" t="s">
        <v>137</v>
      </c>
      <c r="L390" s="14" t="s">
        <v>3157</v>
      </c>
      <c r="M390" s="324">
        <v>0</v>
      </c>
      <c r="N390" s="14" t="s">
        <v>1879</v>
      </c>
      <c r="O390" s="14" t="s">
        <v>1880</v>
      </c>
      <c r="P390" s="167" t="s">
        <v>139</v>
      </c>
      <c r="Q390" s="112" t="s">
        <v>153</v>
      </c>
      <c r="R390" s="170" t="s">
        <v>234</v>
      </c>
      <c r="S390" s="108">
        <f t="shared" si="49"/>
        <v>45497</v>
      </c>
      <c r="T390" s="79">
        <v>45544</v>
      </c>
      <c r="U390" s="14" t="s">
        <v>3158</v>
      </c>
      <c r="V390" s="14" t="s">
        <v>3159</v>
      </c>
      <c r="W390" s="14" t="s">
        <v>1879</v>
      </c>
      <c r="X390" s="14" t="s">
        <v>154</v>
      </c>
      <c r="Y390" s="14" t="s">
        <v>2224</v>
      </c>
      <c r="Z390" s="14" t="s">
        <v>3160</v>
      </c>
      <c r="AA390" s="2">
        <f t="shared" ca="1" si="50"/>
        <v>1</v>
      </c>
      <c r="AB390" s="153"/>
      <c r="AC390" s="454" t="str">
        <f t="shared" si="56"/>
        <v>2</v>
      </c>
    </row>
    <row r="391" spans="1:29" ht="29" x14ac:dyDescent="0.35">
      <c r="A391" s="111" t="str">
        <f t="shared" si="53"/>
        <v>Closed</v>
      </c>
      <c r="B391" s="222">
        <v>45469</v>
      </c>
      <c r="C391" s="14">
        <v>2404</v>
      </c>
      <c r="D391" s="14" t="s">
        <v>3161</v>
      </c>
      <c r="E391" s="14" t="s">
        <v>31</v>
      </c>
      <c r="F391" s="14" t="s">
        <v>3162</v>
      </c>
      <c r="G391" s="14" t="s">
        <v>1911</v>
      </c>
      <c r="H391" s="14">
        <v>106</v>
      </c>
      <c r="I391" s="176" t="s">
        <v>140</v>
      </c>
      <c r="K391" s="87"/>
      <c r="L391" s="14" t="s">
        <v>3163</v>
      </c>
      <c r="M391" s="324">
        <f>IF(I391="Staff Accident","Entry Required",IF(I391="Assaults","Entry Required",0))</f>
        <v>0</v>
      </c>
      <c r="N391" s="14" t="s">
        <v>1879</v>
      </c>
      <c r="O391" s="14" t="s">
        <v>1879</v>
      </c>
      <c r="P391" s="167" t="s">
        <v>143</v>
      </c>
      <c r="Q391" s="112"/>
      <c r="R391" s="170">
        <v>0</v>
      </c>
      <c r="S391" s="108">
        <f t="shared" si="49"/>
        <v>45497</v>
      </c>
      <c r="T391" s="79">
        <v>45469</v>
      </c>
      <c r="U391" s="14"/>
      <c r="V391" s="14"/>
      <c r="W391" s="14"/>
      <c r="X391" s="14"/>
      <c r="Y391" s="14" t="s">
        <v>2103</v>
      </c>
      <c r="Z391" s="14"/>
      <c r="AA391" s="2">
        <f t="shared" ca="1" si="50"/>
        <v>1</v>
      </c>
      <c r="AB391" s="153"/>
      <c r="AC391" s="454" t="str">
        <f t="shared" si="56"/>
        <v>1</v>
      </c>
    </row>
    <row r="392" spans="1:29" ht="72.5" x14ac:dyDescent="0.35">
      <c r="A392" s="111" t="str">
        <f t="shared" si="53"/>
        <v>Closed</v>
      </c>
      <c r="B392" s="222">
        <v>45470</v>
      </c>
      <c r="C392" s="14">
        <v>2404</v>
      </c>
      <c r="D392" s="14" t="s">
        <v>3164</v>
      </c>
      <c r="E392" s="14" t="s">
        <v>8</v>
      </c>
      <c r="F392" s="14" t="s">
        <v>2119</v>
      </c>
      <c r="G392" s="14" t="s">
        <v>1911</v>
      </c>
      <c r="H392" s="14">
        <v>103</v>
      </c>
      <c r="I392" s="176" t="s">
        <v>140</v>
      </c>
      <c r="K392" s="87"/>
      <c r="L392" s="14" t="s">
        <v>3165</v>
      </c>
      <c r="M392" s="324">
        <f>IF(I392="Staff Accident","Entry Required",IF(I392="Assaults","Entry Required",0))</f>
        <v>0</v>
      </c>
      <c r="N392" s="14" t="s">
        <v>1879</v>
      </c>
      <c r="O392" s="14" t="s">
        <v>1879</v>
      </c>
      <c r="P392" s="167" t="s">
        <v>143</v>
      </c>
      <c r="Q392" s="14"/>
      <c r="R392" s="170">
        <v>0</v>
      </c>
      <c r="S392" s="108">
        <f t="shared" si="49"/>
        <v>45498</v>
      </c>
      <c r="T392" s="79">
        <v>45469</v>
      </c>
      <c r="U392" s="14"/>
      <c r="V392" s="14"/>
      <c r="W392" s="14"/>
      <c r="X392" s="14"/>
      <c r="Y392" s="14" t="s">
        <v>2093</v>
      </c>
      <c r="Z392" s="14"/>
      <c r="AA392" s="2">
        <f t="shared" ca="1" si="50"/>
        <v>1</v>
      </c>
      <c r="AB392" s="153"/>
      <c r="AC392" s="454" t="str">
        <f t="shared" si="56"/>
        <v>1</v>
      </c>
    </row>
    <row r="393" spans="1:29" ht="72.5" x14ac:dyDescent="0.35">
      <c r="A393" s="111" t="str">
        <f t="shared" si="53"/>
        <v>Closed</v>
      </c>
      <c r="B393" s="222">
        <v>45471</v>
      </c>
      <c r="C393" s="14">
        <v>2404</v>
      </c>
      <c r="D393" s="14" t="s">
        <v>3164</v>
      </c>
      <c r="E393" s="14" t="s">
        <v>180</v>
      </c>
      <c r="F393" s="14" t="s">
        <v>1958</v>
      </c>
      <c r="G393" s="14" t="s">
        <v>1900</v>
      </c>
      <c r="H393" s="14">
        <v>119</v>
      </c>
      <c r="I393" s="176" t="s">
        <v>140</v>
      </c>
      <c r="J393" s="14">
        <v>550</v>
      </c>
      <c r="K393" s="87"/>
      <c r="L393" s="14" t="s">
        <v>3166</v>
      </c>
      <c r="M393" s="324">
        <f>IF(I393="Staff Accident","Entry Required",IF(I393="Assaults","Entry Required",0))</f>
        <v>0</v>
      </c>
      <c r="N393" s="14" t="s">
        <v>1879</v>
      </c>
      <c r="O393" s="14" t="s">
        <v>1879</v>
      </c>
      <c r="P393" s="167" t="s">
        <v>143</v>
      </c>
      <c r="Q393" s="14"/>
      <c r="R393" s="170">
        <v>0</v>
      </c>
      <c r="S393" s="108">
        <f t="shared" ref="S393:S409" si="57">IF(B393="","",B393+28)</f>
        <v>45499</v>
      </c>
      <c r="T393" s="79">
        <v>45470</v>
      </c>
      <c r="U393" s="14"/>
      <c r="V393" s="14"/>
      <c r="W393" s="14"/>
      <c r="X393" s="14"/>
      <c r="Y393" s="14" t="s">
        <v>1960</v>
      </c>
      <c r="Z393" s="14"/>
      <c r="AA393" s="2">
        <f t="shared" ca="1" si="50"/>
        <v>1</v>
      </c>
      <c r="AB393" s="153"/>
      <c r="AC393" s="454" t="str">
        <f t="shared" si="56"/>
        <v>1</v>
      </c>
    </row>
    <row r="394" spans="1:29" ht="116" x14ac:dyDescent="0.35">
      <c r="A394" s="111" t="str">
        <f t="shared" si="53"/>
        <v>Closed</v>
      </c>
      <c r="B394" s="222">
        <v>45471</v>
      </c>
      <c r="C394" s="14">
        <v>2404</v>
      </c>
      <c r="D394" s="14" t="s">
        <v>3167</v>
      </c>
      <c r="E394" s="14" t="s">
        <v>42</v>
      </c>
      <c r="F394" s="14" t="s">
        <v>2064</v>
      </c>
      <c r="G394" s="14" t="s">
        <v>1900</v>
      </c>
      <c r="H394" s="14">
        <v>117</v>
      </c>
      <c r="I394" s="176" t="s">
        <v>4</v>
      </c>
      <c r="J394" s="14">
        <v>391</v>
      </c>
      <c r="K394" s="14" t="s">
        <v>137</v>
      </c>
      <c r="L394" s="14" t="s">
        <v>3168</v>
      </c>
      <c r="M394" s="324">
        <v>0</v>
      </c>
      <c r="N394" s="14" t="s">
        <v>1879</v>
      </c>
      <c r="O394" s="14" t="s">
        <v>1880</v>
      </c>
      <c r="P394" s="167" t="s">
        <v>139</v>
      </c>
      <c r="Q394" s="112" t="s">
        <v>157</v>
      </c>
      <c r="R394" s="170" t="s">
        <v>234</v>
      </c>
      <c r="S394" s="108">
        <f t="shared" si="57"/>
        <v>45499</v>
      </c>
      <c r="T394" s="79">
        <v>45529</v>
      </c>
      <c r="U394" s="14" t="s">
        <v>2451</v>
      </c>
      <c r="V394" s="14" t="s">
        <v>2149</v>
      </c>
      <c r="W394" s="14" t="s">
        <v>1879</v>
      </c>
      <c r="X394" s="14" t="s">
        <v>1883</v>
      </c>
      <c r="Y394" s="15" t="s">
        <v>2068</v>
      </c>
      <c r="Z394" s="14" t="s">
        <v>3169</v>
      </c>
      <c r="AA394" s="2">
        <f t="shared" ca="1" si="50"/>
        <v>1</v>
      </c>
      <c r="AB394" s="153"/>
      <c r="AC394" s="454" t="str">
        <f t="shared" si="56"/>
        <v>1</v>
      </c>
    </row>
    <row r="395" spans="1:29" ht="43.5" x14ac:dyDescent="0.35">
      <c r="A395" s="111" t="str">
        <f t="shared" si="53"/>
        <v>Closed</v>
      </c>
      <c r="B395" s="222">
        <v>45471</v>
      </c>
      <c r="C395" s="14">
        <v>2404</v>
      </c>
      <c r="D395" s="14" t="s">
        <v>3170</v>
      </c>
      <c r="E395" s="14" t="s">
        <v>38</v>
      </c>
      <c r="F395" s="14" t="s">
        <v>1910</v>
      </c>
      <c r="G395" s="14"/>
      <c r="H395" s="14"/>
      <c r="I395" s="176" t="s">
        <v>140</v>
      </c>
      <c r="J395" s="14">
        <v>78156</v>
      </c>
      <c r="K395" s="87"/>
      <c r="L395" s="14" t="s">
        <v>3171</v>
      </c>
      <c r="M395" s="324">
        <f>IF(I395="Staff Accident","Entry Required",IF(I395="Assaults","Entry Required",0))</f>
        <v>0</v>
      </c>
      <c r="N395" s="14" t="s">
        <v>1879</v>
      </c>
      <c r="O395" s="14" t="s">
        <v>1879</v>
      </c>
      <c r="P395" s="167" t="s">
        <v>143</v>
      </c>
      <c r="Q395" s="14"/>
      <c r="R395" s="170">
        <v>0</v>
      </c>
      <c r="S395" s="108">
        <f t="shared" si="57"/>
        <v>45499</v>
      </c>
      <c r="T395" s="79">
        <v>45471</v>
      </c>
      <c r="U395" s="14"/>
      <c r="V395" s="14"/>
      <c r="W395" s="14"/>
      <c r="X395" s="14"/>
      <c r="Y395" s="23" t="s">
        <v>1915</v>
      </c>
      <c r="Z395" s="14"/>
      <c r="AA395" s="2">
        <f t="shared" ca="1" si="50"/>
        <v>1</v>
      </c>
      <c r="AB395" s="153"/>
      <c r="AC395" s="454" t="str">
        <f t="shared" si="56"/>
        <v/>
      </c>
    </row>
    <row r="396" spans="1:29" ht="72.5" x14ac:dyDescent="0.35">
      <c r="A396" s="111" t="str">
        <f t="shared" si="53"/>
        <v>Closed</v>
      </c>
      <c r="B396" s="222">
        <v>45472</v>
      </c>
      <c r="C396" s="14">
        <v>2404</v>
      </c>
      <c r="D396" s="14" t="s">
        <v>3172</v>
      </c>
      <c r="E396" s="14" t="s">
        <v>37</v>
      </c>
      <c r="F396" s="14" t="s">
        <v>2003</v>
      </c>
      <c r="G396" s="14" t="s">
        <v>1911</v>
      </c>
      <c r="H396" s="14">
        <v>101</v>
      </c>
      <c r="I396" s="176" t="s">
        <v>5</v>
      </c>
      <c r="J396" s="14">
        <v>87</v>
      </c>
      <c r="K396" s="87"/>
      <c r="L396" s="14" t="s">
        <v>3173</v>
      </c>
      <c r="M396" s="324">
        <f>IF(I396="Staff Accident","Entry Required",IF(I396="Assaults","Entry Required",0))</f>
        <v>0</v>
      </c>
      <c r="N396" s="14" t="s">
        <v>1879</v>
      </c>
      <c r="O396" s="14" t="s">
        <v>1880</v>
      </c>
      <c r="P396" s="167" t="s">
        <v>147</v>
      </c>
      <c r="Q396" s="112" t="s">
        <v>135</v>
      </c>
      <c r="R396" s="170" t="s">
        <v>234</v>
      </c>
      <c r="S396" s="108">
        <f t="shared" si="57"/>
        <v>45500</v>
      </c>
      <c r="T396" s="79">
        <v>45492</v>
      </c>
      <c r="U396" s="14" t="s">
        <v>3174</v>
      </c>
      <c r="V396" s="14" t="s">
        <v>3175</v>
      </c>
      <c r="W396" s="14" t="s">
        <v>1879</v>
      </c>
      <c r="X396" s="14" t="s">
        <v>154</v>
      </c>
      <c r="Y396" s="14" t="s">
        <v>2504</v>
      </c>
      <c r="Z396" s="14" t="s">
        <v>3176</v>
      </c>
      <c r="AA396" s="2">
        <f t="shared" ca="1" si="50"/>
        <v>1</v>
      </c>
      <c r="AB396" s="153"/>
      <c r="AC396" s="454" t="str">
        <f t="shared" si="56"/>
        <v>1</v>
      </c>
    </row>
    <row r="397" spans="1:29" ht="72.5" x14ac:dyDescent="0.35">
      <c r="A397" s="89" t="str">
        <f t="shared" si="53"/>
        <v>Closed</v>
      </c>
      <c r="B397" s="222">
        <v>45472</v>
      </c>
      <c r="C397" s="14">
        <v>2404</v>
      </c>
      <c r="D397" s="14" t="s">
        <v>3177</v>
      </c>
      <c r="E397" s="14" t="s">
        <v>196</v>
      </c>
      <c r="F397" s="14" t="s">
        <v>2299</v>
      </c>
      <c r="G397" s="14"/>
      <c r="H397" s="14">
        <v>108</v>
      </c>
      <c r="I397" s="176" t="s">
        <v>155</v>
      </c>
      <c r="J397" s="14">
        <v>8508846</v>
      </c>
      <c r="K397" s="87"/>
      <c r="L397" s="14" t="s">
        <v>3178</v>
      </c>
      <c r="M397" s="324">
        <f>IF(I397="Staff Accident","Entry Required",IF(I397="Assaults","Entry Required",0))</f>
        <v>0</v>
      </c>
      <c r="N397" s="14" t="s">
        <v>1880</v>
      </c>
      <c r="O397" s="14" t="s">
        <v>1880</v>
      </c>
      <c r="P397" s="167" t="s">
        <v>147</v>
      </c>
      <c r="Q397" s="14" t="s">
        <v>177</v>
      </c>
      <c r="R397" s="223" t="s">
        <v>234</v>
      </c>
      <c r="S397" s="224">
        <f t="shared" si="57"/>
        <v>45500</v>
      </c>
      <c r="T397" s="79">
        <v>45491</v>
      </c>
      <c r="U397" s="14" t="s">
        <v>3179</v>
      </c>
      <c r="V397" s="14" t="s">
        <v>3180</v>
      </c>
      <c r="W397" s="14" t="s">
        <v>1880</v>
      </c>
      <c r="X397" s="14" t="s">
        <v>154</v>
      </c>
      <c r="Y397" s="14" t="s">
        <v>2302</v>
      </c>
      <c r="Z397" s="14" t="s">
        <v>3181</v>
      </c>
      <c r="AA397" s="2">
        <f t="shared" ca="1" si="50"/>
        <v>1</v>
      </c>
      <c r="AB397" s="153"/>
      <c r="AC397" s="454" t="str">
        <f t="shared" si="56"/>
        <v>1</v>
      </c>
    </row>
    <row r="398" spans="1:29" ht="188.5" x14ac:dyDescent="0.35">
      <c r="A398" s="111" t="str">
        <f t="shared" si="53"/>
        <v>Closed</v>
      </c>
      <c r="B398" s="222">
        <v>45472</v>
      </c>
      <c r="C398" s="14">
        <v>2404</v>
      </c>
      <c r="D398" s="14" t="s">
        <v>3182</v>
      </c>
      <c r="E398" s="14" t="s">
        <v>78</v>
      </c>
      <c r="F398" s="14" t="s">
        <v>2019</v>
      </c>
      <c r="G398" s="30" t="s">
        <v>1911</v>
      </c>
      <c r="H398" s="14">
        <v>116</v>
      </c>
      <c r="I398" s="176" t="s">
        <v>155</v>
      </c>
      <c r="K398" s="87"/>
      <c r="L398" s="14" t="s">
        <v>3183</v>
      </c>
      <c r="M398" s="324">
        <f>IF(K398="Staff Accident","Entry Required",IF(K398="Assaults","Entry Required",0))</f>
        <v>0</v>
      </c>
      <c r="N398" s="14" t="s">
        <v>1879</v>
      </c>
      <c r="O398" s="14" t="s">
        <v>1879</v>
      </c>
      <c r="P398" s="167" t="s">
        <v>147</v>
      </c>
      <c r="Q398" s="112" t="s">
        <v>168</v>
      </c>
      <c r="R398" s="170" t="s">
        <v>234</v>
      </c>
      <c r="S398" s="108">
        <f t="shared" si="57"/>
        <v>45500</v>
      </c>
      <c r="T398" s="79">
        <v>45585</v>
      </c>
      <c r="U398" s="14" t="s">
        <v>3184</v>
      </c>
      <c r="V398" s="14" t="s">
        <v>3185</v>
      </c>
      <c r="W398" s="14" t="s">
        <v>1880</v>
      </c>
      <c r="X398" s="14" t="s">
        <v>2034</v>
      </c>
      <c r="Y398" s="14" t="s">
        <v>2023</v>
      </c>
      <c r="Z398" s="14" t="s">
        <v>3186</v>
      </c>
      <c r="AA398" s="2">
        <f t="shared" ca="1" si="50"/>
        <v>1</v>
      </c>
      <c r="AB398" s="153"/>
      <c r="AC398" s="454" t="str">
        <f t="shared" si="56"/>
        <v>1</v>
      </c>
    </row>
    <row r="399" spans="1:29" ht="43.5" x14ac:dyDescent="0.35">
      <c r="A399" s="111" t="str">
        <f t="shared" si="53"/>
        <v>Closed</v>
      </c>
      <c r="B399" s="222">
        <v>45383</v>
      </c>
      <c r="C399" s="14">
        <v>2404</v>
      </c>
      <c r="D399" s="14" t="s">
        <v>3187</v>
      </c>
      <c r="E399" s="14" t="s">
        <v>78</v>
      </c>
      <c r="F399" s="14" t="s">
        <v>2060</v>
      </c>
      <c r="G399" s="14" t="s">
        <v>1900</v>
      </c>
      <c r="H399" s="14">
        <v>116</v>
      </c>
      <c r="I399" s="176" t="s">
        <v>155</v>
      </c>
      <c r="J399" s="14">
        <v>63</v>
      </c>
      <c r="K399" s="87"/>
      <c r="L399" s="14" t="s">
        <v>3188</v>
      </c>
      <c r="M399" s="324">
        <f t="shared" ref="M399:M408" si="58">IF(I399="Staff Accident","Entry Required",IF(I399="Assaults","Entry Required",0))</f>
        <v>0</v>
      </c>
      <c r="N399" s="14" t="s">
        <v>1879</v>
      </c>
      <c r="O399" s="14" t="s">
        <v>1880</v>
      </c>
      <c r="P399" s="167" t="s">
        <v>147</v>
      </c>
      <c r="Q399" s="112" t="s">
        <v>177</v>
      </c>
      <c r="R399" s="170" t="s">
        <v>234</v>
      </c>
      <c r="S399" s="108">
        <f t="shared" si="57"/>
        <v>45411</v>
      </c>
      <c r="T399" s="79">
        <v>45902</v>
      </c>
      <c r="U399" s="14"/>
      <c r="V399" s="14"/>
      <c r="W399" s="14"/>
      <c r="X399" s="14"/>
      <c r="Y399" s="466" t="s">
        <v>2062</v>
      </c>
      <c r="Z399" s="14" t="s">
        <v>3189</v>
      </c>
      <c r="AA399" s="2">
        <v>0</v>
      </c>
      <c r="AB399" s="153"/>
      <c r="AC399" s="454" t="str">
        <f t="shared" si="56"/>
        <v>1</v>
      </c>
    </row>
    <row r="400" spans="1:29" ht="29" x14ac:dyDescent="0.35">
      <c r="A400" s="89" t="str">
        <f t="shared" si="53"/>
        <v>Closed</v>
      </c>
      <c r="B400" s="222">
        <v>45475</v>
      </c>
      <c r="C400" s="14">
        <v>2404</v>
      </c>
      <c r="D400" s="14" t="s">
        <v>3190</v>
      </c>
      <c r="E400" s="14" t="s">
        <v>37</v>
      </c>
      <c r="F400" s="14" t="s">
        <v>2056</v>
      </c>
      <c r="G400" s="14" t="s">
        <v>1911</v>
      </c>
      <c r="H400" s="14">
        <v>117</v>
      </c>
      <c r="I400" s="176" t="s">
        <v>5</v>
      </c>
      <c r="K400" s="87"/>
      <c r="L400" s="14" t="s">
        <v>3191</v>
      </c>
      <c r="M400" s="324">
        <f t="shared" si="58"/>
        <v>0</v>
      </c>
      <c r="N400" s="14" t="s">
        <v>1879</v>
      </c>
      <c r="O400" s="14" t="s">
        <v>1879</v>
      </c>
      <c r="P400" s="167" t="s">
        <v>143</v>
      </c>
      <c r="Q400" s="14"/>
      <c r="R400" s="223">
        <v>0</v>
      </c>
      <c r="S400" s="224">
        <f t="shared" si="57"/>
        <v>45503</v>
      </c>
      <c r="T400" s="79">
        <v>45902</v>
      </c>
      <c r="U400" s="14"/>
      <c r="V400" s="14"/>
      <c r="W400" s="14"/>
      <c r="X400" s="14"/>
      <c r="Y400" s="167" t="s">
        <v>2058</v>
      </c>
      <c r="Z400" s="14" t="s">
        <v>2593</v>
      </c>
      <c r="AA400" s="2">
        <f t="shared" ref="AA400:AA408" ca="1" si="59">IF(B400="",3,IF(S400&lt;$A$1,1,0))</f>
        <v>1</v>
      </c>
      <c r="AB400" s="153"/>
      <c r="AC400" s="454" t="str">
        <f t="shared" si="56"/>
        <v>1</v>
      </c>
    </row>
    <row r="401" spans="1:29" ht="43.5" x14ac:dyDescent="0.35">
      <c r="A401" s="111" t="str">
        <f t="shared" si="53"/>
        <v>Closed</v>
      </c>
      <c r="B401" s="222">
        <v>45476</v>
      </c>
      <c r="C401" s="14">
        <v>2404</v>
      </c>
      <c r="D401" s="14" t="s">
        <v>3192</v>
      </c>
      <c r="E401" s="14" t="s">
        <v>27</v>
      </c>
      <c r="F401" s="14" t="s">
        <v>1954</v>
      </c>
      <c r="G401" s="14" t="s">
        <v>1911</v>
      </c>
      <c r="H401" s="14">
        <v>115</v>
      </c>
      <c r="I401" s="176" t="s">
        <v>5</v>
      </c>
      <c r="K401" s="14"/>
      <c r="L401" s="14" t="s">
        <v>3193</v>
      </c>
      <c r="M401" s="324">
        <f t="shared" si="58"/>
        <v>0</v>
      </c>
      <c r="N401" s="14" t="s">
        <v>1879</v>
      </c>
      <c r="O401" s="14" t="s">
        <v>1880</v>
      </c>
      <c r="P401" s="167" t="s">
        <v>147</v>
      </c>
      <c r="Q401" s="112" t="s">
        <v>135</v>
      </c>
      <c r="R401" s="170" t="s">
        <v>234</v>
      </c>
      <c r="S401" s="108">
        <f t="shared" si="57"/>
        <v>45504</v>
      </c>
      <c r="T401" s="79">
        <v>45492</v>
      </c>
      <c r="U401" s="14" t="s">
        <v>3194</v>
      </c>
      <c r="V401" s="14" t="s">
        <v>3195</v>
      </c>
      <c r="W401" s="14" t="s">
        <v>1879</v>
      </c>
      <c r="X401" s="14" t="s">
        <v>1883</v>
      </c>
      <c r="Y401" s="14" t="s">
        <v>1956</v>
      </c>
      <c r="Z401" s="14" t="s">
        <v>3196</v>
      </c>
      <c r="AA401" s="2">
        <f t="shared" ca="1" si="59"/>
        <v>1</v>
      </c>
      <c r="AB401" s="153"/>
      <c r="AC401" s="454" t="str">
        <f t="shared" si="56"/>
        <v>1</v>
      </c>
    </row>
    <row r="402" spans="1:29" ht="43.5" x14ac:dyDescent="0.35">
      <c r="A402" s="111" t="str">
        <f t="shared" si="53"/>
        <v>Closed</v>
      </c>
      <c r="B402" s="222">
        <v>45476</v>
      </c>
      <c r="C402" s="14">
        <v>2404</v>
      </c>
      <c r="D402" s="14" t="s">
        <v>3197</v>
      </c>
      <c r="E402" s="14" t="s">
        <v>31</v>
      </c>
      <c r="F402" s="167" t="s">
        <v>2349</v>
      </c>
      <c r="G402" s="14" t="s">
        <v>1900</v>
      </c>
      <c r="H402" s="14">
        <v>116</v>
      </c>
      <c r="I402" s="176" t="s">
        <v>140</v>
      </c>
      <c r="J402" s="14">
        <v>8508846</v>
      </c>
      <c r="K402" s="14"/>
      <c r="L402" s="14" t="s">
        <v>3198</v>
      </c>
      <c r="M402" s="324">
        <f t="shared" si="58"/>
        <v>0</v>
      </c>
      <c r="N402" s="14" t="s">
        <v>1879</v>
      </c>
      <c r="O402" s="14" t="s">
        <v>1879</v>
      </c>
      <c r="P402" s="167" t="s">
        <v>143</v>
      </c>
      <c r="Q402" s="112"/>
      <c r="R402" s="170">
        <v>0</v>
      </c>
      <c r="S402" s="108">
        <f t="shared" si="57"/>
        <v>45504</v>
      </c>
      <c r="T402" s="79">
        <v>45546</v>
      </c>
      <c r="U402" s="14"/>
      <c r="V402" s="14"/>
      <c r="W402" s="14"/>
      <c r="X402" s="14"/>
      <c r="Y402" s="14" t="s">
        <v>2351</v>
      </c>
      <c r="Z402" s="14"/>
      <c r="AA402" s="2">
        <f t="shared" ca="1" si="59"/>
        <v>1</v>
      </c>
      <c r="AB402" s="153"/>
      <c r="AC402" s="454" t="str">
        <f t="shared" si="56"/>
        <v>1</v>
      </c>
    </row>
    <row r="403" spans="1:29" ht="43.5" x14ac:dyDescent="0.35">
      <c r="A403" s="111" t="str">
        <f t="shared" si="53"/>
        <v>Closed</v>
      </c>
      <c r="B403" s="222">
        <v>45476</v>
      </c>
      <c r="C403" s="14">
        <v>2404</v>
      </c>
      <c r="D403" s="14" t="s">
        <v>3199</v>
      </c>
      <c r="E403" s="14" t="s">
        <v>192</v>
      </c>
      <c r="F403" s="14" t="s">
        <v>3200</v>
      </c>
      <c r="G403" s="14"/>
      <c r="H403" s="14">
        <v>112</v>
      </c>
      <c r="I403" s="176" t="s">
        <v>140</v>
      </c>
      <c r="K403" s="87"/>
      <c r="L403" s="14" t="s">
        <v>3201</v>
      </c>
      <c r="M403" s="324">
        <f t="shared" si="58"/>
        <v>0</v>
      </c>
      <c r="N403" s="14" t="s">
        <v>1879</v>
      </c>
      <c r="O403" s="14" t="s">
        <v>1879</v>
      </c>
      <c r="P403" s="167" t="s">
        <v>143</v>
      </c>
      <c r="Q403" s="112"/>
      <c r="R403" s="170">
        <v>0</v>
      </c>
      <c r="S403" s="108">
        <f t="shared" si="57"/>
        <v>45504</v>
      </c>
      <c r="T403" s="79">
        <v>45476</v>
      </c>
      <c r="U403" s="14"/>
      <c r="V403" s="14"/>
      <c r="W403" s="14"/>
      <c r="X403" s="14"/>
      <c r="Y403" s="14" t="s">
        <v>2868</v>
      </c>
      <c r="Z403" s="14"/>
      <c r="AA403" s="2">
        <f t="shared" ca="1" si="59"/>
        <v>1</v>
      </c>
      <c r="AB403" s="153"/>
      <c r="AC403" s="454" t="str">
        <f t="shared" si="56"/>
        <v>1</v>
      </c>
    </row>
    <row r="404" spans="1:29" ht="72.5" x14ac:dyDescent="0.35">
      <c r="A404" s="111" t="str">
        <f t="shared" si="53"/>
        <v>Closed</v>
      </c>
      <c r="B404" s="222">
        <v>45477</v>
      </c>
      <c r="C404" s="14">
        <v>2404</v>
      </c>
      <c r="D404" s="14" t="s">
        <v>3202</v>
      </c>
      <c r="E404" s="14" t="s">
        <v>38</v>
      </c>
      <c r="F404" s="14" t="s">
        <v>2080</v>
      </c>
      <c r="G404" s="14" t="s">
        <v>1900</v>
      </c>
      <c r="H404" s="14">
        <v>122</v>
      </c>
      <c r="I404" s="176" t="s">
        <v>6</v>
      </c>
      <c r="K404" s="87"/>
      <c r="L404" s="14" t="s">
        <v>3203</v>
      </c>
      <c r="M404" s="324">
        <f t="shared" si="58"/>
        <v>0</v>
      </c>
      <c r="N404" s="14" t="s">
        <v>1879</v>
      </c>
      <c r="O404" s="14" t="s">
        <v>1879</v>
      </c>
      <c r="P404" s="167" t="s">
        <v>143</v>
      </c>
      <c r="Q404" s="112"/>
      <c r="R404" s="170">
        <v>0</v>
      </c>
      <c r="S404" s="108">
        <f t="shared" si="57"/>
        <v>45505</v>
      </c>
      <c r="T404" s="79">
        <v>45477</v>
      </c>
      <c r="U404" s="14"/>
      <c r="V404" s="14"/>
      <c r="W404" s="14"/>
      <c r="X404" s="14"/>
      <c r="Y404" s="14" t="s">
        <v>2084</v>
      </c>
      <c r="Z404" s="14"/>
      <c r="AA404" s="2">
        <f t="shared" ca="1" si="59"/>
        <v>1</v>
      </c>
      <c r="AB404" s="153"/>
      <c r="AC404" s="454" t="str">
        <f t="shared" si="56"/>
        <v>1</v>
      </c>
    </row>
    <row r="405" spans="1:29" ht="43.5" x14ac:dyDescent="0.35">
      <c r="A405" s="111" t="str">
        <f t="shared" si="53"/>
        <v>Closed</v>
      </c>
      <c r="B405" s="222">
        <v>45477</v>
      </c>
      <c r="C405" s="14">
        <v>2404</v>
      </c>
      <c r="D405" s="14" t="s">
        <v>3204</v>
      </c>
      <c r="E405" s="14" t="s">
        <v>8</v>
      </c>
      <c r="F405" s="14" t="s">
        <v>3205</v>
      </c>
      <c r="G405" s="14"/>
      <c r="H405" s="14">
        <v>103</v>
      </c>
      <c r="I405" s="176" t="s">
        <v>140</v>
      </c>
      <c r="K405" s="87"/>
      <c r="L405" s="14" t="s">
        <v>3206</v>
      </c>
      <c r="M405" s="324">
        <f t="shared" si="58"/>
        <v>0</v>
      </c>
      <c r="N405" s="14" t="s">
        <v>1879</v>
      </c>
      <c r="O405" s="14" t="s">
        <v>1879</v>
      </c>
      <c r="P405" s="167" t="s">
        <v>143</v>
      </c>
      <c r="R405" s="170">
        <v>0</v>
      </c>
      <c r="S405" s="108">
        <f t="shared" si="57"/>
        <v>45505</v>
      </c>
      <c r="T405" s="79">
        <v>45477</v>
      </c>
      <c r="U405" s="14"/>
      <c r="V405" s="14"/>
      <c r="W405" s="14"/>
      <c r="X405" s="14"/>
      <c r="Y405" s="167" t="s">
        <v>2428</v>
      </c>
      <c r="Z405" s="14"/>
      <c r="AA405" s="2">
        <f t="shared" ca="1" si="59"/>
        <v>1</v>
      </c>
      <c r="AB405" s="153"/>
      <c r="AC405" s="454" t="str">
        <f t="shared" si="56"/>
        <v>1</v>
      </c>
    </row>
    <row r="406" spans="1:29" ht="29" x14ac:dyDescent="0.35">
      <c r="A406" s="111" t="str">
        <f t="shared" si="53"/>
        <v>Closed</v>
      </c>
      <c r="B406" s="222">
        <v>45477</v>
      </c>
      <c r="C406" s="14">
        <v>2404</v>
      </c>
      <c r="D406" s="14" t="s">
        <v>3207</v>
      </c>
      <c r="E406" s="14" t="s">
        <v>192</v>
      </c>
      <c r="F406" s="14" t="s">
        <v>1910</v>
      </c>
      <c r="G406" s="14" t="s">
        <v>1900</v>
      </c>
      <c r="H406" s="14">
        <v>117</v>
      </c>
      <c r="I406" s="176" t="s">
        <v>140</v>
      </c>
      <c r="K406" s="87"/>
      <c r="L406" s="14" t="s">
        <v>3208</v>
      </c>
      <c r="M406" s="324">
        <f t="shared" si="58"/>
        <v>0</v>
      </c>
      <c r="N406" s="14" t="s">
        <v>1879</v>
      </c>
      <c r="O406" s="14" t="s">
        <v>1879</v>
      </c>
      <c r="P406" s="167" t="s">
        <v>143</v>
      </c>
      <c r="Q406" s="112"/>
      <c r="R406" s="170">
        <v>0</v>
      </c>
      <c r="S406" s="108">
        <f t="shared" si="57"/>
        <v>45505</v>
      </c>
      <c r="T406" s="79">
        <v>45477</v>
      </c>
      <c r="U406" s="14"/>
      <c r="V406" s="14"/>
      <c r="W406" s="14"/>
      <c r="X406" s="176"/>
      <c r="Y406" s="15" t="s">
        <v>1915</v>
      </c>
      <c r="Z406" s="87"/>
      <c r="AA406" s="2">
        <f t="shared" ca="1" si="59"/>
        <v>1</v>
      </c>
      <c r="AB406" s="153"/>
      <c r="AC406" s="454" t="str">
        <f t="shared" si="56"/>
        <v>1</v>
      </c>
    </row>
    <row r="407" spans="1:29" ht="29.5" thickBot="1" x14ac:dyDescent="0.4">
      <c r="A407" s="111" t="str">
        <f t="shared" si="53"/>
        <v>Closed</v>
      </c>
      <c r="B407" s="222">
        <v>45477</v>
      </c>
      <c r="C407" s="14">
        <v>2404</v>
      </c>
      <c r="D407" s="14" t="s">
        <v>3209</v>
      </c>
      <c r="E407" s="14" t="s">
        <v>180</v>
      </c>
      <c r="F407" s="14" t="s">
        <v>2187</v>
      </c>
      <c r="G407" s="14" t="s">
        <v>1900</v>
      </c>
      <c r="H407" s="14">
        <v>107</v>
      </c>
      <c r="I407" s="176" t="s">
        <v>140</v>
      </c>
      <c r="J407" s="14">
        <v>89116</v>
      </c>
      <c r="K407" s="87"/>
      <c r="L407" s="14" t="s">
        <v>3210</v>
      </c>
      <c r="M407" s="324">
        <f t="shared" si="58"/>
        <v>0</v>
      </c>
      <c r="N407" s="14" t="s">
        <v>1879</v>
      </c>
      <c r="O407" s="14" t="s">
        <v>1879</v>
      </c>
      <c r="P407" s="167" t="s">
        <v>143</v>
      </c>
      <c r="Q407" s="112"/>
      <c r="R407" s="170">
        <v>0</v>
      </c>
      <c r="S407" s="108">
        <f t="shared" si="57"/>
        <v>45505</v>
      </c>
      <c r="T407" s="79">
        <v>45477</v>
      </c>
      <c r="U407" s="14"/>
      <c r="V407" s="14"/>
      <c r="W407" s="14"/>
      <c r="X407" s="14"/>
      <c r="Y407" s="14" t="s">
        <v>2023</v>
      </c>
      <c r="Z407" s="14"/>
      <c r="AA407" s="2">
        <f t="shared" ca="1" si="59"/>
        <v>1</v>
      </c>
      <c r="AB407" s="153"/>
      <c r="AC407" s="454" t="str">
        <f t="shared" si="56"/>
        <v>1</v>
      </c>
    </row>
    <row r="408" spans="1:29" ht="28.5" thickBot="1" x14ac:dyDescent="0.4">
      <c r="A408" s="111" t="str">
        <f t="shared" si="53"/>
        <v>Closed</v>
      </c>
      <c r="B408" s="222">
        <v>45477</v>
      </c>
      <c r="C408" s="14">
        <v>2404</v>
      </c>
      <c r="D408" s="14" t="s">
        <v>3211</v>
      </c>
      <c r="E408" s="14" t="s">
        <v>152</v>
      </c>
      <c r="F408" s="14" t="s">
        <v>2196</v>
      </c>
      <c r="G408" s="14" t="s">
        <v>1900</v>
      </c>
      <c r="H408" s="14">
        <v>107</v>
      </c>
      <c r="I408" s="176" t="s">
        <v>140</v>
      </c>
      <c r="K408" s="87"/>
      <c r="L408" s="14" t="s">
        <v>3212</v>
      </c>
      <c r="M408" s="324">
        <f t="shared" si="58"/>
        <v>0</v>
      </c>
      <c r="N408" s="14" t="s">
        <v>1879</v>
      </c>
      <c r="O408" s="14" t="s">
        <v>1879</v>
      </c>
      <c r="P408" s="167" t="s">
        <v>143</v>
      </c>
      <c r="Q408" s="14"/>
      <c r="R408" s="170">
        <v>0</v>
      </c>
      <c r="S408" s="108">
        <f t="shared" si="57"/>
        <v>45505</v>
      </c>
      <c r="T408" s="79">
        <v>45477</v>
      </c>
      <c r="U408" s="14"/>
      <c r="V408" s="14"/>
      <c r="W408" s="14"/>
      <c r="X408" s="14"/>
      <c r="Y408" s="464" t="s">
        <v>2164</v>
      </c>
      <c r="Z408" s="14"/>
      <c r="AA408" s="2">
        <f t="shared" ca="1" si="59"/>
        <v>1</v>
      </c>
      <c r="AB408" s="153"/>
      <c r="AC408" s="454" t="str">
        <f t="shared" si="56"/>
        <v>1</v>
      </c>
    </row>
    <row r="409" spans="1:29" ht="58" x14ac:dyDescent="0.35">
      <c r="A409" s="111" t="str">
        <f t="shared" si="53"/>
        <v>Closed</v>
      </c>
      <c r="B409" s="222">
        <v>45479</v>
      </c>
      <c r="C409" s="14">
        <v>2404</v>
      </c>
      <c r="D409" s="14" t="s">
        <v>1181</v>
      </c>
      <c r="E409" s="14" t="s">
        <v>38</v>
      </c>
      <c r="F409" s="14" t="s">
        <v>1972</v>
      </c>
      <c r="G409" s="14"/>
      <c r="H409" s="14"/>
      <c r="I409" s="176" t="s">
        <v>2</v>
      </c>
      <c r="K409" s="85" t="s">
        <v>137</v>
      </c>
      <c r="L409" s="14" t="s">
        <v>3213</v>
      </c>
      <c r="M409" s="324" t="s">
        <v>3214</v>
      </c>
      <c r="N409" s="14" t="s">
        <v>1880</v>
      </c>
      <c r="O409" s="14" t="s">
        <v>1880</v>
      </c>
      <c r="P409" s="167" t="s">
        <v>136</v>
      </c>
      <c r="Q409" s="14" t="s">
        <v>160</v>
      </c>
      <c r="R409" s="170" t="s">
        <v>234</v>
      </c>
      <c r="S409" s="108">
        <f t="shared" si="57"/>
        <v>45507</v>
      </c>
      <c r="T409" s="79">
        <v>45601</v>
      </c>
      <c r="U409" s="14" t="s">
        <v>3215</v>
      </c>
      <c r="V409" s="14" t="s">
        <v>3216</v>
      </c>
      <c r="W409" s="14" t="s">
        <v>1879</v>
      </c>
      <c r="X409" s="14" t="s">
        <v>1880</v>
      </c>
      <c r="Z409" s="14" t="s">
        <v>3217</v>
      </c>
      <c r="AA409" s="2">
        <v>0</v>
      </c>
      <c r="AB409" s="153"/>
      <c r="AC409" s="454">
        <v>1</v>
      </c>
    </row>
    <row r="410" spans="1:29" ht="29" x14ac:dyDescent="0.35">
      <c r="A410" s="111" t="str">
        <f t="shared" si="53"/>
        <v>Closed</v>
      </c>
      <c r="B410" s="222">
        <v>45481</v>
      </c>
      <c r="C410" s="14">
        <v>2404</v>
      </c>
      <c r="D410" s="14" t="s">
        <v>3218</v>
      </c>
      <c r="E410" s="14" t="s">
        <v>78</v>
      </c>
      <c r="F410" s="14" t="s">
        <v>2962</v>
      </c>
      <c r="G410" s="14" t="s">
        <v>1900</v>
      </c>
      <c r="H410" s="14">
        <v>104</v>
      </c>
      <c r="I410" s="176" t="s">
        <v>155</v>
      </c>
      <c r="J410" s="14">
        <v>134</v>
      </c>
      <c r="K410" s="14"/>
      <c r="L410" s="14" t="s">
        <v>3219</v>
      </c>
      <c r="M410" s="167">
        <v>0</v>
      </c>
      <c r="N410" s="14" t="s">
        <v>1879</v>
      </c>
      <c r="O410" s="14" t="s">
        <v>1880</v>
      </c>
      <c r="P410" s="167" t="s">
        <v>147</v>
      </c>
      <c r="Q410" s="14" t="s">
        <v>175</v>
      </c>
      <c r="R410" s="170" t="s">
        <v>234</v>
      </c>
      <c r="S410" s="108">
        <f>IF(B409="","",B409+28)</f>
        <v>45507</v>
      </c>
      <c r="T410" s="79">
        <v>45487</v>
      </c>
      <c r="U410" s="14" t="s">
        <v>3220</v>
      </c>
      <c r="V410" s="14" t="s">
        <v>3221</v>
      </c>
      <c r="W410" s="14" t="s">
        <v>1879</v>
      </c>
      <c r="X410" s="14" t="s">
        <v>1879</v>
      </c>
      <c r="Y410" s="167" t="s">
        <v>2964</v>
      </c>
      <c r="Z410" s="14" t="s">
        <v>3222</v>
      </c>
      <c r="AA410" s="2">
        <f ca="1">IF(B409="",3,IF(S410&lt;$A$1,1,0))</f>
        <v>1</v>
      </c>
      <c r="AB410" s="153"/>
      <c r="AC410" s="454" t="str">
        <f>LEFT(H409,1)</f>
        <v/>
      </c>
    </row>
    <row r="411" spans="1:29" ht="58" x14ac:dyDescent="0.35">
      <c r="A411" s="111" t="str">
        <f t="shared" si="53"/>
        <v>Closed</v>
      </c>
      <c r="B411" s="222">
        <v>45482</v>
      </c>
      <c r="C411" s="14">
        <v>2404</v>
      </c>
      <c r="D411" s="14" t="s">
        <v>931</v>
      </c>
      <c r="E411" s="14" t="s">
        <v>27</v>
      </c>
      <c r="F411" s="14" t="s">
        <v>2187</v>
      </c>
      <c r="G411" s="14" t="s">
        <v>1911</v>
      </c>
      <c r="H411" s="14">
        <v>206</v>
      </c>
      <c r="I411" s="176" t="s">
        <v>2</v>
      </c>
      <c r="J411" s="14">
        <v>8507629</v>
      </c>
      <c r="K411" s="85" t="s">
        <v>137</v>
      </c>
      <c r="L411" s="14" t="s">
        <v>3223</v>
      </c>
      <c r="M411" s="324">
        <v>0</v>
      </c>
      <c r="N411" s="14" t="s">
        <v>1879</v>
      </c>
      <c r="O411" s="14" t="s">
        <v>1880</v>
      </c>
      <c r="P411" s="167" t="s">
        <v>147</v>
      </c>
      <c r="Q411" s="14" t="s">
        <v>138</v>
      </c>
      <c r="R411" s="170" t="s">
        <v>234</v>
      </c>
      <c r="S411" s="108">
        <f t="shared" ref="S411:S441" si="60">IF(B411="","",B411+28)</f>
        <v>45510</v>
      </c>
      <c r="T411" s="79">
        <v>45490</v>
      </c>
      <c r="U411" s="14" t="s">
        <v>3224</v>
      </c>
      <c r="V411" s="14" t="s">
        <v>3225</v>
      </c>
      <c r="W411" s="14" t="s">
        <v>1879</v>
      </c>
      <c r="X411" s="14" t="s">
        <v>1880</v>
      </c>
      <c r="Y411" s="14" t="s">
        <v>2023</v>
      </c>
      <c r="Z411" s="14"/>
      <c r="AA411" s="2">
        <f t="shared" ref="AA411:AA442" ca="1" si="61">IF(B411="",3,IF(S411&lt;$A$1,1,0))</f>
        <v>1</v>
      </c>
      <c r="AB411" s="153"/>
      <c r="AC411" s="454" t="str">
        <f t="shared" ref="AC411:AC441" si="62">LEFT(H411,1)</f>
        <v>2</v>
      </c>
    </row>
    <row r="412" spans="1:29" ht="87" x14ac:dyDescent="0.35">
      <c r="A412" s="111" t="str">
        <f t="shared" si="53"/>
        <v>Closed</v>
      </c>
      <c r="B412" s="222">
        <v>45482</v>
      </c>
      <c r="C412" s="14">
        <v>2404</v>
      </c>
      <c r="D412" s="14" t="s">
        <v>3226</v>
      </c>
      <c r="E412" s="14" t="s">
        <v>180</v>
      </c>
      <c r="F412" s="14" t="s">
        <v>2147</v>
      </c>
      <c r="G412" s="14" t="s">
        <v>1911</v>
      </c>
      <c r="H412" s="14">
        <v>107</v>
      </c>
      <c r="I412" s="176" t="s">
        <v>140</v>
      </c>
      <c r="K412" s="87"/>
      <c r="L412" s="30" t="s">
        <v>3227</v>
      </c>
      <c r="M412" s="324">
        <f t="shared" ref="M412:M432" si="63">IF(I412="Staff Accident","Entry Required",IF(I412="Assaults","Entry Required",0))</f>
        <v>0</v>
      </c>
      <c r="N412" s="14" t="s">
        <v>1879</v>
      </c>
      <c r="O412" s="14" t="s">
        <v>1879</v>
      </c>
      <c r="P412" s="167" t="s">
        <v>143</v>
      </c>
      <c r="Q412" s="14"/>
      <c r="R412" s="170">
        <v>0</v>
      </c>
      <c r="S412" s="108">
        <f t="shared" si="60"/>
        <v>45510</v>
      </c>
      <c r="T412" s="79">
        <v>45482</v>
      </c>
      <c r="U412" s="14"/>
      <c r="V412" s="14"/>
      <c r="W412" s="14"/>
      <c r="X412" s="14"/>
      <c r="Y412" s="14" t="s">
        <v>2150</v>
      </c>
      <c r="Z412" s="14"/>
      <c r="AA412" s="2">
        <f t="shared" ca="1" si="61"/>
        <v>1</v>
      </c>
      <c r="AB412" s="153"/>
      <c r="AC412" s="454" t="str">
        <f t="shared" si="62"/>
        <v>1</v>
      </c>
    </row>
    <row r="413" spans="1:29" ht="130.5" x14ac:dyDescent="0.35">
      <c r="A413" s="89" t="str">
        <f t="shared" si="53"/>
        <v>Closed</v>
      </c>
      <c r="B413" s="222">
        <v>45483</v>
      </c>
      <c r="C413" s="14">
        <v>2404</v>
      </c>
      <c r="D413" s="14" t="s">
        <v>3228</v>
      </c>
      <c r="E413" s="14" t="s">
        <v>51</v>
      </c>
      <c r="F413" s="14" t="s">
        <v>1972</v>
      </c>
      <c r="G413" s="14"/>
      <c r="H413" s="14"/>
      <c r="I413" s="176" t="s">
        <v>140</v>
      </c>
      <c r="K413" s="87"/>
      <c r="L413" s="14" t="s">
        <v>3229</v>
      </c>
      <c r="M413" s="324">
        <f t="shared" si="63"/>
        <v>0</v>
      </c>
      <c r="N413" s="14" t="s">
        <v>1879</v>
      </c>
      <c r="O413" s="14" t="s">
        <v>1879</v>
      </c>
      <c r="P413" s="167" t="s">
        <v>143</v>
      </c>
      <c r="Q413" s="14"/>
      <c r="R413" s="223">
        <v>0</v>
      </c>
      <c r="S413" s="224">
        <f t="shared" si="60"/>
        <v>45511</v>
      </c>
      <c r="T413" s="79">
        <v>45902</v>
      </c>
      <c r="U413" s="14"/>
      <c r="V413" s="14"/>
      <c r="W413" s="14"/>
      <c r="X413" s="14"/>
      <c r="Z413" s="14" t="s">
        <v>3230</v>
      </c>
      <c r="AA413" s="2">
        <f t="shared" ca="1" si="61"/>
        <v>1</v>
      </c>
      <c r="AB413" s="153"/>
      <c r="AC413" s="454" t="str">
        <f t="shared" si="62"/>
        <v/>
      </c>
    </row>
    <row r="414" spans="1:29" ht="58" x14ac:dyDescent="0.35">
      <c r="A414" s="111" t="str">
        <f t="shared" si="53"/>
        <v>Closed</v>
      </c>
      <c r="B414" s="222">
        <v>45483</v>
      </c>
      <c r="C414" s="14">
        <v>2404</v>
      </c>
      <c r="D414" s="14" t="s">
        <v>3231</v>
      </c>
      <c r="E414" s="14" t="s">
        <v>78</v>
      </c>
      <c r="F414" s="14" t="s">
        <v>2774</v>
      </c>
      <c r="G414" s="14" t="s">
        <v>1911</v>
      </c>
      <c r="H414" s="14">
        <v>101</v>
      </c>
      <c r="I414" s="176" t="s">
        <v>140</v>
      </c>
      <c r="J414" s="14">
        <v>58277</v>
      </c>
      <c r="K414" s="87"/>
      <c r="L414" s="14" t="s">
        <v>3232</v>
      </c>
      <c r="M414" s="324">
        <f t="shared" si="63"/>
        <v>0</v>
      </c>
      <c r="N414" s="14" t="s">
        <v>1879</v>
      </c>
      <c r="O414" s="14" t="s">
        <v>1880</v>
      </c>
      <c r="P414" s="167" t="s">
        <v>143</v>
      </c>
      <c r="Q414" s="14"/>
      <c r="R414" s="170">
        <v>0</v>
      </c>
      <c r="S414" s="108">
        <f t="shared" si="60"/>
        <v>45511</v>
      </c>
      <c r="T414" s="79">
        <v>45483</v>
      </c>
      <c r="U414" s="14"/>
      <c r="V414" s="14"/>
      <c r="W414" s="14"/>
      <c r="X414" s="14"/>
      <c r="Z414" s="14"/>
      <c r="AA414" s="2">
        <f t="shared" ca="1" si="61"/>
        <v>1</v>
      </c>
      <c r="AB414" s="153"/>
      <c r="AC414" s="454" t="str">
        <f t="shared" si="62"/>
        <v>1</v>
      </c>
    </row>
    <row r="415" spans="1:29" ht="83" x14ac:dyDescent="0.35">
      <c r="A415" s="111" t="str">
        <f t="shared" si="53"/>
        <v>Closed</v>
      </c>
      <c r="B415" s="222">
        <v>45484</v>
      </c>
      <c r="C415" s="14">
        <v>2404</v>
      </c>
      <c r="D415" s="14" t="s">
        <v>3233</v>
      </c>
      <c r="E415" s="14" t="s">
        <v>51</v>
      </c>
      <c r="F415" s="14" t="s">
        <v>1968</v>
      </c>
      <c r="G415" s="14" t="s">
        <v>1900</v>
      </c>
      <c r="H415" s="14">
        <v>121</v>
      </c>
      <c r="I415" s="176" t="s">
        <v>155</v>
      </c>
      <c r="K415" s="87"/>
      <c r="L415" s="14" t="s">
        <v>3234</v>
      </c>
      <c r="M415" s="324">
        <f t="shared" si="63"/>
        <v>0</v>
      </c>
      <c r="N415" s="14" t="s">
        <v>1879</v>
      </c>
      <c r="O415" s="14" t="s">
        <v>1879</v>
      </c>
      <c r="P415" s="167" t="s">
        <v>143</v>
      </c>
      <c r="Q415" s="14"/>
      <c r="R415" s="170">
        <v>0</v>
      </c>
      <c r="S415" s="108">
        <f t="shared" si="60"/>
        <v>45512</v>
      </c>
      <c r="T415" s="79">
        <v>45484</v>
      </c>
      <c r="U415" s="14"/>
      <c r="V415" s="14"/>
      <c r="W415" s="14"/>
      <c r="X415" s="14"/>
      <c r="Y415" s="14" t="s">
        <v>1970</v>
      </c>
      <c r="Z415" s="297" t="s">
        <v>3235</v>
      </c>
      <c r="AA415" s="2">
        <f t="shared" ca="1" si="61"/>
        <v>1</v>
      </c>
      <c r="AB415" s="153"/>
      <c r="AC415" s="454" t="str">
        <f t="shared" si="62"/>
        <v>1</v>
      </c>
    </row>
    <row r="416" spans="1:29" ht="87" x14ac:dyDescent="0.35">
      <c r="A416" s="111" t="str">
        <f t="shared" si="53"/>
        <v>Closed</v>
      </c>
      <c r="B416" s="222">
        <v>45484</v>
      </c>
      <c r="C416" s="14">
        <v>2404</v>
      </c>
      <c r="D416" s="14" t="s">
        <v>950</v>
      </c>
      <c r="E416" s="14" t="s">
        <v>78</v>
      </c>
      <c r="F416" s="14" t="s">
        <v>2060</v>
      </c>
      <c r="G416" s="14" t="s">
        <v>1900</v>
      </c>
      <c r="H416" s="14">
        <v>118</v>
      </c>
      <c r="I416" s="176" t="s">
        <v>155</v>
      </c>
      <c r="J416" s="14">
        <v>59665</v>
      </c>
      <c r="K416" s="87"/>
      <c r="L416" s="14" t="s">
        <v>3236</v>
      </c>
      <c r="M416" s="324">
        <f t="shared" si="63"/>
        <v>0</v>
      </c>
      <c r="N416" s="14" t="s">
        <v>1879</v>
      </c>
      <c r="O416" s="14" t="s">
        <v>1880</v>
      </c>
      <c r="P416" s="167" t="s">
        <v>147</v>
      </c>
      <c r="Q416" s="14" t="s">
        <v>175</v>
      </c>
      <c r="R416" s="170" t="s">
        <v>234</v>
      </c>
      <c r="S416" s="108">
        <f t="shared" si="60"/>
        <v>45512</v>
      </c>
      <c r="T416" s="79">
        <v>45862</v>
      </c>
      <c r="U416" s="14" t="s">
        <v>3237</v>
      </c>
      <c r="V416" s="14" t="s">
        <v>3185</v>
      </c>
      <c r="W416" s="14" t="s">
        <v>1880</v>
      </c>
      <c r="X416" s="14" t="s">
        <v>1880</v>
      </c>
      <c r="Y416" s="466" t="s">
        <v>2062</v>
      </c>
      <c r="Z416" s="14" t="s">
        <v>1897</v>
      </c>
      <c r="AA416" s="2">
        <f t="shared" ca="1" si="61"/>
        <v>1</v>
      </c>
      <c r="AB416" s="153"/>
      <c r="AC416" s="454" t="str">
        <f t="shared" si="62"/>
        <v>1</v>
      </c>
    </row>
    <row r="417" spans="1:29" ht="43.5" x14ac:dyDescent="0.35">
      <c r="A417" s="111" t="str">
        <f t="shared" si="53"/>
        <v>Closed</v>
      </c>
      <c r="B417" s="222">
        <v>45485</v>
      </c>
      <c r="C417" s="14">
        <v>2404</v>
      </c>
      <c r="D417" s="14" t="s">
        <v>3238</v>
      </c>
      <c r="E417" s="14" t="s">
        <v>180</v>
      </c>
      <c r="F417" s="14" t="s">
        <v>2080</v>
      </c>
      <c r="G417" s="14" t="s">
        <v>1911</v>
      </c>
      <c r="H417" s="14">
        <v>112</v>
      </c>
      <c r="I417" s="176" t="s">
        <v>140</v>
      </c>
      <c r="J417" s="14">
        <v>63</v>
      </c>
      <c r="K417" s="87"/>
      <c r="L417" s="14" t="s">
        <v>3239</v>
      </c>
      <c r="M417" s="324">
        <f t="shared" si="63"/>
        <v>0</v>
      </c>
      <c r="N417" s="14" t="s">
        <v>1879</v>
      </c>
      <c r="O417" s="14" t="s">
        <v>1879</v>
      </c>
      <c r="P417" s="167" t="s">
        <v>143</v>
      </c>
      <c r="Q417" s="14"/>
      <c r="R417" s="170">
        <v>0</v>
      </c>
      <c r="S417" s="108">
        <f t="shared" si="60"/>
        <v>45513</v>
      </c>
      <c r="T417" s="79">
        <v>45485</v>
      </c>
      <c r="U417" s="14"/>
      <c r="V417" s="14"/>
      <c r="W417" s="14"/>
      <c r="X417" s="14"/>
      <c r="Y417" s="14" t="s">
        <v>2084</v>
      </c>
      <c r="Z417" s="14"/>
      <c r="AA417" s="2">
        <f t="shared" ca="1" si="61"/>
        <v>1</v>
      </c>
      <c r="AB417" s="153"/>
      <c r="AC417" s="454" t="str">
        <f t="shared" si="62"/>
        <v>1</v>
      </c>
    </row>
    <row r="418" spans="1:29" ht="29" x14ac:dyDescent="0.35">
      <c r="A418" s="111" t="str">
        <f t="shared" si="53"/>
        <v>Closed</v>
      </c>
      <c r="B418" s="222">
        <v>45485</v>
      </c>
      <c r="C418" s="14">
        <v>2404</v>
      </c>
      <c r="D418" s="14" t="s">
        <v>3240</v>
      </c>
      <c r="E418" s="14" t="s">
        <v>8</v>
      </c>
      <c r="F418" s="14" t="s">
        <v>1925</v>
      </c>
      <c r="G418" s="14" t="s">
        <v>1911</v>
      </c>
      <c r="H418" s="14"/>
      <c r="I418" s="176" t="s">
        <v>140</v>
      </c>
      <c r="K418" s="87"/>
      <c r="L418" s="14" t="s">
        <v>3241</v>
      </c>
      <c r="M418" s="324">
        <f t="shared" si="63"/>
        <v>0</v>
      </c>
      <c r="N418" s="14" t="s">
        <v>1879</v>
      </c>
      <c r="O418" s="14" t="s">
        <v>1879</v>
      </c>
      <c r="P418" s="167" t="s">
        <v>143</v>
      </c>
      <c r="Q418" s="14"/>
      <c r="R418" s="170">
        <v>0</v>
      </c>
      <c r="S418" s="108">
        <f t="shared" si="60"/>
        <v>45513</v>
      </c>
      <c r="T418" s="79">
        <v>45485</v>
      </c>
      <c r="U418" s="14"/>
      <c r="V418" s="14"/>
      <c r="W418" s="14"/>
      <c r="X418" s="14"/>
      <c r="Y418" s="167" t="s">
        <v>1929</v>
      </c>
      <c r="Z418" s="14"/>
      <c r="AA418" s="2">
        <f t="shared" ca="1" si="61"/>
        <v>1</v>
      </c>
      <c r="AB418" s="153"/>
      <c r="AC418" s="454" t="str">
        <f t="shared" si="62"/>
        <v/>
      </c>
    </row>
    <row r="419" spans="1:29" ht="29" x14ac:dyDescent="0.45">
      <c r="A419" s="111" t="str">
        <f t="shared" si="53"/>
        <v>Closed</v>
      </c>
      <c r="B419" s="222">
        <v>45485</v>
      </c>
      <c r="C419" s="14">
        <v>2404</v>
      </c>
      <c r="D419" s="14" t="s">
        <v>3242</v>
      </c>
      <c r="E419" s="14" t="s">
        <v>192</v>
      </c>
      <c r="F419" s="14" t="s">
        <v>2338</v>
      </c>
      <c r="G419" s="14"/>
      <c r="H419" s="14"/>
      <c r="I419" s="176" t="s">
        <v>140</v>
      </c>
      <c r="K419" s="87"/>
      <c r="L419" s="14" t="s">
        <v>3243</v>
      </c>
      <c r="M419" s="324">
        <f t="shared" si="63"/>
        <v>0</v>
      </c>
      <c r="N419" s="14" t="s">
        <v>1879</v>
      </c>
      <c r="O419" s="14" t="s">
        <v>1879</v>
      </c>
      <c r="P419" s="167" t="s">
        <v>143</v>
      </c>
      <c r="Q419" s="14"/>
      <c r="R419" s="170">
        <v>0</v>
      </c>
      <c r="S419" s="108">
        <f t="shared" si="60"/>
        <v>45513</v>
      </c>
      <c r="T419" s="79">
        <v>45485</v>
      </c>
      <c r="U419" s="14"/>
      <c r="V419" s="14"/>
      <c r="W419" s="14"/>
      <c r="X419" s="14"/>
      <c r="Y419" s="463" t="s">
        <v>2340</v>
      </c>
      <c r="Z419" s="14"/>
      <c r="AA419" s="2">
        <f t="shared" ca="1" si="61"/>
        <v>1</v>
      </c>
      <c r="AB419" s="153"/>
      <c r="AC419" s="454" t="str">
        <f t="shared" si="62"/>
        <v/>
      </c>
    </row>
    <row r="420" spans="1:29" ht="87" x14ac:dyDescent="0.35">
      <c r="A420" s="111" t="str">
        <f t="shared" si="53"/>
        <v>Closed</v>
      </c>
      <c r="B420" s="222">
        <v>45485</v>
      </c>
      <c r="C420" s="14">
        <v>2404</v>
      </c>
      <c r="D420" s="14" t="s">
        <v>3244</v>
      </c>
      <c r="E420" s="14" t="s">
        <v>78</v>
      </c>
      <c r="F420" s="14" t="s">
        <v>3245</v>
      </c>
      <c r="G420" s="14" t="s">
        <v>1900</v>
      </c>
      <c r="H420" s="14">
        <v>113</v>
      </c>
      <c r="I420" s="176" t="s">
        <v>155</v>
      </c>
      <c r="K420" s="87"/>
      <c r="L420" s="14" t="s">
        <v>3246</v>
      </c>
      <c r="M420" s="324">
        <f t="shared" si="63"/>
        <v>0</v>
      </c>
      <c r="N420" s="14" t="s">
        <v>1879</v>
      </c>
      <c r="O420" s="14" t="s">
        <v>1880</v>
      </c>
      <c r="P420" s="167" t="s">
        <v>147</v>
      </c>
      <c r="Q420" s="112" t="s">
        <v>175</v>
      </c>
      <c r="R420" s="170" t="s">
        <v>234</v>
      </c>
      <c r="S420" s="108">
        <f t="shared" si="60"/>
        <v>45513</v>
      </c>
      <c r="T420" s="79">
        <v>45488</v>
      </c>
      <c r="U420" s="14" t="s">
        <v>3247</v>
      </c>
      <c r="V420" s="14" t="s">
        <v>2850</v>
      </c>
      <c r="W420" s="14" t="s">
        <v>1879</v>
      </c>
      <c r="X420" s="14" t="s">
        <v>1883</v>
      </c>
      <c r="Z420" s="14" t="s">
        <v>2466</v>
      </c>
      <c r="AA420" s="2">
        <f t="shared" ca="1" si="61"/>
        <v>1</v>
      </c>
      <c r="AB420" s="153"/>
      <c r="AC420" s="454" t="str">
        <f t="shared" si="62"/>
        <v>1</v>
      </c>
    </row>
    <row r="421" spans="1:29" ht="29" x14ac:dyDescent="0.35">
      <c r="A421" s="111" t="str">
        <f t="shared" si="53"/>
        <v>Closed</v>
      </c>
      <c r="B421" s="222">
        <v>45486</v>
      </c>
      <c r="C421" s="14">
        <v>2404</v>
      </c>
      <c r="D421" s="14" t="s">
        <v>3248</v>
      </c>
      <c r="E421" s="14" t="s">
        <v>192</v>
      </c>
      <c r="F421" s="14" t="s">
        <v>2091</v>
      </c>
      <c r="G421" s="14"/>
      <c r="H421" s="14"/>
      <c r="I421" s="176" t="s">
        <v>140</v>
      </c>
      <c r="K421" s="87"/>
      <c r="L421" s="14" t="s">
        <v>3249</v>
      </c>
      <c r="M421" s="324">
        <f t="shared" si="63"/>
        <v>0</v>
      </c>
      <c r="N421" s="14" t="s">
        <v>1879</v>
      </c>
      <c r="O421" s="14" t="s">
        <v>1879</v>
      </c>
      <c r="P421" s="167" t="s">
        <v>143</v>
      </c>
      <c r="Q421" s="14"/>
      <c r="R421" s="170">
        <v>0</v>
      </c>
      <c r="S421" s="108">
        <f t="shared" si="60"/>
        <v>45514</v>
      </c>
      <c r="T421" s="79">
        <v>45486</v>
      </c>
      <c r="U421" s="14"/>
      <c r="V421" s="14"/>
      <c r="W421" s="14"/>
      <c r="X421" s="14"/>
      <c r="Y421" s="85" t="s">
        <v>2093</v>
      </c>
      <c r="Z421" s="14"/>
      <c r="AA421" s="2">
        <f t="shared" ca="1" si="61"/>
        <v>1</v>
      </c>
      <c r="AB421" s="153"/>
      <c r="AC421" s="454" t="str">
        <f t="shared" si="62"/>
        <v/>
      </c>
    </row>
    <row r="422" spans="1:29" ht="87" x14ac:dyDescent="0.35">
      <c r="A422" s="111" t="str">
        <f t="shared" si="53"/>
        <v>Closed</v>
      </c>
      <c r="B422" s="222">
        <v>45486</v>
      </c>
      <c r="C422" s="14">
        <v>2404</v>
      </c>
      <c r="D422" s="14" t="s">
        <v>3250</v>
      </c>
      <c r="E422" s="14" t="s">
        <v>27</v>
      </c>
      <c r="F422" s="14" t="s">
        <v>1937</v>
      </c>
      <c r="G422" s="14" t="s">
        <v>1911</v>
      </c>
      <c r="H422" s="14">
        <v>101</v>
      </c>
      <c r="I422" s="176" t="s">
        <v>5</v>
      </c>
      <c r="J422" s="14">
        <v>541</v>
      </c>
      <c r="K422" s="87"/>
      <c r="L422" s="14" t="s">
        <v>3251</v>
      </c>
      <c r="M422" s="324">
        <f t="shared" si="63"/>
        <v>0</v>
      </c>
      <c r="N422" s="14" t="s">
        <v>1879</v>
      </c>
      <c r="O422" s="14" t="s">
        <v>1880</v>
      </c>
      <c r="P422" s="167" t="s">
        <v>147</v>
      </c>
      <c r="Q422" s="112" t="s">
        <v>174</v>
      </c>
      <c r="R422" s="170" t="s">
        <v>234</v>
      </c>
      <c r="S422" s="108">
        <f t="shared" si="60"/>
        <v>45514</v>
      </c>
      <c r="T422" s="79">
        <v>45546</v>
      </c>
      <c r="U422" s="14" t="s">
        <v>3252</v>
      </c>
      <c r="V422" s="14" t="s">
        <v>3253</v>
      </c>
      <c r="W422" s="14" t="s">
        <v>1879</v>
      </c>
      <c r="X422" s="14" t="s">
        <v>1883</v>
      </c>
      <c r="Z422" s="14" t="s">
        <v>2415</v>
      </c>
      <c r="AA422" s="2">
        <f t="shared" ca="1" si="61"/>
        <v>1</v>
      </c>
      <c r="AB422" s="153"/>
      <c r="AC422" s="454" t="str">
        <f t="shared" si="62"/>
        <v>1</v>
      </c>
    </row>
    <row r="423" spans="1:29" ht="72.5" x14ac:dyDescent="0.35">
      <c r="A423" s="111" t="str">
        <f t="shared" ref="A423:A485" si="64">IF(T423&gt;1,"Closed",IF(AA423=1,"Overdue",IF(AA423=3,"","Open")))</f>
        <v>Closed</v>
      </c>
      <c r="B423" s="222">
        <v>45486</v>
      </c>
      <c r="C423" s="14">
        <v>2404</v>
      </c>
      <c r="D423" s="14" t="s">
        <v>3254</v>
      </c>
      <c r="E423" s="14" t="s">
        <v>180</v>
      </c>
      <c r="F423" s="14" t="s">
        <v>2048</v>
      </c>
      <c r="G423" s="14" t="s">
        <v>1911</v>
      </c>
      <c r="H423" s="14">
        <v>112</v>
      </c>
      <c r="I423" s="176" t="s">
        <v>140</v>
      </c>
      <c r="K423" s="87"/>
      <c r="L423" s="14" t="s">
        <v>3255</v>
      </c>
      <c r="M423" s="324">
        <f t="shared" si="63"/>
        <v>0</v>
      </c>
      <c r="N423" s="14" t="s">
        <v>1879</v>
      </c>
      <c r="O423" s="14" t="s">
        <v>1879</v>
      </c>
      <c r="P423" s="167" t="s">
        <v>143</v>
      </c>
      <c r="Q423" s="14"/>
      <c r="R423" s="170">
        <v>0</v>
      </c>
      <c r="S423" s="108">
        <f t="shared" si="60"/>
        <v>45514</v>
      </c>
      <c r="T423" s="79">
        <v>45486</v>
      </c>
      <c r="U423" s="14"/>
      <c r="V423" s="14"/>
      <c r="W423" s="14"/>
      <c r="X423" s="14"/>
      <c r="Y423" s="167" t="s">
        <v>2050</v>
      </c>
      <c r="Z423" s="14"/>
      <c r="AA423" s="2">
        <f t="shared" ca="1" si="61"/>
        <v>1</v>
      </c>
      <c r="AB423" s="153"/>
      <c r="AC423" s="454" t="str">
        <f t="shared" si="62"/>
        <v>1</v>
      </c>
    </row>
    <row r="424" spans="1:29" ht="43.5" x14ac:dyDescent="0.35">
      <c r="A424" s="111" t="str">
        <f t="shared" si="64"/>
        <v>Closed</v>
      </c>
      <c r="B424" s="222">
        <v>45486</v>
      </c>
      <c r="C424" s="14">
        <v>2404</v>
      </c>
      <c r="D424" s="14" t="s">
        <v>3256</v>
      </c>
      <c r="E424" s="14" t="s">
        <v>72</v>
      </c>
      <c r="F424" s="14" t="s">
        <v>1910</v>
      </c>
      <c r="G424" s="14"/>
      <c r="H424" s="14">
        <v>117</v>
      </c>
      <c r="I424" s="176" t="s">
        <v>155</v>
      </c>
      <c r="J424" s="14">
        <v>254</v>
      </c>
      <c r="K424" s="87"/>
      <c r="L424" s="14" t="s">
        <v>3257</v>
      </c>
      <c r="M424" s="324">
        <f t="shared" si="63"/>
        <v>0</v>
      </c>
      <c r="N424" s="14" t="s">
        <v>1879</v>
      </c>
      <c r="O424" s="14" t="s">
        <v>1879</v>
      </c>
      <c r="P424" s="167" t="s">
        <v>147</v>
      </c>
      <c r="Q424" s="112" t="s">
        <v>177</v>
      </c>
      <c r="R424" s="170" t="s">
        <v>234</v>
      </c>
      <c r="S424" s="108">
        <f t="shared" si="60"/>
        <v>45514</v>
      </c>
      <c r="T424" s="79">
        <v>45508</v>
      </c>
      <c r="U424" s="14" t="s">
        <v>3258</v>
      </c>
      <c r="V424" s="14" t="s">
        <v>3259</v>
      </c>
      <c r="W424" s="14" t="s">
        <v>1880</v>
      </c>
      <c r="X424" s="176" t="s">
        <v>154</v>
      </c>
      <c r="Y424" s="15" t="s">
        <v>1915</v>
      </c>
      <c r="Z424" s="87" t="s">
        <v>3260</v>
      </c>
      <c r="AA424" s="2">
        <f t="shared" ca="1" si="61"/>
        <v>1</v>
      </c>
      <c r="AB424" s="153"/>
      <c r="AC424" s="454" t="str">
        <f t="shared" si="62"/>
        <v>1</v>
      </c>
    </row>
    <row r="425" spans="1:29" ht="58" x14ac:dyDescent="0.35">
      <c r="A425" s="89" t="str">
        <f t="shared" si="64"/>
        <v>Closed</v>
      </c>
      <c r="B425" s="222">
        <v>45488</v>
      </c>
      <c r="C425" s="14">
        <v>2404</v>
      </c>
      <c r="D425" s="14" t="s">
        <v>3261</v>
      </c>
      <c r="E425" s="14" t="s">
        <v>196</v>
      </c>
      <c r="F425" s="14" t="s">
        <v>2804</v>
      </c>
      <c r="G425" s="14" t="s">
        <v>1900</v>
      </c>
      <c r="H425" s="14">
        <v>113</v>
      </c>
      <c r="I425" s="176" t="s">
        <v>155</v>
      </c>
      <c r="K425" s="87"/>
      <c r="L425" s="14" t="s">
        <v>3262</v>
      </c>
      <c r="M425" s="324">
        <f t="shared" si="63"/>
        <v>0</v>
      </c>
      <c r="N425" s="14" t="s">
        <v>1879</v>
      </c>
      <c r="O425" s="14" t="s">
        <v>1880</v>
      </c>
      <c r="P425" s="167" t="s">
        <v>147</v>
      </c>
      <c r="Q425" s="14" t="s">
        <v>135</v>
      </c>
      <c r="R425" s="223" t="s">
        <v>234</v>
      </c>
      <c r="S425" s="224">
        <f t="shared" si="60"/>
        <v>45516</v>
      </c>
      <c r="T425" s="79">
        <v>45902</v>
      </c>
      <c r="U425" s="14"/>
      <c r="V425" s="14"/>
      <c r="W425" s="14"/>
      <c r="X425" s="14"/>
      <c r="Y425" s="14" t="s">
        <v>2185</v>
      </c>
      <c r="Z425" s="14" t="s">
        <v>3263</v>
      </c>
      <c r="AA425" s="2">
        <f t="shared" ca="1" si="61"/>
        <v>1</v>
      </c>
      <c r="AB425" s="153"/>
      <c r="AC425" s="454" t="str">
        <f t="shared" si="62"/>
        <v>1</v>
      </c>
    </row>
    <row r="426" spans="1:29" ht="29" x14ac:dyDescent="0.35">
      <c r="A426" s="111" t="str">
        <f t="shared" si="64"/>
        <v>Closed</v>
      </c>
      <c r="B426" s="222">
        <v>45488</v>
      </c>
      <c r="C426" s="14">
        <v>2404</v>
      </c>
      <c r="D426" s="14" t="s">
        <v>3264</v>
      </c>
      <c r="E426" s="14" t="s">
        <v>192</v>
      </c>
      <c r="F426" s="167" t="s">
        <v>2162</v>
      </c>
      <c r="G426" s="14"/>
      <c r="H426" s="14">
        <v>113</v>
      </c>
      <c r="I426" s="176" t="s">
        <v>140</v>
      </c>
      <c r="K426" s="87"/>
      <c r="L426" s="14" t="s">
        <v>3265</v>
      </c>
      <c r="M426" s="324">
        <f t="shared" si="63"/>
        <v>0</v>
      </c>
      <c r="N426" s="14" t="s">
        <v>1879</v>
      </c>
      <c r="O426" s="14" t="s">
        <v>1880</v>
      </c>
      <c r="P426" s="167" t="s">
        <v>143</v>
      </c>
      <c r="Q426" s="14"/>
      <c r="R426" s="170">
        <f t="shared" ref="R426" si="65">IF(I426="Staff Accident","Entry Required",IF(I426="Assaults","Entry Required",0))</f>
        <v>0</v>
      </c>
      <c r="S426" s="108">
        <f t="shared" si="60"/>
        <v>45516</v>
      </c>
      <c r="T426" s="79">
        <v>45488</v>
      </c>
      <c r="U426" s="14"/>
      <c r="V426" s="14"/>
      <c r="W426" s="14"/>
      <c r="X426" s="14"/>
      <c r="Y426" s="15" t="s">
        <v>2164</v>
      </c>
      <c r="Z426" s="87"/>
      <c r="AA426" s="2">
        <f t="shared" ca="1" si="61"/>
        <v>1</v>
      </c>
      <c r="AB426" s="153"/>
      <c r="AC426" s="454" t="str">
        <f t="shared" si="62"/>
        <v>1</v>
      </c>
    </row>
    <row r="427" spans="1:29" ht="87" x14ac:dyDescent="0.35">
      <c r="A427" s="111" t="str">
        <f t="shared" si="64"/>
        <v>Closed</v>
      </c>
      <c r="B427" s="222">
        <v>45490</v>
      </c>
      <c r="C427" s="14">
        <v>2404</v>
      </c>
      <c r="D427" s="14" t="s">
        <v>3266</v>
      </c>
      <c r="E427" s="14" t="s">
        <v>192</v>
      </c>
      <c r="F427" s="14" t="s">
        <v>2953</v>
      </c>
      <c r="G427" s="14" t="s">
        <v>1911</v>
      </c>
      <c r="H427" s="14">
        <v>101</v>
      </c>
      <c r="I427" s="176" t="s">
        <v>140</v>
      </c>
      <c r="K427" s="87"/>
      <c r="L427" s="14" t="s">
        <v>3267</v>
      </c>
      <c r="M427" s="324">
        <f t="shared" si="63"/>
        <v>0</v>
      </c>
      <c r="N427" s="14" t="s">
        <v>1879</v>
      </c>
      <c r="O427" s="14" t="s">
        <v>1879</v>
      </c>
      <c r="P427" s="167" t="s">
        <v>143</v>
      </c>
      <c r="Q427" s="14"/>
      <c r="R427" s="170">
        <v>0</v>
      </c>
      <c r="S427" s="108">
        <f t="shared" si="60"/>
        <v>45518</v>
      </c>
      <c r="T427" s="79">
        <v>45490</v>
      </c>
      <c r="U427" s="14"/>
      <c r="V427" s="14"/>
      <c r="W427" s="14"/>
      <c r="X427" s="14"/>
      <c r="Y427" s="88"/>
      <c r="Z427" s="14"/>
      <c r="AA427" s="2">
        <f t="shared" ca="1" si="61"/>
        <v>1</v>
      </c>
      <c r="AB427" s="153"/>
      <c r="AC427" s="454" t="str">
        <f t="shared" si="62"/>
        <v>1</v>
      </c>
    </row>
    <row r="428" spans="1:29" ht="29" x14ac:dyDescent="0.35">
      <c r="A428" s="111" t="str">
        <f t="shared" si="64"/>
        <v>Closed</v>
      </c>
      <c r="B428" s="222">
        <v>45490</v>
      </c>
      <c r="C428" s="14">
        <v>2404</v>
      </c>
      <c r="D428" s="14" t="s">
        <v>3268</v>
      </c>
      <c r="E428" s="14" t="s">
        <v>8</v>
      </c>
      <c r="F428" s="14" t="s">
        <v>2073</v>
      </c>
      <c r="G428" s="14"/>
      <c r="H428" s="14">
        <v>101</v>
      </c>
      <c r="I428" s="176" t="s">
        <v>140</v>
      </c>
      <c r="K428" s="87"/>
      <c r="L428" s="14" t="s">
        <v>3269</v>
      </c>
      <c r="M428" s="324">
        <f t="shared" si="63"/>
        <v>0</v>
      </c>
      <c r="N428" s="14" t="s">
        <v>1879</v>
      </c>
      <c r="O428" s="14" t="s">
        <v>1879</v>
      </c>
      <c r="P428" s="167" t="s">
        <v>143</v>
      </c>
      <c r="Q428" s="14"/>
      <c r="R428" s="170">
        <v>0</v>
      </c>
      <c r="S428" s="108">
        <f t="shared" si="60"/>
        <v>45518</v>
      </c>
      <c r="T428" s="79">
        <v>45490</v>
      </c>
      <c r="U428" s="14"/>
      <c r="V428" s="14"/>
      <c r="W428" s="14"/>
      <c r="X428" s="14"/>
      <c r="Z428" s="14"/>
      <c r="AA428" s="2">
        <f t="shared" ca="1" si="61"/>
        <v>1</v>
      </c>
      <c r="AB428" s="153"/>
      <c r="AC428" s="454" t="str">
        <f t="shared" si="62"/>
        <v>1</v>
      </c>
    </row>
    <row r="429" spans="1:29" ht="43.5" x14ac:dyDescent="0.35">
      <c r="A429" s="111" t="str">
        <f t="shared" si="64"/>
        <v>Closed</v>
      </c>
      <c r="B429" s="222">
        <v>45491</v>
      </c>
      <c r="C429" s="14">
        <v>2404</v>
      </c>
      <c r="D429" s="14" t="s">
        <v>3270</v>
      </c>
      <c r="E429" s="14" t="s">
        <v>31</v>
      </c>
      <c r="F429" s="167" t="s">
        <v>2432</v>
      </c>
      <c r="G429" s="14" t="s">
        <v>1900</v>
      </c>
      <c r="H429" s="14">
        <v>109</v>
      </c>
      <c r="I429" s="176" t="s">
        <v>140</v>
      </c>
      <c r="J429" s="14">
        <v>8508846</v>
      </c>
      <c r="K429" s="87"/>
      <c r="L429" s="14" t="s">
        <v>3271</v>
      </c>
      <c r="M429" s="324">
        <f t="shared" si="63"/>
        <v>0</v>
      </c>
      <c r="N429" s="14" t="s">
        <v>1879</v>
      </c>
      <c r="O429" s="14" t="s">
        <v>1879</v>
      </c>
      <c r="P429" s="167" t="s">
        <v>143</v>
      </c>
      <c r="Q429" s="112"/>
      <c r="R429" s="170">
        <v>0</v>
      </c>
      <c r="S429" s="108">
        <f t="shared" si="60"/>
        <v>45519</v>
      </c>
      <c r="T429" s="79">
        <v>45546</v>
      </c>
      <c r="U429" s="14"/>
      <c r="V429" s="14"/>
      <c r="W429" s="14"/>
      <c r="X429" s="14"/>
      <c r="Y429" s="2" t="s">
        <v>2436</v>
      </c>
      <c r="Z429" s="14"/>
      <c r="AA429" s="2">
        <f t="shared" ca="1" si="61"/>
        <v>1</v>
      </c>
      <c r="AB429" s="153"/>
      <c r="AC429" s="454" t="str">
        <f t="shared" si="62"/>
        <v>1</v>
      </c>
    </row>
    <row r="430" spans="1:29" ht="73" thickBot="1" x14ac:dyDescent="0.5">
      <c r="A430" s="111" t="str">
        <f t="shared" si="64"/>
        <v>Closed</v>
      </c>
      <c r="B430" s="222">
        <v>45491</v>
      </c>
      <c r="C430" s="14">
        <v>2404</v>
      </c>
      <c r="D430" s="14" t="s">
        <v>3272</v>
      </c>
      <c r="E430" s="14" t="s">
        <v>192</v>
      </c>
      <c r="F430" s="14" t="s">
        <v>2338</v>
      </c>
      <c r="G430" s="14"/>
      <c r="H430" s="14"/>
      <c r="I430" s="176" t="s">
        <v>140</v>
      </c>
      <c r="K430" s="87"/>
      <c r="L430" s="14" t="s">
        <v>3273</v>
      </c>
      <c r="M430" s="324">
        <f t="shared" si="63"/>
        <v>0</v>
      </c>
      <c r="N430" s="14" t="s">
        <v>1879</v>
      </c>
      <c r="O430" s="14" t="s">
        <v>1879</v>
      </c>
      <c r="P430" s="167" t="s">
        <v>143</v>
      </c>
      <c r="Q430" s="14"/>
      <c r="R430" s="170">
        <v>0</v>
      </c>
      <c r="S430" s="108">
        <f t="shared" si="60"/>
        <v>45519</v>
      </c>
      <c r="T430" s="79">
        <v>45400</v>
      </c>
      <c r="U430" s="14"/>
      <c r="V430" s="14"/>
      <c r="W430" s="14"/>
      <c r="X430" s="14"/>
      <c r="Y430" s="463" t="s">
        <v>2340</v>
      </c>
      <c r="Z430" s="14"/>
      <c r="AA430" s="2">
        <f t="shared" ca="1" si="61"/>
        <v>1</v>
      </c>
      <c r="AB430" s="153"/>
      <c r="AC430" s="454" t="str">
        <f t="shared" si="62"/>
        <v/>
      </c>
    </row>
    <row r="431" spans="1:29" ht="44" thickBot="1" x14ac:dyDescent="0.4">
      <c r="A431" s="111" t="str">
        <f t="shared" si="64"/>
        <v>Closed</v>
      </c>
      <c r="B431" s="222">
        <v>45492</v>
      </c>
      <c r="C431" s="14">
        <v>2404</v>
      </c>
      <c r="D431" s="14" t="s">
        <v>3274</v>
      </c>
      <c r="E431" s="14" t="s">
        <v>37</v>
      </c>
      <c r="F431" s="14" t="s">
        <v>2196</v>
      </c>
      <c r="G431" s="14" t="s">
        <v>1900</v>
      </c>
      <c r="H431" s="14">
        <v>101</v>
      </c>
      <c r="I431" s="176" t="s">
        <v>155</v>
      </c>
      <c r="J431" s="14">
        <v>391</v>
      </c>
      <c r="K431" s="87"/>
      <c r="L431" s="14" t="s">
        <v>3275</v>
      </c>
      <c r="M431" s="324">
        <f t="shared" si="63"/>
        <v>0</v>
      </c>
      <c r="N431" s="14" t="s">
        <v>1879</v>
      </c>
      <c r="O431" s="14" t="s">
        <v>1880</v>
      </c>
      <c r="P431" s="167" t="s">
        <v>147</v>
      </c>
      <c r="Q431" s="112" t="s">
        <v>174</v>
      </c>
      <c r="R431" s="170" t="s">
        <v>234</v>
      </c>
      <c r="S431" s="108">
        <f t="shared" si="60"/>
        <v>45520</v>
      </c>
      <c r="T431" s="79">
        <v>45546</v>
      </c>
      <c r="U431" s="14" t="s">
        <v>3276</v>
      </c>
      <c r="V431" s="14" t="s">
        <v>3277</v>
      </c>
      <c r="W431" s="14" t="s">
        <v>1880</v>
      </c>
      <c r="X431" s="14" t="s">
        <v>1883</v>
      </c>
      <c r="Y431" s="464" t="s">
        <v>2164</v>
      </c>
      <c r="Z431" s="14" t="s">
        <v>3278</v>
      </c>
      <c r="AA431" s="2">
        <f t="shared" ca="1" si="61"/>
        <v>1</v>
      </c>
      <c r="AB431" s="153"/>
      <c r="AC431" s="454" t="str">
        <f t="shared" si="62"/>
        <v>1</v>
      </c>
    </row>
    <row r="432" spans="1:29" ht="29" x14ac:dyDescent="0.35">
      <c r="A432" s="111" t="str">
        <f t="shared" si="64"/>
        <v>Closed</v>
      </c>
      <c r="B432" s="222">
        <v>45492</v>
      </c>
      <c r="C432" s="14">
        <v>2404</v>
      </c>
      <c r="D432" s="14" t="s">
        <v>3279</v>
      </c>
      <c r="E432" s="14" t="s">
        <v>1997</v>
      </c>
      <c r="F432" s="167" t="s">
        <v>1947</v>
      </c>
      <c r="G432" s="14" t="s">
        <v>1900</v>
      </c>
      <c r="H432" s="14">
        <v>120</v>
      </c>
      <c r="I432" s="176" t="s">
        <v>140</v>
      </c>
      <c r="J432" s="14">
        <v>1353</v>
      </c>
      <c r="K432" s="87"/>
      <c r="L432" s="14" t="s">
        <v>3280</v>
      </c>
      <c r="M432" s="324">
        <f t="shared" si="63"/>
        <v>0</v>
      </c>
      <c r="N432" s="14" t="s">
        <v>1879</v>
      </c>
      <c r="O432" s="14" t="s">
        <v>1879</v>
      </c>
      <c r="P432" s="167" t="s">
        <v>143</v>
      </c>
      <c r="Q432" s="14"/>
      <c r="R432" s="170">
        <v>0</v>
      </c>
      <c r="S432" s="108">
        <f t="shared" si="60"/>
        <v>45520</v>
      </c>
      <c r="T432" s="79">
        <v>45492</v>
      </c>
      <c r="U432" s="14"/>
      <c r="V432" s="14"/>
      <c r="W432" s="14"/>
      <c r="X432" s="14"/>
      <c r="Y432" s="167" t="s">
        <v>1951</v>
      </c>
      <c r="Z432" s="14"/>
      <c r="AA432" s="2">
        <f t="shared" ca="1" si="61"/>
        <v>1</v>
      </c>
      <c r="AB432" s="153"/>
      <c r="AC432" s="454" t="str">
        <f t="shared" si="62"/>
        <v>1</v>
      </c>
    </row>
    <row r="433" spans="1:29" ht="58" x14ac:dyDescent="0.35">
      <c r="A433" s="111" t="str">
        <f t="shared" si="64"/>
        <v>Closed</v>
      </c>
      <c r="B433" s="222">
        <v>45492</v>
      </c>
      <c r="C433" s="14">
        <v>2404</v>
      </c>
      <c r="D433" s="14" t="s">
        <v>3281</v>
      </c>
      <c r="E433" s="14" t="s">
        <v>42</v>
      </c>
      <c r="F433" s="14" t="s">
        <v>1968</v>
      </c>
      <c r="G433" s="14" t="s">
        <v>1900</v>
      </c>
      <c r="H433" s="14"/>
      <c r="I433" s="176" t="s">
        <v>4</v>
      </c>
      <c r="J433" s="14">
        <v>81716</v>
      </c>
      <c r="K433" s="14" t="s">
        <v>137</v>
      </c>
      <c r="L433" s="14" t="s">
        <v>3282</v>
      </c>
      <c r="M433" s="324">
        <v>0</v>
      </c>
      <c r="N433" s="14" t="s">
        <v>1879</v>
      </c>
      <c r="O433" s="14" t="s">
        <v>1880</v>
      </c>
      <c r="P433" s="167" t="s">
        <v>139</v>
      </c>
      <c r="Q433" s="112" t="s">
        <v>168</v>
      </c>
      <c r="R433" s="170" t="s">
        <v>234</v>
      </c>
      <c r="S433" s="108">
        <f t="shared" si="60"/>
        <v>45520</v>
      </c>
      <c r="T433" s="79">
        <v>45544</v>
      </c>
      <c r="U433" s="14" t="s">
        <v>3283</v>
      </c>
      <c r="V433" s="14" t="s">
        <v>3284</v>
      </c>
      <c r="W433" s="14" t="s">
        <v>1879</v>
      </c>
      <c r="X433" s="14" t="s">
        <v>1883</v>
      </c>
      <c r="Y433" s="14" t="s">
        <v>1970</v>
      </c>
      <c r="Z433" s="14" t="s">
        <v>3285</v>
      </c>
      <c r="AA433" s="2">
        <f t="shared" ca="1" si="61"/>
        <v>1</v>
      </c>
      <c r="AB433" s="153"/>
      <c r="AC433" s="454" t="str">
        <f t="shared" si="62"/>
        <v/>
      </c>
    </row>
    <row r="434" spans="1:29" ht="58" x14ac:dyDescent="0.35">
      <c r="A434" s="89" t="str">
        <f t="shared" si="64"/>
        <v>Closed</v>
      </c>
      <c r="B434" s="222">
        <v>45493</v>
      </c>
      <c r="C434" s="14">
        <v>2404</v>
      </c>
      <c r="D434" s="14" t="s">
        <v>1552</v>
      </c>
      <c r="E434" s="14" t="s">
        <v>42</v>
      </c>
      <c r="F434" s="167" t="s">
        <v>2041</v>
      </c>
      <c r="G434" s="14" t="s">
        <v>1911</v>
      </c>
      <c r="H434" s="14"/>
      <c r="I434" s="176" t="s">
        <v>4</v>
      </c>
      <c r="J434" s="14">
        <v>169</v>
      </c>
      <c r="K434" s="14" t="s">
        <v>137</v>
      </c>
      <c r="L434" s="14" t="s">
        <v>3286</v>
      </c>
      <c r="M434" s="324">
        <v>0</v>
      </c>
      <c r="N434" s="14" t="s">
        <v>1879</v>
      </c>
      <c r="O434" s="14" t="s">
        <v>1880</v>
      </c>
      <c r="P434" s="167" t="s">
        <v>139</v>
      </c>
      <c r="Q434" s="14" t="s">
        <v>138</v>
      </c>
      <c r="R434" s="223" t="s">
        <v>234</v>
      </c>
      <c r="S434" s="224">
        <f t="shared" si="60"/>
        <v>45521</v>
      </c>
      <c r="T434" s="79">
        <v>45500</v>
      </c>
      <c r="U434" s="14" t="s">
        <v>3287</v>
      </c>
      <c r="V434" s="14" t="s">
        <v>3288</v>
      </c>
      <c r="W434" s="14" t="s">
        <v>1879</v>
      </c>
      <c r="X434" s="14" t="s">
        <v>1880</v>
      </c>
      <c r="Y434" s="2" t="s">
        <v>2045</v>
      </c>
      <c r="Z434" s="14" t="s">
        <v>3289</v>
      </c>
      <c r="AA434" s="2">
        <f t="shared" ca="1" si="61"/>
        <v>1</v>
      </c>
      <c r="AB434" s="153"/>
      <c r="AC434" s="454" t="str">
        <f t="shared" si="62"/>
        <v/>
      </c>
    </row>
    <row r="435" spans="1:29" ht="116" x14ac:dyDescent="0.35">
      <c r="A435" s="89" t="str">
        <f t="shared" si="64"/>
        <v>Closed</v>
      </c>
      <c r="B435" s="222">
        <v>45493</v>
      </c>
      <c r="C435" s="14">
        <v>2404</v>
      </c>
      <c r="D435" s="14" t="s">
        <v>3290</v>
      </c>
      <c r="E435" s="14" t="s">
        <v>78</v>
      </c>
      <c r="F435" s="14" t="s">
        <v>2003</v>
      </c>
      <c r="G435" s="14" t="s">
        <v>1900</v>
      </c>
      <c r="H435" s="14">
        <v>106</v>
      </c>
      <c r="I435" s="176" t="s">
        <v>155</v>
      </c>
      <c r="J435" s="14">
        <v>41395</v>
      </c>
      <c r="K435" s="87"/>
      <c r="L435" s="328" t="s">
        <v>3291</v>
      </c>
      <c r="M435" s="324">
        <f t="shared" ref="M435:M448" si="66">IF(I435="Staff Accident","Entry Required",IF(I435="Assaults","Entry Required",0))</f>
        <v>0</v>
      </c>
      <c r="N435" s="14" t="s">
        <v>1880</v>
      </c>
      <c r="O435" s="14" t="s">
        <v>1880</v>
      </c>
      <c r="P435" s="167" t="s">
        <v>147</v>
      </c>
      <c r="Q435" s="14" t="s">
        <v>135</v>
      </c>
      <c r="R435" s="223" t="s">
        <v>234</v>
      </c>
      <c r="S435" s="224">
        <f t="shared" si="60"/>
        <v>45521</v>
      </c>
      <c r="T435" s="79">
        <v>45902</v>
      </c>
      <c r="U435" s="14"/>
      <c r="V435" s="14"/>
      <c r="W435" s="14"/>
      <c r="X435" s="14"/>
      <c r="Y435" s="15" t="s">
        <v>2007</v>
      </c>
      <c r="Z435" s="14" t="s">
        <v>3065</v>
      </c>
      <c r="AA435" s="2">
        <f t="shared" ca="1" si="61"/>
        <v>1</v>
      </c>
      <c r="AB435" s="153"/>
      <c r="AC435" s="454" t="str">
        <f t="shared" si="62"/>
        <v>1</v>
      </c>
    </row>
    <row r="436" spans="1:29" ht="43.5" x14ac:dyDescent="0.35">
      <c r="A436" s="111" t="str">
        <f t="shared" si="64"/>
        <v>Closed</v>
      </c>
      <c r="B436" s="222">
        <v>45493</v>
      </c>
      <c r="C436" s="14">
        <v>2404</v>
      </c>
      <c r="D436" s="14" t="s">
        <v>3292</v>
      </c>
      <c r="E436" s="14" t="s">
        <v>8</v>
      </c>
      <c r="F436" s="14" t="s">
        <v>2262</v>
      </c>
      <c r="G436" s="14" t="s">
        <v>1911</v>
      </c>
      <c r="H436" s="14">
        <v>102</v>
      </c>
      <c r="I436" s="176" t="s">
        <v>140</v>
      </c>
      <c r="K436" s="87"/>
      <c r="L436" s="14" t="s">
        <v>3293</v>
      </c>
      <c r="M436" s="324">
        <f t="shared" si="66"/>
        <v>0</v>
      </c>
      <c r="N436" s="14" t="s">
        <v>1879</v>
      </c>
      <c r="O436" s="14" t="s">
        <v>1879</v>
      </c>
      <c r="P436" s="167" t="s">
        <v>143</v>
      </c>
      <c r="Q436" s="14"/>
      <c r="R436" s="170">
        <v>0</v>
      </c>
      <c r="S436" s="108">
        <f t="shared" si="60"/>
        <v>45521</v>
      </c>
      <c r="T436" s="79">
        <v>45493</v>
      </c>
      <c r="U436" s="14"/>
      <c r="V436" s="14"/>
      <c r="W436" s="14"/>
      <c r="X436" s="14"/>
      <c r="Y436" s="88" t="s">
        <v>2185</v>
      </c>
      <c r="Z436" s="14"/>
      <c r="AA436" s="2">
        <f t="shared" ca="1" si="61"/>
        <v>1</v>
      </c>
      <c r="AB436" s="153"/>
      <c r="AC436" s="454" t="str">
        <f t="shared" si="62"/>
        <v>1</v>
      </c>
    </row>
    <row r="437" spans="1:29" ht="58" x14ac:dyDescent="0.35">
      <c r="A437" s="111" t="str">
        <f t="shared" si="64"/>
        <v>Closed</v>
      </c>
      <c r="B437" s="222">
        <v>45493</v>
      </c>
      <c r="C437" s="14">
        <v>2404</v>
      </c>
      <c r="D437" s="14" t="s">
        <v>3294</v>
      </c>
      <c r="E437" s="14" t="s">
        <v>27</v>
      </c>
      <c r="F437" s="14" t="s">
        <v>2080</v>
      </c>
      <c r="G437" s="14" t="s">
        <v>1911</v>
      </c>
      <c r="H437" s="14">
        <v>104</v>
      </c>
      <c r="I437" s="176" t="s">
        <v>5</v>
      </c>
      <c r="J437" s="14">
        <v>8512745</v>
      </c>
      <c r="K437" s="87"/>
      <c r="L437" s="14" t="s">
        <v>3295</v>
      </c>
      <c r="M437" s="324">
        <f t="shared" si="66"/>
        <v>0</v>
      </c>
      <c r="N437" s="14" t="s">
        <v>1879</v>
      </c>
      <c r="O437" s="14" t="s">
        <v>1879</v>
      </c>
      <c r="P437" s="167" t="s">
        <v>147</v>
      </c>
      <c r="Q437" s="112" t="s">
        <v>177</v>
      </c>
      <c r="R437" s="170" t="s">
        <v>234</v>
      </c>
      <c r="S437" s="108">
        <f t="shared" si="60"/>
        <v>45521</v>
      </c>
      <c r="T437" s="79">
        <v>45544</v>
      </c>
      <c r="U437" s="14" t="s">
        <v>3296</v>
      </c>
      <c r="V437" s="14" t="s">
        <v>2208</v>
      </c>
      <c r="W437" s="14" t="s">
        <v>2034</v>
      </c>
      <c r="X437" s="14" t="s">
        <v>1883</v>
      </c>
      <c r="Y437" s="14" t="s">
        <v>2084</v>
      </c>
      <c r="Z437" s="14" t="s">
        <v>3297</v>
      </c>
      <c r="AA437" s="2">
        <f t="shared" ca="1" si="61"/>
        <v>1</v>
      </c>
      <c r="AB437" s="153"/>
      <c r="AC437" s="454" t="str">
        <f t="shared" si="62"/>
        <v>1</v>
      </c>
    </row>
    <row r="438" spans="1:29" ht="72.5" x14ac:dyDescent="0.35">
      <c r="A438" s="111" t="str">
        <f t="shared" si="64"/>
        <v>Closed</v>
      </c>
      <c r="B438" s="222">
        <v>45493</v>
      </c>
      <c r="C438" s="14">
        <v>2404</v>
      </c>
      <c r="D438" s="14" t="s">
        <v>3298</v>
      </c>
      <c r="E438" s="14" t="s">
        <v>76</v>
      </c>
      <c r="F438" s="14" t="s">
        <v>2205</v>
      </c>
      <c r="G438" s="14" t="s">
        <v>1911</v>
      </c>
      <c r="H438" s="14"/>
      <c r="I438" s="176" t="s">
        <v>140</v>
      </c>
      <c r="K438" s="87"/>
      <c r="L438" s="14" t="s">
        <v>3299</v>
      </c>
      <c r="M438" s="324">
        <f t="shared" si="66"/>
        <v>0</v>
      </c>
      <c r="N438" s="14" t="s">
        <v>1879</v>
      </c>
      <c r="O438" s="14" t="s">
        <v>1879</v>
      </c>
      <c r="P438" s="167" t="s">
        <v>143</v>
      </c>
      <c r="Q438" s="14"/>
      <c r="R438" s="170">
        <v>0</v>
      </c>
      <c r="S438" s="108">
        <f t="shared" si="60"/>
        <v>45521</v>
      </c>
      <c r="T438" s="79">
        <v>45493</v>
      </c>
      <c r="U438" s="14"/>
      <c r="V438" s="14"/>
      <c r="W438" s="14"/>
      <c r="X438" s="14"/>
      <c r="Y438" s="14" t="s">
        <v>2209</v>
      </c>
      <c r="Z438" s="14"/>
      <c r="AA438" s="2">
        <f t="shared" ca="1" si="61"/>
        <v>1</v>
      </c>
      <c r="AB438" s="153"/>
      <c r="AC438" s="454" t="str">
        <f t="shared" si="62"/>
        <v/>
      </c>
    </row>
    <row r="439" spans="1:29" ht="58" x14ac:dyDescent="0.35">
      <c r="A439" s="111" t="str">
        <f t="shared" si="64"/>
        <v>Closed</v>
      </c>
      <c r="B439" s="222">
        <v>45494</v>
      </c>
      <c r="C439" s="14">
        <v>2405</v>
      </c>
      <c r="D439" s="14" t="s">
        <v>3300</v>
      </c>
      <c r="E439" s="14" t="s">
        <v>1907</v>
      </c>
      <c r="F439" s="14" t="s">
        <v>2299</v>
      </c>
      <c r="G439" s="14"/>
      <c r="H439" s="14">
        <v>116</v>
      </c>
      <c r="I439" s="176" t="s">
        <v>140</v>
      </c>
      <c r="J439" s="14">
        <v>65149</v>
      </c>
      <c r="K439" s="87"/>
      <c r="L439" s="14" t="s">
        <v>3301</v>
      </c>
      <c r="M439" s="324">
        <f t="shared" si="66"/>
        <v>0</v>
      </c>
      <c r="N439" s="14" t="s">
        <v>1879</v>
      </c>
      <c r="O439" s="14" t="s">
        <v>1879</v>
      </c>
      <c r="P439" s="167" t="s">
        <v>143</v>
      </c>
      <c r="Q439" s="14"/>
      <c r="R439" s="170">
        <v>0</v>
      </c>
      <c r="S439" s="108">
        <f t="shared" si="60"/>
        <v>45522</v>
      </c>
      <c r="T439" s="79">
        <v>45494</v>
      </c>
      <c r="U439" s="14"/>
      <c r="V439" s="14"/>
      <c r="W439" s="14"/>
      <c r="X439" s="14"/>
      <c r="Y439" s="14" t="s">
        <v>2302</v>
      </c>
      <c r="Z439" s="14"/>
      <c r="AA439" s="2">
        <f t="shared" ca="1" si="61"/>
        <v>1</v>
      </c>
      <c r="AB439" s="153"/>
      <c r="AC439" s="454" t="str">
        <f t="shared" si="62"/>
        <v>1</v>
      </c>
    </row>
    <row r="440" spans="1:29" ht="101.5" x14ac:dyDescent="0.35">
      <c r="A440" s="111" t="str">
        <f t="shared" si="64"/>
        <v>Closed</v>
      </c>
      <c r="B440" s="222">
        <v>45494</v>
      </c>
      <c r="C440" s="14">
        <v>2405</v>
      </c>
      <c r="D440" s="14" t="s">
        <v>3302</v>
      </c>
      <c r="E440" s="14" t="s">
        <v>192</v>
      </c>
      <c r="F440" s="14" t="s">
        <v>1910</v>
      </c>
      <c r="G440" s="14" t="s">
        <v>1900</v>
      </c>
      <c r="H440" s="14">
        <v>116</v>
      </c>
      <c r="I440" s="176" t="s">
        <v>140</v>
      </c>
      <c r="K440" s="87"/>
      <c r="L440" s="14" t="s">
        <v>3303</v>
      </c>
      <c r="M440" s="324">
        <f t="shared" si="66"/>
        <v>0</v>
      </c>
      <c r="N440" s="14" t="s">
        <v>1879</v>
      </c>
      <c r="O440" s="14" t="s">
        <v>1880</v>
      </c>
      <c r="P440" s="167" t="s">
        <v>143</v>
      </c>
      <c r="Q440" s="14"/>
      <c r="R440" s="170">
        <v>0</v>
      </c>
      <c r="S440" s="108">
        <f t="shared" si="60"/>
        <v>45522</v>
      </c>
      <c r="T440" s="79">
        <v>45494</v>
      </c>
      <c r="U440" s="14"/>
      <c r="V440" s="14"/>
      <c r="W440" s="14"/>
      <c r="X440" s="176"/>
      <c r="Y440" s="15" t="s">
        <v>1915</v>
      </c>
      <c r="Z440" s="87"/>
      <c r="AA440" s="2">
        <f t="shared" ca="1" si="61"/>
        <v>1</v>
      </c>
      <c r="AB440" s="153"/>
      <c r="AC440" s="454" t="str">
        <f t="shared" si="62"/>
        <v>1</v>
      </c>
    </row>
    <row r="441" spans="1:29" ht="58" x14ac:dyDescent="0.35">
      <c r="A441" s="89" t="str">
        <f t="shared" si="64"/>
        <v>Closed</v>
      </c>
      <c r="B441" s="222">
        <v>45495</v>
      </c>
      <c r="C441" s="14">
        <v>2405</v>
      </c>
      <c r="D441" s="14" t="s">
        <v>3304</v>
      </c>
      <c r="E441" s="14" t="s">
        <v>1907</v>
      </c>
      <c r="F441" s="14" t="s">
        <v>1910</v>
      </c>
      <c r="G441" s="14" t="s">
        <v>1911</v>
      </c>
      <c r="H441" s="14"/>
      <c r="I441" s="176" t="s">
        <v>140</v>
      </c>
      <c r="J441" s="14">
        <v>8509368</v>
      </c>
      <c r="K441" s="14" t="s">
        <v>137</v>
      </c>
      <c r="L441" s="14" t="s">
        <v>3305</v>
      </c>
      <c r="M441" s="324">
        <f t="shared" si="66"/>
        <v>0</v>
      </c>
      <c r="N441" s="14" t="s">
        <v>1879</v>
      </c>
      <c r="O441" s="14" t="s">
        <v>1879</v>
      </c>
      <c r="P441" s="167" t="s">
        <v>143</v>
      </c>
      <c r="Q441" s="14"/>
      <c r="R441" s="223">
        <v>0</v>
      </c>
      <c r="S441" s="224">
        <f t="shared" si="60"/>
        <v>45523</v>
      </c>
      <c r="T441" s="79">
        <v>45902</v>
      </c>
      <c r="U441" s="14"/>
      <c r="V441" s="14"/>
      <c r="W441" s="14"/>
      <c r="X441" s="14"/>
      <c r="Y441" s="23" t="s">
        <v>1915</v>
      </c>
      <c r="Z441" s="14" t="s">
        <v>3306</v>
      </c>
      <c r="AA441" s="2">
        <f t="shared" ca="1" si="61"/>
        <v>1</v>
      </c>
      <c r="AB441" s="153"/>
      <c r="AC441" s="454" t="str">
        <f t="shared" si="62"/>
        <v/>
      </c>
    </row>
    <row r="442" spans="1:29" ht="87" x14ac:dyDescent="0.35">
      <c r="A442" s="111" t="str">
        <f t="shared" si="64"/>
        <v>Closed</v>
      </c>
      <c r="B442" s="222">
        <v>45496</v>
      </c>
      <c r="C442" s="14">
        <v>2405</v>
      </c>
      <c r="D442" s="14" t="s">
        <v>962</v>
      </c>
      <c r="E442" s="14" t="s">
        <v>196</v>
      </c>
      <c r="F442" s="14" t="s">
        <v>3200</v>
      </c>
      <c r="G442" s="14" t="s">
        <v>1911</v>
      </c>
      <c r="H442" s="14">
        <v>122</v>
      </c>
      <c r="I442" s="176" t="s">
        <v>155</v>
      </c>
      <c r="J442" s="14">
        <v>59665</v>
      </c>
      <c r="K442" s="87"/>
      <c r="L442" s="14" t="s">
        <v>3307</v>
      </c>
      <c r="M442" s="324">
        <f t="shared" si="66"/>
        <v>0</v>
      </c>
      <c r="N442" s="14" t="s">
        <v>1880</v>
      </c>
      <c r="O442" s="14" t="s">
        <v>1880</v>
      </c>
      <c r="P442" s="167" t="s">
        <v>147</v>
      </c>
      <c r="Q442" s="14" t="s">
        <v>175</v>
      </c>
      <c r="R442" s="170" t="s">
        <v>234</v>
      </c>
      <c r="S442" s="108">
        <f t="shared" ref="S442:S473" si="67">IF(B442="","",B442+28)</f>
        <v>45524</v>
      </c>
      <c r="T442" s="79">
        <v>45507</v>
      </c>
      <c r="U442" s="14" t="s">
        <v>3308</v>
      </c>
      <c r="V442" s="14" t="s">
        <v>3185</v>
      </c>
      <c r="W442" s="14" t="s">
        <v>1880</v>
      </c>
      <c r="X442" s="14" t="s">
        <v>1880</v>
      </c>
      <c r="Y442" s="14" t="s">
        <v>2868</v>
      </c>
      <c r="Z442" s="14" t="s">
        <v>3309</v>
      </c>
      <c r="AA442" s="2">
        <f t="shared" ca="1" si="61"/>
        <v>1</v>
      </c>
      <c r="AB442" s="153"/>
      <c r="AC442" s="454" t="str">
        <f t="shared" ref="AC442:AC473" si="68">LEFT(H442,1)</f>
        <v>1</v>
      </c>
    </row>
    <row r="443" spans="1:29" ht="29" x14ac:dyDescent="0.35">
      <c r="A443" s="111" t="str">
        <f t="shared" si="64"/>
        <v>Closed</v>
      </c>
      <c r="B443" s="222">
        <v>45498</v>
      </c>
      <c r="C443" s="14">
        <v>2405</v>
      </c>
      <c r="D443" s="14" t="s">
        <v>3310</v>
      </c>
      <c r="E443" s="14" t="s">
        <v>180</v>
      </c>
      <c r="F443" s="14" t="s">
        <v>1918</v>
      </c>
      <c r="G443" s="14" t="s">
        <v>1900</v>
      </c>
      <c r="H443" s="14">
        <v>207</v>
      </c>
      <c r="I443" s="176" t="s">
        <v>140</v>
      </c>
      <c r="K443" s="87"/>
      <c r="L443" s="14" t="s">
        <v>3311</v>
      </c>
      <c r="M443" s="324">
        <f t="shared" si="66"/>
        <v>0</v>
      </c>
      <c r="N443" s="14" t="s">
        <v>1879</v>
      </c>
      <c r="O443" s="14" t="s">
        <v>1879</v>
      </c>
      <c r="P443" s="167" t="s">
        <v>143</v>
      </c>
      <c r="Q443" s="14"/>
      <c r="R443" s="170">
        <v>0</v>
      </c>
      <c r="S443" s="108">
        <f t="shared" si="67"/>
        <v>45526</v>
      </c>
      <c r="T443" s="79">
        <v>45498</v>
      </c>
      <c r="U443" s="14"/>
      <c r="V443" s="14"/>
      <c r="W443" s="14"/>
      <c r="X443" s="14"/>
      <c r="Y443" s="51" t="s">
        <v>2001</v>
      </c>
      <c r="Z443" s="14"/>
      <c r="AA443" s="2">
        <f t="shared" ref="AA443:AA474" ca="1" si="69">IF(B443="",3,IF(S443&lt;$A$1,1,0))</f>
        <v>1</v>
      </c>
      <c r="AB443" s="153"/>
      <c r="AC443" s="454" t="str">
        <f t="shared" si="68"/>
        <v>2</v>
      </c>
    </row>
    <row r="444" spans="1:29" ht="43.5" x14ac:dyDescent="0.35">
      <c r="A444" s="111" t="str">
        <f t="shared" si="64"/>
        <v>Closed</v>
      </c>
      <c r="B444" s="222">
        <v>45499</v>
      </c>
      <c r="C444" s="14">
        <v>2405</v>
      </c>
      <c r="D444" s="14" t="s">
        <v>3312</v>
      </c>
      <c r="E444" s="14" t="s">
        <v>8</v>
      </c>
      <c r="F444" s="14" t="s">
        <v>1886</v>
      </c>
      <c r="G444" s="14" t="s">
        <v>1900</v>
      </c>
      <c r="H444" s="14">
        <v>107</v>
      </c>
      <c r="I444" s="176" t="s">
        <v>140</v>
      </c>
      <c r="K444" s="87"/>
      <c r="L444" s="14" t="s">
        <v>3313</v>
      </c>
      <c r="M444" s="324">
        <f t="shared" si="66"/>
        <v>0</v>
      </c>
      <c r="N444" s="14" t="s">
        <v>1879</v>
      </c>
      <c r="O444" s="14" t="s">
        <v>1879</v>
      </c>
      <c r="P444" s="167" t="s">
        <v>143</v>
      </c>
      <c r="Q444" s="14"/>
      <c r="R444" s="170">
        <v>0</v>
      </c>
      <c r="S444" s="108">
        <f t="shared" si="67"/>
        <v>45527</v>
      </c>
      <c r="T444" s="79">
        <v>45499</v>
      </c>
      <c r="U444" s="14"/>
      <c r="V444" s="14"/>
      <c r="W444" s="14"/>
      <c r="X444" s="14"/>
      <c r="Y444" s="14" t="s">
        <v>1890</v>
      </c>
      <c r="Z444" s="14"/>
      <c r="AA444" s="2">
        <f t="shared" ca="1" si="69"/>
        <v>1</v>
      </c>
      <c r="AB444" s="153"/>
      <c r="AC444" s="454" t="str">
        <f t="shared" si="68"/>
        <v>1</v>
      </c>
    </row>
    <row r="445" spans="1:29" ht="29" x14ac:dyDescent="0.35">
      <c r="A445" s="111" t="str">
        <f t="shared" si="64"/>
        <v>Closed</v>
      </c>
      <c r="B445" s="222">
        <v>45500</v>
      </c>
      <c r="C445" s="14">
        <v>2405</v>
      </c>
      <c r="D445" s="14" t="s">
        <v>3314</v>
      </c>
      <c r="E445" s="14" t="s">
        <v>8</v>
      </c>
      <c r="F445" s="14"/>
      <c r="G445" s="14"/>
      <c r="H445" s="14">
        <v>118</v>
      </c>
      <c r="I445" s="176" t="s">
        <v>140</v>
      </c>
      <c r="K445" s="87"/>
      <c r="L445" s="14" t="s">
        <v>3315</v>
      </c>
      <c r="M445" s="324">
        <f t="shared" si="66"/>
        <v>0</v>
      </c>
      <c r="N445" s="14" t="s">
        <v>1879</v>
      </c>
      <c r="O445" s="14" t="s">
        <v>1879</v>
      </c>
      <c r="P445" s="167" t="s">
        <v>143</v>
      </c>
      <c r="Q445" s="14"/>
      <c r="R445" s="170">
        <v>0</v>
      </c>
      <c r="S445" s="108">
        <f t="shared" si="67"/>
        <v>45528</v>
      </c>
      <c r="T445" s="79">
        <v>45500</v>
      </c>
      <c r="U445" s="14"/>
      <c r="V445" s="14"/>
      <c r="W445" s="14"/>
      <c r="X445" s="14"/>
      <c r="Z445" s="14"/>
      <c r="AA445" s="2">
        <f t="shared" ca="1" si="69"/>
        <v>1</v>
      </c>
      <c r="AB445" s="153"/>
      <c r="AC445" s="454" t="str">
        <f t="shared" si="68"/>
        <v>1</v>
      </c>
    </row>
    <row r="446" spans="1:29" ht="29" x14ac:dyDescent="0.35">
      <c r="A446" s="111" t="str">
        <f t="shared" si="64"/>
        <v>Closed</v>
      </c>
      <c r="B446" s="222">
        <v>45501</v>
      </c>
      <c r="C446" s="14">
        <v>2405</v>
      </c>
      <c r="D446" s="14" t="s">
        <v>1559</v>
      </c>
      <c r="E446" s="14" t="s">
        <v>192</v>
      </c>
      <c r="F446" s="14"/>
      <c r="G446" s="14"/>
      <c r="H446" s="14"/>
      <c r="I446" s="176" t="s">
        <v>140</v>
      </c>
      <c r="K446" s="87"/>
      <c r="L446" s="14" t="s">
        <v>3316</v>
      </c>
      <c r="M446" s="324">
        <f t="shared" si="66"/>
        <v>0</v>
      </c>
      <c r="N446" s="14" t="s">
        <v>1879</v>
      </c>
      <c r="O446" s="14" t="s">
        <v>1879</v>
      </c>
      <c r="P446" s="167" t="s">
        <v>143</v>
      </c>
      <c r="Q446" s="14"/>
      <c r="R446" s="170">
        <v>0</v>
      </c>
      <c r="S446" s="108">
        <f t="shared" si="67"/>
        <v>45529</v>
      </c>
      <c r="T446" s="79">
        <v>45501</v>
      </c>
      <c r="U446" s="14"/>
      <c r="V446" s="14"/>
      <c r="W446" s="14"/>
      <c r="X446" s="14"/>
      <c r="Z446" s="14" t="s">
        <v>3317</v>
      </c>
      <c r="AA446" s="2">
        <f t="shared" ca="1" si="69"/>
        <v>1</v>
      </c>
      <c r="AB446" s="153"/>
      <c r="AC446" s="454" t="str">
        <f t="shared" si="68"/>
        <v/>
      </c>
    </row>
    <row r="447" spans="1:29" ht="29" x14ac:dyDescent="0.45">
      <c r="A447" s="111" t="str">
        <f t="shared" si="64"/>
        <v>Closed</v>
      </c>
      <c r="B447" s="222">
        <v>45503</v>
      </c>
      <c r="C447" s="14">
        <v>2405</v>
      </c>
      <c r="D447" s="14" t="s">
        <v>3318</v>
      </c>
      <c r="E447" s="14" t="s">
        <v>192</v>
      </c>
      <c r="F447" s="14" t="s">
        <v>2338</v>
      </c>
      <c r="G447" s="14"/>
      <c r="H447" s="14"/>
      <c r="I447" s="176" t="s">
        <v>140</v>
      </c>
      <c r="K447" s="87"/>
      <c r="L447" s="14" t="s">
        <v>3319</v>
      </c>
      <c r="M447" s="324">
        <f t="shared" si="66"/>
        <v>0</v>
      </c>
      <c r="N447" s="14" t="s">
        <v>1879</v>
      </c>
      <c r="O447" s="14" t="s">
        <v>1879</v>
      </c>
      <c r="P447" s="167" t="s">
        <v>143</v>
      </c>
      <c r="Q447" s="14"/>
      <c r="R447" s="170">
        <v>0</v>
      </c>
      <c r="S447" s="108">
        <f t="shared" si="67"/>
        <v>45531</v>
      </c>
      <c r="T447" s="79">
        <v>45503</v>
      </c>
      <c r="U447" s="14"/>
      <c r="V447" s="14"/>
      <c r="W447" s="14"/>
      <c r="X447" s="14"/>
      <c r="Y447" s="463" t="s">
        <v>2340</v>
      </c>
      <c r="Z447" s="14"/>
      <c r="AA447" s="2">
        <f t="shared" ca="1" si="69"/>
        <v>1</v>
      </c>
      <c r="AB447" s="153"/>
      <c r="AC447" s="454" t="str">
        <f t="shared" si="68"/>
        <v/>
      </c>
    </row>
    <row r="448" spans="1:29" ht="43.5" x14ac:dyDescent="0.35">
      <c r="A448" s="111" t="str">
        <f t="shared" si="64"/>
        <v>Closed</v>
      </c>
      <c r="B448" s="222">
        <v>45503</v>
      </c>
      <c r="C448" s="14">
        <v>2405</v>
      </c>
      <c r="D448" s="14" t="s">
        <v>3320</v>
      </c>
      <c r="E448" s="14" t="s">
        <v>37</v>
      </c>
      <c r="F448" s="14" t="s">
        <v>2056</v>
      </c>
      <c r="G448" s="14" t="s">
        <v>1900</v>
      </c>
      <c r="H448" s="14">
        <v>116</v>
      </c>
      <c r="I448" s="176" t="s">
        <v>5</v>
      </c>
      <c r="J448" s="14">
        <v>600</v>
      </c>
      <c r="K448" s="87"/>
      <c r="L448" s="14" t="s">
        <v>3321</v>
      </c>
      <c r="M448" s="324">
        <f t="shared" si="66"/>
        <v>0</v>
      </c>
      <c r="N448" s="14" t="s">
        <v>1879</v>
      </c>
      <c r="O448" s="14" t="s">
        <v>1880</v>
      </c>
      <c r="P448" s="167" t="s">
        <v>147</v>
      </c>
      <c r="Q448" s="112" t="s">
        <v>174</v>
      </c>
      <c r="R448" s="170" t="s">
        <v>234</v>
      </c>
      <c r="S448" s="108">
        <f t="shared" si="67"/>
        <v>45531</v>
      </c>
      <c r="T448" s="79">
        <v>45536</v>
      </c>
      <c r="U448" s="14" t="s">
        <v>3322</v>
      </c>
      <c r="V448" s="14" t="s">
        <v>3323</v>
      </c>
      <c r="W448" s="14" t="s">
        <v>1879</v>
      </c>
      <c r="X448" s="14" t="s">
        <v>154</v>
      </c>
      <c r="Y448" s="167" t="s">
        <v>2058</v>
      </c>
      <c r="Z448" s="14" t="s">
        <v>2181</v>
      </c>
      <c r="AA448" s="2">
        <f t="shared" ca="1" si="69"/>
        <v>1</v>
      </c>
      <c r="AB448" s="153"/>
      <c r="AC448" s="454" t="str">
        <f t="shared" si="68"/>
        <v>1</v>
      </c>
    </row>
    <row r="449" spans="1:29" ht="87" x14ac:dyDescent="0.35">
      <c r="A449" s="89" t="str">
        <f t="shared" si="64"/>
        <v>Closed</v>
      </c>
      <c r="B449" s="222">
        <v>45503</v>
      </c>
      <c r="C449" s="14">
        <v>2405</v>
      </c>
      <c r="D449" s="14" t="s">
        <v>1555</v>
      </c>
      <c r="E449" s="14" t="s">
        <v>41</v>
      </c>
      <c r="F449" s="14" t="s">
        <v>1910</v>
      </c>
      <c r="G449" s="14" t="s">
        <v>1900</v>
      </c>
      <c r="H449" s="14">
        <v>116</v>
      </c>
      <c r="I449" s="176" t="s">
        <v>4</v>
      </c>
      <c r="J449" s="14">
        <v>81820</v>
      </c>
      <c r="K449" s="14" t="s">
        <v>137</v>
      </c>
      <c r="L449" s="14" t="s">
        <v>3324</v>
      </c>
      <c r="M449" s="324">
        <v>0</v>
      </c>
      <c r="N449" s="14" t="s">
        <v>1879</v>
      </c>
      <c r="O449" s="14" t="s">
        <v>1880</v>
      </c>
      <c r="P449" s="167" t="s">
        <v>139</v>
      </c>
      <c r="Q449" s="14" t="s">
        <v>138</v>
      </c>
      <c r="R449" s="223" t="s">
        <v>234</v>
      </c>
      <c r="S449" s="224">
        <f t="shared" si="67"/>
        <v>45531</v>
      </c>
      <c r="T449" s="79">
        <v>45523</v>
      </c>
      <c r="U449" s="14" t="s">
        <v>3325</v>
      </c>
      <c r="V449" s="14" t="s">
        <v>3284</v>
      </c>
      <c r="W449" s="14" t="s">
        <v>1879</v>
      </c>
      <c r="X449" s="176" t="s">
        <v>1880</v>
      </c>
      <c r="Y449" s="15" t="s">
        <v>1915</v>
      </c>
      <c r="Z449" s="87" t="s">
        <v>3326</v>
      </c>
      <c r="AA449" s="2">
        <f t="shared" ca="1" si="69"/>
        <v>1</v>
      </c>
      <c r="AB449" s="153"/>
      <c r="AC449" s="454" t="str">
        <f t="shared" si="68"/>
        <v>1</v>
      </c>
    </row>
    <row r="450" spans="1:29" ht="101.5" x14ac:dyDescent="0.35">
      <c r="A450" s="111" t="str">
        <f t="shared" si="64"/>
        <v>Closed</v>
      </c>
      <c r="B450" s="222">
        <v>45505</v>
      </c>
      <c r="C450" s="14">
        <v>2405</v>
      </c>
      <c r="D450" s="14" t="s">
        <v>3327</v>
      </c>
      <c r="E450" s="14" t="s">
        <v>42</v>
      </c>
      <c r="F450" s="167" t="s">
        <v>2162</v>
      </c>
      <c r="G450" s="14" t="s">
        <v>1911</v>
      </c>
      <c r="H450" s="14">
        <v>117</v>
      </c>
      <c r="I450" s="176" t="s">
        <v>4</v>
      </c>
      <c r="K450" s="14" t="s">
        <v>137</v>
      </c>
      <c r="L450" s="14" t="s">
        <v>3328</v>
      </c>
      <c r="M450" s="324">
        <v>0</v>
      </c>
      <c r="N450" s="14" t="s">
        <v>1879</v>
      </c>
      <c r="O450" s="14" t="s">
        <v>1880</v>
      </c>
      <c r="P450" s="167" t="s">
        <v>139</v>
      </c>
      <c r="Q450" s="112" t="s">
        <v>157</v>
      </c>
      <c r="R450" s="170" t="s">
        <v>234</v>
      </c>
      <c r="S450" s="108">
        <f t="shared" si="67"/>
        <v>45533</v>
      </c>
      <c r="T450" s="79">
        <v>45594</v>
      </c>
      <c r="U450" s="14" t="s">
        <v>2451</v>
      </c>
      <c r="V450" s="14" t="s">
        <v>2149</v>
      </c>
      <c r="W450" s="14" t="s">
        <v>1879</v>
      </c>
      <c r="X450" s="14" t="s">
        <v>1879</v>
      </c>
      <c r="Y450" s="15" t="s">
        <v>2164</v>
      </c>
      <c r="Z450" s="87" t="s">
        <v>3329</v>
      </c>
      <c r="AA450" s="2">
        <f t="shared" ca="1" si="69"/>
        <v>1</v>
      </c>
      <c r="AB450" s="153"/>
      <c r="AC450" s="454" t="str">
        <f t="shared" si="68"/>
        <v>1</v>
      </c>
    </row>
    <row r="451" spans="1:29" ht="29" x14ac:dyDescent="0.45">
      <c r="A451" s="111" t="str">
        <f t="shared" si="64"/>
        <v>Closed</v>
      </c>
      <c r="B451" s="222">
        <v>45505</v>
      </c>
      <c r="C451" s="14">
        <v>2405</v>
      </c>
      <c r="D451" s="14" t="s">
        <v>3330</v>
      </c>
      <c r="E451" s="14" t="s">
        <v>192</v>
      </c>
      <c r="F451" s="14" t="s">
        <v>2338</v>
      </c>
      <c r="G451" s="14"/>
      <c r="H451" s="14"/>
      <c r="I451" s="176" t="s">
        <v>140</v>
      </c>
      <c r="K451" s="87"/>
      <c r="L451" s="14" t="s">
        <v>3331</v>
      </c>
      <c r="M451" s="324">
        <f t="shared" ref="M451:M456" si="70">IF(I451="Staff Accident","Entry Required",IF(I451="Assaults","Entry Required",0))</f>
        <v>0</v>
      </c>
      <c r="N451" s="14" t="s">
        <v>1879</v>
      </c>
      <c r="O451" s="14" t="s">
        <v>1879</v>
      </c>
      <c r="P451" s="167" t="s">
        <v>143</v>
      </c>
      <c r="Q451" s="14"/>
      <c r="R451" s="170">
        <v>0</v>
      </c>
      <c r="S451" s="108">
        <f t="shared" si="67"/>
        <v>45533</v>
      </c>
      <c r="T451" s="79">
        <v>45505</v>
      </c>
      <c r="U451" s="14"/>
      <c r="V451" s="14"/>
      <c r="W451" s="14"/>
      <c r="X451" s="14"/>
      <c r="Y451" s="463" t="s">
        <v>2340</v>
      </c>
      <c r="Z451" s="14"/>
      <c r="AA451" s="2">
        <f t="shared" ca="1" si="69"/>
        <v>1</v>
      </c>
      <c r="AB451" s="153"/>
      <c r="AC451" s="454" t="str">
        <f t="shared" si="68"/>
        <v/>
      </c>
    </row>
    <row r="452" spans="1:29" ht="43.5" x14ac:dyDescent="0.35">
      <c r="A452" s="111" t="str">
        <f t="shared" si="64"/>
        <v>Closed</v>
      </c>
      <c r="B452" s="222">
        <v>45506</v>
      </c>
      <c r="C452" s="14">
        <v>2405</v>
      </c>
      <c r="D452" s="14" t="s">
        <v>3332</v>
      </c>
      <c r="E452" s="14" t="s">
        <v>31</v>
      </c>
      <c r="F452" s="14" t="s">
        <v>2255</v>
      </c>
      <c r="G452" s="14" t="s">
        <v>1900</v>
      </c>
      <c r="H452" s="14"/>
      <c r="I452" s="176" t="s">
        <v>155</v>
      </c>
      <c r="J452" s="14">
        <v>8500446</v>
      </c>
      <c r="K452" s="87"/>
      <c r="L452" s="14" t="s">
        <v>3333</v>
      </c>
      <c r="M452" s="324">
        <f t="shared" si="70"/>
        <v>0</v>
      </c>
      <c r="N452" s="14" t="s">
        <v>1879</v>
      </c>
      <c r="O452" s="14" t="s">
        <v>1879</v>
      </c>
      <c r="P452" s="167" t="s">
        <v>147</v>
      </c>
      <c r="Q452" s="112" t="s">
        <v>174</v>
      </c>
      <c r="R452" s="170" t="s">
        <v>234</v>
      </c>
      <c r="S452" s="108">
        <f t="shared" si="67"/>
        <v>45534</v>
      </c>
      <c r="T452" s="79">
        <v>45544</v>
      </c>
      <c r="U452" s="14" t="s">
        <v>3334</v>
      </c>
      <c r="V452" s="14" t="s">
        <v>3335</v>
      </c>
      <c r="W452" s="14" t="s">
        <v>1879</v>
      </c>
      <c r="X452" s="14" t="s">
        <v>1883</v>
      </c>
      <c r="Y452" s="14" t="s">
        <v>2259</v>
      </c>
      <c r="Z452" s="14" t="s">
        <v>2181</v>
      </c>
      <c r="AA452" s="2">
        <f t="shared" ca="1" si="69"/>
        <v>1</v>
      </c>
      <c r="AB452" s="153"/>
      <c r="AC452" s="454" t="str">
        <f t="shared" si="68"/>
        <v/>
      </c>
    </row>
    <row r="453" spans="1:29" ht="43.5" x14ac:dyDescent="0.35">
      <c r="A453" s="111" t="str">
        <f t="shared" si="64"/>
        <v>Closed</v>
      </c>
      <c r="B453" s="222">
        <v>45506</v>
      </c>
      <c r="C453" s="14">
        <v>2405</v>
      </c>
      <c r="D453" s="14" t="s">
        <v>3336</v>
      </c>
      <c r="E453" s="14" t="s">
        <v>31</v>
      </c>
      <c r="F453" s="14" t="s">
        <v>2183</v>
      </c>
      <c r="G453" s="14" t="s">
        <v>1911</v>
      </c>
      <c r="H453" s="14"/>
      <c r="I453" s="176" t="s">
        <v>155</v>
      </c>
      <c r="J453" s="14">
        <v>377</v>
      </c>
      <c r="K453" s="87"/>
      <c r="L453" s="14" t="s">
        <v>3337</v>
      </c>
      <c r="M453" s="324">
        <f t="shared" si="70"/>
        <v>0</v>
      </c>
      <c r="N453" s="14" t="s">
        <v>1879</v>
      </c>
      <c r="O453" s="14" t="s">
        <v>1879</v>
      </c>
      <c r="P453" s="167" t="s">
        <v>147</v>
      </c>
      <c r="Q453" s="112" t="s">
        <v>175</v>
      </c>
      <c r="R453" s="170" t="s">
        <v>234</v>
      </c>
      <c r="S453" s="108">
        <f t="shared" si="67"/>
        <v>45534</v>
      </c>
      <c r="T453" s="79">
        <v>45510</v>
      </c>
      <c r="U453" s="14" t="s">
        <v>3338</v>
      </c>
      <c r="V453" s="14" t="s">
        <v>3339</v>
      </c>
      <c r="W453" s="14" t="s">
        <v>1879</v>
      </c>
      <c r="X453" s="14" t="s">
        <v>154</v>
      </c>
      <c r="Y453" s="14" t="s">
        <v>2185</v>
      </c>
      <c r="Z453" s="14" t="s">
        <v>2253</v>
      </c>
      <c r="AA453" s="2">
        <f t="shared" ca="1" si="69"/>
        <v>1</v>
      </c>
      <c r="AB453" s="153"/>
      <c r="AC453" s="454" t="str">
        <f t="shared" si="68"/>
        <v/>
      </c>
    </row>
    <row r="454" spans="1:29" ht="29" x14ac:dyDescent="0.35">
      <c r="A454" s="111" t="str">
        <f t="shared" si="64"/>
        <v>Closed</v>
      </c>
      <c r="B454" s="222">
        <v>45508</v>
      </c>
      <c r="C454" s="14">
        <v>2405</v>
      </c>
      <c r="D454" s="14" t="s">
        <v>3340</v>
      </c>
      <c r="E454" s="14" t="s">
        <v>42</v>
      </c>
      <c r="F454" s="14" t="s">
        <v>1910</v>
      </c>
      <c r="G454" s="14" t="s">
        <v>1911</v>
      </c>
      <c r="H454" s="14">
        <v>121</v>
      </c>
      <c r="I454" s="176" t="s">
        <v>140</v>
      </c>
      <c r="J454" s="14">
        <v>8513960</v>
      </c>
      <c r="K454" s="87"/>
      <c r="L454" s="14" t="s">
        <v>3341</v>
      </c>
      <c r="M454" s="324">
        <f t="shared" si="70"/>
        <v>0</v>
      </c>
      <c r="N454" s="14" t="s">
        <v>1879</v>
      </c>
      <c r="O454" s="14" t="s">
        <v>1879</v>
      </c>
      <c r="P454" s="167" t="s">
        <v>143</v>
      </c>
      <c r="Q454" s="112" t="s">
        <v>177</v>
      </c>
      <c r="R454" s="170">
        <v>0</v>
      </c>
      <c r="S454" s="108">
        <f t="shared" si="67"/>
        <v>45536</v>
      </c>
      <c r="T454" s="79">
        <v>45541</v>
      </c>
      <c r="U454" s="14"/>
      <c r="V454" s="14"/>
      <c r="W454" s="14"/>
      <c r="X454" s="14"/>
      <c r="Y454" s="23" t="s">
        <v>1915</v>
      </c>
      <c r="Z454" s="14" t="s">
        <v>3342</v>
      </c>
      <c r="AA454" s="2">
        <f t="shared" ca="1" si="69"/>
        <v>1</v>
      </c>
      <c r="AB454" s="153"/>
      <c r="AC454" s="454" t="str">
        <f t="shared" si="68"/>
        <v>1</v>
      </c>
    </row>
    <row r="455" spans="1:29" ht="29" x14ac:dyDescent="0.45">
      <c r="A455" s="111" t="str">
        <f t="shared" si="64"/>
        <v>Closed</v>
      </c>
      <c r="B455" s="222">
        <v>45509</v>
      </c>
      <c r="C455" s="14">
        <v>2405</v>
      </c>
      <c r="D455" s="14" t="s">
        <v>3343</v>
      </c>
      <c r="E455" s="14" t="s">
        <v>192</v>
      </c>
      <c r="F455" s="14" t="s">
        <v>2338</v>
      </c>
      <c r="G455" s="14"/>
      <c r="H455" s="14"/>
      <c r="I455" s="176" t="s">
        <v>140</v>
      </c>
      <c r="K455" s="87"/>
      <c r="L455" s="14" t="s">
        <v>3344</v>
      </c>
      <c r="M455" s="324">
        <f t="shared" si="70"/>
        <v>0</v>
      </c>
      <c r="N455" s="14" t="s">
        <v>1879</v>
      </c>
      <c r="O455" s="14" t="s">
        <v>1879</v>
      </c>
      <c r="P455" s="167" t="s">
        <v>143</v>
      </c>
      <c r="Q455" s="112"/>
      <c r="R455" s="170">
        <v>0</v>
      </c>
      <c r="S455" s="108">
        <f t="shared" si="67"/>
        <v>45537</v>
      </c>
      <c r="T455" s="79">
        <v>45509</v>
      </c>
      <c r="U455" s="14"/>
      <c r="V455" s="14"/>
      <c r="W455" s="14"/>
      <c r="X455" s="14"/>
      <c r="Y455" s="463" t="s">
        <v>2340</v>
      </c>
      <c r="Z455" s="14"/>
      <c r="AA455" s="2">
        <f t="shared" ca="1" si="69"/>
        <v>1</v>
      </c>
      <c r="AB455" s="153"/>
      <c r="AC455" s="454" t="str">
        <f t="shared" si="68"/>
        <v/>
      </c>
    </row>
    <row r="456" spans="1:29" ht="43.5" x14ac:dyDescent="0.35">
      <c r="A456" s="111" t="str">
        <f t="shared" si="64"/>
        <v>Closed</v>
      </c>
      <c r="B456" s="222">
        <v>45509</v>
      </c>
      <c r="C456" s="14">
        <v>2405</v>
      </c>
      <c r="D456" s="14" t="s">
        <v>3345</v>
      </c>
      <c r="E456" s="14" t="s">
        <v>204</v>
      </c>
      <c r="F456" s="14" t="s">
        <v>2864</v>
      </c>
      <c r="G456" s="14" t="s">
        <v>1900</v>
      </c>
      <c r="H456" s="14">
        <v>109</v>
      </c>
      <c r="I456" s="176" t="s">
        <v>155</v>
      </c>
      <c r="K456" s="87"/>
      <c r="L456" s="14" t="s">
        <v>3346</v>
      </c>
      <c r="M456" s="324">
        <f t="shared" si="70"/>
        <v>0</v>
      </c>
      <c r="N456" s="14" t="s">
        <v>1879</v>
      </c>
      <c r="O456" s="14" t="s">
        <v>1880</v>
      </c>
      <c r="P456" s="167" t="s">
        <v>147</v>
      </c>
      <c r="Q456" s="112" t="s">
        <v>174</v>
      </c>
      <c r="R456" s="170" t="s">
        <v>234</v>
      </c>
      <c r="S456" s="108">
        <f t="shared" si="67"/>
        <v>45537</v>
      </c>
      <c r="T456" s="79">
        <v>45566</v>
      </c>
      <c r="U456" s="14" t="s">
        <v>3347</v>
      </c>
      <c r="V456" s="14" t="s">
        <v>3348</v>
      </c>
      <c r="W456" s="14" t="s">
        <v>1880</v>
      </c>
      <c r="X456" s="14" t="s">
        <v>1880</v>
      </c>
      <c r="Y456" s="14" t="s">
        <v>2868</v>
      </c>
      <c r="Z456" s="14" t="s">
        <v>3349</v>
      </c>
      <c r="AA456" s="2">
        <f t="shared" ca="1" si="69"/>
        <v>1</v>
      </c>
      <c r="AB456" s="153"/>
      <c r="AC456" s="454" t="str">
        <f t="shared" si="68"/>
        <v>1</v>
      </c>
    </row>
    <row r="457" spans="1:29" ht="29" x14ac:dyDescent="0.35">
      <c r="A457" s="111" t="str">
        <f t="shared" si="64"/>
        <v>Closed</v>
      </c>
      <c r="B457" s="222">
        <v>45509</v>
      </c>
      <c r="C457" s="14">
        <v>2405</v>
      </c>
      <c r="D457" s="14" t="s">
        <v>3350</v>
      </c>
      <c r="E457" s="14" t="s">
        <v>26</v>
      </c>
      <c r="F457" s="14" t="s">
        <v>1918</v>
      </c>
      <c r="G457" s="14"/>
      <c r="H457" s="14">
        <v>123</v>
      </c>
      <c r="I457" s="176" t="s">
        <v>2</v>
      </c>
      <c r="K457" s="85" t="s">
        <v>137</v>
      </c>
      <c r="L457" s="14" t="s">
        <v>3351</v>
      </c>
      <c r="M457" s="324">
        <v>0</v>
      </c>
      <c r="N457" s="14" t="s">
        <v>1879</v>
      </c>
      <c r="O457" s="14" t="s">
        <v>1880</v>
      </c>
      <c r="P457" s="167" t="s">
        <v>143</v>
      </c>
      <c r="Q457" s="112"/>
      <c r="R457" s="170">
        <v>0</v>
      </c>
      <c r="S457" s="108">
        <f t="shared" si="67"/>
        <v>45537</v>
      </c>
      <c r="T457" s="79">
        <v>45509</v>
      </c>
      <c r="U457" s="14"/>
      <c r="V457" s="14"/>
      <c r="W457" s="14"/>
      <c r="X457" s="14"/>
      <c r="Y457" s="51" t="s">
        <v>2001</v>
      </c>
      <c r="Z457" s="14"/>
      <c r="AA457" s="2">
        <f t="shared" ca="1" si="69"/>
        <v>1</v>
      </c>
      <c r="AB457" s="153"/>
      <c r="AC457" s="454" t="str">
        <f t="shared" si="68"/>
        <v>1</v>
      </c>
    </row>
    <row r="458" spans="1:29" ht="43.5" x14ac:dyDescent="0.35">
      <c r="A458" s="111" t="str">
        <f t="shared" si="64"/>
        <v>Closed</v>
      </c>
      <c r="B458" s="222">
        <v>45509</v>
      </c>
      <c r="C458" s="14">
        <v>2405</v>
      </c>
      <c r="D458" s="14" t="s">
        <v>3352</v>
      </c>
      <c r="E458" s="14" t="s">
        <v>42</v>
      </c>
      <c r="F458" s="14" t="s">
        <v>2162</v>
      </c>
      <c r="G458" s="14" t="s">
        <v>1911</v>
      </c>
      <c r="H458" s="14">
        <v>108</v>
      </c>
      <c r="I458" s="176" t="s">
        <v>140</v>
      </c>
      <c r="K458" s="87"/>
      <c r="L458" s="14" t="s">
        <v>3353</v>
      </c>
      <c r="M458" s="324">
        <f>IF(I458="Staff Accident","Entry Required",IF(I458="Assaults","Entry Required",0))</f>
        <v>0</v>
      </c>
      <c r="N458" s="14" t="s">
        <v>1879</v>
      </c>
      <c r="O458" s="14" t="s">
        <v>1880</v>
      </c>
      <c r="P458" s="167" t="s">
        <v>143</v>
      </c>
      <c r="Q458" s="112" t="s">
        <v>177</v>
      </c>
      <c r="R458" s="170">
        <v>0</v>
      </c>
      <c r="S458" s="108">
        <f t="shared" si="67"/>
        <v>45537</v>
      </c>
      <c r="T458" s="79">
        <v>45541</v>
      </c>
      <c r="U458" s="14"/>
      <c r="V458" s="14"/>
      <c r="W458" s="14"/>
      <c r="X458" s="14"/>
      <c r="Y458" s="15" t="s">
        <v>2164</v>
      </c>
      <c r="Z458" s="14" t="s">
        <v>3354</v>
      </c>
      <c r="AA458" s="2">
        <f t="shared" ca="1" si="69"/>
        <v>1</v>
      </c>
      <c r="AB458" s="153"/>
      <c r="AC458" s="454" t="str">
        <f t="shared" si="68"/>
        <v>1</v>
      </c>
    </row>
    <row r="459" spans="1:29" ht="43.5" x14ac:dyDescent="0.35">
      <c r="A459" s="111" t="str">
        <f t="shared" si="64"/>
        <v>Closed</v>
      </c>
      <c r="B459" s="222">
        <v>45511</v>
      </c>
      <c r="C459" s="14">
        <v>2405</v>
      </c>
      <c r="D459" s="14" t="s">
        <v>3355</v>
      </c>
      <c r="E459" s="14" t="s">
        <v>27</v>
      </c>
      <c r="F459" s="167" t="s">
        <v>2162</v>
      </c>
      <c r="G459" s="14"/>
      <c r="H459" s="14"/>
      <c r="I459" s="176" t="s">
        <v>140</v>
      </c>
      <c r="J459" s="14">
        <v>97</v>
      </c>
      <c r="K459" s="87"/>
      <c r="L459" s="14" t="s">
        <v>3356</v>
      </c>
      <c r="M459" s="324">
        <f>IF(I459="Staff Accident","Entry Required",IF(I459="Assaults","Entry Required",0))</f>
        <v>0</v>
      </c>
      <c r="N459" s="14" t="s">
        <v>1879</v>
      </c>
      <c r="O459" s="14" t="s">
        <v>1879</v>
      </c>
      <c r="P459" s="167" t="s">
        <v>143</v>
      </c>
      <c r="Q459" s="112"/>
      <c r="R459" s="170">
        <v>0</v>
      </c>
      <c r="S459" s="108">
        <f t="shared" si="67"/>
        <v>45539</v>
      </c>
      <c r="T459" s="79">
        <v>45546</v>
      </c>
      <c r="U459" s="14"/>
      <c r="V459" s="14"/>
      <c r="W459" s="14"/>
      <c r="X459" s="14"/>
      <c r="Y459" s="15" t="s">
        <v>2164</v>
      </c>
      <c r="Z459" s="87"/>
      <c r="AA459" s="2">
        <f t="shared" ca="1" si="69"/>
        <v>1</v>
      </c>
      <c r="AB459" s="153"/>
      <c r="AC459" s="454" t="str">
        <f t="shared" si="68"/>
        <v/>
      </c>
    </row>
    <row r="460" spans="1:29" ht="43.5" x14ac:dyDescent="0.35">
      <c r="A460" s="111" t="str">
        <f t="shared" si="64"/>
        <v>Closed</v>
      </c>
      <c r="B460" s="222">
        <v>45512</v>
      </c>
      <c r="C460" s="14">
        <v>2405</v>
      </c>
      <c r="D460" s="14" t="s">
        <v>1079</v>
      </c>
      <c r="E460" s="14" t="s">
        <v>42</v>
      </c>
      <c r="F460" s="14" t="s">
        <v>1886</v>
      </c>
      <c r="G460" s="14" t="s">
        <v>1911</v>
      </c>
      <c r="H460" s="14">
        <v>120</v>
      </c>
      <c r="I460" s="176" t="s">
        <v>4</v>
      </c>
      <c r="J460" s="14">
        <v>8511271</v>
      </c>
      <c r="K460" s="14" t="s">
        <v>137</v>
      </c>
      <c r="L460" s="14" t="s">
        <v>3357</v>
      </c>
      <c r="M460" s="324">
        <v>0</v>
      </c>
      <c r="N460" s="14" t="s">
        <v>1879</v>
      </c>
      <c r="O460" s="14" t="s">
        <v>1880</v>
      </c>
      <c r="P460" s="167" t="s">
        <v>139</v>
      </c>
      <c r="Q460" s="112" t="s">
        <v>138</v>
      </c>
      <c r="R460" s="170" t="s">
        <v>234</v>
      </c>
      <c r="S460" s="108">
        <f t="shared" si="67"/>
        <v>45540</v>
      </c>
      <c r="T460" s="79">
        <v>45544</v>
      </c>
      <c r="U460" s="14" t="s">
        <v>3358</v>
      </c>
      <c r="V460" s="14" t="s">
        <v>3359</v>
      </c>
      <c r="W460" s="14" t="s">
        <v>1879</v>
      </c>
      <c r="X460" s="14" t="s">
        <v>1880</v>
      </c>
      <c r="Y460" s="88" t="s">
        <v>1890</v>
      </c>
      <c r="Z460" s="14" t="s">
        <v>3360</v>
      </c>
      <c r="AA460" s="2">
        <f t="shared" ca="1" si="69"/>
        <v>1</v>
      </c>
      <c r="AB460" s="153"/>
      <c r="AC460" s="454" t="str">
        <f t="shared" si="68"/>
        <v>1</v>
      </c>
    </row>
    <row r="461" spans="1:29" ht="72.5" x14ac:dyDescent="0.35">
      <c r="A461" s="111" t="str">
        <f t="shared" si="64"/>
        <v>Closed</v>
      </c>
      <c r="B461" s="222">
        <v>45512</v>
      </c>
      <c r="C461" s="14">
        <v>2405</v>
      </c>
      <c r="D461" s="14" t="s">
        <v>3361</v>
      </c>
      <c r="E461" s="14" t="s">
        <v>31</v>
      </c>
      <c r="F461" s="14" t="s">
        <v>1972</v>
      </c>
      <c r="G461" s="14"/>
      <c r="H461" s="14"/>
      <c r="I461" s="176" t="s">
        <v>140</v>
      </c>
      <c r="J461" s="14">
        <v>541</v>
      </c>
      <c r="K461" s="87"/>
      <c r="L461" s="14" t="s">
        <v>3362</v>
      </c>
      <c r="M461" s="324">
        <f t="shared" ref="M461:M471" si="71">IF(I461="Staff Accident","Entry Required",IF(I461="Assaults","Entry Required",0))</f>
        <v>0</v>
      </c>
      <c r="N461" s="14" t="s">
        <v>1879</v>
      </c>
      <c r="O461" s="14" t="s">
        <v>1879</v>
      </c>
      <c r="P461" s="167" t="s">
        <v>143</v>
      </c>
      <c r="Q461" s="14"/>
      <c r="R461" s="170">
        <v>0</v>
      </c>
      <c r="S461" s="108">
        <f t="shared" si="67"/>
        <v>45540</v>
      </c>
      <c r="T461" s="79">
        <v>45512</v>
      </c>
      <c r="U461" s="14"/>
      <c r="V461" s="14"/>
      <c r="W461" s="14"/>
      <c r="X461" s="14"/>
      <c r="Z461" s="14"/>
      <c r="AA461" s="2">
        <f t="shared" ca="1" si="69"/>
        <v>1</v>
      </c>
      <c r="AB461" s="153"/>
      <c r="AC461" s="454" t="str">
        <f t="shared" si="68"/>
        <v/>
      </c>
    </row>
    <row r="462" spans="1:29" ht="43.5" x14ac:dyDescent="0.35">
      <c r="A462" s="111" t="str">
        <f t="shared" si="64"/>
        <v>Closed</v>
      </c>
      <c r="B462" s="222">
        <v>45514</v>
      </c>
      <c r="C462" s="14">
        <v>2405</v>
      </c>
      <c r="D462" s="14" t="s">
        <v>3363</v>
      </c>
      <c r="E462" s="14" t="s">
        <v>78</v>
      </c>
      <c r="F462" s="14" t="s">
        <v>2774</v>
      </c>
      <c r="G462" s="14" t="s">
        <v>1900</v>
      </c>
      <c r="H462" s="14">
        <v>121</v>
      </c>
      <c r="I462" s="176" t="s">
        <v>155</v>
      </c>
      <c r="J462" s="14">
        <v>77027</v>
      </c>
      <c r="K462" s="87"/>
      <c r="L462" s="14" t="s">
        <v>3364</v>
      </c>
      <c r="M462" s="324">
        <f t="shared" si="71"/>
        <v>0</v>
      </c>
      <c r="N462" s="14" t="s">
        <v>1880</v>
      </c>
      <c r="O462" s="14" t="s">
        <v>1880</v>
      </c>
      <c r="P462" s="167" t="s">
        <v>147</v>
      </c>
      <c r="Q462" s="112" t="s">
        <v>175</v>
      </c>
      <c r="R462" s="170" t="s">
        <v>234</v>
      </c>
      <c r="S462" s="108">
        <f t="shared" si="67"/>
        <v>45542</v>
      </c>
      <c r="T462" s="79">
        <v>45531</v>
      </c>
      <c r="U462" s="14" t="s">
        <v>3365</v>
      </c>
      <c r="V462" s="14" t="s">
        <v>2850</v>
      </c>
      <c r="W462" s="14" t="s">
        <v>1879</v>
      </c>
      <c r="X462" s="14" t="s">
        <v>1883</v>
      </c>
      <c r="Z462" s="14" t="s">
        <v>3366</v>
      </c>
      <c r="AA462" s="2">
        <f t="shared" ca="1" si="69"/>
        <v>1</v>
      </c>
      <c r="AB462" s="153"/>
      <c r="AC462" s="454" t="str">
        <f t="shared" si="68"/>
        <v>1</v>
      </c>
    </row>
    <row r="463" spans="1:29" ht="43.5" x14ac:dyDescent="0.35">
      <c r="A463" s="111" t="str">
        <f t="shared" si="64"/>
        <v>Closed</v>
      </c>
      <c r="B463" s="222">
        <v>45515</v>
      </c>
      <c r="C463" s="14">
        <v>2405</v>
      </c>
      <c r="D463" s="14" t="s">
        <v>3367</v>
      </c>
      <c r="E463" s="14" t="s">
        <v>204</v>
      </c>
      <c r="F463" s="14" t="s">
        <v>2864</v>
      </c>
      <c r="G463" s="14" t="s">
        <v>1900</v>
      </c>
      <c r="H463" s="14">
        <v>110</v>
      </c>
      <c r="I463" s="176" t="s">
        <v>155</v>
      </c>
      <c r="K463" s="87"/>
      <c r="L463" s="14" t="s">
        <v>3368</v>
      </c>
      <c r="M463" s="324">
        <f t="shared" si="71"/>
        <v>0</v>
      </c>
      <c r="N463" s="14" t="s">
        <v>1879</v>
      </c>
      <c r="O463" s="14" t="s">
        <v>1879</v>
      </c>
      <c r="P463" s="167" t="s">
        <v>147</v>
      </c>
      <c r="Q463" s="14" t="s">
        <v>168</v>
      </c>
      <c r="R463" s="170" t="s">
        <v>234</v>
      </c>
      <c r="S463" s="108">
        <f t="shared" si="67"/>
        <v>45543</v>
      </c>
      <c r="T463" s="79">
        <v>45542</v>
      </c>
      <c r="U463" s="14" t="s">
        <v>3369</v>
      </c>
      <c r="V463" s="14" t="s">
        <v>1896</v>
      </c>
      <c r="W463" s="14" t="s">
        <v>1879</v>
      </c>
      <c r="X463" s="14" t="s">
        <v>1883</v>
      </c>
      <c r="Y463" s="14" t="s">
        <v>2868</v>
      </c>
      <c r="Z463" s="14" t="s">
        <v>3370</v>
      </c>
      <c r="AA463" s="2">
        <f t="shared" ca="1" si="69"/>
        <v>1</v>
      </c>
      <c r="AB463" s="153"/>
      <c r="AC463" s="454" t="str">
        <f t="shared" si="68"/>
        <v>1</v>
      </c>
    </row>
    <row r="464" spans="1:29" ht="29" x14ac:dyDescent="0.35">
      <c r="A464" s="111" t="str">
        <f t="shared" si="64"/>
        <v>Closed</v>
      </c>
      <c r="B464" s="222">
        <v>45515</v>
      </c>
      <c r="C464" s="14">
        <v>2405</v>
      </c>
      <c r="D464" s="14" t="s">
        <v>3371</v>
      </c>
      <c r="E464" s="14" t="s">
        <v>1997</v>
      </c>
      <c r="F464" s="14"/>
      <c r="G464" s="14"/>
      <c r="H464" s="14"/>
      <c r="I464" s="176" t="s">
        <v>140</v>
      </c>
      <c r="K464" s="87"/>
      <c r="L464" s="14" t="s">
        <v>3372</v>
      </c>
      <c r="M464" s="324">
        <f t="shared" si="71"/>
        <v>0</v>
      </c>
      <c r="N464" s="14" t="s">
        <v>1879</v>
      </c>
      <c r="O464" s="14" t="s">
        <v>1879</v>
      </c>
      <c r="P464" s="167" t="s">
        <v>143</v>
      </c>
      <c r="Q464" s="14"/>
      <c r="R464" s="170">
        <v>0</v>
      </c>
      <c r="S464" s="108">
        <f t="shared" si="67"/>
        <v>45543</v>
      </c>
      <c r="T464" s="79">
        <v>45515</v>
      </c>
      <c r="U464" s="14"/>
      <c r="V464" s="14"/>
      <c r="W464" s="14"/>
      <c r="X464" s="14"/>
      <c r="Y464" s="85"/>
      <c r="Z464" s="14"/>
      <c r="AA464" s="2">
        <f t="shared" ca="1" si="69"/>
        <v>1</v>
      </c>
      <c r="AB464" s="153"/>
      <c r="AC464" s="454" t="str">
        <f t="shared" si="68"/>
        <v/>
      </c>
    </row>
    <row r="465" spans="1:29" ht="43.5" x14ac:dyDescent="0.35">
      <c r="A465" s="89" t="str">
        <f t="shared" si="64"/>
        <v>Closed</v>
      </c>
      <c r="B465" s="222">
        <v>45516</v>
      </c>
      <c r="C465" s="14">
        <v>2405</v>
      </c>
      <c r="D465" s="14" t="s">
        <v>3373</v>
      </c>
      <c r="E465" s="14" t="s">
        <v>72</v>
      </c>
      <c r="F465" s="14" t="s">
        <v>1910</v>
      </c>
      <c r="G465" s="14"/>
      <c r="H465" s="14"/>
      <c r="I465" s="176" t="s">
        <v>155</v>
      </c>
      <c r="K465" s="87"/>
      <c r="L465" s="14" t="s">
        <v>3374</v>
      </c>
      <c r="M465" s="324">
        <f t="shared" si="71"/>
        <v>0</v>
      </c>
      <c r="N465" s="14" t="s">
        <v>1879</v>
      </c>
      <c r="O465" s="14" t="s">
        <v>1879</v>
      </c>
      <c r="P465" s="167" t="s">
        <v>147</v>
      </c>
      <c r="Q465" s="14" t="s">
        <v>175</v>
      </c>
      <c r="R465" s="223" t="s">
        <v>234</v>
      </c>
      <c r="S465" s="224">
        <f t="shared" si="67"/>
        <v>45544</v>
      </c>
      <c r="T465" s="79">
        <v>45530</v>
      </c>
      <c r="U465" s="14" t="s">
        <v>2746</v>
      </c>
      <c r="V465" s="14" t="s">
        <v>2746</v>
      </c>
      <c r="W465" s="14" t="s">
        <v>1880</v>
      </c>
      <c r="X465" s="176" t="s">
        <v>154</v>
      </c>
      <c r="Y465" s="15" t="s">
        <v>1915</v>
      </c>
      <c r="Z465" s="87" t="s">
        <v>1897</v>
      </c>
      <c r="AA465" s="2">
        <f t="shared" ca="1" si="69"/>
        <v>1</v>
      </c>
      <c r="AB465" s="153"/>
      <c r="AC465" s="454" t="str">
        <f t="shared" si="68"/>
        <v/>
      </c>
    </row>
    <row r="466" spans="1:29" ht="58" x14ac:dyDescent="0.35">
      <c r="A466" s="89" t="str">
        <f t="shared" si="64"/>
        <v>Closed</v>
      </c>
      <c r="B466" s="222">
        <v>45516</v>
      </c>
      <c r="C466" s="14">
        <v>2405</v>
      </c>
      <c r="D466" s="14" t="s">
        <v>3375</v>
      </c>
      <c r="E466" s="14" t="s">
        <v>192</v>
      </c>
      <c r="F466" s="14" t="s">
        <v>2962</v>
      </c>
      <c r="G466" s="14" t="s">
        <v>1911</v>
      </c>
      <c r="H466" s="14"/>
      <c r="I466" s="176" t="s">
        <v>155</v>
      </c>
      <c r="K466" s="87"/>
      <c r="L466" s="14" t="s">
        <v>3376</v>
      </c>
      <c r="M466" s="324">
        <f t="shared" si="71"/>
        <v>0</v>
      </c>
      <c r="N466" s="14" t="s">
        <v>1879</v>
      </c>
      <c r="O466" s="14" t="s">
        <v>1879</v>
      </c>
      <c r="P466" s="167" t="s">
        <v>147</v>
      </c>
      <c r="Q466" s="14" t="s">
        <v>150</v>
      </c>
      <c r="R466" s="223" t="s">
        <v>234</v>
      </c>
      <c r="S466" s="224">
        <f t="shared" si="67"/>
        <v>45544</v>
      </c>
      <c r="T466" s="79">
        <v>45530</v>
      </c>
      <c r="U466" s="14" t="s">
        <v>3377</v>
      </c>
      <c r="V466" s="14" t="s">
        <v>3378</v>
      </c>
      <c r="W466" s="14" t="s">
        <v>1879</v>
      </c>
      <c r="X466" s="14" t="s">
        <v>1880</v>
      </c>
      <c r="Y466" s="88"/>
      <c r="Z466" s="14"/>
      <c r="AA466" s="2">
        <f t="shared" ca="1" si="69"/>
        <v>1</v>
      </c>
      <c r="AB466" s="153"/>
      <c r="AC466" s="454" t="str">
        <f t="shared" si="68"/>
        <v/>
      </c>
    </row>
    <row r="467" spans="1:29" ht="29" x14ac:dyDescent="0.35">
      <c r="A467" s="111" t="str">
        <f t="shared" si="64"/>
        <v>Closed</v>
      </c>
      <c r="B467" s="222">
        <v>45517</v>
      </c>
      <c r="C467" s="14">
        <v>2405</v>
      </c>
      <c r="D467" s="14" t="s">
        <v>3379</v>
      </c>
      <c r="E467" s="14" t="s">
        <v>180</v>
      </c>
      <c r="F467" s="14" t="s">
        <v>1972</v>
      </c>
      <c r="G467" s="14"/>
      <c r="H467" s="14"/>
      <c r="I467" s="176" t="s">
        <v>140</v>
      </c>
      <c r="K467" s="87"/>
      <c r="L467" s="14" t="s">
        <v>3380</v>
      </c>
      <c r="M467" s="324">
        <f t="shared" si="71"/>
        <v>0</v>
      </c>
      <c r="N467" s="14" t="s">
        <v>1879</v>
      </c>
      <c r="O467" s="14" t="s">
        <v>1879</v>
      </c>
      <c r="P467" s="167" t="s">
        <v>143</v>
      </c>
      <c r="Q467" s="14"/>
      <c r="R467" s="170">
        <v>0</v>
      </c>
      <c r="S467" s="108">
        <f t="shared" si="67"/>
        <v>45545</v>
      </c>
      <c r="T467" s="79">
        <v>45517</v>
      </c>
      <c r="U467" s="14"/>
      <c r="V467" s="14"/>
      <c r="W467" s="14"/>
      <c r="X467" s="14"/>
      <c r="Z467" s="14"/>
      <c r="AA467" s="2">
        <f t="shared" ca="1" si="69"/>
        <v>1</v>
      </c>
      <c r="AB467" s="153"/>
      <c r="AC467" s="454" t="str">
        <f t="shared" si="68"/>
        <v/>
      </c>
    </row>
    <row r="468" spans="1:29" ht="43.5" x14ac:dyDescent="0.35">
      <c r="A468" s="111" t="str">
        <f t="shared" si="64"/>
        <v>Closed</v>
      </c>
      <c r="B468" s="222">
        <v>45517</v>
      </c>
      <c r="C468" s="14">
        <v>2405</v>
      </c>
      <c r="D468" s="14" t="s">
        <v>3381</v>
      </c>
      <c r="E468" s="14" t="s">
        <v>8</v>
      </c>
      <c r="F468" s="167" t="s">
        <v>2162</v>
      </c>
      <c r="G468" s="14" t="s">
        <v>1911</v>
      </c>
      <c r="H468" s="14">
        <v>120</v>
      </c>
      <c r="I468" s="176" t="s">
        <v>140</v>
      </c>
      <c r="K468" s="87"/>
      <c r="L468" s="14" t="s">
        <v>3382</v>
      </c>
      <c r="M468" s="324">
        <f t="shared" si="71"/>
        <v>0</v>
      </c>
      <c r="N468" s="14" t="s">
        <v>1879</v>
      </c>
      <c r="O468" s="14" t="s">
        <v>1879</v>
      </c>
      <c r="P468" s="167" t="s">
        <v>143</v>
      </c>
      <c r="Q468" s="14"/>
      <c r="R468" s="170">
        <v>0</v>
      </c>
      <c r="S468" s="108">
        <f t="shared" si="67"/>
        <v>45545</v>
      </c>
      <c r="T468" s="79">
        <v>45517</v>
      </c>
      <c r="U468" s="14"/>
      <c r="V468" s="14"/>
      <c r="W468" s="14"/>
      <c r="X468" s="14"/>
      <c r="Y468" s="15" t="s">
        <v>2164</v>
      </c>
      <c r="Z468" s="87"/>
      <c r="AA468" s="2">
        <f t="shared" ca="1" si="69"/>
        <v>1</v>
      </c>
      <c r="AB468" s="153"/>
      <c r="AC468" s="454" t="str">
        <f t="shared" si="68"/>
        <v>1</v>
      </c>
    </row>
    <row r="469" spans="1:29" ht="29" x14ac:dyDescent="0.45">
      <c r="A469" s="111" t="str">
        <f t="shared" si="64"/>
        <v>Closed</v>
      </c>
      <c r="B469" s="222">
        <v>45517</v>
      </c>
      <c r="C469" s="14">
        <v>2405</v>
      </c>
      <c r="D469" s="14" t="s">
        <v>3383</v>
      </c>
      <c r="E469" s="14" t="s">
        <v>192</v>
      </c>
      <c r="F469" s="14" t="s">
        <v>2338</v>
      </c>
      <c r="G469" s="14"/>
      <c r="H469" s="14">
        <v>206</v>
      </c>
      <c r="I469" s="176" t="s">
        <v>140</v>
      </c>
      <c r="K469" s="87"/>
      <c r="L469" s="14" t="s">
        <v>3384</v>
      </c>
      <c r="M469" s="324">
        <f t="shared" si="71"/>
        <v>0</v>
      </c>
      <c r="N469" s="14" t="s">
        <v>1879</v>
      </c>
      <c r="O469" s="14" t="s">
        <v>1879</v>
      </c>
      <c r="P469" s="167" t="s">
        <v>143</v>
      </c>
      <c r="Q469" s="14"/>
      <c r="R469" s="170">
        <v>0</v>
      </c>
      <c r="S469" s="108">
        <f t="shared" si="67"/>
        <v>45545</v>
      </c>
      <c r="T469" s="79">
        <v>45517</v>
      </c>
      <c r="U469" s="14"/>
      <c r="V469" s="14"/>
      <c r="W469" s="14"/>
      <c r="X469" s="14"/>
      <c r="Y469" s="463" t="s">
        <v>2340</v>
      </c>
      <c r="Z469" s="14"/>
      <c r="AA469" s="2">
        <f t="shared" ca="1" si="69"/>
        <v>1</v>
      </c>
      <c r="AB469" s="153"/>
      <c r="AC469" s="454" t="str">
        <f t="shared" si="68"/>
        <v>2</v>
      </c>
    </row>
    <row r="470" spans="1:29" ht="43.5" x14ac:dyDescent="0.35">
      <c r="A470" s="111" t="str">
        <f t="shared" si="64"/>
        <v>Closed</v>
      </c>
      <c r="B470" s="222">
        <v>45518</v>
      </c>
      <c r="C470" s="14">
        <v>2405</v>
      </c>
      <c r="D470" s="14" t="s">
        <v>3385</v>
      </c>
      <c r="E470" s="14" t="s">
        <v>27</v>
      </c>
      <c r="F470" s="14" t="s">
        <v>1886</v>
      </c>
      <c r="G470" s="14" t="s">
        <v>1911</v>
      </c>
      <c r="H470" s="14">
        <v>120</v>
      </c>
      <c r="I470" s="176" t="s">
        <v>5</v>
      </c>
      <c r="J470" s="14">
        <v>64986</v>
      </c>
      <c r="K470" s="87"/>
      <c r="L470" s="14" t="s">
        <v>3386</v>
      </c>
      <c r="M470" s="324">
        <f t="shared" si="71"/>
        <v>0</v>
      </c>
      <c r="N470" s="14" t="s">
        <v>1879</v>
      </c>
      <c r="O470" s="14" t="s">
        <v>1880</v>
      </c>
      <c r="P470" s="167" t="s">
        <v>147</v>
      </c>
      <c r="Q470" s="14" t="s">
        <v>175</v>
      </c>
      <c r="R470" s="170" t="s">
        <v>234</v>
      </c>
      <c r="S470" s="108">
        <f t="shared" si="67"/>
        <v>45546</v>
      </c>
      <c r="T470" s="79">
        <v>45531</v>
      </c>
      <c r="U470" s="14" t="s">
        <v>3387</v>
      </c>
      <c r="V470" s="14" t="s">
        <v>3388</v>
      </c>
      <c r="W470" s="14" t="s">
        <v>1879</v>
      </c>
      <c r="X470" s="14" t="s">
        <v>1879</v>
      </c>
      <c r="Y470" s="14" t="s">
        <v>1890</v>
      </c>
      <c r="Z470" s="14" t="s">
        <v>3389</v>
      </c>
      <c r="AA470" s="2">
        <f t="shared" ca="1" si="69"/>
        <v>1</v>
      </c>
      <c r="AB470" s="153"/>
      <c r="AC470" s="454" t="str">
        <f t="shared" si="68"/>
        <v>1</v>
      </c>
    </row>
    <row r="471" spans="1:29" ht="43.5" x14ac:dyDescent="0.35">
      <c r="A471" s="111" t="str">
        <f t="shared" si="64"/>
        <v>Closed</v>
      </c>
      <c r="B471" s="222">
        <v>45518</v>
      </c>
      <c r="C471" s="14">
        <v>2405</v>
      </c>
      <c r="D471" s="14" t="s">
        <v>3390</v>
      </c>
      <c r="E471" s="14" t="s">
        <v>31</v>
      </c>
      <c r="F471" s="14" t="s">
        <v>2052</v>
      </c>
      <c r="G471" s="14" t="s">
        <v>1900</v>
      </c>
      <c r="H471" s="14">
        <v>206</v>
      </c>
      <c r="I471" s="176" t="s">
        <v>140</v>
      </c>
      <c r="J471" s="14">
        <v>8508846</v>
      </c>
      <c r="K471" s="87"/>
      <c r="L471" s="14" t="s">
        <v>3391</v>
      </c>
      <c r="M471" s="324">
        <f t="shared" si="71"/>
        <v>0</v>
      </c>
      <c r="N471" s="14" t="s">
        <v>1879</v>
      </c>
      <c r="O471" s="14" t="s">
        <v>1879</v>
      </c>
      <c r="P471" s="167" t="s">
        <v>143</v>
      </c>
      <c r="Q471" s="14"/>
      <c r="R471" s="170">
        <v>0</v>
      </c>
      <c r="S471" s="108">
        <f t="shared" si="67"/>
        <v>45546</v>
      </c>
      <c r="T471" s="79">
        <v>45546</v>
      </c>
      <c r="U471" s="14"/>
      <c r="V471" s="14"/>
      <c r="W471" s="14"/>
      <c r="X471" s="14"/>
      <c r="Y471" s="14" t="s">
        <v>2054</v>
      </c>
      <c r="Z471" s="14"/>
      <c r="AA471" s="2">
        <f t="shared" ca="1" si="69"/>
        <v>1</v>
      </c>
      <c r="AB471" s="153"/>
      <c r="AC471" s="454" t="str">
        <f t="shared" si="68"/>
        <v>2</v>
      </c>
    </row>
    <row r="472" spans="1:29" ht="29" x14ac:dyDescent="0.35">
      <c r="A472" s="111" t="str">
        <f t="shared" si="64"/>
        <v>Closed</v>
      </c>
      <c r="B472" s="222">
        <v>45519</v>
      </c>
      <c r="C472" s="14">
        <v>2405</v>
      </c>
      <c r="D472" s="14" t="s">
        <v>3392</v>
      </c>
      <c r="E472" s="14" t="s">
        <v>38</v>
      </c>
      <c r="F472" s="14" t="s">
        <v>1918</v>
      </c>
      <c r="G472" s="14"/>
      <c r="H472" s="14"/>
      <c r="I472" s="176" t="s">
        <v>2</v>
      </c>
      <c r="J472" s="14">
        <v>51187</v>
      </c>
      <c r="K472" s="85" t="s">
        <v>137</v>
      </c>
      <c r="L472" s="14" t="s">
        <v>3393</v>
      </c>
      <c r="M472" s="324">
        <v>0</v>
      </c>
      <c r="N472" s="14" t="s">
        <v>1879</v>
      </c>
      <c r="O472" s="14" t="s">
        <v>1879</v>
      </c>
      <c r="P472" s="167" t="s">
        <v>143</v>
      </c>
      <c r="Q472" s="14"/>
      <c r="R472" s="170">
        <v>0</v>
      </c>
      <c r="S472" s="108">
        <f t="shared" si="67"/>
        <v>45547</v>
      </c>
      <c r="T472" s="79">
        <v>45519</v>
      </c>
      <c r="U472" s="14"/>
      <c r="V472" s="14"/>
      <c r="W472" s="14"/>
      <c r="X472" s="14"/>
      <c r="Y472" s="51" t="s">
        <v>2001</v>
      </c>
      <c r="Z472" s="14"/>
      <c r="AA472" s="2">
        <f t="shared" ca="1" si="69"/>
        <v>1</v>
      </c>
      <c r="AB472" s="153"/>
      <c r="AC472" s="454" t="str">
        <f t="shared" si="68"/>
        <v/>
      </c>
    </row>
    <row r="473" spans="1:29" ht="43.5" x14ac:dyDescent="0.45">
      <c r="A473" s="111" t="str">
        <f t="shared" si="64"/>
        <v>Closed</v>
      </c>
      <c r="B473" s="222">
        <v>45520</v>
      </c>
      <c r="C473" s="14">
        <v>2405</v>
      </c>
      <c r="D473" s="14" t="s">
        <v>3394</v>
      </c>
      <c r="E473" s="14" t="s">
        <v>192</v>
      </c>
      <c r="F473" s="14" t="s">
        <v>2338</v>
      </c>
      <c r="G473" s="14"/>
      <c r="H473" s="14"/>
      <c r="I473" s="176" t="s">
        <v>140</v>
      </c>
      <c r="K473" s="87"/>
      <c r="L473" s="14" t="s">
        <v>3395</v>
      </c>
      <c r="M473" s="324">
        <f t="shared" ref="M473:M478" si="72">IF(I473="Staff Accident","Entry Required",IF(I473="Assaults","Entry Required",0))</f>
        <v>0</v>
      </c>
      <c r="N473" s="14" t="s">
        <v>1879</v>
      </c>
      <c r="O473" s="14" t="s">
        <v>1879</v>
      </c>
      <c r="P473" s="167" t="s">
        <v>143</v>
      </c>
      <c r="Q473" s="14"/>
      <c r="R473" s="170">
        <v>0</v>
      </c>
      <c r="S473" s="108">
        <f t="shared" si="67"/>
        <v>45548</v>
      </c>
      <c r="T473" s="79">
        <v>45520</v>
      </c>
      <c r="U473" s="14"/>
      <c r="V473" s="14"/>
      <c r="W473" s="14"/>
      <c r="X473" s="14"/>
      <c r="Y473" s="463" t="s">
        <v>2340</v>
      </c>
      <c r="Z473" s="14"/>
      <c r="AA473" s="2">
        <f t="shared" ca="1" si="69"/>
        <v>1</v>
      </c>
      <c r="AB473" s="153"/>
      <c r="AC473" s="454" t="str">
        <f t="shared" si="68"/>
        <v/>
      </c>
    </row>
    <row r="474" spans="1:29" ht="43.5" x14ac:dyDescent="0.35">
      <c r="A474" s="111" t="str">
        <f t="shared" si="64"/>
        <v>Closed</v>
      </c>
      <c r="B474" s="222">
        <v>45521</v>
      </c>
      <c r="C474" s="14">
        <v>2405</v>
      </c>
      <c r="D474" s="14" t="s">
        <v>3396</v>
      </c>
      <c r="E474" s="14" t="s">
        <v>27</v>
      </c>
      <c r="F474" s="14" t="s">
        <v>2091</v>
      </c>
      <c r="G474" s="14" t="s">
        <v>1900</v>
      </c>
      <c r="H474" s="14">
        <v>124</v>
      </c>
      <c r="I474" s="176" t="s">
        <v>5</v>
      </c>
      <c r="J474" s="14">
        <v>8501802</v>
      </c>
      <c r="K474" s="87"/>
      <c r="L474" s="14" t="s">
        <v>3397</v>
      </c>
      <c r="M474" s="324">
        <f t="shared" si="72"/>
        <v>0</v>
      </c>
      <c r="N474" s="14" t="s">
        <v>1879</v>
      </c>
      <c r="O474" s="14" t="s">
        <v>1879</v>
      </c>
      <c r="P474" s="167" t="s">
        <v>147</v>
      </c>
      <c r="Q474" s="14" t="s">
        <v>153</v>
      </c>
      <c r="R474" s="170" t="s">
        <v>234</v>
      </c>
      <c r="S474" s="108">
        <f t="shared" ref="S474:S505" si="73">IF(B474="","",B474+28)</f>
        <v>45549</v>
      </c>
      <c r="T474" s="79">
        <v>45539</v>
      </c>
      <c r="U474" s="14" t="s">
        <v>3398</v>
      </c>
      <c r="V474" s="14" t="s">
        <v>3399</v>
      </c>
      <c r="W474" s="14" t="s">
        <v>1879</v>
      </c>
      <c r="X474" s="14" t="s">
        <v>1883</v>
      </c>
      <c r="Y474" s="85" t="s">
        <v>2093</v>
      </c>
      <c r="Z474" s="14" t="s">
        <v>3400</v>
      </c>
      <c r="AA474" s="2">
        <f t="shared" ca="1" si="69"/>
        <v>1</v>
      </c>
      <c r="AB474" s="153"/>
      <c r="AC474" s="454" t="str">
        <f t="shared" ref="AC474:AC505" si="74">LEFT(H474,1)</f>
        <v>1</v>
      </c>
    </row>
    <row r="475" spans="1:29" ht="43.5" x14ac:dyDescent="0.45">
      <c r="A475" s="111" t="str">
        <f t="shared" si="64"/>
        <v>Closed</v>
      </c>
      <c r="B475" s="222">
        <v>45521</v>
      </c>
      <c r="C475" s="14">
        <v>2405</v>
      </c>
      <c r="D475" s="14" t="s">
        <v>3401</v>
      </c>
      <c r="E475" s="14" t="s">
        <v>192</v>
      </c>
      <c r="F475" s="14" t="s">
        <v>2338</v>
      </c>
      <c r="G475" s="14"/>
      <c r="H475" s="14"/>
      <c r="I475" s="176" t="s">
        <v>140</v>
      </c>
      <c r="K475" s="87"/>
      <c r="L475" s="14" t="s">
        <v>3402</v>
      </c>
      <c r="M475" s="324">
        <f t="shared" si="72"/>
        <v>0</v>
      </c>
      <c r="N475" s="14" t="s">
        <v>1879</v>
      </c>
      <c r="O475" s="14" t="s">
        <v>1879</v>
      </c>
      <c r="P475" s="167" t="s">
        <v>143</v>
      </c>
      <c r="Q475" s="14"/>
      <c r="R475" s="170">
        <v>0</v>
      </c>
      <c r="S475" s="108">
        <f t="shared" si="73"/>
        <v>45549</v>
      </c>
      <c r="T475" s="79">
        <v>45521</v>
      </c>
      <c r="U475" s="14"/>
      <c r="V475" s="14"/>
      <c r="W475" s="14"/>
      <c r="X475" s="14"/>
      <c r="Y475" s="463" t="s">
        <v>2340</v>
      </c>
      <c r="Z475" s="14"/>
      <c r="AA475" s="2">
        <f t="shared" ref="AA475:AA506" ca="1" si="75">IF(B475="",3,IF(S475&lt;$A$1,1,0))</f>
        <v>1</v>
      </c>
      <c r="AB475" s="153"/>
      <c r="AC475" s="454" t="str">
        <f t="shared" si="74"/>
        <v/>
      </c>
    </row>
    <row r="476" spans="1:29" ht="87" x14ac:dyDescent="0.35">
      <c r="A476" s="111" t="str">
        <f t="shared" si="64"/>
        <v>Closed</v>
      </c>
      <c r="B476" s="222">
        <v>45521</v>
      </c>
      <c r="C476" s="14">
        <v>2405</v>
      </c>
      <c r="D476" s="14" t="s">
        <v>3403</v>
      </c>
      <c r="E476" s="14" t="s">
        <v>31</v>
      </c>
      <c r="F476" s="14" t="s">
        <v>2953</v>
      </c>
      <c r="G476" s="14" t="s">
        <v>1900</v>
      </c>
      <c r="H476" s="14">
        <v>206</v>
      </c>
      <c r="I476" s="176" t="s">
        <v>140</v>
      </c>
      <c r="K476" s="87"/>
      <c r="L476" s="14" t="s">
        <v>3404</v>
      </c>
      <c r="M476" s="324">
        <f t="shared" si="72"/>
        <v>0</v>
      </c>
      <c r="N476" s="14" t="s">
        <v>1879</v>
      </c>
      <c r="O476" s="30" t="s">
        <v>1879</v>
      </c>
      <c r="P476" s="167" t="s">
        <v>143</v>
      </c>
      <c r="Q476" s="14"/>
      <c r="R476" s="170">
        <v>0</v>
      </c>
      <c r="S476" s="108">
        <f t="shared" si="73"/>
        <v>45549</v>
      </c>
      <c r="T476" s="79">
        <v>45521</v>
      </c>
      <c r="U476" s="14"/>
      <c r="V476" s="14"/>
      <c r="W476" s="14"/>
      <c r="X476" s="14"/>
      <c r="Z476" s="14"/>
      <c r="AA476" s="2">
        <f t="shared" ca="1" si="75"/>
        <v>1</v>
      </c>
      <c r="AB476" s="153"/>
      <c r="AC476" s="454" t="str">
        <f t="shared" si="74"/>
        <v>2</v>
      </c>
    </row>
    <row r="477" spans="1:29" ht="101.5" x14ac:dyDescent="0.35">
      <c r="A477" s="111" t="str">
        <f t="shared" si="64"/>
        <v>Closed</v>
      </c>
      <c r="B477" s="222">
        <v>45521</v>
      </c>
      <c r="C477" s="14">
        <v>2405</v>
      </c>
      <c r="D477" s="14" t="s">
        <v>3405</v>
      </c>
      <c r="E477" s="14" t="s">
        <v>196</v>
      </c>
      <c r="F477" s="14" t="s">
        <v>2262</v>
      </c>
      <c r="G477" s="14" t="s">
        <v>1911</v>
      </c>
      <c r="H477" s="14">
        <v>110</v>
      </c>
      <c r="I477" s="176" t="s">
        <v>155</v>
      </c>
      <c r="K477" s="87"/>
      <c r="L477" s="14" t="s">
        <v>3406</v>
      </c>
      <c r="M477" s="324">
        <f t="shared" si="72"/>
        <v>0</v>
      </c>
      <c r="N477" s="14" t="s">
        <v>1879</v>
      </c>
      <c r="O477" s="14" t="s">
        <v>1879</v>
      </c>
      <c r="P477" s="167" t="s">
        <v>161</v>
      </c>
      <c r="Q477" s="14" t="s">
        <v>175</v>
      </c>
      <c r="R477" s="170" t="s">
        <v>234</v>
      </c>
      <c r="S477" s="108">
        <f t="shared" si="73"/>
        <v>45549</v>
      </c>
      <c r="T477" s="79">
        <v>45674</v>
      </c>
      <c r="U477" s="14"/>
      <c r="V477" s="14"/>
      <c r="W477" s="14"/>
      <c r="X477" s="14"/>
      <c r="Y477" s="88" t="s">
        <v>2185</v>
      </c>
      <c r="Z477" s="14" t="s">
        <v>3407</v>
      </c>
      <c r="AA477" s="2">
        <f t="shared" ca="1" si="75"/>
        <v>1</v>
      </c>
      <c r="AB477" s="153"/>
      <c r="AC477" s="454" t="str">
        <f t="shared" si="74"/>
        <v>1</v>
      </c>
    </row>
    <row r="478" spans="1:29" ht="58" x14ac:dyDescent="0.35">
      <c r="A478" s="111" t="str">
        <f t="shared" si="64"/>
        <v>Closed</v>
      </c>
      <c r="B478" s="222">
        <v>45521</v>
      </c>
      <c r="C478" s="14">
        <v>2405</v>
      </c>
      <c r="D478" s="14" t="s">
        <v>3408</v>
      </c>
      <c r="E478" s="14" t="s">
        <v>31</v>
      </c>
      <c r="F478" s="14" t="s">
        <v>1937</v>
      </c>
      <c r="G478" s="14" t="s">
        <v>1911</v>
      </c>
      <c r="H478" s="14">
        <v>207</v>
      </c>
      <c r="I478" s="176" t="s">
        <v>140</v>
      </c>
      <c r="J478" s="14">
        <v>625</v>
      </c>
      <c r="K478" s="87"/>
      <c r="L478" s="14" t="s">
        <v>3409</v>
      </c>
      <c r="M478" s="324">
        <f t="shared" si="72"/>
        <v>0</v>
      </c>
      <c r="N478" s="14" t="s">
        <v>1879</v>
      </c>
      <c r="O478" s="30" t="s">
        <v>1879</v>
      </c>
      <c r="P478" s="167" t="s">
        <v>143</v>
      </c>
      <c r="Q478" s="14"/>
      <c r="R478" s="170">
        <v>0</v>
      </c>
      <c r="S478" s="108">
        <f t="shared" si="73"/>
        <v>45549</v>
      </c>
      <c r="T478" s="79">
        <v>45522</v>
      </c>
      <c r="U478" s="14"/>
      <c r="V478" s="14"/>
      <c r="W478" s="14"/>
      <c r="X478" s="14"/>
      <c r="Z478" s="14"/>
      <c r="AA478" s="2">
        <f t="shared" ca="1" si="75"/>
        <v>1</v>
      </c>
      <c r="AB478" s="153"/>
      <c r="AC478" s="454" t="str">
        <f t="shared" si="74"/>
        <v>2</v>
      </c>
    </row>
    <row r="479" spans="1:29" ht="43.5" x14ac:dyDescent="0.35">
      <c r="A479" s="111" t="str">
        <f t="shared" si="64"/>
        <v>Closed</v>
      </c>
      <c r="B479" s="222">
        <v>45522</v>
      </c>
      <c r="C479" s="14">
        <v>2406</v>
      </c>
      <c r="D479" s="14" t="s">
        <v>3410</v>
      </c>
      <c r="E479" s="14" t="s">
        <v>180</v>
      </c>
      <c r="F479" s="167" t="s">
        <v>1947</v>
      </c>
      <c r="G479" s="14" t="s">
        <v>1911</v>
      </c>
      <c r="H479" s="14">
        <v>113</v>
      </c>
      <c r="I479" s="176" t="s">
        <v>140</v>
      </c>
      <c r="J479" s="14">
        <v>92</v>
      </c>
      <c r="K479" s="14"/>
      <c r="L479" s="14" t="s">
        <v>3411</v>
      </c>
      <c r="M479" s="324">
        <f>IF(J479="Staff Accident","Entry Required",IF(J479="Assaults","Entry Required",0))</f>
        <v>0</v>
      </c>
      <c r="N479" s="14" t="s">
        <v>1879</v>
      </c>
      <c r="O479" s="14" t="s">
        <v>1879</v>
      </c>
      <c r="P479" s="167" t="s">
        <v>143</v>
      </c>
      <c r="Q479" s="14"/>
      <c r="R479" s="170">
        <v>0</v>
      </c>
      <c r="S479" s="108">
        <f t="shared" si="73"/>
        <v>45550</v>
      </c>
      <c r="T479" s="79">
        <v>45522</v>
      </c>
      <c r="U479" s="14"/>
      <c r="V479" s="14"/>
      <c r="W479" s="14"/>
      <c r="X479" s="14"/>
      <c r="Y479" s="167" t="s">
        <v>1951</v>
      </c>
      <c r="Z479" s="14"/>
      <c r="AA479" s="2">
        <f t="shared" ca="1" si="75"/>
        <v>1</v>
      </c>
      <c r="AB479" s="153"/>
      <c r="AC479" s="454" t="str">
        <f t="shared" si="74"/>
        <v>1</v>
      </c>
    </row>
    <row r="480" spans="1:29" ht="43.5" x14ac:dyDescent="0.35">
      <c r="A480" s="111" t="str">
        <f t="shared" si="64"/>
        <v>Closed</v>
      </c>
      <c r="B480" s="222">
        <v>45523</v>
      </c>
      <c r="C480" s="14">
        <v>2406</v>
      </c>
      <c r="D480" s="14" t="s">
        <v>3412</v>
      </c>
      <c r="E480" s="14" t="s">
        <v>27</v>
      </c>
      <c r="F480" s="14" t="s">
        <v>1886</v>
      </c>
      <c r="G480" s="14" t="s">
        <v>1911</v>
      </c>
      <c r="H480" s="14">
        <v>206</v>
      </c>
      <c r="I480" s="176" t="s">
        <v>5</v>
      </c>
      <c r="J480" s="14">
        <v>757</v>
      </c>
      <c r="K480" s="14"/>
      <c r="L480" s="14" t="s">
        <v>3413</v>
      </c>
      <c r="M480" s="324">
        <f>IF(J480="Staff Accident","Entry Required",IF(J480="Assaults","Entry Required",0))</f>
        <v>0</v>
      </c>
      <c r="N480" s="14" t="s">
        <v>1879</v>
      </c>
      <c r="O480" s="14" t="s">
        <v>1880</v>
      </c>
      <c r="P480" s="167" t="s">
        <v>147</v>
      </c>
      <c r="Q480" s="14" t="s">
        <v>174</v>
      </c>
      <c r="R480" s="170" t="s">
        <v>234</v>
      </c>
      <c r="S480" s="108">
        <f t="shared" si="73"/>
        <v>45551</v>
      </c>
      <c r="T480" s="79">
        <v>45549</v>
      </c>
      <c r="U480" s="14" t="s">
        <v>2493</v>
      </c>
      <c r="V480" s="14" t="s">
        <v>3414</v>
      </c>
      <c r="W480" s="14" t="s">
        <v>1879</v>
      </c>
      <c r="X480" s="14" t="s">
        <v>1883</v>
      </c>
      <c r="Y480" s="14" t="s">
        <v>1890</v>
      </c>
      <c r="Z480" s="14" t="s">
        <v>2181</v>
      </c>
      <c r="AA480" s="2">
        <f t="shared" ca="1" si="75"/>
        <v>1</v>
      </c>
      <c r="AB480" s="153"/>
      <c r="AC480" s="454" t="str">
        <f t="shared" si="74"/>
        <v>2</v>
      </c>
    </row>
    <row r="481" spans="1:29" ht="43.5" x14ac:dyDescent="0.35">
      <c r="A481" s="111" t="str">
        <f t="shared" si="64"/>
        <v>Closed</v>
      </c>
      <c r="B481" s="222">
        <v>45523</v>
      </c>
      <c r="C481" s="14">
        <v>2406</v>
      </c>
      <c r="D481" s="14" t="s">
        <v>3415</v>
      </c>
      <c r="E481" s="14" t="s">
        <v>8</v>
      </c>
      <c r="F481" s="14" t="s">
        <v>2073</v>
      </c>
      <c r="G481" s="14" t="s">
        <v>1911</v>
      </c>
      <c r="H481" s="14"/>
      <c r="I481" s="176" t="s">
        <v>140</v>
      </c>
      <c r="K481" s="14"/>
      <c r="L481" s="30" t="s">
        <v>3416</v>
      </c>
      <c r="M481" s="324">
        <f>IF(J481="Staff Accident","Entry Required",IF(J481="Assaults","Entry Required",0))</f>
        <v>0</v>
      </c>
      <c r="N481" s="14" t="s">
        <v>1879</v>
      </c>
      <c r="O481" s="14" t="s">
        <v>1879</v>
      </c>
      <c r="P481" s="167" t="s">
        <v>143</v>
      </c>
      <c r="Q481" s="14"/>
      <c r="R481" s="170">
        <v>0</v>
      </c>
      <c r="S481" s="108">
        <f t="shared" si="73"/>
        <v>45551</v>
      </c>
      <c r="T481" s="79">
        <v>45523</v>
      </c>
      <c r="U481" s="14"/>
      <c r="V481" s="14"/>
      <c r="W481" s="14"/>
      <c r="X481" s="14"/>
      <c r="Y481" s="15" t="s">
        <v>2075</v>
      </c>
      <c r="Z481" s="14"/>
      <c r="AA481" s="2">
        <f t="shared" ca="1" si="75"/>
        <v>1</v>
      </c>
      <c r="AB481" s="153"/>
      <c r="AC481" s="454" t="str">
        <f t="shared" si="74"/>
        <v/>
      </c>
    </row>
    <row r="482" spans="1:29" ht="72.5" x14ac:dyDescent="0.35">
      <c r="A482" s="89" t="str">
        <f t="shared" si="64"/>
        <v>Closed</v>
      </c>
      <c r="B482" s="222">
        <v>45523</v>
      </c>
      <c r="C482" s="14">
        <v>2406</v>
      </c>
      <c r="D482" s="14" t="s">
        <v>3417</v>
      </c>
      <c r="E482" s="14" t="s">
        <v>42</v>
      </c>
      <c r="F482" s="14" t="s">
        <v>2080</v>
      </c>
      <c r="G482" s="14" t="s">
        <v>1911</v>
      </c>
      <c r="H482" s="14">
        <v>122</v>
      </c>
      <c r="I482" s="176" t="s">
        <v>140</v>
      </c>
      <c r="J482" s="14">
        <v>600</v>
      </c>
      <c r="K482" s="14" t="s">
        <v>137</v>
      </c>
      <c r="L482" s="14" t="s">
        <v>3418</v>
      </c>
      <c r="M482" s="324">
        <f t="shared" ref="M482:M503" si="76">IF(I482="Staff Accident","Entry Required",IF(I482="Assaults","Entry Required",0))</f>
        <v>0</v>
      </c>
      <c r="N482" s="14" t="s">
        <v>1879</v>
      </c>
      <c r="O482" s="14" t="s">
        <v>1879</v>
      </c>
      <c r="P482" s="167" t="s">
        <v>143</v>
      </c>
      <c r="Q482" s="14"/>
      <c r="R482" s="223">
        <v>0</v>
      </c>
      <c r="S482" s="224">
        <f t="shared" si="73"/>
        <v>45551</v>
      </c>
      <c r="T482" s="79">
        <v>45523</v>
      </c>
      <c r="U482" s="14"/>
      <c r="V482" s="14"/>
      <c r="W482" s="14"/>
      <c r="X482" s="14"/>
      <c r="Y482" s="14" t="s">
        <v>2084</v>
      </c>
      <c r="Z482" s="14" t="s">
        <v>3419</v>
      </c>
      <c r="AA482" s="2">
        <f t="shared" ca="1" si="75"/>
        <v>1</v>
      </c>
      <c r="AB482" s="153"/>
      <c r="AC482" s="454" t="str">
        <f t="shared" si="74"/>
        <v>1</v>
      </c>
    </row>
    <row r="483" spans="1:29" ht="29" x14ac:dyDescent="0.35">
      <c r="A483" s="111" t="str">
        <f t="shared" si="64"/>
        <v>Closed</v>
      </c>
      <c r="B483" s="222">
        <v>45525</v>
      </c>
      <c r="C483" s="14">
        <v>2406</v>
      </c>
      <c r="D483" s="14" t="s">
        <v>3420</v>
      </c>
      <c r="E483" s="14" t="s">
        <v>192</v>
      </c>
      <c r="F483" s="14" t="s">
        <v>2183</v>
      </c>
      <c r="G483" s="14" t="s">
        <v>1911</v>
      </c>
      <c r="H483" s="14">
        <v>110</v>
      </c>
      <c r="I483" s="176" t="s">
        <v>140</v>
      </c>
      <c r="K483" s="87"/>
      <c r="L483" s="14" t="s">
        <v>3421</v>
      </c>
      <c r="M483" s="324">
        <f t="shared" si="76"/>
        <v>0</v>
      </c>
      <c r="N483" s="14" t="s">
        <v>1879</v>
      </c>
      <c r="O483" s="14" t="s">
        <v>1879</v>
      </c>
      <c r="P483" s="167" t="s">
        <v>143</v>
      </c>
      <c r="Q483" s="14"/>
      <c r="R483" s="170">
        <v>0</v>
      </c>
      <c r="S483" s="108">
        <f t="shared" si="73"/>
        <v>45553</v>
      </c>
      <c r="T483" s="79">
        <v>45525</v>
      </c>
      <c r="U483" s="14"/>
      <c r="V483" s="14"/>
      <c r="W483" s="14"/>
      <c r="X483" s="14"/>
      <c r="Y483" s="14" t="s">
        <v>2185</v>
      </c>
      <c r="Z483" s="14"/>
      <c r="AA483" s="2">
        <f t="shared" ca="1" si="75"/>
        <v>1</v>
      </c>
      <c r="AB483" s="153"/>
      <c r="AC483" s="454" t="str">
        <f t="shared" si="74"/>
        <v>1</v>
      </c>
    </row>
    <row r="484" spans="1:29" ht="58" x14ac:dyDescent="0.35">
      <c r="A484" s="111" t="str">
        <f t="shared" si="64"/>
        <v>Closed</v>
      </c>
      <c r="B484" s="222">
        <v>45526</v>
      </c>
      <c r="C484" s="14">
        <v>2406</v>
      </c>
      <c r="D484" s="14" t="s">
        <v>3422</v>
      </c>
      <c r="E484" s="14" t="s">
        <v>192</v>
      </c>
      <c r="F484" s="14" t="s">
        <v>1972</v>
      </c>
      <c r="G484" s="14"/>
      <c r="H484" s="14"/>
      <c r="I484" s="176" t="s">
        <v>140</v>
      </c>
      <c r="K484" s="87"/>
      <c r="L484" s="14" t="s">
        <v>3423</v>
      </c>
      <c r="M484" s="324">
        <f t="shared" si="76"/>
        <v>0</v>
      </c>
      <c r="N484" s="14" t="s">
        <v>1879</v>
      </c>
      <c r="O484" s="14" t="s">
        <v>1879</v>
      </c>
      <c r="P484" s="167" t="s">
        <v>143</v>
      </c>
      <c r="Q484" s="14"/>
      <c r="R484" s="170">
        <v>0</v>
      </c>
      <c r="S484" s="108">
        <f t="shared" si="73"/>
        <v>45554</v>
      </c>
      <c r="T484" s="79">
        <v>45526</v>
      </c>
      <c r="U484" s="14"/>
      <c r="V484" s="14"/>
      <c r="W484" s="14"/>
      <c r="X484" s="14"/>
      <c r="Z484" s="14"/>
      <c r="AA484" s="2">
        <f t="shared" ca="1" si="75"/>
        <v>1</v>
      </c>
      <c r="AB484" s="153"/>
      <c r="AC484" s="454" t="str">
        <f t="shared" si="74"/>
        <v/>
      </c>
    </row>
    <row r="485" spans="1:29" ht="72.5" x14ac:dyDescent="0.35">
      <c r="A485" s="111" t="str">
        <f t="shared" si="64"/>
        <v>Closed</v>
      </c>
      <c r="B485" s="222">
        <v>45526</v>
      </c>
      <c r="C485" s="14">
        <v>2406</v>
      </c>
      <c r="D485" s="14" t="s">
        <v>3424</v>
      </c>
      <c r="E485" s="14" t="s">
        <v>27</v>
      </c>
      <c r="F485" s="14" t="s">
        <v>1886</v>
      </c>
      <c r="G485" s="14" t="s">
        <v>1911</v>
      </c>
      <c r="H485" s="14">
        <v>111</v>
      </c>
      <c r="I485" s="176" t="s">
        <v>155</v>
      </c>
      <c r="J485" s="14">
        <v>550</v>
      </c>
      <c r="K485" s="87"/>
      <c r="L485" s="14" t="s">
        <v>3425</v>
      </c>
      <c r="M485" s="324">
        <f t="shared" si="76"/>
        <v>0</v>
      </c>
      <c r="N485" s="14" t="s">
        <v>1880</v>
      </c>
      <c r="O485" s="14" t="s">
        <v>1880</v>
      </c>
      <c r="P485" s="167" t="s">
        <v>147</v>
      </c>
      <c r="Q485" s="14" t="s">
        <v>177</v>
      </c>
      <c r="R485" s="170" t="s">
        <v>234</v>
      </c>
      <c r="S485" s="108">
        <f t="shared" si="73"/>
        <v>45554</v>
      </c>
      <c r="T485" s="79">
        <v>45548</v>
      </c>
      <c r="U485" s="14" t="s">
        <v>3426</v>
      </c>
      <c r="V485" s="14" t="s">
        <v>2484</v>
      </c>
      <c r="W485" s="14" t="s">
        <v>1879</v>
      </c>
      <c r="X485" s="14" t="s">
        <v>154</v>
      </c>
      <c r="Y485" s="14" t="s">
        <v>1890</v>
      </c>
      <c r="Z485" s="14" t="s">
        <v>3427</v>
      </c>
      <c r="AA485" s="2">
        <f t="shared" ca="1" si="75"/>
        <v>1</v>
      </c>
      <c r="AB485" s="153"/>
      <c r="AC485" s="454" t="str">
        <f t="shared" si="74"/>
        <v>1</v>
      </c>
    </row>
    <row r="486" spans="1:29" ht="29" x14ac:dyDescent="0.35">
      <c r="A486" s="111" t="str">
        <f t="shared" ref="A486:A549" si="77">IF(T486&gt;1,"Closed",IF(AA486=1,"Overdue",IF(AA486=3,"","Open")))</f>
        <v>Closed</v>
      </c>
      <c r="B486" s="222">
        <v>45527</v>
      </c>
      <c r="C486" s="14">
        <v>2406</v>
      </c>
      <c r="D486" s="14" t="s">
        <v>3428</v>
      </c>
      <c r="E486" s="14" t="s">
        <v>31</v>
      </c>
      <c r="F486" s="14" t="s">
        <v>2187</v>
      </c>
      <c r="G486" s="14" t="s">
        <v>1911</v>
      </c>
      <c r="H486" s="14">
        <v>106</v>
      </c>
      <c r="I486" s="176" t="s">
        <v>140</v>
      </c>
      <c r="J486" s="14">
        <v>58403</v>
      </c>
      <c r="K486" s="14"/>
      <c r="L486" s="335" t="s">
        <v>3429</v>
      </c>
      <c r="M486" s="326">
        <f t="shared" si="76"/>
        <v>0</v>
      </c>
      <c r="N486" s="14" t="s">
        <v>1879</v>
      </c>
      <c r="O486" s="14" t="s">
        <v>1880</v>
      </c>
      <c r="P486" s="167" t="s">
        <v>147</v>
      </c>
      <c r="Q486" s="14" t="s">
        <v>175</v>
      </c>
      <c r="R486" s="170" t="s">
        <v>234</v>
      </c>
      <c r="S486" s="108">
        <f t="shared" si="73"/>
        <v>45555</v>
      </c>
      <c r="T486" s="79">
        <v>45553</v>
      </c>
      <c r="U486" s="14" t="s">
        <v>3430</v>
      </c>
      <c r="V486" s="14" t="s">
        <v>3431</v>
      </c>
      <c r="W486" s="14" t="s">
        <v>1879</v>
      </c>
      <c r="X486" s="14" t="s">
        <v>1883</v>
      </c>
      <c r="Y486" s="14" t="s">
        <v>2023</v>
      </c>
      <c r="Z486" s="14" t="s">
        <v>2790</v>
      </c>
      <c r="AA486" s="2">
        <f t="shared" ca="1" si="75"/>
        <v>1</v>
      </c>
      <c r="AB486" s="153"/>
      <c r="AC486" s="454" t="str">
        <f t="shared" si="74"/>
        <v>1</v>
      </c>
    </row>
    <row r="487" spans="1:29" ht="188.5" x14ac:dyDescent="0.35">
      <c r="A487" s="89" t="str">
        <f t="shared" si="77"/>
        <v>Closed</v>
      </c>
      <c r="B487" s="222">
        <v>45527</v>
      </c>
      <c r="C487" s="14">
        <v>2406</v>
      </c>
      <c r="D487" s="14" t="s">
        <v>1562</v>
      </c>
      <c r="E487" s="14" t="s">
        <v>37</v>
      </c>
      <c r="F487" s="14" t="s">
        <v>2299</v>
      </c>
      <c r="G487" s="14" t="s">
        <v>1911</v>
      </c>
      <c r="H487" s="14">
        <v>118</v>
      </c>
      <c r="I487" s="176" t="s">
        <v>5</v>
      </c>
      <c r="J487" s="14">
        <v>541</v>
      </c>
      <c r="K487" s="87"/>
      <c r="L487" s="14" t="s">
        <v>3432</v>
      </c>
      <c r="M487" s="324">
        <f t="shared" si="76"/>
        <v>0</v>
      </c>
      <c r="N487" s="14" t="s">
        <v>1879</v>
      </c>
      <c r="O487" s="14" t="s">
        <v>1880</v>
      </c>
      <c r="P487" s="167" t="s">
        <v>147</v>
      </c>
      <c r="Q487" s="14" t="s">
        <v>153</v>
      </c>
      <c r="R487" s="223" t="s">
        <v>234</v>
      </c>
      <c r="S487" s="224">
        <f t="shared" si="73"/>
        <v>45555</v>
      </c>
      <c r="T487" s="79">
        <v>45562</v>
      </c>
      <c r="U487" s="14" t="s">
        <v>3433</v>
      </c>
      <c r="V487" s="14" t="s">
        <v>3434</v>
      </c>
      <c r="W487" s="14" t="s">
        <v>1880</v>
      </c>
      <c r="X487" s="14" t="s">
        <v>1880</v>
      </c>
      <c r="Y487" s="14" t="s">
        <v>2302</v>
      </c>
      <c r="Z487" s="14" t="s">
        <v>3435</v>
      </c>
      <c r="AA487" s="2">
        <f t="shared" ca="1" si="75"/>
        <v>1</v>
      </c>
      <c r="AB487" s="153"/>
      <c r="AC487" s="454" t="str">
        <f t="shared" si="74"/>
        <v>1</v>
      </c>
    </row>
    <row r="488" spans="1:29" ht="29" x14ac:dyDescent="0.35">
      <c r="A488" s="111" t="str">
        <f t="shared" si="77"/>
        <v>Closed</v>
      </c>
      <c r="B488" s="222">
        <v>45527</v>
      </c>
      <c r="C488" s="14">
        <v>2406</v>
      </c>
      <c r="D488" s="14" t="s">
        <v>3436</v>
      </c>
      <c r="E488" s="14" t="s">
        <v>219</v>
      </c>
      <c r="F488" s="14" t="s">
        <v>2765</v>
      </c>
      <c r="G488" s="14"/>
      <c r="H488" s="14">
        <v>203</v>
      </c>
      <c r="I488" s="176" t="s">
        <v>140</v>
      </c>
      <c r="J488" s="14">
        <v>78670</v>
      </c>
      <c r="K488" s="87"/>
      <c r="L488" s="14" t="s">
        <v>3437</v>
      </c>
      <c r="M488" s="324">
        <f t="shared" si="76"/>
        <v>0</v>
      </c>
      <c r="N488" s="14" t="s">
        <v>1879</v>
      </c>
      <c r="O488" s="14" t="s">
        <v>1879</v>
      </c>
      <c r="P488" s="167" t="s">
        <v>143</v>
      </c>
      <c r="Q488" s="14"/>
      <c r="R488" s="170">
        <v>0</v>
      </c>
      <c r="S488" s="108">
        <f t="shared" si="73"/>
        <v>45555</v>
      </c>
      <c r="T488" s="79">
        <v>45527</v>
      </c>
      <c r="U488" s="14"/>
      <c r="V488" s="14"/>
      <c r="W488" s="14"/>
      <c r="X488" s="14"/>
      <c r="Z488" s="14"/>
      <c r="AA488" s="2">
        <f t="shared" ca="1" si="75"/>
        <v>1</v>
      </c>
      <c r="AB488" s="153"/>
      <c r="AC488" s="454" t="str">
        <f t="shared" si="74"/>
        <v>2</v>
      </c>
    </row>
    <row r="489" spans="1:29" ht="58" x14ac:dyDescent="0.35">
      <c r="A489" s="111" t="str">
        <f t="shared" si="77"/>
        <v>Closed</v>
      </c>
      <c r="B489" s="222">
        <v>45527</v>
      </c>
      <c r="C489" s="14">
        <v>2406</v>
      </c>
      <c r="D489" s="14" t="s">
        <v>3438</v>
      </c>
      <c r="E489" s="14" t="s">
        <v>31</v>
      </c>
      <c r="F489" s="14" t="s">
        <v>2064</v>
      </c>
      <c r="G489" s="14" t="s">
        <v>1900</v>
      </c>
      <c r="H489" s="14">
        <v>203</v>
      </c>
      <c r="I489" s="176" t="s">
        <v>140</v>
      </c>
      <c r="J489" s="14">
        <v>78670</v>
      </c>
      <c r="K489" s="87"/>
      <c r="L489" s="14" t="s">
        <v>3439</v>
      </c>
      <c r="M489" s="324">
        <f t="shared" si="76"/>
        <v>0</v>
      </c>
      <c r="N489" s="14" t="s">
        <v>1879</v>
      </c>
      <c r="O489" s="14" t="s">
        <v>1879</v>
      </c>
      <c r="P489" s="167" t="s">
        <v>143</v>
      </c>
      <c r="Q489" s="14"/>
      <c r="R489" s="170">
        <v>0</v>
      </c>
      <c r="S489" s="108">
        <f t="shared" si="73"/>
        <v>45555</v>
      </c>
      <c r="T489" s="79">
        <v>45586</v>
      </c>
      <c r="U489" s="14"/>
      <c r="V489" s="14"/>
      <c r="W489" s="14"/>
      <c r="X489" s="14"/>
      <c r="Y489" s="15" t="s">
        <v>2068</v>
      </c>
      <c r="Z489" s="14" t="s">
        <v>3440</v>
      </c>
      <c r="AA489" s="2">
        <f t="shared" ca="1" si="75"/>
        <v>1</v>
      </c>
      <c r="AB489" s="153"/>
      <c r="AC489" s="454" t="str">
        <f t="shared" si="74"/>
        <v>2</v>
      </c>
    </row>
    <row r="490" spans="1:29" ht="72.5" x14ac:dyDescent="0.35">
      <c r="A490" s="111" t="str">
        <f t="shared" si="77"/>
        <v>Closed</v>
      </c>
      <c r="B490" s="222">
        <v>45527</v>
      </c>
      <c r="C490" s="14">
        <v>2406</v>
      </c>
      <c r="D490" s="14" t="s">
        <v>3441</v>
      </c>
      <c r="E490" s="14" t="s">
        <v>196</v>
      </c>
      <c r="F490" s="14" t="s">
        <v>2130</v>
      </c>
      <c r="G490" s="14" t="s">
        <v>1900</v>
      </c>
      <c r="H490" s="14">
        <v>104</v>
      </c>
      <c r="I490" s="176" t="s">
        <v>155</v>
      </c>
      <c r="J490" s="14">
        <v>8505276</v>
      </c>
      <c r="K490" s="87"/>
      <c r="L490" s="14" t="s">
        <v>3442</v>
      </c>
      <c r="M490" s="324">
        <f t="shared" si="76"/>
        <v>0</v>
      </c>
      <c r="N490" s="14" t="s">
        <v>1880</v>
      </c>
      <c r="O490" s="14" t="s">
        <v>1880</v>
      </c>
      <c r="P490" s="167" t="s">
        <v>147</v>
      </c>
      <c r="Q490" s="14" t="s">
        <v>153</v>
      </c>
      <c r="R490" s="170" t="s">
        <v>234</v>
      </c>
      <c r="S490" s="108">
        <f t="shared" si="73"/>
        <v>45555</v>
      </c>
      <c r="T490" s="79">
        <v>45540</v>
      </c>
      <c r="U490" s="14" t="s">
        <v>3443</v>
      </c>
      <c r="V490" s="14" t="s">
        <v>2390</v>
      </c>
      <c r="W490" s="14" t="s">
        <v>1879</v>
      </c>
      <c r="X490" s="14" t="s">
        <v>154</v>
      </c>
      <c r="Y490" s="14" t="s">
        <v>2134</v>
      </c>
      <c r="Z490" s="14" t="s">
        <v>3444</v>
      </c>
      <c r="AA490" s="2">
        <f t="shared" ca="1" si="75"/>
        <v>1</v>
      </c>
      <c r="AB490" s="153"/>
      <c r="AC490" s="454" t="str">
        <f t="shared" si="74"/>
        <v>1</v>
      </c>
    </row>
    <row r="491" spans="1:29" ht="58" x14ac:dyDescent="0.35">
      <c r="A491" s="111" t="str">
        <f t="shared" si="77"/>
        <v>Closed</v>
      </c>
      <c r="B491" s="222">
        <v>45527</v>
      </c>
      <c r="C491" s="14">
        <v>2406</v>
      </c>
      <c r="D491" s="14" t="s">
        <v>3445</v>
      </c>
      <c r="E491" s="14" t="s">
        <v>219</v>
      </c>
      <c r="F491" s="14" t="s">
        <v>2212</v>
      </c>
      <c r="G491" s="14" t="s">
        <v>1911</v>
      </c>
      <c r="H491" s="14">
        <v>203</v>
      </c>
      <c r="I491" s="176" t="s">
        <v>140</v>
      </c>
      <c r="J491" s="14">
        <v>78070</v>
      </c>
      <c r="K491" s="87"/>
      <c r="L491" s="14" t="s">
        <v>3446</v>
      </c>
      <c r="M491" s="324">
        <f t="shared" si="76"/>
        <v>0</v>
      </c>
      <c r="N491" s="14" t="s">
        <v>1879</v>
      </c>
      <c r="O491" s="14" t="s">
        <v>1879</v>
      </c>
      <c r="P491" s="167" t="s">
        <v>143</v>
      </c>
      <c r="Q491" s="14"/>
      <c r="R491" s="170">
        <v>0</v>
      </c>
      <c r="S491" s="108">
        <f t="shared" si="73"/>
        <v>45555</v>
      </c>
      <c r="T491" s="79">
        <v>45527</v>
      </c>
      <c r="U491" s="14"/>
      <c r="V491" s="14"/>
      <c r="W491" s="14"/>
      <c r="X491" s="14"/>
      <c r="Y491" s="14" t="s">
        <v>2216</v>
      </c>
      <c r="Z491" s="14"/>
      <c r="AA491" s="2">
        <f t="shared" ca="1" si="75"/>
        <v>1</v>
      </c>
      <c r="AB491" s="153"/>
      <c r="AC491" s="454" t="str">
        <f t="shared" si="74"/>
        <v>2</v>
      </c>
    </row>
    <row r="492" spans="1:29" ht="43.5" x14ac:dyDescent="0.35">
      <c r="A492" s="111" t="str">
        <f t="shared" si="77"/>
        <v>Closed</v>
      </c>
      <c r="B492" s="222">
        <v>45528</v>
      </c>
      <c r="C492" s="14">
        <v>2406</v>
      </c>
      <c r="D492" s="14" t="s">
        <v>3447</v>
      </c>
      <c r="E492" s="14" t="s">
        <v>31</v>
      </c>
      <c r="F492" s="14" t="s">
        <v>2060</v>
      </c>
      <c r="G492" s="14" t="s">
        <v>1911</v>
      </c>
      <c r="H492" s="14">
        <v>108</v>
      </c>
      <c r="I492" s="176" t="s">
        <v>140</v>
      </c>
      <c r="J492" s="14">
        <v>254</v>
      </c>
      <c r="K492" s="87"/>
      <c r="L492" s="14" t="s">
        <v>3448</v>
      </c>
      <c r="M492" s="324">
        <f t="shared" si="76"/>
        <v>0</v>
      </c>
      <c r="N492" s="14" t="s">
        <v>1879</v>
      </c>
      <c r="O492" s="14" t="s">
        <v>1879</v>
      </c>
      <c r="P492" s="167" t="s">
        <v>143</v>
      </c>
      <c r="Q492" s="14" t="s">
        <v>177</v>
      </c>
      <c r="R492" s="170">
        <v>0</v>
      </c>
      <c r="S492" s="108">
        <f t="shared" si="73"/>
        <v>45556</v>
      </c>
      <c r="T492" s="79">
        <v>45546</v>
      </c>
      <c r="U492" s="14"/>
      <c r="V492" s="14"/>
      <c r="W492" s="14"/>
      <c r="X492" s="14"/>
      <c r="Y492" s="466" t="s">
        <v>2062</v>
      </c>
      <c r="Z492" s="14"/>
      <c r="AA492" s="2">
        <f t="shared" ca="1" si="75"/>
        <v>1</v>
      </c>
      <c r="AB492" s="153"/>
      <c r="AC492" s="454" t="str">
        <f t="shared" si="74"/>
        <v>1</v>
      </c>
    </row>
    <row r="493" spans="1:29" ht="43.5" x14ac:dyDescent="0.35">
      <c r="A493" s="111" t="str">
        <f t="shared" si="77"/>
        <v>Closed</v>
      </c>
      <c r="B493" s="222">
        <v>45529</v>
      </c>
      <c r="C493" s="14">
        <v>2406</v>
      </c>
      <c r="D493" s="14" t="s">
        <v>3449</v>
      </c>
      <c r="E493" s="14" t="s">
        <v>8</v>
      </c>
      <c r="F493" s="14" t="s">
        <v>2080</v>
      </c>
      <c r="G493" s="14" t="s">
        <v>1911</v>
      </c>
      <c r="H493" s="14">
        <v>116</v>
      </c>
      <c r="I493" s="176" t="s">
        <v>140</v>
      </c>
      <c r="J493" s="14">
        <v>41395</v>
      </c>
      <c r="K493" s="87"/>
      <c r="L493" s="14" t="s">
        <v>3450</v>
      </c>
      <c r="M493" s="324">
        <f t="shared" si="76"/>
        <v>0</v>
      </c>
      <c r="N493" s="14" t="s">
        <v>1879</v>
      </c>
      <c r="O493" s="14" t="s">
        <v>1879</v>
      </c>
      <c r="P493" s="167" t="s">
        <v>143</v>
      </c>
      <c r="Q493" s="14"/>
      <c r="R493" s="170">
        <v>0</v>
      </c>
      <c r="S493" s="108">
        <f t="shared" si="73"/>
        <v>45557</v>
      </c>
      <c r="T493" s="79">
        <v>45529</v>
      </c>
      <c r="U493" s="14"/>
      <c r="V493" s="14"/>
      <c r="W493" s="14"/>
      <c r="X493" s="14"/>
      <c r="Y493" s="14" t="s">
        <v>2084</v>
      </c>
      <c r="Z493" s="14"/>
      <c r="AA493" s="2">
        <f t="shared" ca="1" si="75"/>
        <v>1</v>
      </c>
      <c r="AB493" s="153"/>
      <c r="AC493" s="454" t="str">
        <f t="shared" si="74"/>
        <v>1</v>
      </c>
    </row>
    <row r="494" spans="1:29" ht="58" x14ac:dyDescent="0.35">
      <c r="A494" s="111" t="str">
        <f t="shared" si="77"/>
        <v>Closed</v>
      </c>
      <c r="B494" s="222">
        <v>45529</v>
      </c>
      <c r="C494" s="14">
        <v>2406</v>
      </c>
      <c r="D494" s="14" t="s">
        <v>3451</v>
      </c>
      <c r="E494" s="14" t="s">
        <v>42</v>
      </c>
      <c r="F494" s="14" t="s">
        <v>2027</v>
      </c>
      <c r="G494" s="14" t="s">
        <v>1911</v>
      </c>
      <c r="H494" s="14">
        <v>119</v>
      </c>
      <c r="I494" s="176" t="s">
        <v>4</v>
      </c>
      <c r="J494" s="14">
        <v>74928</v>
      </c>
      <c r="K494" s="14" t="s">
        <v>137</v>
      </c>
      <c r="L494" s="14" t="s">
        <v>3452</v>
      </c>
      <c r="M494" s="324">
        <v>0</v>
      </c>
      <c r="N494" s="14" t="s">
        <v>1879</v>
      </c>
      <c r="O494" s="14" t="s">
        <v>1880</v>
      </c>
      <c r="P494" s="167" t="s">
        <v>147</v>
      </c>
      <c r="Q494" s="14" t="s">
        <v>168</v>
      </c>
      <c r="R494" s="170" t="s">
        <v>234</v>
      </c>
      <c r="S494" s="108">
        <f t="shared" si="73"/>
        <v>45557</v>
      </c>
      <c r="T494" s="79">
        <v>45544</v>
      </c>
      <c r="U494" s="14" t="s">
        <v>2866</v>
      </c>
      <c r="V494" s="14" t="s">
        <v>3453</v>
      </c>
      <c r="W494" s="14" t="s">
        <v>1879</v>
      </c>
      <c r="X494" s="14" t="s">
        <v>1883</v>
      </c>
      <c r="Y494" s="14" t="s">
        <v>2361</v>
      </c>
      <c r="Z494" s="14" t="s">
        <v>3454</v>
      </c>
      <c r="AA494" s="2">
        <f t="shared" ca="1" si="75"/>
        <v>1</v>
      </c>
      <c r="AB494" s="153"/>
      <c r="AC494" s="454" t="str">
        <f t="shared" si="74"/>
        <v>1</v>
      </c>
    </row>
    <row r="495" spans="1:29" ht="29" x14ac:dyDescent="0.35">
      <c r="A495" s="111" t="str">
        <f t="shared" si="77"/>
        <v>Closed</v>
      </c>
      <c r="B495" s="222">
        <v>45529</v>
      </c>
      <c r="C495" s="14">
        <v>2406</v>
      </c>
      <c r="D495" s="14" t="s">
        <v>3455</v>
      </c>
      <c r="E495" s="14" t="s">
        <v>219</v>
      </c>
      <c r="F495" s="14" t="s">
        <v>2765</v>
      </c>
      <c r="G495" s="14"/>
      <c r="H495" s="14">
        <v>207</v>
      </c>
      <c r="I495" s="176" t="s">
        <v>140</v>
      </c>
      <c r="K495" s="87"/>
      <c r="L495" s="14" t="s">
        <v>3456</v>
      </c>
      <c r="M495" s="324">
        <f t="shared" si="76"/>
        <v>0</v>
      </c>
      <c r="N495" s="14" t="s">
        <v>1879</v>
      </c>
      <c r="O495" s="14" t="s">
        <v>1879</v>
      </c>
      <c r="P495" s="167" t="s">
        <v>143</v>
      </c>
      <c r="Q495" s="14"/>
      <c r="R495" s="170">
        <v>0</v>
      </c>
      <c r="S495" s="108">
        <f t="shared" si="73"/>
        <v>45557</v>
      </c>
      <c r="T495" s="79">
        <v>45529</v>
      </c>
      <c r="U495" s="14"/>
      <c r="V495" s="14"/>
      <c r="W495" s="14"/>
      <c r="X495" s="14"/>
      <c r="Z495" s="14"/>
      <c r="AA495" s="2">
        <f t="shared" ca="1" si="75"/>
        <v>1</v>
      </c>
      <c r="AB495" s="153"/>
      <c r="AC495" s="454" t="str">
        <f t="shared" si="74"/>
        <v>2</v>
      </c>
    </row>
    <row r="496" spans="1:29" ht="43.5" x14ac:dyDescent="0.35">
      <c r="A496" s="111" t="str">
        <f t="shared" si="77"/>
        <v>Closed</v>
      </c>
      <c r="B496" s="222">
        <v>45529</v>
      </c>
      <c r="C496" s="14">
        <v>2406</v>
      </c>
      <c r="D496" s="14" t="s">
        <v>3457</v>
      </c>
      <c r="E496" s="14" t="s">
        <v>192</v>
      </c>
      <c r="F496" s="167" t="s">
        <v>2162</v>
      </c>
      <c r="G496" s="14" t="s">
        <v>1900</v>
      </c>
      <c r="H496" s="14">
        <v>116</v>
      </c>
      <c r="I496" s="176" t="s">
        <v>140</v>
      </c>
      <c r="K496" s="87"/>
      <c r="L496" s="14" t="s">
        <v>3458</v>
      </c>
      <c r="M496" s="324">
        <f t="shared" si="76"/>
        <v>0</v>
      </c>
      <c r="N496" s="14" t="s">
        <v>1879</v>
      </c>
      <c r="O496" s="14" t="s">
        <v>1879</v>
      </c>
      <c r="P496" s="167" t="s">
        <v>143</v>
      </c>
      <c r="Q496" s="14"/>
      <c r="R496" s="170">
        <v>0</v>
      </c>
      <c r="S496" s="108">
        <f t="shared" si="73"/>
        <v>45557</v>
      </c>
      <c r="T496" s="79">
        <v>45529</v>
      </c>
      <c r="U496" s="14"/>
      <c r="V496" s="14"/>
      <c r="W496" s="14"/>
      <c r="X496" s="14"/>
      <c r="Y496" s="15" t="s">
        <v>2164</v>
      </c>
      <c r="Z496" s="87"/>
      <c r="AA496" s="2">
        <f t="shared" ca="1" si="75"/>
        <v>1</v>
      </c>
      <c r="AB496" s="153"/>
      <c r="AC496" s="454" t="str">
        <f t="shared" si="74"/>
        <v>1</v>
      </c>
    </row>
    <row r="497" spans="1:29" ht="29" x14ac:dyDescent="0.35">
      <c r="A497" s="111" t="str">
        <f t="shared" si="77"/>
        <v>Closed</v>
      </c>
      <c r="B497" s="222">
        <v>45530</v>
      </c>
      <c r="C497" s="14">
        <v>2406</v>
      </c>
      <c r="D497" s="14" t="s">
        <v>3459</v>
      </c>
      <c r="E497" s="14" t="s">
        <v>219</v>
      </c>
      <c r="F497" s="14" t="s">
        <v>2765</v>
      </c>
      <c r="G497" s="14"/>
      <c r="H497" s="14">
        <v>102</v>
      </c>
      <c r="I497" s="176" t="s">
        <v>140</v>
      </c>
      <c r="K497" s="87"/>
      <c r="L497" s="14" t="s">
        <v>3460</v>
      </c>
      <c r="M497" s="324">
        <f t="shared" si="76"/>
        <v>0</v>
      </c>
      <c r="N497" s="14" t="s">
        <v>1879</v>
      </c>
      <c r="O497" s="14" t="s">
        <v>1879</v>
      </c>
      <c r="P497" s="167" t="s">
        <v>143</v>
      </c>
      <c r="Q497" s="14"/>
      <c r="R497" s="170">
        <v>0</v>
      </c>
      <c r="S497" s="108">
        <f t="shared" si="73"/>
        <v>45558</v>
      </c>
      <c r="T497" s="79">
        <v>45530</v>
      </c>
      <c r="U497" s="14"/>
      <c r="V497" s="14"/>
      <c r="W497" s="14"/>
      <c r="X497" s="14"/>
      <c r="Y497" s="88"/>
      <c r="Z497" s="14"/>
      <c r="AA497" s="2">
        <f t="shared" ca="1" si="75"/>
        <v>1</v>
      </c>
      <c r="AB497" s="153"/>
      <c r="AC497" s="454" t="str">
        <f t="shared" si="74"/>
        <v>1</v>
      </c>
    </row>
    <row r="498" spans="1:29" ht="58" x14ac:dyDescent="0.35">
      <c r="A498" s="111" t="str">
        <f t="shared" si="77"/>
        <v>Closed</v>
      </c>
      <c r="B498" s="222">
        <v>45530</v>
      </c>
      <c r="C498" s="14">
        <v>2406</v>
      </c>
      <c r="D498" s="14" t="s">
        <v>3461</v>
      </c>
      <c r="E498" s="14" t="s">
        <v>209</v>
      </c>
      <c r="F498" s="14" t="s">
        <v>3462</v>
      </c>
      <c r="G498" s="14"/>
      <c r="H498" s="14">
        <v>205</v>
      </c>
      <c r="I498" s="176" t="s">
        <v>155</v>
      </c>
      <c r="J498" s="14">
        <v>81716</v>
      </c>
      <c r="K498" s="87"/>
      <c r="L498" s="14" t="s">
        <v>3463</v>
      </c>
      <c r="M498" s="324">
        <f t="shared" si="76"/>
        <v>0</v>
      </c>
      <c r="N498" s="14" t="s">
        <v>1879</v>
      </c>
      <c r="O498" s="14" t="s">
        <v>1880</v>
      </c>
      <c r="P498" s="167" t="s">
        <v>147</v>
      </c>
      <c r="Q498" s="14" t="s">
        <v>174</v>
      </c>
      <c r="R498" s="170" t="s">
        <v>234</v>
      </c>
      <c r="S498" s="108">
        <f t="shared" si="73"/>
        <v>45558</v>
      </c>
      <c r="T498" s="79">
        <v>45566</v>
      </c>
      <c r="U498" s="14" t="s">
        <v>3464</v>
      </c>
      <c r="V498" s="14" t="s">
        <v>3465</v>
      </c>
      <c r="W498" s="14" t="s">
        <v>1879</v>
      </c>
      <c r="X498" s="14" t="s">
        <v>1883</v>
      </c>
      <c r="Z498" s="14" t="s">
        <v>3466</v>
      </c>
      <c r="AA498" s="2">
        <f t="shared" ca="1" si="75"/>
        <v>1</v>
      </c>
      <c r="AB498" s="153"/>
      <c r="AC498" s="454" t="str">
        <f t="shared" si="74"/>
        <v>2</v>
      </c>
    </row>
    <row r="499" spans="1:29" ht="29" x14ac:dyDescent="0.35">
      <c r="A499" s="111" t="str">
        <f t="shared" si="77"/>
        <v>Closed</v>
      </c>
      <c r="B499" s="222">
        <v>45531</v>
      </c>
      <c r="C499" s="14">
        <v>2406</v>
      </c>
      <c r="D499" s="14" t="s">
        <v>3467</v>
      </c>
      <c r="E499" s="14" t="s">
        <v>209</v>
      </c>
      <c r="F499" s="14" t="s">
        <v>3468</v>
      </c>
      <c r="G499" s="14"/>
      <c r="H499" s="14">
        <v>202</v>
      </c>
      <c r="I499" s="176" t="s">
        <v>155</v>
      </c>
      <c r="J499" s="14">
        <v>68670</v>
      </c>
      <c r="K499" s="87"/>
      <c r="L499" s="14" t="s">
        <v>3469</v>
      </c>
      <c r="M499" s="324">
        <f t="shared" si="76"/>
        <v>0</v>
      </c>
      <c r="N499" s="14" t="s">
        <v>1879</v>
      </c>
      <c r="O499" s="14" t="s">
        <v>1880</v>
      </c>
      <c r="P499" s="167" t="s">
        <v>147</v>
      </c>
      <c r="Q499" s="14" t="s">
        <v>168</v>
      </c>
      <c r="R499" s="170" t="s">
        <v>234</v>
      </c>
      <c r="S499" s="108">
        <f t="shared" si="73"/>
        <v>45559</v>
      </c>
      <c r="T499" s="79">
        <v>45565</v>
      </c>
      <c r="U499" s="14" t="s">
        <v>3470</v>
      </c>
      <c r="V499" s="14" t="s">
        <v>3471</v>
      </c>
      <c r="W499" s="14" t="s">
        <v>1879</v>
      </c>
      <c r="X499" s="14" t="s">
        <v>1883</v>
      </c>
      <c r="Z499" s="14" t="s">
        <v>3472</v>
      </c>
      <c r="AA499" s="2">
        <f t="shared" ca="1" si="75"/>
        <v>1</v>
      </c>
      <c r="AB499" s="153"/>
      <c r="AC499" s="454" t="str">
        <f t="shared" si="74"/>
        <v>2</v>
      </c>
    </row>
    <row r="500" spans="1:29" ht="43.5" x14ac:dyDescent="0.35">
      <c r="A500" s="111" t="str">
        <f t="shared" si="77"/>
        <v>Closed</v>
      </c>
      <c r="B500" s="222">
        <v>45531</v>
      </c>
      <c r="C500" s="14">
        <v>2406</v>
      </c>
      <c r="D500" s="14" t="s">
        <v>3473</v>
      </c>
      <c r="E500" s="14" t="s">
        <v>37</v>
      </c>
      <c r="F500" s="14" t="s">
        <v>2187</v>
      </c>
      <c r="G500" s="14" t="s">
        <v>1911</v>
      </c>
      <c r="H500" s="14">
        <v>104</v>
      </c>
      <c r="I500" s="176" t="s">
        <v>140</v>
      </c>
      <c r="J500" s="14">
        <v>600</v>
      </c>
      <c r="K500" s="87"/>
      <c r="L500" s="14" t="s">
        <v>3474</v>
      </c>
      <c r="M500" s="324">
        <f t="shared" si="76"/>
        <v>0</v>
      </c>
      <c r="N500" s="14" t="s">
        <v>1879</v>
      </c>
      <c r="O500" s="14" t="s">
        <v>1879</v>
      </c>
      <c r="P500" s="167" t="s">
        <v>143</v>
      </c>
      <c r="Q500" s="14"/>
      <c r="R500" s="170">
        <v>0</v>
      </c>
      <c r="S500" s="108">
        <f t="shared" si="73"/>
        <v>45559</v>
      </c>
      <c r="T500" s="79">
        <v>45531</v>
      </c>
      <c r="U500" s="14"/>
      <c r="V500" s="14"/>
      <c r="W500" s="14"/>
      <c r="X500" s="14"/>
      <c r="Y500" s="14" t="s">
        <v>2023</v>
      </c>
      <c r="Z500" s="14" t="s">
        <v>3475</v>
      </c>
      <c r="AA500" s="2">
        <f t="shared" ca="1" si="75"/>
        <v>1</v>
      </c>
      <c r="AB500" s="153"/>
      <c r="AC500" s="454" t="str">
        <f t="shared" si="74"/>
        <v>1</v>
      </c>
    </row>
    <row r="501" spans="1:29" ht="72.5" x14ac:dyDescent="0.35">
      <c r="A501" s="111" t="str">
        <f t="shared" si="77"/>
        <v>Closed</v>
      </c>
      <c r="B501" s="222">
        <v>45532</v>
      </c>
      <c r="C501" s="14">
        <v>2406</v>
      </c>
      <c r="D501" s="14" t="s">
        <v>3476</v>
      </c>
      <c r="E501" s="14" t="s">
        <v>37</v>
      </c>
      <c r="F501" s="14" t="s">
        <v>2037</v>
      </c>
      <c r="G501" s="14" t="s">
        <v>1911</v>
      </c>
      <c r="H501" s="14">
        <v>101</v>
      </c>
      <c r="I501" s="176" t="s">
        <v>5</v>
      </c>
      <c r="J501" s="14">
        <v>70150</v>
      </c>
      <c r="K501" s="87"/>
      <c r="L501" s="14" t="s">
        <v>3477</v>
      </c>
      <c r="M501" s="324">
        <f t="shared" si="76"/>
        <v>0</v>
      </c>
      <c r="N501" s="14" t="s">
        <v>1879</v>
      </c>
      <c r="O501" s="14" t="s">
        <v>1879</v>
      </c>
      <c r="P501" s="167" t="s">
        <v>147</v>
      </c>
      <c r="Q501" s="14" t="s">
        <v>174</v>
      </c>
      <c r="R501" s="170" t="s">
        <v>234</v>
      </c>
      <c r="S501" s="108">
        <f t="shared" si="73"/>
        <v>45560</v>
      </c>
      <c r="T501" s="79">
        <v>45549</v>
      </c>
      <c r="U501" s="14" t="s">
        <v>3478</v>
      </c>
      <c r="V501" s="14" t="s">
        <v>3478</v>
      </c>
      <c r="W501" s="14" t="s">
        <v>1879</v>
      </c>
      <c r="X501" s="14" t="s">
        <v>1883</v>
      </c>
      <c r="Y501" s="167" t="s">
        <v>2039</v>
      </c>
      <c r="Z501" s="14" t="s">
        <v>3479</v>
      </c>
      <c r="AA501" s="2">
        <f t="shared" ca="1" si="75"/>
        <v>1</v>
      </c>
      <c r="AB501" s="153"/>
      <c r="AC501" s="454" t="str">
        <f t="shared" si="74"/>
        <v>1</v>
      </c>
    </row>
    <row r="502" spans="1:29" ht="29" x14ac:dyDescent="0.35">
      <c r="A502" s="111" t="str">
        <f t="shared" si="77"/>
        <v>Closed</v>
      </c>
      <c r="B502" s="222">
        <v>45533</v>
      </c>
      <c r="C502" s="14">
        <v>2406</v>
      </c>
      <c r="D502" s="14" t="s">
        <v>3480</v>
      </c>
      <c r="E502" s="14" t="s">
        <v>219</v>
      </c>
      <c r="F502" s="14" t="s">
        <v>2765</v>
      </c>
      <c r="G502" s="14"/>
      <c r="H502" s="14">
        <v>201</v>
      </c>
      <c r="I502" s="176" t="s">
        <v>140</v>
      </c>
      <c r="K502" s="87"/>
      <c r="L502" s="14" t="s">
        <v>3481</v>
      </c>
      <c r="M502" s="324">
        <f t="shared" si="76"/>
        <v>0</v>
      </c>
      <c r="N502" s="14" t="s">
        <v>1879</v>
      </c>
      <c r="O502" s="14" t="s">
        <v>1879</v>
      </c>
      <c r="P502" s="167" t="s">
        <v>143</v>
      </c>
      <c r="Q502" s="14"/>
      <c r="R502" s="170">
        <v>0</v>
      </c>
      <c r="S502" s="108">
        <f t="shared" si="73"/>
        <v>45561</v>
      </c>
      <c r="T502" s="79">
        <v>45533</v>
      </c>
      <c r="U502" s="14"/>
      <c r="V502" s="14"/>
      <c r="W502" s="14"/>
      <c r="X502" s="14"/>
      <c r="Z502" s="14"/>
      <c r="AA502" s="2">
        <f t="shared" ca="1" si="75"/>
        <v>1</v>
      </c>
      <c r="AB502" s="153"/>
      <c r="AC502" s="454" t="str">
        <f t="shared" si="74"/>
        <v>2</v>
      </c>
    </row>
    <row r="503" spans="1:29" ht="58" x14ac:dyDescent="0.35">
      <c r="A503" s="89" t="str">
        <f t="shared" si="77"/>
        <v>Closed</v>
      </c>
      <c r="B503" s="222">
        <v>45533</v>
      </c>
      <c r="C503" s="14">
        <v>2406</v>
      </c>
      <c r="D503" s="14" t="s">
        <v>3482</v>
      </c>
      <c r="E503" s="14" t="s">
        <v>194</v>
      </c>
      <c r="F503" s="14" t="s">
        <v>2187</v>
      </c>
      <c r="G503" s="14" t="s">
        <v>1911</v>
      </c>
      <c r="H503" s="14">
        <v>111</v>
      </c>
      <c r="I503" s="176" t="s">
        <v>140</v>
      </c>
      <c r="J503" s="14">
        <v>826</v>
      </c>
      <c r="K503" s="87"/>
      <c r="L503" s="14" t="s">
        <v>3483</v>
      </c>
      <c r="M503" s="324">
        <f t="shared" si="76"/>
        <v>0</v>
      </c>
      <c r="N503" s="14" t="s">
        <v>1880</v>
      </c>
      <c r="O503" s="14" t="s">
        <v>1880</v>
      </c>
      <c r="P503" s="167" t="s">
        <v>143</v>
      </c>
      <c r="Q503" s="14"/>
      <c r="R503" s="223">
        <v>0</v>
      </c>
      <c r="S503" s="224">
        <f t="shared" si="73"/>
        <v>45561</v>
      </c>
      <c r="T503" s="79">
        <v>45537</v>
      </c>
      <c r="U503" s="14"/>
      <c r="V503" s="14"/>
      <c r="W503" s="14"/>
      <c r="X503" s="14"/>
      <c r="Y503" s="14" t="s">
        <v>2023</v>
      </c>
      <c r="Z503" s="14" t="s">
        <v>3484</v>
      </c>
      <c r="AA503" s="2">
        <f t="shared" ca="1" si="75"/>
        <v>1</v>
      </c>
      <c r="AB503" s="153"/>
      <c r="AC503" s="454" t="str">
        <f t="shared" si="74"/>
        <v>1</v>
      </c>
    </row>
    <row r="504" spans="1:29" ht="43.5" x14ac:dyDescent="0.35">
      <c r="A504" s="111" t="str">
        <f t="shared" si="77"/>
        <v>Closed</v>
      </c>
      <c r="B504" s="222">
        <v>45534</v>
      </c>
      <c r="C504" s="14">
        <v>2406</v>
      </c>
      <c r="D504" s="14" t="s">
        <v>3485</v>
      </c>
      <c r="E504" s="14" t="s">
        <v>42</v>
      </c>
      <c r="F504" s="14" t="s">
        <v>2187</v>
      </c>
      <c r="G504" s="14" t="s">
        <v>1911</v>
      </c>
      <c r="H504" s="14">
        <v>116</v>
      </c>
      <c r="I504" s="176" t="s">
        <v>4</v>
      </c>
      <c r="J504" s="14">
        <v>62018</v>
      </c>
      <c r="K504" s="14" t="s">
        <v>137</v>
      </c>
      <c r="L504" s="14" t="s">
        <v>3486</v>
      </c>
      <c r="M504" s="324">
        <v>0</v>
      </c>
      <c r="N504" s="14" t="s">
        <v>1879</v>
      </c>
      <c r="O504" s="14" t="s">
        <v>1880</v>
      </c>
      <c r="P504" s="167" t="s">
        <v>139</v>
      </c>
      <c r="Q504" s="112" t="s">
        <v>174</v>
      </c>
      <c r="R504" s="170" t="s">
        <v>234</v>
      </c>
      <c r="S504" s="108">
        <f t="shared" si="73"/>
        <v>45562</v>
      </c>
      <c r="T504" s="79">
        <v>45570</v>
      </c>
      <c r="U504" s="14" t="s">
        <v>3487</v>
      </c>
      <c r="V504" s="14" t="s">
        <v>3487</v>
      </c>
      <c r="W504" s="14" t="s">
        <v>1879</v>
      </c>
      <c r="X504" s="14" t="s">
        <v>1883</v>
      </c>
      <c r="Z504" s="14" t="s">
        <v>3488</v>
      </c>
      <c r="AA504" s="2">
        <f t="shared" ca="1" si="75"/>
        <v>1</v>
      </c>
      <c r="AB504" s="153"/>
      <c r="AC504" s="454" t="str">
        <f t="shared" si="74"/>
        <v>1</v>
      </c>
    </row>
    <row r="505" spans="1:29" x14ac:dyDescent="0.35">
      <c r="A505" s="111" t="str">
        <f t="shared" si="77"/>
        <v>Closed</v>
      </c>
      <c r="B505" s="222">
        <v>45534</v>
      </c>
      <c r="C505" s="14">
        <v>2406</v>
      </c>
      <c r="D505" s="14" t="s">
        <v>3489</v>
      </c>
      <c r="E505" s="14" t="s">
        <v>180</v>
      </c>
      <c r="F505" s="14" t="s">
        <v>2060</v>
      </c>
      <c r="G505" s="14" t="s">
        <v>1911</v>
      </c>
      <c r="H505" s="14">
        <v>119</v>
      </c>
      <c r="I505" s="176" t="s">
        <v>140</v>
      </c>
      <c r="K505" s="87"/>
      <c r="L505" s="14" t="s">
        <v>3490</v>
      </c>
      <c r="M505" s="324">
        <f t="shared" ref="M505:M511" si="78">IF(I505="Staff Accident","Entry Required",IF(I505="Assaults","Entry Required",0))</f>
        <v>0</v>
      </c>
      <c r="N505" s="14" t="s">
        <v>1879</v>
      </c>
      <c r="O505" s="14" t="s">
        <v>1879</v>
      </c>
      <c r="P505" s="167" t="s">
        <v>143</v>
      </c>
      <c r="Q505" s="112"/>
      <c r="R505" s="170">
        <v>0</v>
      </c>
      <c r="S505" s="108">
        <f t="shared" si="73"/>
        <v>45562</v>
      </c>
      <c r="T505" s="79">
        <v>45534</v>
      </c>
      <c r="U505" s="14"/>
      <c r="V505" s="14"/>
      <c r="W505" s="14"/>
      <c r="X505" s="14"/>
      <c r="Y505" s="466" t="s">
        <v>2062</v>
      </c>
      <c r="Z505" s="14"/>
      <c r="AA505" s="2">
        <f t="shared" ca="1" si="75"/>
        <v>1</v>
      </c>
      <c r="AB505" s="153"/>
      <c r="AC505" s="454" t="str">
        <f t="shared" si="74"/>
        <v>1</v>
      </c>
    </row>
    <row r="506" spans="1:29" x14ac:dyDescent="0.35">
      <c r="A506" s="111" t="str">
        <f t="shared" si="77"/>
        <v>Closed</v>
      </c>
      <c r="B506" s="222">
        <v>45534</v>
      </c>
      <c r="C506" s="14">
        <v>2406</v>
      </c>
      <c r="D506" s="14" t="s">
        <v>3491</v>
      </c>
      <c r="E506" s="14" t="s">
        <v>219</v>
      </c>
      <c r="F506" s="14" t="s">
        <v>1968</v>
      </c>
      <c r="G506" s="14" t="s">
        <v>1911</v>
      </c>
      <c r="H506" s="14"/>
      <c r="I506" s="176" t="s">
        <v>140</v>
      </c>
      <c r="K506" s="87"/>
      <c r="L506" s="14" t="s">
        <v>3492</v>
      </c>
      <c r="M506" s="324">
        <f t="shared" si="78"/>
        <v>0</v>
      </c>
      <c r="N506" s="14" t="s">
        <v>1879</v>
      </c>
      <c r="O506" s="14" t="s">
        <v>1879</v>
      </c>
      <c r="P506" s="167" t="s">
        <v>143</v>
      </c>
      <c r="Q506" s="112"/>
      <c r="R506" s="170">
        <v>0</v>
      </c>
      <c r="S506" s="108">
        <f t="shared" ref="S506:S537" si="79">IF(B506="","",B506+28)</f>
        <v>45562</v>
      </c>
      <c r="T506" s="79">
        <v>45534</v>
      </c>
      <c r="U506" s="14"/>
      <c r="V506" s="14"/>
      <c r="W506" s="14"/>
      <c r="X506" s="14"/>
      <c r="Y506" s="14" t="s">
        <v>1970</v>
      </c>
      <c r="Z506" s="14"/>
      <c r="AA506" s="2">
        <f t="shared" ca="1" si="75"/>
        <v>1</v>
      </c>
      <c r="AB506" s="153"/>
      <c r="AC506" s="454" t="str">
        <f t="shared" ref="AC506:AC537" si="80">LEFT(H506,1)</f>
        <v/>
      </c>
    </row>
    <row r="507" spans="1:29" ht="58" x14ac:dyDescent="0.35">
      <c r="A507" s="111" t="str">
        <f t="shared" si="77"/>
        <v>Closed</v>
      </c>
      <c r="B507" s="222">
        <v>45535</v>
      </c>
      <c r="C507" s="14">
        <v>2406</v>
      </c>
      <c r="D507" s="14" t="s">
        <v>3493</v>
      </c>
      <c r="E507" s="14" t="s">
        <v>27</v>
      </c>
      <c r="F507" s="14" t="s">
        <v>3205</v>
      </c>
      <c r="G507" s="14" t="s">
        <v>1911</v>
      </c>
      <c r="H507" s="14">
        <v>102</v>
      </c>
      <c r="I507" s="176" t="s">
        <v>5</v>
      </c>
      <c r="K507" s="87"/>
      <c r="L507" s="14" t="s">
        <v>3494</v>
      </c>
      <c r="M507" s="324">
        <f t="shared" si="78"/>
        <v>0</v>
      </c>
      <c r="N507" s="14" t="s">
        <v>1879</v>
      </c>
      <c r="O507" s="14" t="s">
        <v>1880</v>
      </c>
      <c r="P507" s="167" t="s">
        <v>147</v>
      </c>
      <c r="Q507" s="112" t="s">
        <v>175</v>
      </c>
      <c r="R507" s="170" t="s">
        <v>234</v>
      </c>
      <c r="S507" s="108">
        <f t="shared" si="79"/>
        <v>45563</v>
      </c>
      <c r="T507" s="79">
        <v>45554</v>
      </c>
      <c r="U507" s="14" t="s">
        <v>3495</v>
      </c>
      <c r="V507" s="14" t="s">
        <v>2527</v>
      </c>
      <c r="W507" s="14" t="s">
        <v>1879</v>
      </c>
      <c r="X507" s="14" t="s">
        <v>1883</v>
      </c>
      <c r="Y507" s="167" t="s">
        <v>2428</v>
      </c>
      <c r="Z507" s="14" t="s">
        <v>3496</v>
      </c>
      <c r="AA507" s="2">
        <f t="shared" ref="AA507:AA538" ca="1" si="81">IF(B507="",3,IF(S507&lt;$A$1,1,0))</f>
        <v>1</v>
      </c>
      <c r="AB507" s="153"/>
      <c r="AC507" s="454" t="str">
        <f t="shared" si="80"/>
        <v>1</v>
      </c>
    </row>
    <row r="508" spans="1:29" ht="29" x14ac:dyDescent="0.35">
      <c r="A508" s="111" t="str">
        <f t="shared" si="77"/>
        <v>Closed</v>
      </c>
      <c r="B508" s="222">
        <v>45535</v>
      </c>
      <c r="C508" s="14">
        <v>2406</v>
      </c>
      <c r="D508" s="14" t="s">
        <v>3497</v>
      </c>
      <c r="E508" s="14" t="s">
        <v>219</v>
      </c>
      <c r="F508" s="14" t="s">
        <v>1968</v>
      </c>
      <c r="G508" s="14" t="s">
        <v>1911</v>
      </c>
      <c r="H508" s="14">
        <v>203</v>
      </c>
      <c r="I508" s="176" t="s">
        <v>140</v>
      </c>
      <c r="K508" s="87"/>
      <c r="L508" s="14" t="s">
        <v>3498</v>
      </c>
      <c r="M508" s="324">
        <f t="shared" si="78"/>
        <v>0</v>
      </c>
      <c r="N508" s="14" t="s">
        <v>1879</v>
      </c>
      <c r="O508" s="14" t="s">
        <v>1879</v>
      </c>
      <c r="P508" s="167" t="s">
        <v>143</v>
      </c>
      <c r="Q508" s="112"/>
      <c r="R508" s="170">
        <v>0</v>
      </c>
      <c r="S508" s="108">
        <f t="shared" si="79"/>
        <v>45563</v>
      </c>
      <c r="T508" s="79">
        <v>45535</v>
      </c>
      <c r="U508" s="14"/>
      <c r="V508" s="14"/>
      <c r="W508" s="14"/>
      <c r="X508" s="14"/>
      <c r="Y508" s="14" t="s">
        <v>1970</v>
      </c>
      <c r="Z508" s="14"/>
      <c r="AA508" s="2">
        <f t="shared" ca="1" si="81"/>
        <v>1</v>
      </c>
      <c r="AB508" s="153"/>
      <c r="AC508" s="454" t="str">
        <f t="shared" si="80"/>
        <v>2</v>
      </c>
    </row>
    <row r="509" spans="1:29" ht="43.5" x14ac:dyDescent="0.35">
      <c r="A509" s="111" t="str">
        <f t="shared" si="77"/>
        <v>Closed</v>
      </c>
      <c r="B509" s="222">
        <v>45535</v>
      </c>
      <c r="C509" s="14">
        <v>2406</v>
      </c>
      <c r="D509" s="14" t="s">
        <v>3499</v>
      </c>
      <c r="E509" s="14" t="s">
        <v>8</v>
      </c>
      <c r="F509" s="14" t="s">
        <v>1921</v>
      </c>
      <c r="G509" s="14" t="s">
        <v>1900</v>
      </c>
      <c r="H509" s="14"/>
      <c r="I509" s="176" t="s">
        <v>140</v>
      </c>
      <c r="K509" s="87"/>
      <c r="L509" s="14" t="s">
        <v>3500</v>
      </c>
      <c r="M509" s="324">
        <f t="shared" si="78"/>
        <v>0</v>
      </c>
      <c r="N509" s="14" t="s">
        <v>1879</v>
      </c>
      <c r="O509" s="14" t="s">
        <v>1879</v>
      </c>
      <c r="P509" s="167" t="s">
        <v>143</v>
      </c>
      <c r="Q509" s="112"/>
      <c r="R509" s="170">
        <v>0</v>
      </c>
      <c r="S509" s="108">
        <f t="shared" si="79"/>
        <v>45563</v>
      </c>
      <c r="T509" s="79">
        <v>45535</v>
      </c>
      <c r="U509" s="14"/>
      <c r="V509" s="14"/>
      <c r="W509" s="14"/>
      <c r="X509" s="14"/>
      <c r="Y509" s="14" t="s">
        <v>1923</v>
      </c>
      <c r="Z509" s="14"/>
      <c r="AA509" s="2">
        <f t="shared" ca="1" si="81"/>
        <v>1</v>
      </c>
      <c r="AB509" s="153"/>
      <c r="AC509" s="454" t="str">
        <f t="shared" si="80"/>
        <v/>
      </c>
    </row>
    <row r="510" spans="1:29" ht="43.5" x14ac:dyDescent="0.35">
      <c r="A510" s="111" t="str">
        <f t="shared" si="77"/>
        <v>Closed</v>
      </c>
      <c r="B510" s="222">
        <v>45536</v>
      </c>
      <c r="C510" s="14">
        <v>2406</v>
      </c>
      <c r="D510" s="14" t="s">
        <v>3501</v>
      </c>
      <c r="E510" s="14" t="s">
        <v>31</v>
      </c>
      <c r="F510" s="14" t="s">
        <v>1954</v>
      </c>
      <c r="G510" s="14" t="s">
        <v>1900</v>
      </c>
      <c r="H510" s="14">
        <v>111</v>
      </c>
      <c r="I510" s="176" t="s">
        <v>140</v>
      </c>
      <c r="K510" s="14"/>
      <c r="L510" s="335" t="s">
        <v>3502</v>
      </c>
      <c r="M510" s="326">
        <f t="shared" si="78"/>
        <v>0</v>
      </c>
      <c r="N510" s="14" t="s">
        <v>1879</v>
      </c>
      <c r="O510" s="14" t="s">
        <v>1880</v>
      </c>
      <c r="P510" s="167" t="s">
        <v>147</v>
      </c>
      <c r="Q510" s="112" t="s">
        <v>153</v>
      </c>
      <c r="R510" s="170" t="s">
        <v>234</v>
      </c>
      <c r="S510" s="108">
        <f t="shared" si="79"/>
        <v>45564</v>
      </c>
      <c r="T510" s="79">
        <v>45448</v>
      </c>
      <c r="U510" s="14" t="s">
        <v>3503</v>
      </c>
      <c r="V510" s="14" t="s">
        <v>3504</v>
      </c>
      <c r="W510" s="14" t="s">
        <v>1879</v>
      </c>
      <c r="X510" s="14" t="s">
        <v>154</v>
      </c>
      <c r="Y510" s="14" t="s">
        <v>1956</v>
      </c>
      <c r="Z510" s="14" t="s">
        <v>3505</v>
      </c>
      <c r="AA510" s="2">
        <f t="shared" ca="1" si="81"/>
        <v>1</v>
      </c>
      <c r="AB510" s="153"/>
      <c r="AC510" s="454" t="str">
        <f t="shared" si="80"/>
        <v>1</v>
      </c>
    </row>
    <row r="511" spans="1:29" ht="58" x14ac:dyDescent="0.35">
      <c r="A511" s="111" t="str">
        <f t="shared" si="77"/>
        <v>Closed</v>
      </c>
      <c r="B511" s="222">
        <v>45536</v>
      </c>
      <c r="C511" s="14">
        <v>2406</v>
      </c>
      <c r="D511" s="14" t="s">
        <v>3506</v>
      </c>
      <c r="E511" s="14" t="s">
        <v>31</v>
      </c>
      <c r="F511" s="14" t="s">
        <v>2060</v>
      </c>
      <c r="G511" s="14" t="s">
        <v>1900</v>
      </c>
      <c r="H511" s="14">
        <v>108</v>
      </c>
      <c r="I511" s="176" t="s">
        <v>155</v>
      </c>
      <c r="K511" s="87"/>
      <c r="L511" s="14" t="s">
        <v>3507</v>
      </c>
      <c r="M511" s="324">
        <f t="shared" si="78"/>
        <v>0</v>
      </c>
      <c r="N511" s="14" t="s">
        <v>1879</v>
      </c>
      <c r="O511" s="14" t="s">
        <v>1879</v>
      </c>
      <c r="P511" s="167" t="s">
        <v>143</v>
      </c>
      <c r="Q511" s="112"/>
      <c r="R511" s="170">
        <v>0</v>
      </c>
      <c r="S511" s="108">
        <f t="shared" si="79"/>
        <v>45564</v>
      </c>
      <c r="T511" s="79">
        <v>45536</v>
      </c>
      <c r="U511" s="14"/>
      <c r="V511" s="14"/>
      <c r="W511" s="14"/>
      <c r="X511" s="14"/>
      <c r="Y511" s="466" t="s">
        <v>2062</v>
      </c>
      <c r="Z511" s="14" t="s">
        <v>3508</v>
      </c>
      <c r="AA511" s="2">
        <f t="shared" ca="1" si="81"/>
        <v>1</v>
      </c>
      <c r="AB511" s="153"/>
      <c r="AC511" s="454" t="str">
        <f t="shared" si="80"/>
        <v>1</v>
      </c>
    </row>
    <row r="512" spans="1:29" ht="29" x14ac:dyDescent="0.35">
      <c r="A512" s="111" t="str">
        <f t="shared" si="77"/>
        <v>Closed</v>
      </c>
      <c r="B512" s="222">
        <v>45538</v>
      </c>
      <c r="C512" s="14">
        <v>2406</v>
      </c>
      <c r="D512" s="14" t="s">
        <v>1088</v>
      </c>
      <c r="E512" s="14" t="s">
        <v>40</v>
      </c>
      <c r="F512" s="14" t="s">
        <v>1968</v>
      </c>
      <c r="G512" s="14" t="s">
        <v>1911</v>
      </c>
      <c r="H512" s="14"/>
      <c r="I512" s="176" t="s">
        <v>4</v>
      </c>
      <c r="J512" s="14">
        <v>8511393</v>
      </c>
      <c r="K512" s="14" t="s">
        <v>137</v>
      </c>
      <c r="L512" s="336" t="s">
        <v>3509</v>
      </c>
      <c r="M512" s="324">
        <v>0</v>
      </c>
      <c r="N512" s="14" t="s">
        <v>1879</v>
      </c>
      <c r="O512" s="14" t="s">
        <v>1880</v>
      </c>
      <c r="P512" s="167" t="s">
        <v>139</v>
      </c>
      <c r="Q512" s="14" t="s">
        <v>138</v>
      </c>
      <c r="R512" s="170" t="s">
        <v>234</v>
      </c>
      <c r="S512" s="108">
        <f t="shared" si="79"/>
        <v>45566</v>
      </c>
      <c r="T512" s="79">
        <v>45545</v>
      </c>
      <c r="U512" s="14" t="s">
        <v>3510</v>
      </c>
      <c r="V512" s="14" t="s">
        <v>3511</v>
      </c>
      <c r="W512" s="14" t="s">
        <v>1879</v>
      </c>
      <c r="X512" s="14" t="s">
        <v>1883</v>
      </c>
      <c r="Y512" s="14" t="s">
        <v>1970</v>
      </c>
      <c r="Z512" s="14" t="s">
        <v>3326</v>
      </c>
      <c r="AA512" s="2">
        <f t="shared" ca="1" si="81"/>
        <v>1</v>
      </c>
      <c r="AB512" s="153"/>
      <c r="AC512" s="454" t="str">
        <f t="shared" si="80"/>
        <v/>
      </c>
    </row>
    <row r="513" spans="1:29" ht="72.5" x14ac:dyDescent="0.35">
      <c r="A513" s="89" t="str">
        <f t="shared" si="77"/>
        <v>Closed</v>
      </c>
      <c r="B513" s="222">
        <v>45538</v>
      </c>
      <c r="C513" s="14">
        <v>2406</v>
      </c>
      <c r="D513" s="14" t="s">
        <v>3512</v>
      </c>
      <c r="E513" s="14" t="s">
        <v>27</v>
      </c>
      <c r="F513" s="14" t="s">
        <v>1968</v>
      </c>
      <c r="G513" s="14" t="s">
        <v>1911</v>
      </c>
      <c r="H513" s="14"/>
      <c r="I513" s="176" t="s">
        <v>5</v>
      </c>
      <c r="K513" s="87"/>
      <c r="L513" s="14" t="s">
        <v>3513</v>
      </c>
      <c r="M513" s="324">
        <f t="shared" ref="M513:M521" si="82">IF(I513="Staff Accident","Entry Required",IF(I513="Assaults","Entry Required",0))</f>
        <v>0</v>
      </c>
      <c r="N513" s="14" t="s">
        <v>1879</v>
      </c>
      <c r="O513" s="14" t="s">
        <v>1880</v>
      </c>
      <c r="P513" s="167" t="s">
        <v>143</v>
      </c>
      <c r="Q513" s="14"/>
      <c r="R513" s="223">
        <v>0</v>
      </c>
      <c r="S513" s="224">
        <f t="shared" si="79"/>
        <v>45566</v>
      </c>
      <c r="T513" s="79">
        <v>45902</v>
      </c>
      <c r="U513" s="14"/>
      <c r="V513" s="14"/>
      <c r="W513" s="14"/>
      <c r="X513" s="14"/>
      <c r="Y513" s="14" t="s">
        <v>1970</v>
      </c>
      <c r="Z513" s="14" t="s">
        <v>3514</v>
      </c>
      <c r="AA513" s="2">
        <f t="shared" ca="1" si="81"/>
        <v>1</v>
      </c>
      <c r="AB513" s="153"/>
      <c r="AC513" s="454" t="str">
        <f t="shared" si="80"/>
        <v/>
      </c>
    </row>
    <row r="514" spans="1:29" ht="29" x14ac:dyDescent="0.35">
      <c r="A514" s="111" t="str">
        <f t="shared" si="77"/>
        <v>Closed</v>
      </c>
      <c r="B514" s="222">
        <v>45538</v>
      </c>
      <c r="C514" s="14">
        <v>2406</v>
      </c>
      <c r="D514" s="14" t="s">
        <v>3515</v>
      </c>
      <c r="E514" s="14" t="s">
        <v>219</v>
      </c>
      <c r="F514" s="14" t="s">
        <v>1921</v>
      </c>
      <c r="G514" s="14" t="s">
        <v>1911</v>
      </c>
      <c r="H514" s="14"/>
      <c r="I514" s="176" t="s">
        <v>140</v>
      </c>
      <c r="K514" s="87"/>
      <c r="L514" s="14" t="s">
        <v>3516</v>
      </c>
      <c r="M514" s="324">
        <f t="shared" si="82"/>
        <v>0</v>
      </c>
      <c r="N514" s="14" t="s">
        <v>1879</v>
      </c>
      <c r="O514" s="14" t="s">
        <v>1879</v>
      </c>
      <c r="P514" s="167" t="s">
        <v>143</v>
      </c>
      <c r="Q514" s="14"/>
      <c r="R514" s="170">
        <v>0</v>
      </c>
      <c r="S514" s="108">
        <f t="shared" si="79"/>
        <v>45566</v>
      </c>
      <c r="T514" s="79">
        <v>45538</v>
      </c>
      <c r="U514" s="14"/>
      <c r="V514" s="14"/>
      <c r="W514" s="14"/>
      <c r="X514" s="14"/>
      <c r="Y514" s="14" t="s">
        <v>1923</v>
      </c>
      <c r="Z514" s="14"/>
      <c r="AA514" s="2">
        <f t="shared" ca="1" si="81"/>
        <v>1</v>
      </c>
      <c r="AB514" s="153"/>
      <c r="AC514" s="454" t="str">
        <f t="shared" si="80"/>
        <v/>
      </c>
    </row>
    <row r="515" spans="1:29" ht="130.5" x14ac:dyDescent="0.35">
      <c r="A515" s="111" t="str">
        <f t="shared" si="77"/>
        <v>Closed</v>
      </c>
      <c r="B515" s="222">
        <v>45539</v>
      </c>
      <c r="C515" s="14">
        <v>2406</v>
      </c>
      <c r="D515" s="14" t="s">
        <v>3517</v>
      </c>
      <c r="E515" s="14" t="s">
        <v>83</v>
      </c>
      <c r="F515" s="14" t="s">
        <v>3518</v>
      </c>
      <c r="G515" s="14"/>
      <c r="H515" s="14">
        <v>106</v>
      </c>
      <c r="I515" s="176" t="s">
        <v>155</v>
      </c>
      <c r="J515" s="14">
        <v>716</v>
      </c>
      <c r="K515" s="87"/>
      <c r="L515" s="14" t="s">
        <v>3519</v>
      </c>
      <c r="M515" s="324">
        <f t="shared" si="82"/>
        <v>0</v>
      </c>
      <c r="N515" s="14" t="s">
        <v>1880</v>
      </c>
      <c r="O515" s="14" t="s">
        <v>1880</v>
      </c>
      <c r="P515" s="167" t="s">
        <v>147</v>
      </c>
      <c r="Q515" s="14" t="s">
        <v>174</v>
      </c>
      <c r="R515" s="170" t="s">
        <v>234</v>
      </c>
      <c r="S515" s="108">
        <f t="shared" si="79"/>
        <v>45567</v>
      </c>
      <c r="T515" s="79">
        <v>45570</v>
      </c>
      <c r="U515" s="14" t="s">
        <v>3520</v>
      </c>
      <c r="V515" s="14" t="s">
        <v>3521</v>
      </c>
      <c r="W515" s="14" t="s">
        <v>1879</v>
      </c>
      <c r="X515" s="14" t="s">
        <v>1883</v>
      </c>
      <c r="Y515" s="14" t="s">
        <v>1904</v>
      </c>
      <c r="Z515" s="14" t="s">
        <v>3522</v>
      </c>
      <c r="AA515" s="2">
        <f t="shared" ca="1" si="81"/>
        <v>1</v>
      </c>
      <c r="AB515" s="153"/>
      <c r="AC515" s="454" t="str">
        <f t="shared" si="80"/>
        <v>1</v>
      </c>
    </row>
    <row r="516" spans="1:29" ht="43.5" x14ac:dyDescent="0.45">
      <c r="A516" s="111" t="str">
        <f t="shared" si="77"/>
        <v>Closed</v>
      </c>
      <c r="B516" s="222">
        <v>45539</v>
      </c>
      <c r="C516" s="14">
        <v>2406</v>
      </c>
      <c r="D516" s="14" t="s">
        <v>3523</v>
      </c>
      <c r="E516" s="14" t="s">
        <v>192</v>
      </c>
      <c r="F516" s="14" t="s">
        <v>2338</v>
      </c>
      <c r="G516" s="14"/>
      <c r="H516" s="14"/>
      <c r="I516" s="176" t="s">
        <v>140</v>
      </c>
      <c r="K516" s="87"/>
      <c r="L516" s="14" t="s">
        <v>3524</v>
      </c>
      <c r="M516" s="324">
        <f t="shared" si="82"/>
        <v>0</v>
      </c>
      <c r="N516" s="14" t="s">
        <v>1879</v>
      </c>
      <c r="O516" s="14" t="s">
        <v>1879</v>
      </c>
      <c r="P516" s="167" t="s">
        <v>143</v>
      </c>
      <c r="Q516" s="14"/>
      <c r="R516" s="170">
        <v>0</v>
      </c>
      <c r="S516" s="108">
        <f t="shared" si="79"/>
        <v>45567</v>
      </c>
      <c r="T516" s="79">
        <v>45539</v>
      </c>
      <c r="U516" s="14"/>
      <c r="V516" s="14"/>
      <c r="W516" s="14"/>
      <c r="X516" s="14"/>
      <c r="Y516" s="463" t="s">
        <v>2340</v>
      </c>
      <c r="Z516" s="14"/>
      <c r="AA516" s="2">
        <f t="shared" ca="1" si="81"/>
        <v>1</v>
      </c>
      <c r="AB516" s="153"/>
      <c r="AC516" s="454" t="str">
        <f t="shared" si="80"/>
        <v/>
      </c>
    </row>
    <row r="517" spans="1:29" ht="29" x14ac:dyDescent="0.35">
      <c r="A517" s="111" t="str">
        <f t="shared" si="77"/>
        <v>Closed</v>
      </c>
      <c r="B517" s="222">
        <v>45540</v>
      </c>
      <c r="C517" s="14">
        <v>2406</v>
      </c>
      <c r="D517" s="14" t="s">
        <v>1085</v>
      </c>
      <c r="E517" s="14" t="s">
        <v>204</v>
      </c>
      <c r="F517" s="14" t="s">
        <v>3525</v>
      </c>
      <c r="G517" s="14"/>
      <c r="H517" s="14">
        <v>207</v>
      </c>
      <c r="I517" s="14" t="s">
        <v>155</v>
      </c>
      <c r="K517" s="87"/>
      <c r="L517" s="14" t="s">
        <v>3526</v>
      </c>
      <c r="M517" s="324">
        <f t="shared" si="82"/>
        <v>0</v>
      </c>
      <c r="N517" s="14" t="s">
        <v>1879</v>
      </c>
      <c r="O517" s="14" t="s">
        <v>1880</v>
      </c>
      <c r="P517" s="167" t="s">
        <v>147</v>
      </c>
      <c r="Q517" s="14" t="s">
        <v>168</v>
      </c>
      <c r="R517" s="170" t="s">
        <v>234</v>
      </c>
      <c r="S517" s="108">
        <f t="shared" si="79"/>
        <v>45568</v>
      </c>
      <c r="T517" s="79">
        <v>45545</v>
      </c>
      <c r="U517" s="14" t="s">
        <v>3527</v>
      </c>
      <c r="V517" s="14" t="s">
        <v>1896</v>
      </c>
      <c r="W517" s="14" t="s">
        <v>1880</v>
      </c>
      <c r="X517" s="14" t="s">
        <v>1880</v>
      </c>
      <c r="Z517" s="14" t="s">
        <v>3528</v>
      </c>
      <c r="AA517" s="2">
        <f t="shared" ca="1" si="81"/>
        <v>1</v>
      </c>
      <c r="AB517" s="153"/>
      <c r="AC517" s="454" t="str">
        <f t="shared" si="80"/>
        <v>2</v>
      </c>
    </row>
    <row r="518" spans="1:29" ht="43.5" x14ac:dyDescent="0.35">
      <c r="A518" s="89" t="str">
        <f t="shared" si="77"/>
        <v>Closed</v>
      </c>
      <c r="B518" s="222">
        <v>45538</v>
      </c>
      <c r="C518" s="14">
        <v>2406</v>
      </c>
      <c r="D518" s="14" t="s">
        <v>3529</v>
      </c>
      <c r="E518" s="14" t="s">
        <v>78</v>
      </c>
      <c r="F518" s="14" t="s">
        <v>2048</v>
      </c>
      <c r="G518" s="14"/>
      <c r="H518" s="14"/>
      <c r="I518" s="14" t="s">
        <v>140</v>
      </c>
      <c r="K518" s="87"/>
      <c r="L518" s="14" t="s">
        <v>3530</v>
      </c>
      <c r="M518" s="324">
        <f t="shared" si="82"/>
        <v>0</v>
      </c>
      <c r="N518" s="14" t="s">
        <v>1879</v>
      </c>
      <c r="O518" s="14" t="s">
        <v>1879</v>
      </c>
      <c r="P518" s="167" t="s">
        <v>143</v>
      </c>
      <c r="Q518" s="14"/>
      <c r="R518" s="223">
        <v>0</v>
      </c>
      <c r="S518" s="224">
        <f t="shared" si="79"/>
        <v>45566</v>
      </c>
      <c r="T518" s="79">
        <v>45902</v>
      </c>
      <c r="U518" s="14"/>
      <c r="V518" s="14"/>
      <c r="W518" s="14"/>
      <c r="X518" s="14"/>
      <c r="Y518" s="167" t="s">
        <v>2050</v>
      </c>
      <c r="Z518" s="14" t="s">
        <v>3531</v>
      </c>
      <c r="AA518" s="2">
        <f t="shared" ca="1" si="81"/>
        <v>1</v>
      </c>
      <c r="AB518" s="153"/>
      <c r="AC518" s="454" t="str">
        <f t="shared" si="80"/>
        <v/>
      </c>
    </row>
    <row r="519" spans="1:29" ht="29" x14ac:dyDescent="0.35">
      <c r="A519" s="111" t="str">
        <f t="shared" si="77"/>
        <v>Closed</v>
      </c>
      <c r="B519" s="222">
        <v>45541</v>
      </c>
      <c r="C519" s="14">
        <v>2406</v>
      </c>
      <c r="D519" s="14" t="s">
        <v>3532</v>
      </c>
      <c r="E519" s="14" t="s">
        <v>219</v>
      </c>
      <c r="F519" s="14" t="s">
        <v>1925</v>
      </c>
      <c r="G519" s="14" t="s">
        <v>1911</v>
      </c>
      <c r="H519" s="14"/>
      <c r="I519" s="14" t="s">
        <v>140</v>
      </c>
      <c r="K519" s="87"/>
      <c r="L519" s="14" t="s">
        <v>3533</v>
      </c>
      <c r="M519" s="324">
        <f t="shared" si="82"/>
        <v>0</v>
      </c>
      <c r="N519" s="14" t="s">
        <v>1879</v>
      </c>
      <c r="O519" s="14" t="s">
        <v>1879</v>
      </c>
      <c r="P519" s="167" t="s">
        <v>143</v>
      </c>
      <c r="Q519" s="14"/>
      <c r="R519" s="170">
        <v>0</v>
      </c>
      <c r="S519" s="108">
        <f t="shared" si="79"/>
        <v>45569</v>
      </c>
      <c r="T519" s="79">
        <v>45541</v>
      </c>
      <c r="U519" s="14"/>
      <c r="V519" s="14"/>
      <c r="W519" s="14"/>
      <c r="X519" s="14"/>
      <c r="Y519" s="167" t="s">
        <v>1929</v>
      </c>
      <c r="Z519" s="14"/>
      <c r="AA519" s="2">
        <f t="shared" ca="1" si="81"/>
        <v>1</v>
      </c>
      <c r="AB519" s="153"/>
      <c r="AC519" s="454" t="str">
        <f t="shared" si="80"/>
        <v/>
      </c>
    </row>
    <row r="520" spans="1:29" ht="174" x14ac:dyDescent="0.35">
      <c r="A520" s="111" t="str">
        <f t="shared" si="77"/>
        <v>Closed</v>
      </c>
      <c r="B520" s="222">
        <v>45541</v>
      </c>
      <c r="C520" s="14">
        <v>2406</v>
      </c>
      <c r="D520" s="14" t="s">
        <v>3534</v>
      </c>
      <c r="E520" s="14" t="s">
        <v>42</v>
      </c>
      <c r="F520" s="167" t="s">
        <v>2162</v>
      </c>
      <c r="G520" s="14" t="s">
        <v>1911</v>
      </c>
      <c r="H520" s="14">
        <v>102</v>
      </c>
      <c r="I520" s="14" t="s">
        <v>4</v>
      </c>
      <c r="J520" s="14">
        <v>75813</v>
      </c>
      <c r="K520" s="14" t="s">
        <v>137</v>
      </c>
      <c r="L520" s="14" t="s">
        <v>3535</v>
      </c>
      <c r="M520" s="324">
        <v>0</v>
      </c>
      <c r="N520" s="14" t="s">
        <v>1879</v>
      </c>
      <c r="O520" s="14" t="s">
        <v>1879</v>
      </c>
      <c r="P520" s="167" t="s">
        <v>139</v>
      </c>
      <c r="Q520" s="14" t="s">
        <v>157</v>
      </c>
      <c r="R520" s="170" t="s">
        <v>234</v>
      </c>
      <c r="S520" s="108">
        <f t="shared" si="79"/>
        <v>45569</v>
      </c>
      <c r="T520" s="79">
        <v>45562</v>
      </c>
      <c r="U520" s="14"/>
      <c r="V520" s="14"/>
      <c r="W520" s="14"/>
      <c r="X520" s="14"/>
      <c r="Y520" s="15" t="s">
        <v>2164</v>
      </c>
      <c r="Z520" s="87" t="s">
        <v>3536</v>
      </c>
      <c r="AA520" s="2">
        <f t="shared" ca="1" si="81"/>
        <v>1</v>
      </c>
      <c r="AB520" s="153"/>
      <c r="AC520" s="454" t="str">
        <f t="shared" si="80"/>
        <v>1</v>
      </c>
    </row>
    <row r="521" spans="1:29" ht="87" x14ac:dyDescent="0.35">
      <c r="A521" s="89" t="str">
        <f t="shared" si="77"/>
        <v>Closed</v>
      </c>
      <c r="B521" s="222">
        <v>45544</v>
      </c>
      <c r="C521" s="14">
        <v>2406</v>
      </c>
      <c r="D521" s="14" t="s">
        <v>3537</v>
      </c>
      <c r="E521" s="14" t="s">
        <v>196</v>
      </c>
      <c r="F521" s="14" t="s">
        <v>2052</v>
      </c>
      <c r="G521" s="14" t="s">
        <v>1900</v>
      </c>
      <c r="H521" s="14">
        <v>113</v>
      </c>
      <c r="I521" s="176" t="s">
        <v>155</v>
      </c>
      <c r="J521" s="14">
        <v>1367</v>
      </c>
      <c r="K521" s="87"/>
      <c r="L521" s="14" t="s">
        <v>3538</v>
      </c>
      <c r="M521" s="324">
        <f t="shared" si="82"/>
        <v>0</v>
      </c>
      <c r="N521" s="14" t="s">
        <v>1879</v>
      </c>
      <c r="O521" s="14" t="s">
        <v>1879</v>
      </c>
      <c r="P521" s="167" t="s">
        <v>147</v>
      </c>
      <c r="Q521" s="14" t="s">
        <v>153</v>
      </c>
      <c r="R521" s="223" t="s">
        <v>234</v>
      </c>
      <c r="S521" s="224">
        <f t="shared" si="79"/>
        <v>45572</v>
      </c>
      <c r="T521" s="79">
        <v>45549</v>
      </c>
      <c r="U521" s="14" t="s">
        <v>3539</v>
      </c>
      <c r="V521" s="14" t="s">
        <v>3540</v>
      </c>
      <c r="W521" s="14" t="s">
        <v>1879</v>
      </c>
      <c r="X521" s="14" t="s">
        <v>1880</v>
      </c>
      <c r="Y521" s="14" t="s">
        <v>2054</v>
      </c>
      <c r="Z521" s="14" t="s">
        <v>3541</v>
      </c>
      <c r="AA521" s="2">
        <f t="shared" ca="1" si="81"/>
        <v>1</v>
      </c>
      <c r="AB521" s="153"/>
      <c r="AC521" s="454" t="str">
        <f t="shared" si="80"/>
        <v>1</v>
      </c>
    </row>
    <row r="522" spans="1:29" ht="58" x14ac:dyDescent="0.35">
      <c r="A522" s="89" t="str">
        <f t="shared" si="77"/>
        <v>Closed</v>
      </c>
      <c r="B522" s="222">
        <v>45544</v>
      </c>
      <c r="C522" s="14">
        <v>2406</v>
      </c>
      <c r="D522" s="14" t="s">
        <v>3542</v>
      </c>
      <c r="E522" s="14" t="s">
        <v>27</v>
      </c>
      <c r="F522" s="14" t="s">
        <v>1947</v>
      </c>
      <c r="G522" s="14" t="s">
        <v>1911</v>
      </c>
      <c r="H522" s="14"/>
      <c r="I522" s="176" t="s">
        <v>2</v>
      </c>
      <c r="J522" s="14">
        <v>601</v>
      </c>
      <c r="K522" s="85" t="s">
        <v>137</v>
      </c>
      <c r="L522" s="14" t="s">
        <v>3543</v>
      </c>
      <c r="M522" s="324">
        <v>2.5</v>
      </c>
      <c r="N522" s="14" t="s">
        <v>1879</v>
      </c>
      <c r="O522" s="14" t="s">
        <v>2034</v>
      </c>
      <c r="P522" s="167" t="s">
        <v>136</v>
      </c>
      <c r="Q522" s="14" t="s">
        <v>138</v>
      </c>
      <c r="R522" s="223" t="s">
        <v>234</v>
      </c>
      <c r="S522" s="224">
        <f t="shared" si="79"/>
        <v>45572</v>
      </c>
      <c r="T522" s="79">
        <v>45902</v>
      </c>
      <c r="U522" s="14"/>
      <c r="V522" s="14"/>
      <c r="W522" s="14"/>
      <c r="X522" s="14"/>
      <c r="Z522" s="14" t="s">
        <v>3065</v>
      </c>
      <c r="AA522" s="2">
        <f t="shared" ca="1" si="81"/>
        <v>1</v>
      </c>
      <c r="AB522" s="153"/>
      <c r="AC522" s="454" t="str">
        <f t="shared" si="80"/>
        <v/>
      </c>
    </row>
    <row r="523" spans="1:29" ht="43.5" x14ac:dyDescent="0.45">
      <c r="A523" s="111" t="str">
        <f t="shared" si="77"/>
        <v>Closed</v>
      </c>
      <c r="B523" s="222">
        <v>45544</v>
      </c>
      <c r="C523" s="14">
        <v>2406</v>
      </c>
      <c r="D523" s="14" t="s">
        <v>3544</v>
      </c>
      <c r="E523" s="14" t="s">
        <v>31</v>
      </c>
      <c r="F523" s="14" t="s">
        <v>3545</v>
      </c>
      <c r="G523" s="14" t="s">
        <v>1911</v>
      </c>
      <c r="H523" s="14">
        <v>112</v>
      </c>
      <c r="I523" s="176" t="s">
        <v>155</v>
      </c>
      <c r="J523" s="14">
        <v>8505276</v>
      </c>
      <c r="K523" s="87"/>
      <c r="L523" s="14" t="s">
        <v>3546</v>
      </c>
      <c r="M523" s="324">
        <f t="shared" ref="M523:M548" si="83">IF(I523="Staff Accident","Entry Required",IF(I523="Assaults","Entry Required",0))</f>
        <v>0</v>
      </c>
      <c r="N523" s="14" t="s">
        <v>1879</v>
      </c>
      <c r="O523" s="14" t="s">
        <v>1879</v>
      </c>
      <c r="P523" s="167" t="s">
        <v>147</v>
      </c>
      <c r="Q523" s="14" t="s">
        <v>153</v>
      </c>
      <c r="R523" s="170" t="s">
        <v>234</v>
      </c>
      <c r="S523" s="108">
        <f t="shared" si="79"/>
        <v>45572</v>
      </c>
      <c r="T523" s="79">
        <v>45549</v>
      </c>
      <c r="U523" s="79">
        <v>45549</v>
      </c>
      <c r="V523" s="14"/>
      <c r="W523" s="14"/>
      <c r="X523" s="14"/>
      <c r="Y523" s="463" t="s">
        <v>3547</v>
      </c>
      <c r="Z523" s="14" t="s">
        <v>3548</v>
      </c>
      <c r="AA523" s="2">
        <f t="shared" ca="1" si="81"/>
        <v>1</v>
      </c>
      <c r="AB523" s="153"/>
      <c r="AC523" s="454" t="str">
        <f t="shared" si="80"/>
        <v>1</v>
      </c>
    </row>
    <row r="524" spans="1:29" ht="43.5" x14ac:dyDescent="0.35">
      <c r="A524" s="111" t="str">
        <f t="shared" si="77"/>
        <v>Closed</v>
      </c>
      <c r="B524" s="222">
        <v>45544</v>
      </c>
      <c r="C524" s="14">
        <v>2406</v>
      </c>
      <c r="D524" s="14" t="s">
        <v>3549</v>
      </c>
      <c r="E524" s="14" t="s">
        <v>219</v>
      </c>
      <c r="F524" s="14" t="s">
        <v>2765</v>
      </c>
      <c r="G524" s="14" t="s">
        <v>1911</v>
      </c>
      <c r="H524" s="14">
        <v>205</v>
      </c>
      <c r="I524" s="176" t="s">
        <v>140</v>
      </c>
      <c r="J524" s="14">
        <v>85223</v>
      </c>
      <c r="K524" s="87"/>
      <c r="L524" s="14" t="s">
        <v>3550</v>
      </c>
      <c r="M524" s="324">
        <f t="shared" si="83"/>
        <v>0</v>
      </c>
      <c r="N524" s="14" t="s">
        <v>1879</v>
      </c>
      <c r="O524" s="14" t="s">
        <v>1879</v>
      </c>
      <c r="P524" s="167" t="s">
        <v>143</v>
      </c>
      <c r="Q524" s="14"/>
      <c r="R524" s="170">
        <v>0</v>
      </c>
      <c r="S524" s="108">
        <f t="shared" si="79"/>
        <v>45572</v>
      </c>
      <c r="T524" s="79">
        <v>45545</v>
      </c>
      <c r="U524" s="14"/>
      <c r="V524" s="14"/>
      <c r="W524" s="14"/>
      <c r="X524" s="14"/>
      <c r="Y524" s="85"/>
      <c r="Z524" s="14"/>
      <c r="AA524" s="2">
        <f t="shared" ca="1" si="81"/>
        <v>1</v>
      </c>
      <c r="AB524" s="153"/>
      <c r="AC524" s="454" t="str">
        <f t="shared" si="80"/>
        <v>2</v>
      </c>
    </row>
    <row r="525" spans="1:29" ht="29" x14ac:dyDescent="0.35">
      <c r="A525" s="111" t="str">
        <f t="shared" si="77"/>
        <v>Closed</v>
      </c>
      <c r="B525" s="222">
        <v>45545</v>
      </c>
      <c r="C525" s="14">
        <v>2406</v>
      </c>
      <c r="D525" s="14" t="s">
        <v>3551</v>
      </c>
      <c r="E525" s="14" t="s">
        <v>8</v>
      </c>
      <c r="F525" s="14" t="s">
        <v>1910</v>
      </c>
      <c r="G525" s="14" t="s">
        <v>1911</v>
      </c>
      <c r="H525" s="14">
        <v>120</v>
      </c>
      <c r="I525" s="176" t="s">
        <v>140</v>
      </c>
      <c r="J525" s="14">
        <v>625</v>
      </c>
      <c r="K525" s="87"/>
      <c r="L525" s="14" t="s">
        <v>3552</v>
      </c>
      <c r="M525" s="324">
        <f t="shared" si="83"/>
        <v>0</v>
      </c>
      <c r="N525" s="14" t="s">
        <v>1879</v>
      </c>
      <c r="O525" s="14" t="s">
        <v>1880</v>
      </c>
      <c r="P525" s="167" t="s">
        <v>143</v>
      </c>
      <c r="Q525" s="14"/>
      <c r="R525" s="170">
        <v>0</v>
      </c>
      <c r="S525" s="108">
        <f t="shared" si="79"/>
        <v>45573</v>
      </c>
      <c r="T525" s="79">
        <v>45546</v>
      </c>
      <c r="U525" s="14"/>
      <c r="V525" s="14"/>
      <c r="W525" s="14"/>
      <c r="X525" s="176"/>
      <c r="Y525" s="15" t="s">
        <v>1915</v>
      </c>
      <c r="Z525" s="87"/>
      <c r="AA525" s="2">
        <f t="shared" ca="1" si="81"/>
        <v>1</v>
      </c>
      <c r="AB525" s="153"/>
      <c r="AC525" s="454" t="str">
        <f t="shared" si="80"/>
        <v>1</v>
      </c>
    </row>
    <row r="526" spans="1:29" ht="43.5" x14ac:dyDescent="0.35">
      <c r="A526" s="111" t="str">
        <f t="shared" si="77"/>
        <v>Closed</v>
      </c>
      <c r="B526" s="222">
        <v>45545</v>
      </c>
      <c r="C526" s="14">
        <v>2406</v>
      </c>
      <c r="D526" s="14" t="s">
        <v>3553</v>
      </c>
      <c r="E526" s="14" t="s">
        <v>8</v>
      </c>
      <c r="F526" s="14" t="s">
        <v>2147</v>
      </c>
      <c r="G526" s="14" t="s">
        <v>1911</v>
      </c>
      <c r="H526" s="14">
        <v>121</v>
      </c>
      <c r="I526" s="176" t="s">
        <v>140</v>
      </c>
      <c r="K526" s="87"/>
      <c r="L526" s="14" t="s">
        <v>3554</v>
      </c>
      <c r="M526" s="324">
        <f t="shared" si="83"/>
        <v>0</v>
      </c>
      <c r="N526" s="14" t="s">
        <v>1879</v>
      </c>
      <c r="O526" s="14" t="s">
        <v>1880</v>
      </c>
      <c r="P526" s="167" t="s">
        <v>143</v>
      </c>
      <c r="Q526" s="14"/>
      <c r="R526" s="170">
        <v>0</v>
      </c>
      <c r="S526" s="108">
        <f t="shared" si="79"/>
        <v>45573</v>
      </c>
      <c r="T526" s="79">
        <v>45546</v>
      </c>
      <c r="U526" s="14"/>
      <c r="V526" s="14"/>
      <c r="W526" s="14"/>
      <c r="X526" s="14"/>
      <c r="Y526" s="14" t="s">
        <v>2150</v>
      </c>
      <c r="Z526" s="14"/>
      <c r="AA526" s="2">
        <f t="shared" ca="1" si="81"/>
        <v>1</v>
      </c>
      <c r="AB526" s="153"/>
      <c r="AC526" s="454" t="str">
        <f t="shared" si="80"/>
        <v>1</v>
      </c>
    </row>
    <row r="527" spans="1:29" ht="58" x14ac:dyDescent="0.35">
      <c r="A527" s="111" t="str">
        <f t="shared" si="77"/>
        <v>Closed</v>
      </c>
      <c r="B527" s="222">
        <v>45546</v>
      </c>
      <c r="C527" s="14">
        <v>2406</v>
      </c>
      <c r="D527" s="14" t="s">
        <v>3555</v>
      </c>
      <c r="E527" s="14" t="s">
        <v>192</v>
      </c>
      <c r="F527" s="14" t="s">
        <v>3200</v>
      </c>
      <c r="G527" s="14" t="s">
        <v>1911</v>
      </c>
      <c r="H527" s="14">
        <v>121</v>
      </c>
      <c r="I527" s="176" t="s">
        <v>140</v>
      </c>
      <c r="J527" s="14">
        <v>8506846</v>
      </c>
      <c r="K527" s="87"/>
      <c r="L527" s="30" t="s">
        <v>3556</v>
      </c>
      <c r="M527" s="324">
        <f t="shared" si="83"/>
        <v>0</v>
      </c>
      <c r="N527" s="14" t="s">
        <v>1879</v>
      </c>
      <c r="O527" s="14" t="s">
        <v>1879</v>
      </c>
      <c r="P527" s="167" t="s">
        <v>143</v>
      </c>
      <c r="Q527" s="14"/>
      <c r="R527" s="170">
        <v>0</v>
      </c>
      <c r="S527" s="108">
        <f t="shared" si="79"/>
        <v>45574</v>
      </c>
      <c r="T527" s="79">
        <v>45546</v>
      </c>
      <c r="U527" s="14"/>
      <c r="V527" s="14"/>
      <c r="W527" s="14"/>
      <c r="X527" s="14"/>
      <c r="Y527" s="14" t="s">
        <v>2868</v>
      </c>
      <c r="Z527" s="14"/>
      <c r="AA527" s="2">
        <f t="shared" ca="1" si="81"/>
        <v>1</v>
      </c>
      <c r="AB527" s="153"/>
      <c r="AC527" s="454" t="str">
        <f t="shared" si="80"/>
        <v>1</v>
      </c>
    </row>
    <row r="528" spans="1:29" ht="43.5" x14ac:dyDescent="0.45">
      <c r="A528" s="111" t="str">
        <f t="shared" si="77"/>
        <v>Closed</v>
      </c>
      <c r="B528" s="222">
        <v>45546</v>
      </c>
      <c r="C528" s="14">
        <v>2406</v>
      </c>
      <c r="D528" s="14" t="s">
        <v>3557</v>
      </c>
      <c r="E528" s="14" t="s">
        <v>192</v>
      </c>
      <c r="F528" s="14" t="s">
        <v>2338</v>
      </c>
      <c r="G528" s="14" t="s">
        <v>3558</v>
      </c>
      <c r="H528" s="14"/>
      <c r="I528" s="176" t="s">
        <v>140</v>
      </c>
      <c r="K528" s="87"/>
      <c r="L528" s="14" t="s">
        <v>3559</v>
      </c>
      <c r="M528" s="324">
        <f t="shared" si="83"/>
        <v>0</v>
      </c>
      <c r="N528" s="14" t="s">
        <v>1879</v>
      </c>
      <c r="O528" s="14" t="s">
        <v>1879</v>
      </c>
      <c r="P528" s="167" t="s">
        <v>143</v>
      </c>
      <c r="Q528" s="14"/>
      <c r="R528" s="170">
        <v>0</v>
      </c>
      <c r="S528" s="108">
        <f t="shared" si="79"/>
        <v>45574</v>
      </c>
      <c r="T528" s="79">
        <v>45546</v>
      </c>
      <c r="U528" s="14"/>
      <c r="V528" s="14"/>
      <c r="W528" s="14"/>
      <c r="X528" s="14"/>
      <c r="Y528" s="463" t="s">
        <v>2340</v>
      </c>
      <c r="Z528" s="14"/>
      <c r="AA528" s="2">
        <f t="shared" ca="1" si="81"/>
        <v>1</v>
      </c>
      <c r="AB528" s="153"/>
      <c r="AC528" s="454" t="str">
        <f t="shared" si="80"/>
        <v/>
      </c>
    </row>
    <row r="529" spans="1:29" ht="87" x14ac:dyDescent="0.35">
      <c r="A529" s="111" t="str">
        <f t="shared" si="77"/>
        <v>Closed</v>
      </c>
      <c r="B529" s="222">
        <v>45546</v>
      </c>
      <c r="C529" s="14">
        <v>2406</v>
      </c>
      <c r="D529" s="14" t="s">
        <v>3560</v>
      </c>
      <c r="E529" s="14" t="s">
        <v>206</v>
      </c>
      <c r="F529" s="14" t="s">
        <v>2060</v>
      </c>
      <c r="G529" s="14" t="s">
        <v>1911</v>
      </c>
      <c r="H529" s="14">
        <v>104</v>
      </c>
      <c r="I529" s="176" t="s">
        <v>140</v>
      </c>
      <c r="J529" s="14">
        <v>8503165</v>
      </c>
      <c r="K529" s="87"/>
      <c r="L529" s="14" t="s">
        <v>3561</v>
      </c>
      <c r="M529" s="324">
        <f t="shared" si="83"/>
        <v>0</v>
      </c>
      <c r="N529" s="14" t="s">
        <v>1879</v>
      </c>
      <c r="O529" s="14" t="s">
        <v>1879</v>
      </c>
      <c r="P529" s="167" t="s">
        <v>143</v>
      </c>
      <c r="Q529" s="14"/>
      <c r="R529" s="170">
        <v>0</v>
      </c>
      <c r="S529" s="108">
        <f t="shared" si="79"/>
        <v>45574</v>
      </c>
      <c r="T529" s="79">
        <v>45546</v>
      </c>
      <c r="U529" s="14"/>
      <c r="V529" s="14"/>
      <c r="W529" s="14"/>
      <c r="X529" s="14"/>
      <c r="Y529" s="466" t="s">
        <v>2062</v>
      </c>
      <c r="Z529" s="14"/>
      <c r="AA529" s="2">
        <f t="shared" ca="1" si="81"/>
        <v>1</v>
      </c>
      <c r="AB529" s="153"/>
      <c r="AC529" s="454" t="str">
        <f t="shared" si="80"/>
        <v>1</v>
      </c>
    </row>
    <row r="530" spans="1:29" ht="29" x14ac:dyDescent="0.35">
      <c r="A530" s="111" t="str">
        <f t="shared" si="77"/>
        <v>Closed</v>
      </c>
      <c r="B530" s="222">
        <v>45546</v>
      </c>
      <c r="C530" s="14">
        <v>2406</v>
      </c>
      <c r="D530" s="14" t="s">
        <v>3562</v>
      </c>
      <c r="E530" s="14" t="s">
        <v>219</v>
      </c>
      <c r="F530" s="14" t="s">
        <v>2187</v>
      </c>
      <c r="G530" s="14" t="s">
        <v>1911</v>
      </c>
      <c r="H530" s="14">
        <v>107</v>
      </c>
      <c r="I530" s="176" t="s">
        <v>140</v>
      </c>
      <c r="J530" s="14">
        <v>1367</v>
      </c>
      <c r="K530" s="87"/>
      <c r="L530" s="14" t="s">
        <v>3563</v>
      </c>
      <c r="M530" s="324">
        <f t="shared" si="83"/>
        <v>0</v>
      </c>
      <c r="N530" s="14" t="s">
        <v>1879</v>
      </c>
      <c r="O530" s="14" t="s">
        <v>1879</v>
      </c>
      <c r="P530" s="167" t="s">
        <v>143</v>
      </c>
      <c r="Q530" s="14"/>
      <c r="R530" s="170">
        <v>0</v>
      </c>
      <c r="S530" s="108">
        <f t="shared" si="79"/>
        <v>45574</v>
      </c>
      <c r="T530" s="79">
        <v>45546</v>
      </c>
      <c r="U530" s="14"/>
      <c r="V530" s="14"/>
      <c r="W530" s="14"/>
      <c r="X530" s="14"/>
      <c r="Y530" s="14" t="s">
        <v>2023</v>
      </c>
      <c r="Z530" s="14"/>
      <c r="AA530" s="2">
        <f t="shared" ca="1" si="81"/>
        <v>1</v>
      </c>
      <c r="AB530" s="153"/>
      <c r="AC530" s="454" t="str">
        <f t="shared" si="80"/>
        <v>1</v>
      </c>
    </row>
    <row r="531" spans="1:29" ht="43.5" x14ac:dyDescent="0.35">
      <c r="A531" s="111" t="str">
        <f t="shared" si="77"/>
        <v>Closed</v>
      </c>
      <c r="B531" s="222">
        <v>45547</v>
      </c>
      <c r="C531" s="14">
        <v>2406</v>
      </c>
      <c r="D531" s="14" t="s">
        <v>3564</v>
      </c>
      <c r="E531" s="14" t="s">
        <v>78</v>
      </c>
      <c r="F531" s="14" t="s">
        <v>2056</v>
      </c>
      <c r="G531" s="14" t="s">
        <v>1900</v>
      </c>
      <c r="H531" s="14">
        <v>117</v>
      </c>
      <c r="I531" s="176" t="s">
        <v>155</v>
      </c>
      <c r="J531" s="14">
        <v>8506979</v>
      </c>
      <c r="K531" s="87"/>
      <c r="L531" s="14" t="s">
        <v>3565</v>
      </c>
      <c r="M531" s="324">
        <f t="shared" si="83"/>
        <v>0</v>
      </c>
      <c r="N531" s="14" t="s">
        <v>1879</v>
      </c>
      <c r="O531" s="14" t="s">
        <v>1880</v>
      </c>
      <c r="P531" s="167" t="s">
        <v>147</v>
      </c>
      <c r="Q531" s="112" t="s">
        <v>175</v>
      </c>
      <c r="R531" s="170" t="s">
        <v>234</v>
      </c>
      <c r="S531" s="108">
        <f t="shared" si="79"/>
        <v>45575</v>
      </c>
      <c r="T531" s="79">
        <v>45555</v>
      </c>
      <c r="U531" s="14" t="s">
        <v>3365</v>
      </c>
      <c r="V531" s="14" t="s">
        <v>3221</v>
      </c>
      <c r="W531" s="14" t="s">
        <v>1879</v>
      </c>
      <c r="X531" s="14" t="s">
        <v>1883</v>
      </c>
      <c r="Y531" s="167" t="s">
        <v>2058</v>
      </c>
      <c r="Z531" s="14" t="s">
        <v>3566</v>
      </c>
      <c r="AA531" s="2">
        <f t="shared" ca="1" si="81"/>
        <v>1</v>
      </c>
      <c r="AB531" s="153"/>
      <c r="AC531" s="454" t="str">
        <f t="shared" si="80"/>
        <v>1</v>
      </c>
    </row>
    <row r="532" spans="1:29" ht="43.5" x14ac:dyDescent="0.35">
      <c r="A532" s="111" t="str">
        <f t="shared" si="77"/>
        <v>Closed</v>
      </c>
      <c r="B532" s="222">
        <v>45547</v>
      </c>
      <c r="C532" s="14">
        <v>2406</v>
      </c>
      <c r="D532" s="14" t="s">
        <v>3567</v>
      </c>
      <c r="E532" s="14" t="s">
        <v>27</v>
      </c>
      <c r="F532" s="14" t="s">
        <v>2080</v>
      </c>
      <c r="G532" s="14" t="s">
        <v>1900</v>
      </c>
      <c r="H532" s="14">
        <v>102</v>
      </c>
      <c r="I532" s="176" t="s">
        <v>5</v>
      </c>
      <c r="J532" s="14">
        <v>8500446</v>
      </c>
      <c r="K532" s="87"/>
      <c r="L532" s="14" t="s">
        <v>3568</v>
      </c>
      <c r="M532" s="324">
        <f t="shared" si="83"/>
        <v>0</v>
      </c>
      <c r="N532" s="14" t="s">
        <v>1879</v>
      </c>
      <c r="O532" s="14" t="s">
        <v>1880</v>
      </c>
      <c r="P532" s="167" t="s">
        <v>147</v>
      </c>
      <c r="Q532" s="112" t="s">
        <v>174</v>
      </c>
      <c r="R532" s="170" t="s">
        <v>234</v>
      </c>
      <c r="S532" s="108">
        <f t="shared" si="79"/>
        <v>45575</v>
      </c>
      <c r="T532" s="79">
        <v>45571</v>
      </c>
      <c r="U532" s="14" t="s">
        <v>2493</v>
      </c>
      <c r="V532" s="14" t="s">
        <v>3569</v>
      </c>
      <c r="W532" s="14" t="s">
        <v>1879</v>
      </c>
      <c r="X532" s="14" t="s">
        <v>1883</v>
      </c>
      <c r="Y532" s="14" t="s">
        <v>2084</v>
      </c>
      <c r="Z532" s="14" t="s">
        <v>2415</v>
      </c>
      <c r="AA532" s="2">
        <f t="shared" ca="1" si="81"/>
        <v>1</v>
      </c>
      <c r="AB532" s="153"/>
      <c r="AC532" s="454" t="str">
        <f t="shared" si="80"/>
        <v>1</v>
      </c>
    </row>
    <row r="533" spans="1:29" ht="29" x14ac:dyDescent="0.35">
      <c r="A533" s="111" t="str">
        <f t="shared" si="77"/>
        <v>Closed</v>
      </c>
      <c r="B533" s="222">
        <v>45547</v>
      </c>
      <c r="C533" s="14">
        <v>2406</v>
      </c>
      <c r="D533" s="14" t="s">
        <v>3570</v>
      </c>
      <c r="E533" s="14" t="s">
        <v>219</v>
      </c>
      <c r="F533" s="14" t="s">
        <v>1921</v>
      </c>
      <c r="G533" s="14" t="s">
        <v>3558</v>
      </c>
      <c r="H533" s="14">
        <v>113</v>
      </c>
      <c r="I533" s="176" t="s">
        <v>140</v>
      </c>
      <c r="J533" s="14">
        <v>75341</v>
      </c>
      <c r="K533" s="87"/>
      <c r="L533" s="14" t="s">
        <v>3571</v>
      </c>
      <c r="M533" s="324">
        <f t="shared" si="83"/>
        <v>0</v>
      </c>
      <c r="N533" s="14" t="s">
        <v>1879</v>
      </c>
      <c r="O533" s="14" t="s">
        <v>1879</v>
      </c>
      <c r="P533" s="167" t="s">
        <v>143</v>
      </c>
      <c r="Q533" s="112"/>
      <c r="R533" s="170">
        <v>0</v>
      </c>
      <c r="S533" s="108">
        <f t="shared" si="79"/>
        <v>45575</v>
      </c>
      <c r="T533" s="79">
        <v>45547</v>
      </c>
      <c r="U533" s="14"/>
      <c r="V533" s="14"/>
      <c r="W533" s="14"/>
      <c r="X533" s="14"/>
      <c r="Y533" s="14" t="s">
        <v>1923</v>
      </c>
      <c r="Z533" s="14"/>
      <c r="AA533" s="2">
        <f t="shared" ca="1" si="81"/>
        <v>1</v>
      </c>
      <c r="AB533" s="153"/>
      <c r="AC533" s="454" t="str">
        <f t="shared" si="80"/>
        <v>1</v>
      </c>
    </row>
    <row r="534" spans="1:29" ht="43.5" x14ac:dyDescent="0.35">
      <c r="A534" s="111" t="str">
        <f t="shared" si="77"/>
        <v>Closed</v>
      </c>
      <c r="B534" s="222">
        <v>45547</v>
      </c>
      <c r="C534" s="14">
        <v>2406</v>
      </c>
      <c r="D534" s="14" t="s">
        <v>3572</v>
      </c>
      <c r="E534" s="14" t="s">
        <v>219</v>
      </c>
      <c r="F534" s="14" t="s">
        <v>1921</v>
      </c>
      <c r="G534" s="14" t="s">
        <v>3558</v>
      </c>
      <c r="H534" s="14">
        <v>116</v>
      </c>
      <c r="I534" s="176" t="s">
        <v>140</v>
      </c>
      <c r="J534" s="14">
        <v>77027</v>
      </c>
      <c r="K534" s="87"/>
      <c r="L534" s="14" t="s">
        <v>3573</v>
      </c>
      <c r="M534" s="324">
        <f t="shared" si="83"/>
        <v>0</v>
      </c>
      <c r="N534" s="14" t="s">
        <v>1879</v>
      </c>
      <c r="O534" s="14" t="s">
        <v>1879</v>
      </c>
      <c r="P534" s="167" t="s">
        <v>143</v>
      </c>
      <c r="Q534" s="112"/>
      <c r="R534" s="170">
        <v>0</v>
      </c>
      <c r="S534" s="108">
        <f t="shared" si="79"/>
        <v>45575</v>
      </c>
      <c r="T534" s="79">
        <v>45547</v>
      </c>
      <c r="U534" s="14"/>
      <c r="V534" s="14"/>
      <c r="W534" s="14"/>
      <c r="X534" s="14"/>
      <c r="Y534" s="14" t="s">
        <v>1923</v>
      </c>
      <c r="Z534" s="14"/>
      <c r="AA534" s="2">
        <f t="shared" ca="1" si="81"/>
        <v>1</v>
      </c>
      <c r="AB534" s="153"/>
      <c r="AC534" s="454" t="str">
        <f t="shared" si="80"/>
        <v>1</v>
      </c>
    </row>
    <row r="535" spans="1:29" ht="43.5" x14ac:dyDescent="0.35">
      <c r="A535" s="111" t="str">
        <f t="shared" si="77"/>
        <v>Closed</v>
      </c>
      <c r="B535" s="222">
        <v>45547</v>
      </c>
      <c r="C535" s="14">
        <v>2406</v>
      </c>
      <c r="D535" s="14" t="s">
        <v>3574</v>
      </c>
      <c r="E535" s="14" t="s">
        <v>38</v>
      </c>
      <c r="F535" s="14" t="s">
        <v>1899</v>
      </c>
      <c r="G535" s="14"/>
      <c r="H535" s="14">
        <v>111</v>
      </c>
      <c r="I535" s="176" t="s">
        <v>140</v>
      </c>
      <c r="J535" s="14">
        <v>58403</v>
      </c>
      <c r="K535" s="87"/>
      <c r="L535" s="14" t="s">
        <v>3575</v>
      </c>
      <c r="M535" s="324">
        <f t="shared" si="83"/>
        <v>0</v>
      </c>
      <c r="N535" s="14" t="s">
        <v>1879</v>
      </c>
      <c r="O535" s="14" t="s">
        <v>1879</v>
      </c>
      <c r="P535" s="167" t="s">
        <v>143</v>
      </c>
      <c r="Q535" s="112"/>
      <c r="R535" s="170">
        <v>0</v>
      </c>
      <c r="S535" s="108">
        <f t="shared" si="79"/>
        <v>45575</v>
      </c>
      <c r="T535" s="214">
        <v>45547</v>
      </c>
      <c r="U535" s="14"/>
      <c r="V535" s="14"/>
      <c r="W535" s="14"/>
      <c r="X535" s="14"/>
      <c r="Y535" s="14" t="s">
        <v>1904</v>
      </c>
      <c r="Z535" s="14"/>
      <c r="AA535" s="2">
        <f t="shared" ca="1" si="81"/>
        <v>1</v>
      </c>
      <c r="AB535" s="153"/>
      <c r="AC535" s="454" t="str">
        <f t="shared" si="80"/>
        <v>1</v>
      </c>
    </row>
    <row r="536" spans="1:29" ht="43.5" x14ac:dyDescent="0.35">
      <c r="A536" s="111" t="str">
        <f t="shared" si="77"/>
        <v>Closed</v>
      </c>
      <c r="B536" s="222">
        <v>45548</v>
      </c>
      <c r="C536" s="14">
        <v>2406</v>
      </c>
      <c r="D536" s="14" t="s">
        <v>3576</v>
      </c>
      <c r="E536" s="14" t="s">
        <v>192</v>
      </c>
      <c r="F536" s="14" t="s">
        <v>1972</v>
      </c>
      <c r="G536" s="14" t="s">
        <v>3558</v>
      </c>
      <c r="H536" s="14">
        <v>115</v>
      </c>
      <c r="I536" s="176" t="s">
        <v>140</v>
      </c>
      <c r="J536" s="14">
        <v>7914</v>
      </c>
      <c r="K536" s="87"/>
      <c r="L536" s="14" t="s">
        <v>3577</v>
      </c>
      <c r="M536" s="324">
        <f t="shared" si="83"/>
        <v>0</v>
      </c>
      <c r="N536" s="14" t="s">
        <v>1879</v>
      </c>
      <c r="O536" s="14" t="s">
        <v>1879</v>
      </c>
      <c r="P536" s="167" t="s">
        <v>143</v>
      </c>
      <c r="Q536" s="112"/>
      <c r="R536" s="170">
        <v>0</v>
      </c>
      <c r="S536" s="108">
        <f t="shared" si="79"/>
        <v>45576</v>
      </c>
      <c r="T536" s="79">
        <v>45548</v>
      </c>
      <c r="U536" s="14"/>
      <c r="V536" s="14"/>
      <c r="W536" s="14"/>
      <c r="X536" s="14"/>
      <c r="Z536" s="14"/>
      <c r="AA536" s="2">
        <f t="shared" ca="1" si="81"/>
        <v>1</v>
      </c>
      <c r="AB536" s="153"/>
      <c r="AC536" s="454" t="str">
        <f t="shared" si="80"/>
        <v>1</v>
      </c>
    </row>
    <row r="537" spans="1:29" ht="43.5" x14ac:dyDescent="0.35">
      <c r="A537" s="111" t="str">
        <f t="shared" si="77"/>
        <v>Closed</v>
      </c>
      <c r="B537" s="222">
        <v>45548</v>
      </c>
      <c r="C537" s="14">
        <v>2406</v>
      </c>
      <c r="D537" s="14" t="s">
        <v>3578</v>
      </c>
      <c r="E537" s="14" t="s">
        <v>27</v>
      </c>
      <c r="F537" s="167" t="s">
        <v>1947</v>
      </c>
      <c r="G537" s="14" t="s">
        <v>1911</v>
      </c>
      <c r="H537" s="14">
        <v>121</v>
      </c>
      <c r="I537" s="176" t="s">
        <v>5</v>
      </c>
      <c r="J537" s="14">
        <v>707</v>
      </c>
      <c r="K537" s="87"/>
      <c r="L537" s="14" t="s">
        <v>3579</v>
      </c>
      <c r="M537" s="324">
        <f t="shared" si="83"/>
        <v>0</v>
      </c>
      <c r="N537" s="14" t="s">
        <v>1879</v>
      </c>
      <c r="O537" s="14" t="s">
        <v>1879</v>
      </c>
      <c r="P537" s="167" t="s">
        <v>147</v>
      </c>
      <c r="Q537" s="112" t="s">
        <v>174</v>
      </c>
      <c r="R537" s="170" t="s">
        <v>234</v>
      </c>
      <c r="S537" s="108">
        <f t="shared" si="79"/>
        <v>45576</v>
      </c>
      <c r="T537" s="79">
        <v>45571</v>
      </c>
      <c r="U537" s="14" t="s">
        <v>2493</v>
      </c>
      <c r="V537" s="14" t="s">
        <v>2082</v>
      </c>
      <c r="W537" s="14" t="s">
        <v>1879</v>
      </c>
      <c r="X537" s="14" t="s">
        <v>1883</v>
      </c>
      <c r="Y537" s="167" t="s">
        <v>1951</v>
      </c>
      <c r="Z537" s="14" t="s">
        <v>2181</v>
      </c>
      <c r="AA537" s="2">
        <f t="shared" ca="1" si="81"/>
        <v>1</v>
      </c>
      <c r="AB537" s="153"/>
      <c r="AC537" s="454" t="str">
        <f t="shared" si="80"/>
        <v>1</v>
      </c>
    </row>
    <row r="538" spans="1:29" ht="58" x14ac:dyDescent="0.35">
      <c r="A538" s="111" t="str">
        <f t="shared" si="77"/>
        <v>Closed</v>
      </c>
      <c r="B538" s="222">
        <v>45548</v>
      </c>
      <c r="C538" s="14">
        <v>2406</v>
      </c>
      <c r="D538" s="14" t="s">
        <v>3580</v>
      </c>
      <c r="E538" s="14" t="s">
        <v>192</v>
      </c>
      <c r="F538" s="167" t="s">
        <v>3086</v>
      </c>
      <c r="G538" s="14" t="s">
        <v>1911</v>
      </c>
      <c r="H538" s="14">
        <v>206</v>
      </c>
      <c r="I538" s="176" t="s">
        <v>140</v>
      </c>
      <c r="J538" s="14">
        <v>77027</v>
      </c>
      <c r="K538" s="87"/>
      <c r="L538" s="14" t="s">
        <v>3581</v>
      </c>
      <c r="M538" s="324">
        <f t="shared" si="83"/>
        <v>0</v>
      </c>
      <c r="N538" s="14" t="s">
        <v>1879</v>
      </c>
      <c r="O538" s="14" t="s">
        <v>1879</v>
      </c>
      <c r="P538" s="167" t="s">
        <v>143</v>
      </c>
      <c r="Q538" s="112"/>
      <c r="R538" s="170">
        <v>0</v>
      </c>
      <c r="S538" s="108">
        <f t="shared" ref="S538:S569" si="84">IF(B538="","",B538+28)</f>
        <v>45576</v>
      </c>
      <c r="T538" s="79">
        <v>45548</v>
      </c>
      <c r="U538" s="14"/>
      <c r="V538" s="14"/>
      <c r="W538" s="14"/>
      <c r="X538" s="14"/>
      <c r="Y538" s="167" t="s">
        <v>3088</v>
      </c>
      <c r="Z538" s="14"/>
      <c r="AA538" s="2">
        <f t="shared" ca="1" si="81"/>
        <v>1</v>
      </c>
      <c r="AB538" s="153"/>
      <c r="AC538" s="454" t="str">
        <f t="shared" ref="AC538:AC569" si="85">LEFT(H538,1)</f>
        <v>2</v>
      </c>
    </row>
    <row r="539" spans="1:29" ht="72.5" x14ac:dyDescent="0.35">
      <c r="A539" s="111" t="str">
        <f t="shared" si="77"/>
        <v>Closed</v>
      </c>
      <c r="B539" s="222">
        <v>45549</v>
      </c>
      <c r="C539" s="14">
        <v>2406</v>
      </c>
      <c r="D539" s="14" t="s">
        <v>3582</v>
      </c>
      <c r="E539" s="14" t="s">
        <v>78</v>
      </c>
      <c r="F539" s="167" t="s">
        <v>1947</v>
      </c>
      <c r="G539" s="14" t="s">
        <v>1900</v>
      </c>
      <c r="H539" s="14"/>
      <c r="I539" s="176" t="s">
        <v>155</v>
      </c>
      <c r="J539" s="14">
        <v>41867</v>
      </c>
      <c r="K539" s="87"/>
      <c r="L539" s="14" t="s">
        <v>3583</v>
      </c>
      <c r="M539" s="324">
        <f t="shared" si="83"/>
        <v>0</v>
      </c>
      <c r="N539" s="14" t="s">
        <v>1879</v>
      </c>
      <c r="O539" s="14" t="s">
        <v>1880</v>
      </c>
      <c r="P539" s="167" t="s">
        <v>147</v>
      </c>
      <c r="Q539" s="112" t="s">
        <v>174</v>
      </c>
      <c r="R539" s="170" t="s">
        <v>234</v>
      </c>
      <c r="S539" s="108">
        <f t="shared" si="84"/>
        <v>45577</v>
      </c>
      <c r="T539" s="79">
        <v>45571</v>
      </c>
      <c r="U539" s="14" t="s">
        <v>3584</v>
      </c>
      <c r="V539" s="14" t="s">
        <v>3585</v>
      </c>
      <c r="W539" s="14" t="s">
        <v>1879</v>
      </c>
      <c r="X539" s="14" t="s">
        <v>1883</v>
      </c>
      <c r="Y539" s="167" t="s">
        <v>1951</v>
      </c>
      <c r="Z539" s="14" t="s">
        <v>3586</v>
      </c>
      <c r="AA539" s="2">
        <f t="shared" ref="AA539:AA570" ca="1" si="86">IF(B539="",3,IF(S539&lt;$A$1,1,0))</f>
        <v>1</v>
      </c>
      <c r="AB539" s="153"/>
      <c r="AC539" s="454" t="str">
        <f t="shared" si="85"/>
        <v/>
      </c>
    </row>
    <row r="540" spans="1:29" ht="29" x14ac:dyDescent="0.35">
      <c r="A540" s="111" t="str">
        <f t="shared" si="77"/>
        <v>Closed</v>
      </c>
      <c r="B540" s="222">
        <v>45549</v>
      </c>
      <c r="C540" s="14">
        <v>2407</v>
      </c>
      <c r="D540" s="14" t="s">
        <v>3587</v>
      </c>
      <c r="E540" s="14" t="s">
        <v>219</v>
      </c>
      <c r="F540" s="14" t="s">
        <v>2119</v>
      </c>
      <c r="G540" s="14" t="s">
        <v>1900</v>
      </c>
      <c r="H540" s="14">
        <v>112</v>
      </c>
      <c r="I540" s="176" t="s">
        <v>140</v>
      </c>
      <c r="J540" s="14">
        <v>8506977</v>
      </c>
      <c r="K540" s="87"/>
      <c r="L540" s="14" t="s">
        <v>3588</v>
      </c>
      <c r="M540" s="324">
        <f t="shared" si="83"/>
        <v>0</v>
      </c>
      <c r="N540" s="14" t="s">
        <v>1879</v>
      </c>
      <c r="O540" s="14" t="s">
        <v>1879</v>
      </c>
      <c r="P540" s="167" t="s">
        <v>143</v>
      </c>
      <c r="Q540" s="14"/>
      <c r="R540" s="170">
        <v>0</v>
      </c>
      <c r="S540" s="108">
        <f t="shared" si="84"/>
        <v>45577</v>
      </c>
      <c r="T540" s="79">
        <v>45549</v>
      </c>
      <c r="U540" s="14"/>
      <c r="V540" s="14"/>
      <c r="W540" s="14"/>
      <c r="X540" s="14"/>
      <c r="Y540" s="14" t="s">
        <v>2093</v>
      </c>
      <c r="Z540" s="14"/>
      <c r="AA540" s="2">
        <f t="shared" ca="1" si="86"/>
        <v>1</v>
      </c>
      <c r="AB540" s="153"/>
      <c r="AC540" s="454" t="str">
        <f t="shared" si="85"/>
        <v>1</v>
      </c>
    </row>
    <row r="541" spans="1:29" ht="43.5" x14ac:dyDescent="0.35">
      <c r="A541" s="111" t="str">
        <f t="shared" si="77"/>
        <v>Closed</v>
      </c>
      <c r="B541" s="222">
        <v>45550</v>
      </c>
      <c r="C541" s="14">
        <v>2407</v>
      </c>
      <c r="D541" s="14" t="s">
        <v>3589</v>
      </c>
      <c r="E541" s="14" t="s">
        <v>219</v>
      </c>
      <c r="F541" s="14" t="s">
        <v>2765</v>
      </c>
      <c r="G541" s="14" t="s">
        <v>1911</v>
      </c>
      <c r="H541" s="14">
        <v>206</v>
      </c>
      <c r="I541" s="176" t="s">
        <v>140</v>
      </c>
      <c r="J541" s="14">
        <v>8508846</v>
      </c>
      <c r="K541" s="87"/>
      <c r="L541" s="14" t="s">
        <v>3590</v>
      </c>
      <c r="M541" s="324">
        <f t="shared" si="83"/>
        <v>0</v>
      </c>
      <c r="N541" s="14" t="s">
        <v>1879</v>
      </c>
      <c r="O541" s="14" t="s">
        <v>1879</v>
      </c>
      <c r="P541" s="167" t="s">
        <v>143</v>
      </c>
      <c r="Q541" s="14"/>
      <c r="R541" s="170">
        <v>0</v>
      </c>
      <c r="S541" s="108">
        <f t="shared" si="84"/>
        <v>45578</v>
      </c>
      <c r="T541" s="79">
        <v>45550</v>
      </c>
      <c r="U541" s="14"/>
      <c r="V541" s="14"/>
      <c r="W541" s="14"/>
      <c r="X541" s="14"/>
      <c r="Z541" s="14"/>
      <c r="AA541" s="2">
        <f t="shared" ca="1" si="86"/>
        <v>1</v>
      </c>
      <c r="AB541" s="153"/>
      <c r="AC541" s="454" t="str">
        <f t="shared" si="85"/>
        <v>2</v>
      </c>
    </row>
    <row r="542" spans="1:29" ht="43.5" x14ac:dyDescent="0.35">
      <c r="A542" s="111" t="str">
        <f t="shared" si="77"/>
        <v>Closed</v>
      </c>
      <c r="B542" s="222">
        <v>45550</v>
      </c>
      <c r="C542" s="14">
        <v>2407</v>
      </c>
      <c r="D542" s="14" t="s">
        <v>3591</v>
      </c>
      <c r="E542" s="14" t="s">
        <v>219</v>
      </c>
      <c r="F542" s="14" t="s">
        <v>3592</v>
      </c>
      <c r="G542" s="14" t="s">
        <v>1911</v>
      </c>
      <c r="H542" s="14">
        <v>112</v>
      </c>
      <c r="I542" s="176" t="s">
        <v>140</v>
      </c>
      <c r="J542" s="14">
        <v>8502862</v>
      </c>
      <c r="K542" s="87"/>
      <c r="L542" s="14" t="s">
        <v>3593</v>
      </c>
      <c r="M542" s="324">
        <f t="shared" si="83"/>
        <v>0</v>
      </c>
      <c r="N542" s="14" t="s">
        <v>1879</v>
      </c>
      <c r="O542" s="14" t="s">
        <v>1879</v>
      </c>
      <c r="P542" s="167" t="s">
        <v>143</v>
      </c>
      <c r="Q542" s="14"/>
      <c r="R542" s="170">
        <v>0</v>
      </c>
      <c r="S542" s="108">
        <f t="shared" si="84"/>
        <v>45578</v>
      </c>
      <c r="T542" s="79">
        <v>45550</v>
      </c>
      <c r="U542" s="14"/>
      <c r="V542" s="14"/>
      <c r="W542" s="14"/>
      <c r="X542" s="14"/>
      <c r="Z542" s="14"/>
      <c r="AA542" s="2">
        <f t="shared" ca="1" si="86"/>
        <v>1</v>
      </c>
      <c r="AB542" s="153"/>
      <c r="AC542" s="454" t="str">
        <f t="shared" si="85"/>
        <v>1</v>
      </c>
    </row>
    <row r="543" spans="1:29" ht="101.5" x14ac:dyDescent="0.35">
      <c r="A543" s="111" t="str">
        <f t="shared" si="77"/>
        <v>Closed</v>
      </c>
      <c r="B543" s="222">
        <v>45550</v>
      </c>
      <c r="C543" s="14">
        <v>2407</v>
      </c>
      <c r="D543" s="14" t="s">
        <v>3594</v>
      </c>
      <c r="E543" s="14" t="s">
        <v>219</v>
      </c>
      <c r="F543" s="14" t="s">
        <v>3595</v>
      </c>
      <c r="G543" s="14" t="s">
        <v>3558</v>
      </c>
      <c r="H543" s="14"/>
      <c r="I543" s="176" t="s">
        <v>140</v>
      </c>
      <c r="K543" s="87"/>
      <c r="L543" s="14" t="s">
        <v>3596</v>
      </c>
      <c r="M543" s="324">
        <f t="shared" si="83"/>
        <v>0</v>
      </c>
      <c r="N543" s="14" t="s">
        <v>1879</v>
      </c>
      <c r="O543" s="14" t="s">
        <v>1879</v>
      </c>
      <c r="P543" s="167" t="s">
        <v>143</v>
      </c>
      <c r="Q543" s="14"/>
      <c r="R543" s="170">
        <v>0</v>
      </c>
      <c r="S543" s="108">
        <f t="shared" si="84"/>
        <v>45578</v>
      </c>
      <c r="T543" s="79">
        <v>45550</v>
      </c>
      <c r="U543" s="14"/>
      <c r="V543" s="14"/>
      <c r="W543" s="14"/>
      <c r="X543" s="14"/>
      <c r="Z543" s="14"/>
      <c r="AA543" s="2">
        <f t="shared" ca="1" si="86"/>
        <v>1</v>
      </c>
      <c r="AB543" s="153"/>
      <c r="AC543" s="454" t="str">
        <f t="shared" si="85"/>
        <v/>
      </c>
    </row>
    <row r="544" spans="1:29" ht="58" x14ac:dyDescent="0.35">
      <c r="A544" s="111" t="str">
        <f t="shared" si="77"/>
        <v>Closed</v>
      </c>
      <c r="B544" s="222">
        <v>45551</v>
      </c>
      <c r="C544" s="14">
        <v>2407</v>
      </c>
      <c r="D544" s="14" t="s">
        <v>3597</v>
      </c>
      <c r="E544" s="14" t="s">
        <v>180</v>
      </c>
      <c r="F544" s="14" t="s">
        <v>2052</v>
      </c>
      <c r="G544" s="14" t="s">
        <v>1900</v>
      </c>
      <c r="H544" s="14"/>
      <c r="I544" s="176" t="s">
        <v>140</v>
      </c>
      <c r="J544" s="14">
        <v>8506979</v>
      </c>
      <c r="K544" s="87"/>
      <c r="L544" s="14" t="s">
        <v>3598</v>
      </c>
      <c r="M544" s="324">
        <f t="shared" si="83"/>
        <v>0</v>
      </c>
      <c r="N544" s="14" t="s">
        <v>1879</v>
      </c>
      <c r="O544" s="14" t="s">
        <v>1879</v>
      </c>
      <c r="P544" s="167" t="s">
        <v>143</v>
      </c>
      <c r="Q544" s="14"/>
      <c r="R544" s="170">
        <v>0</v>
      </c>
      <c r="S544" s="108">
        <f t="shared" si="84"/>
        <v>45579</v>
      </c>
      <c r="T544" s="79">
        <v>45551</v>
      </c>
      <c r="U544" s="14"/>
      <c r="V544" s="14"/>
      <c r="W544" s="14"/>
      <c r="X544" s="14"/>
      <c r="Y544" s="14" t="s">
        <v>2054</v>
      </c>
      <c r="Z544" s="14"/>
      <c r="AA544" s="2">
        <f t="shared" ca="1" si="86"/>
        <v>1</v>
      </c>
      <c r="AB544" s="153"/>
      <c r="AC544" s="454" t="str">
        <f t="shared" si="85"/>
        <v/>
      </c>
    </row>
    <row r="545" spans="1:29" x14ac:dyDescent="0.35">
      <c r="A545" s="111" t="str">
        <f t="shared" si="77"/>
        <v>Closed</v>
      </c>
      <c r="B545" s="222">
        <v>45553</v>
      </c>
      <c r="C545" s="14">
        <v>2407</v>
      </c>
      <c r="D545" s="14" t="s">
        <v>3599</v>
      </c>
      <c r="E545" s="14" t="s">
        <v>219</v>
      </c>
      <c r="F545" s="14" t="s">
        <v>2765</v>
      </c>
      <c r="G545" s="14" t="s">
        <v>3558</v>
      </c>
      <c r="H545" s="14">
        <v>207</v>
      </c>
      <c r="I545" s="176" t="s">
        <v>140</v>
      </c>
      <c r="J545" s="14">
        <v>58403</v>
      </c>
      <c r="K545" s="87"/>
      <c r="L545" s="14" t="s">
        <v>3600</v>
      </c>
      <c r="M545" s="324">
        <f t="shared" si="83"/>
        <v>0</v>
      </c>
      <c r="N545" s="14" t="s">
        <v>1879</v>
      </c>
      <c r="O545" s="14" t="s">
        <v>1879</v>
      </c>
      <c r="P545" s="167" t="s">
        <v>143</v>
      </c>
      <c r="Q545" s="14"/>
      <c r="R545" s="170">
        <v>0</v>
      </c>
      <c r="S545" s="108">
        <f t="shared" si="84"/>
        <v>45581</v>
      </c>
      <c r="T545" s="79">
        <v>45553</v>
      </c>
      <c r="U545" s="14"/>
      <c r="V545" s="14"/>
      <c r="W545" s="14"/>
      <c r="X545" s="14"/>
      <c r="Z545" s="14"/>
      <c r="AA545" s="2">
        <f t="shared" ca="1" si="86"/>
        <v>1</v>
      </c>
      <c r="AB545" s="153"/>
      <c r="AC545" s="454" t="str">
        <f t="shared" si="85"/>
        <v>2</v>
      </c>
    </row>
    <row r="546" spans="1:29" ht="43.5" x14ac:dyDescent="0.35">
      <c r="A546" s="89" t="str">
        <f t="shared" si="77"/>
        <v>Closed</v>
      </c>
      <c r="B546" s="222">
        <v>45553</v>
      </c>
      <c r="C546" s="14">
        <v>2407</v>
      </c>
      <c r="D546" s="14" t="s">
        <v>3601</v>
      </c>
      <c r="E546" s="14" t="s">
        <v>31</v>
      </c>
      <c r="F546" s="14" t="s">
        <v>2187</v>
      </c>
      <c r="G546" s="14" t="s">
        <v>1911</v>
      </c>
      <c r="H546" s="14">
        <v>206</v>
      </c>
      <c r="I546" s="176" t="s">
        <v>140</v>
      </c>
      <c r="J546" s="14">
        <v>58403</v>
      </c>
      <c r="K546" s="87"/>
      <c r="L546" s="14" t="s">
        <v>3602</v>
      </c>
      <c r="M546" s="324">
        <f t="shared" si="83"/>
        <v>0</v>
      </c>
      <c r="N546" s="14" t="s">
        <v>1879</v>
      </c>
      <c r="O546" s="14" t="s">
        <v>1879</v>
      </c>
      <c r="P546" s="167" t="s">
        <v>143</v>
      </c>
      <c r="Q546" s="14"/>
      <c r="R546" s="223">
        <v>0</v>
      </c>
      <c r="S546" s="224">
        <f t="shared" si="84"/>
        <v>45581</v>
      </c>
      <c r="T546" s="79">
        <v>45902</v>
      </c>
      <c r="U546" s="14"/>
      <c r="V546" s="14"/>
      <c r="W546" s="14"/>
      <c r="X546" s="14"/>
      <c r="Y546" s="14" t="s">
        <v>2023</v>
      </c>
      <c r="Z546" s="14" t="s">
        <v>3603</v>
      </c>
      <c r="AA546" s="2">
        <f t="shared" ca="1" si="86"/>
        <v>1</v>
      </c>
      <c r="AB546" s="153"/>
      <c r="AC546" s="454" t="str">
        <f t="shared" si="85"/>
        <v>2</v>
      </c>
    </row>
    <row r="547" spans="1:29" ht="29" x14ac:dyDescent="0.45">
      <c r="A547" s="111" t="str">
        <f t="shared" si="77"/>
        <v>Closed</v>
      </c>
      <c r="B547" s="222">
        <v>45553</v>
      </c>
      <c r="C547" s="14">
        <v>2407</v>
      </c>
      <c r="D547" s="14" t="s">
        <v>3604</v>
      </c>
      <c r="E547" s="14" t="s">
        <v>192</v>
      </c>
      <c r="F547" s="14" t="s">
        <v>2338</v>
      </c>
      <c r="G547" s="14" t="s">
        <v>3558</v>
      </c>
      <c r="H547" s="14">
        <v>125</v>
      </c>
      <c r="I547" s="176" t="s">
        <v>140</v>
      </c>
      <c r="J547" s="14">
        <v>70450</v>
      </c>
      <c r="K547" s="87"/>
      <c r="L547" s="14" t="s">
        <v>3605</v>
      </c>
      <c r="M547" s="324">
        <f t="shared" si="83"/>
        <v>0</v>
      </c>
      <c r="N547" s="14" t="s">
        <v>1879</v>
      </c>
      <c r="O547" s="14" t="s">
        <v>1879</v>
      </c>
      <c r="P547" s="167" t="s">
        <v>143</v>
      </c>
      <c r="Q547" s="14"/>
      <c r="R547" s="170">
        <v>0</v>
      </c>
      <c r="S547" s="108">
        <f t="shared" si="84"/>
        <v>45581</v>
      </c>
      <c r="T547" s="79">
        <v>45553</v>
      </c>
      <c r="U547" s="14"/>
      <c r="V547" s="14"/>
      <c r="W547" s="14"/>
      <c r="X547" s="14"/>
      <c r="Y547" s="463" t="s">
        <v>2340</v>
      </c>
      <c r="Z547" s="14"/>
      <c r="AA547" s="2">
        <f t="shared" ca="1" si="86"/>
        <v>1</v>
      </c>
      <c r="AB547" s="153"/>
      <c r="AC547" s="454" t="str">
        <f t="shared" si="85"/>
        <v>1</v>
      </c>
    </row>
    <row r="548" spans="1:29" ht="29" x14ac:dyDescent="0.35">
      <c r="A548" s="111" t="str">
        <f t="shared" si="77"/>
        <v>Closed</v>
      </c>
      <c r="B548" s="222">
        <v>45554</v>
      </c>
      <c r="C548" s="14">
        <v>2407</v>
      </c>
      <c r="D548" s="14" t="s">
        <v>3606</v>
      </c>
      <c r="E548" s="14" t="s">
        <v>219</v>
      </c>
      <c r="F548" s="14" t="s">
        <v>2765</v>
      </c>
      <c r="G548" s="14" t="s">
        <v>3558</v>
      </c>
      <c r="H548" s="14">
        <v>202</v>
      </c>
      <c r="I548" s="176" t="s">
        <v>140</v>
      </c>
      <c r="J548" s="14">
        <v>54567</v>
      </c>
      <c r="K548" s="87"/>
      <c r="L548" s="14" t="s">
        <v>3607</v>
      </c>
      <c r="M548" s="324">
        <f t="shared" si="83"/>
        <v>0</v>
      </c>
      <c r="N548" s="14" t="s">
        <v>1879</v>
      </c>
      <c r="O548" s="14" t="s">
        <v>1879</v>
      </c>
      <c r="P548" s="167" t="s">
        <v>143</v>
      </c>
      <c r="Q548" s="14"/>
      <c r="R548" s="170">
        <v>0</v>
      </c>
      <c r="S548" s="108">
        <f t="shared" si="84"/>
        <v>45582</v>
      </c>
      <c r="T548" s="79">
        <v>45554</v>
      </c>
      <c r="U548" s="14"/>
      <c r="V548" s="14"/>
      <c r="W548" s="14"/>
      <c r="X548" s="14"/>
      <c r="Z548" s="14"/>
      <c r="AA548" s="2">
        <f t="shared" ca="1" si="86"/>
        <v>1</v>
      </c>
      <c r="AB548" s="153"/>
      <c r="AC548" s="454" t="str">
        <f t="shared" si="85"/>
        <v>2</v>
      </c>
    </row>
    <row r="549" spans="1:29" ht="58" x14ac:dyDescent="0.35">
      <c r="A549" s="111" t="str">
        <f t="shared" si="77"/>
        <v>Closed</v>
      </c>
      <c r="B549" s="222">
        <v>45556</v>
      </c>
      <c r="C549" s="14">
        <v>2407</v>
      </c>
      <c r="D549" s="14" t="s">
        <v>3608</v>
      </c>
      <c r="E549" s="14" t="s">
        <v>42</v>
      </c>
      <c r="F549" s="14" t="s">
        <v>2052</v>
      </c>
      <c r="G549" s="14" t="s">
        <v>1911</v>
      </c>
      <c r="H549" s="14">
        <v>117</v>
      </c>
      <c r="I549" s="176" t="s">
        <v>140</v>
      </c>
      <c r="J549" s="14">
        <v>62018</v>
      </c>
      <c r="K549" s="87" t="s">
        <v>137</v>
      </c>
      <c r="L549" s="14" t="s">
        <v>3609</v>
      </c>
      <c r="M549" s="324">
        <v>0</v>
      </c>
      <c r="N549" s="14" t="s">
        <v>1879</v>
      </c>
      <c r="O549" s="14" t="s">
        <v>1879</v>
      </c>
      <c r="P549" s="167" t="s">
        <v>143</v>
      </c>
      <c r="Q549" s="112"/>
      <c r="R549" s="170">
        <v>0</v>
      </c>
      <c r="S549" s="108">
        <f t="shared" si="84"/>
        <v>45584</v>
      </c>
      <c r="T549" s="79">
        <v>45556</v>
      </c>
      <c r="U549" s="14"/>
      <c r="V549" s="14"/>
      <c r="W549" s="14"/>
      <c r="X549" s="14"/>
      <c r="Y549" s="85"/>
      <c r="Z549" s="14"/>
      <c r="AA549" s="2">
        <f t="shared" ca="1" si="86"/>
        <v>1</v>
      </c>
      <c r="AB549" s="153"/>
      <c r="AC549" s="454" t="str">
        <f t="shared" si="85"/>
        <v>1</v>
      </c>
    </row>
    <row r="550" spans="1:29" ht="29" x14ac:dyDescent="0.35">
      <c r="A550" s="111" t="str">
        <f t="shared" ref="A550:A613" si="87">IF(T550&gt;1,"Closed",IF(AA550=1,"Overdue",IF(AA550=3,"","Open")))</f>
        <v>Closed</v>
      </c>
      <c r="B550" s="222">
        <v>45556</v>
      </c>
      <c r="C550" s="14">
        <v>2407</v>
      </c>
      <c r="D550" s="14" t="s">
        <v>1102</v>
      </c>
      <c r="E550" s="14" t="s">
        <v>42</v>
      </c>
      <c r="F550" s="14" t="s">
        <v>1910</v>
      </c>
      <c r="G550" s="14" t="s">
        <v>1911</v>
      </c>
      <c r="H550" s="14">
        <v>117</v>
      </c>
      <c r="I550" s="176" t="s">
        <v>4</v>
      </c>
      <c r="J550" s="14">
        <v>7712</v>
      </c>
      <c r="K550" s="14" t="s">
        <v>137</v>
      </c>
      <c r="L550" s="14" t="s">
        <v>3610</v>
      </c>
      <c r="M550" s="324">
        <v>0</v>
      </c>
      <c r="N550" s="14" t="s">
        <v>1879</v>
      </c>
      <c r="O550" s="14" t="s">
        <v>1880</v>
      </c>
      <c r="P550" s="167" t="s">
        <v>139</v>
      </c>
      <c r="Q550" s="112" t="s">
        <v>138</v>
      </c>
      <c r="R550" s="170" t="s">
        <v>234</v>
      </c>
      <c r="S550" s="108">
        <f t="shared" si="84"/>
        <v>45584</v>
      </c>
      <c r="T550" s="79">
        <v>45565</v>
      </c>
      <c r="U550" s="14" t="s">
        <v>3611</v>
      </c>
      <c r="V550" s="14" t="s">
        <v>3612</v>
      </c>
      <c r="W550" s="14" t="s">
        <v>1879</v>
      </c>
      <c r="X550" s="176" t="s">
        <v>1880</v>
      </c>
      <c r="Y550" s="15" t="s">
        <v>1915</v>
      </c>
      <c r="Z550" s="87" t="s">
        <v>3326</v>
      </c>
      <c r="AA550" s="2">
        <f t="shared" ca="1" si="86"/>
        <v>1</v>
      </c>
      <c r="AB550" s="153"/>
      <c r="AC550" s="454" t="str">
        <f t="shared" si="85"/>
        <v>1</v>
      </c>
    </row>
    <row r="551" spans="1:29" ht="43.5" x14ac:dyDescent="0.35">
      <c r="A551" s="111" t="str">
        <f t="shared" si="87"/>
        <v>Closed</v>
      </c>
      <c r="B551" s="222">
        <v>45556</v>
      </c>
      <c r="C551" s="14">
        <v>2407</v>
      </c>
      <c r="D551" s="14" t="s">
        <v>3613</v>
      </c>
      <c r="E551" s="14" t="s">
        <v>192</v>
      </c>
      <c r="F551" s="14" t="s">
        <v>2048</v>
      </c>
      <c r="G551" s="14" t="s">
        <v>1911</v>
      </c>
      <c r="H551" s="14">
        <v>106</v>
      </c>
      <c r="I551" s="176" t="s">
        <v>140</v>
      </c>
      <c r="J551" s="14">
        <v>70450</v>
      </c>
      <c r="K551" s="87"/>
      <c r="L551" s="14" t="s">
        <v>3614</v>
      </c>
      <c r="M551" s="324">
        <f>IF(I551="Staff Accident","Entry Required",IF(I551="Assaults","Entry Required",0))</f>
        <v>0</v>
      </c>
      <c r="N551" s="14" t="s">
        <v>1879</v>
      </c>
      <c r="O551" s="14" t="s">
        <v>1879</v>
      </c>
      <c r="P551" s="167" t="s">
        <v>143</v>
      </c>
      <c r="Q551" s="112"/>
      <c r="R551" s="170">
        <v>0</v>
      </c>
      <c r="S551" s="108">
        <f t="shared" si="84"/>
        <v>45584</v>
      </c>
      <c r="T551" s="79">
        <v>45556</v>
      </c>
      <c r="U551" s="14"/>
      <c r="V551" s="14"/>
      <c r="W551" s="14"/>
      <c r="X551" s="14"/>
      <c r="Y551" s="167" t="s">
        <v>2050</v>
      </c>
      <c r="Z551" s="14"/>
      <c r="AA551" s="2">
        <f t="shared" ca="1" si="86"/>
        <v>1</v>
      </c>
      <c r="AB551" s="153"/>
      <c r="AC551" s="454" t="str">
        <f t="shared" si="85"/>
        <v>1</v>
      </c>
    </row>
    <row r="552" spans="1:29" ht="101.5" x14ac:dyDescent="0.35">
      <c r="A552" s="111" t="str">
        <f t="shared" si="87"/>
        <v>Closed</v>
      </c>
      <c r="B552" s="222">
        <v>45558</v>
      </c>
      <c r="C552" s="14">
        <v>2407</v>
      </c>
      <c r="D552" s="14" t="s">
        <v>1106</v>
      </c>
      <c r="E552" s="30" t="s">
        <v>42</v>
      </c>
      <c r="F552" s="167" t="s">
        <v>3086</v>
      </c>
      <c r="G552" s="14" t="s">
        <v>1911</v>
      </c>
      <c r="H552" s="14">
        <v>113</v>
      </c>
      <c r="I552" s="176" t="s">
        <v>4</v>
      </c>
      <c r="J552" s="14">
        <v>8506434</v>
      </c>
      <c r="K552" s="14" t="s">
        <v>137</v>
      </c>
      <c r="L552" s="14" t="s">
        <v>3615</v>
      </c>
      <c r="M552" s="324">
        <v>0</v>
      </c>
      <c r="N552" s="14" t="s">
        <v>1879</v>
      </c>
      <c r="O552" s="14" t="s">
        <v>1879</v>
      </c>
      <c r="P552" s="167" t="s">
        <v>139</v>
      </c>
      <c r="Q552" s="112" t="s">
        <v>138</v>
      </c>
      <c r="R552" s="170" t="s">
        <v>234</v>
      </c>
      <c r="S552" s="108">
        <f t="shared" si="84"/>
        <v>45586</v>
      </c>
      <c r="T552" s="79">
        <v>45565</v>
      </c>
      <c r="U552" s="14" t="s">
        <v>3616</v>
      </c>
      <c r="V552" s="14" t="s">
        <v>3617</v>
      </c>
      <c r="W552" s="14" t="s">
        <v>1879</v>
      </c>
      <c r="X552" s="14" t="s">
        <v>1880</v>
      </c>
      <c r="Y552" s="167" t="s">
        <v>3088</v>
      </c>
      <c r="Z552" s="14" t="s">
        <v>3326</v>
      </c>
      <c r="AA552" s="2">
        <f t="shared" ca="1" si="86"/>
        <v>1</v>
      </c>
      <c r="AB552" s="153"/>
      <c r="AC552" s="454" t="str">
        <f t="shared" si="85"/>
        <v>1</v>
      </c>
    </row>
    <row r="553" spans="1:29" ht="58" x14ac:dyDescent="0.35">
      <c r="A553" s="111" t="str">
        <f t="shared" si="87"/>
        <v>Closed</v>
      </c>
      <c r="B553" s="222">
        <v>45558</v>
      </c>
      <c r="C553" s="14">
        <v>2407</v>
      </c>
      <c r="D553" s="14" t="s">
        <v>3618</v>
      </c>
      <c r="E553" s="14" t="s">
        <v>180</v>
      </c>
      <c r="F553" s="14" t="s">
        <v>2280</v>
      </c>
      <c r="G553" s="14" t="s">
        <v>1911</v>
      </c>
      <c r="H553" s="14"/>
      <c r="I553" s="176" t="s">
        <v>140</v>
      </c>
      <c r="K553" s="87"/>
      <c r="L553" s="14" t="s">
        <v>3619</v>
      </c>
      <c r="M553" s="324">
        <f>IF(I553="Staff Accident","Entry Required",IF(I553="Assaults","Entry Required",0))</f>
        <v>0</v>
      </c>
      <c r="N553" s="14" t="s">
        <v>1879</v>
      </c>
      <c r="O553" s="14" t="s">
        <v>1879</v>
      </c>
      <c r="P553" s="167" t="s">
        <v>143</v>
      </c>
      <c r="Q553" s="14"/>
      <c r="R553" s="170">
        <v>0</v>
      </c>
      <c r="S553" s="108">
        <f t="shared" si="84"/>
        <v>45586</v>
      </c>
      <c r="T553" s="79">
        <v>45558</v>
      </c>
      <c r="U553" s="14"/>
      <c r="V553" s="14"/>
      <c r="W553" s="14"/>
      <c r="X553" s="14"/>
      <c r="Z553" s="14"/>
      <c r="AA553" s="2">
        <f t="shared" ca="1" si="86"/>
        <v>1</v>
      </c>
      <c r="AB553" s="153"/>
      <c r="AC553" s="454" t="str">
        <f t="shared" si="85"/>
        <v/>
      </c>
    </row>
    <row r="554" spans="1:29" ht="43.5" x14ac:dyDescent="0.35">
      <c r="A554" s="111" t="str">
        <f t="shared" si="87"/>
        <v>Closed</v>
      </c>
      <c r="B554" s="222">
        <v>45558</v>
      </c>
      <c r="C554" s="14">
        <v>2407</v>
      </c>
      <c r="D554" s="14" t="s">
        <v>3620</v>
      </c>
      <c r="E554" s="14" t="s">
        <v>219</v>
      </c>
      <c r="F554" s="14" t="s">
        <v>2573</v>
      </c>
      <c r="G554" s="14" t="s">
        <v>1911</v>
      </c>
      <c r="H554" s="14">
        <v>201</v>
      </c>
      <c r="I554" s="176" t="s">
        <v>140</v>
      </c>
      <c r="J554" s="14">
        <v>75341</v>
      </c>
      <c r="K554" s="87"/>
      <c r="L554" s="14" t="s">
        <v>3621</v>
      </c>
      <c r="M554" s="324">
        <f>IF(I554="Staff Accident","Entry Required",IF(I554="Assaults","Entry Required",0))</f>
        <v>0</v>
      </c>
      <c r="N554" s="14" t="s">
        <v>1879</v>
      </c>
      <c r="O554" s="14" t="s">
        <v>1879</v>
      </c>
      <c r="P554" s="167" t="s">
        <v>143</v>
      </c>
      <c r="Q554" s="14"/>
      <c r="R554" s="170">
        <v>0</v>
      </c>
      <c r="S554" s="108">
        <f t="shared" si="84"/>
        <v>45586</v>
      </c>
      <c r="T554" s="79">
        <v>45558</v>
      </c>
      <c r="U554" s="14"/>
      <c r="V554" s="14"/>
      <c r="W554" s="14"/>
      <c r="X554" s="14"/>
      <c r="Z554" s="14"/>
      <c r="AA554" s="2">
        <f t="shared" ca="1" si="86"/>
        <v>1</v>
      </c>
      <c r="AB554" s="153"/>
      <c r="AC554" s="454" t="str">
        <f t="shared" si="85"/>
        <v>2</v>
      </c>
    </row>
    <row r="555" spans="1:29" ht="159.5" x14ac:dyDescent="0.35">
      <c r="A555" s="111" t="str">
        <f t="shared" si="87"/>
        <v>Closed</v>
      </c>
      <c r="B555" s="222">
        <v>45559</v>
      </c>
      <c r="C555" s="14">
        <v>2407</v>
      </c>
      <c r="D555" s="14" t="s">
        <v>3622</v>
      </c>
      <c r="E555" s="14" t="s">
        <v>40</v>
      </c>
      <c r="F555" s="14" t="s">
        <v>2056</v>
      </c>
      <c r="G555" s="14" t="s">
        <v>1911</v>
      </c>
      <c r="H555" s="14">
        <v>102</v>
      </c>
      <c r="I555" s="176" t="s">
        <v>4</v>
      </c>
      <c r="J555" s="14">
        <v>1349</v>
      </c>
      <c r="K555" s="14" t="s">
        <v>137</v>
      </c>
      <c r="L555" s="14" t="s">
        <v>3623</v>
      </c>
      <c r="M555" s="324">
        <v>0</v>
      </c>
      <c r="N555" s="14" t="s">
        <v>1879</v>
      </c>
      <c r="O555" s="14" t="s">
        <v>1880</v>
      </c>
      <c r="P555" s="167" t="s">
        <v>139</v>
      </c>
      <c r="Q555" s="14" t="s">
        <v>157</v>
      </c>
      <c r="R555" s="170" t="s">
        <v>234</v>
      </c>
      <c r="S555" s="108">
        <f t="shared" si="84"/>
        <v>45587</v>
      </c>
      <c r="T555" s="79">
        <v>45573</v>
      </c>
      <c r="U555" s="14" t="s">
        <v>2149</v>
      </c>
      <c r="V555" s="14" t="s">
        <v>2149</v>
      </c>
      <c r="W555" s="14" t="s">
        <v>1880</v>
      </c>
      <c r="X555" s="14" t="s">
        <v>1883</v>
      </c>
      <c r="Y555" s="167" t="s">
        <v>2058</v>
      </c>
      <c r="Z555" s="14" t="s">
        <v>3624</v>
      </c>
      <c r="AA555" s="2">
        <f t="shared" ca="1" si="86"/>
        <v>1</v>
      </c>
      <c r="AB555" s="153"/>
      <c r="AC555" s="454" t="str">
        <f t="shared" si="85"/>
        <v>1</v>
      </c>
    </row>
    <row r="556" spans="1:29" ht="101.5" x14ac:dyDescent="0.35">
      <c r="A556" s="111" t="str">
        <f t="shared" si="87"/>
        <v>Closed</v>
      </c>
      <c r="B556" s="222">
        <v>45559</v>
      </c>
      <c r="C556" s="14">
        <v>2407</v>
      </c>
      <c r="D556" s="14" t="s">
        <v>3625</v>
      </c>
      <c r="E556" s="14" t="s">
        <v>27</v>
      </c>
      <c r="F556" s="14" t="s">
        <v>2299</v>
      </c>
      <c r="G556" s="14"/>
      <c r="H556" s="14">
        <v>110</v>
      </c>
      <c r="I556" s="176" t="s">
        <v>5</v>
      </c>
      <c r="J556" s="14">
        <v>1048</v>
      </c>
      <c r="K556" s="87"/>
      <c r="L556" s="14" t="s">
        <v>3626</v>
      </c>
      <c r="M556" s="324">
        <f t="shared" ref="M556:M561" si="88">IF(I556="Staff Accident","Entry Required",IF(I556="Assaults","Entry Required",0))</f>
        <v>0</v>
      </c>
      <c r="N556" s="14" t="s">
        <v>1879</v>
      </c>
      <c r="O556" s="14" t="s">
        <v>1880</v>
      </c>
      <c r="P556" s="167" t="s">
        <v>147</v>
      </c>
      <c r="Q556" s="14" t="s">
        <v>157</v>
      </c>
      <c r="R556" s="170" t="s">
        <v>234</v>
      </c>
      <c r="S556" s="108">
        <f t="shared" si="84"/>
        <v>45587</v>
      </c>
      <c r="T556" s="79">
        <v>45562</v>
      </c>
      <c r="U556" s="14" t="s">
        <v>2149</v>
      </c>
      <c r="V556" s="14" t="s">
        <v>2422</v>
      </c>
      <c r="W556" s="14" t="s">
        <v>1879</v>
      </c>
      <c r="X556" s="14" t="s">
        <v>1883</v>
      </c>
      <c r="Y556" s="14" t="s">
        <v>2302</v>
      </c>
      <c r="Z556" s="14" t="s">
        <v>3627</v>
      </c>
      <c r="AA556" s="2">
        <f t="shared" ca="1" si="86"/>
        <v>1</v>
      </c>
      <c r="AB556" s="153"/>
      <c r="AC556" s="454" t="str">
        <f t="shared" si="85"/>
        <v>1</v>
      </c>
    </row>
    <row r="557" spans="1:29" ht="58" x14ac:dyDescent="0.45">
      <c r="A557" s="111" t="str">
        <f t="shared" si="87"/>
        <v>Closed</v>
      </c>
      <c r="B557" s="222">
        <v>45559</v>
      </c>
      <c r="C557" s="14">
        <v>2407</v>
      </c>
      <c r="D557" s="14" t="s">
        <v>3628</v>
      </c>
      <c r="E557" s="14" t="s">
        <v>192</v>
      </c>
      <c r="F557" s="14" t="s">
        <v>2338</v>
      </c>
      <c r="G557" s="14" t="s">
        <v>3558</v>
      </c>
      <c r="H557" s="14">
        <v>203</v>
      </c>
      <c r="I557" s="176" t="s">
        <v>140</v>
      </c>
      <c r="J557" s="14">
        <v>1205</v>
      </c>
      <c r="K557" s="87"/>
      <c r="L557" s="14" t="s">
        <v>3629</v>
      </c>
      <c r="M557" s="324">
        <f t="shared" si="88"/>
        <v>0</v>
      </c>
      <c r="N557" s="14" t="s">
        <v>1879</v>
      </c>
      <c r="O557" s="14" t="s">
        <v>1879</v>
      </c>
      <c r="P557" s="167" t="s">
        <v>143</v>
      </c>
      <c r="Q557" s="14"/>
      <c r="R557" s="170">
        <v>0</v>
      </c>
      <c r="S557" s="108">
        <f t="shared" si="84"/>
        <v>45587</v>
      </c>
      <c r="T557" s="79">
        <v>45559</v>
      </c>
      <c r="U557" s="14"/>
      <c r="V557" s="14"/>
      <c r="W557" s="14"/>
      <c r="X557" s="14"/>
      <c r="Y557" s="463" t="s">
        <v>2340</v>
      </c>
      <c r="Z557" s="14"/>
      <c r="AA557" s="2">
        <f t="shared" ca="1" si="86"/>
        <v>1</v>
      </c>
      <c r="AB557" s="153"/>
      <c r="AC557" s="454" t="str">
        <f t="shared" si="85"/>
        <v>2</v>
      </c>
    </row>
    <row r="558" spans="1:29" ht="29" x14ac:dyDescent="0.45">
      <c r="A558" s="111" t="str">
        <f t="shared" si="87"/>
        <v>Closed</v>
      </c>
      <c r="B558" s="222">
        <v>45560</v>
      </c>
      <c r="C558" s="14">
        <v>2407</v>
      </c>
      <c r="D558" s="14" t="s">
        <v>3630</v>
      </c>
      <c r="E558" s="14" t="s">
        <v>219</v>
      </c>
      <c r="F558" s="14" t="s">
        <v>2338</v>
      </c>
      <c r="G558" s="14" t="s">
        <v>3558</v>
      </c>
      <c r="H558" s="14">
        <v>102</v>
      </c>
      <c r="I558" s="176" t="s">
        <v>140</v>
      </c>
      <c r="K558" s="87"/>
      <c r="L558" s="14" t="s">
        <v>3631</v>
      </c>
      <c r="M558" s="324">
        <f t="shared" si="88"/>
        <v>0</v>
      </c>
      <c r="N558" s="14" t="s">
        <v>1879</v>
      </c>
      <c r="O558" s="14" t="s">
        <v>1879</v>
      </c>
      <c r="P558" s="167" t="s">
        <v>143</v>
      </c>
      <c r="Q558" s="14"/>
      <c r="R558" s="170">
        <v>0</v>
      </c>
      <c r="S558" s="108">
        <f t="shared" si="84"/>
        <v>45588</v>
      </c>
      <c r="T558" s="79">
        <v>45560</v>
      </c>
      <c r="U558" s="14"/>
      <c r="V558" s="14"/>
      <c r="W558" s="14"/>
      <c r="X558" s="14"/>
      <c r="Y558" s="463" t="s">
        <v>2340</v>
      </c>
      <c r="Z558" s="14"/>
      <c r="AA558" s="2">
        <f t="shared" ca="1" si="86"/>
        <v>1</v>
      </c>
      <c r="AB558" s="153"/>
      <c r="AC558" s="454" t="str">
        <f t="shared" si="85"/>
        <v>1</v>
      </c>
    </row>
    <row r="559" spans="1:29" ht="72.5" x14ac:dyDescent="0.35">
      <c r="A559" s="111" t="str">
        <f t="shared" si="87"/>
        <v>Closed</v>
      </c>
      <c r="B559" s="222">
        <v>45561</v>
      </c>
      <c r="C559" s="14">
        <v>2407</v>
      </c>
      <c r="D559" s="14" t="s">
        <v>3632</v>
      </c>
      <c r="E559" s="14" t="s">
        <v>78</v>
      </c>
      <c r="F559" s="14" t="s">
        <v>3633</v>
      </c>
      <c r="G559" s="14"/>
      <c r="H559" s="14">
        <v>118</v>
      </c>
      <c r="I559" s="176" t="s">
        <v>155</v>
      </c>
      <c r="J559" s="14">
        <v>1023</v>
      </c>
      <c r="K559" s="87"/>
      <c r="L559" s="14" t="s">
        <v>3634</v>
      </c>
      <c r="M559" s="324">
        <f t="shared" si="88"/>
        <v>0</v>
      </c>
      <c r="N559" s="14" t="s">
        <v>2034</v>
      </c>
      <c r="O559" s="14" t="s">
        <v>1880</v>
      </c>
      <c r="P559" s="167" t="s">
        <v>147</v>
      </c>
      <c r="Q559" s="14" t="s">
        <v>175</v>
      </c>
      <c r="R559" s="170" t="s">
        <v>234</v>
      </c>
      <c r="S559" s="108">
        <f t="shared" si="84"/>
        <v>45589</v>
      </c>
      <c r="T559" s="79">
        <v>45566</v>
      </c>
      <c r="U559" s="14" t="s">
        <v>3635</v>
      </c>
      <c r="V559" s="14" t="s">
        <v>2850</v>
      </c>
      <c r="W559" s="14" t="s">
        <v>1879</v>
      </c>
      <c r="X559" s="14" t="s">
        <v>154</v>
      </c>
      <c r="Y559" s="167" t="s">
        <v>2050</v>
      </c>
      <c r="Z559" s="14" t="s">
        <v>3636</v>
      </c>
      <c r="AA559" s="2">
        <f t="shared" ca="1" si="86"/>
        <v>1</v>
      </c>
      <c r="AB559" s="153"/>
      <c r="AC559" s="454" t="str">
        <f t="shared" si="85"/>
        <v>1</v>
      </c>
    </row>
    <row r="560" spans="1:29" ht="58" x14ac:dyDescent="0.35">
      <c r="A560" s="89" t="str">
        <f t="shared" si="87"/>
        <v>Closed</v>
      </c>
      <c r="B560" s="222">
        <v>45562</v>
      </c>
      <c r="C560" s="14">
        <v>2407</v>
      </c>
      <c r="D560" s="14" t="s">
        <v>1565</v>
      </c>
      <c r="E560" s="14" t="s">
        <v>31</v>
      </c>
      <c r="F560" s="14" t="s">
        <v>3637</v>
      </c>
      <c r="G560" s="14" t="s">
        <v>1911</v>
      </c>
      <c r="H560" s="14"/>
      <c r="I560" s="176" t="s">
        <v>155</v>
      </c>
      <c r="J560" s="14">
        <v>1018</v>
      </c>
      <c r="K560" s="87"/>
      <c r="L560" s="14" t="s">
        <v>3638</v>
      </c>
      <c r="M560" s="324">
        <f t="shared" si="88"/>
        <v>0</v>
      </c>
      <c r="N560" s="14" t="s">
        <v>2034</v>
      </c>
      <c r="O560" s="14" t="s">
        <v>1880</v>
      </c>
      <c r="P560" s="167" t="s">
        <v>147</v>
      </c>
      <c r="Q560" s="14" t="s">
        <v>174</v>
      </c>
      <c r="R560" s="223" t="s">
        <v>234</v>
      </c>
      <c r="S560" s="224">
        <f t="shared" si="84"/>
        <v>45590</v>
      </c>
      <c r="T560" s="79">
        <v>45616</v>
      </c>
      <c r="U560" s="14" t="s">
        <v>2102</v>
      </c>
      <c r="V560" s="14" t="s">
        <v>3639</v>
      </c>
      <c r="W560" s="14" t="s">
        <v>1880</v>
      </c>
      <c r="X560" s="14" t="s">
        <v>3640</v>
      </c>
      <c r="Z560" s="14" t="s">
        <v>3641</v>
      </c>
      <c r="AA560" s="2">
        <f t="shared" ca="1" si="86"/>
        <v>1</v>
      </c>
      <c r="AB560" s="153"/>
      <c r="AC560" s="454" t="str">
        <f t="shared" si="85"/>
        <v/>
      </c>
    </row>
    <row r="561" spans="1:29" ht="101.5" x14ac:dyDescent="0.35">
      <c r="A561" s="111" t="str">
        <f t="shared" si="87"/>
        <v>Closed</v>
      </c>
      <c r="B561" s="222">
        <v>45562</v>
      </c>
      <c r="C561" s="14">
        <v>2407</v>
      </c>
      <c r="D561" s="14" t="s">
        <v>3642</v>
      </c>
      <c r="E561" s="14" t="s">
        <v>31</v>
      </c>
      <c r="F561" s="14" t="s">
        <v>3637</v>
      </c>
      <c r="G561" s="14" t="s">
        <v>1911</v>
      </c>
      <c r="H561" s="14"/>
      <c r="I561" s="176" t="s">
        <v>155</v>
      </c>
      <c r="J561" s="14">
        <v>1223</v>
      </c>
      <c r="K561" s="87"/>
      <c r="L561" s="14" t="s">
        <v>3643</v>
      </c>
      <c r="M561" s="324">
        <f t="shared" si="88"/>
        <v>0</v>
      </c>
      <c r="N561" s="14" t="s">
        <v>2034</v>
      </c>
      <c r="O561" s="14" t="s">
        <v>1879</v>
      </c>
      <c r="P561" s="167" t="s">
        <v>147</v>
      </c>
      <c r="Q561" s="112" t="s">
        <v>168</v>
      </c>
      <c r="R561" s="170" t="s">
        <v>234</v>
      </c>
      <c r="S561" s="108">
        <f t="shared" si="84"/>
        <v>45590</v>
      </c>
      <c r="T561" s="79">
        <v>45565</v>
      </c>
      <c r="U561" s="14"/>
      <c r="V561" s="14"/>
      <c r="W561" s="14"/>
      <c r="X561" s="14"/>
      <c r="Y561" s="85"/>
      <c r="Z561" s="14" t="s">
        <v>3644</v>
      </c>
      <c r="AA561" s="2">
        <f t="shared" ca="1" si="86"/>
        <v>1</v>
      </c>
      <c r="AB561" s="153"/>
      <c r="AC561" s="454" t="str">
        <f t="shared" si="85"/>
        <v/>
      </c>
    </row>
    <row r="562" spans="1:29" ht="43.5" x14ac:dyDescent="0.35">
      <c r="A562" s="111" t="str">
        <f t="shared" si="87"/>
        <v>Closed</v>
      </c>
      <c r="B562" s="222">
        <v>45562</v>
      </c>
      <c r="C562" s="14">
        <v>2407</v>
      </c>
      <c r="D562" s="14" t="s">
        <v>3645</v>
      </c>
      <c r="E562" s="14" t="s">
        <v>41</v>
      </c>
      <c r="F562" s="14" t="s">
        <v>1910</v>
      </c>
      <c r="G562" s="14" t="s">
        <v>1911</v>
      </c>
      <c r="H562" s="14">
        <v>202</v>
      </c>
      <c r="I562" s="176" t="s">
        <v>140</v>
      </c>
      <c r="J562" s="14">
        <v>1277</v>
      </c>
      <c r="K562" s="87"/>
      <c r="L562" s="14" t="s">
        <v>3646</v>
      </c>
      <c r="M562" s="324">
        <v>0</v>
      </c>
      <c r="N562" s="14" t="s">
        <v>2034</v>
      </c>
      <c r="O562" s="14" t="s">
        <v>1880</v>
      </c>
      <c r="P562" s="167" t="s">
        <v>143</v>
      </c>
      <c r="Q562" s="112"/>
      <c r="R562" s="170">
        <v>0</v>
      </c>
      <c r="S562" s="108">
        <f t="shared" si="84"/>
        <v>45590</v>
      </c>
      <c r="T562" s="79">
        <v>45562</v>
      </c>
      <c r="U562" s="14"/>
      <c r="V562" s="14"/>
      <c r="W562" s="14"/>
      <c r="X562" s="176"/>
      <c r="Y562" s="15" t="s">
        <v>1915</v>
      </c>
      <c r="Z562" s="87"/>
      <c r="AA562" s="2">
        <f t="shared" ca="1" si="86"/>
        <v>1</v>
      </c>
      <c r="AB562" s="153"/>
      <c r="AC562" s="454" t="str">
        <f t="shared" si="85"/>
        <v>2</v>
      </c>
    </row>
    <row r="563" spans="1:29" ht="29" x14ac:dyDescent="0.35">
      <c r="A563" s="111" t="str">
        <f t="shared" si="87"/>
        <v>Closed</v>
      </c>
      <c r="B563" s="222">
        <v>45562</v>
      </c>
      <c r="C563" s="14">
        <v>2407</v>
      </c>
      <c r="D563" s="14" t="s">
        <v>3647</v>
      </c>
      <c r="E563" s="14" t="s">
        <v>219</v>
      </c>
      <c r="F563" s="14" t="s">
        <v>1921</v>
      </c>
      <c r="G563" s="14" t="s">
        <v>3558</v>
      </c>
      <c r="H563" s="14">
        <v>202</v>
      </c>
      <c r="I563" s="176" t="s">
        <v>140</v>
      </c>
      <c r="J563" s="14">
        <v>1263</v>
      </c>
      <c r="K563" s="87"/>
      <c r="L563" s="14" t="s">
        <v>3648</v>
      </c>
      <c r="M563" s="324">
        <f t="shared" ref="M563:M580" si="89">IF(I563="Staff Accident","Entry Required",IF(I563="Assaults","Entry Required",0))</f>
        <v>0</v>
      </c>
      <c r="N563" s="14" t="s">
        <v>2034</v>
      </c>
      <c r="O563" s="14" t="s">
        <v>1879</v>
      </c>
      <c r="P563" s="167" t="s">
        <v>143</v>
      </c>
      <c r="Q563" s="112"/>
      <c r="R563" s="170">
        <v>0</v>
      </c>
      <c r="S563" s="108">
        <f t="shared" si="84"/>
        <v>45590</v>
      </c>
      <c r="T563" s="79">
        <v>45562</v>
      </c>
      <c r="U563" s="14"/>
      <c r="V563" s="14"/>
      <c r="W563" s="14"/>
      <c r="X563" s="14"/>
      <c r="Y563" s="14" t="s">
        <v>1923</v>
      </c>
      <c r="Z563" s="14"/>
      <c r="AA563" s="2">
        <f t="shared" ca="1" si="86"/>
        <v>1</v>
      </c>
      <c r="AB563" s="153"/>
      <c r="AC563" s="454" t="str">
        <f t="shared" si="85"/>
        <v>2</v>
      </c>
    </row>
    <row r="564" spans="1:29" ht="29" x14ac:dyDescent="0.35">
      <c r="A564" s="111" t="str">
        <f t="shared" si="87"/>
        <v>Closed</v>
      </c>
      <c r="B564" s="222">
        <v>45562</v>
      </c>
      <c r="C564" s="14">
        <v>2407</v>
      </c>
      <c r="D564" s="14" t="s">
        <v>3649</v>
      </c>
      <c r="E564" s="14" t="s">
        <v>219</v>
      </c>
      <c r="F564" s="14" t="s">
        <v>2765</v>
      </c>
      <c r="G564" s="14" t="s">
        <v>3558</v>
      </c>
      <c r="H564" s="14"/>
      <c r="I564" s="176" t="s">
        <v>140</v>
      </c>
      <c r="J564" s="14">
        <v>1275</v>
      </c>
      <c r="K564" s="87"/>
      <c r="L564" s="14" t="s">
        <v>3650</v>
      </c>
      <c r="M564" s="324">
        <f t="shared" si="89"/>
        <v>0</v>
      </c>
      <c r="N564" s="14" t="s">
        <v>2034</v>
      </c>
      <c r="O564" s="14" t="s">
        <v>1879</v>
      </c>
      <c r="P564" s="167" t="s">
        <v>143</v>
      </c>
      <c r="Q564" s="112"/>
      <c r="R564" s="170">
        <v>0</v>
      </c>
      <c r="S564" s="108">
        <f t="shared" si="84"/>
        <v>45590</v>
      </c>
      <c r="T564" s="79">
        <v>45562</v>
      </c>
      <c r="U564" s="14"/>
      <c r="V564" s="14"/>
      <c r="W564" s="14"/>
      <c r="X564" s="14"/>
      <c r="Z564" s="14"/>
      <c r="AA564" s="2">
        <f t="shared" ca="1" si="86"/>
        <v>1</v>
      </c>
      <c r="AB564" s="153"/>
      <c r="AC564" s="454" t="str">
        <f t="shared" si="85"/>
        <v/>
      </c>
    </row>
    <row r="565" spans="1:29" ht="29" x14ac:dyDescent="0.35">
      <c r="A565" s="111" t="str">
        <f t="shared" si="87"/>
        <v>Closed</v>
      </c>
      <c r="B565" s="222">
        <v>45563</v>
      </c>
      <c r="C565" s="14">
        <v>2407</v>
      </c>
      <c r="D565" s="14" t="s">
        <v>3651</v>
      </c>
      <c r="E565" s="14" t="s">
        <v>219</v>
      </c>
      <c r="F565" s="14" t="s">
        <v>3592</v>
      </c>
      <c r="G565" s="14" t="s">
        <v>3558</v>
      </c>
      <c r="H565" s="14">
        <v>105</v>
      </c>
      <c r="I565" s="176" t="s">
        <v>140</v>
      </c>
      <c r="J565" s="14">
        <v>1278</v>
      </c>
      <c r="K565" s="87"/>
      <c r="L565" s="14" t="s">
        <v>3652</v>
      </c>
      <c r="M565" s="324">
        <f t="shared" si="89"/>
        <v>0</v>
      </c>
      <c r="N565" s="14" t="s">
        <v>2034</v>
      </c>
      <c r="O565" s="14" t="s">
        <v>1879</v>
      </c>
      <c r="P565" s="167" t="s">
        <v>143</v>
      </c>
      <c r="Q565" s="112"/>
      <c r="R565" s="170">
        <v>0</v>
      </c>
      <c r="S565" s="108">
        <f t="shared" si="84"/>
        <v>45591</v>
      </c>
      <c r="T565" s="79">
        <v>45563</v>
      </c>
      <c r="U565" s="14"/>
      <c r="V565" s="14"/>
      <c r="W565" s="14"/>
      <c r="X565" s="14"/>
      <c r="Z565" s="14"/>
      <c r="AA565" s="2">
        <f t="shared" ca="1" si="86"/>
        <v>1</v>
      </c>
      <c r="AB565" s="153"/>
      <c r="AC565" s="454" t="str">
        <f t="shared" si="85"/>
        <v>1</v>
      </c>
    </row>
    <row r="566" spans="1:29" ht="58" x14ac:dyDescent="0.35">
      <c r="A566" s="89" t="str">
        <f t="shared" si="87"/>
        <v>Closed</v>
      </c>
      <c r="B566" s="222">
        <v>45563</v>
      </c>
      <c r="C566" s="14">
        <v>2407</v>
      </c>
      <c r="D566" s="14" t="s">
        <v>3653</v>
      </c>
      <c r="E566" s="14" t="s">
        <v>78</v>
      </c>
      <c r="F566" s="14" t="s">
        <v>2060</v>
      </c>
      <c r="G566" s="14" t="s">
        <v>1900</v>
      </c>
      <c r="H566" s="14">
        <v>113</v>
      </c>
      <c r="I566" s="176" t="s">
        <v>155</v>
      </c>
      <c r="J566" s="14">
        <v>1007</v>
      </c>
      <c r="K566" s="87"/>
      <c r="L566" s="14" t="s">
        <v>3654</v>
      </c>
      <c r="M566" s="324">
        <f t="shared" si="89"/>
        <v>0</v>
      </c>
      <c r="N566" s="14" t="s">
        <v>2034</v>
      </c>
      <c r="O566" s="14" t="s">
        <v>1880</v>
      </c>
      <c r="P566" s="167" t="s">
        <v>147</v>
      </c>
      <c r="Q566" s="14" t="s">
        <v>177</v>
      </c>
      <c r="R566" s="223" t="s">
        <v>234</v>
      </c>
      <c r="S566" s="224">
        <f t="shared" si="84"/>
        <v>45591</v>
      </c>
      <c r="T566" s="79">
        <v>45902</v>
      </c>
      <c r="U566" s="14"/>
      <c r="V566" s="14"/>
      <c r="W566" s="14"/>
      <c r="X566" s="14"/>
      <c r="Y566" s="466" t="s">
        <v>2062</v>
      </c>
      <c r="Z566" s="14" t="s">
        <v>3655</v>
      </c>
      <c r="AA566" s="2">
        <f t="shared" ca="1" si="86"/>
        <v>1</v>
      </c>
      <c r="AB566" s="153"/>
      <c r="AC566" s="454" t="str">
        <f t="shared" si="85"/>
        <v>1</v>
      </c>
    </row>
    <row r="567" spans="1:29" ht="87" x14ac:dyDescent="0.35">
      <c r="A567" s="89" t="str">
        <f t="shared" si="87"/>
        <v>Closed</v>
      </c>
      <c r="B567" s="222">
        <v>45563</v>
      </c>
      <c r="C567" s="14">
        <v>2407</v>
      </c>
      <c r="D567" s="14" t="s">
        <v>3656</v>
      </c>
      <c r="E567" s="14" t="s">
        <v>194</v>
      </c>
      <c r="F567" s="14" t="s">
        <v>2048</v>
      </c>
      <c r="G567" s="14" t="s">
        <v>1911</v>
      </c>
      <c r="H567" s="14">
        <v>117</v>
      </c>
      <c r="I567" s="176" t="s">
        <v>140</v>
      </c>
      <c r="J567" s="14">
        <v>1061</v>
      </c>
      <c r="K567" s="87"/>
      <c r="L567" s="14" t="s">
        <v>3657</v>
      </c>
      <c r="M567" s="324">
        <f t="shared" si="89"/>
        <v>0</v>
      </c>
      <c r="N567" s="14" t="s">
        <v>1880</v>
      </c>
      <c r="O567" s="14" t="s">
        <v>1880</v>
      </c>
      <c r="P567" s="167" t="s">
        <v>143</v>
      </c>
      <c r="Q567" s="14"/>
      <c r="R567" s="223">
        <v>0</v>
      </c>
      <c r="S567" s="224">
        <f t="shared" si="84"/>
        <v>45591</v>
      </c>
      <c r="T567" s="79">
        <v>45726</v>
      </c>
      <c r="U567" s="14" t="s">
        <v>3658</v>
      </c>
      <c r="V567" s="14" t="s">
        <v>3659</v>
      </c>
      <c r="W567" s="14" t="s">
        <v>1879</v>
      </c>
      <c r="X567" s="14" t="s">
        <v>1883</v>
      </c>
      <c r="Y567" s="167" t="s">
        <v>2050</v>
      </c>
      <c r="Z567" s="14" t="s">
        <v>3660</v>
      </c>
      <c r="AA567" s="2">
        <f t="shared" ca="1" si="86"/>
        <v>1</v>
      </c>
      <c r="AB567" s="153"/>
      <c r="AC567" s="454" t="str">
        <f t="shared" si="85"/>
        <v>1</v>
      </c>
    </row>
    <row r="568" spans="1:29" ht="43.5" x14ac:dyDescent="0.35">
      <c r="A568" s="111" t="str">
        <f t="shared" si="87"/>
        <v>Closed</v>
      </c>
      <c r="B568" s="222">
        <v>45563</v>
      </c>
      <c r="C568" s="14">
        <v>2407</v>
      </c>
      <c r="D568" s="14" t="s">
        <v>3661</v>
      </c>
      <c r="E568" s="14" t="s">
        <v>192</v>
      </c>
      <c r="F568" s="167" t="s">
        <v>2432</v>
      </c>
      <c r="G568" s="14" t="s">
        <v>1911</v>
      </c>
      <c r="H568" s="14">
        <v>115</v>
      </c>
      <c r="I568" s="176" t="s">
        <v>140</v>
      </c>
      <c r="J568" s="14">
        <v>1066</v>
      </c>
      <c r="K568" s="87"/>
      <c r="L568" s="14" t="s">
        <v>3662</v>
      </c>
      <c r="M568" s="324">
        <f t="shared" si="89"/>
        <v>0</v>
      </c>
      <c r="N568" s="14" t="s">
        <v>2034</v>
      </c>
      <c r="O568" s="14" t="s">
        <v>1879</v>
      </c>
      <c r="P568" s="167" t="s">
        <v>143</v>
      </c>
      <c r="Q568" s="112"/>
      <c r="R568" s="170">
        <v>0</v>
      </c>
      <c r="S568" s="108">
        <f t="shared" si="84"/>
        <v>45591</v>
      </c>
      <c r="T568" s="79">
        <v>45563</v>
      </c>
      <c r="U568" s="14"/>
      <c r="V568" s="14"/>
      <c r="W568" s="14"/>
      <c r="X568" s="14"/>
      <c r="Y568" s="2" t="s">
        <v>2436</v>
      </c>
      <c r="Z568" s="14"/>
      <c r="AA568" s="2">
        <f t="shared" ca="1" si="86"/>
        <v>1</v>
      </c>
      <c r="AB568" s="153"/>
      <c r="AC568" s="454" t="str">
        <f t="shared" si="85"/>
        <v>1</v>
      </c>
    </row>
    <row r="569" spans="1:29" ht="29" x14ac:dyDescent="0.35">
      <c r="A569" s="111" t="str">
        <f t="shared" si="87"/>
        <v>Closed</v>
      </c>
      <c r="B569" s="222">
        <v>45564</v>
      </c>
      <c r="C569" s="14">
        <v>2407</v>
      </c>
      <c r="D569" s="14" t="s">
        <v>3663</v>
      </c>
      <c r="E569" s="14" t="s">
        <v>219</v>
      </c>
      <c r="F569" s="14" t="s">
        <v>1954</v>
      </c>
      <c r="G569" s="14" t="s">
        <v>1911</v>
      </c>
      <c r="H569" s="14"/>
      <c r="I569" s="176" t="s">
        <v>140</v>
      </c>
      <c r="J569" s="14">
        <v>1026</v>
      </c>
      <c r="K569" s="87"/>
      <c r="L569" s="14" t="s">
        <v>3664</v>
      </c>
      <c r="M569" s="324">
        <f t="shared" si="89"/>
        <v>0</v>
      </c>
      <c r="N569" s="14" t="s">
        <v>2034</v>
      </c>
      <c r="O569" s="14" t="s">
        <v>1879</v>
      </c>
      <c r="P569" s="167" t="s">
        <v>143</v>
      </c>
      <c r="Q569" s="112"/>
      <c r="R569" s="170">
        <v>0</v>
      </c>
      <c r="S569" s="108">
        <f t="shared" si="84"/>
        <v>45592</v>
      </c>
      <c r="T569" s="79">
        <v>45564</v>
      </c>
      <c r="U569" s="14"/>
      <c r="V569" s="14"/>
      <c r="W569" s="14"/>
      <c r="X569" s="14"/>
      <c r="Y569" s="14" t="s">
        <v>1956</v>
      </c>
      <c r="Z569" s="14"/>
      <c r="AA569" s="2">
        <f t="shared" ca="1" si="86"/>
        <v>1</v>
      </c>
      <c r="AB569" s="153"/>
      <c r="AC569" s="454" t="str">
        <f t="shared" si="85"/>
        <v/>
      </c>
    </row>
    <row r="570" spans="1:29" ht="145" x14ac:dyDescent="0.35">
      <c r="A570" s="111" t="str">
        <f t="shared" si="87"/>
        <v>Closed</v>
      </c>
      <c r="B570" s="222">
        <v>45564</v>
      </c>
      <c r="C570" s="14">
        <v>2407</v>
      </c>
      <c r="D570" s="14" t="s">
        <v>3665</v>
      </c>
      <c r="E570" s="14" t="s">
        <v>194</v>
      </c>
      <c r="F570" s="14" t="s">
        <v>2205</v>
      </c>
      <c r="G570" s="14" t="s">
        <v>1900</v>
      </c>
      <c r="H570" s="14">
        <v>105</v>
      </c>
      <c r="I570" s="176" t="s">
        <v>155</v>
      </c>
      <c r="J570" s="14">
        <v>1094</v>
      </c>
      <c r="K570" s="87"/>
      <c r="L570" s="14" t="s">
        <v>3666</v>
      </c>
      <c r="M570" s="324">
        <f t="shared" si="89"/>
        <v>0</v>
      </c>
      <c r="N570" s="14" t="s">
        <v>2034</v>
      </c>
      <c r="O570" s="14" t="s">
        <v>1880</v>
      </c>
      <c r="P570" s="167" t="s">
        <v>147</v>
      </c>
      <c r="Q570" s="112" t="s">
        <v>135</v>
      </c>
      <c r="R570" s="170" t="s">
        <v>234</v>
      </c>
      <c r="S570" s="108">
        <f t="shared" ref="S570:S587" si="90">IF(B570="","",B570+28)</f>
        <v>45592</v>
      </c>
      <c r="T570" s="79">
        <v>45574</v>
      </c>
      <c r="U570" s="14" t="s">
        <v>3667</v>
      </c>
      <c r="V570" s="14" t="s">
        <v>3668</v>
      </c>
      <c r="W570" s="14" t="s">
        <v>1879</v>
      </c>
      <c r="X570" s="14" t="s">
        <v>1883</v>
      </c>
      <c r="Y570" s="14" t="s">
        <v>2726</v>
      </c>
      <c r="Z570" s="14" t="s">
        <v>3669</v>
      </c>
      <c r="AA570" s="2">
        <f t="shared" ca="1" si="86"/>
        <v>1</v>
      </c>
      <c r="AB570" s="153"/>
      <c r="AC570" s="454" t="str">
        <f t="shared" ref="AC570:AC579" si="91">LEFT(H570,1)</f>
        <v>1</v>
      </c>
    </row>
    <row r="571" spans="1:29" ht="43.5" x14ac:dyDescent="0.35">
      <c r="A571" s="111" t="str">
        <f t="shared" si="87"/>
        <v>Closed</v>
      </c>
      <c r="B571" s="222">
        <v>45564</v>
      </c>
      <c r="C571" s="14">
        <v>2407</v>
      </c>
      <c r="D571" s="14" t="s">
        <v>3670</v>
      </c>
      <c r="E571" s="14" t="s">
        <v>31</v>
      </c>
      <c r="F571" s="14" t="s">
        <v>2048</v>
      </c>
      <c r="G571" s="14" t="s">
        <v>1900</v>
      </c>
      <c r="H571" s="14"/>
      <c r="I571" s="176" t="s">
        <v>140</v>
      </c>
      <c r="K571" s="87"/>
      <c r="L571" s="14" t="s">
        <v>3671</v>
      </c>
      <c r="M571" s="324">
        <f t="shared" si="89"/>
        <v>0</v>
      </c>
      <c r="N571" s="14" t="s">
        <v>2034</v>
      </c>
      <c r="O571" s="14" t="s">
        <v>1879</v>
      </c>
      <c r="P571" s="167" t="s">
        <v>143</v>
      </c>
      <c r="Q571" s="112"/>
      <c r="R571" s="170">
        <v>0</v>
      </c>
      <c r="S571" s="108">
        <f t="shared" si="90"/>
        <v>45592</v>
      </c>
      <c r="T571" s="79">
        <v>45564</v>
      </c>
      <c r="U571" s="14"/>
      <c r="V571" s="14"/>
      <c r="W571" s="14"/>
      <c r="X571" s="14"/>
      <c r="Y571" s="167" t="s">
        <v>2050</v>
      </c>
      <c r="Z571" s="14"/>
      <c r="AA571" s="2">
        <f t="shared" ref="AA571:AA587" ca="1" si="92">IF(B571="",3,IF(S571&lt;$A$1,1,0))</f>
        <v>1</v>
      </c>
      <c r="AB571" s="153"/>
      <c r="AC571" s="454" t="str">
        <f t="shared" si="91"/>
        <v/>
      </c>
    </row>
    <row r="572" spans="1:29" ht="72.5" x14ac:dyDescent="0.35">
      <c r="A572" s="111" t="str">
        <f t="shared" si="87"/>
        <v>Closed</v>
      </c>
      <c r="B572" s="222">
        <v>45562</v>
      </c>
      <c r="C572" s="14">
        <v>2407</v>
      </c>
      <c r="D572" s="14" t="s">
        <v>3672</v>
      </c>
      <c r="E572" s="14" t="s">
        <v>40</v>
      </c>
      <c r="F572" s="167" t="s">
        <v>2162</v>
      </c>
      <c r="G572" s="14" t="s">
        <v>1911</v>
      </c>
      <c r="H572" s="14"/>
      <c r="I572" s="176" t="s">
        <v>5</v>
      </c>
      <c r="J572" s="14">
        <v>1299</v>
      </c>
      <c r="K572" s="87"/>
      <c r="L572" s="14" t="s">
        <v>3673</v>
      </c>
      <c r="M572" s="324">
        <f t="shared" si="89"/>
        <v>0</v>
      </c>
      <c r="N572" s="14" t="s">
        <v>2034</v>
      </c>
      <c r="O572" s="14" t="s">
        <v>1880</v>
      </c>
      <c r="P572" s="167" t="s">
        <v>147</v>
      </c>
      <c r="Q572" s="112" t="s">
        <v>153</v>
      </c>
      <c r="R572" s="170" t="s">
        <v>234</v>
      </c>
      <c r="S572" s="108">
        <f t="shared" si="90"/>
        <v>45590</v>
      </c>
      <c r="T572" s="79">
        <v>45585</v>
      </c>
      <c r="U572" s="14" t="s">
        <v>3674</v>
      </c>
      <c r="V572" s="14" t="s">
        <v>3675</v>
      </c>
      <c r="W572" s="14" t="s">
        <v>1879</v>
      </c>
      <c r="X572" s="14" t="s">
        <v>1883</v>
      </c>
      <c r="Y572" s="15" t="s">
        <v>2164</v>
      </c>
      <c r="Z572" s="87" t="s">
        <v>3676</v>
      </c>
      <c r="AA572" s="2">
        <f t="shared" ca="1" si="92"/>
        <v>1</v>
      </c>
      <c r="AB572" s="153"/>
      <c r="AC572" s="454" t="str">
        <f t="shared" si="91"/>
        <v/>
      </c>
    </row>
    <row r="573" spans="1:29" ht="72.5" x14ac:dyDescent="0.35">
      <c r="A573" s="111" t="str">
        <f t="shared" si="87"/>
        <v>Closed</v>
      </c>
      <c r="B573" s="222">
        <v>45567</v>
      </c>
      <c r="C573" s="14">
        <v>2407</v>
      </c>
      <c r="D573" s="14" t="s">
        <v>3677</v>
      </c>
      <c r="E573" s="14" t="s">
        <v>78</v>
      </c>
      <c r="F573" s="14" t="s">
        <v>2003</v>
      </c>
      <c r="G573" s="14"/>
      <c r="H573" s="14">
        <v>107</v>
      </c>
      <c r="I573" s="176" t="s">
        <v>155</v>
      </c>
      <c r="K573" s="87"/>
      <c r="L573" s="14" t="s">
        <v>3678</v>
      </c>
      <c r="M573" s="324">
        <f t="shared" si="89"/>
        <v>0</v>
      </c>
      <c r="N573" s="14" t="s">
        <v>1879</v>
      </c>
      <c r="O573" s="14" t="s">
        <v>1879</v>
      </c>
      <c r="P573" s="167" t="s">
        <v>147</v>
      </c>
      <c r="Q573" s="14" t="s">
        <v>153</v>
      </c>
      <c r="R573" s="170" t="s">
        <v>234</v>
      </c>
      <c r="S573" s="108">
        <f t="shared" si="90"/>
        <v>45595</v>
      </c>
      <c r="T573" s="79">
        <v>45575</v>
      </c>
      <c r="U573" s="14" t="s">
        <v>3679</v>
      </c>
      <c r="V573" s="14" t="s">
        <v>3680</v>
      </c>
      <c r="W573" s="14" t="s">
        <v>1879</v>
      </c>
      <c r="X573" s="14" t="s">
        <v>1883</v>
      </c>
      <c r="Y573" s="88" t="s">
        <v>2504</v>
      </c>
      <c r="Z573" s="14" t="s">
        <v>3681</v>
      </c>
      <c r="AA573" s="2">
        <f t="shared" ca="1" si="92"/>
        <v>1</v>
      </c>
      <c r="AB573" s="153"/>
      <c r="AC573" s="454" t="str">
        <f t="shared" si="91"/>
        <v>1</v>
      </c>
    </row>
    <row r="574" spans="1:29" ht="29" x14ac:dyDescent="0.35">
      <c r="A574" s="111" t="str">
        <f t="shared" si="87"/>
        <v>Closed</v>
      </c>
      <c r="B574" s="222">
        <v>45568</v>
      </c>
      <c r="C574" s="14">
        <v>2407</v>
      </c>
      <c r="D574" s="14" t="s">
        <v>3682</v>
      </c>
      <c r="E574" s="14" t="s">
        <v>219</v>
      </c>
      <c r="F574" s="14" t="s">
        <v>2119</v>
      </c>
      <c r="H574" s="14">
        <v>116</v>
      </c>
      <c r="I574" s="176" t="s">
        <v>140</v>
      </c>
      <c r="K574" s="87"/>
      <c r="L574" s="14" t="s">
        <v>3683</v>
      </c>
      <c r="M574" s="324">
        <f t="shared" si="89"/>
        <v>0</v>
      </c>
      <c r="N574" s="14" t="s">
        <v>2034</v>
      </c>
      <c r="O574" s="14" t="s">
        <v>1879</v>
      </c>
      <c r="P574" s="167" t="s">
        <v>143</v>
      </c>
      <c r="Q574" s="14"/>
      <c r="R574" s="170">
        <v>0</v>
      </c>
      <c r="S574" s="108">
        <f t="shared" si="90"/>
        <v>45596</v>
      </c>
      <c r="T574" s="79">
        <v>45568</v>
      </c>
      <c r="U574" s="14"/>
      <c r="V574" s="14"/>
      <c r="W574" s="14"/>
      <c r="X574" s="14"/>
      <c r="Y574" s="14" t="s">
        <v>2093</v>
      </c>
      <c r="Z574" s="14"/>
      <c r="AA574" s="2">
        <f t="shared" ca="1" si="92"/>
        <v>1</v>
      </c>
      <c r="AB574" s="153"/>
      <c r="AC574" s="454" t="str">
        <f t="shared" si="91"/>
        <v>1</v>
      </c>
    </row>
    <row r="575" spans="1:29" ht="29" x14ac:dyDescent="0.35">
      <c r="A575" s="111" t="str">
        <f t="shared" si="87"/>
        <v>Closed</v>
      </c>
      <c r="B575" s="222">
        <v>45568</v>
      </c>
      <c r="C575" s="14">
        <v>2407</v>
      </c>
      <c r="D575" s="14" t="s">
        <v>3684</v>
      </c>
      <c r="E575" s="14" t="s">
        <v>219</v>
      </c>
      <c r="F575" s="14" t="s">
        <v>2027</v>
      </c>
      <c r="G575" s="14"/>
      <c r="H575" s="14">
        <v>123</v>
      </c>
      <c r="I575" s="176" t="s">
        <v>140</v>
      </c>
      <c r="K575" s="87"/>
      <c r="L575" s="14" t="s">
        <v>3685</v>
      </c>
      <c r="M575" s="324">
        <f t="shared" si="89"/>
        <v>0</v>
      </c>
      <c r="N575" s="14" t="s">
        <v>2034</v>
      </c>
      <c r="O575" s="14" t="s">
        <v>1879</v>
      </c>
      <c r="P575" s="167" t="s">
        <v>143</v>
      </c>
      <c r="Q575" s="14"/>
      <c r="R575" s="170">
        <v>0</v>
      </c>
      <c r="S575" s="108">
        <f t="shared" si="90"/>
        <v>45596</v>
      </c>
      <c r="T575" s="79">
        <v>45568</v>
      </c>
      <c r="U575" s="14"/>
      <c r="V575" s="14"/>
      <c r="W575" s="14"/>
      <c r="X575" s="14"/>
      <c r="Z575" s="14"/>
      <c r="AA575" s="2">
        <f t="shared" ca="1" si="92"/>
        <v>1</v>
      </c>
      <c r="AB575" s="153"/>
      <c r="AC575" s="454" t="str">
        <f t="shared" si="91"/>
        <v>1</v>
      </c>
    </row>
    <row r="576" spans="1:29" ht="29" x14ac:dyDescent="0.35">
      <c r="A576" s="111" t="str">
        <f t="shared" si="87"/>
        <v>Closed</v>
      </c>
      <c r="B576" s="222">
        <v>45568</v>
      </c>
      <c r="C576" s="14">
        <v>2407</v>
      </c>
      <c r="D576" s="14" t="s">
        <v>3686</v>
      </c>
      <c r="E576" s="14" t="s">
        <v>219</v>
      </c>
      <c r="F576" s="14" t="s">
        <v>2027</v>
      </c>
      <c r="G576" s="14" t="s">
        <v>1900</v>
      </c>
      <c r="H576" s="14">
        <v>124</v>
      </c>
      <c r="I576" s="176" t="s">
        <v>140</v>
      </c>
      <c r="K576" s="87"/>
      <c r="L576" s="14" t="s">
        <v>3687</v>
      </c>
      <c r="M576" s="324">
        <f t="shared" si="89"/>
        <v>0</v>
      </c>
      <c r="N576" s="14" t="s">
        <v>2034</v>
      </c>
      <c r="O576" s="14" t="s">
        <v>1879</v>
      </c>
      <c r="P576" s="167" t="s">
        <v>143</v>
      </c>
      <c r="Q576" s="14"/>
      <c r="R576" s="170">
        <v>0</v>
      </c>
      <c r="S576" s="108">
        <f t="shared" si="90"/>
        <v>45596</v>
      </c>
      <c r="T576" s="79">
        <v>45568</v>
      </c>
      <c r="U576" s="14"/>
      <c r="V576" s="14"/>
      <c r="W576" s="14"/>
      <c r="X576" s="14"/>
      <c r="Z576" s="14"/>
      <c r="AA576" s="2">
        <f t="shared" ca="1" si="92"/>
        <v>1</v>
      </c>
      <c r="AB576" s="153"/>
      <c r="AC576" s="454" t="str">
        <f t="shared" si="91"/>
        <v>1</v>
      </c>
    </row>
    <row r="577" spans="1:29" ht="29" x14ac:dyDescent="0.35">
      <c r="A577" s="111" t="str">
        <f t="shared" si="87"/>
        <v>Closed</v>
      </c>
      <c r="B577" s="222">
        <v>45568</v>
      </c>
      <c r="C577" s="14">
        <v>2407</v>
      </c>
      <c r="D577" s="14" t="s">
        <v>3688</v>
      </c>
      <c r="E577" s="14" t="s">
        <v>8</v>
      </c>
      <c r="F577" s="14" t="s">
        <v>1968</v>
      </c>
      <c r="G577" s="14" t="s">
        <v>1911</v>
      </c>
      <c r="H577" s="14">
        <v>203</v>
      </c>
      <c r="I577" s="176" t="s">
        <v>140</v>
      </c>
      <c r="J577" s="14">
        <v>80018</v>
      </c>
      <c r="K577" s="87"/>
      <c r="L577" s="14" t="s">
        <v>3689</v>
      </c>
      <c r="M577" s="324">
        <f t="shared" si="89"/>
        <v>0</v>
      </c>
      <c r="N577" s="14" t="s">
        <v>2034</v>
      </c>
      <c r="O577" s="14" t="s">
        <v>1879</v>
      </c>
      <c r="P577" s="167" t="s">
        <v>143</v>
      </c>
      <c r="Q577" s="14"/>
      <c r="R577" s="170">
        <v>0</v>
      </c>
      <c r="S577" s="108">
        <f t="shared" si="90"/>
        <v>45596</v>
      </c>
      <c r="T577" s="79">
        <v>45568</v>
      </c>
      <c r="U577" s="14"/>
      <c r="V577" s="14"/>
      <c r="W577" s="14"/>
      <c r="X577" s="14"/>
      <c r="Z577" s="14"/>
      <c r="AA577" s="2">
        <f t="shared" ca="1" si="92"/>
        <v>1</v>
      </c>
      <c r="AB577" s="153"/>
      <c r="AC577" s="454" t="str">
        <f t="shared" si="91"/>
        <v>2</v>
      </c>
    </row>
    <row r="578" spans="1:29" ht="43.5" x14ac:dyDescent="0.35">
      <c r="A578" s="89" t="str">
        <f t="shared" si="87"/>
        <v>Closed</v>
      </c>
      <c r="B578" s="222">
        <v>45568</v>
      </c>
      <c r="C578" s="14">
        <v>2407</v>
      </c>
      <c r="D578" s="14" t="s">
        <v>3690</v>
      </c>
      <c r="E578" s="14" t="s">
        <v>40</v>
      </c>
      <c r="F578" s="14" t="s">
        <v>2080</v>
      </c>
      <c r="G578" s="14" t="s">
        <v>1911</v>
      </c>
      <c r="H578" s="14">
        <v>125</v>
      </c>
      <c r="I578" s="176" t="s">
        <v>140</v>
      </c>
      <c r="J578" s="14">
        <v>8503165</v>
      </c>
      <c r="K578" s="14" t="s">
        <v>137</v>
      </c>
      <c r="L578" s="14" t="s">
        <v>3691</v>
      </c>
      <c r="M578" s="324">
        <f t="shared" si="89"/>
        <v>0</v>
      </c>
      <c r="N578" s="14" t="s">
        <v>1879</v>
      </c>
      <c r="O578" s="14" t="s">
        <v>1880</v>
      </c>
      <c r="P578" s="167" t="s">
        <v>143</v>
      </c>
      <c r="Q578" s="14"/>
      <c r="R578" s="223">
        <v>0</v>
      </c>
      <c r="S578" s="224">
        <f t="shared" si="90"/>
        <v>45596</v>
      </c>
      <c r="T578" s="79">
        <v>45902</v>
      </c>
      <c r="U578" s="14"/>
      <c r="V578" s="14"/>
      <c r="W578" s="14"/>
      <c r="X578" s="14"/>
      <c r="Y578" s="14" t="s">
        <v>2084</v>
      </c>
      <c r="Z578" s="14" t="s">
        <v>3692</v>
      </c>
      <c r="AA578" s="2">
        <f t="shared" ca="1" si="92"/>
        <v>1</v>
      </c>
      <c r="AB578" s="153"/>
      <c r="AC578" s="454" t="str">
        <f t="shared" si="91"/>
        <v>1</v>
      </c>
    </row>
    <row r="579" spans="1:29" ht="58" x14ac:dyDescent="0.35">
      <c r="A579" s="111" t="str">
        <f t="shared" si="87"/>
        <v>Closed</v>
      </c>
      <c r="B579" s="222">
        <v>45567</v>
      </c>
      <c r="C579" s="14">
        <v>2407</v>
      </c>
      <c r="D579" s="14" t="s">
        <v>3693</v>
      </c>
      <c r="E579" s="14" t="s">
        <v>27</v>
      </c>
      <c r="F579" s="14" t="s">
        <v>2765</v>
      </c>
      <c r="G579" s="14" t="s">
        <v>1911</v>
      </c>
      <c r="H579" s="14">
        <v>107</v>
      </c>
      <c r="I579" s="176" t="s">
        <v>5</v>
      </c>
      <c r="J579" s="14">
        <v>615</v>
      </c>
      <c r="K579" s="87"/>
      <c r="L579" s="14" t="s">
        <v>3694</v>
      </c>
      <c r="M579" s="324">
        <f t="shared" si="89"/>
        <v>0</v>
      </c>
      <c r="N579" s="14" t="s">
        <v>1879</v>
      </c>
      <c r="O579" s="14" t="s">
        <v>1880</v>
      </c>
      <c r="P579" s="167" t="s">
        <v>147</v>
      </c>
      <c r="Q579" s="14" t="s">
        <v>177</v>
      </c>
      <c r="R579" s="170" t="s">
        <v>234</v>
      </c>
      <c r="S579" s="108">
        <f t="shared" si="90"/>
        <v>45595</v>
      </c>
      <c r="T579" s="79">
        <v>45620</v>
      </c>
      <c r="U579" s="14" t="s">
        <v>3695</v>
      </c>
      <c r="V579" s="14" t="s">
        <v>3696</v>
      </c>
      <c r="W579" s="14" t="s">
        <v>1879</v>
      </c>
      <c r="X579" s="14" t="s">
        <v>154</v>
      </c>
      <c r="Y579" s="85"/>
      <c r="Z579" s="14" t="s">
        <v>3697</v>
      </c>
      <c r="AA579" s="2">
        <f t="shared" ca="1" si="92"/>
        <v>1</v>
      </c>
      <c r="AB579" s="153"/>
      <c r="AC579" s="454" t="str">
        <f t="shared" si="91"/>
        <v>1</v>
      </c>
    </row>
    <row r="580" spans="1:29" ht="43.5" x14ac:dyDescent="0.35">
      <c r="A580" s="111" t="str">
        <f t="shared" si="87"/>
        <v>Closed</v>
      </c>
      <c r="B580" s="222">
        <v>45569</v>
      </c>
      <c r="C580" s="14">
        <v>2407</v>
      </c>
      <c r="D580" s="14" t="s">
        <v>3698</v>
      </c>
      <c r="E580" s="14" t="s">
        <v>192</v>
      </c>
      <c r="F580" s="14" t="s">
        <v>1910</v>
      </c>
      <c r="G580" s="14" t="s">
        <v>1911</v>
      </c>
      <c r="H580" s="14"/>
      <c r="I580" s="176" t="s">
        <v>140</v>
      </c>
      <c r="J580" s="14">
        <v>600</v>
      </c>
      <c r="K580" s="87"/>
      <c r="L580" s="14" t="s">
        <v>3699</v>
      </c>
      <c r="M580" s="324">
        <f t="shared" si="89"/>
        <v>0</v>
      </c>
      <c r="N580" s="14" t="s">
        <v>1879</v>
      </c>
      <c r="O580" s="14" t="s">
        <v>1879</v>
      </c>
      <c r="P580" s="167" t="s">
        <v>143</v>
      </c>
      <c r="Q580" s="14"/>
      <c r="R580" s="170">
        <v>0</v>
      </c>
      <c r="S580" s="108">
        <f t="shared" si="90"/>
        <v>45597</v>
      </c>
      <c r="T580" s="79">
        <v>45569</v>
      </c>
      <c r="U580" s="14"/>
      <c r="V580" s="14"/>
      <c r="W580" s="14"/>
      <c r="X580" s="176"/>
      <c r="Y580" s="15" t="s">
        <v>1915</v>
      </c>
      <c r="Z580" s="87"/>
      <c r="AA580" s="2">
        <f t="shared" ca="1" si="92"/>
        <v>1</v>
      </c>
      <c r="AB580" s="153"/>
      <c r="AC580" s="454" t="e">
        <f>LEFT(#REF!,1)</f>
        <v>#REF!</v>
      </c>
    </row>
    <row r="581" spans="1:29" ht="101.5" x14ac:dyDescent="0.35">
      <c r="A581" s="111" t="str">
        <f t="shared" si="87"/>
        <v>Closed</v>
      </c>
      <c r="B581" s="222">
        <v>45569</v>
      </c>
      <c r="C581" s="14">
        <v>2407</v>
      </c>
      <c r="D581" s="14" t="s">
        <v>3700</v>
      </c>
      <c r="E581" s="14" t="s">
        <v>192</v>
      </c>
      <c r="F581" s="14" t="s">
        <v>1910</v>
      </c>
      <c r="G581" s="14" t="s">
        <v>1900</v>
      </c>
      <c r="H581" s="14">
        <v>106</v>
      </c>
      <c r="I581" s="176" t="s">
        <v>140</v>
      </c>
      <c r="J581" s="14">
        <v>8503165</v>
      </c>
      <c r="K581" s="87"/>
      <c r="L581" s="14" t="s">
        <v>3701</v>
      </c>
      <c r="M581" s="324">
        <f>IF(I580="Staff Accident","Entry Required",IF(I580="Assaults","Entry Required",0))</f>
        <v>0</v>
      </c>
      <c r="N581" s="14" t="s">
        <v>1879</v>
      </c>
      <c r="O581" s="14" t="s">
        <v>1879</v>
      </c>
      <c r="P581" s="167" t="s">
        <v>143</v>
      </c>
      <c r="Q581" s="14"/>
      <c r="R581" s="170">
        <v>0</v>
      </c>
      <c r="S581" s="108">
        <f t="shared" si="90"/>
        <v>45597</v>
      </c>
      <c r="T581" s="79">
        <v>45569</v>
      </c>
      <c r="U581" s="14"/>
      <c r="V581" s="14"/>
      <c r="W581" s="14"/>
      <c r="X581" s="176"/>
      <c r="Y581" s="15" t="s">
        <v>1915</v>
      </c>
      <c r="Z581" s="87"/>
      <c r="AA581" s="2">
        <f t="shared" ca="1" si="92"/>
        <v>1</v>
      </c>
      <c r="AB581" s="153"/>
      <c r="AC581" s="454" t="str">
        <f>LEFT(H580,1)</f>
        <v/>
      </c>
    </row>
    <row r="582" spans="1:29" ht="72.5" x14ac:dyDescent="0.35">
      <c r="A582" s="111" t="str">
        <f t="shared" si="87"/>
        <v>Closed</v>
      </c>
      <c r="B582" s="222">
        <v>45569</v>
      </c>
      <c r="C582" s="14">
        <v>2407</v>
      </c>
      <c r="D582" s="14" t="s">
        <v>3702</v>
      </c>
      <c r="E582" s="14" t="s">
        <v>8</v>
      </c>
      <c r="F582" s="14" t="s">
        <v>3200</v>
      </c>
      <c r="G582" s="14"/>
      <c r="H582" s="14">
        <v>123</v>
      </c>
      <c r="I582" s="176" t="s">
        <v>140</v>
      </c>
      <c r="J582" s="14">
        <v>8501802</v>
      </c>
      <c r="K582" s="87"/>
      <c r="L582" s="14" t="s">
        <v>3703</v>
      </c>
      <c r="M582" s="324">
        <f>IF(I581="Staff Accident","Entry Required",IF(I581="Assaults","Entry Required",0))</f>
        <v>0</v>
      </c>
      <c r="N582" s="14" t="s">
        <v>1879</v>
      </c>
      <c r="O582" s="14" t="s">
        <v>1879</v>
      </c>
      <c r="P582" s="167" t="s">
        <v>143</v>
      </c>
      <c r="Q582" s="14"/>
      <c r="R582" s="170">
        <v>0</v>
      </c>
      <c r="S582" s="108">
        <f t="shared" si="90"/>
        <v>45597</v>
      </c>
      <c r="T582" s="79">
        <v>45569</v>
      </c>
      <c r="U582" s="14"/>
      <c r="V582" s="14"/>
      <c r="W582" s="14"/>
      <c r="X582" s="14"/>
      <c r="Y582" s="14" t="s">
        <v>2868</v>
      </c>
      <c r="Z582" s="14"/>
      <c r="AA582" s="2">
        <f t="shared" ca="1" si="92"/>
        <v>1</v>
      </c>
      <c r="AB582" s="153"/>
      <c r="AC582" s="454" t="str">
        <f>LEFT(H581,1)</f>
        <v>1</v>
      </c>
    </row>
    <row r="583" spans="1:29" ht="29" x14ac:dyDescent="0.35">
      <c r="A583" s="111" t="str">
        <f t="shared" si="87"/>
        <v>Closed</v>
      </c>
      <c r="B583" s="222">
        <v>45570</v>
      </c>
      <c r="C583" s="14">
        <v>2407</v>
      </c>
      <c r="D583" s="14" t="s">
        <v>3704</v>
      </c>
      <c r="E583" s="14" t="s">
        <v>219</v>
      </c>
      <c r="F583" s="14" t="s">
        <v>3705</v>
      </c>
      <c r="G583" s="14" t="s">
        <v>1911</v>
      </c>
      <c r="H583" s="14">
        <v>103</v>
      </c>
      <c r="I583" s="176" t="s">
        <v>140</v>
      </c>
      <c r="K583" s="87"/>
      <c r="L583" s="14" t="s">
        <v>3706</v>
      </c>
      <c r="M583" s="324">
        <f>IF(I582="Staff Accident","Entry Required",IF(I582="Assaults","Entry Required",0))</f>
        <v>0</v>
      </c>
      <c r="N583" s="14" t="s">
        <v>1879</v>
      </c>
      <c r="O583" s="14" t="s">
        <v>1879</v>
      </c>
      <c r="P583" s="167" t="s">
        <v>143</v>
      </c>
      <c r="Q583" s="14"/>
      <c r="R583" s="170">
        <v>0</v>
      </c>
      <c r="S583" s="108">
        <f t="shared" si="90"/>
        <v>45598</v>
      </c>
      <c r="T583" s="79">
        <v>45570</v>
      </c>
      <c r="U583" s="14"/>
      <c r="V583" s="14"/>
      <c r="W583" s="14"/>
      <c r="X583" s="14"/>
      <c r="Y583" s="14" t="s">
        <v>2023</v>
      </c>
      <c r="Z583" s="14"/>
      <c r="AA583" s="2">
        <f t="shared" ca="1" si="92"/>
        <v>1</v>
      </c>
      <c r="AB583" s="153"/>
      <c r="AC583" s="454" t="str">
        <f>LEFT(H582,1)</f>
        <v>1</v>
      </c>
    </row>
    <row r="584" spans="1:29" ht="43.5" x14ac:dyDescent="0.35">
      <c r="A584" s="111" t="str">
        <f t="shared" si="87"/>
        <v>Closed</v>
      </c>
      <c r="B584" s="222">
        <v>45570</v>
      </c>
      <c r="C584" s="14">
        <v>2407</v>
      </c>
      <c r="D584" s="14" t="s">
        <v>3707</v>
      </c>
      <c r="E584" s="14" t="s">
        <v>31</v>
      </c>
      <c r="F584" s="14" t="s">
        <v>1899</v>
      </c>
      <c r="G584" s="14" t="s">
        <v>1911</v>
      </c>
      <c r="H584" s="14">
        <v>103</v>
      </c>
      <c r="I584" s="176" t="s">
        <v>155</v>
      </c>
      <c r="J584" s="14">
        <v>8505276</v>
      </c>
      <c r="K584" s="87"/>
      <c r="L584" s="14" t="s">
        <v>3708</v>
      </c>
      <c r="M584" s="324">
        <f>IF(I583="Staff Accident","Entry Required",IF(I583="Assaults","Entry Required",0))</f>
        <v>0</v>
      </c>
      <c r="N584" s="14" t="s">
        <v>1879</v>
      </c>
      <c r="O584" s="14" t="s">
        <v>1879</v>
      </c>
      <c r="P584" s="167" t="s">
        <v>143</v>
      </c>
      <c r="Q584" s="14"/>
      <c r="R584" s="170">
        <v>0</v>
      </c>
      <c r="S584" s="108">
        <f t="shared" si="90"/>
        <v>45598</v>
      </c>
      <c r="T584" s="79">
        <v>45570</v>
      </c>
      <c r="U584" s="14"/>
      <c r="V584" s="14"/>
      <c r="W584" s="14"/>
      <c r="X584" s="14"/>
      <c r="Y584" s="14" t="s">
        <v>1904</v>
      </c>
      <c r="Z584" s="14" t="s">
        <v>3709</v>
      </c>
      <c r="AA584" s="2">
        <f t="shared" ca="1" si="92"/>
        <v>1</v>
      </c>
      <c r="AB584" s="153"/>
      <c r="AC584" s="454" t="str">
        <f>LEFT(H583,1)</f>
        <v>1</v>
      </c>
    </row>
    <row r="585" spans="1:29" ht="43.5" x14ac:dyDescent="0.35">
      <c r="A585" s="111" t="str">
        <f t="shared" si="87"/>
        <v>Closed</v>
      </c>
      <c r="B585" s="222">
        <v>45570</v>
      </c>
      <c r="C585" s="14">
        <v>2407</v>
      </c>
      <c r="D585" s="14" t="s">
        <v>3710</v>
      </c>
      <c r="E585" s="14" t="s">
        <v>85</v>
      </c>
      <c r="F585" s="14" t="s">
        <v>1910</v>
      </c>
      <c r="G585" s="14" t="s">
        <v>1900</v>
      </c>
      <c r="H585" s="14">
        <v>102</v>
      </c>
      <c r="I585" s="176" t="s">
        <v>140</v>
      </c>
      <c r="K585" s="87"/>
      <c r="L585" s="14" t="s">
        <v>3711</v>
      </c>
      <c r="M585" s="324">
        <f>IF(I584="Staff Accident","Entry Required",IF(I584="Assaults","Entry Required",0))</f>
        <v>0</v>
      </c>
      <c r="N585" s="14" t="s">
        <v>1879</v>
      </c>
      <c r="O585" s="14" t="s">
        <v>1879</v>
      </c>
      <c r="P585" s="167" t="s">
        <v>143</v>
      </c>
      <c r="Q585" s="14"/>
      <c r="R585" s="170">
        <v>0</v>
      </c>
      <c r="S585" s="108">
        <f t="shared" si="90"/>
        <v>45598</v>
      </c>
      <c r="T585" s="79">
        <v>45570</v>
      </c>
      <c r="U585" s="14"/>
      <c r="V585" s="14"/>
      <c r="W585" s="14"/>
      <c r="X585" s="176"/>
      <c r="Y585" s="15" t="s">
        <v>1915</v>
      </c>
      <c r="Z585" s="87"/>
      <c r="AA585" s="2">
        <f t="shared" ca="1" si="92"/>
        <v>1</v>
      </c>
      <c r="AB585" s="153"/>
      <c r="AC585" s="454" t="str">
        <f>LEFT(H584,1)</f>
        <v>1</v>
      </c>
    </row>
    <row r="586" spans="1:29" ht="58" x14ac:dyDescent="0.35">
      <c r="A586" s="111" t="str">
        <f t="shared" si="87"/>
        <v>Closed</v>
      </c>
      <c r="B586" s="222">
        <v>45571</v>
      </c>
      <c r="C586" s="14">
        <v>2407</v>
      </c>
      <c r="D586" s="14" t="s">
        <v>3712</v>
      </c>
      <c r="E586" s="14" t="s">
        <v>38</v>
      </c>
      <c r="F586" s="14" t="s">
        <v>1980</v>
      </c>
      <c r="G586" s="14" t="s">
        <v>1900</v>
      </c>
      <c r="H586" s="14">
        <v>107</v>
      </c>
      <c r="I586" s="14" t="s">
        <v>6</v>
      </c>
      <c r="K586" s="87"/>
      <c r="L586" s="14" t="s">
        <v>3713</v>
      </c>
      <c r="M586" s="324">
        <f>IF(I586="Staff Accident","Entry Required",IF(I586="Assaults","Entry Required",0))</f>
        <v>0</v>
      </c>
      <c r="N586" s="14" t="s">
        <v>1879</v>
      </c>
      <c r="O586" s="14" t="s">
        <v>1879</v>
      </c>
      <c r="P586" s="167" t="s">
        <v>143</v>
      </c>
      <c r="Q586" s="14"/>
      <c r="R586" s="170">
        <v>0</v>
      </c>
      <c r="S586" s="108">
        <f t="shared" si="90"/>
        <v>45599</v>
      </c>
      <c r="T586" s="79">
        <v>45571</v>
      </c>
      <c r="U586" s="14"/>
      <c r="V586" s="14"/>
      <c r="W586" s="14"/>
      <c r="X586" s="14"/>
      <c r="Y586" s="15" t="s">
        <v>1982</v>
      </c>
      <c r="Z586" s="14" t="s">
        <v>3714</v>
      </c>
      <c r="AA586" s="2">
        <f t="shared" ca="1" si="92"/>
        <v>1</v>
      </c>
      <c r="AB586" s="153"/>
      <c r="AC586" s="454" t="str">
        <f t="shared" ref="AC586:AC592" si="93">LEFT(H586,1)</f>
        <v>1</v>
      </c>
    </row>
    <row r="587" spans="1:29" ht="72.5" x14ac:dyDescent="0.35">
      <c r="A587" s="89" t="str">
        <f t="shared" si="87"/>
        <v>Closed</v>
      </c>
      <c r="B587" s="222">
        <v>45571</v>
      </c>
      <c r="C587" s="14">
        <v>2407</v>
      </c>
      <c r="D587" s="14" t="s">
        <v>3715</v>
      </c>
      <c r="E587" s="14" t="s">
        <v>27</v>
      </c>
      <c r="F587" s="14" t="s">
        <v>1910</v>
      </c>
      <c r="G587" s="14"/>
      <c r="H587" s="14">
        <v>201</v>
      </c>
      <c r="I587" s="176" t="s">
        <v>5</v>
      </c>
      <c r="K587" s="87"/>
      <c r="L587" s="14" t="s">
        <v>3716</v>
      </c>
      <c r="M587" s="324">
        <f>IF(I587="Staff Accident","Entry Required",IF(I587="Assaults","Entry Required",0))</f>
        <v>0</v>
      </c>
      <c r="N587" s="14" t="s">
        <v>1879</v>
      </c>
      <c r="O587" s="14" t="s">
        <v>1880</v>
      </c>
      <c r="P587" s="167" t="s">
        <v>147</v>
      </c>
      <c r="Q587" s="14" t="s">
        <v>174</v>
      </c>
      <c r="R587" s="223" t="s">
        <v>234</v>
      </c>
      <c r="S587" s="224">
        <f t="shared" si="90"/>
        <v>45599</v>
      </c>
      <c r="T587" s="79">
        <v>45726</v>
      </c>
      <c r="U587" s="14" t="s">
        <v>3717</v>
      </c>
      <c r="V587" s="14" t="s">
        <v>3718</v>
      </c>
      <c r="W587" s="14" t="s">
        <v>1879</v>
      </c>
      <c r="X587" s="176" t="s">
        <v>154</v>
      </c>
      <c r="Y587" s="15" t="s">
        <v>1915</v>
      </c>
      <c r="Z587" s="87" t="s">
        <v>2181</v>
      </c>
      <c r="AA587" s="2">
        <f t="shared" ca="1" si="92"/>
        <v>1</v>
      </c>
      <c r="AB587" s="153"/>
      <c r="AC587" s="454" t="str">
        <f t="shared" si="93"/>
        <v>2</v>
      </c>
    </row>
    <row r="588" spans="1:29" ht="72.5" x14ac:dyDescent="0.35">
      <c r="A588" s="111" t="str">
        <f t="shared" si="87"/>
        <v>Closed</v>
      </c>
      <c r="B588" s="220">
        <v>45571</v>
      </c>
      <c r="C588" s="14">
        <v>2407</v>
      </c>
      <c r="D588" s="14" t="s">
        <v>3719</v>
      </c>
      <c r="E588" s="14" t="s">
        <v>38</v>
      </c>
      <c r="F588" s="14" t="s">
        <v>1910</v>
      </c>
      <c r="G588" s="14" t="s">
        <v>1900</v>
      </c>
      <c r="H588" s="14"/>
      <c r="I588" s="176" t="s">
        <v>2</v>
      </c>
      <c r="J588" s="14">
        <v>8507768</v>
      </c>
      <c r="K588" s="85" t="s">
        <v>137</v>
      </c>
      <c r="L588" s="14" t="s">
        <v>3720</v>
      </c>
      <c r="M588" s="324">
        <v>0</v>
      </c>
      <c r="N588" s="14" t="s">
        <v>1879</v>
      </c>
      <c r="O588" s="14" t="s">
        <v>1879</v>
      </c>
      <c r="P588" s="167" t="s">
        <v>136</v>
      </c>
      <c r="Q588" s="14" t="s">
        <v>135</v>
      </c>
      <c r="R588" s="170" t="s">
        <v>234</v>
      </c>
      <c r="S588" s="108">
        <f>IF(B587="","",B587+28)</f>
        <v>45599</v>
      </c>
      <c r="T588" s="79">
        <v>45681</v>
      </c>
      <c r="U588" s="14"/>
      <c r="V588" s="14"/>
      <c r="W588" s="14"/>
      <c r="X588" s="176"/>
      <c r="Y588" s="15" t="s">
        <v>1915</v>
      </c>
      <c r="Z588" s="87" t="s">
        <v>3721</v>
      </c>
      <c r="AA588" s="2">
        <f ca="1">IF(B587="",3,IF(S588&lt;$A$1,1,0))</f>
        <v>1</v>
      </c>
      <c r="AB588" s="153"/>
      <c r="AC588" s="454" t="str">
        <f t="shared" si="93"/>
        <v/>
      </c>
    </row>
    <row r="589" spans="1:29" ht="87" x14ac:dyDescent="0.35">
      <c r="A589" s="111" t="str">
        <f t="shared" si="87"/>
        <v>Closed</v>
      </c>
      <c r="B589" s="222">
        <v>45569</v>
      </c>
      <c r="C589" s="14">
        <v>2407</v>
      </c>
      <c r="D589" s="14" t="s">
        <v>3722</v>
      </c>
      <c r="E589" s="14" t="s">
        <v>27</v>
      </c>
      <c r="F589" s="14" t="s">
        <v>2962</v>
      </c>
      <c r="G589" s="14"/>
      <c r="H589" s="14">
        <v>111</v>
      </c>
      <c r="I589" s="176" t="s">
        <v>5</v>
      </c>
      <c r="J589" s="14">
        <v>8502862</v>
      </c>
      <c r="K589" s="87"/>
      <c r="L589" s="14" t="s">
        <v>3723</v>
      </c>
      <c r="M589" s="324">
        <f>IF(I589="Staff Accident","Entry Required",IF(I589="Assaults","Entry Required",0))</f>
        <v>0</v>
      </c>
      <c r="N589" s="14" t="s">
        <v>1879</v>
      </c>
      <c r="O589" s="14" t="s">
        <v>1880</v>
      </c>
      <c r="P589" s="167" t="s">
        <v>147</v>
      </c>
      <c r="Q589" s="14" t="s">
        <v>177</v>
      </c>
      <c r="R589" s="170" t="s">
        <v>234</v>
      </c>
      <c r="S589" s="108">
        <f t="shared" ref="S589:S611" si="94">IF(B589="","",B589+28)</f>
        <v>45597</v>
      </c>
      <c r="T589" s="79">
        <v>45620</v>
      </c>
      <c r="U589" s="14" t="s">
        <v>3724</v>
      </c>
      <c r="V589" s="14" t="s">
        <v>3725</v>
      </c>
      <c r="W589" s="14" t="s">
        <v>1879</v>
      </c>
      <c r="X589" s="14" t="s">
        <v>154</v>
      </c>
      <c r="Y589" s="167" t="s">
        <v>2964</v>
      </c>
      <c r="Z589" s="14" t="s">
        <v>3726</v>
      </c>
      <c r="AA589" s="2">
        <f t="shared" ref="AA589:AA611" ca="1" si="95">IF(B589="",3,IF(S589&lt;$A$1,1,0))</f>
        <v>1</v>
      </c>
      <c r="AB589" s="153"/>
      <c r="AC589" s="454" t="str">
        <f t="shared" si="93"/>
        <v>1</v>
      </c>
    </row>
    <row r="590" spans="1:29" ht="159.5" x14ac:dyDescent="0.35">
      <c r="A590" s="111" t="str">
        <f t="shared" si="87"/>
        <v>Closed</v>
      </c>
      <c r="B590" s="222">
        <v>45554</v>
      </c>
      <c r="C590" s="14">
        <v>2407</v>
      </c>
      <c r="D590" s="14" t="s">
        <v>3727</v>
      </c>
      <c r="E590" s="14" t="s">
        <v>31</v>
      </c>
      <c r="F590" s="14" t="s">
        <v>2048</v>
      </c>
      <c r="G590" s="14"/>
      <c r="H590" s="14">
        <v>120</v>
      </c>
      <c r="I590" s="176" t="s">
        <v>155</v>
      </c>
      <c r="K590" s="87"/>
      <c r="L590" s="14" t="s">
        <v>3728</v>
      </c>
      <c r="M590" s="324">
        <f>IF(I590="Staff Accident","Entry Required",IF(I590="Assaults","Entry Required",0))</f>
        <v>0</v>
      </c>
      <c r="N590" s="14" t="s">
        <v>1879</v>
      </c>
      <c r="O590" s="14" t="s">
        <v>1879</v>
      </c>
      <c r="P590" s="167" t="s">
        <v>147</v>
      </c>
      <c r="Q590" s="14" t="s">
        <v>175</v>
      </c>
      <c r="R590" s="170" t="s">
        <v>234</v>
      </c>
      <c r="S590" s="108">
        <f t="shared" si="94"/>
        <v>45582</v>
      </c>
      <c r="T590" s="79">
        <v>45587</v>
      </c>
      <c r="U590" s="14" t="s">
        <v>3729</v>
      </c>
      <c r="V590" s="14" t="s">
        <v>3730</v>
      </c>
      <c r="W590" s="14" t="s">
        <v>1880</v>
      </c>
      <c r="X590" s="14" t="s">
        <v>1883</v>
      </c>
      <c r="Y590" s="167" t="s">
        <v>2050</v>
      </c>
      <c r="Z590" s="14" t="s">
        <v>3731</v>
      </c>
      <c r="AA590" s="2">
        <f t="shared" ca="1" si="95"/>
        <v>1</v>
      </c>
      <c r="AB590" s="153"/>
      <c r="AC590" s="454" t="str">
        <f t="shared" si="93"/>
        <v>1</v>
      </c>
    </row>
    <row r="591" spans="1:29" ht="58" x14ac:dyDescent="0.35">
      <c r="A591" s="111" t="str">
        <f t="shared" si="87"/>
        <v>Closed</v>
      </c>
      <c r="B591" s="222">
        <v>45572</v>
      </c>
      <c r="C591" s="14">
        <v>2407</v>
      </c>
      <c r="D591" s="14" t="s">
        <v>3732</v>
      </c>
      <c r="E591" s="14" t="s">
        <v>26</v>
      </c>
      <c r="F591" s="14" t="s">
        <v>1980</v>
      </c>
      <c r="G591" s="14"/>
      <c r="H591" s="14">
        <v>119</v>
      </c>
      <c r="I591" s="176" t="s">
        <v>140</v>
      </c>
      <c r="J591" s="14">
        <v>54567</v>
      </c>
      <c r="K591" s="87"/>
      <c r="L591" s="14" t="s">
        <v>3733</v>
      </c>
      <c r="M591" s="324">
        <f>IF(I591="Staff Accident","Entry Required",IF(I591="Assaults","Entry Required",0))</f>
        <v>0</v>
      </c>
      <c r="N591" s="14" t="s">
        <v>1879</v>
      </c>
      <c r="O591" s="14" t="s">
        <v>1879</v>
      </c>
      <c r="P591" s="167" t="s">
        <v>143</v>
      </c>
      <c r="Q591" s="14"/>
      <c r="R591" s="170">
        <v>0</v>
      </c>
      <c r="S591" s="108">
        <f t="shared" si="94"/>
        <v>45600</v>
      </c>
      <c r="T591" s="79">
        <v>45572</v>
      </c>
      <c r="U591" s="14"/>
      <c r="V591" s="14"/>
      <c r="W591" s="14"/>
      <c r="X591" s="14"/>
      <c r="Y591" s="15" t="s">
        <v>1982</v>
      </c>
      <c r="Z591" s="14"/>
      <c r="AA591" s="2">
        <f t="shared" ca="1" si="95"/>
        <v>1</v>
      </c>
      <c r="AB591" s="153"/>
      <c r="AC591" s="454" t="str">
        <f t="shared" si="93"/>
        <v>1</v>
      </c>
    </row>
    <row r="592" spans="1:29" ht="58" x14ac:dyDescent="0.35">
      <c r="A592" s="111" t="str">
        <f t="shared" si="87"/>
        <v>Closed</v>
      </c>
      <c r="B592" s="222">
        <v>45573</v>
      </c>
      <c r="C592" s="14">
        <v>2407</v>
      </c>
      <c r="D592" s="14" t="s">
        <v>3734</v>
      </c>
      <c r="E592" s="14" t="s">
        <v>40</v>
      </c>
      <c r="F592" s="14" t="s">
        <v>3633</v>
      </c>
      <c r="G592" s="14" t="s">
        <v>1911</v>
      </c>
      <c r="H592" s="14">
        <v>105</v>
      </c>
      <c r="I592" s="176" t="s">
        <v>4</v>
      </c>
      <c r="J592" s="14">
        <v>58278</v>
      </c>
      <c r="K592" s="14" t="s">
        <v>137</v>
      </c>
      <c r="L592" s="14" t="s">
        <v>3735</v>
      </c>
      <c r="M592" s="324">
        <v>0</v>
      </c>
      <c r="N592" s="14" t="s">
        <v>1879</v>
      </c>
      <c r="O592" s="14" t="s">
        <v>1880</v>
      </c>
      <c r="P592" s="167" t="s">
        <v>139</v>
      </c>
      <c r="Q592" s="14" t="s">
        <v>168</v>
      </c>
      <c r="R592" s="170" t="s">
        <v>234</v>
      </c>
      <c r="S592" s="108">
        <f t="shared" si="94"/>
        <v>45601</v>
      </c>
      <c r="T592" s="79">
        <v>45587</v>
      </c>
      <c r="U592" s="14" t="s">
        <v>3736</v>
      </c>
      <c r="V592" s="14" t="s">
        <v>3737</v>
      </c>
      <c r="W592" s="14" t="s">
        <v>1879</v>
      </c>
      <c r="X592" s="14" t="s">
        <v>1879</v>
      </c>
      <c r="Y592" s="167" t="s">
        <v>2050</v>
      </c>
      <c r="Z592" s="14" t="s">
        <v>3738</v>
      </c>
      <c r="AA592" s="2">
        <f t="shared" ca="1" si="95"/>
        <v>1</v>
      </c>
      <c r="AB592" s="153"/>
      <c r="AC592" s="454" t="str">
        <f t="shared" si="93"/>
        <v>1</v>
      </c>
    </row>
    <row r="593" spans="1:29" ht="29" x14ac:dyDescent="0.35">
      <c r="A593" s="111" t="str">
        <f t="shared" si="87"/>
        <v>Closed</v>
      </c>
      <c r="B593" s="222">
        <v>45563</v>
      </c>
      <c r="C593" s="14">
        <v>2407</v>
      </c>
      <c r="D593" s="14" t="s">
        <v>3739</v>
      </c>
      <c r="E593" s="14" t="s">
        <v>38</v>
      </c>
      <c r="F593" s="14" t="s">
        <v>1972</v>
      </c>
      <c r="G593" s="14"/>
      <c r="H593" s="14"/>
      <c r="I593" s="176" t="s">
        <v>2</v>
      </c>
      <c r="K593" s="85" t="s">
        <v>137</v>
      </c>
      <c r="L593" s="14" t="s">
        <v>3740</v>
      </c>
      <c r="M593" s="324">
        <v>2</v>
      </c>
      <c r="N593" s="14" t="s">
        <v>1879</v>
      </c>
      <c r="O593" s="14" t="s">
        <v>1880</v>
      </c>
      <c r="P593" s="167" t="s">
        <v>147</v>
      </c>
      <c r="Q593" s="14" t="s">
        <v>184</v>
      </c>
      <c r="R593" s="170" t="s">
        <v>241</v>
      </c>
      <c r="S593" s="108">
        <f t="shared" si="94"/>
        <v>45591</v>
      </c>
      <c r="T593" s="79">
        <v>45581</v>
      </c>
      <c r="U593" s="14"/>
      <c r="V593" s="14"/>
      <c r="W593" s="14"/>
      <c r="X593" s="14"/>
      <c r="Z593" s="14"/>
      <c r="AA593" s="2">
        <f t="shared" ca="1" si="95"/>
        <v>1</v>
      </c>
      <c r="AB593" s="153"/>
      <c r="AC593" s="454"/>
    </row>
    <row r="594" spans="1:29" ht="43.5" x14ac:dyDescent="0.35">
      <c r="A594" s="89" t="str">
        <f t="shared" si="87"/>
        <v>Closed</v>
      </c>
      <c r="B594" s="222">
        <v>45574</v>
      </c>
      <c r="C594" s="14">
        <v>2407</v>
      </c>
      <c r="D594" s="14" t="s">
        <v>1568</v>
      </c>
      <c r="E594" s="14" t="s">
        <v>42</v>
      </c>
      <c r="F594" s="14" t="s">
        <v>2037</v>
      </c>
      <c r="G594" s="14" t="s">
        <v>1900</v>
      </c>
      <c r="H594" s="14"/>
      <c r="I594" s="176" t="s">
        <v>4</v>
      </c>
      <c r="J594" s="14">
        <v>77392</v>
      </c>
      <c r="K594" s="14" t="s">
        <v>137</v>
      </c>
      <c r="L594" s="14" t="s">
        <v>3741</v>
      </c>
      <c r="M594" s="324">
        <v>0</v>
      </c>
      <c r="N594" s="14" t="s">
        <v>1879</v>
      </c>
      <c r="O594" s="14" t="s">
        <v>1880</v>
      </c>
      <c r="P594" s="167" t="s">
        <v>139</v>
      </c>
      <c r="Q594" s="14" t="s">
        <v>138</v>
      </c>
      <c r="R594" s="223" t="s">
        <v>234</v>
      </c>
      <c r="S594" s="224">
        <f t="shared" si="94"/>
        <v>45602</v>
      </c>
      <c r="T594" s="79">
        <v>45957</v>
      </c>
      <c r="U594" s="14" t="s">
        <v>3742</v>
      </c>
      <c r="V594" s="14" t="s">
        <v>3743</v>
      </c>
      <c r="W594" s="14" t="s">
        <v>1879</v>
      </c>
      <c r="X594" s="14" t="s">
        <v>1883</v>
      </c>
      <c r="Y594" s="167" t="s">
        <v>2039</v>
      </c>
      <c r="Z594" s="14"/>
      <c r="AA594" s="2">
        <f t="shared" ca="1" si="95"/>
        <v>1</v>
      </c>
      <c r="AB594" s="153"/>
      <c r="AC594" s="454" t="str">
        <f t="shared" ref="AC594:AC625" si="96">LEFT(H594,1)</f>
        <v/>
      </c>
    </row>
    <row r="595" spans="1:29" ht="43.5" x14ac:dyDescent="0.35">
      <c r="A595" s="89" t="str">
        <f t="shared" si="87"/>
        <v>Closed</v>
      </c>
      <c r="B595" s="222">
        <v>45574</v>
      </c>
      <c r="C595" s="14">
        <v>2407</v>
      </c>
      <c r="D595" s="14" t="s">
        <v>1163</v>
      </c>
      <c r="E595" s="14" t="s">
        <v>41</v>
      </c>
      <c r="F595" s="14" t="s">
        <v>2205</v>
      </c>
      <c r="H595" s="14">
        <v>119</v>
      </c>
      <c r="I595" s="176" t="s">
        <v>4</v>
      </c>
      <c r="K595" s="14" t="s">
        <v>137</v>
      </c>
      <c r="L595" s="14" t="s">
        <v>3744</v>
      </c>
      <c r="M595" s="324">
        <v>0</v>
      </c>
      <c r="N595" s="14" t="s">
        <v>1879</v>
      </c>
      <c r="O595" s="14" t="s">
        <v>1879</v>
      </c>
      <c r="P595" s="167" t="s">
        <v>139</v>
      </c>
      <c r="Q595" s="14" t="s">
        <v>138</v>
      </c>
      <c r="R595" s="223" t="s">
        <v>234</v>
      </c>
      <c r="S595" s="224">
        <f t="shared" si="94"/>
        <v>45602</v>
      </c>
      <c r="T595" s="79">
        <v>45586</v>
      </c>
      <c r="U595" s="14" t="s">
        <v>3745</v>
      </c>
      <c r="V595" s="14" t="s">
        <v>3746</v>
      </c>
      <c r="W595" s="14" t="s">
        <v>1879</v>
      </c>
      <c r="X595" s="14" t="s">
        <v>1880</v>
      </c>
      <c r="Y595" s="14" t="s">
        <v>2726</v>
      </c>
      <c r="Z595" s="14" t="s">
        <v>3747</v>
      </c>
      <c r="AA595" s="2">
        <f t="shared" ca="1" si="95"/>
        <v>1</v>
      </c>
      <c r="AB595" s="153"/>
      <c r="AC595" s="454" t="str">
        <f t="shared" si="96"/>
        <v>1</v>
      </c>
    </row>
    <row r="596" spans="1:29" x14ac:dyDescent="0.35">
      <c r="A596" s="89" t="str">
        <f t="shared" si="87"/>
        <v>Closed</v>
      </c>
      <c r="B596" s="222">
        <v>45574</v>
      </c>
      <c r="C596" s="14">
        <v>2407</v>
      </c>
      <c r="D596" s="14" t="s">
        <v>3748</v>
      </c>
      <c r="E596" s="14" t="s">
        <v>8</v>
      </c>
      <c r="F596" s="14" t="s">
        <v>2119</v>
      </c>
      <c r="G596" s="14" t="s">
        <v>1900</v>
      </c>
      <c r="H596" s="14"/>
      <c r="I596" s="176" t="s">
        <v>140</v>
      </c>
      <c r="K596" s="87"/>
      <c r="L596" s="14" t="s">
        <v>3749</v>
      </c>
      <c r="M596" s="324">
        <f t="shared" ref="M596:M616" si="97">IF(I596="Staff Accident","Entry Required",IF(I596="Assaults","Entry Required",0))</f>
        <v>0</v>
      </c>
      <c r="N596" s="14" t="s">
        <v>1879</v>
      </c>
      <c r="O596" s="14" t="s">
        <v>1879</v>
      </c>
      <c r="P596" s="167" t="s">
        <v>143</v>
      </c>
      <c r="Q596" s="14"/>
      <c r="R596" s="223">
        <v>0</v>
      </c>
      <c r="S596" s="224">
        <f t="shared" si="94"/>
        <v>45602</v>
      </c>
      <c r="T596" s="79">
        <v>45574</v>
      </c>
      <c r="U596" s="14"/>
      <c r="V596" s="14"/>
      <c r="W596" s="14"/>
      <c r="X596" s="14"/>
      <c r="Y596" s="14" t="s">
        <v>2093</v>
      </c>
      <c r="Z596" s="14"/>
      <c r="AA596" s="2">
        <f t="shared" ca="1" si="95"/>
        <v>1</v>
      </c>
      <c r="AB596" s="153"/>
      <c r="AC596" s="454" t="str">
        <f t="shared" si="96"/>
        <v/>
      </c>
    </row>
    <row r="597" spans="1:29" ht="58" x14ac:dyDescent="0.35">
      <c r="A597" s="89" t="str">
        <f t="shared" si="87"/>
        <v>Closed</v>
      </c>
      <c r="B597" s="222">
        <v>45575</v>
      </c>
      <c r="C597" s="14">
        <v>2407</v>
      </c>
      <c r="D597" s="14" t="s">
        <v>1572</v>
      </c>
      <c r="E597" s="14" t="s">
        <v>78</v>
      </c>
      <c r="F597" s="14" t="s">
        <v>2147</v>
      </c>
      <c r="G597" s="14" t="s">
        <v>1911</v>
      </c>
      <c r="H597" s="14">
        <v>123</v>
      </c>
      <c r="I597" s="176" t="s">
        <v>155</v>
      </c>
      <c r="J597" s="14">
        <v>850625</v>
      </c>
      <c r="K597" s="87"/>
      <c r="L597" s="14" t="s">
        <v>3750</v>
      </c>
      <c r="M597" s="324">
        <f t="shared" si="97"/>
        <v>0</v>
      </c>
      <c r="N597" s="14" t="s">
        <v>1879</v>
      </c>
      <c r="O597" s="14" t="s">
        <v>1880</v>
      </c>
      <c r="P597" s="167" t="s">
        <v>147</v>
      </c>
      <c r="Q597" s="14" t="s">
        <v>175</v>
      </c>
      <c r="R597" s="223" t="s">
        <v>234</v>
      </c>
      <c r="S597" s="224">
        <f t="shared" si="94"/>
        <v>45603</v>
      </c>
      <c r="T597" s="79">
        <v>45631</v>
      </c>
      <c r="U597" s="14" t="s">
        <v>3751</v>
      </c>
      <c r="V597" s="14" t="s">
        <v>2102</v>
      </c>
      <c r="W597" s="14" t="s">
        <v>1880</v>
      </c>
      <c r="X597" s="14" t="s">
        <v>1880</v>
      </c>
      <c r="Y597" s="14" t="s">
        <v>2150</v>
      </c>
      <c r="Z597" s="14" t="s">
        <v>3752</v>
      </c>
      <c r="AA597" s="2">
        <f t="shared" ca="1" si="95"/>
        <v>1</v>
      </c>
      <c r="AB597" s="153"/>
      <c r="AC597" s="454" t="str">
        <f t="shared" si="96"/>
        <v>1</v>
      </c>
    </row>
    <row r="598" spans="1:29" ht="29" x14ac:dyDescent="0.35">
      <c r="A598" s="111" t="str">
        <f t="shared" si="87"/>
        <v>Closed</v>
      </c>
      <c r="B598" s="222">
        <v>45575</v>
      </c>
      <c r="C598" s="14">
        <v>2407</v>
      </c>
      <c r="D598" s="14" t="s">
        <v>3753</v>
      </c>
      <c r="E598" s="14" t="s">
        <v>219</v>
      </c>
      <c r="F598" s="14" t="s">
        <v>2027</v>
      </c>
      <c r="G598" s="14" t="s">
        <v>1900</v>
      </c>
      <c r="H598" s="14">
        <v>202</v>
      </c>
      <c r="I598" s="176" t="s">
        <v>140</v>
      </c>
      <c r="K598" s="87"/>
      <c r="L598" s="14" t="s">
        <v>3754</v>
      </c>
      <c r="M598" s="324">
        <f t="shared" si="97"/>
        <v>0</v>
      </c>
      <c r="N598" s="14" t="s">
        <v>1879</v>
      </c>
      <c r="O598" s="14" t="s">
        <v>1879</v>
      </c>
      <c r="P598" s="167" t="s">
        <v>143</v>
      </c>
      <c r="Q598" s="14"/>
      <c r="R598" s="170">
        <v>0</v>
      </c>
      <c r="S598" s="108">
        <f t="shared" si="94"/>
        <v>45603</v>
      </c>
      <c r="T598" s="79">
        <v>45575</v>
      </c>
      <c r="U598" s="14"/>
      <c r="V598" s="14"/>
      <c r="W598" s="14"/>
      <c r="X598" s="14"/>
      <c r="Z598" s="14"/>
      <c r="AA598" s="2">
        <f t="shared" ca="1" si="95"/>
        <v>1</v>
      </c>
      <c r="AB598" s="153"/>
      <c r="AC598" s="454" t="str">
        <f t="shared" si="96"/>
        <v>2</v>
      </c>
    </row>
    <row r="599" spans="1:29" ht="58" x14ac:dyDescent="0.35">
      <c r="A599" s="111" t="str">
        <f t="shared" si="87"/>
        <v>Closed</v>
      </c>
      <c r="B599" s="222">
        <v>45575</v>
      </c>
      <c r="C599" s="14">
        <v>2407</v>
      </c>
      <c r="D599" s="14" t="s">
        <v>3755</v>
      </c>
      <c r="E599" s="14" t="s">
        <v>192</v>
      </c>
      <c r="F599" s="14" t="s">
        <v>2147</v>
      </c>
      <c r="G599" s="14"/>
      <c r="H599" s="14">
        <v>107</v>
      </c>
      <c r="I599" s="176" t="s">
        <v>140</v>
      </c>
      <c r="J599" s="14">
        <v>4187</v>
      </c>
      <c r="K599" s="87"/>
      <c r="L599" s="14" t="s">
        <v>3756</v>
      </c>
      <c r="M599" s="324">
        <f t="shared" si="97"/>
        <v>0</v>
      </c>
      <c r="N599" s="14" t="s">
        <v>1879</v>
      </c>
      <c r="O599" s="14" t="s">
        <v>1879</v>
      </c>
      <c r="P599" s="167" t="s">
        <v>143</v>
      </c>
      <c r="Q599" s="14"/>
      <c r="R599" s="170">
        <v>0</v>
      </c>
      <c r="S599" s="108">
        <f t="shared" si="94"/>
        <v>45603</v>
      </c>
      <c r="T599" s="79">
        <v>45575</v>
      </c>
      <c r="U599" s="14"/>
      <c r="V599" s="14"/>
      <c r="W599" s="14"/>
      <c r="X599" s="14"/>
      <c r="Y599" s="14" t="s">
        <v>2150</v>
      </c>
      <c r="Z599" s="14"/>
      <c r="AA599" s="2">
        <f t="shared" ca="1" si="95"/>
        <v>1</v>
      </c>
      <c r="AB599" s="153"/>
      <c r="AC599" s="454" t="str">
        <f t="shared" si="96"/>
        <v>1</v>
      </c>
    </row>
    <row r="600" spans="1:29" ht="29" x14ac:dyDescent="0.35">
      <c r="A600" s="111" t="str">
        <f t="shared" si="87"/>
        <v>Closed</v>
      </c>
      <c r="B600" s="222">
        <v>45575</v>
      </c>
      <c r="C600" s="14">
        <v>2407</v>
      </c>
      <c r="D600" s="14" t="s">
        <v>3757</v>
      </c>
      <c r="E600" s="14" t="s">
        <v>219</v>
      </c>
      <c r="F600" s="14" t="s">
        <v>2073</v>
      </c>
      <c r="G600" s="14"/>
      <c r="H600" s="14"/>
      <c r="I600" s="176" t="s">
        <v>140</v>
      </c>
      <c r="K600" s="87"/>
      <c r="L600" s="14" t="s">
        <v>3758</v>
      </c>
      <c r="M600" s="324">
        <f t="shared" si="97"/>
        <v>0</v>
      </c>
      <c r="N600" s="14" t="s">
        <v>1879</v>
      </c>
      <c r="O600" s="14" t="s">
        <v>1879</v>
      </c>
      <c r="P600" s="167" t="s">
        <v>143</v>
      </c>
      <c r="Q600" s="14"/>
      <c r="R600" s="170">
        <v>0</v>
      </c>
      <c r="S600" s="108">
        <f t="shared" si="94"/>
        <v>45603</v>
      </c>
      <c r="T600" s="79">
        <v>45575</v>
      </c>
      <c r="U600" s="14"/>
      <c r="V600" s="14"/>
      <c r="W600" s="14"/>
      <c r="X600" s="14"/>
      <c r="Y600" s="15" t="s">
        <v>2075</v>
      </c>
      <c r="Z600" s="14"/>
      <c r="AA600" s="2">
        <f t="shared" ca="1" si="95"/>
        <v>1</v>
      </c>
      <c r="AB600" s="153"/>
      <c r="AC600" s="454" t="str">
        <f t="shared" si="96"/>
        <v/>
      </c>
    </row>
    <row r="601" spans="1:29" ht="29" x14ac:dyDescent="0.35">
      <c r="A601" s="111" t="str">
        <f t="shared" si="87"/>
        <v>Closed</v>
      </c>
      <c r="B601" s="222">
        <v>45575</v>
      </c>
      <c r="C601" s="14">
        <v>2407</v>
      </c>
      <c r="D601" s="14" t="s">
        <v>3759</v>
      </c>
      <c r="E601" s="14" t="s">
        <v>8</v>
      </c>
      <c r="F601" s="14" t="s">
        <v>1925</v>
      </c>
      <c r="G601" s="14" t="s">
        <v>1900</v>
      </c>
      <c r="H601" s="14"/>
      <c r="I601" s="176" t="s">
        <v>140</v>
      </c>
      <c r="K601" s="87"/>
      <c r="L601" s="14" t="s">
        <v>3760</v>
      </c>
      <c r="M601" s="324">
        <f t="shared" si="97"/>
        <v>0</v>
      </c>
      <c r="N601" s="14" t="s">
        <v>1879</v>
      </c>
      <c r="O601" s="14" t="s">
        <v>1879</v>
      </c>
      <c r="P601" s="167" t="s">
        <v>143</v>
      </c>
      <c r="Q601" s="14"/>
      <c r="R601" s="170">
        <v>0</v>
      </c>
      <c r="S601" s="108">
        <f t="shared" si="94"/>
        <v>45603</v>
      </c>
      <c r="T601" s="79">
        <v>45575</v>
      </c>
      <c r="U601" s="14"/>
      <c r="V601" s="14"/>
      <c r="W601" s="14"/>
      <c r="X601" s="14"/>
      <c r="Y601" s="167" t="s">
        <v>1929</v>
      </c>
      <c r="Z601" s="14"/>
      <c r="AA601" s="2">
        <f t="shared" ca="1" si="95"/>
        <v>1</v>
      </c>
      <c r="AB601" s="153"/>
      <c r="AC601" s="454" t="str">
        <f t="shared" si="96"/>
        <v/>
      </c>
    </row>
    <row r="602" spans="1:29" ht="101.5" x14ac:dyDescent="0.45">
      <c r="A602" s="111" t="str">
        <f t="shared" si="87"/>
        <v>Closed</v>
      </c>
      <c r="B602" s="222">
        <v>45575</v>
      </c>
      <c r="C602" s="14">
        <v>2407</v>
      </c>
      <c r="D602" s="14" t="s">
        <v>3761</v>
      </c>
      <c r="E602" s="14" t="s">
        <v>192</v>
      </c>
      <c r="F602" s="14" t="s">
        <v>2338</v>
      </c>
      <c r="G602" s="14"/>
      <c r="H602" s="14">
        <v>108</v>
      </c>
      <c r="I602" s="176" t="s">
        <v>140</v>
      </c>
      <c r="J602" s="14">
        <v>37</v>
      </c>
      <c r="K602" s="87"/>
      <c r="L602" s="14" t="s">
        <v>3762</v>
      </c>
      <c r="M602" s="324">
        <f t="shared" si="97"/>
        <v>0</v>
      </c>
      <c r="N602" s="14" t="s">
        <v>1879</v>
      </c>
      <c r="O602" s="14" t="s">
        <v>1879</v>
      </c>
      <c r="P602" s="167" t="s">
        <v>143</v>
      </c>
      <c r="Q602" s="14"/>
      <c r="R602" s="170">
        <v>0</v>
      </c>
      <c r="S602" s="108">
        <f t="shared" si="94"/>
        <v>45603</v>
      </c>
      <c r="T602" s="79">
        <v>45575</v>
      </c>
      <c r="U602" s="14"/>
      <c r="V602" s="14"/>
      <c r="W602" s="14"/>
      <c r="X602" s="14"/>
      <c r="Y602" s="463" t="s">
        <v>2340</v>
      </c>
      <c r="Z602" s="14"/>
      <c r="AA602" s="2">
        <f t="shared" ca="1" si="95"/>
        <v>1</v>
      </c>
      <c r="AB602" s="153"/>
      <c r="AC602" s="454" t="str">
        <f t="shared" si="96"/>
        <v>1</v>
      </c>
    </row>
    <row r="603" spans="1:29" ht="43.5" x14ac:dyDescent="0.35">
      <c r="A603" s="89" t="str">
        <f t="shared" si="87"/>
        <v>Closed</v>
      </c>
      <c r="B603" s="222">
        <v>45576</v>
      </c>
      <c r="C603" s="14">
        <v>2407</v>
      </c>
      <c r="D603" s="14" t="s">
        <v>3763</v>
      </c>
      <c r="E603" s="14" t="s">
        <v>27</v>
      </c>
      <c r="F603" s="14" t="s">
        <v>2003</v>
      </c>
      <c r="G603" s="14" t="s">
        <v>1911</v>
      </c>
      <c r="H603" s="14">
        <v>122</v>
      </c>
      <c r="I603" s="176" t="s">
        <v>5</v>
      </c>
      <c r="K603" s="87"/>
      <c r="L603" s="14" t="s">
        <v>3764</v>
      </c>
      <c r="M603" s="324">
        <f t="shared" si="97"/>
        <v>0</v>
      </c>
      <c r="N603" s="14" t="s">
        <v>1879</v>
      </c>
      <c r="O603" s="14" t="s">
        <v>1879</v>
      </c>
      <c r="P603" s="167" t="s">
        <v>147</v>
      </c>
      <c r="Q603" s="14" t="s">
        <v>174</v>
      </c>
      <c r="R603" s="223" t="s">
        <v>234</v>
      </c>
      <c r="S603" s="224">
        <f t="shared" si="94"/>
        <v>45604</v>
      </c>
      <c r="T603" s="79">
        <v>45726</v>
      </c>
      <c r="U603" s="14" t="s">
        <v>3765</v>
      </c>
      <c r="V603" s="14" t="s">
        <v>3766</v>
      </c>
      <c r="W603" s="14" t="s">
        <v>1879</v>
      </c>
      <c r="X603" s="14" t="s">
        <v>1883</v>
      </c>
      <c r="Y603" s="14" t="s">
        <v>2504</v>
      </c>
      <c r="Z603" s="14" t="s">
        <v>2181</v>
      </c>
      <c r="AA603" s="2">
        <f t="shared" ca="1" si="95"/>
        <v>1</v>
      </c>
      <c r="AB603" s="153"/>
      <c r="AC603" s="454" t="str">
        <f t="shared" si="96"/>
        <v>1</v>
      </c>
    </row>
    <row r="604" spans="1:29" ht="43.5" x14ac:dyDescent="0.35">
      <c r="A604" s="111" t="str">
        <f t="shared" si="87"/>
        <v>Closed</v>
      </c>
      <c r="B604" s="222">
        <v>45576</v>
      </c>
      <c r="C604" s="14">
        <v>2407</v>
      </c>
      <c r="D604" s="14" t="s">
        <v>3767</v>
      </c>
      <c r="E604" s="14" t="s">
        <v>219</v>
      </c>
      <c r="F604" s="14" t="s">
        <v>1925</v>
      </c>
      <c r="G604" s="14" t="s">
        <v>1911</v>
      </c>
      <c r="H604" s="14">
        <v>109</v>
      </c>
      <c r="I604" s="176" t="s">
        <v>140</v>
      </c>
      <c r="K604" s="87"/>
      <c r="L604" s="14" t="s">
        <v>3768</v>
      </c>
      <c r="M604" s="324">
        <f t="shared" si="97"/>
        <v>0</v>
      </c>
      <c r="N604" s="14" t="s">
        <v>1879</v>
      </c>
      <c r="O604" s="14" t="s">
        <v>1879</v>
      </c>
      <c r="P604" s="167" t="s">
        <v>143</v>
      </c>
      <c r="Q604" s="14"/>
      <c r="R604" s="170">
        <v>0</v>
      </c>
      <c r="S604" s="108">
        <f t="shared" si="94"/>
        <v>45604</v>
      </c>
      <c r="T604" s="79">
        <v>45576</v>
      </c>
      <c r="U604" s="14"/>
      <c r="V604" s="14"/>
      <c r="W604" s="14"/>
      <c r="X604" s="14"/>
      <c r="Y604" s="167" t="s">
        <v>1929</v>
      </c>
      <c r="Z604" s="14"/>
      <c r="AA604" s="2">
        <f t="shared" ca="1" si="95"/>
        <v>1</v>
      </c>
      <c r="AB604" s="153"/>
      <c r="AC604" s="454" t="str">
        <f t="shared" si="96"/>
        <v>1</v>
      </c>
    </row>
    <row r="605" spans="1:29" ht="43.5" x14ac:dyDescent="0.35">
      <c r="A605" s="111" t="str">
        <f t="shared" si="87"/>
        <v>Closed</v>
      </c>
      <c r="B605" s="222">
        <v>45576</v>
      </c>
      <c r="C605" s="14">
        <v>2407</v>
      </c>
      <c r="D605" s="14" t="s">
        <v>3769</v>
      </c>
      <c r="E605" s="14" t="s">
        <v>85</v>
      </c>
      <c r="F605" s="14" t="s">
        <v>1980</v>
      </c>
      <c r="G605" s="14" t="s">
        <v>1911</v>
      </c>
      <c r="H605" s="14">
        <v>101</v>
      </c>
      <c r="I605" s="176" t="s">
        <v>140</v>
      </c>
      <c r="K605" s="87"/>
      <c r="L605" s="14" t="s">
        <v>3770</v>
      </c>
      <c r="M605" s="324">
        <f t="shared" si="97"/>
        <v>0</v>
      </c>
      <c r="N605" s="14" t="s">
        <v>1879</v>
      </c>
      <c r="O605" s="14" t="s">
        <v>1879</v>
      </c>
      <c r="P605" s="167" t="s">
        <v>143</v>
      </c>
      <c r="Q605" s="14"/>
      <c r="R605" s="170">
        <v>0</v>
      </c>
      <c r="S605" s="108">
        <f t="shared" si="94"/>
        <v>45604</v>
      </c>
      <c r="T605" s="79">
        <v>45576</v>
      </c>
      <c r="U605" s="14"/>
      <c r="V605" s="14"/>
      <c r="W605" s="14"/>
      <c r="X605" s="14"/>
      <c r="Y605" s="15" t="s">
        <v>1982</v>
      </c>
      <c r="Z605" s="14"/>
      <c r="AA605" s="2">
        <f t="shared" ca="1" si="95"/>
        <v>1</v>
      </c>
      <c r="AB605" s="153"/>
      <c r="AC605" s="454" t="str">
        <f t="shared" si="96"/>
        <v>1</v>
      </c>
    </row>
    <row r="606" spans="1:29" ht="58" x14ac:dyDescent="0.35">
      <c r="A606" s="111" t="str">
        <f t="shared" si="87"/>
        <v>Closed</v>
      </c>
      <c r="B606" s="222">
        <v>45576</v>
      </c>
      <c r="C606" s="14">
        <v>2407</v>
      </c>
      <c r="D606" s="14" t="s">
        <v>3771</v>
      </c>
      <c r="E606" s="14" t="s">
        <v>192</v>
      </c>
      <c r="F606" s="14" t="s">
        <v>1980</v>
      </c>
      <c r="G606" s="30" t="s">
        <v>1911</v>
      </c>
      <c r="H606" s="14"/>
      <c r="I606" s="176" t="s">
        <v>140</v>
      </c>
      <c r="K606" s="87"/>
      <c r="L606" s="14" t="s">
        <v>3772</v>
      </c>
      <c r="M606" s="324">
        <f t="shared" si="97"/>
        <v>0</v>
      </c>
      <c r="N606" s="14" t="s">
        <v>1879</v>
      </c>
      <c r="O606" s="14" t="s">
        <v>1879</v>
      </c>
      <c r="P606" s="167" t="s">
        <v>143</v>
      </c>
      <c r="Q606" s="14"/>
      <c r="R606" s="170">
        <v>0</v>
      </c>
      <c r="S606" s="108">
        <f t="shared" si="94"/>
        <v>45604</v>
      </c>
      <c r="T606" s="79">
        <v>45576</v>
      </c>
      <c r="U606" s="14"/>
      <c r="V606" s="14"/>
      <c r="W606" s="14"/>
      <c r="X606" s="14"/>
      <c r="Y606" s="15" t="s">
        <v>1982</v>
      </c>
      <c r="Z606" s="14"/>
      <c r="AA606" s="2">
        <f t="shared" ca="1" si="95"/>
        <v>1</v>
      </c>
      <c r="AB606" s="153"/>
      <c r="AC606" s="454" t="str">
        <f t="shared" si="96"/>
        <v/>
      </c>
    </row>
    <row r="607" spans="1:29" ht="58" x14ac:dyDescent="0.35">
      <c r="A607" s="89" t="str">
        <f t="shared" si="87"/>
        <v>Closed</v>
      </c>
      <c r="B607" s="222">
        <v>45576</v>
      </c>
      <c r="C607" s="14">
        <v>2407</v>
      </c>
      <c r="D607" s="14" t="s">
        <v>3773</v>
      </c>
      <c r="E607" s="14" t="s">
        <v>27</v>
      </c>
      <c r="F607" s="14" t="s">
        <v>2255</v>
      </c>
      <c r="G607" s="14" t="s">
        <v>1911</v>
      </c>
      <c r="H607" s="14">
        <v>108</v>
      </c>
      <c r="I607" s="176" t="s">
        <v>5</v>
      </c>
      <c r="K607" s="87"/>
      <c r="L607" s="14" t="s">
        <v>3774</v>
      </c>
      <c r="M607" s="324">
        <f t="shared" si="97"/>
        <v>0</v>
      </c>
      <c r="N607" s="14" t="s">
        <v>1879</v>
      </c>
      <c r="O607" s="14" t="s">
        <v>1880</v>
      </c>
      <c r="P607" s="167" t="s">
        <v>147</v>
      </c>
      <c r="Q607" s="14" t="s">
        <v>135</v>
      </c>
      <c r="R607" s="223" t="s">
        <v>234</v>
      </c>
      <c r="S607" s="224">
        <f t="shared" si="94"/>
        <v>45604</v>
      </c>
      <c r="T607" s="79">
        <v>45670</v>
      </c>
      <c r="U607" s="14"/>
      <c r="V607" s="14"/>
      <c r="W607" s="14"/>
      <c r="X607" s="14"/>
      <c r="Y607" s="14" t="s">
        <v>2259</v>
      </c>
      <c r="Z607" s="14" t="s">
        <v>3775</v>
      </c>
      <c r="AA607" s="2">
        <f t="shared" ca="1" si="95"/>
        <v>1</v>
      </c>
      <c r="AB607" s="153"/>
      <c r="AC607" s="454" t="str">
        <f t="shared" si="96"/>
        <v>1</v>
      </c>
    </row>
    <row r="608" spans="1:29" ht="43.5" x14ac:dyDescent="0.35">
      <c r="A608" s="89" t="str">
        <f t="shared" si="87"/>
        <v>Closed</v>
      </c>
      <c r="B608" s="222">
        <v>45576</v>
      </c>
      <c r="C608" s="14">
        <v>2407</v>
      </c>
      <c r="D608" s="14" t="s">
        <v>3776</v>
      </c>
      <c r="E608" s="14" t="s">
        <v>85</v>
      </c>
      <c r="F608" s="14" t="s">
        <v>1910</v>
      </c>
      <c r="G608" s="14" t="s">
        <v>1911</v>
      </c>
      <c r="H608" s="14">
        <v>108</v>
      </c>
      <c r="I608" s="176" t="s">
        <v>140</v>
      </c>
      <c r="K608" s="87"/>
      <c r="L608" s="14" t="s">
        <v>3777</v>
      </c>
      <c r="M608" s="324">
        <f t="shared" si="97"/>
        <v>0</v>
      </c>
      <c r="N608" s="14" t="s">
        <v>1879</v>
      </c>
      <c r="O608" s="14" t="s">
        <v>1879</v>
      </c>
      <c r="P608" s="167" t="s">
        <v>143</v>
      </c>
      <c r="Q608" s="14"/>
      <c r="R608" s="223">
        <v>0</v>
      </c>
      <c r="S608" s="224">
        <f t="shared" si="94"/>
        <v>45604</v>
      </c>
      <c r="T608" s="79">
        <v>45576</v>
      </c>
      <c r="U608" s="14"/>
      <c r="V608" s="14"/>
      <c r="W608" s="14"/>
      <c r="X608" s="14"/>
      <c r="Y608" s="23" t="s">
        <v>1915</v>
      </c>
      <c r="Z608" s="14"/>
      <c r="AA608" s="2">
        <f t="shared" ca="1" si="95"/>
        <v>1</v>
      </c>
      <c r="AB608" s="153"/>
      <c r="AC608" s="454" t="str">
        <f t="shared" si="96"/>
        <v>1</v>
      </c>
    </row>
    <row r="609" spans="1:29" ht="43.5" x14ac:dyDescent="0.35">
      <c r="A609" s="89" t="str">
        <f t="shared" si="87"/>
        <v>Closed</v>
      </c>
      <c r="B609" s="222">
        <v>45577</v>
      </c>
      <c r="C609" s="14">
        <v>2407</v>
      </c>
      <c r="D609" s="14" t="s">
        <v>3778</v>
      </c>
      <c r="E609" s="14" t="s">
        <v>72</v>
      </c>
      <c r="F609" s="14" t="s">
        <v>2573</v>
      </c>
      <c r="G609" s="14" t="s">
        <v>1900</v>
      </c>
      <c r="H609" s="14">
        <v>115</v>
      </c>
      <c r="I609" s="176" t="s">
        <v>155</v>
      </c>
      <c r="K609" s="87"/>
      <c r="L609" s="14" t="s">
        <v>3779</v>
      </c>
      <c r="M609" s="324">
        <f t="shared" si="97"/>
        <v>0</v>
      </c>
      <c r="N609" s="14" t="s">
        <v>1879</v>
      </c>
      <c r="O609" s="14" t="s">
        <v>1879</v>
      </c>
      <c r="P609" s="167" t="s">
        <v>147</v>
      </c>
      <c r="Q609" s="14" t="s">
        <v>177</v>
      </c>
      <c r="R609" s="223" t="s">
        <v>234</v>
      </c>
      <c r="S609" s="224">
        <f t="shared" si="94"/>
        <v>45605</v>
      </c>
      <c r="T609" s="79">
        <v>45902</v>
      </c>
      <c r="U609" s="14"/>
      <c r="V609" s="14"/>
      <c r="W609" s="14"/>
      <c r="X609" s="14"/>
      <c r="Z609" s="14" t="s">
        <v>3780</v>
      </c>
      <c r="AA609" s="2">
        <f t="shared" ca="1" si="95"/>
        <v>1</v>
      </c>
      <c r="AB609" s="153"/>
      <c r="AC609" s="454" t="str">
        <f t="shared" si="96"/>
        <v>1</v>
      </c>
    </row>
    <row r="610" spans="1:29" ht="87" x14ac:dyDescent="0.35">
      <c r="A610" s="111" t="str">
        <f t="shared" si="87"/>
        <v>Closed</v>
      </c>
      <c r="B610" s="222">
        <v>45577</v>
      </c>
      <c r="C610" s="14">
        <v>2407</v>
      </c>
      <c r="D610" s="14" t="s">
        <v>3781</v>
      </c>
      <c r="E610" s="14" t="s">
        <v>8</v>
      </c>
      <c r="F610" s="14" t="s">
        <v>2262</v>
      </c>
      <c r="G610" s="14" t="s">
        <v>1900</v>
      </c>
      <c r="H610" s="14">
        <v>202</v>
      </c>
      <c r="I610" s="176" t="s">
        <v>140</v>
      </c>
      <c r="J610" s="14">
        <v>7323</v>
      </c>
      <c r="K610" s="87"/>
      <c r="L610" s="14" t="s">
        <v>3782</v>
      </c>
      <c r="M610" s="324">
        <f t="shared" si="97"/>
        <v>0</v>
      </c>
      <c r="N610" s="14" t="s">
        <v>1879</v>
      </c>
      <c r="O610" s="14" t="s">
        <v>1879</v>
      </c>
      <c r="P610" s="167" t="s">
        <v>143</v>
      </c>
      <c r="Q610" s="14"/>
      <c r="R610" s="170">
        <v>0</v>
      </c>
      <c r="S610" s="108">
        <f t="shared" si="94"/>
        <v>45605</v>
      </c>
      <c r="T610" s="79">
        <v>45577</v>
      </c>
      <c r="U610" s="14"/>
      <c r="V610" s="14"/>
      <c r="W610" s="14"/>
      <c r="X610" s="14"/>
      <c r="Y610" s="14" t="s">
        <v>2185</v>
      </c>
      <c r="Z610" s="14"/>
      <c r="AA610" s="2">
        <f t="shared" ca="1" si="95"/>
        <v>1</v>
      </c>
      <c r="AB610" s="153"/>
      <c r="AC610" s="454" t="str">
        <f t="shared" si="96"/>
        <v>2</v>
      </c>
    </row>
    <row r="611" spans="1:29" ht="29" x14ac:dyDescent="0.35">
      <c r="A611" s="111" t="str">
        <f t="shared" si="87"/>
        <v>Closed</v>
      </c>
      <c r="B611" s="222">
        <v>45577</v>
      </c>
      <c r="C611" s="14">
        <v>2407</v>
      </c>
      <c r="D611" s="14" t="s">
        <v>3783</v>
      </c>
      <c r="E611" s="14" t="s">
        <v>8</v>
      </c>
      <c r="F611" s="14" t="s">
        <v>1921</v>
      </c>
      <c r="G611" s="14" t="s">
        <v>1900</v>
      </c>
      <c r="H611" s="14">
        <v>202</v>
      </c>
      <c r="I611" s="176" t="s">
        <v>140</v>
      </c>
      <c r="J611" s="14">
        <v>73323</v>
      </c>
      <c r="K611" s="87"/>
      <c r="L611" s="14" t="s">
        <v>3784</v>
      </c>
      <c r="M611" s="324">
        <f t="shared" si="97"/>
        <v>0</v>
      </c>
      <c r="N611" s="14" t="s">
        <v>1879</v>
      </c>
      <c r="O611" s="14" t="s">
        <v>1879</v>
      </c>
      <c r="P611" s="167" t="s">
        <v>143</v>
      </c>
      <c r="Q611" s="14"/>
      <c r="R611" s="170">
        <v>0</v>
      </c>
      <c r="S611" s="108">
        <f t="shared" si="94"/>
        <v>45605</v>
      </c>
      <c r="T611" s="79">
        <v>45577</v>
      </c>
      <c r="U611" s="14"/>
      <c r="V611" s="14"/>
      <c r="W611" s="14"/>
      <c r="X611" s="14"/>
      <c r="Y611" s="14" t="s">
        <v>1923</v>
      </c>
      <c r="Z611" s="14"/>
      <c r="AA611" s="2">
        <f t="shared" ca="1" si="95"/>
        <v>1</v>
      </c>
      <c r="AB611" s="153"/>
      <c r="AC611" s="454" t="str">
        <f t="shared" si="96"/>
        <v>2</v>
      </c>
    </row>
    <row r="612" spans="1:29" ht="43.5" x14ac:dyDescent="0.35">
      <c r="A612" s="111" t="str">
        <f t="shared" si="87"/>
        <v>Closed</v>
      </c>
      <c r="B612" s="222">
        <v>45577</v>
      </c>
      <c r="C612" s="14">
        <v>2407</v>
      </c>
      <c r="D612" s="14" t="s">
        <v>3785</v>
      </c>
      <c r="E612" s="14" t="s">
        <v>219</v>
      </c>
      <c r="F612" s="14" t="s">
        <v>2262</v>
      </c>
      <c r="G612" s="14" t="s">
        <v>1911</v>
      </c>
      <c r="H612" s="14">
        <v>120</v>
      </c>
      <c r="I612" s="176" t="s">
        <v>140</v>
      </c>
      <c r="J612" s="14">
        <v>716</v>
      </c>
      <c r="K612" s="87"/>
      <c r="L612" s="14" t="s">
        <v>3786</v>
      </c>
      <c r="M612" s="324">
        <f t="shared" si="97"/>
        <v>0</v>
      </c>
      <c r="N612" s="14" t="s">
        <v>1879</v>
      </c>
      <c r="O612" s="14" t="s">
        <v>1879</v>
      </c>
      <c r="P612" s="167" t="s">
        <v>143</v>
      </c>
      <c r="Q612" s="14"/>
      <c r="R612" s="170">
        <v>0</v>
      </c>
      <c r="S612" s="108">
        <f>IF(B613="","",B613+28)</f>
        <v>45606</v>
      </c>
      <c r="T612" s="79">
        <v>45577</v>
      </c>
      <c r="U612" s="14"/>
      <c r="V612" s="14"/>
      <c r="W612" s="14"/>
      <c r="X612" s="14"/>
      <c r="Y612" s="88" t="s">
        <v>2185</v>
      </c>
      <c r="Z612" s="14"/>
      <c r="AA612" s="2">
        <f ca="1">IF(B613="",3,IF(S612&lt;$A$1,1,0))</f>
        <v>1</v>
      </c>
      <c r="AB612" s="153"/>
      <c r="AC612" s="454" t="str">
        <f t="shared" si="96"/>
        <v>1</v>
      </c>
    </row>
    <row r="613" spans="1:29" ht="29" x14ac:dyDescent="0.35">
      <c r="A613" s="111" t="str">
        <f t="shared" si="87"/>
        <v>Closed</v>
      </c>
      <c r="B613" s="222">
        <v>45578</v>
      </c>
      <c r="C613" s="14">
        <v>2407</v>
      </c>
      <c r="D613" s="14" t="s">
        <v>3787</v>
      </c>
      <c r="E613" s="14" t="s">
        <v>219</v>
      </c>
      <c r="F613" s="14" t="s">
        <v>1968</v>
      </c>
      <c r="G613" s="14"/>
      <c r="H613" s="14">
        <v>117</v>
      </c>
      <c r="I613" s="176" t="s">
        <v>140</v>
      </c>
      <c r="K613" s="87"/>
      <c r="L613" s="328" t="s">
        <v>3788</v>
      </c>
      <c r="M613" s="324">
        <f t="shared" si="97"/>
        <v>0</v>
      </c>
      <c r="N613" s="14" t="s">
        <v>1879</v>
      </c>
      <c r="O613" s="14" t="s">
        <v>1879</v>
      </c>
      <c r="P613" s="167" t="s">
        <v>143</v>
      </c>
      <c r="Q613" s="14"/>
      <c r="R613" s="170">
        <v>0</v>
      </c>
      <c r="S613" s="108">
        <f>IF(B614="","",B614+28)</f>
        <v>45606</v>
      </c>
      <c r="T613" s="79">
        <v>45578</v>
      </c>
      <c r="U613" s="14"/>
      <c r="V613" s="14"/>
      <c r="W613" s="14"/>
      <c r="X613" s="14"/>
      <c r="Y613" s="14" t="s">
        <v>1970</v>
      </c>
      <c r="Z613" s="14"/>
      <c r="AA613" s="2">
        <f ca="1">IF(B614="",3,IF(S613&lt;$A$1,1,0))</f>
        <v>1</v>
      </c>
      <c r="AB613" s="153"/>
      <c r="AC613" s="454" t="str">
        <f t="shared" si="96"/>
        <v>1</v>
      </c>
    </row>
    <row r="614" spans="1:29" ht="29" x14ac:dyDescent="0.35">
      <c r="A614" s="111" t="str">
        <f t="shared" ref="A614:A677" si="98">IF(T614&gt;1,"Closed",IF(AA614=1,"Overdue",IF(AA614=3,"","Open")))</f>
        <v>Closed</v>
      </c>
      <c r="B614" s="222">
        <v>45578</v>
      </c>
      <c r="C614" s="14">
        <v>2407</v>
      </c>
      <c r="D614" s="14" t="s">
        <v>3789</v>
      </c>
      <c r="E614" s="14" t="s">
        <v>219</v>
      </c>
      <c r="F614" s="14" t="s">
        <v>2765</v>
      </c>
      <c r="G614" s="14"/>
      <c r="H614" s="14">
        <v>120</v>
      </c>
      <c r="I614" s="176" t="s">
        <v>140</v>
      </c>
      <c r="K614" s="87"/>
      <c r="L614" s="14" t="s">
        <v>3790</v>
      </c>
      <c r="M614" s="324">
        <f t="shared" si="97"/>
        <v>0</v>
      </c>
      <c r="N614" s="14" t="s">
        <v>1879</v>
      </c>
      <c r="O614" s="14" t="s">
        <v>1879</v>
      </c>
      <c r="P614" s="167" t="s">
        <v>143</v>
      </c>
      <c r="Q614" s="14"/>
      <c r="R614" s="170">
        <v>0</v>
      </c>
      <c r="S614" s="108">
        <f t="shared" ref="S614:S645" si="99">IF(B614="","",B614+28)</f>
        <v>45606</v>
      </c>
      <c r="T614" s="79">
        <v>45578</v>
      </c>
      <c r="U614" s="14"/>
      <c r="V614" s="14"/>
      <c r="W614" s="14"/>
      <c r="X614" s="14"/>
      <c r="Z614" s="14"/>
      <c r="AA614" s="2">
        <f t="shared" ref="AA614:AA645" ca="1" si="100">IF(B614="",3,IF(S614&lt;$A$1,1,0))</f>
        <v>1</v>
      </c>
      <c r="AB614" s="153"/>
      <c r="AC614" s="454" t="str">
        <f t="shared" si="96"/>
        <v>1</v>
      </c>
    </row>
    <row r="615" spans="1:29" ht="43.5" x14ac:dyDescent="0.35">
      <c r="A615" s="89" t="str">
        <f t="shared" si="98"/>
        <v>Closed</v>
      </c>
      <c r="B615" s="222">
        <v>45579</v>
      </c>
      <c r="C615" s="14">
        <v>2407</v>
      </c>
      <c r="D615" s="14" t="s">
        <v>3791</v>
      </c>
      <c r="E615" s="14" t="s">
        <v>31</v>
      </c>
      <c r="F615" s="14" t="s">
        <v>2187</v>
      </c>
      <c r="G615" s="14" t="s">
        <v>1900</v>
      </c>
      <c r="H615" s="14">
        <v>124</v>
      </c>
      <c r="I615" s="176" t="s">
        <v>140</v>
      </c>
      <c r="K615" s="87"/>
      <c r="L615" s="14" t="s">
        <v>3792</v>
      </c>
      <c r="M615" s="324">
        <f t="shared" si="97"/>
        <v>0</v>
      </c>
      <c r="N615" s="14" t="s">
        <v>1879</v>
      </c>
      <c r="O615" s="14" t="s">
        <v>1879</v>
      </c>
      <c r="P615" s="167" t="s">
        <v>143</v>
      </c>
      <c r="Q615" s="14"/>
      <c r="R615" s="223">
        <v>0</v>
      </c>
      <c r="S615" s="224">
        <f t="shared" si="99"/>
        <v>45607</v>
      </c>
      <c r="T615" s="79">
        <v>45579</v>
      </c>
      <c r="U615" s="14"/>
      <c r="V615" s="14"/>
      <c r="W615" s="14"/>
      <c r="X615" s="14"/>
      <c r="Y615" s="14" t="s">
        <v>2023</v>
      </c>
      <c r="Z615" s="14" t="s">
        <v>3793</v>
      </c>
      <c r="AA615" s="2">
        <f t="shared" ca="1" si="100"/>
        <v>1</v>
      </c>
      <c r="AB615" s="153"/>
      <c r="AC615" s="454" t="str">
        <f t="shared" si="96"/>
        <v>1</v>
      </c>
    </row>
    <row r="616" spans="1:29" ht="29" x14ac:dyDescent="0.45">
      <c r="A616" s="89" t="str">
        <f t="shared" si="98"/>
        <v>Closed</v>
      </c>
      <c r="B616" s="222">
        <v>45579</v>
      </c>
      <c r="C616" s="14">
        <v>2407</v>
      </c>
      <c r="D616" s="14" t="s">
        <v>3794</v>
      </c>
      <c r="E616" s="14" t="s">
        <v>192</v>
      </c>
      <c r="F616" s="14" t="s">
        <v>2338</v>
      </c>
      <c r="G616" s="14"/>
      <c r="H616" s="14">
        <v>205</v>
      </c>
      <c r="I616" s="176" t="s">
        <v>140</v>
      </c>
      <c r="K616" s="87"/>
      <c r="L616" s="14" t="s">
        <v>3795</v>
      </c>
      <c r="M616" s="324">
        <f t="shared" si="97"/>
        <v>0</v>
      </c>
      <c r="N616" s="14" t="s">
        <v>1879</v>
      </c>
      <c r="O616" s="14" t="s">
        <v>1879</v>
      </c>
      <c r="P616" s="167" t="s">
        <v>143</v>
      </c>
      <c r="Q616" s="14"/>
      <c r="R616" s="223">
        <v>0</v>
      </c>
      <c r="S616" s="224">
        <f t="shared" si="99"/>
        <v>45607</v>
      </c>
      <c r="T616" s="79">
        <v>45579</v>
      </c>
      <c r="U616" s="14"/>
      <c r="V616" s="14"/>
      <c r="W616" s="14"/>
      <c r="X616" s="14"/>
      <c r="Y616" s="463" t="s">
        <v>2340</v>
      </c>
      <c r="Z616" s="14"/>
      <c r="AA616" s="2">
        <f t="shared" ca="1" si="100"/>
        <v>1</v>
      </c>
      <c r="AB616" s="153"/>
      <c r="AC616" s="454" t="str">
        <f t="shared" si="96"/>
        <v>2</v>
      </c>
    </row>
    <row r="617" spans="1:29" ht="58" x14ac:dyDescent="0.35">
      <c r="A617" s="89" t="str">
        <f t="shared" si="98"/>
        <v>Closed</v>
      </c>
      <c r="B617" s="222">
        <v>45569</v>
      </c>
      <c r="C617" s="14">
        <v>2407</v>
      </c>
      <c r="D617" s="14" t="s">
        <v>3796</v>
      </c>
      <c r="E617" s="14" t="s">
        <v>38</v>
      </c>
      <c r="F617" s="14" t="s">
        <v>2060</v>
      </c>
      <c r="G617" s="14"/>
      <c r="H617" s="14"/>
      <c r="I617" s="176" t="s">
        <v>2</v>
      </c>
      <c r="K617" s="85" t="s">
        <v>137</v>
      </c>
      <c r="L617" s="14" t="s">
        <v>3797</v>
      </c>
      <c r="M617" s="324">
        <v>0</v>
      </c>
      <c r="N617" s="14" t="s">
        <v>1879</v>
      </c>
      <c r="O617" s="14" t="s">
        <v>1880</v>
      </c>
      <c r="P617" s="167" t="s">
        <v>147</v>
      </c>
      <c r="Q617" s="14" t="s">
        <v>169</v>
      </c>
      <c r="R617" s="223" t="s">
        <v>234</v>
      </c>
      <c r="S617" s="224">
        <f t="shared" si="99"/>
        <v>45597</v>
      </c>
      <c r="T617" s="79">
        <v>45902</v>
      </c>
      <c r="U617" s="14"/>
      <c r="V617" s="14"/>
      <c r="W617" s="14"/>
      <c r="X617" s="14"/>
      <c r="Y617" s="466" t="s">
        <v>2062</v>
      </c>
      <c r="Z617" s="14" t="s">
        <v>3798</v>
      </c>
      <c r="AA617" s="2">
        <f t="shared" ca="1" si="100"/>
        <v>1</v>
      </c>
      <c r="AB617" s="153"/>
      <c r="AC617" s="454" t="str">
        <f t="shared" si="96"/>
        <v/>
      </c>
    </row>
    <row r="618" spans="1:29" ht="43.5" x14ac:dyDescent="0.35">
      <c r="A618" s="111" t="str">
        <f t="shared" si="98"/>
        <v>Closed</v>
      </c>
      <c r="B618" s="222">
        <v>45580</v>
      </c>
      <c r="C618" s="14">
        <v>2408</v>
      </c>
      <c r="D618" s="14" t="s">
        <v>3799</v>
      </c>
      <c r="E618" s="14" t="s">
        <v>78</v>
      </c>
      <c r="F618" s="14" t="s">
        <v>2573</v>
      </c>
      <c r="G618" s="14"/>
      <c r="H618" s="14"/>
      <c r="I618" s="176" t="s">
        <v>155</v>
      </c>
      <c r="K618" s="87"/>
      <c r="L618" s="14" t="s">
        <v>3800</v>
      </c>
      <c r="M618" s="324">
        <f>IF(I618="Staff Accident","Entry Required",IF(I618="Assaults","Entry Required",0))</f>
        <v>0</v>
      </c>
      <c r="N618" s="14" t="s">
        <v>1880</v>
      </c>
      <c r="O618" s="14"/>
      <c r="P618" s="167" t="s">
        <v>143</v>
      </c>
      <c r="Q618" s="14"/>
      <c r="R618" s="170">
        <v>0</v>
      </c>
      <c r="S618" s="108">
        <f t="shared" si="99"/>
        <v>45608</v>
      </c>
      <c r="T618" s="79">
        <v>45580</v>
      </c>
      <c r="U618" s="14"/>
      <c r="V618" s="14"/>
      <c r="W618" s="14"/>
      <c r="X618" s="14"/>
      <c r="Z618" s="14"/>
      <c r="AA618" s="2">
        <f t="shared" ca="1" si="100"/>
        <v>1</v>
      </c>
      <c r="AB618" s="153"/>
      <c r="AC618" s="454" t="str">
        <f t="shared" si="96"/>
        <v/>
      </c>
    </row>
    <row r="619" spans="1:29" ht="58" x14ac:dyDescent="0.35">
      <c r="A619" s="111" t="str">
        <f t="shared" si="98"/>
        <v>Closed</v>
      </c>
      <c r="B619" s="222">
        <v>45580</v>
      </c>
      <c r="C619" s="14">
        <v>2408</v>
      </c>
      <c r="D619" s="14" t="s">
        <v>3801</v>
      </c>
      <c r="E619" s="14" t="s">
        <v>219</v>
      </c>
      <c r="F619" s="14" t="s">
        <v>3705</v>
      </c>
      <c r="G619" s="14" t="s">
        <v>1911</v>
      </c>
      <c r="H619" s="14">
        <v>107</v>
      </c>
      <c r="I619" s="176" t="s">
        <v>140</v>
      </c>
      <c r="J619" s="14">
        <v>1365</v>
      </c>
      <c r="K619" s="87"/>
      <c r="L619" s="14" t="s">
        <v>3802</v>
      </c>
      <c r="M619" s="324">
        <f>IF(I619="Staff Accident","Entry Required",IF(I619="Assaults","Entry Required",0))</f>
        <v>0</v>
      </c>
      <c r="N619" s="14" t="s">
        <v>1879</v>
      </c>
      <c r="O619" s="14" t="s">
        <v>1879</v>
      </c>
      <c r="P619" s="167" t="s">
        <v>143</v>
      </c>
      <c r="Q619" s="14"/>
      <c r="R619" s="170">
        <v>0</v>
      </c>
      <c r="S619" s="108">
        <f t="shared" si="99"/>
        <v>45608</v>
      </c>
      <c r="T619" s="79">
        <v>45580</v>
      </c>
      <c r="U619" s="14"/>
      <c r="V619" s="14"/>
      <c r="W619" s="14"/>
      <c r="X619" s="14"/>
      <c r="Y619" s="14" t="s">
        <v>2023</v>
      </c>
      <c r="Z619" s="14"/>
      <c r="AA619" s="2">
        <f t="shared" ca="1" si="100"/>
        <v>1</v>
      </c>
      <c r="AB619" s="153"/>
      <c r="AC619" s="454" t="str">
        <f t="shared" si="96"/>
        <v>1</v>
      </c>
    </row>
    <row r="620" spans="1:29" ht="58" x14ac:dyDescent="0.35">
      <c r="A620" s="111" t="str">
        <f t="shared" si="98"/>
        <v>Closed</v>
      </c>
      <c r="B620" s="222">
        <v>45580</v>
      </c>
      <c r="C620" s="14">
        <v>2408</v>
      </c>
      <c r="D620" s="14" t="s">
        <v>3803</v>
      </c>
      <c r="E620" s="14" t="s">
        <v>219</v>
      </c>
      <c r="F620" s="14" t="s">
        <v>2073</v>
      </c>
      <c r="G620" s="14" t="s">
        <v>1911</v>
      </c>
      <c r="H620" s="14">
        <v>104</v>
      </c>
      <c r="I620" s="176" t="s">
        <v>140</v>
      </c>
      <c r="J620" s="14">
        <v>550</v>
      </c>
      <c r="K620" s="87"/>
      <c r="L620" s="14" t="s">
        <v>3804</v>
      </c>
      <c r="M620" s="324">
        <f>IF(I620="Staff Accident","Entry Required",IF(I620="Assaults","Entry Required",0))</f>
        <v>0</v>
      </c>
      <c r="N620" s="14" t="s">
        <v>1879</v>
      </c>
      <c r="O620" s="14" t="s">
        <v>1879</v>
      </c>
      <c r="P620" s="167" t="s">
        <v>143</v>
      </c>
      <c r="Q620" s="14"/>
      <c r="R620" s="170">
        <v>0</v>
      </c>
      <c r="S620" s="108">
        <f t="shared" si="99"/>
        <v>45608</v>
      </c>
      <c r="T620" s="79">
        <v>45580</v>
      </c>
      <c r="U620" s="14"/>
      <c r="V620" s="14"/>
      <c r="W620" s="14"/>
      <c r="X620" s="14"/>
      <c r="Y620" s="15" t="s">
        <v>2075</v>
      </c>
      <c r="Z620" s="14"/>
      <c r="AA620" s="2">
        <f t="shared" ca="1" si="100"/>
        <v>1</v>
      </c>
      <c r="AB620" s="153"/>
      <c r="AC620" s="454" t="str">
        <f t="shared" si="96"/>
        <v>1</v>
      </c>
    </row>
    <row r="621" spans="1:29" ht="43.5" x14ac:dyDescent="0.35">
      <c r="A621" s="111" t="str">
        <f t="shared" si="98"/>
        <v>Closed</v>
      </c>
      <c r="B621" s="222">
        <v>45580</v>
      </c>
      <c r="C621" s="14">
        <v>2408</v>
      </c>
      <c r="D621" s="14" t="s">
        <v>3805</v>
      </c>
      <c r="E621" s="14" t="s">
        <v>219</v>
      </c>
      <c r="F621" s="14" t="s">
        <v>2212</v>
      </c>
      <c r="G621" s="14" t="s">
        <v>1900</v>
      </c>
      <c r="H621" s="14">
        <v>203</v>
      </c>
      <c r="I621" s="176" t="s">
        <v>140</v>
      </c>
      <c r="J621" s="14">
        <v>58403</v>
      </c>
      <c r="K621" s="87"/>
      <c r="L621" s="14" t="s">
        <v>3806</v>
      </c>
      <c r="M621" s="324">
        <f>IF(I621="Staff Accident","Entry Required",IF(I621="Assaults","Entry Required",0))</f>
        <v>0</v>
      </c>
      <c r="N621" s="14" t="s">
        <v>1879</v>
      </c>
      <c r="O621" s="14" t="s">
        <v>1879</v>
      </c>
      <c r="P621" s="167" t="s">
        <v>143</v>
      </c>
      <c r="Q621" s="14"/>
      <c r="R621" s="170">
        <v>0</v>
      </c>
      <c r="S621" s="108">
        <f t="shared" si="99"/>
        <v>45608</v>
      </c>
      <c r="T621" s="79">
        <v>45580</v>
      </c>
      <c r="U621" s="14"/>
      <c r="V621" s="14"/>
      <c r="W621" s="14"/>
      <c r="X621" s="14"/>
      <c r="Y621" s="14" t="s">
        <v>2216</v>
      </c>
      <c r="Z621" s="14"/>
      <c r="AA621" s="2">
        <f t="shared" ca="1" si="100"/>
        <v>1</v>
      </c>
      <c r="AB621" s="153"/>
      <c r="AC621" s="454" t="str">
        <f t="shared" si="96"/>
        <v>2</v>
      </c>
    </row>
    <row r="622" spans="1:29" ht="58" x14ac:dyDescent="0.35">
      <c r="A622" s="111" t="str">
        <f t="shared" si="98"/>
        <v>Closed</v>
      </c>
      <c r="B622" s="222">
        <v>45581</v>
      </c>
      <c r="C622" s="14">
        <v>2408</v>
      </c>
      <c r="D622" s="14" t="s">
        <v>3807</v>
      </c>
      <c r="E622" s="14" t="s">
        <v>37</v>
      </c>
      <c r="F622" s="14" t="s">
        <v>2962</v>
      </c>
      <c r="G622" s="14" t="s">
        <v>1900</v>
      </c>
      <c r="H622" s="14">
        <v>115</v>
      </c>
      <c r="I622" s="176" t="s">
        <v>5</v>
      </c>
      <c r="K622" s="87"/>
      <c r="L622" s="14" t="s">
        <v>3808</v>
      </c>
      <c r="M622" s="324">
        <f>IF(I622="Staff Accident","Entry Required",IF(I622="Assaults","Entry Required",0))</f>
        <v>0</v>
      </c>
      <c r="N622" s="14" t="s">
        <v>1879</v>
      </c>
      <c r="O622" s="14" t="s">
        <v>1880</v>
      </c>
      <c r="P622" s="167" t="s">
        <v>147</v>
      </c>
      <c r="Q622" s="14" t="s">
        <v>174</v>
      </c>
      <c r="R622" s="170" t="s">
        <v>234</v>
      </c>
      <c r="S622" s="108">
        <f t="shared" si="99"/>
        <v>45609</v>
      </c>
      <c r="T622" s="79">
        <v>45726</v>
      </c>
      <c r="U622" s="14" t="s">
        <v>3809</v>
      </c>
      <c r="V622" s="14" t="s">
        <v>3809</v>
      </c>
      <c r="W622" s="14" t="s">
        <v>1879</v>
      </c>
      <c r="X622" s="14" t="s">
        <v>1883</v>
      </c>
      <c r="Y622" s="167" t="s">
        <v>2964</v>
      </c>
      <c r="Z622" s="14" t="s">
        <v>3586</v>
      </c>
      <c r="AA622" s="2">
        <f t="shared" ca="1" si="100"/>
        <v>1</v>
      </c>
      <c r="AB622" s="153"/>
      <c r="AC622" s="454" t="str">
        <f t="shared" si="96"/>
        <v>1</v>
      </c>
    </row>
    <row r="623" spans="1:29" ht="101.5" x14ac:dyDescent="0.35">
      <c r="A623" s="89" t="str">
        <f t="shared" si="98"/>
        <v>Closed</v>
      </c>
      <c r="B623" s="222">
        <v>45581</v>
      </c>
      <c r="C623" s="14">
        <v>2408</v>
      </c>
      <c r="D623" s="14" t="s">
        <v>3810</v>
      </c>
      <c r="E623" s="14" t="s">
        <v>42</v>
      </c>
      <c r="F623" s="14" t="s">
        <v>1980</v>
      </c>
      <c r="G623" s="14" t="s">
        <v>1900</v>
      </c>
      <c r="H623" s="14"/>
      <c r="I623" s="176" t="s">
        <v>140</v>
      </c>
      <c r="J623" s="14">
        <v>670</v>
      </c>
      <c r="K623" s="14" t="s">
        <v>137</v>
      </c>
      <c r="L623" s="14" t="s">
        <v>3811</v>
      </c>
      <c r="M623" s="324">
        <v>0</v>
      </c>
      <c r="N623" s="14" t="s">
        <v>1879</v>
      </c>
      <c r="O623" s="14" t="s">
        <v>1880</v>
      </c>
      <c r="P623" s="167" t="s">
        <v>143</v>
      </c>
      <c r="Q623" s="14"/>
      <c r="R623" s="223">
        <v>0</v>
      </c>
      <c r="S623" s="224">
        <f t="shared" si="99"/>
        <v>45609</v>
      </c>
      <c r="T623" s="79">
        <v>45726</v>
      </c>
      <c r="U623" s="14"/>
      <c r="V623" s="14"/>
      <c r="W623" s="14"/>
      <c r="X623" s="14"/>
      <c r="Y623" s="15" t="s">
        <v>1982</v>
      </c>
      <c r="Z623" s="14" t="s">
        <v>3812</v>
      </c>
      <c r="AA623" s="2">
        <f t="shared" ca="1" si="100"/>
        <v>1</v>
      </c>
      <c r="AB623" s="153"/>
      <c r="AC623" s="454" t="str">
        <f t="shared" si="96"/>
        <v/>
      </c>
    </row>
    <row r="624" spans="1:29" ht="29" x14ac:dyDescent="0.35">
      <c r="A624" s="89" t="str">
        <f t="shared" si="98"/>
        <v>Closed</v>
      </c>
      <c r="B624" s="222">
        <v>45581</v>
      </c>
      <c r="C624" s="14">
        <v>2408</v>
      </c>
      <c r="D624" s="14" t="s">
        <v>1157</v>
      </c>
      <c r="E624" s="14" t="s">
        <v>27</v>
      </c>
      <c r="F624" s="167" t="s">
        <v>2162</v>
      </c>
      <c r="G624" s="14" t="s">
        <v>1900</v>
      </c>
      <c r="H624" s="14">
        <v>116</v>
      </c>
      <c r="I624" s="176" t="s">
        <v>5</v>
      </c>
      <c r="K624" s="87"/>
      <c r="L624" s="14" t="s">
        <v>3813</v>
      </c>
      <c r="M624" s="324">
        <f>IF(I624="Staff Accident","Entry Required",IF(I624="Assaults","Entry Required",0))</f>
        <v>0</v>
      </c>
      <c r="N624" s="14" t="s">
        <v>1879</v>
      </c>
      <c r="O624" s="14" t="s">
        <v>1880</v>
      </c>
      <c r="P624" s="167" t="s">
        <v>147</v>
      </c>
      <c r="Q624" s="14" t="s">
        <v>175</v>
      </c>
      <c r="R624" s="223" t="s">
        <v>234</v>
      </c>
      <c r="S624" s="224">
        <f t="shared" si="99"/>
        <v>45609</v>
      </c>
      <c r="T624" s="79">
        <v>45587</v>
      </c>
      <c r="U624" s="14" t="s">
        <v>3814</v>
      </c>
      <c r="V624" s="14" t="s">
        <v>3815</v>
      </c>
      <c r="W624" s="14" t="s">
        <v>1879</v>
      </c>
      <c r="X624" s="14" t="s">
        <v>1880</v>
      </c>
      <c r="Y624" s="15" t="s">
        <v>2164</v>
      </c>
      <c r="Z624" s="87" t="s">
        <v>3816</v>
      </c>
      <c r="AA624" s="2">
        <f t="shared" ca="1" si="100"/>
        <v>1</v>
      </c>
      <c r="AB624" s="153"/>
      <c r="AC624" s="454" t="str">
        <f t="shared" si="96"/>
        <v>1</v>
      </c>
    </row>
    <row r="625" spans="1:29" ht="29" x14ac:dyDescent="0.35">
      <c r="A625" s="89" t="str">
        <f t="shared" si="98"/>
        <v>Closed</v>
      </c>
      <c r="B625" s="222">
        <v>45581</v>
      </c>
      <c r="C625" s="14">
        <v>2408</v>
      </c>
      <c r="D625" s="14" t="s">
        <v>3817</v>
      </c>
      <c r="E625" s="14" t="s">
        <v>42</v>
      </c>
      <c r="F625" s="14" t="s">
        <v>1980</v>
      </c>
      <c r="G625" s="14" t="s">
        <v>1911</v>
      </c>
      <c r="H625" s="14">
        <v>101</v>
      </c>
      <c r="I625" s="176" t="s">
        <v>4</v>
      </c>
      <c r="J625" s="14">
        <v>79797</v>
      </c>
      <c r="K625" s="14" t="s">
        <v>137</v>
      </c>
      <c r="L625" s="14" t="s">
        <v>3818</v>
      </c>
      <c r="M625" s="324">
        <v>0</v>
      </c>
      <c r="N625" s="14" t="s">
        <v>1879</v>
      </c>
      <c r="O625" s="14" t="s">
        <v>1880</v>
      </c>
      <c r="P625" s="167" t="s">
        <v>139</v>
      </c>
      <c r="Q625" s="14" t="s">
        <v>177</v>
      </c>
      <c r="R625" s="223" t="s">
        <v>234</v>
      </c>
      <c r="S625" s="224">
        <f t="shared" si="99"/>
        <v>45609</v>
      </c>
      <c r="T625" s="79">
        <v>45902</v>
      </c>
      <c r="U625" s="14"/>
      <c r="V625" s="14"/>
      <c r="W625" s="14"/>
      <c r="X625" s="14"/>
      <c r="Y625" s="88"/>
      <c r="Z625" s="14" t="s">
        <v>3819</v>
      </c>
      <c r="AA625" s="2">
        <f t="shared" ca="1" si="100"/>
        <v>1</v>
      </c>
      <c r="AB625" s="153"/>
      <c r="AC625" s="454" t="str">
        <f t="shared" si="96"/>
        <v>1</v>
      </c>
    </row>
    <row r="626" spans="1:29" ht="43.5" x14ac:dyDescent="0.35">
      <c r="A626" s="111" t="str">
        <f t="shared" si="98"/>
        <v>Closed</v>
      </c>
      <c r="B626" s="222">
        <v>45581</v>
      </c>
      <c r="C626" s="14">
        <v>2408</v>
      </c>
      <c r="D626" s="14" t="s">
        <v>3820</v>
      </c>
      <c r="E626" s="14" t="s">
        <v>27</v>
      </c>
      <c r="F626" s="167" t="s">
        <v>2162</v>
      </c>
      <c r="G626" s="14"/>
      <c r="H626" s="14">
        <v>206</v>
      </c>
      <c r="I626" s="176" t="s">
        <v>5</v>
      </c>
      <c r="K626" s="87"/>
      <c r="L626" s="14" t="s">
        <v>3821</v>
      </c>
      <c r="M626" s="324">
        <f>IF(I626="Staff Accident","Entry Required",IF(I626="Assaults","Entry Required",0))</f>
        <v>0</v>
      </c>
      <c r="N626" s="14" t="s">
        <v>1879</v>
      </c>
      <c r="O626" s="14" t="s">
        <v>1879</v>
      </c>
      <c r="P626" s="167" t="s">
        <v>147</v>
      </c>
      <c r="Q626" s="14" t="s">
        <v>177</v>
      </c>
      <c r="R626" s="170" t="s">
        <v>234</v>
      </c>
      <c r="S626" s="108">
        <f t="shared" si="99"/>
        <v>45609</v>
      </c>
      <c r="T626" s="79">
        <v>45620</v>
      </c>
      <c r="U626" s="14" t="s">
        <v>3724</v>
      </c>
      <c r="V626" s="14" t="s">
        <v>3822</v>
      </c>
      <c r="W626" s="14" t="s">
        <v>1879</v>
      </c>
      <c r="X626" s="14" t="s">
        <v>1879</v>
      </c>
      <c r="Y626" s="15" t="s">
        <v>2164</v>
      </c>
      <c r="Z626" s="87" t="s">
        <v>3823</v>
      </c>
      <c r="AA626" s="2">
        <f t="shared" ca="1" si="100"/>
        <v>1</v>
      </c>
      <c r="AB626" s="153"/>
      <c r="AC626" s="454" t="str">
        <f t="shared" ref="AC626:AC654" si="101">LEFT(H626,1)</f>
        <v>2</v>
      </c>
    </row>
    <row r="627" spans="1:29" ht="159.5" x14ac:dyDescent="0.35">
      <c r="A627" s="111" t="str">
        <f t="shared" si="98"/>
        <v>Closed</v>
      </c>
      <c r="B627" s="222">
        <v>45581</v>
      </c>
      <c r="C627" s="14">
        <v>2408</v>
      </c>
      <c r="D627" s="14" t="s">
        <v>3824</v>
      </c>
      <c r="E627" s="14" t="s">
        <v>42</v>
      </c>
      <c r="F627" s="14" t="s">
        <v>2003</v>
      </c>
      <c r="G627" s="14" t="s">
        <v>1900</v>
      </c>
      <c r="H627" s="14">
        <v>118</v>
      </c>
      <c r="I627" s="176" t="s">
        <v>140</v>
      </c>
      <c r="J627" s="14">
        <v>8503271</v>
      </c>
      <c r="K627" s="87" t="s">
        <v>137</v>
      </c>
      <c r="L627" s="14" t="s">
        <v>3825</v>
      </c>
      <c r="M627" s="324">
        <v>0</v>
      </c>
      <c r="N627" s="14" t="s">
        <v>1879</v>
      </c>
      <c r="O627" s="14" t="s">
        <v>1880</v>
      </c>
      <c r="P627" s="167" t="s">
        <v>143</v>
      </c>
      <c r="Q627" s="14"/>
      <c r="R627" s="170">
        <v>0</v>
      </c>
      <c r="S627" s="108">
        <f t="shared" si="99"/>
        <v>45609</v>
      </c>
      <c r="T627" s="79">
        <v>45581</v>
      </c>
      <c r="U627" s="14"/>
      <c r="V627" s="14"/>
      <c r="W627" s="14"/>
      <c r="X627" s="14"/>
      <c r="Y627" s="92" t="s">
        <v>2007</v>
      </c>
      <c r="Z627" s="14"/>
      <c r="AA627" s="2">
        <f t="shared" ca="1" si="100"/>
        <v>1</v>
      </c>
      <c r="AB627" s="153"/>
      <c r="AC627" s="454" t="str">
        <f t="shared" si="101"/>
        <v>1</v>
      </c>
    </row>
    <row r="628" spans="1:29" ht="29" x14ac:dyDescent="0.35">
      <c r="A628" s="111" t="str">
        <f t="shared" si="98"/>
        <v>Closed</v>
      </c>
      <c r="B628" s="222">
        <v>45582</v>
      </c>
      <c r="C628" s="14">
        <v>2408</v>
      </c>
      <c r="D628" s="14" t="s">
        <v>3826</v>
      </c>
      <c r="E628" s="14" t="s">
        <v>206</v>
      </c>
      <c r="F628" s="14" t="s">
        <v>2245</v>
      </c>
      <c r="G628" s="14"/>
      <c r="H628" s="14"/>
      <c r="I628" s="176" t="s">
        <v>140</v>
      </c>
      <c r="K628" s="87"/>
      <c r="L628" s="14" t="s">
        <v>3827</v>
      </c>
      <c r="M628" s="324">
        <f>IF(I628="Staff Accident","Entry Required",IF(I628="Assaults","Entry Required",0))</f>
        <v>0</v>
      </c>
      <c r="N628" s="14" t="s">
        <v>1879</v>
      </c>
      <c r="O628" s="14" t="s">
        <v>1879</v>
      </c>
      <c r="P628" s="167" t="s">
        <v>143</v>
      </c>
      <c r="Q628" s="14"/>
      <c r="R628" s="170">
        <v>0</v>
      </c>
      <c r="S628" s="108">
        <f t="shared" si="99"/>
        <v>45610</v>
      </c>
      <c r="T628" s="79">
        <v>45582</v>
      </c>
      <c r="U628" s="14"/>
      <c r="V628" s="14"/>
      <c r="W628" s="14"/>
      <c r="X628" s="14"/>
      <c r="Y628" s="100"/>
      <c r="Z628" s="14"/>
      <c r="AA628" s="2">
        <f t="shared" ca="1" si="100"/>
        <v>1</v>
      </c>
      <c r="AB628" s="153"/>
      <c r="AC628" s="454" t="str">
        <f t="shared" si="101"/>
        <v/>
      </c>
    </row>
    <row r="629" spans="1:29" ht="58" x14ac:dyDescent="0.35">
      <c r="A629" s="89" t="str">
        <f t="shared" si="98"/>
        <v>Closed</v>
      </c>
      <c r="B629" s="222">
        <v>45582</v>
      </c>
      <c r="C629" s="14">
        <v>2408</v>
      </c>
      <c r="D629" s="14" t="s">
        <v>3828</v>
      </c>
      <c r="E629" s="14" t="s">
        <v>41</v>
      </c>
      <c r="F629" s="14" t="s">
        <v>1910</v>
      </c>
      <c r="G629" s="14" t="s">
        <v>1900</v>
      </c>
      <c r="H629" s="14">
        <v>206</v>
      </c>
      <c r="I629" s="176" t="s">
        <v>4</v>
      </c>
      <c r="J629" s="14">
        <v>1365</v>
      </c>
      <c r="K629" s="14" t="s">
        <v>137</v>
      </c>
      <c r="L629" s="14" t="s">
        <v>3829</v>
      </c>
      <c r="M629" s="324">
        <v>0</v>
      </c>
      <c r="N629" s="14" t="s">
        <v>1879</v>
      </c>
      <c r="O629" s="14" t="s">
        <v>1880</v>
      </c>
      <c r="P629" s="167" t="s">
        <v>139</v>
      </c>
      <c r="Q629" s="14" t="s">
        <v>135</v>
      </c>
      <c r="R629" s="223" t="s">
        <v>234</v>
      </c>
      <c r="S629" s="224">
        <f t="shared" si="99"/>
        <v>45610</v>
      </c>
      <c r="T629" s="79">
        <v>45956</v>
      </c>
      <c r="U629" s="14" t="s">
        <v>3830</v>
      </c>
      <c r="V629" s="14" t="s">
        <v>2645</v>
      </c>
      <c r="W629" s="14" t="s">
        <v>1879</v>
      </c>
      <c r="X629" s="176" t="s">
        <v>1883</v>
      </c>
      <c r="Y629" s="15" t="s">
        <v>1915</v>
      </c>
      <c r="Z629" s="87" t="s">
        <v>3831</v>
      </c>
      <c r="AA629" s="2">
        <f t="shared" ca="1" si="100"/>
        <v>1</v>
      </c>
      <c r="AB629" s="153"/>
      <c r="AC629" s="454" t="str">
        <f t="shared" si="101"/>
        <v>2</v>
      </c>
    </row>
    <row r="630" spans="1:29" ht="43.5" x14ac:dyDescent="0.35">
      <c r="A630" s="111" t="str">
        <f t="shared" si="98"/>
        <v>Closed</v>
      </c>
      <c r="B630" s="222">
        <v>45582</v>
      </c>
      <c r="C630" s="14">
        <v>2408</v>
      </c>
      <c r="D630" s="14" t="s">
        <v>3832</v>
      </c>
      <c r="E630" s="14" t="s">
        <v>219</v>
      </c>
      <c r="F630" s="14" t="s">
        <v>1968</v>
      </c>
      <c r="G630" s="14" t="s">
        <v>1911</v>
      </c>
      <c r="H630" s="14">
        <v>203</v>
      </c>
      <c r="I630" s="176" t="s">
        <v>140</v>
      </c>
      <c r="J630" s="14">
        <v>584030</v>
      </c>
      <c r="K630" s="87"/>
      <c r="L630" s="14" t="s">
        <v>3833</v>
      </c>
      <c r="M630" s="324">
        <f t="shared" ref="M630:M658" si="102">IF(I630="Staff Accident","Entry Required",IF(I630="Assaults","Entry Required",0))</f>
        <v>0</v>
      </c>
      <c r="N630" s="14" t="s">
        <v>1879</v>
      </c>
      <c r="O630" s="14" t="s">
        <v>1879</v>
      </c>
      <c r="P630" s="167" t="s">
        <v>143</v>
      </c>
      <c r="Q630" s="14"/>
      <c r="R630" s="170">
        <v>0</v>
      </c>
      <c r="S630" s="108">
        <f t="shared" si="99"/>
        <v>45610</v>
      </c>
      <c r="T630" s="79">
        <v>45582</v>
      </c>
      <c r="U630" s="14"/>
      <c r="V630" s="14"/>
      <c r="W630" s="14"/>
      <c r="X630" s="14"/>
      <c r="Y630" s="14" t="s">
        <v>1970</v>
      </c>
      <c r="Z630" s="14"/>
      <c r="AA630" s="2">
        <f t="shared" ca="1" si="100"/>
        <v>1</v>
      </c>
      <c r="AB630" s="153"/>
      <c r="AC630" s="454" t="str">
        <f t="shared" si="101"/>
        <v>2</v>
      </c>
    </row>
    <row r="631" spans="1:29" ht="58" x14ac:dyDescent="0.35">
      <c r="A631" s="111" t="str">
        <f t="shared" si="98"/>
        <v>Closed</v>
      </c>
      <c r="B631" s="222">
        <v>45582</v>
      </c>
      <c r="C631" s="14">
        <v>2408</v>
      </c>
      <c r="D631" s="14" t="s">
        <v>3834</v>
      </c>
      <c r="E631" s="14" t="s">
        <v>1997</v>
      </c>
      <c r="F631" s="14" t="s">
        <v>1954</v>
      </c>
      <c r="G631" s="14" t="s">
        <v>1911</v>
      </c>
      <c r="H631" s="14">
        <v>203</v>
      </c>
      <c r="I631" s="176" t="s">
        <v>140</v>
      </c>
      <c r="J631" s="14">
        <v>78670</v>
      </c>
      <c r="K631" s="87"/>
      <c r="L631" s="14" t="s">
        <v>3835</v>
      </c>
      <c r="M631" s="324">
        <f t="shared" si="102"/>
        <v>0</v>
      </c>
      <c r="N631" s="14" t="s">
        <v>1879</v>
      </c>
      <c r="O631" s="14" t="s">
        <v>1879</v>
      </c>
      <c r="P631" s="167" t="s">
        <v>143</v>
      </c>
      <c r="Q631" s="14"/>
      <c r="R631" s="170">
        <v>0</v>
      </c>
      <c r="S631" s="108">
        <f t="shared" si="99"/>
        <v>45610</v>
      </c>
      <c r="T631" s="79">
        <v>45582</v>
      </c>
      <c r="U631" s="14"/>
      <c r="V631" s="14"/>
      <c r="W631" s="14"/>
      <c r="X631" s="14"/>
      <c r="Y631" s="14" t="s">
        <v>1956</v>
      </c>
      <c r="Z631" s="14"/>
      <c r="AA631" s="2">
        <f t="shared" ca="1" si="100"/>
        <v>1</v>
      </c>
      <c r="AB631" s="153"/>
      <c r="AC631" s="454" t="str">
        <f t="shared" si="101"/>
        <v>2</v>
      </c>
    </row>
    <row r="632" spans="1:29" ht="101.5" x14ac:dyDescent="0.35">
      <c r="A632" s="111" t="str">
        <f t="shared" si="98"/>
        <v>Closed</v>
      </c>
      <c r="B632" s="222">
        <v>45583</v>
      </c>
      <c r="C632" s="14">
        <v>2408</v>
      </c>
      <c r="D632" s="14" t="s">
        <v>3836</v>
      </c>
      <c r="E632" s="14" t="s">
        <v>37</v>
      </c>
      <c r="F632" s="14" t="s">
        <v>1910</v>
      </c>
      <c r="G632" s="14" t="s">
        <v>1900</v>
      </c>
      <c r="H632" s="14">
        <v>110</v>
      </c>
      <c r="I632" s="176" t="s">
        <v>140</v>
      </c>
      <c r="J632" s="14">
        <v>8502862</v>
      </c>
      <c r="K632" s="87"/>
      <c r="L632" s="14" t="s">
        <v>3837</v>
      </c>
      <c r="M632" s="324">
        <f t="shared" si="102"/>
        <v>0</v>
      </c>
      <c r="N632" s="14" t="s">
        <v>1879</v>
      </c>
      <c r="O632" s="14" t="s">
        <v>1880</v>
      </c>
      <c r="P632" s="167" t="s">
        <v>143</v>
      </c>
      <c r="Q632" s="14"/>
      <c r="R632" s="170">
        <v>0</v>
      </c>
      <c r="S632" s="108">
        <f t="shared" si="99"/>
        <v>45611</v>
      </c>
      <c r="T632" s="79">
        <v>45583</v>
      </c>
      <c r="U632" s="14"/>
      <c r="V632" s="14"/>
      <c r="W632" s="14"/>
      <c r="X632" s="176"/>
      <c r="Y632" s="15" t="s">
        <v>1915</v>
      </c>
      <c r="Z632" s="87"/>
      <c r="AA632" s="2">
        <f t="shared" ca="1" si="100"/>
        <v>1</v>
      </c>
      <c r="AB632" s="153"/>
      <c r="AC632" s="454" t="str">
        <f t="shared" si="101"/>
        <v>1</v>
      </c>
    </row>
    <row r="633" spans="1:29" ht="43.5" x14ac:dyDescent="0.35">
      <c r="A633" s="111" t="str">
        <f t="shared" si="98"/>
        <v>Closed</v>
      </c>
      <c r="B633" s="222">
        <v>45583</v>
      </c>
      <c r="C633" s="14">
        <v>2408</v>
      </c>
      <c r="D633" s="14" t="s">
        <v>3838</v>
      </c>
      <c r="E633" s="14" t="s">
        <v>219</v>
      </c>
      <c r="F633" s="14" t="s">
        <v>1968</v>
      </c>
      <c r="G633" s="14" t="s">
        <v>1911</v>
      </c>
      <c r="H633" s="14">
        <v>103</v>
      </c>
      <c r="I633" s="176" t="s">
        <v>140</v>
      </c>
      <c r="J633" s="14">
        <v>8501812</v>
      </c>
      <c r="K633" s="87"/>
      <c r="L633" s="14" t="s">
        <v>3839</v>
      </c>
      <c r="M633" s="324">
        <f t="shared" si="102"/>
        <v>0</v>
      </c>
      <c r="N633" s="14" t="s">
        <v>1879</v>
      </c>
      <c r="O633" s="14" t="s">
        <v>1879</v>
      </c>
      <c r="P633" s="167" t="s">
        <v>143</v>
      </c>
      <c r="Q633" s="14"/>
      <c r="R633" s="170">
        <v>0</v>
      </c>
      <c r="S633" s="108">
        <f t="shared" si="99"/>
        <v>45611</v>
      </c>
      <c r="T633" s="79">
        <v>45583</v>
      </c>
      <c r="U633" s="14"/>
      <c r="V633" s="14"/>
      <c r="W633" s="14"/>
      <c r="X633" s="14"/>
      <c r="Y633" s="14" t="s">
        <v>1970</v>
      </c>
      <c r="Z633" s="14"/>
      <c r="AA633" s="2">
        <f t="shared" ca="1" si="100"/>
        <v>1</v>
      </c>
      <c r="AB633" s="153"/>
      <c r="AC633" s="454" t="str">
        <f t="shared" si="101"/>
        <v>1</v>
      </c>
    </row>
    <row r="634" spans="1:29" ht="29" x14ac:dyDescent="0.35">
      <c r="A634" s="111" t="str">
        <f t="shared" si="98"/>
        <v>Closed</v>
      </c>
      <c r="B634" s="222">
        <v>45583</v>
      </c>
      <c r="C634" s="14">
        <v>2408</v>
      </c>
      <c r="D634" s="14" t="s">
        <v>3840</v>
      </c>
      <c r="E634" s="14" t="s">
        <v>192</v>
      </c>
      <c r="F634" s="14" t="s">
        <v>2245</v>
      </c>
      <c r="G634" s="14" t="s">
        <v>1911</v>
      </c>
      <c r="H634" s="14">
        <v>207</v>
      </c>
      <c r="I634" s="176" t="s">
        <v>140</v>
      </c>
      <c r="K634" s="87"/>
      <c r="L634" s="14" t="s">
        <v>3841</v>
      </c>
      <c r="M634" s="324">
        <f t="shared" si="102"/>
        <v>0</v>
      </c>
      <c r="N634" s="14" t="s">
        <v>1879</v>
      </c>
      <c r="O634" s="14" t="s">
        <v>1879</v>
      </c>
      <c r="P634" s="167" t="s">
        <v>143</v>
      </c>
      <c r="Q634" s="14"/>
      <c r="R634" s="170">
        <v>0</v>
      </c>
      <c r="S634" s="108">
        <f t="shared" si="99"/>
        <v>45611</v>
      </c>
      <c r="T634" s="79">
        <v>45583</v>
      </c>
      <c r="U634" s="14"/>
      <c r="V634" s="14"/>
      <c r="W634" s="14"/>
      <c r="X634" s="14"/>
      <c r="Z634" s="14"/>
      <c r="AA634" s="2">
        <f t="shared" ca="1" si="100"/>
        <v>1</v>
      </c>
      <c r="AB634" s="153"/>
      <c r="AC634" s="454" t="str">
        <f t="shared" si="101"/>
        <v>2</v>
      </c>
    </row>
    <row r="635" spans="1:29" ht="29" x14ac:dyDescent="0.35">
      <c r="A635" s="111" t="str">
        <f t="shared" si="98"/>
        <v>Closed</v>
      </c>
      <c r="B635" s="222">
        <v>45584</v>
      </c>
      <c r="C635" s="14">
        <v>2408</v>
      </c>
      <c r="D635" s="14" t="s">
        <v>3842</v>
      </c>
      <c r="E635" s="14" t="s">
        <v>219</v>
      </c>
      <c r="F635" s="14" t="s">
        <v>2765</v>
      </c>
      <c r="G635" s="14"/>
      <c r="H635" s="14">
        <v>120</v>
      </c>
      <c r="I635" s="176" t="s">
        <v>140</v>
      </c>
      <c r="K635" s="87"/>
      <c r="L635" s="14" t="s">
        <v>3843</v>
      </c>
      <c r="M635" s="324">
        <f t="shared" si="102"/>
        <v>0</v>
      </c>
      <c r="N635" s="14" t="s">
        <v>1879</v>
      </c>
      <c r="O635" s="14" t="s">
        <v>1879</v>
      </c>
      <c r="P635" s="167" t="s">
        <v>143</v>
      </c>
      <c r="Q635" s="14"/>
      <c r="R635" s="170">
        <v>0</v>
      </c>
      <c r="S635" s="108">
        <f t="shared" si="99"/>
        <v>45612</v>
      </c>
      <c r="T635" s="79">
        <v>45584</v>
      </c>
      <c r="U635" s="14"/>
      <c r="V635" s="14"/>
      <c r="W635" s="14"/>
      <c r="X635" s="14"/>
      <c r="Z635" s="14"/>
      <c r="AA635" s="2">
        <f t="shared" ca="1" si="100"/>
        <v>1</v>
      </c>
      <c r="AB635" s="153"/>
      <c r="AC635" s="454" t="str">
        <f t="shared" si="101"/>
        <v>1</v>
      </c>
    </row>
    <row r="636" spans="1:29" ht="58" x14ac:dyDescent="0.35">
      <c r="A636" s="111" t="str">
        <f t="shared" si="98"/>
        <v>Closed</v>
      </c>
      <c r="B636" s="222">
        <v>45584</v>
      </c>
      <c r="C636" s="14">
        <v>2408</v>
      </c>
      <c r="D636" s="14" t="s">
        <v>3844</v>
      </c>
      <c r="E636" s="14" t="s">
        <v>8</v>
      </c>
      <c r="F636" s="14" t="s">
        <v>2245</v>
      </c>
      <c r="G636" s="30" t="s">
        <v>1911</v>
      </c>
      <c r="H636" s="14">
        <v>110</v>
      </c>
      <c r="I636" s="176" t="s">
        <v>140</v>
      </c>
      <c r="K636" s="87"/>
      <c r="L636" s="14" t="s">
        <v>3845</v>
      </c>
      <c r="M636" s="324">
        <f t="shared" si="102"/>
        <v>0</v>
      </c>
      <c r="N636" s="14" t="s">
        <v>1879</v>
      </c>
      <c r="O636" s="14" t="s">
        <v>1879</v>
      </c>
      <c r="P636" s="167" t="s">
        <v>143</v>
      </c>
      <c r="Q636" s="14"/>
      <c r="R636" s="170">
        <v>0</v>
      </c>
      <c r="S636" s="108">
        <f t="shared" si="99"/>
        <v>45612</v>
      </c>
      <c r="T636" s="79">
        <v>45584</v>
      </c>
      <c r="U636" s="14"/>
      <c r="V636" s="14"/>
      <c r="W636" s="14"/>
      <c r="X636" s="14"/>
      <c r="Z636" s="14"/>
      <c r="AA636" s="2">
        <f t="shared" ca="1" si="100"/>
        <v>1</v>
      </c>
      <c r="AB636" s="153"/>
      <c r="AC636" s="454" t="str">
        <f t="shared" si="101"/>
        <v>1</v>
      </c>
    </row>
    <row r="637" spans="1:29" ht="58" x14ac:dyDescent="0.35">
      <c r="A637" s="89" t="str">
        <f t="shared" si="98"/>
        <v>Closed</v>
      </c>
      <c r="B637" s="222">
        <v>45584</v>
      </c>
      <c r="C637" s="14">
        <v>2408</v>
      </c>
      <c r="D637" s="14" t="s">
        <v>3846</v>
      </c>
      <c r="E637" s="14" t="s">
        <v>31</v>
      </c>
      <c r="F637" s="14" t="s">
        <v>2205</v>
      </c>
      <c r="G637" s="14" t="s">
        <v>1911</v>
      </c>
      <c r="H637" s="14">
        <v>101</v>
      </c>
      <c r="I637" s="176" t="s">
        <v>155</v>
      </c>
      <c r="J637" s="14">
        <v>8500446</v>
      </c>
      <c r="K637" s="87"/>
      <c r="L637" s="14" t="s">
        <v>3847</v>
      </c>
      <c r="M637" s="324">
        <f t="shared" si="102"/>
        <v>0</v>
      </c>
      <c r="N637" s="14" t="s">
        <v>1879</v>
      </c>
      <c r="O637" s="14" t="s">
        <v>1880</v>
      </c>
      <c r="P637" s="167" t="s">
        <v>147</v>
      </c>
      <c r="Q637" s="14" t="s">
        <v>174</v>
      </c>
      <c r="R637" s="223" t="s">
        <v>234</v>
      </c>
      <c r="S637" s="224">
        <f t="shared" si="99"/>
        <v>45612</v>
      </c>
      <c r="T637" s="79">
        <v>41951</v>
      </c>
      <c r="U637" s="14" t="s">
        <v>3848</v>
      </c>
      <c r="V637" s="14" t="s">
        <v>3849</v>
      </c>
      <c r="W637" s="14" t="s">
        <v>3850</v>
      </c>
      <c r="X637" s="14" t="s">
        <v>1880</v>
      </c>
      <c r="Y637" s="14" t="s">
        <v>2209</v>
      </c>
      <c r="Z637" s="14" t="s">
        <v>3851</v>
      </c>
      <c r="AA637" s="2">
        <f t="shared" ca="1" si="100"/>
        <v>1</v>
      </c>
      <c r="AB637" s="153"/>
      <c r="AC637" s="454" t="str">
        <f t="shared" si="101"/>
        <v>1</v>
      </c>
    </row>
    <row r="638" spans="1:29" ht="72.5" x14ac:dyDescent="0.35">
      <c r="A638" s="111" t="str">
        <f t="shared" si="98"/>
        <v>Closed</v>
      </c>
      <c r="B638" s="222">
        <v>45585</v>
      </c>
      <c r="C638" s="14">
        <v>2408</v>
      </c>
      <c r="D638" s="14" t="s">
        <v>1177</v>
      </c>
      <c r="E638" s="14" t="s">
        <v>31</v>
      </c>
      <c r="F638" s="14" t="s">
        <v>3852</v>
      </c>
      <c r="G638" s="14"/>
      <c r="H638" s="14">
        <v>118</v>
      </c>
      <c r="I638" s="176" t="s">
        <v>155</v>
      </c>
      <c r="K638" s="87"/>
      <c r="L638" s="14" t="s">
        <v>3853</v>
      </c>
      <c r="M638" s="324">
        <f t="shared" si="102"/>
        <v>0</v>
      </c>
      <c r="N638" s="14" t="s">
        <v>1879</v>
      </c>
      <c r="O638" s="14" t="s">
        <v>1880</v>
      </c>
      <c r="P638" s="167" t="s">
        <v>147</v>
      </c>
      <c r="Q638" s="14" t="s">
        <v>135</v>
      </c>
      <c r="R638" s="170" t="s">
        <v>234</v>
      </c>
      <c r="S638" s="108">
        <f t="shared" si="99"/>
        <v>45613</v>
      </c>
      <c r="T638" s="79">
        <v>45600</v>
      </c>
      <c r="U638" s="14" t="s">
        <v>3854</v>
      </c>
      <c r="V638" s="14" t="s">
        <v>3855</v>
      </c>
      <c r="W638" s="14" t="s">
        <v>1880</v>
      </c>
      <c r="X638" s="14" t="s">
        <v>1880</v>
      </c>
      <c r="Y638" s="14" t="s">
        <v>3856</v>
      </c>
      <c r="Z638" s="14" t="s">
        <v>3857</v>
      </c>
      <c r="AA638" s="2">
        <f t="shared" ca="1" si="100"/>
        <v>1</v>
      </c>
      <c r="AB638" s="153"/>
      <c r="AC638" s="454" t="str">
        <f t="shared" si="101"/>
        <v>1</v>
      </c>
    </row>
    <row r="639" spans="1:29" ht="72.5" x14ac:dyDescent="0.45">
      <c r="A639" s="111" t="str">
        <f t="shared" si="98"/>
        <v>Closed</v>
      </c>
      <c r="B639" s="222">
        <v>45585</v>
      </c>
      <c r="C639" s="14">
        <v>2408</v>
      </c>
      <c r="D639" s="14" t="s">
        <v>3858</v>
      </c>
      <c r="E639" s="14" t="s">
        <v>192</v>
      </c>
      <c r="F639" s="14" t="s">
        <v>2338</v>
      </c>
      <c r="G639" s="14"/>
      <c r="H639" s="14"/>
      <c r="I639" s="176" t="s">
        <v>140</v>
      </c>
      <c r="K639" s="87"/>
      <c r="L639" s="14" t="s">
        <v>3859</v>
      </c>
      <c r="M639" s="324">
        <f t="shared" si="102"/>
        <v>0</v>
      </c>
      <c r="N639" s="14" t="s">
        <v>1879</v>
      </c>
      <c r="O639" s="14" t="s">
        <v>1879</v>
      </c>
      <c r="P639" s="167" t="s">
        <v>143</v>
      </c>
      <c r="Q639" s="14"/>
      <c r="R639" s="170">
        <v>0</v>
      </c>
      <c r="S639" s="108">
        <f t="shared" si="99"/>
        <v>45613</v>
      </c>
      <c r="T639" s="79">
        <v>45585</v>
      </c>
      <c r="U639" s="14"/>
      <c r="V639" s="14"/>
      <c r="W639" s="14"/>
      <c r="X639" s="14"/>
      <c r="Y639" s="463" t="s">
        <v>2340</v>
      </c>
      <c r="Z639" s="14"/>
      <c r="AA639" s="2">
        <f t="shared" ca="1" si="100"/>
        <v>1</v>
      </c>
      <c r="AB639" s="153"/>
      <c r="AC639" s="454" t="str">
        <f t="shared" si="101"/>
        <v/>
      </c>
    </row>
    <row r="640" spans="1:29" ht="43.5" x14ac:dyDescent="0.35">
      <c r="A640" s="111" t="str">
        <f t="shared" si="98"/>
        <v>Closed</v>
      </c>
      <c r="B640" s="222">
        <v>45586</v>
      </c>
      <c r="C640" s="14">
        <v>2408</v>
      </c>
      <c r="D640" s="14" t="s">
        <v>3860</v>
      </c>
      <c r="E640" s="14" t="s">
        <v>192</v>
      </c>
      <c r="F640" s="14" t="s">
        <v>3861</v>
      </c>
      <c r="G640" s="14"/>
      <c r="H640" s="14">
        <v>115</v>
      </c>
      <c r="I640" s="176" t="s">
        <v>140</v>
      </c>
      <c r="K640" s="87"/>
      <c r="L640" s="14" t="s">
        <v>3862</v>
      </c>
      <c r="M640" s="324">
        <f t="shared" si="102"/>
        <v>0</v>
      </c>
      <c r="N640" s="14" t="s">
        <v>1879</v>
      </c>
      <c r="O640" s="14" t="s">
        <v>1879</v>
      </c>
      <c r="P640" s="167" t="s">
        <v>143</v>
      </c>
      <c r="Q640" s="14"/>
      <c r="R640" s="170">
        <v>0</v>
      </c>
      <c r="S640" s="108">
        <f t="shared" si="99"/>
        <v>45614</v>
      </c>
      <c r="T640" s="79">
        <v>45586</v>
      </c>
      <c r="U640" s="14"/>
      <c r="V640" s="14"/>
      <c r="W640" s="14"/>
      <c r="X640" s="14"/>
      <c r="Y640" s="85"/>
      <c r="Z640" s="14"/>
      <c r="AA640" s="2">
        <f t="shared" ca="1" si="100"/>
        <v>1</v>
      </c>
      <c r="AB640" s="153"/>
      <c r="AC640" s="454" t="str">
        <f t="shared" si="101"/>
        <v>1</v>
      </c>
    </row>
    <row r="641" spans="1:29" ht="87" x14ac:dyDescent="0.35">
      <c r="A641" s="89" t="str">
        <f t="shared" si="98"/>
        <v>Closed</v>
      </c>
      <c r="B641" s="222">
        <v>45587</v>
      </c>
      <c r="C641" s="14">
        <v>2408</v>
      </c>
      <c r="D641" s="14" t="s">
        <v>3863</v>
      </c>
      <c r="E641" s="14" t="s">
        <v>196</v>
      </c>
      <c r="F641" s="14" t="s">
        <v>1910</v>
      </c>
      <c r="G641" s="14" t="s">
        <v>1900</v>
      </c>
      <c r="H641" s="14">
        <v>121</v>
      </c>
      <c r="I641" s="176" t="s">
        <v>155</v>
      </c>
      <c r="J641" s="14">
        <v>8502599</v>
      </c>
      <c r="K641" s="87"/>
      <c r="L641" s="14" t="s">
        <v>3864</v>
      </c>
      <c r="M641" s="324">
        <f t="shared" si="102"/>
        <v>0</v>
      </c>
      <c r="N641" s="14" t="s">
        <v>1880</v>
      </c>
      <c r="O641" s="14" t="s">
        <v>1880</v>
      </c>
      <c r="P641" s="167" t="s">
        <v>147</v>
      </c>
      <c r="Q641" s="14" t="s">
        <v>135</v>
      </c>
      <c r="R641" s="223" t="s">
        <v>234</v>
      </c>
      <c r="S641" s="224">
        <f t="shared" si="99"/>
        <v>45615</v>
      </c>
      <c r="T641" s="79">
        <v>45902</v>
      </c>
      <c r="U641" s="14"/>
      <c r="V641" s="14"/>
      <c r="W641" s="14"/>
      <c r="X641" s="176"/>
      <c r="Y641" s="15" t="s">
        <v>1915</v>
      </c>
      <c r="Z641" s="87" t="s">
        <v>3865</v>
      </c>
      <c r="AA641" s="2">
        <f t="shared" ca="1" si="100"/>
        <v>1</v>
      </c>
      <c r="AB641" s="153"/>
      <c r="AC641" s="454" t="str">
        <f t="shared" si="101"/>
        <v>1</v>
      </c>
    </row>
    <row r="642" spans="1:29" ht="130.5" x14ac:dyDescent="0.35">
      <c r="A642" s="111" t="str">
        <f t="shared" si="98"/>
        <v>Closed</v>
      </c>
      <c r="B642" s="222">
        <v>45588</v>
      </c>
      <c r="C642" s="14">
        <v>2408</v>
      </c>
      <c r="D642" s="14" t="s">
        <v>1206</v>
      </c>
      <c r="E642" s="14" t="s">
        <v>78</v>
      </c>
      <c r="F642" s="14" t="s">
        <v>2003</v>
      </c>
      <c r="G642" s="14" t="s">
        <v>1911</v>
      </c>
      <c r="H642" s="14">
        <v>113</v>
      </c>
      <c r="I642" s="176" t="s">
        <v>155</v>
      </c>
      <c r="J642" s="14">
        <v>8500445</v>
      </c>
      <c r="K642" s="87"/>
      <c r="L642" s="14" t="s">
        <v>3866</v>
      </c>
      <c r="M642" s="324">
        <f t="shared" si="102"/>
        <v>0</v>
      </c>
      <c r="N642" s="14" t="s">
        <v>1880</v>
      </c>
      <c r="O642" s="14" t="s">
        <v>1880</v>
      </c>
      <c r="P642" s="167" t="s">
        <v>147</v>
      </c>
      <c r="Q642" s="14" t="s">
        <v>168</v>
      </c>
      <c r="R642" s="170" t="s">
        <v>234</v>
      </c>
      <c r="S642" s="108">
        <f t="shared" si="99"/>
        <v>45616</v>
      </c>
      <c r="T642" s="79">
        <v>45985</v>
      </c>
      <c r="U642" s="14" t="s">
        <v>3867</v>
      </c>
      <c r="V642" s="14" t="s">
        <v>2102</v>
      </c>
      <c r="W642" s="14" t="s">
        <v>1880</v>
      </c>
      <c r="X642" s="14" t="s">
        <v>1880</v>
      </c>
      <c r="Y642" s="14" t="s">
        <v>2504</v>
      </c>
      <c r="Z642" s="14" t="s">
        <v>3868</v>
      </c>
      <c r="AA642" s="2">
        <f t="shared" ca="1" si="100"/>
        <v>1</v>
      </c>
      <c r="AB642" s="153"/>
      <c r="AC642" s="454" t="str">
        <f t="shared" si="101"/>
        <v>1</v>
      </c>
    </row>
    <row r="643" spans="1:29" ht="29" x14ac:dyDescent="0.35">
      <c r="A643" s="111" t="str">
        <f t="shared" si="98"/>
        <v>Closed</v>
      </c>
      <c r="B643" s="222">
        <v>45588</v>
      </c>
      <c r="C643" s="14">
        <v>2408</v>
      </c>
      <c r="D643" s="14" t="s">
        <v>3869</v>
      </c>
      <c r="E643" s="14" t="s">
        <v>219</v>
      </c>
      <c r="F643" s="14" t="s">
        <v>2155</v>
      </c>
      <c r="G643" s="14" t="s">
        <v>1911</v>
      </c>
      <c r="H643" s="14">
        <v>121</v>
      </c>
      <c r="I643" s="176" t="s">
        <v>140</v>
      </c>
      <c r="J643" s="14">
        <v>8501812</v>
      </c>
      <c r="K643" s="87"/>
      <c r="L643" s="14" t="s">
        <v>3870</v>
      </c>
      <c r="M643" s="324">
        <f t="shared" si="102"/>
        <v>0</v>
      </c>
      <c r="N643" s="14" t="s">
        <v>1879</v>
      </c>
      <c r="O643" s="14" t="s">
        <v>1879</v>
      </c>
      <c r="P643" s="167" t="s">
        <v>143</v>
      </c>
      <c r="Q643" s="14"/>
      <c r="R643" s="170">
        <v>0</v>
      </c>
      <c r="S643" s="108">
        <f t="shared" si="99"/>
        <v>45616</v>
      </c>
      <c r="T643" s="79">
        <v>45589</v>
      </c>
      <c r="U643" s="14"/>
      <c r="V643" s="14"/>
      <c r="W643" s="14"/>
      <c r="X643" s="14"/>
      <c r="Z643" s="14"/>
      <c r="AA643" s="2">
        <f t="shared" ca="1" si="100"/>
        <v>1</v>
      </c>
      <c r="AB643" s="153"/>
      <c r="AC643" s="454" t="str">
        <f t="shared" si="101"/>
        <v>1</v>
      </c>
    </row>
    <row r="644" spans="1:29" ht="29" x14ac:dyDescent="0.35">
      <c r="A644" s="111" t="str">
        <f t="shared" si="98"/>
        <v>Closed</v>
      </c>
      <c r="B644" s="222">
        <v>45589</v>
      </c>
      <c r="C644" s="14">
        <v>2408</v>
      </c>
      <c r="D644" s="14" t="s">
        <v>3871</v>
      </c>
      <c r="E644" s="14" t="s">
        <v>219</v>
      </c>
      <c r="F644" s="14" t="s">
        <v>2155</v>
      </c>
      <c r="G644" s="14" t="s">
        <v>1911</v>
      </c>
      <c r="H644" s="14">
        <v>103</v>
      </c>
      <c r="I644" s="176" t="s">
        <v>140</v>
      </c>
      <c r="K644" s="87"/>
      <c r="L644" s="14" t="s">
        <v>3872</v>
      </c>
      <c r="M644" s="324">
        <f t="shared" si="102"/>
        <v>0</v>
      </c>
      <c r="N644" s="14" t="s">
        <v>1879</v>
      </c>
      <c r="O644" s="14" t="s">
        <v>1879</v>
      </c>
      <c r="P644" s="167" t="s">
        <v>143</v>
      </c>
      <c r="Q644" s="14"/>
      <c r="R644" s="170">
        <v>0</v>
      </c>
      <c r="S644" s="108">
        <f t="shared" si="99"/>
        <v>45617</v>
      </c>
      <c r="T644" s="79">
        <v>45589</v>
      </c>
      <c r="U644" s="14"/>
      <c r="V644" s="14"/>
      <c r="W644" s="14"/>
      <c r="X644" s="14"/>
      <c r="Z644" s="14"/>
      <c r="AA644" s="2">
        <f t="shared" ca="1" si="100"/>
        <v>1</v>
      </c>
      <c r="AB644" s="153"/>
      <c r="AC644" s="454" t="str">
        <f t="shared" si="101"/>
        <v>1</v>
      </c>
    </row>
    <row r="645" spans="1:29" ht="29" x14ac:dyDescent="0.35">
      <c r="A645" s="111" t="str">
        <f t="shared" si="98"/>
        <v>Closed</v>
      </c>
      <c r="B645" s="222">
        <v>45589</v>
      </c>
      <c r="C645" s="14">
        <v>2408</v>
      </c>
      <c r="D645" s="14" t="s">
        <v>3873</v>
      </c>
      <c r="E645" s="14" t="s">
        <v>192</v>
      </c>
      <c r="F645" s="14" t="s">
        <v>1925</v>
      </c>
      <c r="G645" s="14" t="s">
        <v>1911</v>
      </c>
      <c r="H645" s="14"/>
      <c r="I645" s="176" t="s">
        <v>140</v>
      </c>
      <c r="J645" s="14">
        <v>89116</v>
      </c>
      <c r="K645" s="87"/>
      <c r="L645" s="14" t="s">
        <v>3874</v>
      </c>
      <c r="M645" s="324">
        <f t="shared" si="102"/>
        <v>0</v>
      </c>
      <c r="N645" s="14" t="s">
        <v>1879</v>
      </c>
      <c r="O645" s="14" t="s">
        <v>1879</v>
      </c>
      <c r="P645" s="167" t="s">
        <v>143</v>
      </c>
      <c r="Q645" s="14"/>
      <c r="R645" s="170">
        <v>0</v>
      </c>
      <c r="S645" s="108">
        <f t="shared" si="99"/>
        <v>45617</v>
      </c>
      <c r="T645" s="79">
        <v>45589</v>
      </c>
      <c r="U645" s="14"/>
      <c r="V645" s="14"/>
      <c r="W645" s="14"/>
      <c r="X645" s="14"/>
      <c r="Y645" s="167" t="s">
        <v>1929</v>
      </c>
      <c r="Z645" s="14"/>
      <c r="AA645" s="2">
        <f t="shared" ca="1" si="100"/>
        <v>1</v>
      </c>
      <c r="AB645" s="153"/>
      <c r="AC645" s="454" t="str">
        <f t="shared" si="101"/>
        <v/>
      </c>
    </row>
    <row r="646" spans="1:29" ht="43.5" x14ac:dyDescent="0.35">
      <c r="A646" s="111" t="str">
        <f t="shared" si="98"/>
        <v>Closed</v>
      </c>
      <c r="B646" s="222">
        <v>45589</v>
      </c>
      <c r="C646" s="14">
        <v>2408</v>
      </c>
      <c r="D646" s="14" t="s">
        <v>3875</v>
      </c>
      <c r="E646" s="14" t="s">
        <v>180</v>
      </c>
      <c r="F646" s="14" t="s">
        <v>2052</v>
      </c>
      <c r="G646" s="14" t="s">
        <v>1911</v>
      </c>
      <c r="H646" s="14"/>
      <c r="I646" s="176" t="s">
        <v>140</v>
      </c>
      <c r="K646" s="87"/>
      <c r="L646" s="14" t="s">
        <v>3876</v>
      </c>
      <c r="M646" s="324">
        <f t="shared" si="102"/>
        <v>0</v>
      </c>
      <c r="N646" s="14" t="s">
        <v>1879</v>
      </c>
      <c r="O646" s="14" t="s">
        <v>1879</v>
      </c>
      <c r="P646" s="167" t="s">
        <v>143</v>
      </c>
      <c r="Q646" s="14"/>
      <c r="R646" s="170">
        <v>0</v>
      </c>
      <c r="S646" s="108">
        <f t="shared" ref="S646:S677" si="103">IF(B646="","",B646+28)</f>
        <v>45617</v>
      </c>
      <c r="T646" s="79">
        <v>45589</v>
      </c>
      <c r="U646" s="14"/>
      <c r="V646" s="14"/>
      <c r="W646" s="14"/>
      <c r="X646" s="14"/>
      <c r="Y646" s="14" t="s">
        <v>2054</v>
      </c>
      <c r="Z646" s="14"/>
      <c r="AA646" s="2">
        <f t="shared" ref="AA646:AA677" ca="1" si="104">IF(B646="",3,IF(S646&lt;$A$1,1,0))</f>
        <v>1</v>
      </c>
      <c r="AB646" s="153"/>
      <c r="AC646" s="454" t="str">
        <f t="shared" si="101"/>
        <v/>
      </c>
    </row>
    <row r="647" spans="1:29" ht="43.5" x14ac:dyDescent="0.35">
      <c r="A647" s="111" t="str">
        <f t="shared" si="98"/>
        <v>Closed</v>
      </c>
      <c r="B647" s="222">
        <v>45589</v>
      </c>
      <c r="C647" s="14">
        <v>2408</v>
      </c>
      <c r="D647" s="14" t="s">
        <v>3877</v>
      </c>
      <c r="E647" s="14" t="s">
        <v>180</v>
      </c>
      <c r="F647" s="167" t="s">
        <v>1947</v>
      </c>
      <c r="G647" s="14" t="s">
        <v>1911</v>
      </c>
      <c r="H647" s="14">
        <v>125</v>
      </c>
      <c r="I647" s="176" t="s">
        <v>140</v>
      </c>
      <c r="J647" s="14">
        <v>550</v>
      </c>
      <c r="K647" s="87"/>
      <c r="L647" s="14" t="s">
        <v>3878</v>
      </c>
      <c r="M647" s="324">
        <f t="shared" si="102"/>
        <v>0</v>
      </c>
      <c r="N647" s="14" t="s">
        <v>1879</v>
      </c>
      <c r="O647" s="14" t="s">
        <v>1879</v>
      </c>
      <c r="P647" s="167" t="s">
        <v>143</v>
      </c>
      <c r="Q647" s="14"/>
      <c r="R647" s="170">
        <v>0</v>
      </c>
      <c r="S647" s="108">
        <f t="shared" si="103"/>
        <v>45617</v>
      </c>
      <c r="T647" s="79">
        <v>45589</v>
      </c>
      <c r="U647" s="14"/>
      <c r="V647" s="14"/>
      <c r="W647" s="14"/>
      <c r="X647" s="14"/>
      <c r="Y647" s="167" t="s">
        <v>1951</v>
      </c>
      <c r="Z647" s="14"/>
      <c r="AA647" s="2">
        <f t="shared" ca="1" si="104"/>
        <v>1</v>
      </c>
      <c r="AB647" s="153"/>
      <c r="AC647" s="454" t="str">
        <f t="shared" si="101"/>
        <v>1</v>
      </c>
    </row>
    <row r="648" spans="1:29" ht="43.5" x14ac:dyDescent="0.35">
      <c r="A648" s="89" t="str">
        <f t="shared" si="98"/>
        <v>Closed</v>
      </c>
      <c r="B648" s="222">
        <v>45590</v>
      </c>
      <c r="C648" s="14">
        <v>2408</v>
      </c>
      <c r="D648" s="14" t="s">
        <v>1575</v>
      </c>
      <c r="E648" s="14" t="s">
        <v>41</v>
      </c>
      <c r="F648" s="167" t="s">
        <v>2041</v>
      </c>
      <c r="G648" s="14" t="s">
        <v>1911</v>
      </c>
      <c r="H648" s="14">
        <v>108</v>
      </c>
      <c r="I648" s="176" t="s">
        <v>140</v>
      </c>
      <c r="J648" s="14">
        <v>384</v>
      </c>
      <c r="K648" s="14" t="s">
        <v>137</v>
      </c>
      <c r="L648" s="14" t="s">
        <v>3879</v>
      </c>
      <c r="M648" s="324">
        <f t="shared" si="102"/>
        <v>0</v>
      </c>
      <c r="N648" s="14" t="s">
        <v>1879</v>
      </c>
      <c r="O648" s="14" t="s">
        <v>1880</v>
      </c>
      <c r="P648" s="167" t="s">
        <v>139</v>
      </c>
      <c r="Q648" s="14" t="s">
        <v>142</v>
      </c>
      <c r="R648" s="223" t="s">
        <v>234</v>
      </c>
      <c r="S648" s="224">
        <f t="shared" si="103"/>
        <v>45618</v>
      </c>
      <c r="T648" s="79">
        <v>45964</v>
      </c>
      <c r="U648" s="14" t="s">
        <v>3880</v>
      </c>
      <c r="V648" s="14" t="s">
        <v>2599</v>
      </c>
      <c r="W648" s="14" t="s">
        <v>1879</v>
      </c>
      <c r="X648" s="14" t="s">
        <v>1880</v>
      </c>
      <c r="Y648" s="2" t="s">
        <v>3881</v>
      </c>
      <c r="Z648" s="14"/>
      <c r="AA648" s="2">
        <f t="shared" ca="1" si="104"/>
        <v>1</v>
      </c>
      <c r="AB648" s="153"/>
      <c r="AC648" s="454" t="str">
        <f t="shared" si="101"/>
        <v>1</v>
      </c>
    </row>
    <row r="649" spans="1:29" ht="43.5" x14ac:dyDescent="0.35">
      <c r="A649" s="111" t="str">
        <f t="shared" si="98"/>
        <v>Closed</v>
      </c>
      <c r="B649" s="222">
        <v>45590</v>
      </c>
      <c r="C649" s="14">
        <v>2408</v>
      </c>
      <c r="D649" s="14" t="s">
        <v>3882</v>
      </c>
      <c r="E649" s="14" t="s">
        <v>180</v>
      </c>
      <c r="F649" s="14" t="s">
        <v>2080</v>
      </c>
      <c r="G649" s="14" t="s">
        <v>1911</v>
      </c>
      <c r="H649" s="14">
        <v>207</v>
      </c>
      <c r="I649" s="176" t="s">
        <v>140</v>
      </c>
      <c r="K649" s="87"/>
      <c r="L649" s="14" t="s">
        <v>3883</v>
      </c>
      <c r="M649" s="324">
        <f t="shared" si="102"/>
        <v>0</v>
      </c>
      <c r="N649" s="14" t="s">
        <v>1879</v>
      </c>
      <c r="O649" s="14" t="s">
        <v>1879</v>
      </c>
      <c r="P649" s="167" t="s">
        <v>143</v>
      </c>
      <c r="Q649" s="14"/>
      <c r="R649" s="170">
        <v>0</v>
      </c>
      <c r="S649" s="108">
        <f t="shared" si="103"/>
        <v>45618</v>
      </c>
      <c r="T649" s="79">
        <v>45590</v>
      </c>
      <c r="U649" s="14"/>
      <c r="V649" s="14"/>
      <c r="W649" s="14"/>
      <c r="X649" s="14"/>
      <c r="Y649" s="14" t="s">
        <v>2084</v>
      </c>
      <c r="Z649" s="14"/>
      <c r="AA649" s="2">
        <f t="shared" ca="1" si="104"/>
        <v>1</v>
      </c>
      <c r="AB649" s="153"/>
      <c r="AC649" s="454" t="str">
        <f t="shared" si="101"/>
        <v>2</v>
      </c>
    </row>
    <row r="650" spans="1:29" ht="174" x14ac:dyDescent="0.35">
      <c r="A650" s="89" t="str">
        <f t="shared" si="98"/>
        <v>Closed</v>
      </c>
      <c r="B650" s="222">
        <v>45591</v>
      </c>
      <c r="C650" s="14">
        <v>2408</v>
      </c>
      <c r="D650" s="14" t="s">
        <v>3884</v>
      </c>
      <c r="E650" s="14" t="s">
        <v>40</v>
      </c>
      <c r="F650" s="167" t="s">
        <v>2162</v>
      </c>
      <c r="G650" s="14" t="s">
        <v>1911</v>
      </c>
      <c r="H650" s="14">
        <v>108</v>
      </c>
      <c r="I650" s="176" t="s">
        <v>4</v>
      </c>
      <c r="J650" s="14">
        <v>8506848</v>
      </c>
      <c r="K650" s="14" t="s">
        <v>137</v>
      </c>
      <c r="L650" s="14" t="s">
        <v>3885</v>
      </c>
      <c r="M650" s="324">
        <v>0</v>
      </c>
      <c r="N650" s="14" t="s">
        <v>1879</v>
      </c>
      <c r="O650" s="14" t="s">
        <v>1880</v>
      </c>
      <c r="P650" s="167" t="s">
        <v>139</v>
      </c>
      <c r="Q650" s="14" t="s">
        <v>135</v>
      </c>
      <c r="R650" s="223" t="s">
        <v>234</v>
      </c>
      <c r="S650" s="224">
        <f t="shared" si="103"/>
        <v>45619</v>
      </c>
      <c r="T650" s="79">
        <v>45902</v>
      </c>
      <c r="U650" s="14"/>
      <c r="V650" s="14"/>
      <c r="W650" s="14"/>
      <c r="X650" s="14"/>
      <c r="Y650" s="15" t="s">
        <v>2164</v>
      </c>
      <c r="Z650" s="87" t="s">
        <v>3886</v>
      </c>
      <c r="AA650" s="2">
        <f t="shared" ca="1" si="104"/>
        <v>1</v>
      </c>
      <c r="AB650" s="153"/>
      <c r="AC650" s="454" t="str">
        <f t="shared" si="101"/>
        <v>1</v>
      </c>
    </row>
    <row r="651" spans="1:29" ht="43.5" x14ac:dyDescent="0.35">
      <c r="A651" s="111" t="str">
        <f t="shared" si="98"/>
        <v>Closed</v>
      </c>
      <c r="B651" s="222">
        <v>45592</v>
      </c>
      <c r="C651" s="14">
        <v>2408</v>
      </c>
      <c r="D651" s="14" t="s">
        <v>3887</v>
      </c>
      <c r="E651" s="14" t="s">
        <v>8</v>
      </c>
      <c r="F651" s="14" t="s">
        <v>1937</v>
      </c>
      <c r="G651" s="14" t="s">
        <v>1900</v>
      </c>
      <c r="H651" s="14">
        <v>109</v>
      </c>
      <c r="I651" s="176" t="s">
        <v>140</v>
      </c>
      <c r="K651" s="87"/>
      <c r="L651" s="14" t="s">
        <v>3888</v>
      </c>
      <c r="M651" s="324">
        <f t="shared" si="102"/>
        <v>0</v>
      </c>
      <c r="N651" s="14" t="s">
        <v>1879</v>
      </c>
      <c r="O651" s="14" t="s">
        <v>1879</v>
      </c>
      <c r="P651" s="167" t="s">
        <v>143</v>
      </c>
      <c r="Q651" s="14"/>
      <c r="R651" s="170">
        <v>0</v>
      </c>
      <c r="S651" s="108">
        <f t="shared" si="103"/>
        <v>45620</v>
      </c>
      <c r="T651" s="79">
        <v>45592</v>
      </c>
      <c r="U651" s="14"/>
      <c r="V651" s="14"/>
      <c r="W651" s="14"/>
      <c r="X651" s="14"/>
      <c r="Y651" s="88"/>
      <c r="Z651" s="14"/>
      <c r="AA651" s="2">
        <f t="shared" ca="1" si="104"/>
        <v>1</v>
      </c>
      <c r="AB651" s="153"/>
      <c r="AC651" s="454" t="str">
        <f t="shared" si="101"/>
        <v>1</v>
      </c>
    </row>
    <row r="652" spans="1:29" ht="29" x14ac:dyDescent="0.35">
      <c r="A652" s="111" t="str">
        <f t="shared" si="98"/>
        <v>Closed</v>
      </c>
      <c r="B652" s="222">
        <v>45592</v>
      </c>
      <c r="C652" s="14">
        <v>2408</v>
      </c>
      <c r="D652" s="14" t="s">
        <v>3889</v>
      </c>
      <c r="E652" s="14" t="s">
        <v>8</v>
      </c>
      <c r="F652" s="14" t="s">
        <v>1937</v>
      </c>
      <c r="G652" s="14"/>
      <c r="H652" s="14">
        <v>107</v>
      </c>
      <c r="I652" s="176" t="s">
        <v>140</v>
      </c>
      <c r="K652" s="87"/>
      <c r="L652" s="14" t="s">
        <v>3890</v>
      </c>
      <c r="M652" s="324">
        <f t="shared" si="102"/>
        <v>0</v>
      </c>
      <c r="N652" s="14" t="s">
        <v>1879</v>
      </c>
      <c r="O652" s="14" t="s">
        <v>1879</v>
      </c>
      <c r="P652" s="167" t="s">
        <v>143</v>
      </c>
      <c r="Q652" s="14"/>
      <c r="R652" s="170">
        <v>0</v>
      </c>
      <c r="S652" s="108">
        <f t="shared" si="103"/>
        <v>45620</v>
      </c>
      <c r="T652" s="79">
        <v>45592</v>
      </c>
      <c r="U652" s="14"/>
      <c r="V652" s="14"/>
      <c r="W652" s="14"/>
      <c r="X652" s="14"/>
      <c r="Z652" s="14"/>
      <c r="AA652" s="2">
        <f t="shared" ca="1" si="104"/>
        <v>1</v>
      </c>
      <c r="AB652" s="153"/>
      <c r="AC652" s="454" t="str">
        <f t="shared" si="101"/>
        <v>1</v>
      </c>
    </row>
    <row r="653" spans="1:29" x14ac:dyDescent="0.35">
      <c r="A653" s="111" t="str">
        <f t="shared" si="98"/>
        <v>Closed</v>
      </c>
      <c r="B653" s="222">
        <v>45592</v>
      </c>
      <c r="C653" s="14">
        <v>2408</v>
      </c>
      <c r="D653" s="14" t="s">
        <v>3891</v>
      </c>
      <c r="E653" s="14" t="s">
        <v>219</v>
      </c>
      <c r="F653" s="14" t="s">
        <v>2019</v>
      </c>
      <c r="G653" s="14" t="s">
        <v>1911</v>
      </c>
      <c r="H653" s="14">
        <v>109</v>
      </c>
      <c r="I653" s="176" t="s">
        <v>140</v>
      </c>
      <c r="K653" s="87"/>
      <c r="L653" s="14" t="s">
        <v>3892</v>
      </c>
      <c r="M653" s="324">
        <f t="shared" si="102"/>
        <v>0</v>
      </c>
      <c r="N653" s="14" t="s">
        <v>1879</v>
      </c>
      <c r="O653" s="14" t="s">
        <v>1879</v>
      </c>
      <c r="P653" s="167" t="s">
        <v>143</v>
      </c>
      <c r="Q653" s="14"/>
      <c r="R653" s="170">
        <v>0</v>
      </c>
      <c r="S653" s="108">
        <f t="shared" si="103"/>
        <v>45620</v>
      </c>
      <c r="T653" s="79">
        <v>45592</v>
      </c>
      <c r="U653" s="14"/>
      <c r="V653" s="14"/>
      <c r="W653" s="14"/>
      <c r="X653" s="14"/>
      <c r="Y653" s="14" t="s">
        <v>2023</v>
      </c>
      <c r="Z653" s="14"/>
      <c r="AA653" s="2">
        <f t="shared" ca="1" si="104"/>
        <v>1</v>
      </c>
      <c r="AB653" s="153"/>
      <c r="AC653" s="454" t="str">
        <f t="shared" si="101"/>
        <v>1</v>
      </c>
    </row>
    <row r="654" spans="1:29" ht="58" x14ac:dyDescent="0.35">
      <c r="A654" s="111" t="str">
        <f t="shared" si="98"/>
        <v>Closed</v>
      </c>
      <c r="B654" s="222">
        <v>45592</v>
      </c>
      <c r="C654" s="14">
        <v>2408</v>
      </c>
      <c r="D654" s="14" t="s">
        <v>3893</v>
      </c>
      <c r="E654" s="14" t="s">
        <v>8</v>
      </c>
      <c r="F654" s="14" t="s">
        <v>2245</v>
      </c>
      <c r="G654" s="14" t="s">
        <v>1911</v>
      </c>
      <c r="H654" s="14">
        <v>119</v>
      </c>
      <c r="I654" s="176" t="s">
        <v>140</v>
      </c>
      <c r="K654" s="87"/>
      <c r="L654" s="328" t="s">
        <v>3894</v>
      </c>
      <c r="M654" s="324">
        <f t="shared" si="102"/>
        <v>0</v>
      </c>
      <c r="N654" s="14" t="s">
        <v>1879</v>
      </c>
      <c r="O654" s="14" t="s">
        <v>1879</v>
      </c>
      <c r="P654" s="167" t="s">
        <v>143</v>
      </c>
      <c r="Q654" s="14"/>
      <c r="R654" s="170">
        <v>0</v>
      </c>
      <c r="S654" s="108">
        <f t="shared" si="103"/>
        <v>45620</v>
      </c>
      <c r="T654" s="79">
        <v>45592</v>
      </c>
      <c r="U654" s="14"/>
      <c r="V654" s="14"/>
      <c r="W654" s="14"/>
      <c r="X654" s="14"/>
      <c r="Z654" s="14"/>
      <c r="AA654" s="2">
        <f t="shared" ca="1" si="104"/>
        <v>1</v>
      </c>
      <c r="AB654" s="153"/>
      <c r="AC654" s="454" t="str">
        <f t="shared" si="101"/>
        <v>1</v>
      </c>
    </row>
    <row r="655" spans="1:29" ht="29" x14ac:dyDescent="0.35">
      <c r="A655" s="111" t="str">
        <f t="shared" si="98"/>
        <v>Closed</v>
      </c>
      <c r="B655" s="222">
        <v>45592</v>
      </c>
      <c r="C655" s="14">
        <v>2408</v>
      </c>
      <c r="D655" s="14" t="s">
        <v>3895</v>
      </c>
      <c r="E655" s="14" t="s">
        <v>8</v>
      </c>
      <c r="F655" s="14" t="s">
        <v>1937</v>
      </c>
      <c r="G655" s="14" t="s">
        <v>1911</v>
      </c>
      <c r="H655" s="110">
        <v>107</v>
      </c>
      <c r="I655" s="176" t="s">
        <v>140</v>
      </c>
      <c r="K655" s="87"/>
      <c r="L655" s="14" t="s">
        <v>3896</v>
      </c>
      <c r="M655" s="324">
        <f t="shared" si="102"/>
        <v>0</v>
      </c>
      <c r="N655" s="14" t="s">
        <v>1879</v>
      </c>
      <c r="O655" s="14" t="s">
        <v>1879</v>
      </c>
      <c r="P655" s="167" t="s">
        <v>143</v>
      </c>
      <c r="Q655" s="14"/>
      <c r="R655" s="170">
        <v>0</v>
      </c>
      <c r="S655" s="108">
        <f t="shared" si="103"/>
        <v>45620</v>
      </c>
      <c r="T655" s="79">
        <v>45592</v>
      </c>
      <c r="U655" s="14"/>
      <c r="V655" s="14"/>
      <c r="W655" s="14"/>
      <c r="X655" s="14"/>
      <c r="Z655" s="14"/>
      <c r="AA655" s="2">
        <f t="shared" ca="1" si="104"/>
        <v>1</v>
      </c>
      <c r="AB655" s="153"/>
      <c r="AC655" s="454" t="str">
        <f>LEFT(G654,1)</f>
        <v>O</v>
      </c>
    </row>
    <row r="656" spans="1:29" ht="58" x14ac:dyDescent="0.35">
      <c r="A656" s="89" t="str">
        <f t="shared" si="98"/>
        <v>Closed</v>
      </c>
      <c r="B656" s="222">
        <v>45592</v>
      </c>
      <c r="C656" s="14">
        <v>2408</v>
      </c>
      <c r="D656" s="14" t="s">
        <v>3897</v>
      </c>
      <c r="E656" s="14" t="s">
        <v>41</v>
      </c>
      <c r="F656" s="14" t="s">
        <v>2162</v>
      </c>
      <c r="G656" s="14" t="s">
        <v>1911</v>
      </c>
      <c r="H656" s="14">
        <v>110</v>
      </c>
      <c r="I656" s="176" t="s">
        <v>4</v>
      </c>
      <c r="J656" s="14">
        <v>670</v>
      </c>
      <c r="K656" s="14" t="s">
        <v>137</v>
      </c>
      <c r="L656" s="14" t="s">
        <v>3898</v>
      </c>
      <c r="M656" s="324">
        <v>0</v>
      </c>
      <c r="N656" s="14" t="s">
        <v>1879</v>
      </c>
      <c r="O656" s="14" t="s">
        <v>1879</v>
      </c>
      <c r="P656" s="167" t="s">
        <v>139</v>
      </c>
      <c r="Q656" s="14" t="s">
        <v>174</v>
      </c>
      <c r="R656" s="223" t="s">
        <v>234</v>
      </c>
      <c r="S656" s="224">
        <f t="shared" si="103"/>
        <v>45620</v>
      </c>
      <c r="T656" s="79">
        <v>45361</v>
      </c>
      <c r="U656" s="14" t="s">
        <v>3899</v>
      </c>
      <c r="V656" s="14" t="s">
        <v>3899</v>
      </c>
      <c r="W656" s="14" t="s">
        <v>1879</v>
      </c>
      <c r="X656" s="14" t="s">
        <v>1883</v>
      </c>
      <c r="Y656" s="15" t="s">
        <v>2164</v>
      </c>
      <c r="Z656" s="14" t="s">
        <v>3900</v>
      </c>
      <c r="AA656" s="2">
        <f t="shared" ca="1" si="104"/>
        <v>1</v>
      </c>
      <c r="AB656" s="153"/>
      <c r="AC656" s="454" t="str">
        <f t="shared" ref="AC656:AC702" si="105">LEFT(H656,1)</f>
        <v>1</v>
      </c>
    </row>
    <row r="657" spans="1:29" ht="58" x14ac:dyDescent="0.35">
      <c r="A657" s="111" t="str">
        <f t="shared" si="98"/>
        <v>Closed</v>
      </c>
      <c r="B657" s="222">
        <v>45593</v>
      </c>
      <c r="C657" s="14">
        <v>2408</v>
      </c>
      <c r="D657" s="14" t="s">
        <v>3901</v>
      </c>
      <c r="E657" s="14" t="s">
        <v>8</v>
      </c>
      <c r="F657" s="14" t="s">
        <v>3902</v>
      </c>
      <c r="G657" s="14" t="s">
        <v>1911</v>
      </c>
      <c r="H657" s="14">
        <v>108</v>
      </c>
      <c r="I657" s="176" t="s">
        <v>140</v>
      </c>
      <c r="K657" s="87"/>
      <c r="L657" s="14" t="s">
        <v>3903</v>
      </c>
      <c r="M657" s="324">
        <f t="shared" si="102"/>
        <v>0</v>
      </c>
      <c r="N657" s="14" t="s">
        <v>1879</v>
      </c>
      <c r="O657" s="14" t="s">
        <v>1879</v>
      </c>
      <c r="P657" s="167" t="s">
        <v>143</v>
      </c>
      <c r="Q657" s="14"/>
      <c r="R657" s="170">
        <v>0</v>
      </c>
      <c r="S657" s="108">
        <f t="shared" si="103"/>
        <v>45621</v>
      </c>
      <c r="T657" s="79">
        <v>45593</v>
      </c>
      <c r="U657" s="14"/>
      <c r="V657" s="14"/>
      <c r="W657" s="14"/>
      <c r="X657" s="14"/>
      <c r="Y657" s="167" t="s">
        <v>1929</v>
      </c>
      <c r="Z657" s="14"/>
      <c r="AA657" s="2">
        <f t="shared" ca="1" si="104"/>
        <v>1</v>
      </c>
      <c r="AB657" s="153"/>
      <c r="AC657" s="454" t="str">
        <f t="shared" si="105"/>
        <v>1</v>
      </c>
    </row>
    <row r="658" spans="1:29" ht="29" x14ac:dyDescent="0.35">
      <c r="A658" s="111" t="str">
        <f t="shared" si="98"/>
        <v>Closed</v>
      </c>
      <c r="B658" s="222">
        <v>45593</v>
      </c>
      <c r="C658" s="14">
        <v>2408</v>
      </c>
      <c r="D658" s="14" t="s">
        <v>3904</v>
      </c>
      <c r="E658" s="14" t="s">
        <v>219</v>
      </c>
      <c r="F658" s="14" t="s">
        <v>2212</v>
      </c>
      <c r="G658" s="14" t="s">
        <v>1911</v>
      </c>
      <c r="H658" s="14"/>
      <c r="I658" s="176" t="s">
        <v>140</v>
      </c>
      <c r="K658" s="87"/>
      <c r="L658" s="328" t="s">
        <v>3905</v>
      </c>
      <c r="M658" s="324">
        <f t="shared" si="102"/>
        <v>0</v>
      </c>
      <c r="N658" s="14" t="s">
        <v>1879</v>
      </c>
      <c r="O658" s="14" t="s">
        <v>1879</v>
      </c>
      <c r="P658" s="167" t="s">
        <v>143</v>
      </c>
      <c r="Q658" s="14"/>
      <c r="R658" s="170">
        <v>0</v>
      </c>
      <c r="S658" s="108">
        <f t="shared" si="103"/>
        <v>45621</v>
      </c>
      <c r="T658" s="79">
        <v>45593</v>
      </c>
      <c r="U658" s="14"/>
      <c r="V658" s="14"/>
      <c r="W658" s="14"/>
      <c r="X658" s="14"/>
      <c r="Y658" s="14" t="s">
        <v>2216</v>
      </c>
      <c r="Z658" s="14"/>
      <c r="AA658" s="2">
        <f t="shared" ca="1" si="104"/>
        <v>1</v>
      </c>
      <c r="AB658" s="153"/>
      <c r="AC658" s="454" t="str">
        <f t="shared" si="105"/>
        <v/>
      </c>
    </row>
    <row r="659" spans="1:29" ht="29" x14ac:dyDescent="0.35">
      <c r="A659" s="111" t="str">
        <f t="shared" si="98"/>
        <v>Closed</v>
      </c>
      <c r="B659" s="222">
        <v>45593</v>
      </c>
      <c r="C659" s="14">
        <v>2408</v>
      </c>
      <c r="D659" s="14" t="s">
        <v>3906</v>
      </c>
      <c r="E659" s="14" t="s">
        <v>219</v>
      </c>
      <c r="F659" s="14" t="s">
        <v>1925</v>
      </c>
      <c r="G659" s="14" t="s">
        <v>1911</v>
      </c>
      <c r="H659" s="14">
        <v>112</v>
      </c>
      <c r="I659" s="176" t="s">
        <v>140</v>
      </c>
      <c r="K659" s="87"/>
      <c r="L659" s="14" t="s">
        <v>3907</v>
      </c>
      <c r="M659" s="324"/>
      <c r="N659" s="14" t="s">
        <v>1879</v>
      </c>
      <c r="O659" s="14" t="s">
        <v>1879</v>
      </c>
      <c r="P659" s="167" t="s">
        <v>143</v>
      </c>
      <c r="Q659" s="14"/>
      <c r="R659" s="170">
        <v>0</v>
      </c>
      <c r="S659" s="108">
        <f t="shared" si="103"/>
        <v>45621</v>
      </c>
      <c r="T659" s="79">
        <v>45593</v>
      </c>
      <c r="U659" s="14"/>
      <c r="V659" s="14"/>
      <c r="W659" s="14"/>
      <c r="X659" s="14"/>
      <c r="Y659" s="167" t="s">
        <v>1929</v>
      </c>
      <c r="Z659" s="14"/>
      <c r="AA659" s="2">
        <f t="shared" ca="1" si="104"/>
        <v>1</v>
      </c>
      <c r="AB659" s="153"/>
      <c r="AC659" s="454" t="str">
        <f t="shared" si="105"/>
        <v>1</v>
      </c>
    </row>
    <row r="660" spans="1:29" ht="43.5" x14ac:dyDescent="0.35">
      <c r="A660" s="89" t="str">
        <f t="shared" si="98"/>
        <v>Closed</v>
      </c>
      <c r="B660" s="222">
        <v>45594</v>
      </c>
      <c r="C660" s="14">
        <v>2408</v>
      </c>
      <c r="D660" s="14" t="s">
        <v>3908</v>
      </c>
      <c r="E660" s="14" t="s">
        <v>78</v>
      </c>
      <c r="F660" s="14" t="s">
        <v>2774</v>
      </c>
      <c r="G660" s="14" t="s">
        <v>1911</v>
      </c>
      <c r="H660" s="14">
        <v>113</v>
      </c>
      <c r="I660" s="176" t="s">
        <v>155</v>
      </c>
      <c r="K660" s="87"/>
      <c r="L660" s="14" t="s">
        <v>3909</v>
      </c>
      <c r="M660" s="324">
        <f>IF(I660="Staff Accident","Entry Required",IF(I660="Assaults","Entry Required",0))</f>
        <v>0</v>
      </c>
      <c r="N660" s="14" t="s">
        <v>1880</v>
      </c>
      <c r="O660" s="14" t="s">
        <v>1880</v>
      </c>
      <c r="P660" s="167" t="s">
        <v>147</v>
      </c>
      <c r="Q660" s="14" t="s">
        <v>174</v>
      </c>
      <c r="R660" s="223" t="s">
        <v>234</v>
      </c>
      <c r="S660" s="224">
        <f t="shared" si="103"/>
        <v>45622</v>
      </c>
      <c r="T660" s="79">
        <v>45361</v>
      </c>
      <c r="U660" s="14" t="s">
        <v>3910</v>
      </c>
      <c r="V660" s="14" t="s">
        <v>3911</v>
      </c>
      <c r="W660" s="14" t="s">
        <v>1879</v>
      </c>
      <c r="X660" s="14" t="s">
        <v>1883</v>
      </c>
      <c r="Z660" s="14" t="s">
        <v>2181</v>
      </c>
      <c r="AA660" s="2">
        <f t="shared" ca="1" si="104"/>
        <v>1</v>
      </c>
      <c r="AB660" s="153"/>
      <c r="AC660" s="454" t="str">
        <f t="shared" si="105"/>
        <v>1</v>
      </c>
    </row>
    <row r="661" spans="1:29" ht="29" x14ac:dyDescent="0.35">
      <c r="A661" s="89" t="str">
        <f t="shared" si="98"/>
        <v>Closed</v>
      </c>
      <c r="B661" s="222">
        <v>45595</v>
      </c>
      <c r="C661" s="14">
        <v>2408</v>
      </c>
      <c r="D661" s="14" t="s">
        <v>3912</v>
      </c>
      <c r="E661" s="14" t="s">
        <v>219</v>
      </c>
      <c r="F661" s="14" t="s">
        <v>3902</v>
      </c>
      <c r="G661" s="14" t="s">
        <v>1911</v>
      </c>
      <c r="H661" s="14">
        <v>205</v>
      </c>
      <c r="I661" s="176" t="s">
        <v>140</v>
      </c>
      <c r="K661" s="87"/>
      <c r="L661" s="14" t="s">
        <v>3913</v>
      </c>
      <c r="M661" s="324">
        <f>IF(I661="Staff Accident","Entry Required",IF(I661="Assaults","Entry Required",0))</f>
        <v>0</v>
      </c>
      <c r="N661" s="14" t="s">
        <v>1879</v>
      </c>
      <c r="O661" s="14" t="s">
        <v>1879</v>
      </c>
      <c r="P661" s="167" t="s">
        <v>143</v>
      </c>
      <c r="Q661" s="14"/>
      <c r="R661" s="223">
        <v>0</v>
      </c>
      <c r="S661" s="224">
        <f t="shared" si="103"/>
        <v>45623</v>
      </c>
      <c r="T661" s="79">
        <v>45595</v>
      </c>
      <c r="U661" s="14"/>
      <c r="V661" s="14"/>
      <c r="W661" s="14"/>
      <c r="X661" s="14"/>
      <c r="Y661" s="167" t="s">
        <v>1929</v>
      </c>
      <c r="Z661" s="14"/>
      <c r="AA661" s="2">
        <f t="shared" ca="1" si="104"/>
        <v>1</v>
      </c>
      <c r="AB661" s="153"/>
      <c r="AC661" s="454" t="str">
        <f t="shared" si="105"/>
        <v>2</v>
      </c>
    </row>
    <row r="662" spans="1:29" ht="29" x14ac:dyDescent="0.35">
      <c r="A662" s="89" t="str">
        <f t="shared" si="98"/>
        <v>Closed</v>
      </c>
      <c r="B662" s="222">
        <v>45595</v>
      </c>
      <c r="C662" s="14">
        <v>2408</v>
      </c>
      <c r="D662" s="14" t="s">
        <v>3914</v>
      </c>
      <c r="E662" s="14" t="s">
        <v>219</v>
      </c>
      <c r="F662" s="167" t="s">
        <v>3086</v>
      </c>
      <c r="G662" s="14" t="s">
        <v>1911</v>
      </c>
      <c r="H662" s="14"/>
      <c r="I662" s="176" t="s">
        <v>140</v>
      </c>
      <c r="J662" s="14">
        <v>89116</v>
      </c>
      <c r="K662" s="87"/>
      <c r="L662" s="14" t="s">
        <v>3915</v>
      </c>
      <c r="M662" s="324">
        <f>IF(I662="Staff Accident","Entry Required",IF(I662="Assaults","Entry Required",0))</f>
        <v>0</v>
      </c>
      <c r="N662" s="14" t="s">
        <v>1879</v>
      </c>
      <c r="O662" s="14" t="s">
        <v>1879</v>
      </c>
      <c r="P662" s="167" t="s">
        <v>143</v>
      </c>
      <c r="Q662" s="14"/>
      <c r="R662" s="223">
        <v>0</v>
      </c>
      <c r="S662" s="224">
        <f t="shared" si="103"/>
        <v>45623</v>
      </c>
      <c r="T662" s="79">
        <v>45595</v>
      </c>
      <c r="U662" s="14"/>
      <c r="V662" s="14"/>
      <c r="W662" s="14"/>
      <c r="X662" s="14"/>
      <c r="Y662" s="167" t="s">
        <v>3088</v>
      </c>
      <c r="Z662" s="14"/>
      <c r="AA662" s="2">
        <f t="shared" ca="1" si="104"/>
        <v>1</v>
      </c>
      <c r="AB662" s="153"/>
      <c r="AC662" s="454" t="str">
        <f t="shared" si="105"/>
        <v/>
      </c>
    </row>
    <row r="663" spans="1:29" ht="43.5" x14ac:dyDescent="0.35">
      <c r="A663" s="89" t="str">
        <f t="shared" si="98"/>
        <v>Closed</v>
      </c>
      <c r="B663" s="222">
        <v>45595</v>
      </c>
      <c r="C663" s="14">
        <v>2408</v>
      </c>
      <c r="D663" s="14" t="s">
        <v>3916</v>
      </c>
      <c r="E663" s="14" t="s">
        <v>219</v>
      </c>
      <c r="F663" s="14" t="s">
        <v>3917</v>
      </c>
      <c r="G663" s="14" t="s">
        <v>1911</v>
      </c>
      <c r="H663" s="14">
        <v>119</v>
      </c>
      <c r="I663" s="176" t="s">
        <v>140</v>
      </c>
      <c r="K663" s="87"/>
      <c r="L663" s="14" t="s">
        <v>3918</v>
      </c>
      <c r="M663" s="324">
        <f>IF(I663="Staff Accident","Entry Required",IF(I663="Assaults","Entry Required",0))</f>
        <v>0</v>
      </c>
      <c r="N663" s="14" t="s">
        <v>1879</v>
      </c>
      <c r="O663" s="14" t="s">
        <v>1879</v>
      </c>
      <c r="P663" s="167" t="s">
        <v>143</v>
      </c>
      <c r="Q663" s="14"/>
      <c r="R663" s="223">
        <v>0</v>
      </c>
      <c r="S663" s="224">
        <f t="shared" si="103"/>
        <v>45623</v>
      </c>
      <c r="T663" s="79">
        <v>45595</v>
      </c>
      <c r="U663" s="14"/>
      <c r="V663" s="14"/>
      <c r="W663" s="14"/>
      <c r="X663" s="14"/>
      <c r="Y663" s="85" t="s">
        <v>2093</v>
      </c>
      <c r="Z663" s="14"/>
      <c r="AA663" s="2">
        <f t="shared" ca="1" si="104"/>
        <v>1</v>
      </c>
      <c r="AB663" s="153"/>
      <c r="AC663" s="454" t="str">
        <f t="shared" si="105"/>
        <v>1</v>
      </c>
    </row>
    <row r="664" spans="1:29" ht="58" x14ac:dyDescent="0.35">
      <c r="A664" s="89" t="str">
        <f t="shared" si="98"/>
        <v>Closed</v>
      </c>
      <c r="B664" s="222">
        <v>45596</v>
      </c>
      <c r="C664" s="14">
        <v>2408</v>
      </c>
      <c r="D664" s="14" t="s">
        <v>3919</v>
      </c>
      <c r="E664" s="14" t="s">
        <v>42</v>
      </c>
      <c r="F664" s="14" t="s">
        <v>2299</v>
      </c>
      <c r="G664" s="14"/>
      <c r="H664" s="14"/>
      <c r="I664" s="176" t="s">
        <v>4</v>
      </c>
      <c r="J664" s="14">
        <v>324</v>
      </c>
      <c r="K664" s="14" t="s">
        <v>137</v>
      </c>
      <c r="L664" s="328" t="s">
        <v>3920</v>
      </c>
      <c r="M664" s="324">
        <v>0</v>
      </c>
      <c r="N664" s="14" t="s">
        <v>1879</v>
      </c>
      <c r="O664" s="14" t="s">
        <v>1880</v>
      </c>
      <c r="P664" s="167" t="s">
        <v>139</v>
      </c>
      <c r="Q664" s="14" t="s">
        <v>138</v>
      </c>
      <c r="R664" s="223" t="s">
        <v>234</v>
      </c>
      <c r="S664" s="224">
        <f t="shared" si="103"/>
        <v>45624</v>
      </c>
      <c r="T664" s="79">
        <v>45902</v>
      </c>
      <c r="U664" s="14"/>
      <c r="V664" s="14"/>
      <c r="W664" s="14"/>
      <c r="X664" s="14"/>
      <c r="Y664" s="14" t="s">
        <v>2302</v>
      </c>
      <c r="Z664" s="14" t="s">
        <v>3921</v>
      </c>
      <c r="AA664" s="2">
        <f t="shared" ca="1" si="104"/>
        <v>1</v>
      </c>
      <c r="AB664" s="153"/>
      <c r="AC664" s="454" t="str">
        <f t="shared" si="105"/>
        <v/>
      </c>
    </row>
    <row r="665" spans="1:29" ht="58" x14ac:dyDescent="0.35">
      <c r="A665" s="111" t="str">
        <f t="shared" si="98"/>
        <v>Closed</v>
      </c>
      <c r="B665" s="222">
        <v>45596</v>
      </c>
      <c r="C665" s="14">
        <v>2408</v>
      </c>
      <c r="D665" s="14" t="s">
        <v>3922</v>
      </c>
      <c r="E665" s="14" t="s">
        <v>8</v>
      </c>
      <c r="F665" s="14" t="s">
        <v>2119</v>
      </c>
      <c r="G665" s="14" t="s">
        <v>1900</v>
      </c>
      <c r="H665" s="14">
        <v>104</v>
      </c>
      <c r="I665" s="176" t="s">
        <v>140</v>
      </c>
      <c r="K665" s="87"/>
      <c r="L665" s="14" t="s">
        <v>3923</v>
      </c>
      <c r="M665" s="324">
        <f>IF(I665="Staff Accident","Entry Required",IF(I665="Assaults","Entry Required",0))</f>
        <v>0</v>
      </c>
      <c r="N665" s="14" t="s">
        <v>1879</v>
      </c>
      <c r="O665" s="14" t="s">
        <v>1879</v>
      </c>
      <c r="P665" s="167" t="s">
        <v>143</v>
      </c>
      <c r="Q665" s="14"/>
      <c r="R665" s="170">
        <v>0</v>
      </c>
      <c r="S665" s="108">
        <f t="shared" si="103"/>
        <v>45624</v>
      </c>
      <c r="T665" s="79">
        <v>45596</v>
      </c>
      <c r="U665" s="14"/>
      <c r="V665" s="14"/>
      <c r="W665" s="14"/>
      <c r="X665" s="14"/>
      <c r="Y665" s="14" t="s">
        <v>2093</v>
      </c>
      <c r="Z665" s="14"/>
      <c r="AA665" s="2">
        <f t="shared" ca="1" si="104"/>
        <v>1</v>
      </c>
      <c r="AB665" s="153"/>
      <c r="AC665" s="454" t="str">
        <f t="shared" si="105"/>
        <v>1</v>
      </c>
    </row>
    <row r="666" spans="1:29" ht="43.5" x14ac:dyDescent="0.35">
      <c r="A666" s="111" t="str">
        <f t="shared" si="98"/>
        <v>Closed</v>
      </c>
      <c r="B666" s="222">
        <v>45596</v>
      </c>
      <c r="C666" s="14">
        <v>2408</v>
      </c>
      <c r="D666" s="14" t="s">
        <v>3924</v>
      </c>
      <c r="E666" s="14" t="s">
        <v>8</v>
      </c>
      <c r="F666" s="14" t="s">
        <v>1937</v>
      </c>
      <c r="G666" s="14" t="s">
        <v>1900</v>
      </c>
      <c r="H666" s="14">
        <v>117</v>
      </c>
      <c r="I666" s="176" t="s">
        <v>140</v>
      </c>
      <c r="J666" s="14">
        <v>788</v>
      </c>
      <c r="K666" s="87"/>
      <c r="L666" s="14" t="s">
        <v>3925</v>
      </c>
      <c r="M666" s="324">
        <f>IF(I666="Staff Accident","Entry Required",IF(I666="Assaults","Entry Required",0))</f>
        <v>0</v>
      </c>
      <c r="N666" s="14" t="s">
        <v>1879</v>
      </c>
      <c r="O666" s="14" t="s">
        <v>1879</v>
      </c>
      <c r="P666" s="167" t="s">
        <v>143</v>
      </c>
      <c r="Q666" s="14"/>
      <c r="R666" s="170">
        <v>0</v>
      </c>
      <c r="S666" s="108">
        <f t="shared" si="103"/>
        <v>45624</v>
      </c>
      <c r="T666" s="79">
        <v>45596</v>
      </c>
      <c r="U666" s="14"/>
      <c r="V666" s="14"/>
      <c r="W666" s="14"/>
      <c r="X666" s="14"/>
      <c r="Z666" s="14"/>
      <c r="AA666" s="2">
        <f t="shared" ca="1" si="104"/>
        <v>1</v>
      </c>
      <c r="AB666" s="153"/>
      <c r="AC666" s="454" t="str">
        <f t="shared" si="105"/>
        <v>1</v>
      </c>
    </row>
    <row r="667" spans="1:29" ht="29" x14ac:dyDescent="0.35">
      <c r="A667" s="111" t="str">
        <f t="shared" si="98"/>
        <v>Closed</v>
      </c>
      <c r="B667" s="222">
        <v>45597</v>
      </c>
      <c r="C667" s="14">
        <v>2408</v>
      </c>
      <c r="D667" s="14" t="s">
        <v>3926</v>
      </c>
      <c r="E667" s="14" t="s">
        <v>8</v>
      </c>
      <c r="F667" s="14" t="s">
        <v>3040</v>
      </c>
      <c r="G667" s="14" t="s">
        <v>1911</v>
      </c>
      <c r="H667" s="14"/>
      <c r="I667" s="176" t="s">
        <v>140</v>
      </c>
      <c r="K667" s="87"/>
      <c r="L667" s="14" t="s">
        <v>3927</v>
      </c>
      <c r="M667" s="324">
        <f>IF(I667="Staff Accident","Entry Required",IF(I667="Assaults","Entry Required",0))</f>
        <v>0</v>
      </c>
      <c r="N667" s="14" t="s">
        <v>1879</v>
      </c>
      <c r="O667" s="14" t="s">
        <v>1879</v>
      </c>
      <c r="P667" s="167" t="s">
        <v>143</v>
      </c>
      <c r="Q667" s="14"/>
      <c r="R667" s="170">
        <v>0</v>
      </c>
      <c r="S667" s="108">
        <f t="shared" si="103"/>
        <v>45625</v>
      </c>
      <c r="T667" s="79">
        <v>45597</v>
      </c>
      <c r="U667" s="14"/>
      <c r="V667" s="14"/>
      <c r="W667" s="14"/>
      <c r="X667" s="14"/>
      <c r="Y667" s="85" t="s">
        <v>3044</v>
      </c>
      <c r="Z667" s="14"/>
      <c r="AA667" s="2">
        <f t="shared" ca="1" si="104"/>
        <v>1</v>
      </c>
      <c r="AB667" s="153"/>
      <c r="AC667" s="454" t="str">
        <f t="shared" si="105"/>
        <v/>
      </c>
    </row>
    <row r="668" spans="1:29" ht="72.5" x14ac:dyDescent="0.35">
      <c r="A668" s="111" t="str">
        <f t="shared" si="98"/>
        <v>Closed</v>
      </c>
      <c r="B668" s="222">
        <v>45597</v>
      </c>
      <c r="C668" s="14">
        <v>2408</v>
      </c>
      <c r="D668" s="14" t="s">
        <v>3928</v>
      </c>
      <c r="E668" s="14" t="s">
        <v>40</v>
      </c>
      <c r="F668" s="14" t="s">
        <v>2064</v>
      </c>
      <c r="G668" s="14" t="s">
        <v>1911</v>
      </c>
      <c r="H668" s="14"/>
      <c r="I668" s="176" t="s">
        <v>140</v>
      </c>
      <c r="K668" s="87" t="s">
        <v>137</v>
      </c>
      <c r="L668" s="14" t="s">
        <v>3929</v>
      </c>
      <c r="M668" s="324">
        <v>0</v>
      </c>
      <c r="N668" s="14" t="s">
        <v>1879</v>
      </c>
      <c r="O668" s="14" t="s">
        <v>1880</v>
      </c>
      <c r="P668" s="167" t="s">
        <v>143</v>
      </c>
      <c r="Q668" s="14" t="s">
        <v>138</v>
      </c>
      <c r="R668" s="170">
        <v>0</v>
      </c>
      <c r="S668" s="108">
        <f t="shared" si="103"/>
        <v>45625</v>
      </c>
      <c r="T668" s="79">
        <v>45638</v>
      </c>
      <c r="U668" s="14"/>
      <c r="V668" s="14"/>
      <c r="W668" s="14"/>
      <c r="X668" s="14"/>
      <c r="Z668" s="14" t="s">
        <v>3930</v>
      </c>
      <c r="AA668" s="2">
        <f t="shared" ca="1" si="104"/>
        <v>1</v>
      </c>
      <c r="AB668" s="153"/>
      <c r="AC668" s="454" t="str">
        <f t="shared" si="105"/>
        <v/>
      </c>
    </row>
    <row r="669" spans="1:29" x14ac:dyDescent="0.35">
      <c r="A669" s="111" t="str">
        <f t="shared" si="98"/>
        <v>Closed</v>
      </c>
      <c r="B669" s="222">
        <v>45598</v>
      </c>
      <c r="C669" s="14">
        <v>2408</v>
      </c>
      <c r="D669" s="14" t="s">
        <v>3931</v>
      </c>
      <c r="E669" s="14" t="s">
        <v>219</v>
      </c>
      <c r="F669" s="14" t="s">
        <v>1968</v>
      </c>
      <c r="G669" s="14"/>
      <c r="H669" s="14"/>
      <c r="I669" s="176" t="s">
        <v>140</v>
      </c>
      <c r="K669" s="87"/>
      <c r="L669" s="14" t="s">
        <v>3932</v>
      </c>
      <c r="M669" s="324">
        <f t="shared" ref="M669:M675" si="106">IF(I669="Staff Accident","Entry Required",IF(I669="Assaults","Entry Required",0))</f>
        <v>0</v>
      </c>
      <c r="N669" s="14" t="s">
        <v>1879</v>
      </c>
      <c r="O669" s="14" t="s">
        <v>1879</v>
      </c>
      <c r="P669" s="167" t="s">
        <v>143</v>
      </c>
      <c r="Q669" s="14"/>
      <c r="R669" s="170">
        <v>0</v>
      </c>
      <c r="S669" s="108">
        <f t="shared" si="103"/>
        <v>45626</v>
      </c>
      <c r="T669" s="79">
        <v>45598</v>
      </c>
      <c r="U669" s="14"/>
      <c r="V669" s="14"/>
      <c r="W669" s="14"/>
      <c r="X669" s="14"/>
      <c r="Y669" s="14" t="s">
        <v>1970</v>
      </c>
      <c r="Z669" s="14"/>
      <c r="AA669" s="2">
        <f t="shared" ca="1" si="104"/>
        <v>1</v>
      </c>
      <c r="AB669" s="153"/>
      <c r="AC669" s="454" t="str">
        <f t="shared" si="105"/>
        <v/>
      </c>
    </row>
    <row r="670" spans="1:29" ht="58" x14ac:dyDescent="0.35">
      <c r="A670" s="111" t="str">
        <f t="shared" si="98"/>
        <v>Closed</v>
      </c>
      <c r="B670" s="222">
        <v>45598</v>
      </c>
      <c r="C670" s="14">
        <v>2408</v>
      </c>
      <c r="D670" s="14" t="s">
        <v>3933</v>
      </c>
      <c r="E670" s="14" t="s">
        <v>8</v>
      </c>
      <c r="F670" s="14" t="s">
        <v>3917</v>
      </c>
      <c r="G670" s="14" t="s">
        <v>1900</v>
      </c>
      <c r="H670" s="14"/>
      <c r="I670" s="176" t="s">
        <v>140</v>
      </c>
      <c r="K670" s="87"/>
      <c r="L670" s="14" t="s">
        <v>3934</v>
      </c>
      <c r="M670" s="324">
        <f t="shared" si="106"/>
        <v>0</v>
      </c>
      <c r="N670" s="14" t="s">
        <v>1879</v>
      </c>
      <c r="O670" s="14" t="s">
        <v>1879</v>
      </c>
      <c r="P670" s="167" t="s">
        <v>143</v>
      </c>
      <c r="Q670" s="14"/>
      <c r="R670" s="170">
        <v>0</v>
      </c>
      <c r="S670" s="108">
        <f t="shared" si="103"/>
        <v>45626</v>
      </c>
      <c r="T670" s="79">
        <v>45598</v>
      </c>
      <c r="U670" s="14"/>
      <c r="V670" s="14"/>
      <c r="W670" s="14"/>
      <c r="X670" s="14"/>
      <c r="Y670" s="85" t="s">
        <v>2093</v>
      </c>
      <c r="Z670" s="14"/>
      <c r="AA670" s="2">
        <f t="shared" ca="1" si="104"/>
        <v>1</v>
      </c>
      <c r="AB670" s="153"/>
      <c r="AC670" s="454" t="str">
        <f t="shared" si="105"/>
        <v/>
      </c>
    </row>
    <row r="671" spans="1:29" ht="116" x14ac:dyDescent="0.35">
      <c r="A671" s="111" t="str">
        <f t="shared" si="98"/>
        <v>Closed</v>
      </c>
      <c r="B671" s="222">
        <v>45598</v>
      </c>
      <c r="C671" s="14">
        <v>2408</v>
      </c>
      <c r="D671" s="14" t="s">
        <v>3935</v>
      </c>
      <c r="E671" s="14" t="s">
        <v>31</v>
      </c>
      <c r="F671" s="14" t="s">
        <v>1910</v>
      </c>
      <c r="G671" s="14" t="s">
        <v>1900</v>
      </c>
      <c r="H671" s="14"/>
      <c r="I671" s="176" t="s">
        <v>155</v>
      </c>
      <c r="K671" s="87"/>
      <c r="L671" s="14" t="s">
        <v>3936</v>
      </c>
      <c r="M671" s="324">
        <f t="shared" si="106"/>
        <v>0</v>
      </c>
      <c r="N671" s="14" t="s">
        <v>1879</v>
      </c>
      <c r="O671" s="14" t="s">
        <v>1879</v>
      </c>
      <c r="P671" s="167" t="s">
        <v>147</v>
      </c>
      <c r="Q671" s="14" t="s">
        <v>174</v>
      </c>
      <c r="R671" s="170" t="s">
        <v>234</v>
      </c>
      <c r="S671" s="108">
        <f t="shared" si="103"/>
        <v>45626</v>
      </c>
      <c r="T671" s="79">
        <v>45737</v>
      </c>
      <c r="U671" s="14"/>
      <c r="V671" s="14"/>
      <c r="W671" s="14"/>
      <c r="X671" s="176"/>
      <c r="Y671" s="15" t="s">
        <v>1915</v>
      </c>
      <c r="Z671" s="87" t="s">
        <v>3937</v>
      </c>
      <c r="AA671" s="2">
        <f t="shared" ca="1" si="104"/>
        <v>1</v>
      </c>
      <c r="AB671" s="153"/>
      <c r="AC671" s="454" t="str">
        <f t="shared" si="105"/>
        <v/>
      </c>
    </row>
    <row r="672" spans="1:29" ht="29" x14ac:dyDescent="0.35">
      <c r="A672" s="111" t="str">
        <f t="shared" si="98"/>
        <v>Closed</v>
      </c>
      <c r="B672" s="222">
        <v>45598</v>
      </c>
      <c r="C672" s="14">
        <v>2408</v>
      </c>
      <c r="D672" s="14" t="s">
        <v>3938</v>
      </c>
      <c r="E672" s="14" t="s">
        <v>37</v>
      </c>
      <c r="F672" s="167" t="s">
        <v>2162</v>
      </c>
      <c r="G672" s="14"/>
      <c r="H672" s="14"/>
      <c r="I672" s="176" t="s">
        <v>140</v>
      </c>
      <c r="K672" s="87"/>
      <c r="L672" s="14" t="s">
        <v>3939</v>
      </c>
      <c r="M672" s="324">
        <f t="shared" si="106"/>
        <v>0</v>
      </c>
      <c r="N672" s="14" t="s">
        <v>1879</v>
      </c>
      <c r="O672" s="14" t="s">
        <v>1879</v>
      </c>
      <c r="P672" s="167" t="s">
        <v>143</v>
      </c>
      <c r="Q672" s="14"/>
      <c r="R672" s="170">
        <v>0</v>
      </c>
      <c r="S672" s="108">
        <f t="shared" si="103"/>
        <v>45626</v>
      </c>
      <c r="T672" s="79">
        <v>45598</v>
      </c>
      <c r="U672" s="14"/>
      <c r="V672" s="14"/>
      <c r="W672" s="14"/>
      <c r="X672" s="14"/>
      <c r="Y672" s="15" t="s">
        <v>2164</v>
      </c>
      <c r="Z672" s="299" t="s">
        <v>3940</v>
      </c>
      <c r="AA672" s="2">
        <f t="shared" ca="1" si="104"/>
        <v>1</v>
      </c>
      <c r="AB672" s="153"/>
      <c r="AC672" s="454" t="str">
        <f t="shared" si="105"/>
        <v/>
      </c>
    </row>
    <row r="673" spans="1:29" ht="29" x14ac:dyDescent="0.35">
      <c r="A673" s="111" t="str">
        <f t="shared" si="98"/>
        <v>Closed</v>
      </c>
      <c r="B673" s="222">
        <v>45598</v>
      </c>
      <c r="C673" s="14">
        <v>2408</v>
      </c>
      <c r="D673" s="14" t="s">
        <v>3941</v>
      </c>
      <c r="E673" s="14" t="s">
        <v>219</v>
      </c>
      <c r="F673" s="14" t="s">
        <v>2470</v>
      </c>
      <c r="G673" s="14" t="s">
        <v>1911</v>
      </c>
      <c r="H673" s="14"/>
      <c r="I673" s="176" t="s">
        <v>140</v>
      </c>
      <c r="K673" s="87"/>
      <c r="L673" s="14" t="s">
        <v>3942</v>
      </c>
      <c r="M673" s="324">
        <f t="shared" si="106"/>
        <v>0</v>
      </c>
      <c r="N673" s="14" t="s">
        <v>1879</v>
      </c>
      <c r="O673" s="14" t="s">
        <v>1879</v>
      </c>
      <c r="P673" s="167" t="s">
        <v>143</v>
      </c>
      <c r="Q673" s="14"/>
      <c r="R673" s="170">
        <v>0</v>
      </c>
      <c r="S673" s="108">
        <f t="shared" si="103"/>
        <v>45626</v>
      </c>
      <c r="T673" s="79">
        <v>45598</v>
      </c>
      <c r="U673" s="14"/>
      <c r="V673" s="14"/>
      <c r="W673" s="14"/>
      <c r="X673" s="14"/>
      <c r="Y673" s="88" t="s">
        <v>2216</v>
      </c>
      <c r="Z673" s="14"/>
      <c r="AA673" s="2">
        <f t="shared" ca="1" si="104"/>
        <v>1</v>
      </c>
      <c r="AB673" s="153"/>
      <c r="AC673" s="454" t="str">
        <f t="shared" si="105"/>
        <v/>
      </c>
    </row>
    <row r="674" spans="1:29" ht="29" x14ac:dyDescent="0.35">
      <c r="A674" s="111" t="str">
        <f t="shared" si="98"/>
        <v>Closed</v>
      </c>
      <c r="B674" s="222">
        <v>45598</v>
      </c>
      <c r="C674" s="14">
        <v>2408</v>
      </c>
      <c r="D674" s="14" t="s">
        <v>3943</v>
      </c>
      <c r="E674" s="14" t="s">
        <v>219</v>
      </c>
      <c r="F674" s="14" t="s">
        <v>2262</v>
      </c>
      <c r="G674" s="14"/>
      <c r="H674" s="14"/>
      <c r="I674" s="176" t="s">
        <v>140</v>
      </c>
      <c r="K674" s="87"/>
      <c r="L674" s="14" t="s">
        <v>3944</v>
      </c>
      <c r="M674" s="324">
        <f t="shared" si="106"/>
        <v>0</v>
      </c>
      <c r="N674" s="14" t="s">
        <v>1879</v>
      </c>
      <c r="O674" s="14" t="s">
        <v>1879</v>
      </c>
      <c r="P674" s="167" t="s">
        <v>143</v>
      </c>
      <c r="Q674" s="14"/>
      <c r="R674" s="170">
        <v>0</v>
      </c>
      <c r="S674" s="108">
        <f t="shared" si="103"/>
        <v>45626</v>
      </c>
      <c r="T674" s="79">
        <v>45598</v>
      </c>
      <c r="U674" s="14"/>
      <c r="V674" s="14"/>
      <c r="W674" s="14"/>
      <c r="X674" s="14"/>
      <c r="Y674" s="14" t="s">
        <v>2185</v>
      </c>
      <c r="Z674" s="14"/>
      <c r="AA674" s="2">
        <f t="shared" ca="1" si="104"/>
        <v>1</v>
      </c>
      <c r="AB674" s="153"/>
      <c r="AC674" s="454" t="str">
        <f t="shared" si="105"/>
        <v/>
      </c>
    </row>
    <row r="675" spans="1:29" ht="246.5" x14ac:dyDescent="0.35">
      <c r="A675" s="89" t="str">
        <f t="shared" si="98"/>
        <v>Closed</v>
      </c>
      <c r="B675" s="222">
        <v>45596</v>
      </c>
      <c r="C675" s="14">
        <v>2408</v>
      </c>
      <c r="D675" s="14" t="s">
        <v>1579</v>
      </c>
      <c r="E675" s="14" t="s">
        <v>61</v>
      </c>
      <c r="F675" s="14" t="s">
        <v>1985</v>
      </c>
      <c r="G675" s="14" t="s">
        <v>1911</v>
      </c>
      <c r="H675" s="14"/>
      <c r="I675" s="176" t="s">
        <v>155</v>
      </c>
      <c r="K675" s="87"/>
      <c r="L675" s="14" t="s">
        <v>3945</v>
      </c>
      <c r="M675" s="324">
        <f t="shared" si="106"/>
        <v>0</v>
      </c>
      <c r="N675" s="14" t="s">
        <v>1879</v>
      </c>
      <c r="O675" s="14" t="s">
        <v>1879</v>
      </c>
      <c r="P675" s="167" t="s">
        <v>147</v>
      </c>
      <c r="Q675" s="14" t="s">
        <v>168</v>
      </c>
      <c r="R675" s="223" t="s">
        <v>234</v>
      </c>
      <c r="S675" s="224">
        <f t="shared" si="103"/>
        <v>45624</v>
      </c>
      <c r="T675" s="79">
        <v>45620</v>
      </c>
      <c r="U675" s="14" t="s">
        <v>3946</v>
      </c>
      <c r="V675" s="14" t="s">
        <v>1896</v>
      </c>
      <c r="W675" s="14" t="s">
        <v>1880</v>
      </c>
      <c r="X675" s="14" t="s">
        <v>1880</v>
      </c>
      <c r="Y675" s="14" t="s">
        <v>1989</v>
      </c>
      <c r="Z675" s="14" t="s">
        <v>3947</v>
      </c>
      <c r="AA675" s="2">
        <f t="shared" ca="1" si="104"/>
        <v>1</v>
      </c>
      <c r="AB675" s="153"/>
      <c r="AC675" s="454" t="str">
        <f t="shared" si="105"/>
        <v/>
      </c>
    </row>
    <row r="676" spans="1:29" ht="87" x14ac:dyDescent="0.35">
      <c r="A676" s="89" t="str">
        <f t="shared" si="98"/>
        <v>Closed</v>
      </c>
      <c r="B676" s="222">
        <v>45601</v>
      </c>
      <c r="C676" s="14">
        <v>2408</v>
      </c>
      <c r="D676" s="14" t="s">
        <v>3948</v>
      </c>
      <c r="E676" s="14" t="s">
        <v>42</v>
      </c>
      <c r="F676" s="14" t="s">
        <v>1925</v>
      </c>
      <c r="G676" s="14"/>
      <c r="H676" s="14"/>
      <c r="I676" s="176" t="s">
        <v>4</v>
      </c>
      <c r="J676" s="14">
        <v>85122389</v>
      </c>
      <c r="K676" s="14" t="s">
        <v>137</v>
      </c>
      <c r="L676" s="14" t="s">
        <v>3949</v>
      </c>
      <c r="M676" s="324">
        <v>0</v>
      </c>
      <c r="N676" s="14" t="s">
        <v>1879</v>
      </c>
      <c r="O676" s="14" t="s">
        <v>1880</v>
      </c>
      <c r="P676" s="167" t="s">
        <v>139</v>
      </c>
      <c r="Q676" s="14" t="s">
        <v>157</v>
      </c>
      <c r="R676" s="223" t="s">
        <v>234</v>
      </c>
      <c r="S676" s="224">
        <f t="shared" si="103"/>
        <v>45629</v>
      </c>
      <c r="T676" s="79">
        <v>45319</v>
      </c>
      <c r="U676" s="14" t="s">
        <v>3950</v>
      </c>
      <c r="V676" s="14" t="s">
        <v>2149</v>
      </c>
      <c r="W676" s="14" t="s">
        <v>1879</v>
      </c>
      <c r="X676" s="14" t="s">
        <v>154</v>
      </c>
      <c r="Y676" s="167" t="s">
        <v>1929</v>
      </c>
      <c r="Z676" s="14" t="s">
        <v>3951</v>
      </c>
      <c r="AA676" s="2">
        <f t="shared" ca="1" si="104"/>
        <v>1</v>
      </c>
      <c r="AB676" s="153"/>
      <c r="AC676" s="454" t="str">
        <f t="shared" si="105"/>
        <v/>
      </c>
    </row>
    <row r="677" spans="1:29" ht="29" x14ac:dyDescent="0.35">
      <c r="A677" s="111" t="str">
        <f t="shared" si="98"/>
        <v>Closed</v>
      </c>
      <c r="B677" s="222">
        <v>45602</v>
      </c>
      <c r="C677" s="14">
        <v>2408</v>
      </c>
      <c r="D677" s="14" t="s">
        <v>3952</v>
      </c>
      <c r="E677" s="14" t="s">
        <v>31</v>
      </c>
      <c r="F677" s="14" t="s">
        <v>2010</v>
      </c>
      <c r="G677" s="14" t="s">
        <v>1911</v>
      </c>
      <c r="H677" s="14">
        <v>124</v>
      </c>
      <c r="I677" s="176" t="s">
        <v>140</v>
      </c>
      <c r="K677" s="87"/>
      <c r="L677" s="14" t="s">
        <v>3953</v>
      </c>
      <c r="M677" s="324">
        <f>IF(I677="Staff Accident","Entry Required",IF(I677="Assaults","Entry Required",0))</f>
        <v>0</v>
      </c>
      <c r="N677" s="14" t="s">
        <v>1879</v>
      </c>
      <c r="O677" s="14" t="s">
        <v>1880</v>
      </c>
      <c r="P677" s="167" t="s">
        <v>143</v>
      </c>
      <c r="Q677" s="14"/>
      <c r="R677" s="170">
        <v>0</v>
      </c>
      <c r="S677" s="108">
        <f t="shared" si="103"/>
        <v>45630</v>
      </c>
      <c r="T677" s="79">
        <v>45602</v>
      </c>
      <c r="U677" s="14"/>
      <c r="V677" s="14"/>
      <c r="W677" s="14"/>
      <c r="X677" s="14"/>
      <c r="Y677" s="51" t="s">
        <v>2012</v>
      </c>
      <c r="Z677" s="14"/>
      <c r="AA677" s="2">
        <f t="shared" ca="1" si="104"/>
        <v>1</v>
      </c>
      <c r="AB677" s="153"/>
      <c r="AC677" s="454" t="str">
        <f t="shared" si="105"/>
        <v>1</v>
      </c>
    </row>
    <row r="678" spans="1:29" ht="58" x14ac:dyDescent="0.35">
      <c r="A678" s="111" t="str">
        <f t="shared" ref="A678:A738" si="107">IF(T678&gt;1,"Closed",IF(AA678=1,"Overdue",IF(AA678=3,"","Open")))</f>
        <v>Closed</v>
      </c>
      <c r="B678" s="222">
        <v>45602</v>
      </c>
      <c r="C678" s="14">
        <v>2408</v>
      </c>
      <c r="D678" s="14" t="s">
        <v>1218</v>
      </c>
      <c r="E678" s="14" t="s">
        <v>38</v>
      </c>
      <c r="F678" s="167" t="s">
        <v>1947</v>
      </c>
      <c r="G678" s="14" t="s">
        <v>1911</v>
      </c>
      <c r="H678" s="14"/>
      <c r="I678" s="176" t="s">
        <v>2</v>
      </c>
      <c r="J678" s="14">
        <v>601</v>
      </c>
      <c r="K678" s="85" t="s">
        <v>137</v>
      </c>
      <c r="L678" s="14" t="s">
        <v>3954</v>
      </c>
      <c r="M678" s="324">
        <v>0</v>
      </c>
      <c r="N678" s="14" t="s">
        <v>1879</v>
      </c>
      <c r="O678" s="14" t="s">
        <v>1880</v>
      </c>
      <c r="P678" s="167" t="s">
        <v>136</v>
      </c>
      <c r="Q678" s="14" t="s">
        <v>138</v>
      </c>
      <c r="R678" s="170" t="s">
        <v>234</v>
      </c>
      <c r="S678" s="108">
        <f t="shared" ref="S678:S708" si="108">IF(B678="","",B678+28)</f>
        <v>45630</v>
      </c>
      <c r="T678" s="79">
        <v>45638</v>
      </c>
      <c r="U678" s="14" t="s">
        <v>3955</v>
      </c>
      <c r="V678" s="14" t="s">
        <v>3956</v>
      </c>
      <c r="W678" s="14" t="s">
        <v>1879</v>
      </c>
      <c r="X678" s="14" t="s">
        <v>1880</v>
      </c>
      <c r="Y678" s="167" t="s">
        <v>1951</v>
      </c>
      <c r="Z678" s="14" t="s">
        <v>3957</v>
      </c>
      <c r="AA678" s="2">
        <f t="shared" ref="AA678:AA714" ca="1" si="109">IF(B678="",3,IF(S678&lt;$A$1,1,0))</f>
        <v>1</v>
      </c>
      <c r="AB678" s="153"/>
      <c r="AC678" s="454" t="str">
        <f t="shared" si="105"/>
        <v/>
      </c>
    </row>
    <row r="679" spans="1:29" ht="43.5" x14ac:dyDescent="0.35">
      <c r="A679" s="111" t="str">
        <f t="shared" si="107"/>
        <v>Closed</v>
      </c>
      <c r="B679" s="222">
        <v>45602</v>
      </c>
      <c r="C679" s="14">
        <v>2408</v>
      </c>
      <c r="D679" s="14" t="s">
        <v>3958</v>
      </c>
      <c r="E679" s="14" t="s">
        <v>206</v>
      </c>
      <c r="F679" s="14" t="s">
        <v>2187</v>
      </c>
      <c r="G679" s="14"/>
      <c r="H679" s="14"/>
      <c r="I679" s="176" t="s">
        <v>140</v>
      </c>
      <c r="K679" s="87"/>
      <c r="L679" s="14" t="s">
        <v>3959</v>
      </c>
      <c r="M679" s="324">
        <f t="shared" ref="M679:M690" si="110">IF(I679="Staff Accident","Entry Required",IF(I679="Assaults","Entry Required",0))</f>
        <v>0</v>
      </c>
      <c r="N679" s="14" t="s">
        <v>1879</v>
      </c>
      <c r="O679" s="14" t="s">
        <v>1879</v>
      </c>
      <c r="P679" s="167" t="s">
        <v>143</v>
      </c>
      <c r="Q679" s="14"/>
      <c r="R679" s="170">
        <v>0</v>
      </c>
      <c r="S679" s="108">
        <f t="shared" si="108"/>
        <v>45630</v>
      </c>
      <c r="T679" s="79">
        <v>45602</v>
      </c>
      <c r="U679" s="14"/>
      <c r="V679" s="14"/>
      <c r="W679" s="14"/>
      <c r="X679" s="14"/>
      <c r="Y679" s="14" t="s">
        <v>2023</v>
      </c>
      <c r="Z679" s="14"/>
      <c r="AA679" s="2">
        <f t="shared" ca="1" si="109"/>
        <v>1</v>
      </c>
      <c r="AB679" s="153"/>
      <c r="AC679" s="454" t="str">
        <f t="shared" si="105"/>
        <v/>
      </c>
    </row>
    <row r="680" spans="1:29" ht="29" x14ac:dyDescent="0.35">
      <c r="A680" s="111" t="str">
        <f t="shared" si="107"/>
        <v>Closed</v>
      </c>
      <c r="B680" s="222">
        <v>45602</v>
      </c>
      <c r="C680" s="14">
        <v>2408</v>
      </c>
      <c r="D680" s="14" t="s">
        <v>3960</v>
      </c>
      <c r="E680" s="14" t="s">
        <v>219</v>
      </c>
      <c r="F680" s="14" t="s">
        <v>2245</v>
      </c>
      <c r="G680" s="14" t="s">
        <v>1911</v>
      </c>
      <c r="H680" s="14">
        <v>201</v>
      </c>
      <c r="I680" s="176" t="s">
        <v>140</v>
      </c>
      <c r="J680" s="14">
        <v>73323</v>
      </c>
      <c r="K680" s="87"/>
      <c r="L680" s="14" t="s">
        <v>3961</v>
      </c>
      <c r="M680" s="324">
        <f t="shared" si="110"/>
        <v>0</v>
      </c>
      <c r="N680" s="14" t="s">
        <v>1879</v>
      </c>
      <c r="O680" s="14" t="s">
        <v>1879</v>
      </c>
      <c r="P680" s="167" t="s">
        <v>143</v>
      </c>
      <c r="Q680" s="14"/>
      <c r="R680" s="170">
        <v>0</v>
      </c>
      <c r="S680" s="108">
        <f t="shared" si="108"/>
        <v>45630</v>
      </c>
      <c r="T680" s="79">
        <v>45602</v>
      </c>
      <c r="U680" s="14"/>
      <c r="V680" s="14"/>
      <c r="W680" s="14"/>
      <c r="X680" s="14"/>
      <c r="Z680" s="14"/>
      <c r="AA680" s="2">
        <f t="shared" ca="1" si="109"/>
        <v>1</v>
      </c>
      <c r="AB680" s="153"/>
      <c r="AC680" s="454" t="str">
        <f t="shared" si="105"/>
        <v>2</v>
      </c>
    </row>
    <row r="681" spans="1:29" ht="43.5" x14ac:dyDescent="0.35">
      <c r="A681" s="111" t="str">
        <f t="shared" si="107"/>
        <v>Closed</v>
      </c>
      <c r="B681" s="222">
        <v>45603</v>
      </c>
      <c r="C681" s="14">
        <v>2408</v>
      </c>
      <c r="D681" s="14" t="s">
        <v>3962</v>
      </c>
      <c r="E681" s="14" t="s">
        <v>219</v>
      </c>
      <c r="F681" s="14" t="s">
        <v>2027</v>
      </c>
      <c r="G681" s="14" t="s">
        <v>1911</v>
      </c>
      <c r="H681" s="14"/>
      <c r="I681" s="176" t="s">
        <v>140</v>
      </c>
      <c r="K681" s="87"/>
      <c r="L681" s="14" t="s">
        <v>3963</v>
      </c>
      <c r="M681" s="324">
        <f t="shared" si="110"/>
        <v>0</v>
      </c>
      <c r="N681" s="14" t="s">
        <v>1879</v>
      </c>
      <c r="O681" s="14" t="s">
        <v>1879</v>
      </c>
      <c r="P681" s="167" t="s">
        <v>143</v>
      </c>
      <c r="Q681" s="14"/>
      <c r="R681" s="170">
        <v>0</v>
      </c>
      <c r="S681" s="108">
        <f t="shared" si="108"/>
        <v>45631</v>
      </c>
      <c r="T681" s="79">
        <v>45602</v>
      </c>
      <c r="U681" s="14"/>
      <c r="V681" s="14"/>
      <c r="W681" s="14"/>
      <c r="X681" s="14"/>
      <c r="Y681" s="14" t="s">
        <v>2361</v>
      </c>
      <c r="Z681" s="14"/>
      <c r="AA681" s="2">
        <f t="shared" ca="1" si="109"/>
        <v>1</v>
      </c>
      <c r="AB681" s="153"/>
      <c r="AC681" s="454" t="str">
        <f t="shared" si="105"/>
        <v/>
      </c>
    </row>
    <row r="682" spans="1:29" ht="58" x14ac:dyDescent="0.35">
      <c r="A682" s="111" t="str">
        <f t="shared" si="107"/>
        <v>Closed</v>
      </c>
      <c r="B682" s="222">
        <v>45603</v>
      </c>
      <c r="C682" s="14">
        <v>2408</v>
      </c>
      <c r="D682" s="14" t="s">
        <v>3964</v>
      </c>
      <c r="E682" s="14" t="s">
        <v>61</v>
      </c>
      <c r="F682" s="14" t="s">
        <v>2091</v>
      </c>
      <c r="G682" s="14" t="s">
        <v>1900</v>
      </c>
      <c r="H682" s="14">
        <v>113</v>
      </c>
      <c r="I682" s="176" t="s">
        <v>155</v>
      </c>
      <c r="J682" s="14">
        <v>8508846</v>
      </c>
      <c r="K682" s="87"/>
      <c r="L682" s="14" t="s">
        <v>3965</v>
      </c>
      <c r="M682" s="324">
        <f t="shared" si="110"/>
        <v>0</v>
      </c>
      <c r="N682" s="14" t="s">
        <v>1879</v>
      </c>
      <c r="O682" s="14" t="s">
        <v>1880</v>
      </c>
      <c r="P682" s="167" t="s">
        <v>147</v>
      </c>
      <c r="Q682" s="14" t="s">
        <v>177</v>
      </c>
      <c r="R682" s="170" t="s">
        <v>234</v>
      </c>
      <c r="S682" s="108">
        <f t="shared" si="108"/>
        <v>45631</v>
      </c>
      <c r="T682" s="79">
        <v>45608</v>
      </c>
      <c r="U682" s="14" t="s">
        <v>3966</v>
      </c>
      <c r="V682" s="14" t="s">
        <v>3967</v>
      </c>
      <c r="W682" s="14" t="s">
        <v>1879</v>
      </c>
      <c r="X682" s="14" t="s">
        <v>1883</v>
      </c>
      <c r="Y682" s="85" t="s">
        <v>2093</v>
      </c>
      <c r="Z682" s="14" t="s">
        <v>3968</v>
      </c>
      <c r="AA682" s="2">
        <f t="shared" ca="1" si="109"/>
        <v>1</v>
      </c>
      <c r="AB682" s="153"/>
      <c r="AC682" s="454" t="str">
        <f t="shared" si="105"/>
        <v>1</v>
      </c>
    </row>
    <row r="683" spans="1:29" ht="43.5" x14ac:dyDescent="0.35">
      <c r="A683" s="111" t="str">
        <f t="shared" si="107"/>
        <v>Closed</v>
      </c>
      <c r="B683" s="222">
        <v>45603</v>
      </c>
      <c r="C683" s="14">
        <v>2408</v>
      </c>
      <c r="D683" s="14" t="s">
        <v>3969</v>
      </c>
      <c r="E683" s="14" t="s">
        <v>192</v>
      </c>
      <c r="F683" s="14" t="s">
        <v>1921</v>
      </c>
      <c r="G683" s="14"/>
      <c r="H683" s="14">
        <v>123</v>
      </c>
      <c r="I683" s="176" t="s">
        <v>140</v>
      </c>
      <c r="J683" s="14">
        <v>95</v>
      </c>
      <c r="K683" s="87"/>
      <c r="L683" s="14" t="s">
        <v>3970</v>
      </c>
      <c r="M683" s="324">
        <f t="shared" si="110"/>
        <v>0</v>
      </c>
      <c r="N683" s="14" t="s">
        <v>1879</v>
      </c>
      <c r="O683" s="14" t="s">
        <v>1879</v>
      </c>
      <c r="P683" s="167" t="s">
        <v>143</v>
      </c>
      <c r="Q683" s="14"/>
      <c r="R683" s="170">
        <v>0</v>
      </c>
      <c r="S683" s="108">
        <f t="shared" si="108"/>
        <v>45631</v>
      </c>
      <c r="T683" s="79">
        <v>45603</v>
      </c>
      <c r="U683" s="14"/>
      <c r="V683" s="14"/>
      <c r="W683" s="14"/>
      <c r="X683" s="14"/>
      <c r="Y683" s="14" t="s">
        <v>1923</v>
      </c>
      <c r="Z683" s="14"/>
      <c r="AA683" s="2">
        <f t="shared" ca="1" si="109"/>
        <v>1</v>
      </c>
      <c r="AB683" s="153"/>
      <c r="AC683" s="454" t="str">
        <f t="shared" si="105"/>
        <v>1</v>
      </c>
    </row>
    <row r="684" spans="1:29" ht="101.5" x14ac:dyDescent="0.35">
      <c r="A684" s="111" t="str">
        <f t="shared" si="107"/>
        <v>Closed</v>
      </c>
      <c r="B684" s="222">
        <v>45603</v>
      </c>
      <c r="C684" s="14">
        <v>2408</v>
      </c>
      <c r="D684" s="14" t="s">
        <v>3971</v>
      </c>
      <c r="E684" s="14" t="s">
        <v>1907</v>
      </c>
      <c r="F684" s="14" t="s">
        <v>1972</v>
      </c>
      <c r="G684" s="14"/>
      <c r="H684" s="14"/>
      <c r="I684" s="176" t="s">
        <v>140</v>
      </c>
      <c r="K684" s="87"/>
      <c r="L684" s="328" t="s">
        <v>3972</v>
      </c>
      <c r="M684" s="324">
        <f t="shared" si="110"/>
        <v>0</v>
      </c>
      <c r="N684" s="14" t="s">
        <v>1879</v>
      </c>
      <c r="O684" s="14" t="s">
        <v>1879</v>
      </c>
      <c r="P684" s="167" t="s">
        <v>143</v>
      </c>
      <c r="Q684" s="14"/>
      <c r="R684" s="170">
        <v>0</v>
      </c>
      <c r="S684" s="108">
        <f t="shared" si="108"/>
        <v>45631</v>
      </c>
      <c r="T684" s="79">
        <v>45603</v>
      </c>
      <c r="U684" s="14"/>
      <c r="V684" s="14"/>
      <c r="W684" s="14"/>
      <c r="X684" s="14"/>
      <c r="Z684" s="14"/>
      <c r="AA684" s="2">
        <f t="shared" ca="1" si="109"/>
        <v>1</v>
      </c>
      <c r="AB684" s="153"/>
      <c r="AC684" s="454" t="str">
        <f t="shared" si="105"/>
        <v/>
      </c>
    </row>
    <row r="685" spans="1:29" ht="43.5" x14ac:dyDescent="0.35">
      <c r="A685" s="111" t="str">
        <f t="shared" si="107"/>
        <v>Closed</v>
      </c>
      <c r="B685" s="222">
        <v>45604</v>
      </c>
      <c r="C685" s="14">
        <v>2408</v>
      </c>
      <c r="D685" s="14" t="s">
        <v>3973</v>
      </c>
      <c r="E685" s="14" t="s">
        <v>192</v>
      </c>
      <c r="F685" s="14" t="s">
        <v>1972</v>
      </c>
      <c r="G685" s="14"/>
      <c r="H685" s="14"/>
      <c r="I685" s="176" t="s">
        <v>140</v>
      </c>
      <c r="K685" s="87"/>
      <c r="L685" s="14" t="s">
        <v>3974</v>
      </c>
      <c r="M685" s="324">
        <f t="shared" si="110"/>
        <v>0</v>
      </c>
      <c r="N685" s="14" t="s">
        <v>1879</v>
      </c>
      <c r="O685" s="14" t="s">
        <v>1879</v>
      </c>
      <c r="P685" s="167" t="s">
        <v>143</v>
      </c>
      <c r="Q685" s="14"/>
      <c r="R685" s="170">
        <v>0</v>
      </c>
      <c r="S685" s="108">
        <f t="shared" si="108"/>
        <v>45632</v>
      </c>
      <c r="T685" s="79">
        <v>45604</v>
      </c>
      <c r="U685" s="14"/>
      <c r="V685" s="14"/>
      <c r="W685" s="14"/>
      <c r="X685" s="14"/>
      <c r="Z685" s="14"/>
      <c r="AA685" s="2">
        <f t="shared" ca="1" si="109"/>
        <v>1</v>
      </c>
      <c r="AB685" s="153"/>
      <c r="AC685" s="454" t="str">
        <f t="shared" si="105"/>
        <v/>
      </c>
    </row>
    <row r="686" spans="1:29" ht="29" x14ac:dyDescent="0.35">
      <c r="A686" s="111" t="str">
        <f t="shared" si="107"/>
        <v>Closed</v>
      </c>
      <c r="B686" s="222">
        <v>45604</v>
      </c>
      <c r="C686" s="14">
        <v>2408</v>
      </c>
      <c r="D686" s="14" t="s">
        <v>3975</v>
      </c>
      <c r="E686" s="14" t="s">
        <v>27</v>
      </c>
      <c r="F686" s="14" t="s">
        <v>1937</v>
      </c>
      <c r="G686" s="14" t="s">
        <v>1900</v>
      </c>
      <c r="H686" s="14">
        <v>108</v>
      </c>
      <c r="I686" s="176" t="s">
        <v>5</v>
      </c>
      <c r="K686" s="87"/>
      <c r="L686" s="14" t="s">
        <v>3976</v>
      </c>
      <c r="M686" s="324">
        <f t="shared" si="110"/>
        <v>0</v>
      </c>
      <c r="N686" s="14" t="s">
        <v>1879</v>
      </c>
      <c r="O686" s="14" t="s">
        <v>1880</v>
      </c>
      <c r="P686" s="167" t="s">
        <v>147</v>
      </c>
      <c r="Q686" s="14" t="s">
        <v>153</v>
      </c>
      <c r="R686" s="170">
        <f t="shared" ref="R686:R689" si="111">IF(I686="Staff Accident","Entry Required",IF(I686="Assaults","Entry Required",0))</f>
        <v>0</v>
      </c>
      <c r="S686" s="108">
        <f t="shared" si="108"/>
        <v>45632</v>
      </c>
      <c r="T686" s="79">
        <v>45615</v>
      </c>
      <c r="U686" s="14" t="s">
        <v>3977</v>
      </c>
      <c r="V686" s="14" t="s">
        <v>3978</v>
      </c>
      <c r="W686" s="14" t="s">
        <v>1879</v>
      </c>
      <c r="X686" s="14" t="s">
        <v>154</v>
      </c>
      <c r="Z686" s="14" t="s">
        <v>2738</v>
      </c>
      <c r="AA686" s="2">
        <f t="shared" ca="1" si="109"/>
        <v>1</v>
      </c>
      <c r="AB686" s="153"/>
      <c r="AC686" s="454" t="str">
        <f t="shared" si="105"/>
        <v>1</v>
      </c>
    </row>
    <row r="687" spans="1:29" ht="43.5" x14ac:dyDescent="0.35">
      <c r="A687" s="111" t="str">
        <f t="shared" si="107"/>
        <v>Closed</v>
      </c>
      <c r="B687" s="222">
        <v>45604</v>
      </c>
      <c r="C687" s="14">
        <v>2408</v>
      </c>
      <c r="D687" s="14" t="s">
        <v>3979</v>
      </c>
      <c r="E687" s="14" t="s">
        <v>219</v>
      </c>
      <c r="F687" s="14" t="s">
        <v>3980</v>
      </c>
      <c r="G687" s="14" t="s">
        <v>1911</v>
      </c>
      <c r="H687" s="14">
        <v>123</v>
      </c>
      <c r="I687" s="176" t="s">
        <v>140</v>
      </c>
      <c r="K687" s="87"/>
      <c r="L687" s="14" t="s">
        <v>3981</v>
      </c>
      <c r="M687" s="324">
        <f t="shared" si="110"/>
        <v>0</v>
      </c>
      <c r="N687" s="14" t="s">
        <v>1879</v>
      </c>
      <c r="O687" s="14" t="s">
        <v>1879</v>
      </c>
      <c r="P687" s="167" t="s">
        <v>143</v>
      </c>
      <c r="Q687" s="14"/>
      <c r="R687" s="170">
        <v>0</v>
      </c>
      <c r="S687" s="108">
        <f t="shared" si="108"/>
        <v>45632</v>
      </c>
      <c r="T687" s="79">
        <v>45604</v>
      </c>
      <c r="U687" s="14"/>
      <c r="V687" s="14"/>
      <c r="W687" s="14"/>
      <c r="X687" s="14"/>
      <c r="Y687" s="14" t="s">
        <v>3982</v>
      </c>
      <c r="Z687" s="14"/>
      <c r="AA687" s="2">
        <f t="shared" ca="1" si="109"/>
        <v>1</v>
      </c>
      <c r="AB687" s="153"/>
      <c r="AC687" s="454" t="str">
        <f t="shared" si="105"/>
        <v>1</v>
      </c>
    </row>
    <row r="688" spans="1:29" ht="43.5" x14ac:dyDescent="0.35">
      <c r="A688" s="111" t="str">
        <f t="shared" si="107"/>
        <v>Closed</v>
      </c>
      <c r="B688" s="222">
        <v>45604</v>
      </c>
      <c r="C688" s="14">
        <v>2408</v>
      </c>
      <c r="D688" s="14" t="s">
        <v>3983</v>
      </c>
      <c r="E688" s="14" t="s">
        <v>219</v>
      </c>
      <c r="F688" s="14" t="s">
        <v>1954</v>
      </c>
      <c r="G688" s="14" t="s">
        <v>1911</v>
      </c>
      <c r="H688" s="14">
        <v>107</v>
      </c>
      <c r="I688" s="176" t="s">
        <v>140</v>
      </c>
      <c r="K688" s="87"/>
      <c r="L688" s="14" t="s">
        <v>3984</v>
      </c>
      <c r="M688" s="324">
        <f t="shared" si="110"/>
        <v>0</v>
      </c>
      <c r="N688" s="14" t="s">
        <v>1879</v>
      </c>
      <c r="O688" s="14" t="s">
        <v>1879</v>
      </c>
      <c r="P688" s="167" t="s">
        <v>143</v>
      </c>
      <c r="Q688" s="14"/>
      <c r="R688" s="170">
        <v>0</v>
      </c>
      <c r="S688" s="108">
        <f t="shared" si="108"/>
        <v>45632</v>
      </c>
      <c r="T688" s="79">
        <v>45604</v>
      </c>
      <c r="U688" s="14"/>
      <c r="V688" s="14"/>
      <c r="W688" s="14"/>
      <c r="X688" s="14"/>
      <c r="Y688" s="14" t="s">
        <v>1956</v>
      </c>
      <c r="Z688" s="14"/>
      <c r="AA688" s="2">
        <f t="shared" ca="1" si="109"/>
        <v>1</v>
      </c>
      <c r="AB688" s="153"/>
      <c r="AC688" s="454" t="str">
        <f t="shared" si="105"/>
        <v>1</v>
      </c>
    </row>
    <row r="689" spans="1:29" ht="43.5" x14ac:dyDescent="0.35">
      <c r="A689" s="89" t="str">
        <f t="shared" si="107"/>
        <v>Closed</v>
      </c>
      <c r="B689" s="222">
        <v>45605</v>
      </c>
      <c r="C689" s="14">
        <v>2408</v>
      </c>
      <c r="D689" s="14" t="s">
        <v>3985</v>
      </c>
      <c r="E689" s="14" t="s">
        <v>72</v>
      </c>
      <c r="F689" s="14" t="s">
        <v>2533</v>
      </c>
      <c r="G689" s="14"/>
      <c r="H689" s="14">
        <v>119</v>
      </c>
      <c r="I689" s="176" t="s">
        <v>155</v>
      </c>
      <c r="J689" s="14">
        <v>54403</v>
      </c>
      <c r="K689" s="87"/>
      <c r="L689" s="14" t="s">
        <v>3986</v>
      </c>
      <c r="M689" s="324">
        <f t="shared" si="110"/>
        <v>0</v>
      </c>
      <c r="N689" s="14" t="s">
        <v>1879</v>
      </c>
      <c r="O689" s="14" t="s">
        <v>1879</v>
      </c>
      <c r="P689" s="167" t="s">
        <v>147</v>
      </c>
      <c r="Q689" s="14" t="s">
        <v>175</v>
      </c>
      <c r="R689" s="223">
        <f t="shared" si="111"/>
        <v>0</v>
      </c>
      <c r="S689" s="224">
        <f t="shared" si="108"/>
        <v>45633</v>
      </c>
      <c r="T689" s="79">
        <v>45316</v>
      </c>
      <c r="U689" s="14" t="s">
        <v>3987</v>
      </c>
      <c r="V689" s="14" t="s">
        <v>1896</v>
      </c>
      <c r="W689" s="14" t="s">
        <v>1880</v>
      </c>
      <c r="X689" s="14" t="s">
        <v>1883</v>
      </c>
      <c r="Z689" s="14" t="s">
        <v>2181</v>
      </c>
      <c r="AA689" s="2">
        <f t="shared" ca="1" si="109"/>
        <v>1</v>
      </c>
      <c r="AB689" s="153"/>
      <c r="AC689" s="454" t="str">
        <f t="shared" si="105"/>
        <v>1</v>
      </c>
    </row>
    <row r="690" spans="1:29" ht="29" x14ac:dyDescent="0.35">
      <c r="A690" s="89" t="str">
        <f t="shared" si="107"/>
        <v>Closed</v>
      </c>
      <c r="B690" s="222">
        <v>45605</v>
      </c>
      <c r="C690" s="14">
        <v>2408</v>
      </c>
      <c r="D690" s="14" t="s">
        <v>3988</v>
      </c>
      <c r="E690" s="14" t="s">
        <v>219</v>
      </c>
      <c r="F690" s="14" t="s">
        <v>2765</v>
      </c>
      <c r="G690" s="14"/>
      <c r="H690" s="14">
        <v>124</v>
      </c>
      <c r="I690" s="176" t="s">
        <v>140</v>
      </c>
      <c r="J690" s="14">
        <v>134</v>
      </c>
      <c r="K690" s="87"/>
      <c r="L690" s="14" t="s">
        <v>3989</v>
      </c>
      <c r="M690" s="324">
        <f t="shared" si="110"/>
        <v>0</v>
      </c>
      <c r="N690" s="14" t="s">
        <v>1879</v>
      </c>
      <c r="O690" s="14" t="s">
        <v>1879</v>
      </c>
      <c r="P690" s="167" t="s">
        <v>143</v>
      </c>
      <c r="Q690" s="14"/>
      <c r="R690" s="223">
        <v>0</v>
      </c>
      <c r="S690" s="224">
        <f t="shared" si="108"/>
        <v>45633</v>
      </c>
      <c r="T690" s="79">
        <v>45605</v>
      </c>
      <c r="U690" s="14"/>
      <c r="V690" s="14"/>
      <c r="W690" s="14"/>
      <c r="X690" s="14"/>
      <c r="Z690" s="14"/>
      <c r="AA690" s="2">
        <f t="shared" ca="1" si="109"/>
        <v>1</v>
      </c>
      <c r="AB690" s="153"/>
      <c r="AC690" s="454" t="str">
        <f t="shared" si="105"/>
        <v>1</v>
      </c>
    </row>
    <row r="691" spans="1:29" ht="87" x14ac:dyDescent="0.35">
      <c r="A691" s="89" t="str">
        <f t="shared" si="107"/>
        <v>Closed</v>
      </c>
      <c r="B691" s="222">
        <v>45604</v>
      </c>
      <c r="C691" s="14">
        <v>2408</v>
      </c>
      <c r="D691" s="14" t="s">
        <v>3990</v>
      </c>
      <c r="E691" s="14" t="s">
        <v>38</v>
      </c>
      <c r="F691" s="14" t="s">
        <v>2533</v>
      </c>
      <c r="G691" s="14"/>
      <c r="H691" s="14"/>
      <c r="I691" s="176" t="s">
        <v>2</v>
      </c>
      <c r="K691" s="85" t="s">
        <v>137</v>
      </c>
      <c r="L691" s="14" t="s">
        <v>3991</v>
      </c>
      <c r="M691" s="324" t="s">
        <v>3214</v>
      </c>
      <c r="N691" s="14" t="s">
        <v>1880</v>
      </c>
      <c r="O691" s="14" t="s">
        <v>1880</v>
      </c>
      <c r="P691" s="167" t="s">
        <v>136</v>
      </c>
      <c r="Q691" s="14" t="s">
        <v>160</v>
      </c>
      <c r="R691" s="223" t="s">
        <v>236</v>
      </c>
      <c r="S691" s="224">
        <f t="shared" si="108"/>
        <v>45632</v>
      </c>
      <c r="T691" s="79">
        <v>45902</v>
      </c>
      <c r="U691" s="14"/>
      <c r="V691" s="14"/>
      <c r="W691" s="14"/>
      <c r="X691" s="14"/>
      <c r="Z691" s="14" t="s">
        <v>3065</v>
      </c>
      <c r="AA691" s="2">
        <f t="shared" ca="1" si="109"/>
        <v>1</v>
      </c>
      <c r="AB691" s="153"/>
      <c r="AC691" s="454" t="str">
        <f t="shared" si="105"/>
        <v/>
      </c>
    </row>
    <row r="692" spans="1:29" ht="29" x14ac:dyDescent="0.35">
      <c r="A692" s="111" t="str">
        <f t="shared" si="107"/>
        <v>Closed</v>
      </c>
      <c r="B692" s="222">
        <v>45607</v>
      </c>
      <c r="C692" s="14">
        <v>2409</v>
      </c>
      <c r="D692" s="14" t="s">
        <v>3992</v>
      </c>
      <c r="E692" s="14" t="s">
        <v>219</v>
      </c>
      <c r="F692" s="14" t="s">
        <v>3993</v>
      </c>
      <c r="G692" s="14"/>
      <c r="H692" s="14">
        <v>116</v>
      </c>
      <c r="I692" s="176" t="s">
        <v>140</v>
      </c>
      <c r="J692" s="14">
        <v>391</v>
      </c>
      <c r="K692" s="87"/>
      <c r="L692" s="14" t="s">
        <v>3994</v>
      </c>
      <c r="M692" s="324">
        <f>IF(I692="Staff Accident","Entry Required",IF(I692="Assaults","Entry Required",0))</f>
        <v>0</v>
      </c>
      <c r="N692" s="14" t="s">
        <v>1879</v>
      </c>
      <c r="O692" s="14" t="s">
        <v>1879</v>
      </c>
      <c r="P692" s="167" t="s">
        <v>143</v>
      </c>
      <c r="Q692" s="14"/>
      <c r="R692" s="170">
        <v>0</v>
      </c>
      <c r="S692" s="108">
        <f t="shared" si="108"/>
        <v>45635</v>
      </c>
      <c r="T692" s="79">
        <v>45607</v>
      </c>
      <c r="U692" s="14"/>
      <c r="V692" s="14"/>
      <c r="W692" s="14"/>
      <c r="X692" s="14"/>
      <c r="Y692" s="14" t="s">
        <v>3995</v>
      </c>
      <c r="Z692" s="14"/>
      <c r="AA692" s="2">
        <f t="shared" ca="1" si="109"/>
        <v>1</v>
      </c>
      <c r="AB692" s="153"/>
      <c r="AC692" s="454" t="str">
        <f t="shared" si="105"/>
        <v>1</v>
      </c>
    </row>
    <row r="693" spans="1:29" ht="29" x14ac:dyDescent="0.35">
      <c r="A693" s="111" t="str">
        <f t="shared" si="107"/>
        <v>Closed</v>
      </c>
      <c r="B693" s="222">
        <v>45607</v>
      </c>
      <c r="C693" s="14">
        <v>2409</v>
      </c>
      <c r="D693" s="14" t="s">
        <v>3996</v>
      </c>
      <c r="E693" s="14" t="s">
        <v>219</v>
      </c>
      <c r="F693" s="14" t="s">
        <v>1921</v>
      </c>
      <c r="G693" s="14"/>
      <c r="H693" s="14">
        <v>104</v>
      </c>
      <c r="I693" s="176" t="s">
        <v>140</v>
      </c>
      <c r="J693" s="14">
        <v>85223</v>
      </c>
      <c r="K693" s="87"/>
      <c r="L693" s="14" t="s">
        <v>3997</v>
      </c>
      <c r="M693" s="324">
        <f>IF(I693="Staff Accident","Entry Required",IF(I693="Assaults","Entry Required",0))</f>
        <v>0</v>
      </c>
      <c r="N693" s="14" t="s">
        <v>1879</v>
      </c>
      <c r="O693" s="14" t="s">
        <v>1879</v>
      </c>
      <c r="P693" s="167" t="s">
        <v>143</v>
      </c>
      <c r="Q693" s="14"/>
      <c r="R693" s="170">
        <v>0</v>
      </c>
      <c r="S693" s="108">
        <f t="shared" si="108"/>
        <v>45635</v>
      </c>
      <c r="T693" s="79">
        <v>45607</v>
      </c>
      <c r="U693" s="14"/>
      <c r="V693" s="14"/>
      <c r="W693" s="14"/>
      <c r="X693" s="14"/>
      <c r="Y693" s="14" t="s">
        <v>1923</v>
      </c>
      <c r="Z693" s="14"/>
      <c r="AA693" s="2">
        <f t="shared" ca="1" si="109"/>
        <v>1</v>
      </c>
      <c r="AB693" s="153"/>
      <c r="AC693" s="454" t="str">
        <f t="shared" si="105"/>
        <v>1</v>
      </c>
    </row>
    <row r="694" spans="1:29" ht="58" x14ac:dyDescent="0.35">
      <c r="A694" s="111" t="str">
        <f t="shared" si="107"/>
        <v>Closed</v>
      </c>
      <c r="B694" s="222">
        <v>45607</v>
      </c>
      <c r="C694" s="14">
        <v>2409</v>
      </c>
      <c r="D694" s="14" t="s">
        <v>3998</v>
      </c>
      <c r="E694" s="14" t="s">
        <v>78</v>
      </c>
      <c r="F694" s="167" t="s">
        <v>2041</v>
      </c>
      <c r="G694" s="14" t="s">
        <v>1911</v>
      </c>
      <c r="H694" s="14">
        <v>121</v>
      </c>
      <c r="I694" s="176" t="s">
        <v>155</v>
      </c>
      <c r="J694" s="14">
        <v>64986</v>
      </c>
      <c r="K694" s="87"/>
      <c r="L694" s="14" t="s">
        <v>3999</v>
      </c>
      <c r="M694" s="324">
        <f>IF(I694="Staff Accident","Entry Required",IF(I694="Assaults","Entry Required",0))</f>
        <v>0</v>
      </c>
      <c r="N694" s="14" t="s">
        <v>1880</v>
      </c>
      <c r="O694" s="14" t="s">
        <v>1879</v>
      </c>
      <c r="P694" s="167" t="s">
        <v>143</v>
      </c>
      <c r="Q694" s="14"/>
      <c r="R694" s="170">
        <v>0</v>
      </c>
      <c r="S694" s="108">
        <f t="shared" si="108"/>
        <v>45635</v>
      </c>
      <c r="T694" s="79">
        <v>45607</v>
      </c>
      <c r="U694" s="14"/>
      <c r="V694" s="14"/>
      <c r="W694" s="14"/>
      <c r="X694" s="14"/>
      <c r="Y694" s="2" t="s">
        <v>3881</v>
      </c>
      <c r="Z694" s="14"/>
      <c r="AA694" s="2">
        <f t="shared" ca="1" si="109"/>
        <v>1</v>
      </c>
      <c r="AB694" s="153"/>
      <c r="AC694" s="454" t="str">
        <f t="shared" si="105"/>
        <v>1</v>
      </c>
    </row>
    <row r="695" spans="1:29" ht="58" x14ac:dyDescent="0.35">
      <c r="A695" s="111" t="str">
        <f t="shared" si="107"/>
        <v>Closed</v>
      </c>
      <c r="B695" s="222">
        <v>45608</v>
      </c>
      <c r="C695" s="14">
        <v>2409</v>
      </c>
      <c r="D695" s="14" t="s">
        <v>4000</v>
      </c>
      <c r="E695" s="14" t="s">
        <v>27</v>
      </c>
      <c r="F695" s="14" t="s">
        <v>2196</v>
      </c>
      <c r="G695" s="14" t="s">
        <v>1900</v>
      </c>
      <c r="H695" s="14"/>
      <c r="I695" s="176" t="s">
        <v>5</v>
      </c>
      <c r="J695" s="14">
        <v>602</v>
      </c>
      <c r="K695" s="87"/>
      <c r="L695" s="14" t="s">
        <v>4001</v>
      </c>
      <c r="M695" s="324">
        <f>IF(I695="Staff Accident","Entry Required",IF(I695="Assaults","Entry Required",0))</f>
        <v>0</v>
      </c>
      <c r="N695" s="14" t="s">
        <v>3640</v>
      </c>
      <c r="O695" s="14" t="s">
        <v>1880</v>
      </c>
      <c r="P695" s="167" t="s">
        <v>147</v>
      </c>
      <c r="Q695" s="14" t="s">
        <v>153</v>
      </c>
      <c r="R695" s="170">
        <f t="shared" ref="R695" si="112">IF(I695="Staff Accident","Entry Required",IF(I695="Assaults","Entry Required",0))</f>
        <v>0</v>
      </c>
      <c r="S695" s="108">
        <f t="shared" si="108"/>
        <v>45636</v>
      </c>
      <c r="T695" s="79">
        <v>45615</v>
      </c>
      <c r="U695" s="14" t="s">
        <v>3977</v>
      </c>
      <c r="V695" s="14" t="s">
        <v>4002</v>
      </c>
      <c r="W695" s="14" t="s">
        <v>1879</v>
      </c>
      <c r="X695" s="14" t="s">
        <v>1883</v>
      </c>
      <c r="Y695" s="167" t="s">
        <v>2198</v>
      </c>
      <c r="Z695" s="14" t="s">
        <v>4003</v>
      </c>
      <c r="AA695" s="2">
        <f t="shared" ca="1" si="109"/>
        <v>1</v>
      </c>
      <c r="AB695" s="153"/>
      <c r="AC695" s="454" t="str">
        <f t="shared" si="105"/>
        <v/>
      </c>
    </row>
    <row r="696" spans="1:29" ht="43.5" x14ac:dyDescent="0.35">
      <c r="A696" s="89" t="str">
        <f t="shared" si="107"/>
        <v>Closed</v>
      </c>
      <c r="B696" s="222">
        <v>45609</v>
      </c>
      <c r="C696" s="14">
        <v>2409</v>
      </c>
      <c r="D696" s="14" t="s">
        <v>4004</v>
      </c>
      <c r="E696" s="14" t="s">
        <v>42</v>
      </c>
      <c r="F696" s="167" t="s">
        <v>2162</v>
      </c>
      <c r="G696" s="14" t="s">
        <v>1911</v>
      </c>
      <c r="H696" s="14">
        <v>124</v>
      </c>
      <c r="I696" s="176" t="s">
        <v>4</v>
      </c>
      <c r="J696" s="14">
        <v>74815</v>
      </c>
      <c r="K696" s="14" t="s">
        <v>137</v>
      </c>
      <c r="L696" s="14" t="s">
        <v>4005</v>
      </c>
      <c r="M696" s="324">
        <v>0</v>
      </c>
      <c r="N696" s="14" t="s">
        <v>1879</v>
      </c>
      <c r="O696" s="14" t="s">
        <v>1880</v>
      </c>
      <c r="P696" s="167" t="s">
        <v>143</v>
      </c>
      <c r="Q696" s="14"/>
      <c r="R696" s="223">
        <v>0</v>
      </c>
      <c r="S696" s="224">
        <f t="shared" si="108"/>
        <v>45637</v>
      </c>
      <c r="T696" s="79">
        <v>45609</v>
      </c>
      <c r="U696" s="14"/>
      <c r="V696" s="14"/>
      <c r="W696" s="14"/>
      <c r="X696" s="14"/>
      <c r="Y696" s="15" t="s">
        <v>2164</v>
      </c>
      <c r="Z696" s="87"/>
      <c r="AA696" s="2">
        <f t="shared" ca="1" si="109"/>
        <v>1</v>
      </c>
      <c r="AB696" s="153"/>
      <c r="AC696" s="454" t="str">
        <f t="shared" si="105"/>
        <v>1</v>
      </c>
    </row>
    <row r="697" spans="1:29" ht="29" x14ac:dyDescent="0.35">
      <c r="A697" s="89" t="str">
        <f t="shared" si="107"/>
        <v>Closed</v>
      </c>
      <c r="B697" s="222">
        <v>45610</v>
      </c>
      <c r="C697" s="14">
        <v>2409</v>
      </c>
      <c r="D697" s="14" t="s">
        <v>4006</v>
      </c>
      <c r="E697" s="14" t="s">
        <v>42</v>
      </c>
      <c r="F697" s="14" t="s">
        <v>1980</v>
      </c>
      <c r="G697" s="14" t="s">
        <v>1911</v>
      </c>
      <c r="H697" s="14">
        <v>104</v>
      </c>
      <c r="I697" s="176" t="s">
        <v>4</v>
      </c>
      <c r="J697" s="14">
        <v>8511393</v>
      </c>
      <c r="K697" s="14" t="s">
        <v>137</v>
      </c>
      <c r="L697" s="14" t="s">
        <v>4007</v>
      </c>
      <c r="M697" s="324">
        <v>0</v>
      </c>
      <c r="N697" s="14" t="s">
        <v>1879</v>
      </c>
      <c r="O697" s="14" t="s">
        <v>1879</v>
      </c>
      <c r="P697" s="167" t="s">
        <v>143</v>
      </c>
      <c r="Q697" s="14"/>
      <c r="R697" s="223">
        <v>0</v>
      </c>
      <c r="S697" s="224">
        <f t="shared" si="108"/>
        <v>45638</v>
      </c>
      <c r="T697" s="79">
        <v>45610</v>
      </c>
      <c r="U697" s="14"/>
      <c r="V697" s="14"/>
      <c r="W697" s="14"/>
      <c r="X697" s="14"/>
      <c r="Y697" s="15" t="s">
        <v>1982</v>
      </c>
      <c r="Z697" s="14"/>
      <c r="AA697" s="2">
        <f t="shared" ca="1" si="109"/>
        <v>1</v>
      </c>
      <c r="AB697" s="153"/>
      <c r="AC697" s="454" t="str">
        <f t="shared" si="105"/>
        <v>1</v>
      </c>
    </row>
    <row r="698" spans="1:29" ht="43.5" x14ac:dyDescent="0.35">
      <c r="A698" s="89" t="str">
        <f t="shared" si="107"/>
        <v>Closed</v>
      </c>
      <c r="B698" s="222">
        <v>45611</v>
      </c>
      <c r="C698" s="14">
        <v>2409</v>
      </c>
      <c r="D698" s="14" t="s">
        <v>4008</v>
      </c>
      <c r="E698" s="14" t="s">
        <v>219</v>
      </c>
      <c r="F698" s="14" t="s">
        <v>2262</v>
      </c>
      <c r="G698" s="14" t="s">
        <v>1900</v>
      </c>
      <c r="H698" s="14">
        <v>201</v>
      </c>
      <c r="I698" s="176" t="s">
        <v>140</v>
      </c>
      <c r="J698" s="14">
        <v>86110</v>
      </c>
      <c r="K698" s="87"/>
      <c r="L698" s="14" t="s">
        <v>4009</v>
      </c>
      <c r="M698" s="324">
        <f t="shared" ref="M698:M709" si="113">IF(I698="Staff Accident","Entry Required",IF(I698="Assaults","Entry Required",0))</f>
        <v>0</v>
      </c>
      <c r="N698" s="14" t="s">
        <v>1879</v>
      </c>
      <c r="O698" s="14" t="s">
        <v>1879</v>
      </c>
      <c r="P698" s="167" t="s">
        <v>143</v>
      </c>
      <c r="Q698" s="14"/>
      <c r="R698" s="223">
        <v>0</v>
      </c>
      <c r="S698" s="224">
        <f t="shared" si="108"/>
        <v>45639</v>
      </c>
      <c r="T698" s="79">
        <v>45611</v>
      </c>
      <c r="U698" s="14"/>
      <c r="V698" s="14"/>
      <c r="W698" s="14"/>
      <c r="X698" s="14"/>
      <c r="Y698" s="14" t="s">
        <v>2185</v>
      </c>
      <c r="Z698" s="14"/>
      <c r="AA698" s="2">
        <f t="shared" ca="1" si="109"/>
        <v>1</v>
      </c>
      <c r="AB698" s="153"/>
      <c r="AC698" s="454" t="str">
        <f t="shared" si="105"/>
        <v>2</v>
      </c>
    </row>
    <row r="699" spans="1:29" ht="43.5" x14ac:dyDescent="0.35">
      <c r="A699" s="89" t="str">
        <f t="shared" si="107"/>
        <v>Closed</v>
      </c>
      <c r="B699" s="222">
        <v>45612</v>
      </c>
      <c r="C699" s="14">
        <v>2409</v>
      </c>
      <c r="D699" s="14" t="s">
        <v>4010</v>
      </c>
      <c r="E699" s="14" t="s">
        <v>78</v>
      </c>
      <c r="F699" s="14" t="s">
        <v>2147</v>
      </c>
      <c r="G699" s="14" t="s">
        <v>1900</v>
      </c>
      <c r="H699" s="14">
        <v>105</v>
      </c>
      <c r="I699" s="176" t="s">
        <v>155</v>
      </c>
      <c r="J699" s="14">
        <v>85041413</v>
      </c>
      <c r="K699" s="87"/>
      <c r="L699" s="14" t="s">
        <v>4011</v>
      </c>
      <c r="M699" s="324">
        <f t="shared" si="113"/>
        <v>0</v>
      </c>
      <c r="N699" s="14" t="s">
        <v>1879</v>
      </c>
      <c r="O699" s="14" t="s">
        <v>1880</v>
      </c>
      <c r="P699" s="167" t="s">
        <v>147</v>
      </c>
      <c r="Q699" s="14" t="s">
        <v>135</v>
      </c>
      <c r="R699" s="223" t="s">
        <v>234</v>
      </c>
      <c r="S699" s="224">
        <f t="shared" si="108"/>
        <v>45640</v>
      </c>
      <c r="T699" s="79">
        <v>45301</v>
      </c>
      <c r="U699" s="14"/>
      <c r="V699" s="14"/>
      <c r="W699" s="14"/>
      <c r="X699" s="14"/>
      <c r="Y699" s="14" t="s">
        <v>2150</v>
      </c>
      <c r="Z699" s="14" t="s">
        <v>4012</v>
      </c>
      <c r="AA699" s="2">
        <f t="shared" ca="1" si="109"/>
        <v>1</v>
      </c>
      <c r="AB699" s="153"/>
      <c r="AC699" s="454" t="str">
        <f t="shared" si="105"/>
        <v>1</v>
      </c>
    </row>
    <row r="700" spans="1:29" ht="43.5" x14ac:dyDescent="0.35">
      <c r="A700" s="111" t="str">
        <f t="shared" si="107"/>
        <v>Closed</v>
      </c>
      <c r="B700" s="222">
        <v>45612</v>
      </c>
      <c r="C700" s="14">
        <v>2409</v>
      </c>
      <c r="D700" s="14" t="s">
        <v>4013</v>
      </c>
      <c r="E700" s="14" t="s">
        <v>206</v>
      </c>
      <c r="F700" s="14" t="s">
        <v>2019</v>
      </c>
      <c r="G700" s="14" t="s">
        <v>1911</v>
      </c>
      <c r="H700" s="14"/>
      <c r="I700" s="176" t="s">
        <v>140</v>
      </c>
      <c r="K700" s="87"/>
      <c r="L700" s="14" t="s">
        <v>4014</v>
      </c>
      <c r="M700" s="324">
        <f t="shared" si="113"/>
        <v>0</v>
      </c>
      <c r="N700" s="14" t="s">
        <v>1879</v>
      </c>
      <c r="O700" s="14" t="s">
        <v>1879</v>
      </c>
      <c r="P700" s="167" t="s">
        <v>143</v>
      </c>
      <c r="Q700" s="14"/>
      <c r="R700" s="170">
        <v>0</v>
      </c>
      <c r="S700" s="108">
        <f t="shared" si="108"/>
        <v>45640</v>
      </c>
      <c r="T700" s="79">
        <v>45612</v>
      </c>
      <c r="U700" s="14"/>
      <c r="V700" s="14"/>
      <c r="W700" s="14"/>
      <c r="X700" s="14"/>
      <c r="Y700" s="14" t="s">
        <v>2023</v>
      </c>
      <c r="Z700" s="14"/>
      <c r="AA700" s="2">
        <f t="shared" ca="1" si="109"/>
        <v>1</v>
      </c>
      <c r="AB700" s="153"/>
      <c r="AC700" s="454" t="str">
        <f t="shared" si="105"/>
        <v/>
      </c>
    </row>
    <row r="701" spans="1:29" ht="58" x14ac:dyDescent="0.35">
      <c r="A701" s="111" t="str">
        <f t="shared" si="107"/>
        <v>Closed</v>
      </c>
      <c r="B701" s="222">
        <v>45612</v>
      </c>
      <c r="C701" s="14">
        <v>2409</v>
      </c>
      <c r="D701" s="14" t="s">
        <v>4015</v>
      </c>
      <c r="E701" s="14" t="s">
        <v>27</v>
      </c>
      <c r="F701" s="14" t="s">
        <v>2037</v>
      </c>
      <c r="G701" s="14" t="s">
        <v>1911</v>
      </c>
      <c r="H701" s="14">
        <v>125</v>
      </c>
      <c r="I701" s="176" t="s">
        <v>5</v>
      </c>
      <c r="K701" s="87"/>
      <c r="L701" s="14" t="s">
        <v>4016</v>
      </c>
      <c r="M701" s="324">
        <f t="shared" si="113"/>
        <v>0</v>
      </c>
      <c r="N701" s="14" t="s">
        <v>1879</v>
      </c>
      <c r="O701" s="14" t="s">
        <v>1879</v>
      </c>
      <c r="P701" s="167" t="s">
        <v>147</v>
      </c>
      <c r="Q701" s="14" t="s">
        <v>153</v>
      </c>
      <c r="R701" s="170" t="s">
        <v>234</v>
      </c>
      <c r="S701" s="108">
        <f t="shared" si="108"/>
        <v>45640</v>
      </c>
      <c r="T701" s="79">
        <v>45638</v>
      </c>
      <c r="U701" s="14" t="s">
        <v>4017</v>
      </c>
      <c r="V701" s="14" t="s">
        <v>4018</v>
      </c>
      <c r="W701" s="14" t="s">
        <v>1879</v>
      </c>
      <c r="X701" s="14" t="s">
        <v>154</v>
      </c>
      <c r="Y701" s="167" t="s">
        <v>2039</v>
      </c>
      <c r="Z701" s="14" t="s">
        <v>4019</v>
      </c>
      <c r="AA701" s="2">
        <f t="shared" ca="1" si="109"/>
        <v>1</v>
      </c>
      <c r="AB701" s="153"/>
      <c r="AC701" s="454" t="str">
        <f t="shared" si="105"/>
        <v>1</v>
      </c>
    </row>
    <row r="702" spans="1:29" ht="29" x14ac:dyDescent="0.35">
      <c r="A702" s="111" t="str">
        <f t="shared" si="107"/>
        <v>Closed</v>
      </c>
      <c r="B702" s="222">
        <v>45612</v>
      </c>
      <c r="C702" s="14">
        <v>2409</v>
      </c>
      <c r="D702" s="14" t="s">
        <v>4020</v>
      </c>
      <c r="E702" s="14" t="s">
        <v>219</v>
      </c>
      <c r="F702" s="14" t="s">
        <v>2073</v>
      </c>
      <c r="G702" s="14" t="s">
        <v>1911</v>
      </c>
      <c r="H702" s="14">
        <v>202</v>
      </c>
      <c r="I702" s="176" t="s">
        <v>140</v>
      </c>
      <c r="J702" s="14">
        <v>85223</v>
      </c>
      <c r="K702" s="87"/>
      <c r="L702" s="14" t="s">
        <v>4021</v>
      </c>
      <c r="M702" s="324">
        <f t="shared" si="113"/>
        <v>0</v>
      </c>
      <c r="N702" s="14" t="s">
        <v>1879</v>
      </c>
      <c r="O702" s="14" t="s">
        <v>1879</v>
      </c>
      <c r="P702" s="167" t="s">
        <v>143</v>
      </c>
      <c r="Q702" s="14"/>
      <c r="R702" s="170">
        <v>0</v>
      </c>
      <c r="S702" s="108">
        <f t="shared" si="108"/>
        <v>45640</v>
      </c>
      <c r="T702" s="79">
        <v>45612</v>
      </c>
      <c r="U702" s="14"/>
      <c r="V702" s="14"/>
      <c r="W702" s="14"/>
      <c r="X702" s="14"/>
      <c r="Y702" s="15" t="s">
        <v>2075</v>
      </c>
      <c r="Z702" s="14"/>
      <c r="AA702" s="2">
        <f t="shared" ca="1" si="109"/>
        <v>1</v>
      </c>
      <c r="AB702" s="153"/>
      <c r="AC702" s="454" t="str">
        <f t="shared" si="105"/>
        <v>2</v>
      </c>
    </row>
    <row r="703" spans="1:29" ht="58" x14ac:dyDescent="0.35">
      <c r="A703" s="111" t="str">
        <f t="shared" si="107"/>
        <v>Closed</v>
      </c>
      <c r="B703" s="222">
        <v>45613</v>
      </c>
      <c r="C703" s="14">
        <v>2409</v>
      </c>
      <c r="D703" s="14" t="s">
        <v>4022</v>
      </c>
      <c r="E703" s="14" t="s">
        <v>31</v>
      </c>
      <c r="F703" s="167" t="s">
        <v>2349</v>
      </c>
      <c r="G703" s="14" t="s">
        <v>1911</v>
      </c>
      <c r="H703" s="30">
        <v>110</v>
      </c>
      <c r="I703" s="14" t="s">
        <v>140</v>
      </c>
      <c r="J703" s="14">
        <v>89116</v>
      </c>
      <c r="K703" s="87"/>
      <c r="L703" s="14" t="s">
        <v>4023</v>
      </c>
      <c r="M703" s="324">
        <f t="shared" si="113"/>
        <v>0</v>
      </c>
      <c r="N703" s="14" t="s">
        <v>1879</v>
      </c>
      <c r="O703" s="14" t="s">
        <v>1879</v>
      </c>
      <c r="P703" s="167" t="s">
        <v>143</v>
      </c>
      <c r="Q703" s="14"/>
      <c r="R703" s="170">
        <v>0</v>
      </c>
      <c r="S703" s="108">
        <f t="shared" si="108"/>
        <v>45641</v>
      </c>
      <c r="T703" s="79">
        <v>45613</v>
      </c>
      <c r="U703" s="14"/>
      <c r="V703" s="14"/>
      <c r="W703" s="14"/>
      <c r="X703" s="14"/>
      <c r="Y703" s="14" t="s">
        <v>2351</v>
      </c>
      <c r="Z703" s="14"/>
      <c r="AA703" s="2">
        <f t="shared" ca="1" si="109"/>
        <v>1</v>
      </c>
      <c r="AB703" s="153"/>
      <c r="AC703" s="454" t="str">
        <f>LEFT(I703,1)</f>
        <v>I</v>
      </c>
    </row>
    <row r="704" spans="1:29" ht="174" x14ac:dyDescent="0.35">
      <c r="A704" s="89" t="str">
        <f t="shared" si="107"/>
        <v>Closed</v>
      </c>
      <c r="B704" s="222">
        <v>45612</v>
      </c>
      <c r="C704" s="14">
        <v>2409</v>
      </c>
      <c r="D704" s="14" t="s">
        <v>1582</v>
      </c>
      <c r="E704" s="14" t="s">
        <v>31</v>
      </c>
      <c r="F704" s="14" t="s">
        <v>1886</v>
      </c>
      <c r="G704" s="14" t="s">
        <v>1911</v>
      </c>
      <c r="H704" s="14">
        <v>119</v>
      </c>
      <c r="I704" s="176" t="s">
        <v>155</v>
      </c>
      <c r="J704" s="14">
        <v>254</v>
      </c>
      <c r="K704" s="87"/>
      <c r="L704" s="14" t="s">
        <v>4024</v>
      </c>
      <c r="M704" s="324">
        <f t="shared" si="113"/>
        <v>0</v>
      </c>
      <c r="N704" s="14" t="s">
        <v>1880</v>
      </c>
      <c r="O704" s="14" t="s">
        <v>1880</v>
      </c>
      <c r="P704" s="167" t="s">
        <v>151</v>
      </c>
      <c r="Q704" s="14" t="s">
        <v>170</v>
      </c>
      <c r="R704" s="223" t="s">
        <v>234</v>
      </c>
      <c r="S704" s="224">
        <f t="shared" si="108"/>
        <v>45640</v>
      </c>
      <c r="T704" s="79">
        <v>45340</v>
      </c>
      <c r="U704" s="14" t="s">
        <v>4025</v>
      </c>
      <c r="V704" s="14" t="s">
        <v>4026</v>
      </c>
      <c r="W704" s="14" t="s">
        <v>1880</v>
      </c>
      <c r="X704" s="14" t="s">
        <v>1880</v>
      </c>
      <c r="Y704" s="14" t="s">
        <v>1890</v>
      </c>
      <c r="Z704" s="14" t="s">
        <v>4027</v>
      </c>
      <c r="AA704" s="2">
        <f t="shared" ca="1" si="109"/>
        <v>1</v>
      </c>
      <c r="AB704" s="153"/>
      <c r="AC704" s="454" t="str">
        <f t="shared" ref="AC704:AC765" si="114">LEFT(H704,1)</f>
        <v>1</v>
      </c>
    </row>
    <row r="705" spans="1:29" ht="72.5" x14ac:dyDescent="0.35">
      <c r="A705" s="111" t="str">
        <f t="shared" si="107"/>
        <v>Closed</v>
      </c>
      <c r="B705" s="222">
        <v>45614</v>
      </c>
      <c r="C705" s="30">
        <v>2409</v>
      </c>
      <c r="D705" s="14" t="s">
        <v>4028</v>
      </c>
      <c r="E705" s="14" t="s">
        <v>31</v>
      </c>
      <c r="F705" s="14" t="s">
        <v>1972</v>
      </c>
      <c r="G705" s="14"/>
      <c r="H705" s="14"/>
      <c r="I705" s="176" t="s">
        <v>140</v>
      </c>
      <c r="K705" s="87"/>
      <c r="L705" s="14" t="s">
        <v>4029</v>
      </c>
      <c r="M705" s="324">
        <f t="shared" si="113"/>
        <v>0</v>
      </c>
      <c r="N705" s="14" t="s">
        <v>1879</v>
      </c>
      <c r="O705" s="14" t="s">
        <v>1879</v>
      </c>
      <c r="P705" s="167" t="s">
        <v>143</v>
      </c>
      <c r="Q705" s="14"/>
      <c r="R705" s="170">
        <v>0</v>
      </c>
      <c r="S705" s="108">
        <f t="shared" si="108"/>
        <v>45642</v>
      </c>
      <c r="T705" s="79">
        <v>45614</v>
      </c>
      <c r="U705" s="14"/>
      <c r="V705" s="14"/>
      <c r="W705" s="14"/>
      <c r="X705" s="14"/>
      <c r="Z705" s="14"/>
      <c r="AA705" s="2">
        <f t="shared" ca="1" si="109"/>
        <v>1</v>
      </c>
      <c r="AB705" s="153"/>
      <c r="AC705" s="454" t="str">
        <f t="shared" si="114"/>
        <v/>
      </c>
    </row>
    <row r="706" spans="1:29" ht="29" x14ac:dyDescent="0.35">
      <c r="A706" s="111" t="str">
        <f t="shared" si="107"/>
        <v>Closed</v>
      </c>
      <c r="B706" s="222">
        <v>45614</v>
      </c>
      <c r="C706" s="14">
        <v>2409</v>
      </c>
      <c r="D706" s="14" t="s">
        <v>4030</v>
      </c>
      <c r="E706" s="14" t="s">
        <v>219</v>
      </c>
      <c r="F706" s="14" t="s">
        <v>3142</v>
      </c>
      <c r="G706" s="14" t="s">
        <v>1900</v>
      </c>
      <c r="H706" s="14"/>
      <c r="I706" s="176" t="s">
        <v>140</v>
      </c>
      <c r="K706" s="87"/>
      <c r="L706" s="14" t="s">
        <v>4031</v>
      </c>
      <c r="M706" s="324">
        <f t="shared" si="113"/>
        <v>0</v>
      </c>
      <c r="N706" s="14" t="s">
        <v>1879</v>
      </c>
      <c r="O706" s="14" t="s">
        <v>1879</v>
      </c>
      <c r="P706" s="167" t="s">
        <v>143</v>
      </c>
      <c r="Q706" s="14"/>
      <c r="R706" s="170">
        <v>0</v>
      </c>
      <c r="S706" s="108">
        <f t="shared" si="108"/>
        <v>45642</v>
      </c>
      <c r="T706" s="79">
        <v>45614</v>
      </c>
      <c r="U706" s="14"/>
      <c r="V706" s="14"/>
      <c r="W706" s="14"/>
      <c r="X706" s="14"/>
      <c r="Z706" s="14"/>
      <c r="AA706" s="2">
        <f t="shared" ca="1" si="109"/>
        <v>1</v>
      </c>
      <c r="AB706" s="153"/>
      <c r="AC706" s="454" t="str">
        <f t="shared" si="114"/>
        <v/>
      </c>
    </row>
    <row r="707" spans="1:29" ht="116" x14ac:dyDescent="0.45">
      <c r="A707" s="111" t="str">
        <f t="shared" si="107"/>
        <v>Closed</v>
      </c>
      <c r="B707" s="222">
        <v>45614</v>
      </c>
      <c r="C707" s="14">
        <v>2409</v>
      </c>
      <c r="D707" s="14" t="s">
        <v>4032</v>
      </c>
      <c r="E707" s="14" t="s">
        <v>192</v>
      </c>
      <c r="F707" s="14" t="s">
        <v>2338</v>
      </c>
      <c r="G707" s="14"/>
      <c r="H707" s="14">
        <v>121</v>
      </c>
      <c r="I707" s="176" t="s">
        <v>140</v>
      </c>
      <c r="K707" s="87"/>
      <c r="L707" s="14" t="s">
        <v>4033</v>
      </c>
      <c r="M707" s="324">
        <f t="shared" si="113"/>
        <v>0</v>
      </c>
      <c r="N707" s="14" t="s">
        <v>1879</v>
      </c>
      <c r="O707" s="14" t="s">
        <v>1879</v>
      </c>
      <c r="P707" s="167" t="s">
        <v>143</v>
      </c>
      <c r="Q707" s="14"/>
      <c r="R707" s="170">
        <v>0</v>
      </c>
      <c r="S707" s="108">
        <f t="shared" si="108"/>
        <v>45642</v>
      </c>
      <c r="T707" s="79">
        <v>45614</v>
      </c>
      <c r="U707" s="14"/>
      <c r="V707" s="14"/>
      <c r="W707" s="14"/>
      <c r="X707" s="14"/>
      <c r="Y707" s="463" t="s">
        <v>2340</v>
      </c>
      <c r="Z707" s="14"/>
      <c r="AA707" s="2">
        <f t="shared" ca="1" si="109"/>
        <v>1</v>
      </c>
      <c r="AB707" s="153"/>
      <c r="AC707" s="454" t="str">
        <f t="shared" si="114"/>
        <v>1</v>
      </c>
    </row>
    <row r="708" spans="1:29" ht="43.5" x14ac:dyDescent="0.35">
      <c r="A708" s="111" t="str">
        <f t="shared" si="107"/>
        <v>Closed</v>
      </c>
      <c r="B708" s="222">
        <v>45614</v>
      </c>
      <c r="C708" s="14">
        <v>2409</v>
      </c>
      <c r="D708" s="14" t="s">
        <v>1210</v>
      </c>
      <c r="E708" s="14" t="s">
        <v>72</v>
      </c>
      <c r="F708" s="14" t="s">
        <v>2245</v>
      </c>
      <c r="G708" s="14"/>
      <c r="H708" s="14">
        <v>203</v>
      </c>
      <c r="I708" s="176" t="s">
        <v>155</v>
      </c>
      <c r="K708" s="87"/>
      <c r="L708" s="14" t="s">
        <v>4034</v>
      </c>
      <c r="M708" s="324">
        <f t="shared" si="113"/>
        <v>0</v>
      </c>
      <c r="N708" s="14" t="s">
        <v>1879</v>
      </c>
      <c r="O708" s="14" t="s">
        <v>1879</v>
      </c>
      <c r="P708" s="167" t="s">
        <v>147</v>
      </c>
      <c r="Q708" s="14" t="s">
        <v>153</v>
      </c>
      <c r="R708" s="170" t="s">
        <v>234</v>
      </c>
      <c r="S708" s="108">
        <f t="shared" si="108"/>
        <v>45642</v>
      </c>
      <c r="T708" s="79">
        <v>45624</v>
      </c>
      <c r="U708" s="14" t="s">
        <v>4035</v>
      </c>
      <c r="V708" s="14" t="s">
        <v>4036</v>
      </c>
      <c r="W708" s="14" t="s">
        <v>1880</v>
      </c>
      <c r="X708" s="14" t="s">
        <v>1880</v>
      </c>
      <c r="Z708" s="14" t="s">
        <v>4037</v>
      </c>
      <c r="AA708" s="2">
        <f t="shared" ca="1" si="109"/>
        <v>1</v>
      </c>
      <c r="AB708" s="153"/>
      <c r="AC708" s="454" t="str">
        <f t="shared" si="114"/>
        <v>2</v>
      </c>
    </row>
    <row r="709" spans="1:29" ht="29" x14ac:dyDescent="0.35">
      <c r="A709" s="111" t="str">
        <f t="shared" si="107"/>
        <v>Closed</v>
      </c>
      <c r="B709" s="222">
        <v>45615</v>
      </c>
      <c r="C709" s="14">
        <v>2409</v>
      </c>
      <c r="D709" s="14" t="s">
        <v>4038</v>
      </c>
      <c r="E709" s="14" t="s">
        <v>78</v>
      </c>
      <c r="F709" s="14" t="s">
        <v>2091</v>
      </c>
      <c r="G709" s="14"/>
      <c r="H709" s="14">
        <v>103</v>
      </c>
      <c r="I709" s="176" t="s">
        <v>140</v>
      </c>
      <c r="K709" s="87"/>
      <c r="L709" s="14" t="s">
        <v>4039</v>
      </c>
      <c r="M709" s="324">
        <f t="shared" si="113"/>
        <v>0</v>
      </c>
      <c r="N709" s="14" t="s">
        <v>1879</v>
      </c>
      <c r="O709" s="14" t="s">
        <v>1879</v>
      </c>
      <c r="P709" s="167" t="s">
        <v>143</v>
      </c>
      <c r="Q709" s="14"/>
      <c r="R709" s="170">
        <v>0</v>
      </c>
      <c r="S709" s="108">
        <f t="shared" ref="S709:S714" si="115">IF(B709="","",B709+28)</f>
        <v>45643</v>
      </c>
      <c r="T709" s="79">
        <v>45667</v>
      </c>
      <c r="U709" s="14"/>
      <c r="V709" s="14"/>
      <c r="W709" s="14"/>
      <c r="X709" s="14"/>
      <c r="Y709" s="85" t="s">
        <v>2093</v>
      </c>
      <c r="Z709" s="14" t="s">
        <v>4040</v>
      </c>
      <c r="AA709" s="2">
        <f t="shared" ca="1" si="109"/>
        <v>1</v>
      </c>
      <c r="AB709" s="153"/>
      <c r="AC709" s="454" t="str">
        <f t="shared" si="114"/>
        <v>1</v>
      </c>
    </row>
    <row r="710" spans="1:29" ht="101.5" x14ac:dyDescent="0.35">
      <c r="A710" s="89" t="str">
        <f t="shared" si="107"/>
        <v>Closed</v>
      </c>
      <c r="B710" s="222">
        <v>45615</v>
      </c>
      <c r="C710" s="14">
        <v>2409</v>
      </c>
      <c r="D710" s="14" t="s">
        <v>4041</v>
      </c>
      <c r="E710" s="14" t="s">
        <v>42</v>
      </c>
      <c r="F710" s="14" t="s">
        <v>1954</v>
      </c>
      <c r="G710" s="14" t="s">
        <v>1911</v>
      </c>
      <c r="H710" s="14">
        <v>111</v>
      </c>
      <c r="I710" s="176" t="s">
        <v>4</v>
      </c>
      <c r="K710" s="14" t="s">
        <v>137</v>
      </c>
      <c r="L710" s="14" t="s">
        <v>4042</v>
      </c>
      <c r="M710" s="324">
        <v>0</v>
      </c>
      <c r="N710" s="14" t="s">
        <v>1879</v>
      </c>
      <c r="O710" s="14" t="s">
        <v>2034</v>
      </c>
      <c r="P710" s="167" t="s">
        <v>139</v>
      </c>
      <c r="Q710" s="14" t="s">
        <v>175</v>
      </c>
      <c r="R710" s="223" t="s">
        <v>234</v>
      </c>
      <c r="S710" s="224">
        <f t="shared" si="115"/>
        <v>45643</v>
      </c>
      <c r="T710" s="79">
        <v>45631</v>
      </c>
      <c r="U710" s="14" t="s">
        <v>4043</v>
      </c>
      <c r="V710" s="14" t="s">
        <v>4043</v>
      </c>
      <c r="W710" s="14" t="s">
        <v>1879</v>
      </c>
      <c r="X710" s="14" t="s">
        <v>154</v>
      </c>
      <c r="Y710" s="14" t="s">
        <v>1956</v>
      </c>
      <c r="Z710" s="14" t="s">
        <v>4044</v>
      </c>
      <c r="AA710" s="2">
        <f t="shared" ca="1" si="109"/>
        <v>1</v>
      </c>
      <c r="AB710" s="153"/>
      <c r="AC710" s="454" t="str">
        <f t="shared" si="114"/>
        <v>1</v>
      </c>
    </row>
    <row r="711" spans="1:29" ht="43.5" x14ac:dyDescent="0.35">
      <c r="A711" s="89" t="str">
        <f t="shared" si="107"/>
        <v>Closed</v>
      </c>
      <c r="B711" s="222">
        <v>45617</v>
      </c>
      <c r="C711" s="14">
        <v>2409</v>
      </c>
      <c r="D711" s="14" t="s">
        <v>4045</v>
      </c>
      <c r="E711" s="14" t="s">
        <v>42</v>
      </c>
      <c r="F711" s="14" t="s">
        <v>2052</v>
      </c>
      <c r="G711" s="14" t="s">
        <v>1911</v>
      </c>
      <c r="H711" s="14"/>
      <c r="I711" s="176" t="s">
        <v>4</v>
      </c>
      <c r="J711" s="14">
        <v>549</v>
      </c>
      <c r="K711" s="14" t="s">
        <v>137</v>
      </c>
      <c r="L711" s="14" t="s">
        <v>4046</v>
      </c>
      <c r="M711" s="324">
        <v>0</v>
      </c>
      <c r="N711" s="14" t="s">
        <v>1879</v>
      </c>
      <c r="O711" s="14" t="s">
        <v>1879</v>
      </c>
      <c r="P711" s="167" t="s">
        <v>143</v>
      </c>
      <c r="Q711" s="14"/>
      <c r="R711" s="223">
        <v>0</v>
      </c>
      <c r="S711" s="224">
        <f t="shared" si="115"/>
        <v>45645</v>
      </c>
      <c r="T711" s="79">
        <v>45617</v>
      </c>
      <c r="U711" s="14"/>
      <c r="V711" s="14"/>
      <c r="W711" s="14"/>
      <c r="X711" s="14"/>
      <c r="Z711" s="14" t="s">
        <v>4047</v>
      </c>
      <c r="AA711" s="2">
        <f t="shared" ca="1" si="109"/>
        <v>1</v>
      </c>
      <c r="AB711" s="153"/>
      <c r="AC711" s="454" t="str">
        <f t="shared" si="114"/>
        <v/>
      </c>
    </row>
    <row r="712" spans="1:29" ht="101.5" x14ac:dyDescent="0.35">
      <c r="A712" s="89" t="str">
        <f t="shared" si="107"/>
        <v>Closed</v>
      </c>
      <c r="B712" s="222">
        <v>45617</v>
      </c>
      <c r="C712" s="14">
        <v>2409</v>
      </c>
      <c r="D712" s="14" t="s">
        <v>4048</v>
      </c>
      <c r="E712" s="14" t="s">
        <v>78</v>
      </c>
      <c r="F712" s="14" t="s">
        <v>4049</v>
      </c>
      <c r="G712" s="14"/>
      <c r="H712" s="14"/>
      <c r="I712" s="176" t="s">
        <v>155</v>
      </c>
      <c r="J712" s="14">
        <v>86735</v>
      </c>
      <c r="K712" s="87"/>
      <c r="L712" s="328" t="s">
        <v>4050</v>
      </c>
      <c r="M712" s="324">
        <f t="shared" ref="M712:M729" si="116">IF(I712="Staff Accident","Entry Required",IF(I712="Assaults","Entry Required",0))</f>
        <v>0</v>
      </c>
      <c r="N712" s="14" t="s">
        <v>1880</v>
      </c>
      <c r="O712" s="14" t="s">
        <v>1880</v>
      </c>
      <c r="P712" s="167" t="s">
        <v>147</v>
      </c>
      <c r="Q712" s="14" t="s">
        <v>175</v>
      </c>
      <c r="R712" s="223" t="s">
        <v>234</v>
      </c>
      <c r="S712" s="224">
        <f t="shared" si="115"/>
        <v>45645</v>
      </c>
      <c r="T712" s="79">
        <v>45632</v>
      </c>
      <c r="U712" s="14" t="s">
        <v>4051</v>
      </c>
      <c r="V712" s="14" t="s">
        <v>3221</v>
      </c>
      <c r="W712" s="14" t="s">
        <v>1879</v>
      </c>
      <c r="X712" s="14" t="s">
        <v>154</v>
      </c>
      <c r="Y712" s="85"/>
      <c r="Z712" s="14" t="s">
        <v>3636</v>
      </c>
      <c r="AA712" s="2">
        <f t="shared" ca="1" si="109"/>
        <v>1</v>
      </c>
      <c r="AB712" s="153"/>
      <c r="AC712" s="454" t="str">
        <f t="shared" si="114"/>
        <v/>
      </c>
    </row>
    <row r="713" spans="1:29" ht="43.5" x14ac:dyDescent="0.35">
      <c r="A713" s="89" t="str">
        <f t="shared" si="107"/>
        <v>Closed</v>
      </c>
      <c r="B713" s="222">
        <v>45617</v>
      </c>
      <c r="C713" s="14">
        <v>2409</v>
      </c>
      <c r="D713" s="14" t="s">
        <v>4052</v>
      </c>
      <c r="E713" s="14" t="s">
        <v>27</v>
      </c>
      <c r="F713" s="14" t="s">
        <v>1910</v>
      </c>
      <c r="G713" s="14" t="s">
        <v>1900</v>
      </c>
      <c r="H713" s="14"/>
      <c r="I713" s="176" t="s">
        <v>5</v>
      </c>
      <c r="J713" s="14">
        <v>50</v>
      </c>
      <c r="K713" s="87"/>
      <c r="L713" s="14" t="s">
        <v>4053</v>
      </c>
      <c r="M713" s="324">
        <f t="shared" si="116"/>
        <v>0</v>
      </c>
      <c r="N713" s="14" t="s">
        <v>1879</v>
      </c>
      <c r="O713" s="14" t="s">
        <v>1880</v>
      </c>
      <c r="P713" s="167" t="s">
        <v>143</v>
      </c>
      <c r="Q713" s="14"/>
      <c r="R713" s="223">
        <v>0</v>
      </c>
      <c r="S713" s="224">
        <f t="shared" si="115"/>
        <v>45645</v>
      </c>
      <c r="T713" s="79">
        <v>45902</v>
      </c>
      <c r="U713" s="14"/>
      <c r="V713" s="14"/>
      <c r="W713" s="14"/>
      <c r="X713" s="176"/>
      <c r="Y713" s="15" t="s">
        <v>1915</v>
      </c>
      <c r="Z713" s="87" t="s">
        <v>4054</v>
      </c>
      <c r="AA713" s="2">
        <f t="shared" ca="1" si="109"/>
        <v>1</v>
      </c>
      <c r="AB713" s="153"/>
      <c r="AC713" s="454" t="str">
        <f t="shared" si="114"/>
        <v/>
      </c>
    </row>
    <row r="714" spans="1:29" ht="174" x14ac:dyDescent="0.35">
      <c r="A714" s="111" t="str">
        <f t="shared" si="107"/>
        <v>Closed</v>
      </c>
      <c r="B714" s="222">
        <v>45617</v>
      </c>
      <c r="C714" s="14">
        <v>2409</v>
      </c>
      <c r="D714" s="14" t="s">
        <v>4055</v>
      </c>
      <c r="E714" s="14" t="s">
        <v>31</v>
      </c>
      <c r="F714" s="14" t="s">
        <v>2099</v>
      </c>
      <c r="G714" s="14" t="s">
        <v>1911</v>
      </c>
      <c r="H714" s="14">
        <v>106</v>
      </c>
      <c r="I714" s="176" t="s">
        <v>155</v>
      </c>
      <c r="J714" s="14">
        <v>254</v>
      </c>
      <c r="K714" s="87"/>
      <c r="L714" s="14" t="s">
        <v>4056</v>
      </c>
      <c r="M714" s="324">
        <f t="shared" si="116"/>
        <v>0</v>
      </c>
      <c r="N714" s="14" t="s">
        <v>1879</v>
      </c>
      <c r="O714" s="14" t="s">
        <v>1880</v>
      </c>
      <c r="P714" s="167" t="s">
        <v>147</v>
      </c>
      <c r="Q714" s="14" t="s">
        <v>177</v>
      </c>
      <c r="R714" s="170" t="s">
        <v>234</v>
      </c>
      <c r="S714" s="108">
        <f t="shared" si="115"/>
        <v>45645</v>
      </c>
      <c r="T714" s="79">
        <v>45620</v>
      </c>
      <c r="U714" s="14" t="s">
        <v>4057</v>
      </c>
      <c r="V714" s="14" t="s">
        <v>4058</v>
      </c>
      <c r="W714" s="14" t="s">
        <v>1879</v>
      </c>
      <c r="X714" s="14" t="s">
        <v>1883</v>
      </c>
      <c r="Y714" s="14" t="s">
        <v>2103</v>
      </c>
      <c r="Z714" s="14" t="s">
        <v>4059</v>
      </c>
      <c r="AA714" s="2">
        <f t="shared" ca="1" si="109"/>
        <v>1</v>
      </c>
      <c r="AB714" s="153"/>
      <c r="AC714" s="454" t="str">
        <f t="shared" si="114"/>
        <v>1</v>
      </c>
    </row>
    <row r="715" spans="1:29" ht="58" x14ac:dyDescent="0.35">
      <c r="A715" s="111" t="str">
        <f t="shared" si="107"/>
        <v>Closed</v>
      </c>
      <c r="B715" s="222">
        <v>45618</v>
      </c>
      <c r="C715" s="14">
        <v>2409</v>
      </c>
      <c r="D715" s="14" t="s">
        <v>4060</v>
      </c>
      <c r="E715" s="14" t="s">
        <v>78</v>
      </c>
      <c r="F715" s="14" t="s">
        <v>2610</v>
      </c>
      <c r="G715" s="14"/>
      <c r="H715" s="14"/>
      <c r="I715" s="176" t="s">
        <v>140</v>
      </c>
      <c r="J715" s="14">
        <v>1189</v>
      </c>
      <c r="K715" s="87"/>
      <c r="L715" s="14" t="s">
        <v>4061</v>
      </c>
      <c r="M715" s="324">
        <f t="shared" si="116"/>
        <v>0</v>
      </c>
      <c r="N715" s="14" t="s">
        <v>1879</v>
      </c>
      <c r="O715" s="14" t="s">
        <v>1879</v>
      </c>
      <c r="P715" s="167" t="s">
        <v>143</v>
      </c>
      <c r="Q715" s="14"/>
      <c r="R715" s="170">
        <v>0</v>
      </c>
      <c r="S715" s="108">
        <f>IF(B718="","",B718+28)</f>
        <v>45646</v>
      </c>
      <c r="T715" s="79">
        <v>45618</v>
      </c>
      <c r="U715" s="14"/>
      <c r="V715" s="14"/>
      <c r="W715" s="14"/>
      <c r="X715" s="14"/>
      <c r="Z715" s="14"/>
      <c r="AA715" s="2">
        <f ca="1">IF(B718="",3,IF(S715&lt;$A$1,1,0))</f>
        <v>1</v>
      </c>
      <c r="AB715" s="153"/>
      <c r="AC715" s="454" t="str">
        <f t="shared" si="114"/>
        <v/>
      </c>
    </row>
    <row r="716" spans="1:29" ht="58" x14ac:dyDescent="0.35">
      <c r="A716" s="111" t="str">
        <f t="shared" si="107"/>
        <v>Closed</v>
      </c>
      <c r="B716" s="222">
        <v>45618</v>
      </c>
      <c r="C716" s="14">
        <v>2409</v>
      </c>
      <c r="D716" s="14" t="s">
        <v>4062</v>
      </c>
      <c r="E716" s="14" t="s">
        <v>78</v>
      </c>
      <c r="F716" s="14" t="s">
        <v>2048</v>
      </c>
      <c r="G716" s="14" t="s">
        <v>1911</v>
      </c>
      <c r="H716" s="14">
        <v>109</v>
      </c>
      <c r="I716" s="176" t="s">
        <v>155</v>
      </c>
      <c r="J716" s="14">
        <v>74928</v>
      </c>
      <c r="K716" s="87"/>
      <c r="L716" s="14" t="s">
        <v>4063</v>
      </c>
      <c r="M716" s="324">
        <f t="shared" si="116"/>
        <v>0</v>
      </c>
      <c r="N716" s="14" t="s">
        <v>1879</v>
      </c>
      <c r="O716" s="14" t="s">
        <v>1879</v>
      </c>
      <c r="P716" s="167" t="s">
        <v>147</v>
      </c>
      <c r="Q716" s="14" t="s">
        <v>177</v>
      </c>
      <c r="R716" s="170" t="s">
        <v>234</v>
      </c>
      <c r="S716" s="108">
        <f>IF(B716="","",B716+28)</f>
        <v>45646</v>
      </c>
      <c r="T716" s="79">
        <v>45628</v>
      </c>
      <c r="U716" s="14" t="s">
        <v>4064</v>
      </c>
      <c r="V716" s="14" t="s">
        <v>4065</v>
      </c>
      <c r="W716" s="14" t="s">
        <v>1879</v>
      </c>
      <c r="X716" s="14" t="s">
        <v>154</v>
      </c>
      <c r="Y716" s="167" t="s">
        <v>2050</v>
      </c>
      <c r="Z716" s="14" t="s">
        <v>4066</v>
      </c>
      <c r="AA716" s="2">
        <f ca="1">IF(B716="",3,IF(S716&lt;$A$1,1,0))</f>
        <v>1</v>
      </c>
      <c r="AB716" s="153"/>
      <c r="AC716" s="454" t="str">
        <f t="shared" si="114"/>
        <v>1</v>
      </c>
    </row>
    <row r="717" spans="1:29" ht="29" x14ac:dyDescent="0.35">
      <c r="A717" s="111" t="str">
        <f t="shared" si="107"/>
        <v>Closed</v>
      </c>
      <c r="B717" s="222">
        <v>45618</v>
      </c>
      <c r="C717" s="14">
        <v>2409</v>
      </c>
      <c r="D717" s="14" t="s">
        <v>4067</v>
      </c>
      <c r="E717" s="14" t="s">
        <v>8</v>
      </c>
      <c r="F717" s="14" t="s">
        <v>2119</v>
      </c>
      <c r="G717" s="14"/>
      <c r="H717" s="14">
        <v>207</v>
      </c>
      <c r="I717" s="176" t="s">
        <v>140</v>
      </c>
      <c r="K717" s="87"/>
      <c r="L717" s="14" t="s">
        <v>4068</v>
      </c>
      <c r="M717" s="324">
        <f t="shared" si="116"/>
        <v>0</v>
      </c>
      <c r="N717" s="14" t="s">
        <v>1879</v>
      </c>
      <c r="O717" s="14" t="s">
        <v>1879</v>
      </c>
      <c r="P717" s="167" t="s">
        <v>143</v>
      </c>
      <c r="Q717" s="14"/>
      <c r="R717" s="170">
        <v>0</v>
      </c>
      <c r="S717" s="108">
        <f>IF(B717="","",B717+28)</f>
        <v>45646</v>
      </c>
      <c r="T717" s="79">
        <v>45618</v>
      </c>
      <c r="U717" s="14"/>
      <c r="V717" s="14"/>
      <c r="W717" s="14"/>
      <c r="X717" s="14"/>
      <c r="Y717" s="14" t="s">
        <v>2093</v>
      </c>
      <c r="Z717" s="14"/>
      <c r="AA717" s="2">
        <f ca="1">IF(B717="",3,IF(S717&lt;$A$1,1,0))</f>
        <v>1</v>
      </c>
      <c r="AB717" s="153"/>
      <c r="AC717" s="454" t="str">
        <f t="shared" si="114"/>
        <v>2</v>
      </c>
    </row>
    <row r="718" spans="1:29" ht="41.15" customHeight="1" x14ac:dyDescent="0.35">
      <c r="A718" s="111" t="str">
        <f t="shared" si="107"/>
        <v>Closed</v>
      </c>
      <c r="B718" s="222">
        <v>45618</v>
      </c>
      <c r="C718" s="14">
        <v>2409</v>
      </c>
      <c r="D718" s="14" t="s">
        <v>4069</v>
      </c>
      <c r="E718" s="14" t="s">
        <v>206</v>
      </c>
      <c r="F718" s="14" t="s">
        <v>1980</v>
      </c>
      <c r="G718" s="14" t="s">
        <v>1911</v>
      </c>
      <c r="H718" s="14">
        <v>206</v>
      </c>
      <c r="I718" s="176" t="s">
        <v>140</v>
      </c>
      <c r="K718" s="87"/>
      <c r="L718" s="14" t="s">
        <v>4070</v>
      </c>
      <c r="M718" s="324">
        <f t="shared" si="116"/>
        <v>0</v>
      </c>
      <c r="N718" s="14" t="s">
        <v>1879</v>
      </c>
      <c r="O718" s="14" t="s">
        <v>1879</v>
      </c>
      <c r="P718" s="167" t="s">
        <v>143</v>
      </c>
      <c r="Q718" s="14"/>
      <c r="R718" s="170">
        <v>0</v>
      </c>
      <c r="S718" s="108" t="e">
        <f>IF(#REF!="","",#REF!+28)</f>
        <v>#REF!</v>
      </c>
      <c r="T718" s="79">
        <v>45618</v>
      </c>
      <c r="U718" s="14"/>
      <c r="V718" s="14"/>
      <c r="W718" s="14"/>
      <c r="X718" s="14"/>
      <c r="Y718" s="15" t="s">
        <v>1982</v>
      </c>
      <c r="Z718" s="14"/>
      <c r="AA718" s="2">
        <v>0</v>
      </c>
      <c r="AB718" s="153"/>
      <c r="AC718" s="454" t="str">
        <f t="shared" si="114"/>
        <v>2</v>
      </c>
    </row>
    <row r="719" spans="1:29" ht="29" x14ac:dyDescent="0.35">
      <c r="A719" s="89" t="str">
        <f t="shared" si="107"/>
        <v>Closed</v>
      </c>
      <c r="B719" s="222">
        <v>45619</v>
      </c>
      <c r="C719" s="14">
        <v>2409</v>
      </c>
      <c r="D719" s="14" t="s">
        <v>4071</v>
      </c>
      <c r="E719" s="14" t="s">
        <v>31</v>
      </c>
      <c r="F719" s="14" t="s">
        <v>4072</v>
      </c>
      <c r="G719" s="14"/>
      <c r="H719" s="14"/>
      <c r="I719" s="176" t="s">
        <v>155</v>
      </c>
      <c r="K719" s="87"/>
      <c r="L719" s="14" t="s">
        <v>4073</v>
      </c>
      <c r="M719" s="324">
        <f t="shared" si="116"/>
        <v>0</v>
      </c>
      <c r="N719" s="14" t="s">
        <v>1879</v>
      </c>
      <c r="O719" s="14" t="s">
        <v>1879</v>
      </c>
      <c r="P719" s="167" t="s">
        <v>147</v>
      </c>
      <c r="Q719" s="14" t="s">
        <v>168</v>
      </c>
      <c r="R719" s="223" t="s">
        <v>234</v>
      </c>
      <c r="S719" s="224">
        <f t="shared" ref="S719:S748" si="117">IF(B719="","",B719+28)</f>
        <v>45647</v>
      </c>
      <c r="T719" s="79">
        <v>45296</v>
      </c>
      <c r="U719" s="14" t="s">
        <v>4074</v>
      </c>
      <c r="V719" s="14" t="s">
        <v>2850</v>
      </c>
      <c r="W719" s="14" t="s">
        <v>1879</v>
      </c>
      <c r="X719" s="14" t="s">
        <v>1883</v>
      </c>
      <c r="Y719" s="167" t="s">
        <v>2964</v>
      </c>
      <c r="Z719" s="14" t="s">
        <v>4075</v>
      </c>
      <c r="AA719" s="2">
        <f t="shared" ref="AA719:AA750" ca="1" si="118">IF(B719="",3,IF(S719&lt;$A$1,1,0))</f>
        <v>1</v>
      </c>
      <c r="AB719" s="153"/>
      <c r="AC719" s="454" t="str">
        <f t="shared" si="114"/>
        <v/>
      </c>
    </row>
    <row r="720" spans="1:29" ht="43.5" x14ac:dyDescent="0.35">
      <c r="A720" s="89" t="str">
        <f t="shared" si="107"/>
        <v>Closed</v>
      </c>
      <c r="B720" s="222">
        <v>45619</v>
      </c>
      <c r="C720" s="14">
        <v>2409</v>
      </c>
      <c r="D720" s="14" t="s">
        <v>4076</v>
      </c>
      <c r="E720" s="14" t="s">
        <v>72</v>
      </c>
      <c r="F720" s="14" t="s">
        <v>2576</v>
      </c>
      <c r="G720" s="14"/>
      <c r="H720" s="14">
        <v>205</v>
      </c>
      <c r="I720" s="176" t="s">
        <v>155</v>
      </c>
      <c r="J720" s="14">
        <v>567</v>
      </c>
      <c r="K720" s="87"/>
      <c r="L720" s="14" t="s">
        <v>4077</v>
      </c>
      <c r="M720" s="324">
        <f t="shared" si="116"/>
        <v>0</v>
      </c>
      <c r="N720" s="14" t="s">
        <v>1879</v>
      </c>
      <c r="O720" s="14" t="s">
        <v>1879</v>
      </c>
      <c r="P720" s="167" t="s">
        <v>147</v>
      </c>
      <c r="Q720" s="14" t="s">
        <v>174</v>
      </c>
      <c r="R720" s="223" t="s">
        <v>234</v>
      </c>
      <c r="S720" s="224">
        <f t="shared" si="117"/>
        <v>45647</v>
      </c>
      <c r="T720" s="79">
        <v>45902</v>
      </c>
      <c r="U720" s="14"/>
      <c r="V720" s="14"/>
      <c r="W720" s="14"/>
      <c r="X720" s="14"/>
      <c r="Z720" s="14" t="s">
        <v>342</v>
      </c>
      <c r="AA720" s="2">
        <f t="shared" ca="1" si="118"/>
        <v>1</v>
      </c>
      <c r="AB720" s="153"/>
      <c r="AC720" s="454" t="str">
        <f t="shared" si="114"/>
        <v>2</v>
      </c>
    </row>
    <row r="721" spans="1:29" ht="43.5" x14ac:dyDescent="0.35">
      <c r="A721" s="89" t="str">
        <f t="shared" si="107"/>
        <v>Closed</v>
      </c>
      <c r="B721" s="222">
        <v>45619</v>
      </c>
      <c r="C721" s="14">
        <v>2409</v>
      </c>
      <c r="D721" s="14" t="s">
        <v>4078</v>
      </c>
      <c r="E721" s="14" t="s">
        <v>27</v>
      </c>
      <c r="F721" s="167" t="s">
        <v>1947</v>
      </c>
      <c r="G721" s="14" t="s">
        <v>1900</v>
      </c>
      <c r="H721" s="14"/>
      <c r="I721" s="176" t="s">
        <v>5</v>
      </c>
      <c r="J721" s="14">
        <v>8506434</v>
      </c>
      <c r="K721" s="87"/>
      <c r="L721" s="14" t="s">
        <v>4079</v>
      </c>
      <c r="M721" s="324">
        <f t="shared" si="116"/>
        <v>0</v>
      </c>
      <c r="N721" s="14" t="s">
        <v>1879</v>
      </c>
      <c r="O721" s="14" t="s">
        <v>1880</v>
      </c>
      <c r="P721" s="167" t="s">
        <v>147</v>
      </c>
      <c r="Q721" s="14" t="s">
        <v>175</v>
      </c>
      <c r="R721" s="223" t="s">
        <v>234</v>
      </c>
      <c r="S721" s="224">
        <f t="shared" si="117"/>
        <v>45647</v>
      </c>
      <c r="T721" s="79">
        <v>45708</v>
      </c>
      <c r="U721" s="14"/>
      <c r="V721" s="14"/>
      <c r="W721" s="14"/>
      <c r="X721" s="14"/>
      <c r="Y721" s="167" t="s">
        <v>1951</v>
      </c>
      <c r="Z721" s="14" t="s">
        <v>4080</v>
      </c>
      <c r="AA721" s="2">
        <f t="shared" ca="1" si="118"/>
        <v>1</v>
      </c>
      <c r="AB721" s="153"/>
      <c r="AC721" s="454" t="str">
        <f t="shared" si="114"/>
        <v/>
      </c>
    </row>
    <row r="722" spans="1:29" ht="43.5" x14ac:dyDescent="0.35">
      <c r="A722" s="111" t="str">
        <f t="shared" si="107"/>
        <v>Closed</v>
      </c>
      <c r="B722" s="222">
        <v>45619</v>
      </c>
      <c r="C722" s="14">
        <v>2409</v>
      </c>
      <c r="D722" s="14" t="s">
        <v>4081</v>
      </c>
      <c r="E722" s="14" t="s">
        <v>27</v>
      </c>
      <c r="F722" s="14" t="s">
        <v>2196</v>
      </c>
      <c r="G722" s="14" t="s">
        <v>1911</v>
      </c>
      <c r="H722" s="14">
        <v>124</v>
      </c>
      <c r="I722" s="176" t="s">
        <v>5</v>
      </c>
      <c r="J722" s="14">
        <v>73323</v>
      </c>
      <c r="K722" s="87"/>
      <c r="L722" s="14" t="s">
        <v>4082</v>
      </c>
      <c r="M722" s="324">
        <f t="shared" si="116"/>
        <v>0</v>
      </c>
      <c r="N722" s="14" t="s">
        <v>1879</v>
      </c>
      <c r="O722" s="14" t="s">
        <v>1879</v>
      </c>
      <c r="P722" s="167" t="s">
        <v>147</v>
      </c>
      <c r="Q722" s="14" t="s">
        <v>168</v>
      </c>
      <c r="R722" s="170" t="s">
        <v>234</v>
      </c>
      <c r="S722" s="108">
        <f t="shared" si="117"/>
        <v>45647</v>
      </c>
      <c r="T722" s="79">
        <v>45719</v>
      </c>
      <c r="U722" s="14" t="s">
        <v>4083</v>
      </c>
      <c r="V722" s="14" t="s">
        <v>4084</v>
      </c>
      <c r="W722" s="14" t="s">
        <v>1879</v>
      </c>
      <c r="X722" s="14" t="s">
        <v>154</v>
      </c>
      <c r="Y722" s="14" t="s">
        <v>2224</v>
      </c>
      <c r="Z722" s="14" t="s">
        <v>2024</v>
      </c>
      <c r="AA722" s="2">
        <f t="shared" ca="1" si="118"/>
        <v>1</v>
      </c>
      <c r="AB722" s="153"/>
      <c r="AC722" s="454" t="str">
        <f t="shared" si="114"/>
        <v>1</v>
      </c>
    </row>
    <row r="723" spans="1:29" ht="58" x14ac:dyDescent="0.35">
      <c r="A723" s="111" t="str">
        <f t="shared" si="107"/>
        <v>Closed</v>
      </c>
      <c r="B723" s="222">
        <v>45619</v>
      </c>
      <c r="C723" s="14">
        <v>2409</v>
      </c>
      <c r="D723" s="14" t="s">
        <v>4085</v>
      </c>
      <c r="E723" s="14" t="s">
        <v>31</v>
      </c>
      <c r="F723" s="14" t="s">
        <v>2010</v>
      </c>
      <c r="G723" s="14"/>
      <c r="H723" s="14">
        <v>105</v>
      </c>
      <c r="I723" s="176" t="s">
        <v>155</v>
      </c>
      <c r="J723" s="14">
        <v>8508846</v>
      </c>
      <c r="K723" s="87"/>
      <c r="L723" s="14" t="s">
        <v>4086</v>
      </c>
      <c r="M723" s="324">
        <f t="shared" si="116"/>
        <v>0</v>
      </c>
      <c r="N723" s="14" t="s">
        <v>1879</v>
      </c>
      <c r="O723" s="14" t="s">
        <v>1879</v>
      </c>
      <c r="P723" s="167" t="s">
        <v>147</v>
      </c>
      <c r="Q723" s="14" t="s">
        <v>177</v>
      </c>
      <c r="R723" s="170" t="s">
        <v>234</v>
      </c>
      <c r="S723" s="108">
        <f t="shared" si="117"/>
        <v>45647</v>
      </c>
      <c r="T723" s="79">
        <v>45628</v>
      </c>
      <c r="U723" s="14" t="s">
        <v>4087</v>
      </c>
      <c r="V723" s="14" t="s">
        <v>4088</v>
      </c>
      <c r="W723" s="14" t="s">
        <v>1879</v>
      </c>
      <c r="X723" s="14" t="s">
        <v>154</v>
      </c>
      <c r="Y723" s="51" t="s">
        <v>2012</v>
      </c>
      <c r="Z723" s="14" t="s">
        <v>4089</v>
      </c>
      <c r="AA723" s="2">
        <f t="shared" ca="1" si="118"/>
        <v>1</v>
      </c>
      <c r="AB723" s="153"/>
      <c r="AC723" s="454" t="str">
        <f t="shared" si="114"/>
        <v>1</v>
      </c>
    </row>
    <row r="724" spans="1:29" ht="87" x14ac:dyDescent="0.35">
      <c r="A724" s="89" t="str">
        <f t="shared" si="107"/>
        <v>Closed</v>
      </c>
      <c r="B724" s="222">
        <v>45619</v>
      </c>
      <c r="C724" s="14">
        <v>2409</v>
      </c>
      <c r="D724" s="14" t="s">
        <v>1587</v>
      </c>
      <c r="E724" s="14" t="s">
        <v>78</v>
      </c>
      <c r="F724" s="167" t="s">
        <v>1947</v>
      </c>
      <c r="G724" s="14"/>
      <c r="H724" s="14">
        <v>109</v>
      </c>
      <c r="I724" s="176" t="s">
        <v>155</v>
      </c>
      <c r="J724" s="14">
        <v>8506846</v>
      </c>
      <c r="K724" s="87"/>
      <c r="L724" s="14" t="s">
        <v>4090</v>
      </c>
      <c r="M724" s="324">
        <f t="shared" si="116"/>
        <v>0</v>
      </c>
      <c r="N724" s="14" t="s">
        <v>1880</v>
      </c>
      <c r="O724" s="14" t="s">
        <v>1880</v>
      </c>
      <c r="P724" s="167" t="s">
        <v>147</v>
      </c>
      <c r="Q724" s="14" t="s">
        <v>135</v>
      </c>
      <c r="R724" s="223" t="s">
        <v>234</v>
      </c>
      <c r="S724" s="224">
        <f t="shared" si="117"/>
        <v>45647</v>
      </c>
      <c r="T724" s="79">
        <v>45645</v>
      </c>
      <c r="U724" s="14" t="s">
        <v>4091</v>
      </c>
      <c r="V724" s="14" t="s">
        <v>4092</v>
      </c>
      <c r="W724" s="14" t="s">
        <v>1880</v>
      </c>
      <c r="X724" s="14" t="s">
        <v>1880</v>
      </c>
      <c r="Y724" s="167" t="s">
        <v>1951</v>
      </c>
      <c r="Z724" s="14" t="s">
        <v>4093</v>
      </c>
      <c r="AA724" s="2">
        <f t="shared" ca="1" si="118"/>
        <v>1</v>
      </c>
      <c r="AB724" s="153"/>
      <c r="AC724" s="454" t="str">
        <f t="shared" si="114"/>
        <v>1</v>
      </c>
    </row>
    <row r="725" spans="1:29" ht="58" x14ac:dyDescent="0.35">
      <c r="A725" s="89" t="str">
        <f t="shared" si="107"/>
        <v>Closed</v>
      </c>
      <c r="B725" s="222">
        <v>45620</v>
      </c>
      <c r="C725" s="14">
        <v>2409</v>
      </c>
      <c r="D725" s="14" t="s">
        <v>4094</v>
      </c>
      <c r="E725" s="14" t="s">
        <v>27</v>
      </c>
      <c r="F725" s="14" t="s">
        <v>2091</v>
      </c>
      <c r="G725" s="14" t="s">
        <v>1911</v>
      </c>
      <c r="H725" s="14">
        <v>115</v>
      </c>
      <c r="I725" s="176" t="s">
        <v>5</v>
      </c>
      <c r="K725" s="87"/>
      <c r="L725" s="14" t="s">
        <v>4095</v>
      </c>
      <c r="M725" s="324">
        <f t="shared" si="116"/>
        <v>0</v>
      </c>
      <c r="N725" s="14" t="s">
        <v>1879</v>
      </c>
      <c r="O725" s="14" t="s">
        <v>1879</v>
      </c>
      <c r="P725" s="167" t="s">
        <v>147</v>
      </c>
      <c r="Q725" s="14" t="s">
        <v>135</v>
      </c>
      <c r="R725" s="223" t="s">
        <v>234</v>
      </c>
      <c r="S725" s="224">
        <f t="shared" si="117"/>
        <v>45648</v>
      </c>
      <c r="T725" s="79">
        <v>45902</v>
      </c>
      <c r="U725" s="14"/>
      <c r="V725" s="14"/>
      <c r="W725" s="14"/>
      <c r="X725" s="14"/>
      <c r="Y725" s="85" t="s">
        <v>2093</v>
      </c>
      <c r="Z725" s="14" t="s">
        <v>4096</v>
      </c>
      <c r="AA725" s="2">
        <f t="shared" ca="1" si="118"/>
        <v>1</v>
      </c>
      <c r="AB725" s="153"/>
      <c r="AC725" s="454" t="str">
        <f t="shared" si="114"/>
        <v>1</v>
      </c>
    </row>
    <row r="726" spans="1:29" ht="43.5" x14ac:dyDescent="0.35">
      <c r="A726" s="89" t="str">
        <f t="shared" si="107"/>
        <v>Closed</v>
      </c>
      <c r="B726" s="222">
        <v>45620</v>
      </c>
      <c r="C726" s="14">
        <v>2409</v>
      </c>
      <c r="D726" s="14" t="s">
        <v>4097</v>
      </c>
      <c r="E726" s="14" t="s">
        <v>72</v>
      </c>
      <c r="F726" s="14" t="s">
        <v>2576</v>
      </c>
      <c r="G726" s="14"/>
      <c r="H726" s="14">
        <v>201</v>
      </c>
      <c r="I726" s="176" t="s">
        <v>155</v>
      </c>
      <c r="K726" s="87"/>
      <c r="L726" s="14" t="s">
        <v>4098</v>
      </c>
      <c r="M726" s="324">
        <f t="shared" si="116"/>
        <v>0</v>
      </c>
      <c r="N726" s="14" t="s">
        <v>1879</v>
      </c>
      <c r="O726" s="14" t="s">
        <v>1879</v>
      </c>
      <c r="P726" s="167" t="s">
        <v>147</v>
      </c>
      <c r="Q726" s="14" t="s">
        <v>153</v>
      </c>
      <c r="R726" s="223" t="s">
        <v>234</v>
      </c>
      <c r="S726" s="224">
        <f t="shared" si="117"/>
        <v>45648</v>
      </c>
      <c r="T726" s="79">
        <v>45902</v>
      </c>
      <c r="U726" s="14"/>
      <c r="V726" s="14"/>
      <c r="W726" s="14"/>
      <c r="X726" s="14"/>
      <c r="Z726" s="14" t="s">
        <v>4096</v>
      </c>
      <c r="AA726" s="2">
        <f t="shared" ca="1" si="118"/>
        <v>1</v>
      </c>
      <c r="AB726" s="153"/>
      <c r="AC726" s="454" t="str">
        <f t="shared" si="114"/>
        <v>2</v>
      </c>
    </row>
    <row r="727" spans="1:29" ht="58" x14ac:dyDescent="0.35">
      <c r="A727" s="89" t="str">
        <f t="shared" si="107"/>
        <v>Closed</v>
      </c>
      <c r="B727" s="222">
        <v>45620</v>
      </c>
      <c r="C727" s="14">
        <v>2409</v>
      </c>
      <c r="D727" s="14" t="s">
        <v>4099</v>
      </c>
      <c r="E727" s="14" t="s">
        <v>85</v>
      </c>
      <c r="F727" s="14" t="s">
        <v>2048</v>
      </c>
      <c r="G727" s="14" t="s">
        <v>1911</v>
      </c>
      <c r="H727" s="14">
        <v>112</v>
      </c>
      <c r="I727" s="176" t="s">
        <v>140</v>
      </c>
      <c r="J727" s="14">
        <v>254</v>
      </c>
      <c r="K727" s="87"/>
      <c r="L727" s="14" t="s">
        <v>4100</v>
      </c>
      <c r="M727" s="324">
        <f t="shared" si="116"/>
        <v>0</v>
      </c>
      <c r="N727" s="14" t="s">
        <v>1879</v>
      </c>
      <c r="O727" s="14" t="s">
        <v>1879</v>
      </c>
      <c r="P727" s="167" t="s">
        <v>143</v>
      </c>
      <c r="Q727" s="14"/>
      <c r="R727" s="223">
        <v>0</v>
      </c>
      <c r="S727" s="224">
        <f t="shared" si="117"/>
        <v>45648</v>
      </c>
      <c r="T727" s="79">
        <v>45620</v>
      </c>
      <c r="U727" s="14"/>
      <c r="V727" s="14"/>
      <c r="W727" s="14"/>
      <c r="X727" s="14"/>
      <c r="Y727" s="167" t="s">
        <v>2050</v>
      </c>
      <c r="Z727" s="14"/>
      <c r="AA727" s="2">
        <f t="shared" ca="1" si="118"/>
        <v>1</v>
      </c>
      <c r="AB727" s="153"/>
      <c r="AC727" s="454" t="str">
        <f t="shared" si="114"/>
        <v>1</v>
      </c>
    </row>
    <row r="728" spans="1:29" ht="58" x14ac:dyDescent="0.35">
      <c r="A728" s="89" t="str">
        <f t="shared" si="107"/>
        <v>Closed</v>
      </c>
      <c r="B728" s="222">
        <v>45619</v>
      </c>
      <c r="C728" s="14">
        <v>2409</v>
      </c>
      <c r="D728" s="14" t="s">
        <v>4101</v>
      </c>
      <c r="E728" s="14" t="s">
        <v>27</v>
      </c>
      <c r="F728" s="14" t="s">
        <v>2010</v>
      </c>
      <c r="G728" s="14" t="s">
        <v>1911</v>
      </c>
      <c r="H728" s="14">
        <v>117</v>
      </c>
      <c r="I728" s="176" t="s">
        <v>140</v>
      </c>
      <c r="J728" s="14">
        <v>716</v>
      </c>
      <c r="K728" s="87"/>
      <c r="L728" s="14" t="s">
        <v>4102</v>
      </c>
      <c r="M728" s="324">
        <f t="shared" si="116"/>
        <v>0</v>
      </c>
      <c r="N728" s="14" t="s">
        <v>1879</v>
      </c>
      <c r="O728" s="14" t="s">
        <v>1879</v>
      </c>
      <c r="P728" s="167" t="s">
        <v>147</v>
      </c>
      <c r="Q728" s="14" t="s">
        <v>174</v>
      </c>
      <c r="R728" s="223" t="s">
        <v>234</v>
      </c>
      <c r="S728" s="224">
        <f t="shared" si="117"/>
        <v>45647</v>
      </c>
      <c r="T728" s="79">
        <v>2237192</v>
      </c>
      <c r="U728" s="14" t="s">
        <v>4103</v>
      </c>
      <c r="V728" s="14" t="s">
        <v>4104</v>
      </c>
      <c r="W728" s="14" t="s">
        <v>1879</v>
      </c>
      <c r="X728" s="14" t="s">
        <v>1883</v>
      </c>
      <c r="Y728" s="51" t="s">
        <v>2012</v>
      </c>
      <c r="Z728" s="14" t="s">
        <v>2510</v>
      </c>
      <c r="AA728" s="2">
        <f t="shared" ca="1" si="118"/>
        <v>1</v>
      </c>
      <c r="AB728" s="153"/>
      <c r="AC728" s="454" t="str">
        <f t="shared" si="114"/>
        <v>1</v>
      </c>
    </row>
    <row r="729" spans="1:29" ht="58" x14ac:dyDescent="0.35">
      <c r="A729" s="89" t="str">
        <f t="shared" si="107"/>
        <v>Closed</v>
      </c>
      <c r="B729" s="222">
        <v>45615</v>
      </c>
      <c r="C729" s="14">
        <v>2409</v>
      </c>
      <c r="D729" s="14" t="s">
        <v>4105</v>
      </c>
      <c r="E729" s="14" t="s">
        <v>31</v>
      </c>
      <c r="F729" s="14" t="s">
        <v>2147</v>
      </c>
      <c r="G729" s="14" t="s">
        <v>1900</v>
      </c>
      <c r="H729" s="14">
        <v>124</v>
      </c>
      <c r="I729" s="176" t="s">
        <v>155</v>
      </c>
      <c r="K729" s="87"/>
      <c r="L729" s="14" t="s">
        <v>4106</v>
      </c>
      <c r="M729" s="324">
        <f t="shared" si="116"/>
        <v>0</v>
      </c>
      <c r="N729" s="14" t="s">
        <v>1879</v>
      </c>
      <c r="O729" s="14" t="s">
        <v>1880</v>
      </c>
      <c r="P729" s="167" t="s">
        <v>147</v>
      </c>
      <c r="Q729" s="14" t="s">
        <v>177</v>
      </c>
      <c r="R729" s="223" t="s">
        <v>234</v>
      </c>
      <c r="S729" s="224">
        <f t="shared" si="117"/>
        <v>45643</v>
      </c>
      <c r="T729" s="79">
        <v>45902</v>
      </c>
      <c r="U729" s="14"/>
      <c r="V729" s="14"/>
      <c r="W729" s="14"/>
      <c r="X729" s="14"/>
      <c r="Y729" s="14" t="s">
        <v>2150</v>
      </c>
      <c r="Z729" s="14" t="s">
        <v>4096</v>
      </c>
      <c r="AA729" s="2">
        <f t="shared" ca="1" si="118"/>
        <v>1</v>
      </c>
      <c r="AB729" s="153"/>
      <c r="AC729" s="454" t="str">
        <f t="shared" si="114"/>
        <v>1</v>
      </c>
    </row>
    <row r="730" spans="1:29" ht="43.5" x14ac:dyDescent="0.35">
      <c r="A730" s="89" t="str">
        <f t="shared" si="107"/>
        <v>Closed</v>
      </c>
      <c r="B730" s="222">
        <v>45615</v>
      </c>
      <c r="C730" s="14">
        <v>2409</v>
      </c>
      <c r="D730" s="14" t="s">
        <v>4107</v>
      </c>
      <c r="E730" s="14" t="s">
        <v>38</v>
      </c>
      <c r="F730" s="14" t="s">
        <v>2064</v>
      </c>
      <c r="G730" s="14" t="s">
        <v>1900</v>
      </c>
      <c r="H730" s="14">
        <v>124</v>
      </c>
      <c r="I730" s="176" t="s">
        <v>2</v>
      </c>
      <c r="K730" s="85" t="s">
        <v>137</v>
      </c>
      <c r="L730" s="14" t="s">
        <v>4108</v>
      </c>
      <c r="M730" s="324">
        <v>0</v>
      </c>
      <c r="N730" s="14" t="s">
        <v>1879</v>
      </c>
      <c r="O730" s="14" t="s">
        <v>1879</v>
      </c>
      <c r="P730" s="167" t="s">
        <v>136</v>
      </c>
      <c r="Q730" s="14" t="s">
        <v>153</v>
      </c>
      <c r="R730" s="223" t="s">
        <v>234</v>
      </c>
      <c r="S730" s="224">
        <f t="shared" si="117"/>
        <v>45643</v>
      </c>
      <c r="T730" s="79">
        <v>45638</v>
      </c>
      <c r="U730" s="14" t="s">
        <v>4017</v>
      </c>
      <c r="V730" s="14" t="s">
        <v>4109</v>
      </c>
      <c r="W730" s="14" t="s">
        <v>1879</v>
      </c>
      <c r="X730" s="14" t="s">
        <v>154</v>
      </c>
      <c r="Y730" s="15" t="s">
        <v>2068</v>
      </c>
      <c r="Z730" s="14"/>
      <c r="AA730" s="2">
        <f t="shared" ca="1" si="118"/>
        <v>1</v>
      </c>
      <c r="AB730" s="153"/>
      <c r="AC730" s="454" t="str">
        <f t="shared" si="114"/>
        <v>1</v>
      </c>
    </row>
    <row r="731" spans="1:29" ht="391.5" x14ac:dyDescent="0.35">
      <c r="A731" s="111" t="str">
        <f t="shared" si="107"/>
        <v>Closed</v>
      </c>
      <c r="B731" s="222">
        <v>45621</v>
      </c>
      <c r="C731" s="14">
        <v>2409</v>
      </c>
      <c r="D731" s="14" t="s">
        <v>4110</v>
      </c>
      <c r="E731" s="14" t="s">
        <v>53</v>
      </c>
      <c r="F731" s="14" t="s">
        <v>1918</v>
      </c>
      <c r="G731" s="14"/>
      <c r="H731" s="14">
        <v>117</v>
      </c>
      <c r="I731" s="176" t="s">
        <v>140</v>
      </c>
      <c r="K731" s="87"/>
      <c r="L731" s="14" t="s">
        <v>4111</v>
      </c>
      <c r="M731" s="324">
        <f t="shared" ref="M731:M759" si="119">IF(I731="Staff Accident","Entry Required",IF(I731="Assaults","Entry Required",0))</f>
        <v>0</v>
      </c>
      <c r="N731" s="14" t="s">
        <v>1879</v>
      </c>
      <c r="O731" s="14" t="s">
        <v>1879</v>
      </c>
      <c r="P731" s="167" t="s">
        <v>143</v>
      </c>
      <c r="Q731" s="14"/>
      <c r="R731" s="170">
        <v>0</v>
      </c>
      <c r="S731" s="108">
        <f t="shared" si="117"/>
        <v>45649</v>
      </c>
      <c r="T731" s="79">
        <v>45621</v>
      </c>
      <c r="U731" s="14"/>
      <c r="V731" s="14"/>
      <c r="W731" s="14"/>
      <c r="X731" s="14"/>
      <c r="Y731" s="51" t="s">
        <v>2001</v>
      </c>
      <c r="Z731" s="14" t="s">
        <v>4112</v>
      </c>
      <c r="AA731" s="2">
        <f t="shared" ca="1" si="118"/>
        <v>1</v>
      </c>
      <c r="AB731" s="153"/>
      <c r="AC731" s="454" t="str">
        <f t="shared" si="114"/>
        <v>1</v>
      </c>
    </row>
    <row r="732" spans="1:29" ht="87" x14ac:dyDescent="0.35">
      <c r="A732" s="111" t="str">
        <f t="shared" si="107"/>
        <v>Closed</v>
      </c>
      <c r="B732" s="222">
        <v>45621</v>
      </c>
      <c r="C732" s="14">
        <v>2409</v>
      </c>
      <c r="D732" s="14" t="s">
        <v>4113</v>
      </c>
      <c r="E732" s="14" t="s">
        <v>38</v>
      </c>
      <c r="F732" s="14" t="s">
        <v>2091</v>
      </c>
      <c r="G732" s="14"/>
      <c r="H732" s="14">
        <v>120</v>
      </c>
      <c r="I732" s="176" t="s">
        <v>6</v>
      </c>
      <c r="K732" s="87"/>
      <c r="L732" s="14" t="s">
        <v>4114</v>
      </c>
      <c r="M732" s="324">
        <f t="shared" si="119"/>
        <v>0</v>
      </c>
      <c r="N732" s="14" t="s">
        <v>1879</v>
      </c>
      <c r="O732" s="14"/>
      <c r="P732" s="167" t="s">
        <v>143</v>
      </c>
      <c r="Q732" s="14"/>
      <c r="R732" s="170">
        <v>0</v>
      </c>
      <c r="S732" s="108">
        <f t="shared" si="117"/>
        <v>45649</v>
      </c>
      <c r="T732" s="79">
        <v>45621</v>
      </c>
      <c r="U732" s="14"/>
      <c r="V732" s="14"/>
      <c r="W732" s="14"/>
      <c r="X732" s="14"/>
      <c r="Y732" s="85" t="s">
        <v>2093</v>
      </c>
      <c r="Z732" s="14"/>
      <c r="AA732" s="2">
        <f t="shared" ca="1" si="118"/>
        <v>1</v>
      </c>
      <c r="AB732" s="153"/>
      <c r="AC732" s="454" t="str">
        <f t="shared" si="114"/>
        <v>1</v>
      </c>
    </row>
    <row r="733" spans="1:29" ht="29" x14ac:dyDescent="0.35">
      <c r="A733" s="111" t="str">
        <f t="shared" si="107"/>
        <v>Closed</v>
      </c>
      <c r="B733" s="222">
        <v>45621</v>
      </c>
      <c r="C733" s="14">
        <v>2409</v>
      </c>
      <c r="D733" s="14" t="s">
        <v>4115</v>
      </c>
      <c r="E733" s="14" t="s">
        <v>47</v>
      </c>
      <c r="F733" s="167" t="s">
        <v>3086</v>
      </c>
      <c r="G733" s="14"/>
      <c r="H733" s="14">
        <v>113</v>
      </c>
      <c r="I733" s="176" t="s">
        <v>140</v>
      </c>
      <c r="K733" s="87"/>
      <c r="L733" s="14" t="s">
        <v>4116</v>
      </c>
      <c r="M733" s="324">
        <f t="shared" si="119"/>
        <v>0</v>
      </c>
      <c r="N733" s="14" t="s">
        <v>1879</v>
      </c>
      <c r="O733" s="14" t="s">
        <v>1879</v>
      </c>
      <c r="P733" s="167" t="s">
        <v>143</v>
      </c>
      <c r="Q733" s="14"/>
      <c r="R733" s="170">
        <v>0</v>
      </c>
      <c r="S733" s="108">
        <f t="shared" si="117"/>
        <v>45649</v>
      </c>
      <c r="T733" s="79">
        <v>45621</v>
      </c>
      <c r="U733" s="14"/>
      <c r="V733" s="14"/>
      <c r="W733" s="14"/>
      <c r="X733" s="14"/>
      <c r="Y733" s="167" t="s">
        <v>3088</v>
      </c>
      <c r="Z733" s="14"/>
      <c r="AA733" s="2">
        <f t="shared" ca="1" si="118"/>
        <v>1</v>
      </c>
      <c r="AB733" s="153"/>
      <c r="AC733" s="454" t="str">
        <f t="shared" si="114"/>
        <v>1</v>
      </c>
    </row>
    <row r="734" spans="1:29" ht="29" x14ac:dyDescent="0.35">
      <c r="A734" s="111" t="str">
        <f t="shared" si="107"/>
        <v>Closed</v>
      </c>
      <c r="B734" s="222">
        <v>45622</v>
      </c>
      <c r="C734" s="14">
        <v>2409</v>
      </c>
      <c r="D734" s="14" t="s">
        <v>4117</v>
      </c>
      <c r="E734" s="14" t="s">
        <v>47</v>
      </c>
      <c r="F734" s="14" t="s">
        <v>2052</v>
      </c>
      <c r="G734" s="14" t="s">
        <v>1900</v>
      </c>
      <c r="H734" s="14">
        <v>102</v>
      </c>
      <c r="I734" s="176" t="s">
        <v>140</v>
      </c>
      <c r="K734" s="87"/>
      <c r="L734" s="14" t="s">
        <v>4118</v>
      </c>
      <c r="M734" s="324">
        <f t="shared" si="119"/>
        <v>0</v>
      </c>
      <c r="N734" s="14" t="s">
        <v>1879</v>
      </c>
      <c r="O734" s="14" t="s">
        <v>1879</v>
      </c>
      <c r="P734" s="167" t="s">
        <v>143</v>
      </c>
      <c r="Q734" s="14"/>
      <c r="R734" s="170">
        <v>0</v>
      </c>
      <c r="S734" s="108">
        <f t="shared" si="117"/>
        <v>45650</v>
      </c>
      <c r="T734" s="79">
        <v>45622</v>
      </c>
      <c r="U734" s="14"/>
      <c r="V734" s="14"/>
      <c r="W734" s="14"/>
      <c r="X734" s="14"/>
      <c r="Y734" s="14" t="s">
        <v>2054</v>
      </c>
      <c r="Z734" s="14"/>
      <c r="AA734" s="2">
        <f t="shared" ca="1" si="118"/>
        <v>1</v>
      </c>
      <c r="AB734" s="153"/>
      <c r="AC734" s="454" t="str">
        <f t="shared" si="114"/>
        <v>1</v>
      </c>
    </row>
    <row r="735" spans="1:29" ht="58" x14ac:dyDescent="0.35">
      <c r="A735" s="111" t="str">
        <f t="shared" si="107"/>
        <v>Closed</v>
      </c>
      <c r="B735" s="222">
        <v>45622</v>
      </c>
      <c r="C735" s="14">
        <v>2409</v>
      </c>
      <c r="D735" s="14" t="s">
        <v>4119</v>
      </c>
      <c r="E735" s="14" t="s">
        <v>31</v>
      </c>
      <c r="F735" s="14" t="s">
        <v>2014</v>
      </c>
      <c r="G735" s="14" t="s">
        <v>1900</v>
      </c>
      <c r="H735" s="14">
        <v>122</v>
      </c>
      <c r="I735" s="176" t="s">
        <v>155</v>
      </c>
      <c r="J735" s="14">
        <v>391</v>
      </c>
      <c r="K735" s="87"/>
      <c r="L735" s="14" t="s">
        <v>4120</v>
      </c>
      <c r="M735" s="324">
        <f t="shared" si="119"/>
        <v>0</v>
      </c>
      <c r="N735" s="14" t="s">
        <v>1879</v>
      </c>
      <c r="O735" s="14" t="s">
        <v>1880</v>
      </c>
      <c r="P735" s="167" t="s">
        <v>147</v>
      </c>
      <c r="Q735" s="14" t="s">
        <v>174</v>
      </c>
      <c r="R735" s="170" t="s">
        <v>234</v>
      </c>
      <c r="S735" s="108">
        <f t="shared" si="117"/>
        <v>45650</v>
      </c>
      <c r="T735" s="79">
        <v>45737</v>
      </c>
      <c r="U735" s="14"/>
      <c r="V735" s="14"/>
      <c r="W735" s="14"/>
      <c r="X735" s="14"/>
      <c r="Y735" s="51" t="s">
        <v>2001</v>
      </c>
      <c r="Z735" s="14" t="s">
        <v>4121</v>
      </c>
      <c r="AA735" s="2">
        <f t="shared" ca="1" si="118"/>
        <v>1</v>
      </c>
      <c r="AB735" s="153"/>
      <c r="AC735" s="454" t="str">
        <f t="shared" si="114"/>
        <v>1</v>
      </c>
    </row>
    <row r="736" spans="1:29" ht="43.5" x14ac:dyDescent="0.35">
      <c r="A736" s="111" t="str">
        <f t="shared" si="107"/>
        <v>Closed</v>
      </c>
      <c r="B736" s="222">
        <v>45622</v>
      </c>
      <c r="C736" s="14">
        <v>2409</v>
      </c>
      <c r="D736" s="14" t="s">
        <v>4122</v>
      </c>
      <c r="E736" s="14" t="s">
        <v>78</v>
      </c>
      <c r="F736" s="167" t="s">
        <v>2432</v>
      </c>
      <c r="G736" s="14" t="s">
        <v>1911</v>
      </c>
      <c r="H736" s="14">
        <v>121</v>
      </c>
      <c r="I736" s="176" t="s">
        <v>155</v>
      </c>
      <c r="J736" s="14">
        <v>8511211</v>
      </c>
      <c r="K736" s="87"/>
      <c r="L736" s="14" t="s">
        <v>4123</v>
      </c>
      <c r="M736" s="324">
        <f t="shared" si="119"/>
        <v>0</v>
      </c>
      <c r="N736" s="14" t="s">
        <v>1880</v>
      </c>
      <c r="O736" s="14" t="s">
        <v>1880</v>
      </c>
      <c r="P736" s="167" t="s">
        <v>147</v>
      </c>
      <c r="Q736" s="14" t="s">
        <v>168</v>
      </c>
      <c r="R736" s="170" t="s">
        <v>234</v>
      </c>
      <c r="S736" s="108">
        <f t="shared" si="117"/>
        <v>45650</v>
      </c>
      <c r="T736" s="79">
        <v>45719</v>
      </c>
      <c r="U736" s="14" t="s">
        <v>2390</v>
      </c>
      <c r="V736" s="14" t="s">
        <v>2102</v>
      </c>
      <c r="W736" s="14" t="s">
        <v>1880</v>
      </c>
      <c r="X736" s="14" t="s">
        <v>1880</v>
      </c>
      <c r="Y736" s="2" t="s">
        <v>2436</v>
      </c>
      <c r="Z736" s="14" t="s">
        <v>4124</v>
      </c>
      <c r="AA736" s="2">
        <f t="shared" ca="1" si="118"/>
        <v>1</v>
      </c>
      <c r="AB736" s="153"/>
      <c r="AC736" s="454" t="str">
        <f t="shared" si="114"/>
        <v>1</v>
      </c>
    </row>
    <row r="737" spans="1:29" x14ac:dyDescent="0.35">
      <c r="A737" s="111" t="str">
        <f t="shared" si="107"/>
        <v>Closed</v>
      </c>
      <c r="B737" s="222">
        <v>45623</v>
      </c>
      <c r="C737" s="14">
        <v>2409</v>
      </c>
      <c r="D737" s="14" t="s">
        <v>4125</v>
      </c>
      <c r="E737" s="14" t="s">
        <v>219</v>
      </c>
      <c r="F737" s="14" t="s">
        <v>1899</v>
      </c>
      <c r="G737" s="14" t="s">
        <v>1900</v>
      </c>
      <c r="H737" s="14"/>
      <c r="I737" s="176" t="s">
        <v>140</v>
      </c>
      <c r="K737" s="87"/>
      <c r="L737" s="14" t="s">
        <v>4126</v>
      </c>
      <c r="M737" s="324">
        <f t="shared" si="119"/>
        <v>0</v>
      </c>
      <c r="N737" s="14" t="s">
        <v>1879</v>
      </c>
      <c r="O737" s="14" t="s">
        <v>1879</v>
      </c>
      <c r="P737" s="167" t="s">
        <v>143</v>
      </c>
      <c r="Q737" s="14"/>
      <c r="R737" s="170">
        <v>0</v>
      </c>
      <c r="S737" s="108">
        <f t="shared" si="117"/>
        <v>45651</v>
      </c>
      <c r="T737" s="79">
        <v>45623</v>
      </c>
      <c r="U737" s="14"/>
      <c r="V737" s="14"/>
      <c r="W737" s="14"/>
      <c r="X737" s="14"/>
      <c r="Y737" s="14" t="s">
        <v>1904</v>
      </c>
      <c r="Z737" s="14"/>
      <c r="AA737" s="2">
        <f t="shared" ca="1" si="118"/>
        <v>1</v>
      </c>
      <c r="AB737" s="153"/>
      <c r="AC737" s="454" t="str">
        <f t="shared" si="114"/>
        <v/>
      </c>
    </row>
    <row r="738" spans="1:29" ht="101.5" x14ac:dyDescent="0.35">
      <c r="A738" s="111" t="str">
        <f t="shared" si="107"/>
        <v>Closed</v>
      </c>
      <c r="B738" s="222">
        <v>45624</v>
      </c>
      <c r="C738" s="14">
        <v>2409</v>
      </c>
      <c r="D738" s="14" t="s">
        <v>4127</v>
      </c>
      <c r="E738" s="14" t="s">
        <v>192</v>
      </c>
      <c r="F738" s="14" t="s">
        <v>3637</v>
      </c>
      <c r="G738" s="14" t="s">
        <v>1911</v>
      </c>
      <c r="H738" s="14"/>
      <c r="I738" s="176" t="s">
        <v>140</v>
      </c>
      <c r="J738" s="14">
        <v>75341</v>
      </c>
      <c r="K738" s="87"/>
      <c r="L738" s="14" t="s">
        <v>4128</v>
      </c>
      <c r="M738" s="324">
        <f t="shared" si="119"/>
        <v>0</v>
      </c>
      <c r="N738" s="14" t="s">
        <v>1879</v>
      </c>
      <c r="O738" s="14" t="s">
        <v>1879</v>
      </c>
      <c r="P738" s="167" t="s">
        <v>143</v>
      </c>
      <c r="Q738" s="14"/>
      <c r="R738" s="170">
        <v>0</v>
      </c>
      <c r="S738" s="108">
        <f t="shared" si="117"/>
        <v>45652</v>
      </c>
      <c r="T738" s="79">
        <v>45624</v>
      </c>
      <c r="U738" s="14"/>
      <c r="V738" s="14"/>
      <c r="W738" s="14"/>
      <c r="X738" s="14"/>
      <c r="Z738" s="14"/>
      <c r="AA738" s="2">
        <f t="shared" ca="1" si="118"/>
        <v>1</v>
      </c>
      <c r="AB738" s="153"/>
      <c r="AC738" s="454" t="str">
        <f t="shared" si="114"/>
        <v/>
      </c>
    </row>
    <row r="739" spans="1:29" ht="58" x14ac:dyDescent="0.35">
      <c r="A739" s="111" t="str">
        <f t="shared" ref="A739:A802" si="120">IF(T739&gt;1,"Closed",IF(AA739=1,"Overdue",IF(AA739=3,"","Open")))</f>
        <v>Closed</v>
      </c>
      <c r="B739" s="222">
        <v>45624</v>
      </c>
      <c r="C739" s="14">
        <v>2409</v>
      </c>
      <c r="D739" s="14" t="s">
        <v>4129</v>
      </c>
      <c r="E739" s="14" t="s">
        <v>192</v>
      </c>
      <c r="F739" s="14" t="s">
        <v>3086</v>
      </c>
      <c r="G739" s="14" t="s">
        <v>1911</v>
      </c>
      <c r="H739" s="14">
        <v>117</v>
      </c>
      <c r="I739" s="176" t="s">
        <v>140</v>
      </c>
      <c r="K739" s="87"/>
      <c r="L739" s="14" t="s">
        <v>4130</v>
      </c>
      <c r="M739" s="324">
        <f t="shared" si="119"/>
        <v>0</v>
      </c>
      <c r="N739" s="14" t="s">
        <v>1879</v>
      </c>
      <c r="O739" s="14" t="s">
        <v>1879</v>
      </c>
      <c r="P739" s="167" t="s">
        <v>143</v>
      </c>
      <c r="Q739" s="14"/>
      <c r="R739" s="170">
        <v>0</v>
      </c>
      <c r="S739" s="108">
        <f t="shared" si="117"/>
        <v>45652</v>
      </c>
      <c r="T739" s="79">
        <v>45624</v>
      </c>
      <c r="U739" s="14"/>
      <c r="V739" s="14"/>
      <c r="W739" s="14"/>
      <c r="X739" s="14"/>
      <c r="Z739" s="14"/>
      <c r="AA739" s="2">
        <f t="shared" ca="1" si="118"/>
        <v>1</v>
      </c>
      <c r="AB739" s="153"/>
      <c r="AC739" s="454" t="str">
        <f t="shared" si="114"/>
        <v>1</v>
      </c>
    </row>
    <row r="740" spans="1:29" ht="43.5" x14ac:dyDescent="0.35">
      <c r="A740" s="111" t="str">
        <f t="shared" si="120"/>
        <v>Closed</v>
      </c>
      <c r="B740" s="222">
        <v>45625</v>
      </c>
      <c r="C740" s="14">
        <v>2409</v>
      </c>
      <c r="D740" s="14" t="s">
        <v>4131</v>
      </c>
      <c r="E740" s="14" t="s">
        <v>219</v>
      </c>
      <c r="F740" s="14" t="s">
        <v>2262</v>
      </c>
      <c r="G740" s="14" t="s">
        <v>1911</v>
      </c>
      <c r="H740" s="14"/>
      <c r="I740" s="176" t="s">
        <v>140</v>
      </c>
      <c r="J740" s="14">
        <v>546</v>
      </c>
      <c r="K740" s="87"/>
      <c r="L740" s="14" t="s">
        <v>4132</v>
      </c>
      <c r="M740" s="324">
        <f t="shared" si="119"/>
        <v>0</v>
      </c>
      <c r="N740" s="14" t="s">
        <v>1879</v>
      </c>
      <c r="O740" s="14" t="s">
        <v>1879</v>
      </c>
      <c r="P740" s="167" t="s">
        <v>143</v>
      </c>
      <c r="Q740" s="14"/>
      <c r="R740" s="170">
        <v>0</v>
      </c>
      <c r="S740" s="108">
        <f t="shared" si="117"/>
        <v>45653</v>
      </c>
      <c r="T740" s="79">
        <v>45625</v>
      </c>
      <c r="U740" s="14"/>
      <c r="V740" s="14"/>
      <c r="W740" s="14"/>
      <c r="X740" s="14"/>
      <c r="Y740" s="14" t="s">
        <v>2185</v>
      </c>
      <c r="Z740" s="14"/>
      <c r="AA740" s="2">
        <f t="shared" ca="1" si="118"/>
        <v>1</v>
      </c>
      <c r="AB740" s="153"/>
      <c r="AC740" s="454" t="str">
        <f t="shared" si="114"/>
        <v/>
      </c>
    </row>
    <row r="741" spans="1:29" ht="43.5" x14ac:dyDescent="0.35">
      <c r="A741" s="111" t="str">
        <f t="shared" si="120"/>
        <v>Closed</v>
      </c>
      <c r="B741" s="222">
        <v>45625</v>
      </c>
      <c r="C741" s="14">
        <v>2409</v>
      </c>
      <c r="D741" s="14" t="s">
        <v>4133</v>
      </c>
      <c r="E741" s="14" t="s">
        <v>38</v>
      </c>
      <c r="F741" s="167" t="s">
        <v>2349</v>
      </c>
      <c r="G741" s="14" t="s">
        <v>1900</v>
      </c>
      <c r="H741" s="14">
        <v>116</v>
      </c>
      <c r="I741" s="176" t="s">
        <v>140</v>
      </c>
      <c r="J741" s="14">
        <v>8502862</v>
      </c>
      <c r="K741" s="87"/>
      <c r="L741" s="14" t="s">
        <v>4134</v>
      </c>
      <c r="M741" s="324">
        <f t="shared" si="119"/>
        <v>0</v>
      </c>
      <c r="N741" s="14" t="s">
        <v>1879</v>
      </c>
      <c r="O741" s="14" t="s">
        <v>1880</v>
      </c>
      <c r="P741" s="167" t="s">
        <v>143</v>
      </c>
      <c r="Q741" s="14"/>
      <c r="R741" s="170">
        <v>0</v>
      </c>
      <c r="S741" s="108">
        <f t="shared" si="117"/>
        <v>45653</v>
      </c>
      <c r="T741" s="79">
        <v>45625</v>
      </c>
      <c r="U741" s="14"/>
      <c r="V741" s="14"/>
      <c r="W741" s="14"/>
      <c r="X741" s="14"/>
      <c r="Y741" s="88" t="s">
        <v>2351</v>
      </c>
      <c r="Z741" s="14"/>
      <c r="AA741" s="2">
        <f t="shared" ca="1" si="118"/>
        <v>1</v>
      </c>
      <c r="AB741" s="153"/>
      <c r="AC741" s="454" t="str">
        <f t="shared" si="114"/>
        <v>1</v>
      </c>
    </row>
    <row r="742" spans="1:29" ht="29" x14ac:dyDescent="0.35">
      <c r="A742" s="111" t="str">
        <f t="shared" si="120"/>
        <v>Closed</v>
      </c>
      <c r="B742" s="222">
        <v>45625</v>
      </c>
      <c r="C742" s="14">
        <v>2409</v>
      </c>
      <c r="D742" s="14" t="s">
        <v>4135</v>
      </c>
      <c r="E742" s="14" t="s">
        <v>219</v>
      </c>
      <c r="F742" s="14" t="s">
        <v>2245</v>
      </c>
      <c r="G742" s="14" t="s">
        <v>1911</v>
      </c>
      <c r="H742" s="14">
        <v>118</v>
      </c>
      <c r="I742" s="176" t="s">
        <v>140</v>
      </c>
      <c r="J742" s="14">
        <v>541</v>
      </c>
      <c r="K742" s="87"/>
      <c r="L742" s="14" t="s">
        <v>4136</v>
      </c>
      <c r="M742" s="324">
        <f t="shared" si="119"/>
        <v>0</v>
      </c>
      <c r="N742" s="14" t="s">
        <v>1879</v>
      </c>
      <c r="O742" s="14" t="s">
        <v>1879</v>
      </c>
      <c r="P742" s="167" t="s">
        <v>143</v>
      </c>
      <c r="Q742" s="14"/>
      <c r="R742" s="170">
        <v>0</v>
      </c>
      <c r="S742" s="108">
        <f t="shared" si="117"/>
        <v>45653</v>
      </c>
      <c r="T742" s="79">
        <v>45625</v>
      </c>
      <c r="U742" s="14"/>
      <c r="V742" s="14"/>
      <c r="W742" s="14"/>
      <c r="X742" s="14"/>
      <c r="Z742" s="14"/>
      <c r="AA742" s="2">
        <f t="shared" ca="1" si="118"/>
        <v>1</v>
      </c>
      <c r="AB742" s="153"/>
      <c r="AC742" s="454" t="str">
        <f t="shared" si="114"/>
        <v>1</v>
      </c>
    </row>
    <row r="743" spans="1:29" ht="58" x14ac:dyDescent="0.35">
      <c r="A743" s="111" t="str">
        <f t="shared" si="120"/>
        <v>Closed</v>
      </c>
      <c r="B743" s="222">
        <v>45625</v>
      </c>
      <c r="C743" s="14">
        <v>2409</v>
      </c>
      <c r="D743" s="14" t="s">
        <v>4137</v>
      </c>
      <c r="E743" s="14" t="s">
        <v>8</v>
      </c>
      <c r="F743" s="14" t="s">
        <v>1899</v>
      </c>
      <c r="G743" s="14" t="s">
        <v>1911</v>
      </c>
      <c r="H743" s="14"/>
      <c r="I743" s="176" t="s">
        <v>140</v>
      </c>
      <c r="K743" s="87"/>
      <c r="L743" s="14" t="s">
        <v>4138</v>
      </c>
      <c r="M743" s="324">
        <f t="shared" si="119"/>
        <v>0</v>
      </c>
      <c r="N743" s="14" t="s">
        <v>1879</v>
      </c>
      <c r="O743" s="14" t="s">
        <v>1879</v>
      </c>
      <c r="P743" s="167" t="s">
        <v>143</v>
      </c>
      <c r="Q743" s="14"/>
      <c r="R743" s="170">
        <v>0</v>
      </c>
      <c r="S743" s="108">
        <f t="shared" si="117"/>
        <v>45653</v>
      </c>
      <c r="T743" s="79">
        <v>45625</v>
      </c>
      <c r="U743" s="14"/>
      <c r="V743" s="14"/>
      <c r="W743" s="14"/>
      <c r="X743" s="14"/>
      <c r="Y743" s="14" t="s">
        <v>1904</v>
      </c>
      <c r="Z743" s="14"/>
      <c r="AA743" s="2">
        <f t="shared" ca="1" si="118"/>
        <v>1</v>
      </c>
      <c r="AB743" s="153"/>
      <c r="AC743" s="454" t="str">
        <f t="shared" si="114"/>
        <v/>
      </c>
    </row>
    <row r="744" spans="1:29" ht="58" x14ac:dyDescent="0.35">
      <c r="A744" s="111" t="str">
        <f t="shared" si="120"/>
        <v>Closed</v>
      </c>
      <c r="B744" s="222">
        <v>45625</v>
      </c>
      <c r="C744" s="14">
        <v>2409</v>
      </c>
      <c r="D744" s="14" t="s">
        <v>4139</v>
      </c>
      <c r="E744" s="14" t="s">
        <v>8</v>
      </c>
      <c r="F744" s="14" t="s">
        <v>2073</v>
      </c>
      <c r="G744" s="14" t="s">
        <v>1911</v>
      </c>
      <c r="H744" s="14"/>
      <c r="I744" s="176" t="s">
        <v>140</v>
      </c>
      <c r="K744" s="87"/>
      <c r="L744" s="14" t="s">
        <v>4140</v>
      </c>
      <c r="M744" s="324">
        <f t="shared" si="119"/>
        <v>0</v>
      </c>
      <c r="N744" s="14" t="s">
        <v>1879</v>
      </c>
      <c r="O744" s="14" t="s">
        <v>1879</v>
      </c>
      <c r="P744" s="167" t="s">
        <v>143</v>
      </c>
      <c r="Q744" s="14"/>
      <c r="R744" s="170">
        <v>0</v>
      </c>
      <c r="S744" s="108">
        <f t="shared" si="117"/>
        <v>45653</v>
      </c>
      <c r="T744" s="79">
        <v>45625</v>
      </c>
      <c r="U744" s="14"/>
      <c r="V744" s="14"/>
      <c r="W744" s="14"/>
      <c r="X744" s="14"/>
      <c r="Y744" s="15" t="s">
        <v>2075</v>
      </c>
      <c r="Z744" s="14"/>
      <c r="AA744" s="2">
        <f t="shared" ca="1" si="118"/>
        <v>1</v>
      </c>
      <c r="AB744" s="153"/>
      <c r="AC744" s="454" t="str">
        <f t="shared" si="114"/>
        <v/>
      </c>
    </row>
    <row r="745" spans="1:29" ht="72.5" x14ac:dyDescent="0.35">
      <c r="A745" s="111" t="str">
        <f t="shared" si="120"/>
        <v>Closed</v>
      </c>
      <c r="B745" s="222">
        <v>45625</v>
      </c>
      <c r="C745" s="14">
        <v>2409</v>
      </c>
      <c r="D745" s="14" t="s">
        <v>4141</v>
      </c>
      <c r="E745" s="14" t="s">
        <v>180</v>
      </c>
      <c r="F745" s="14" t="s">
        <v>2205</v>
      </c>
      <c r="G745" s="14" t="s">
        <v>1911</v>
      </c>
      <c r="H745" s="14">
        <v>102</v>
      </c>
      <c r="I745" s="176" t="s">
        <v>140</v>
      </c>
      <c r="J745" s="14">
        <v>134</v>
      </c>
      <c r="K745" s="87"/>
      <c r="L745" s="14" t="s">
        <v>4142</v>
      </c>
      <c r="M745" s="324">
        <f t="shared" si="119"/>
        <v>0</v>
      </c>
      <c r="N745" s="14" t="s">
        <v>1879</v>
      </c>
      <c r="O745" s="14" t="s">
        <v>1879</v>
      </c>
      <c r="P745" s="167" t="s">
        <v>143</v>
      </c>
      <c r="Q745" s="14"/>
      <c r="R745" s="170">
        <v>0</v>
      </c>
      <c r="S745" s="108">
        <f t="shared" si="117"/>
        <v>45653</v>
      </c>
      <c r="T745" s="79">
        <v>45625</v>
      </c>
      <c r="U745" s="14"/>
      <c r="V745" s="14"/>
      <c r="W745" s="14"/>
      <c r="X745" s="14"/>
      <c r="Y745" s="14" t="s">
        <v>2209</v>
      </c>
      <c r="Z745" s="14"/>
      <c r="AA745" s="2">
        <f t="shared" ca="1" si="118"/>
        <v>1</v>
      </c>
      <c r="AB745" s="153"/>
      <c r="AC745" s="454" t="str">
        <f t="shared" si="114"/>
        <v>1</v>
      </c>
    </row>
    <row r="746" spans="1:29" ht="72.5" x14ac:dyDescent="0.35">
      <c r="A746" s="111" t="str">
        <f t="shared" si="120"/>
        <v>Closed</v>
      </c>
      <c r="B746" s="222">
        <v>45625</v>
      </c>
      <c r="C746" s="14">
        <v>2409</v>
      </c>
      <c r="D746" s="14" t="s">
        <v>4143</v>
      </c>
      <c r="E746" s="14" t="s">
        <v>31</v>
      </c>
      <c r="F746" s="14" t="s">
        <v>1937</v>
      </c>
      <c r="G746" s="14" t="s">
        <v>1900</v>
      </c>
      <c r="H746" s="14">
        <v>112</v>
      </c>
      <c r="I746" s="176" t="s">
        <v>155</v>
      </c>
      <c r="J746" s="14">
        <v>134</v>
      </c>
      <c r="K746" s="87"/>
      <c r="L746" s="14" t="s">
        <v>4144</v>
      </c>
      <c r="M746" s="324">
        <f t="shared" si="119"/>
        <v>0</v>
      </c>
      <c r="N746" s="14" t="s">
        <v>1879</v>
      </c>
      <c r="O746" s="14" t="s">
        <v>1879</v>
      </c>
      <c r="P746" s="167" t="s">
        <v>147</v>
      </c>
      <c r="Q746" s="14" t="s">
        <v>175</v>
      </c>
      <c r="R746" s="170">
        <f t="shared" ref="R746:R748" si="121">IF(I746="Staff Accident","Entry Required",IF(I746="Assaults","Entry Required",0))</f>
        <v>0</v>
      </c>
      <c r="S746" s="108">
        <f t="shared" si="117"/>
        <v>45653</v>
      </c>
      <c r="T746" s="14" t="s">
        <v>4145</v>
      </c>
      <c r="U746" s="14" t="s">
        <v>4146</v>
      </c>
      <c r="V746" s="14" t="s">
        <v>2102</v>
      </c>
      <c r="W746" s="14" t="s">
        <v>1880</v>
      </c>
      <c r="X746" s="14" t="s">
        <v>1880</v>
      </c>
      <c r="Z746" s="14"/>
      <c r="AA746" s="2">
        <f t="shared" ca="1" si="118"/>
        <v>1</v>
      </c>
      <c r="AB746" s="153"/>
      <c r="AC746" s="454" t="str">
        <f t="shared" si="114"/>
        <v>1</v>
      </c>
    </row>
    <row r="747" spans="1:29" ht="43.5" x14ac:dyDescent="0.35">
      <c r="A747" s="111" t="str">
        <f t="shared" si="120"/>
        <v>Closed</v>
      </c>
      <c r="B747" s="222">
        <v>45625</v>
      </c>
      <c r="C747" s="14">
        <v>2409</v>
      </c>
      <c r="D747" s="14" t="s">
        <v>4147</v>
      </c>
      <c r="E747" s="14" t="s">
        <v>31</v>
      </c>
      <c r="F747" s="167" t="s">
        <v>1947</v>
      </c>
      <c r="G747" s="14" t="s">
        <v>1900</v>
      </c>
      <c r="H747" s="14">
        <v>118</v>
      </c>
      <c r="I747" s="176" t="s">
        <v>140</v>
      </c>
      <c r="J747" s="14">
        <v>8505792</v>
      </c>
      <c r="K747" s="87"/>
      <c r="L747" s="14" t="s">
        <v>4148</v>
      </c>
      <c r="M747" s="324">
        <f t="shared" si="119"/>
        <v>0</v>
      </c>
      <c r="N747" s="14" t="s">
        <v>1879</v>
      </c>
      <c r="O747" s="14" t="s">
        <v>1880</v>
      </c>
      <c r="P747" s="167" t="s">
        <v>143</v>
      </c>
      <c r="Q747" s="14"/>
      <c r="R747" s="170">
        <v>0</v>
      </c>
      <c r="S747" s="108">
        <f t="shared" si="117"/>
        <v>45653</v>
      </c>
      <c r="T747" s="79">
        <v>45625</v>
      </c>
      <c r="U747" s="14"/>
      <c r="V747" s="14"/>
      <c r="W747" s="14"/>
      <c r="X747" s="14"/>
      <c r="Y747" s="167" t="s">
        <v>1951</v>
      </c>
      <c r="Z747" s="14"/>
      <c r="AA747" s="2">
        <f t="shared" ca="1" si="118"/>
        <v>1</v>
      </c>
      <c r="AB747" s="153"/>
      <c r="AC747" s="454" t="str">
        <f t="shared" si="114"/>
        <v>1</v>
      </c>
    </row>
    <row r="748" spans="1:29" ht="72.5" x14ac:dyDescent="0.35">
      <c r="A748" s="89" t="str">
        <f t="shared" si="120"/>
        <v>Closed</v>
      </c>
      <c r="B748" s="222">
        <v>45626</v>
      </c>
      <c r="C748" s="14">
        <v>2409</v>
      </c>
      <c r="D748" s="14" t="s">
        <v>4149</v>
      </c>
      <c r="E748" s="14" t="s">
        <v>204</v>
      </c>
      <c r="F748" s="14" t="s">
        <v>2052</v>
      </c>
      <c r="G748" s="14" t="s">
        <v>1911</v>
      </c>
      <c r="H748" s="14">
        <v>109</v>
      </c>
      <c r="I748" s="176" t="s">
        <v>155</v>
      </c>
      <c r="J748" s="14">
        <v>41395</v>
      </c>
      <c r="K748" s="87"/>
      <c r="L748" s="14" t="s">
        <v>4150</v>
      </c>
      <c r="M748" s="324">
        <f t="shared" si="119"/>
        <v>0</v>
      </c>
      <c r="N748" s="14" t="s">
        <v>1879</v>
      </c>
      <c r="O748" s="14" t="s">
        <v>1880</v>
      </c>
      <c r="P748" s="167" t="s">
        <v>147</v>
      </c>
      <c r="Q748" s="14" t="s">
        <v>135</v>
      </c>
      <c r="R748" s="223">
        <f t="shared" si="121"/>
        <v>0</v>
      </c>
      <c r="S748" s="224">
        <f t="shared" si="117"/>
        <v>45654</v>
      </c>
      <c r="T748" s="79">
        <v>45902</v>
      </c>
      <c r="U748" s="14"/>
      <c r="V748" s="14"/>
      <c r="W748" s="14"/>
      <c r="X748" s="14"/>
      <c r="Y748" s="14" t="s">
        <v>2054</v>
      </c>
      <c r="Z748" s="14" t="s">
        <v>4151</v>
      </c>
      <c r="AA748" s="2">
        <f t="shared" ca="1" si="118"/>
        <v>1</v>
      </c>
      <c r="AB748" s="153"/>
      <c r="AC748" s="454" t="str">
        <f t="shared" si="114"/>
        <v>1</v>
      </c>
    </row>
    <row r="749" spans="1:29" ht="29" x14ac:dyDescent="0.35">
      <c r="A749" s="111" t="str">
        <f t="shared" si="120"/>
        <v>Closed</v>
      </c>
      <c r="B749" s="222">
        <v>45626</v>
      </c>
      <c r="C749" s="14">
        <v>2409</v>
      </c>
      <c r="D749" s="14" t="s">
        <v>4152</v>
      </c>
      <c r="E749" s="14" t="s">
        <v>219</v>
      </c>
      <c r="F749" s="14" t="s">
        <v>2245</v>
      </c>
      <c r="G749" s="14" t="s">
        <v>1911</v>
      </c>
      <c r="H749" s="14"/>
      <c r="I749" s="176" t="s">
        <v>140</v>
      </c>
      <c r="K749" s="87"/>
      <c r="L749" s="14" t="s">
        <v>4153</v>
      </c>
      <c r="M749" s="324">
        <f t="shared" si="119"/>
        <v>0</v>
      </c>
      <c r="N749" s="14" t="s">
        <v>1879</v>
      </c>
      <c r="O749" s="14" t="s">
        <v>1879</v>
      </c>
      <c r="P749" s="167" t="s">
        <v>143</v>
      </c>
      <c r="Q749" s="14"/>
      <c r="R749" s="170">
        <v>0</v>
      </c>
      <c r="S749" s="108">
        <f t="shared" ref="S749:S774" si="122">IF(B749="","",B749+28)</f>
        <v>45654</v>
      </c>
      <c r="T749" s="79">
        <v>45626</v>
      </c>
      <c r="U749" s="14"/>
      <c r="V749" s="14"/>
      <c r="W749" s="14"/>
      <c r="X749" s="14"/>
      <c r="Z749" s="14"/>
      <c r="AA749" s="2">
        <f t="shared" ca="1" si="118"/>
        <v>1</v>
      </c>
      <c r="AB749" s="153"/>
      <c r="AC749" s="454" t="str">
        <f t="shared" si="114"/>
        <v/>
      </c>
    </row>
    <row r="750" spans="1:29" ht="72.5" x14ac:dyDescent="0.35">
      <c r="A750" s="111" t="str">
        <f t="shared" si="120"/>
        <v>Closed</v>
      </c>
      <c r="B750" s="222">
        <v>45626</v>
      </c>
      <c r="C750" s="14">
        <v>2409</v>
      </c>
      <c r="D750" s="14" t="s">
        <v>4154</v>
      </c>
      <c r="E750" s="14" t="s">
        <v>192</v>
      </c>
      <c r="F750" s="167" t="s">
        <v>2349</v>
      </c>
      <c r="G750" s="14" t="s">
        <v>1900</v>
      </c>
      <c r="H750" s="14">
        <v>113</v>
      </c>
      <c r="I750" s="176" t="s">
        <v>140</v>
      </c>
      <c r="J750" s="14">
        <v>254</v>
      </c>
      <c r="K750" s="87"/>
      <c r="L750" s="14" t="s">
        <v>4155</v>
      </c>
      <c r="M750" s="324">
        <f t="shared" si="119"/>
        <v>0</v>
      </c>
      <c r="N750" s="14" t="s">
        <v>1879</v>
      </c>
      <c r="O750" s="14" t="s">
        <v>1879</v>
      </c>
      <c r="P750" s="167" t="s">
        <v>143</v>
      </c>
      <c r="Q750" s="14"/>
      <c r="R750" s="170">
        <v>0</v>
      </c>
      <c r="S750" s="108">
        <f t="shared" si="122"/>
        <v>45654</v>
      </c>
      <c r="T750" s="79">
        <v>45626</v>
      </c>
      <c r="U750" s="14"/>
      <c r="V750" s="14"/>
      <c r="W750" s="14"/>
      <c r="X750" s="14"/>
      <c r="Y750" s="14" t="s">
        <v>2351</v>
      </c>
      <c r="Z750" s="14"/>
      <c r="AA750" s="2">
        <f t="shared" ca="1" si="118"/>
        <v>1</v>
      </c>
      <c r="AB750" s="153"/>
      <c r="AC750" s="454" t="str">
        <f t="shared" si="114"/>
        <v>1</v>
      </c>
    </row>
    <row r="751" spans="1:29" ht="43.5" x14ac:dyDescent="0.35">
      <c r="A751" s="111" t="str">
        <f t="shared" si="120"/>
        <v>Closed</v>
      </c>
      <c r="B751" s="222">
        <v>45627</v>
      </c>
      <c r="C751" s="14">
        <v>2409</v>
      </c>
      <c r="D751" s="14" t="s">
        <v>4156</v>
      </c>
      <c r="E751" s="14" t="s">
        <v>219</v>
      </c>
      <c r="F751" s="14" t="s">
        <v>2783</v>
      </c>
      <c r="G751" s="14"/>
      <c r="H751" s="14">
        <v>113</v>
      </c>
      <c r="I751" s="176" t="s">
        <v>140</v>
      </c>
      <c r="J751" s="14">
        <v>74928</v>
      </c>
      <c r="K751" s="87"/>
      <c r="L751" s="14" t="s">
        <v>4157</v>
      </c>
      <c r="M751" s="324">
        <f t="shared" si="119"/>
        <v>0</v>
      </c>
      <c r="N751" s="14" t="s">
        <v>1879</v>
      </c>
      <c r="O751" s="14" t="s">
        <v>1879</v>
      </c>
      <c r="P751" s="167" t="s">
        <v>143</v>
      </c>
      <c r="Q751" s="14"/>
      <c r="R751" s="170">
        <v>0</v>
      </c>
      <c r="S751" s="108">
        <f t="shared" si="122"/>
        <v>45655</v>
      </c>
      <c r="T751" s="79">
        <v>45627</v>
      </c>
      <c r="U751" s="14"/>
      <c r="V751" s="14"/>
      <c r="W751" s="14"/>
      <c r="X751" s="14"/>
      <c r="Z751" s="14"/>
      <c r="AA751" s="2">
        <f t="shared" ref="AA751:AA774" ca="1" si="123">IF(B751="",3,IF(S751&lt;$A$1,1,0))</f>
        <v>1</v>
      </c>
      <c r="AB751" s="153"/>
      <c r="AC751" s="454" t="str">
        <f t="shared" si="114"/>
        <v>1</v>
      </c>
    </row>
    <row r="752" spans="1:29" ht="58" x14ac:dyDescent="0.35">
      <c r="A752" s="111" t="str">
        <f t="shared" si="120"/>
        <v>Closed</v>
      </c>
      <c r="B752" s="222">
        <v>45628</v>
      </c>
      <c r="C752" s="14">
        <v>2409</v>
      </c>
      <c r="D752" s="14" t="s">
        <v>4158</v>
      </c>
      <c r="E752" s="14" t="s">
        <v>31</v>
      </c>
      <c r="F752" s="14" t="s">
        <v>2187</v>
      </c>
      <c r="G752" s="14"/>
      <c r="H752" s="14">
        <v>121</v>
      </c>
      <c r="I752" s="176" t="s">
        <v>155</v>
      </c>
      <c r="K752" s="87"/>
      <c r="L752" s="14" t="s">
        <v>4159</v>
      </c>
      <c r="M752" s="324">
        <f t="shared" si="119"/>
        <v>0</v>
      </c>
      <c r="N752" s="14" t="s">
        <v>1879</v>
      </c>
      <c r="O752" s="14" t="s">
        <v>1880</v>
      </c>
      <c r="P752" s="167" t="s">
        <v>147</v>
      </c>
      <c r="Q752" s="14" t="s">
        <v>168</v>
      </c>
      <c r="R752" s="170" t="s">
        <v>234</v>
      </c>
      <c r="S752" s="108">
        <f t="shared" si="122"/>
        <v>45656</v>
      </c>
      <c r="T752" s="79">
        <v>45719</v>
      </c>
      <c r="U752" s="14"/>
      <c r="V752" s="14"/>
      <c r="W752" s="14"/>
      <c r="X752" s="14"/>
      <c r="Y752" s="14" t="s">
        <v>2023</v>
      </c>
      <c r="Z752" s="14"/>
      <c r="AA752" s="2">
        <f t="shared" ca="1" si="123"/>
        <v>1</v>
      </c>
      <c r="AB752" s="153"/>
      <c r="AC752" s="454" t="str">
        <f t="shared" si="114"/>
        <v>1</v>
      </c>
    </row>
    <row r="753" spans="1:29" ht="43.5" x14ac:dyDescent="0.35">
      <c r="A753" s="111" t="str">
        <f t="shared" si="120"/>
        <v>Closed</v>
      </c>
      <c r="B753" s="222">
        <v>45628</v>
      </c>
      <c r="C753" s="14">
        <v>2409</v>
      </c>
      <c r="D753" s="14" t="s">
        <v>4160</v>
      </c>
      <c r="E753" s="14" t="s">
        <v>8</v>
      </c>
      <c r="F753" s="14" t="s">
        <v>2010</v>
      </c>
      <c r="G753" s="14" t="s">
        <v>1911</v>
      </c>
      <c r="H753" s="14">
        <v>117</v>
      </c>
      <c r="I753" s="176" t="s">
        <v>140</v>
      </c>
      <c r="J753" s="14">
        <v>625</v>
      </c>
      <c r="K753" s="87"/>
      <c r="L753" s="14" t="s">
        <v>4161</v>
      </c>
      <c r="M753" s="324">
        <f t="shared" si="119"/>
        <v>0</v>
      </c>
      <c r="N753" s="14" t="s">
        <v>1879</v>
      </c>
      <c r="O753" s="14" t="s">
        <v>1879</v>
      </c>
      <c r="P753" s="167" t="s">
        <v>143</v>
      </c>
      <c r="Q753" s="14"/>
      <c r="R753" s="170">
        <v>0</v>
      </c>
      <c r="S753" s="108">
        <f t="shared" si="122"/>
        <v>45656</v>
      </c>
      <c r="T753" s="79">
        <v>45628</v>
      </c>
      <c r="U753" s="14"/>
      <c r="V753" s="14"/>
      <c r="W753" s="14"/>
      <c r="X753" s="14"/>
      <c r="Y753" s="51" t="s">
        <v>2012</v>
      </c>
      <c r="Z753" s="14"/>
      <c r="AA753" s="2">
        <f t="shared" ca="1" si="123"/>
        <v>1</v>
      </c>
      <c r="AB753" s="153"/>
      <c r="AC753" s="454" t="str">
        <f t="shared" si="114"/>
        <v>1</v>
      </c>
    </row>
    <row r="754" spans="1:29" ht="29" x14ac:dyDescent="0.35">
      <c r="A754" s="111" t="str">
        <f t="shared" si="120"/>
        <v>Closed</v>
      </c>
      <c r="B754" s="222">
        <v>45629</v>
      </c>
      <c r="C754" s="14">
        <v>2409</v>
      </c>
      <c r="D754" s="14" t="s">
        <v>4162</v>
      </c>
      <c r="E754" s="14" t="s">
        <v>219</v>
      </c>
      <c r="F754" s="14" t="s">
        <v>2765</v>
      </c>
      <c r="G754" s="14"/>
      <c r="H754" s="14">
        <v>113</v>
      </c>
      <c r="I754" s="176" t="s">
        <v>140</v>
      </c>
      <c r="K754" s="87"/>
      <c r="L754" s="14" t="s">
        <v>4163</v>
      </c>
      <c r="M754" s="324">
        <f t="shared" si="119"/>
        <v>0</v>
      </c>
      <c r="N754" s="14" t="s">
        <v>1879</v>
      </c>
      <c r="O754" s="14" t="s">
        <v>1879</v>
      </c>
      <c r="P754" s="167" t="s">
        <v>143</v>
      </c>
      <c r="Q754" s="14"/>
      <c r="R754" s="170">
        <v>0</v>
      </c>
      <c r="S754" s="108">
        <f t="shared" si="122"/>
        <v>45657</v>
      </c>
      <c r="T754" s="79">
        <v>45629</v>
      </c>
      <c r="U754" s="14"/>
      <c r="V754" s="14"/>
      <c r="W754" s="14"/>
      <c r="X754" s="14"/>
      <c r="Z754" s="14"/>
      <c r="AA754" s="2">
        <f t="shared" ca="1" si="123"/>
        <v>1</v>
      </c>
      <c r="AB754" s="153"/>
      <c r="AC754" s="454" t="str">
        <f t="shared" si="114"/>
        <v>1</v>
      </c>
    </row>
    <row r="755" spans="1:29" ht="174" x14ac:dyDescent="0.35">
      <c r="A755" s="89" t="str">
        <f t="shared" si="120"/>
        <v>Closed</v>
      </c>
      <c r="B755" s="222">
        <v>45630</v>
      </c>
      <c r="C755" s="14">
        <v>2409</v>
      </c>
      <c r="D755" s="14" t="s">
        <v>4164</v>
      </c>
      <c r="E755" s="14" t="s">
        <v>31</v>
      </c>
      <c r="F755" s="14" t="s">
        <v>4165</v>
      </c>
      <c r="G755" s="14"/>
      <c r="H755" s="14"/>
      <c r="I755" s="176" t="s">
        <v>155</v>
      </c>
      <c r="K755" s="87"/>
      <c r="L755" s="14" t="s">
        <v>4166</v>
      </c>
      <c r="M755" s="324">
        <f t="shared" si="119"/>
        <v>0</v>
      </c>
      <c r="N755" s="14" t="s">
        <v>1879</v>
      </c>
      <c r="O755" s="14" t="s">
        <v>2034</v>
      </c>
      <c r="P755" s="167" t="s">
        <v>147</v>
      </c>
      <c r="Q755" s="14" t="s">
        <v>160</v>
      </c>
      <c r="R755" s="223" t="s">
        <v>236</v>
      </c>
      <c r="S755" s="224">
        <f t="shared" si="122"/>
        <v>45658</v>
      </c>
      <c r="T755" s="79">
        <v>45902</v>
      </c>
      <c r="U755" s="14"/>
      <c r="V755" s="14"/>
      <c r="W755" s="14"/>
      <c r="X755" s="14"/>
      <c r="Z755" s="14" t="s">
        <v>4167</v>
      </c>
      <c r="AA755" s="2">
        <f t="shared" ca="1" si="123"/>
        <v>1</v>
      </c>
      <c r="AB755" s="153"/>
      <c r="AC755" s="454" t="str">
        <f t="shared" si="114"/>
        <v/>
      </c>
    </row>
    <row r="756" spans="1:29" x14ac:dyDescent="0.35">
      <c r="A756" s="89" t="str">
        <f t="shared" si="120"/>
        <v>Closed</v>
      </c>
      <c r="B756" s="222">
        <v>45631</v>
      </c>
      <c r="C756" s="14">
        <v>2409</v>
      </c>
      <c r="D756" s="14" t="s">
        <v>4168</v>
      </c>
      <c r="E756" s="14" t="s">
        <v>219</v>
      </c>
      <c r="F756" s="14" t="s">
        <v>2765</v>
      </c>
      <c r="G756" s="14"/>
      <c r="H756" s="14"/>
      <c r="I756" s="176" t="s">
        <v>140</v>
      </c>
      <c r="K756" s="87"/>
      <c r="L756" s="14" t="s">
        <v>4169</v>
      </c>
      <c r="M756" s="324">
        <f t="shared" si="119"/>
        <v>0</v>
      </c>
      <c r="N756" s="14" t="s">
        <v>1879</v>
      </c>
      <c r="O756" s="14" t="s">
        <v>1879</v>
      </c>
      <c r="P756" s="167" t="s">
        <v>143</v>
      </c>
      <c r="Q756" s="14"/>
      <c r="R756" s="223">
        <v>0</v>
      </c>
      <c r="S756" s="224">
        <f t="shared" si="122"/>
        <v>45659</v>
      </c>
      <c r="T756" s="79">
        <v>45631</v>
      </c>
      <c r="U756" s="14"/>
      <c r="V756" s="14"/>
      <c r="W756" s="14"/>
      <c r="X756" s="14"/>
      <c r="Z756" s="14"/>
      <c r="AA756" s="2">
        <f t="shared" ca="1" si="123"/>
        <v>1</v>
      </c>
      <c r="AB756" s="153"/>
      <c r="AC756" s="454" t="str">
        <f t="shared" si="114"/>
        <v/>
      </c>
    </row>
    <row r="757" spans="1:29" ht="43.5" x14ac:dyDescent="0.35">
      <c r="A757" s="89" t="str">
        <f t="shared" si="120"/>
        <v>Closed</v>
      </c>
      <c r="B757" s="222">
        <v>45632</v>
      </c>
      <c r="C757" s="14">
        <v>2409</v>
      </c>
      <c r="D757" s="14" t="s">
        <v>4170</v>
      </c>
      <c r="E757" s="14" t="s">
        <v>27</v>
      </c>
      <c r="F757" s="167" t="s">
        <v>2162</v>
      </c>
      <c r="G757" s="14"/>
      <c r="H757" s="14"/>
      <c r="I757" s="176" t="s">
        <v>5</v>
      </c>
      <c r="J757" s="14">
        <v>439</v>
      </c>
      <c r="K757" s="87"/>
      <c r="L757" s="14" t="s">
        <v>4171</v>
      </c>
      <c r="M757" s="324">
        <f t="shared" si="119"/>
        <v>0</v>
      </c>
      <c r="N757" s="14" t="s">
        <v>1879</v>
      </c>
      <c r="O757" s="14" t="s">
        <v>1879</v>
      </c>
      <c r="P757" s="167" t="s">
        <v>147</v>
      </c>
      <c r="Q757" s="14" t="s">
        <v>177</v>
      </c>
      <c r="R757" s="223" t="s">
        <v>234</v>
      </c>
      <c r="S757" s="224">
        <f t="shared" si="122"/>
        <v>45660</v>
      </c>
      <c r="T757" s="79">
        <v>45697</v>
      </c>
      <c r="U757" s="14" t="s">
        <v>4172</v>
      </c>
      <c r="V757" s="14" t="s">
        <v>4173</v>
      </c>
      <c r="W757" s="14" t="s">
        <v>1879</v>
      </c>
      <c r="X757" s="14" t="s">
        <v>154</v>
      </c>
      <c r="Y757" s="15" t="s">
        <v>2164</v>
      </c>
      <c r="Z757" s="14" t="s">
        <v>4174</v>
      </c>
      <c r="AA757" s="2">
        <f t="shared" ca="1" si="123"/>
        <v>1</v>
      </c>
      <c r="AB757" s="153"/>
      <c r="AC757" s="454" t="str">
        <f t="shared" si="114"/>
        <v/>
      </c>
    </row>
    <row r="758" spans="1:29" ht="43.5" x14ac:dyDescent="0.35">
      <c r="A758" s="111" t="str">
        <f t="shared" si="120"/>
        <v>Closed</v>
      </c>
      <c r="B758" s="222">
        <v>45633</v>
      </c>
      <c r="C758" s="14">
        <v>2409</v>
      </c>
      <c r="D758" s="14" t="s">
        <v>4175</v>
      </c>
      <c r="E758" s="14" t="s">
        <v>192</v>
      </c>
      <c r="F758" s="14" t="s">
        <v>1972</v>
      </c>
      <c r="G758" s="14"/>
      <c r="H758" s="14"/>
      <c r="I758" s="176" t="s">
        <v>140</v>
      </c>
      <c r="J758" s="14">
        <v>62828</v>
      </c>
      <c r="K758" s="87"/>
      <c r="L758" s="14" t="s">
        <v>4176</v>
      </c>
      <c r="M758" s="324">
        <f t="shared" si="119"/>
        <v>0</v>
      </c>
      <c r="N758" s="14" t="s">
        <v>1879</v>
      </c>
      <c r="O758" s="14" t="s">
        <v>1879</v>
      </c>
      <c r="P758" s="167" t="s">
        <v>143</v>
      </c>
      <c r="Q758" s="14"/>
      <c r="R758" s="170">
        <v>0</v>
      </c>
      <c r="S758" s="108">
        <f t="shared" si="122"/>
        <v>45661</v>
      </c>
      <c r="T758" s="79">
        <v>45633</v>
      </c>
      <c r="U758" s="14"/>
      <c r="V758" s="14"/>
      <c r="W758" s="14"/>
      <c r="X758" s="14"/>
      <c r="Z758" s="87"/>
      <c r="AA758" s="2">
        <f t="shared" ca="1" si="123"/>
        <v>1</v>
      </c>
      <c r="AB758" s="153"/>
      <c r="AC758" s="454" t="str">
        <f t="shared" si="114"/>
        <v/>
      </c>
    </row>
    <row r="759" spans="1:29" ht="29" x14ac:dyDescent="0.35">
      <c r="A759" s="111" t="str">
        <f t="shared" si="120"/>
        <v>Closed</v>
      </c>
      <c r="B759" s="222">
        <v>45634</v>
      </c>
      <c r="C759" s="14">
        <v>2410</v>
      </c>
      <c r="D759" s="14" t="s">
        <v>4177</v>
      </c>
      <c r="E759" s="14" t="s">
        <v>192</v>
      </c>
      <c r="F759" s="14" t="s">
        <v>2060</v>
      </c>
      <c r="G759" s="14" t="s">
        <v>1900</v>
      </c>
      <c r="H759" s="14"/>
      <c r="I759" s="176" t="s">
        <v>140</v>
      </c>
      <c r="J759" s="14">
        <v>60</v>
      </c>
      <c r="K759" s="87"/>
      <c r="L759" s="328" t="s">
        <v>4178</v>
      </c>
      <c r="M759" s="324">
        <f t="shared" si="119"/>
        <v>0</v>
      </c>
      <c r="N759" s="14" t="s">
        <v>1879</v>
      </c>
      <c r="O759" s="14" t="s">
        <v>1879</v>
      </c>
      <c r="P759" s="167" t="s">
        <v>143</v>
      </c>
      <c r="Q759" s="14"/>
      <c r="R759" s="170">
        <v>0</v>
      </c>
      <c r="S759" s="108">
        <f t="shared" si="122"/>
        <v>45662</v>
      </c>
      <c r="T759" s="79">
        <v>45634</v>
      </c>
      <c r="U759" s="14"/>
      <c r="V759" s="14"/>
      <c r="W759" s="14"/>
      <c r="X759" s="14"/>
      <c r="Y759" s="466" t="s">
        <v>2062</v>
      </c>
      <c r="Z759" s="14"/>
      <c r="AA759" s="2">
        <f t="shared" ca="1" si="123"/>
        <v>1</v>
      </c>
      <c r="AB759" s="153"/>
      <c r="AC759" s="454" t="str">
        <f t="shared" si="114"/>
        <v/>
      </c>
    </row>
    <row r="760" spans="1:29" ht="58" x14ac:dyDescent="0.35">
      <c r="A760" s="111" t="str">
        <f t="shared" si="120"/>
        <v>Closed</v>
      </c>
      <c r="B760" s="222">
        <v>45635</v>
      </c>
      <c r="C760" s="14">
        <v>2410</v>
      </c>
      <c r="D760" s="14" t="s">
        <v>4179</v>
      </c>
      <c r="E760" s="14" t="s">
        <v>31</v>
      </c>
      <c r="F760" s="14" t="s">
        <v>2962</v>
      </c>
      <c r="G760" s="14" t="s">
        <v>1900</v>
      </c>
      <c r="H760" s="14">
        <v>105</v>
      </c>
      <c r="I760" s="176" t="s">
        <v>2</v>
      </c>
      <c r="K760" s="85" t="s">
        <v>137</v>
      </c>
      <c r="L760" s="14" t="s">
        <v>4180</v>
      </c>
      <c r="M760" s="324">
        <v>2</v>
      </c>
      <c r="N760" s="14" t="s">
        <v>1879</v>
      </c>
      <c r="O760" s="14" t="s">
        <v>1880</v>
      </c>
      <c r="P760" s="167" t="s">
        <v>147</v>
      </c>
      <c r="Q760" s="14" t="s">
        <v>177</v>
      </c>
      <c r="R760" s="170" t="s">
        <v>234</v>
      </c>
      <c r="S760" s="108">
        <f t="shared" si="122"/>
        <v>45663</v>
      </c>
      <c r="T760" s="79">
        <v>45667</v>
      </c>
      <c r="U760" s="14" t="s">
        <v>4181</v>
      </c>
      <c r="V760" s="14" t="s">
        <v>4182</v>
      </c>
      <c r="W760" s="14" t="s">
        <v>1880</v>
      </c>
      <c r="X760" s="14" t="s">
        <v>1883</v>
      </c>
      <c r="Z760" s="14" t="s">
        <v>4183</v>
      </c>
      <c r="AA760" s="2">
        <f t="shared" ca="1" si="123"/>
        <v>1</v>
      </c>
      <c r="AB760" s="153"/>
      <c r="AC760" s="454" t="str">
        <f t="shared" si="114"/>
        <v>1</v>
      </c>
    </row>
    <row r="761" spans="1:29" ht="43.5" x14ac:dyDescent="0.35">
      <c r="A761" s="111" t="str">
        <f t="shared" si="120"/>
        <v>Closed</v>
      </c>
      <c r="B761" s="222">
        <v>45636</v>
      </c>
      <c r="C761" s="14">
        <v>2410</v>
      </c>
      <c r="D761" s="14" t="s">
        <v>4184</v>
      </c>
      <c r="E761" s="14" t="s">
        <v>85</v>
      </c>
      <c r="F761" s="14" t="s">
        <v>2196</v>
      </c>
      <c r="G761" s="14" t="s">
        <v>1900</v>
      </c>
      <c r="H761" s="14">
        <v>123</v>
      </c>
      <c r="I761" s="176" t="s">
        <v>140</v>
      </c>
      <c r="J761" s="14">
        <v>8512745</v>
      </c>
      <c r="K761" s="87"/>
      <c r="L761" s="14" t="s">
        <v>4185</v>
      </c>
      <c r="M761" s="324">
        <f t="shared" ref="M761:M786" si="124">IF(I761="Staff Accident","Entry Required",IF(I761="Assaults","Entry Required",0))</f>
        <v>0</v>
      </c>
      <c r="N761" s="14" t="s">
        <v>1879</v>
      </c>
      <c r="O761" s="14" t="s">
        <v>1879</v>
      </c>
      <c r="P761" s="167" t="s">
        <v>143</v>
      </c>
      <c r="Q761" s="14"/>
      <c r="R761" s="170">
        <v>0</v>
      </c>
      <c r="S761" s="108">
        <f t="shared" si="122"/>
        <v>45664</v>
      </c>
      <c r="T761" s="79">
        <v>45636</v>
      </c>
      <c r="U761" s="14"/>
      <c r="V761" s="14"/>
      <c r="W761" s="14"/>
      <c r="X761" s="14"/>
      <c r="Y761" s="167" t="s">
        <v>2198</v>
      </c>
      <c r="Z761" s="14"/>
      <c r="AA761" s="2">
        <f t="shared" ca="1" si="123"/>
        <v>1</v>
      </c>
      <c r="AB761" s="153"/>
      <c r="AC761" s="454" t="str">
        <f t="shared" si="114"/>
        <v>1</v>
      </c>
    </row>
    <row r="762" spans="1:29" ht="101.5" x14ac:dyDescent="0.35">
      <c r="A762" s="89" t="str">
        <f t="shared" si="120"/>
        <v>Closed</v>
      </c>
      <c r="B762" s="222">
        <v>45637</v>
      </c>
      <c r="C762" s="14">
        <v>2410</v>
      </c>
      <c r="D762" s="14" t="s">
        <v>4186</v>
      </c>
      <c r="E762" s="14" t="s">
        <v>37</v>
      </c>
      <c r="F762" s="167" t="s">
        <v>2162</v>
      </c>
      <c r="G762" s="14" t="s">
        <v>1900</v>
      </c>
      <c r="H762" s="14">
        <v>120</v>
      </c>
      <c r="I762" s="176" t="s">
        <v>5</v>
      </c>
      <c r="K762" s="87"/>
      <c r="L762" s="14" t="s">
        <v>4187</v>
      </c>
      <c r="M762" s="324">
        <f t="shared" si="124"/>
        <v>0</v>
      </c>
      <c r="N762" s="14" t="s">
        <v>1879</v>
      </c>
      <c r="O762" s="14" t="s">
        <v>1880</v>
      </c>
      <c r="P762" s="167" t="s">
        <v>147</v>
      </c>
      <c r="Q762" s="14" t="s">
        <v>174</v>
      </c>
      <c r="R762" s="223" t="s">
        <v>234</v>
      </c>
      <c r="S762" s="224">
        <f t="shared" si="122"/>
        <v>45665</v>
      </c>
      <c r="T762" s="79">
        <v>45902</v>
      </c>
      <c r="U762" s="14" t="s">
        <v>4188</v>
      </c>
      <c r="V762" s="14" t="s">
        <v>4189</v>
      </c>
      <c r="W762" s="14" t="s">
        <v>1879</v>
      </c>
      <c r="X762" s="14" t="s">
        <v>1883</v>
      </c>
      <c r="Y762" s="15" t="s">
        <v>2164</v>
      </c>
      <c r="Z762" s="14" t="s">
        <v>2415</v>
      </c>
      <c r="AA762" s="2">
        <f t="shared" ca="1" si="123"/>
        <v>1</v>
      </c>
      <c r="AB762" s="153"/>
      <c r="AC762" s="454" t="str">
        <f t="shared" si="114"/>
        <v>1</v>
      </c>
    </row>
    <row r="763" spans="1:29" ht="43.5" x14ac:dyDescent="0.35">
      <c r="A763" s="111" t="str">
        <f t="shared" si="120"/>
        <v>Closed</v>
      </c>
      <c r="B763" s="222">
        <v>45637</v>
      </c>
      <c r="C763" s="14">
        <v>2410</v>
      </c>
      <c r="D763" s="14" t="s">
        <v>4190</v>
      </c>
      <c r="E763" s="14" t="s">
        <v>219</v>
      </c>
      <c r="F763" s="14" t="s">
        <v>2119</v>
      </c>
      <c r="G763" s="14" t="s">
        <v>1911</v>
      </c>
      <c r="H763" s="14">
        <v>203</v>
      </c>
      <c r="I763" s="176" t="s">
        <v>140</v>
      </c>
      <c r="J763" s="14">
        <v>85223</v>
      </c>
      <c r="K763" s="87"/>
      <c r="L763" s="14" t="s">
        <v>4191</v>
      </c>
      <c r="M763" s="324">
        <f t="shared" si="124"/>
        <v>0</v>
      </c>
      <c r="N763" s="14" t="s">
        <v>1879</v>
      </c>
      <c r="O763" s="14" t="s">
        <v>1879</v>
      </c>
      <c r="P763" s="167" t="s">
        <v>143</v>
      </c>
      <c r="Q763" s="14"/>
      <c r="R763" s="170">
        <v>0</v>
      </c>
      <c r="S763" s="108">
        <f t="shared" si="122"/>
        <v>45665</v>
      </c>
      <c r="T763" s="79">
        <v>45637</v>
      </c>
      <c r="U763" s="14"/>
      <c r="V763" s="14"/>
      <c r="W763" s="14"/>
      <c r="X763" s="14"/>
      <c r="Y763" s="14" t="s">
        <v>2093</v>
      </c>
      <c r="Z763" s="87"/>
      <c r="AA763" s="2">
        <f t="shared" ca="1" si="123"/>
        <v>1</v>
      </c>
      <c r="AB763" s="153"/>
      <c r="AC763" s="454" t="str">
        <f t="shared" si="114"/>
        <v>2</v>
      </c>
    </row>
    <row r="764" spans="1:29" ht="72.5" x14ac:dyDescent="0.35">
      <c r="A764" s="89" t="str">
        <f t="shared" si="120"/>
        <v>Closed</v>
      </c>
      <c r="B764" s="222">
        <v>45638</v>
      </c>
      <c r="C764" s="14">
        <v>2410</v>
      </c>
      <c r="D764" s="14" t="s">
        <v>1592</v>
      </c>
      <c r="E764" s="14" t="s">
        <v>37</v>
      </c>
      <c r="F764" s="167" t="s">
        <v>2162</v>
      </c>
      <c r="G764" s="14" t="s">
        <v>1900</v>
      </c>
      <c r="H764" s="14">
        <v>203</v>
      </c>
      <c r="I764" s="176" t="s">
        <v>5</v>
      </c>
      <c r="J764" s="14">
        <v>85223</v>
      </c>
      <c r="K764" s="87"/>
      <c r="L764" s="14" t="s">
        <v>4192</v>
      </c>
      <c r="M764" s="324">
        <f t="shared" si="124"/>
        <v>0</v>
      </c>
      <c r="N764" s="14" t="s">
        <v>1879</v>
      </c>
      <c r="O764" s="14"/>
      <c r="P764" s="167" t="s">
        <v>147</v>
      </c>
      <c r="Q764" s="14" t="s">
        <v>168</v>
      </c>
      <c r="R764" s="223" t="s">
        <v>234</v>
      </c>
      <c r="S764" s="224">
        <f t="shared" si="122"/>
        <v>45666</v>
      </c>
      <c r="T764" s="79">
        <v>45902</v>
      </c>
      <c r="U764" s="14" t="s">
        <v>4193</v>
      </c>
      <c r="V764" s="14" t="s">
        <v>4194</v>
      </c>
      <c r="W764" s="14" t="s">
        <v>1879</v>
      </c>
      <c r="X764" s="14" t="s">
        <v>154</v>
      </c>
      <c r="Y764" s="15" t="s">
        <v>2164</v>
      </c>
      <c r="Z764" s="14" t="s">
        <v>4075</v>
      </c>
      <c r="AA764" s="2">
        <f t="shared" ca="1" si="123"/>
        <v>1</v>
      </c>
      <c r="AB764" s="153"/>
      <c r="AC764" s="454" t="str">
        <f t="shared" si="114"/>
        <v>2</v>
      </c>
    </row>
    <row r="765" spans="1:29" ht="43.5" x14ac:dyDescent="0.35">
      <c r="A765" s="89" t="str">
        <f t="shared" si="120"/>
        <v>Closed</v>
      </c>
      <c r="B765" s="222">
        <v>45638</v>
      </c>
      <c r="C765" s="14">
        <v>2410</v>
      </c>
      <c r="D765" s="14" t="s">
        <v>4195</v>
      </c>
      <c r="E765" s="14" t="s">
        <v>78</v>
      </c>
      <c r="F765" s="14" t="s">
        <v>4196</v>
      </c>
      <c r="G765" s="14" t="s">
        <v>1900</v>
      </c>
      <c r="H765" s="14"/>
      <c r="I765" s="176" t="s">
        <v>155</v>
      </c>
      <c r="J765" s="14">
        <v>86735</v>
      </c>
      <c r="K765" s="87"/>
      <c r="L765" s="14" t="s">
        <v>4197</v>
      </c>
      <c r="M765" s="324">
        <f t="shared" si="124"/>
        <v>0</v>
      </c>
      <c r="N765" s="14" t="s">
        <v>1880</v>
      </c>
      <c r="O765" s="14" t="s">
        <v>1880</v>
      </c>
      <c r="P765" s="167" t="s">
        <v>147</v>
      </c>
      <c r="Q765" s="14" t="s">
        <v>175</v>
      </c>
      <c r="R765" s="223" t="s">
        <v>234</v>
      </c>
      <c r="S765" s="224">
        <f t="shared" si="122"/>
        <v>45666</v>
      </c>
      <c r="T765" s="79">
        <v>45639</v>
      </c>
      <c r="U765" s="14" t="s">
        <v>4198</v>
      </c>
      <c r="V765" s="14" t="s">
        <v>4199</v>
      </c>
      <c r="W765" s="14" t="s">
        <v>1880</v>
      </c>
      <c r="X765" s="14" t="s">
        <v>1879</v>
      </c>
      <c r="Z765" s="87" t="s">
        <v>4200</v>
      </c>
      <c r="AA765" s="2">
        <f t="shared" ca="1" si="123"/>
        <v>1</v>
      </c>
      <c r="AB765" s="153"/>
      <c r="AC765" s="454" t="str">
        <f t="shared" si="114"/>
        <v/>
      </c>
    </row>
    <row r="766" spans="1:29" ht="29" x14ac:dyDescent="0.35">
      <c r="A766" s="89" t="str">
        <f t="shared" si="120"/>
        <v>Closed</v>
      </c>
      <c r="B766" s="222">
        <v>45638</v>
      </c>
      <c r="C766" s="14">
        <v>2410</v>
      </c>
      <c r="D766" s="14" t="s">
        <v>4201</v>
      </c>
      <c r="E766" s="14" t="s">
        <v>219</v>
      </c>
      <c r="F766" s="14" t="s">
        <v>1968</v>
      </c>
      <c r="G766" s="14" t="s">
        <v>1911</v>
      </c>
      <c r="H766" s="14">
        <v>110</v>
      </c>
      <c r="I766" s="176" t="s">
        <v>140</v>
      </c>
      <c r="J766" s="14">
        <v>443</v>
      </c>
      <c r="K766" s="87"/>
      <c r="L766" s="14" t="s">
        <v>4202</v>
      </c>
      <c r="M766" s="324">
        <f t="shared" si="124"/>
        <v>0</v>
      </c>
      <c r="N766" s="14" t="s">
        <v>1879</v>
      </c>
      <c r="O766" s="14" t="s">
        <v>2034</v>
      </c>
      <c r="P766" s="167" t="s">
        <v>143</v>
      </c>
      <c r="Q766" s="14"/>
      <c r="R766" s="223">
        <v>0</v>
      </c>
      <c r="S766" s="224">
        <f t="shared" si="122"/>
        <v>45666</v>
      </c>
      <c r="T766" s="79">
        <v>45638</v>
      </c>
      <c r="U766" s="14"/>
      <c r="V766" s="14"/>
      <c r="W766" s="14"/>
      <c r="X766" s="14"/>
      <c r="Y766" s="88" t="s">
        <v>1970</v>
      </c>
      <c r="Z766" s="14"/>
      <c r="AA766" s="2">
        <f t="shared" ca="1" si="123"/>
        <v>1</v>
      </c>
      <c r="AB766" s="153"/>
      <c r="AC766" s="454" t="str">
        <f t="shared" ref="AC766:AC829" si="125">LEFT(H766,1)</f>
        <v>1</v>
      </c>
    </row>
    <row r="767" spans="1:29" ht="72.5" x14ac:dyDescent="0.35">
      <c r="A767" s="89" t="str">
        <f t="shared" si="120"/>
        <v>Closed</v>
      </c>
      <c r="B767" s="222">
        <v>45640</v>
      </c>
      <c r="C767" s="14">
        <v>2410</v>
      </c>
      <c r="D767" s="14" t="s">
        <v>4203</v>
      </c>
      <c r="E767" s="14" t="s">
        <v>196</v>
      </c>
      <c r="F767" s="14" t="s">
        <v>4204</v>
      </c>
      <c r="G767" s="14"/>
      <c r="H767" s="14">
        <v>123</v>
      </c>
      <c r="I767" s="176" t="s">
        <v>155</v>
      </c>
      <c r="K767" s="87"/>
      <c r="L767" s="14" t="s">
        <v>4205</v>
      </c>
      <c r="M767" s="324">
        <f t="shared" si="124"/>
        <v>0</v>
      </c>
      <c r="N767" s="14" t="s">
        <v>1880</v>
      </c>
      <c r="O767" s="14" t="s">
        <v>1880</v>
      </c>
      <c r="P767" s="167" t="s">
        <v>147</v>
      </c>
      <c r="Q767" s="14" t="s">
        <v>177</v>
      </c>
      <c r="R767" s="223" t="s">
        <v>234</v>
      </c>
      <c r="S767" s="224">
        <f t="shared" si="122"/>
        <v>45668</v>
      </c>
      <c r="T767" s="79">
        <v>45773</v>
      </c>
      <c r="U767" s="14" t="s">
        <v>4206</v>
      </c>
      <c r="V767" s="14" t="s">
        <v>4207</v>
      </c>
      <c r="W767" s="14" t="s">
        <v>1880</v>
      </c>
      <c r="X767" s="14" t="s">
        <v>1880</v>
      </c>
      <c r="Z767" s="14" t="s">
        <v>4208</v>
      </c>
      <c r="AA767" s="2">
        <f t="shared" ca="1" si="123"/>
        <v>1</v>
      </c>
      <c r="AB767" s="153"/>
      <c r="AC767" s="454" t="str">
        <f t="shared" si="125"/>
        <v>1</v>
      </c>
    </row>
    <row r="768" spans="1:29" ht="72.5" x14ac:dyDescent="0.35">
      <c r="A768" s="111" t="str">
        <f t="shared" si="120"/>
        <v>Closed</v>
      </c>
      <c r="B768" s="222">
        <v>45641</v>
      </c>
      <c r="C768" s="14">
        <v>2410</v>
      </c>
      <c r="D768" s="14" t="s">
        <v>4209</v>
      </c>
      <c r="E768" s="14" t="s">
        <v>78</v>
      </c>
      <c r="F768" s="14" t="s">
        <v>2060</v>
      </c>
      <c r="G768" s="14" t="s">
        <v>1900</v>
      </c>
      <c r="H768" s="14">
        <v>111</v>
      </c>
      <c r="I768" s="176" t="s">
        <v>155</v>
      </c>
      <c r="J768" s="14">
        <v>62828</v>
      </c>
      <c r="K768" s="87"/>
      <c r="L768" s="14" t="s">
        <v>4210</v>
      </c>
      <c r="M768" s="324">
        <f t="shared" si="124"/>
        <v>0</v>
      </c>
      <c r="N768" s="14" t="s">
        <v>1880</v>
      </c>
      <c r="O768" s="14" t="s">
        <v>1880</v>
      </c>
      <c r="P768" s="167" t="s">
        <v>147</v>
      </c>
      <c r="Q768" s="14" t="s">
        <v>177</v>
      </c>
      <c r="R768" s="170" t="s">
        <v>234</v>
      </c>
      <c r="S768" s="108">
        <f t="shared" si="122"/>
        <v>45669</v>
      </c>
      <c r="T768" s="79">
        <v>45737</v>
      </c>
      <c r="U768" s="14"/>
      <c r="V768" s="14"/>
      <c r="W768" s="14"/>
      <c r="X768" s="14"/>
      <c r="Y768" s="466" t="s">
        <v>2062</v>
      </c>
      <c r="Z768" s="14" t="s">
        <v>4211</v>
      </c>
      <c r="AA768" s="2">
        <f t="shared" ca="1" si="123"/>
        <v>1</v>
      </c>
      <c r="AB768" s="153"/>
      <c r="AC768" s="454" t="str">
        <f t="shared" si="125"/>
        <v>1</v>
      </c>
    </row>
    <row r="769" spans="1:29" ht="87" x14ac:dyDescent="0.35">
      <c r="A769" s="111" t="str">
        <f t="shared" si="120"/>
        <v>Closed</v>
      </c>
      <c r="B769" s="222">
        <v>45642</v>
      </c>
      <c r="C769" s="14">
        <v>2410</v>
      </c>
      <c r="D769" s="14" t="s">
        <v>4212</v>
      </c>
      <c r="E769" s="14" t="s">
        <v>38</v>
      </c>
      <c r="F769" s="14" t="s">
        <v>2426</v>
      </c>
      <c r="G769" s="14"/>
      <c r="H769" s="14">
        <v>102</v>
      </c>
      <c r="I769" s="176" t="s">
        <v>6</v>
      </c>
      <c r="K769" s="87"/>
      <c r="L769" s="14" t="s">
        <v>4213</v>
      </c>
      <c r="M769" s="324">
        <f t="shared" si="124"/>
        <v>0</v>
      </c>
      <c r="N769" s="14" t="s">
        <v>1879</v>
      </c>
      <c r="O769" s="14" t="s">
        <v>2034</v>
      </c>
      <c r="P769" s="167" t="s">
        <v>143</v>
      </c>
      <c r="Q769" s="14"/>
      <c r="R769" s="170">
        <v>0</v>
      </c>
      <c r="S769" s="108">
        <f t="shared" si="122"/>
        <v>45670</v>
      </c>
      <c r="T769" s="79">
        <v>45642</v>
      </c>
      <c r="U769" s="14"/>
      <c r="V769" s="14"/>
      <c r="W769" s="14"/>
      <c r="X769" s="14"/>
      <c r="Y769" s="167" t="s">
        <v>2428</v>
      </c>
      <c r="Z769" s="14"/>
      <c r="AA769" s="2">
        <f t="shared" ca="1" si="123"/>
        <v>1</v>
      </c>
      <c r="AB769" s="153"/>
      <c r="AC769" s="454" t="str">
        <f t="shared" si="125"/>
        <v>1</v>
      </c>
    </row>
    <row r="770" spans="1:29" ht="58" x14ac:dyDescent="0.35">
      <c r="A770" s="89" t="str">
        <f t="shared" si="120"/>
        <v>Closed</v>
      </c>
      <c r="B770" s="222">
        <v>45643</v>
      </c>
      <c r="C770" s="14">
        <v>2410</v>
      </c>
      <c r="D770" s="14" t="s">
        <v>4214</v>
      </c>
      <c r="E770" s="14" t="s">
        <v>27</v>
      </c>
      <c r="F770" s="14" t="s">
        <v>2037</v>
      </c>
      <c r="G770" s="14" t="s">
        <v>1900</v>
      </c>
      <c r="H770" s="14">
        <v>118</v>
      </c>
      <c r="I770" s="176" t="s">
        <v>5</v>
      </c>
      <c r="J770" s="14">
        <v>443</v>
      </c>
      <c r="K770" s="87"/>
      <c r="L770" s="14" t="s">
        <v>4215</v>
      </c>
      <c r="M770" s="324">
        <f t="shared" si="124"/>
        <v>0</v>
      </c>
      <c r="N770" s="14" t="s">
        <v>1879</v>
      </c>
      <c r="O770" s="14" t="s">
        <v>1880</v>
      </c>
      <c r="P770" s="167" t="s">
        <v>147</v>
      </c>
      <c r="Q770" s="14" t="s">
        <v>177</v>
      </c>
      <c r="R770" s="223" t="s">
        <v>234</v>
      </c>
      <c r="S770" s="224">
        <f t="shared" si="122"/>
        <v>45671</v>
      </c>
      <c r="T770" s="79">
        <v>45697</v>
      </c>
      <c r="U770" s="14" t="s">
        <v>4216</v>
      </c>
      <c r="V770" s="14" t="s">
        <v>1934</v>
      </c>
      <c r="W770" s="14" t="s">
        <v>1879</v>
      </c>
      <c r="X770" s="14" t="s">
        <v>1883</v>
      </c>
      <c r="Y770" s="167" t="s">
        <v>2039</v>
      </c>
      <c r="Z770" s="14" t="s">
        <v>4174</v>
      </c>
      <c r="AA770" s="2">
        <f t="shared" ca="1" si="123"/>
        <v>1</v>
      </c>
      <c r="AB770" s="153"/>
      <c r="AC770" s="454" t="str">
        <f t="shared" si="125"/>
        <v>1</v>
      </c>
    </row>
    <row r="771" spans="1:29" ht="43.5" x14ac:dyDescent="0.35">
      <c r="A771" s="89" t="str">
        <f t="shared" si="120"/>
        <v>Closed</v>
      </c>
      <c r="B771" s="222">
        <v>45643</v>
      </c>
      <c r="C771" s="14">
        <v>2410</v>
      </c>
      <c r="D771" s="14" t="s">
        <v>4217</v>
      </c>
      <c r="E771" s="14" t="s">
        <v>31</v>
      </c>
      <c r="F771" s="14" t="s">
        <v>3245</v>
      </c>
      <c r="G771" s="14" t="s">
        <v>1911</v>
      </c>
      <c r="H771" s="14">
        <v>113</v>
      </c>
      <c r="I771" s="176" t="s">
        <v>155</v>
      </c>
      <c r="J771" s="14">
        <v>86735</v>
      </c>
      <c r="K771" s="87"/>
      <c r="L771" s="14" t="s">
        <v>4218</v>
      </c>
      <c r="M771" s="324">
        <f t="shared" si="124"/>
        <v>0</v>
      </c>
      <c r="N771" s="14" t="s">
        <v>1879</v>
      </c>
      <c r="O771" s="14" t="s">
        <v>1880</v>
      </c>
      <c r="P771" s="167" t="s">
        <v>147</v>
      </c>
      <c r="Q771" s="14" t="s">
        <v>175</v>
      </c>
      <c r="R771" s="223" t="s">
        <v>234</v>
      </c>
      <c r="S771" s="224">
        <f t="shared" si="122"/>
        <v>45671</v>
      </c>
      <c r="T771" s="79">
        <v>45655</v>
      </c>
      <c r="U771" s="14" t="s">
        <v>4219</v>
      </c>
      <c r="V771" s="14" t="s">
        <v>4220</v>
      </c>
      <c r="W771" s="14" t="s">
        <v>2034</v>
      </c>
      <c r="X771" s="14" t="s">
        <v>154</v>
      </c>
      <c r="Z771" s="14" t="s">
        <v>3496</v>
      </c>
      <c r="AA771" s="2">
        <f t="shared" ca="1" si="123"/>
        <v>1</v>
      </c>
      <c r="AB771" s="153"/>
      <c r="AC771" s="454" t="str">
        <f t="shared" si="125"/>
        <v>1</v>
      </c>
    </row>
    <row r="772" spans="1:29" ht="29" x14ac:dyDescent="0.35">
      <c r="A772" s="89" t="str">
        <f t="shared" si="120"/>
        <v>Closed</v>
      </c>
      <c r="B772" s="222">
        <v>45643</v>
      </c>
      <c r="C772" s="14">
        <v>2410</v>
      </c>
      <c r="D772" s="14" t="s">
        <v>4221</v>
      </c>
      <c r="E772" s="14" t="s">
        <v>31</v>
      </c>
      <c r="F772" s="14" t="s">
        <v>4049</v>
      </c>
      <c r="G772" s="14" t="s">
        <v>1911</v>
      </c>
      <c r="H772" s="14">
        <v>207</v>
      </c>
      <c r="I772" s="176" t="s">
        <v>140</v>
      </c>
      <c r="K772" s="87"/>
      <c r="L772" s="14" t="s">
        <v>4222</v>
      </c>
      <c r="M772" s="324">
        <f t="shared" si="124"/>
        <v>0</v>
      </c>
      <c r="N772" s="14" t="s">
        <v>1879</v>
      </c>
      <c r="O772" s="14" t="s">
        <v>1880</v>
      </c>
      <c r="P772" s="167" t="s">
        <v>143</v>
      </c>
      <c r="Q772" s="14"/>
      <c r="R772" s="223">
        <v>0</v>
      </c>
      <c r="S772" s="224">
        <f t="shared" si="122"/>
        <v>45671</v>
      </c>
      <c r="T772" s="79">
        <v>45643</v>
      </c>
      <c r="U772" s="14"/>
      <c r="V772" s="14"/>
      <c r="W772" s="14"/>
      <c r="X772" s="14"/>
      <c r="Z772" s="14"/>
      <c r="AA772" s="2">
        <f t="shared" ca="1" si="123"/>
        <v>1</v>
      </c>
      <c r="AB772" s="153"/>
      <c r="AC772" s="454" t="str">
        <f t="shared" si="125"/>
        <v>2</v>
      </c>
    </row>
    <row r="773" spans="1:29" ht="72.5" x14ac:dyDescent="0.35">
      <c r="A773" s="89" t="str">
        <f t="shared" si="120"/>
        <v>Closed</v>
      </c>
      <c r="B773" s="222">
        <v>45646</v>
      </c>
      <c r="C773" s="14">
        <v>2410</v>
      </c>
      <c r="D773" s="14" t="s">
        <v>4223</v>
      </c>
      <c r="E773" s="14" t="s">
        <v>72</v>
      </c>
      <c r="F773" s="14" t="s">
        <v>2533</v>
      </c>
      <c r="G773" s="14" t="s">
        <v>1911</v>
      </c>
      <c r="H773" s="14">
        <v>116</v>
      </c>
      <c r="I773" s="176" t="s">
        <v>140</v>
      </c>
      <c r="K773" s="87"/>
      <c r="L773" s="14" t="s">
        <v>4224</v>
      </c>
      <c r="M773" s="324">
        <f t="shared" si="124"/>
        <v>0</v>
      </c>
      <c r="N773" s="14" t="s">
        <v>1879</v>
      </c>
      <c r="O773" s="14" t="s">
        <v>1879</v>
      </c>
      <c r="P773" s="167" t="s">
        <v>143</v>
      </c>
      <c r="Q773" s="14"/>
      <c r="R773" s="223">
        <v>0</v>
      </c>
      <c r="S773" s="224">
        <f t="shared" si="122"/>
        <v>45674</v>
      </c>
      <c r="T773" s="79">
        <v>45646</v>
      </c>
      <c r="U773" s="14"/>
      <c r="V773" s="14"/>
      <c r="W773" s="14"/>
      <c r="X773" s="14"/>
      <c r="Z773" s="14"/>
      <c r="AA773" s="2">
        <f t="shared" ca="1" si="123"/>
        <v>1</v>
      </c>
      <c r="AB773" s="153"/>
      <c r="AC773" s="454" t="str">
        <f t="shared" si="125"/>
        <v>1</v>
      </c>
    </row>
    <row r="774" spans="1:29" ht="29" x14ac:dyDescent="0.35">
      <c r="A774" s="111" t="str">
        <f t="shared" si="120"/>
        <v>Closed</v>
      </c>
      <c r="B774" s="222">
        <v>45646</v>
      </c>
      <c r="C774" s="14">
        <v>2410</v>
      </c>
      <c r="D774" s="14" t="s">
        <v>4225</v>
      </c>
      <c r="E774" s="14" t="s">
        <v>219</v>
      </c>
      <c r="F774" s="14" t="s">
        <v>2010</v>
      </c>
      <c r="G774" s="30" t="s">
        <v>1911</v>
      </c>
      <c r="H774" s="14"/>
      <c r="I774" s="176" t="s">
        <v>140</v>
      </c>
      <c r="K774" s="87"/>
      <c r="L774" s="14" t="s">
        <v>4226</v>
      </c>
      <c r="M774" s="324">
        <f t="shared" si="124"/>
        <v>0</v>
      </c>
      <c r="N774" s="14" t="s">
        <v>1879</v>
      </c>
      <c r="O774" s="14" t="s">
        <v>1879</v>
      </c>
      <c r="P774" s="167" t="s">
        <v>143</v>
      </c>
      <c r="Q774" s="14"/>
      <c r="R774" s="170">
        <v>0</v>
      </c>
      <c r="S774" s="108">
        <f t="shared" si="122"/>
        <v>45674</v>
      </c>
      <c r="T774" s="79">
        <v>45646</v>
      </c>
      <c r="U774" s="14"/>
      <c r="V774" s="14"/>
      <c r="W774" s="14"/>
      <c r="X774" s="14"/>
      <c r="Y774" s="51" t="s">
        <v>2012</v>
      </c>
      <c r="Z774" s="14"/>
      <c r="AA774" s="2">
        <f t="shared" ca="1" si="123"/>
        <v>1</v>
      </c>
      <c r="AB774" s="153"/>
      <c r="AC774" s="454" t="str">
        <f t="shared" si="125"/>
        <v/>
      </c>
    </row>
    <row r="775" spans="1:29" ht="43.5" x14ac:dyDescent="0.35">
      <c r="A775" s="111" t="str">
        <f t="shared" si="120"/>
        <v>Closed</v>
      </c>
      <c r="B775" s="222">
        <v>45646</v>
      </c>
      <c r="C775" s="14">
        <v>2410</v>
      </c>
      <c r="D775" s="14" t="s">
        <v>4227</v>
      </c>
      <c r="E775" s="14" t="s">
        <v>192</v>
      </c>
      <c r="F775" s="167" t="s">
        <v>2041</v>
      </c>
      <c r="G775" s="14" t="s">
        <v>1900</v>
      </c>
      <c r="H775" s="14"/>
      <c r="I775" s="176" t="s">
        <v>140</v>
      </c>
      <c r="J775" s="14">
        <v>8508846</v>
      </c>
      <c r="K775" s="87"/>
      <c r="L775" s="14" t="s">
        <v>4228</v>
      </c>
      <c r="M775" s="324">
        <f t="shared" si="124"/>
        <v>0</v>
      </c>
      <c r="N775" s="14" t="s">
        <v>1879</v>
      </c>
      <c r="O775" s="14" t="s">
        <v>1879</v>
      </c>
      <c r="P775" s="167" t="s">
        <v>143</v>
      </c>
      <c r="Q775" s="14"/>
      <c r="R775" s="170">
        <v>0</v>
      </c>
      <c r="S775" s="108">
        <f>IF(B776="","",B776+28)</f>
        <v>45674</v>
      </c>
      <c r="T775" s="79">
        <v>45646</v>
      </c>
      <c r="U775" s="14"/>
      <c r="V775" s="14"/>
      <c r="W775" s="14"/>
      <c r="X775" s="14"/>
      <c r="Y775" s="2" t="s">
        <v>3015</v>
      </c>
      <c r="Z775" s="14"/>
      <c r="AA775" s="2">
        <f ca="1">IF(B776="",3,IF(S775&lt;$A$1,1,0))</f>
        <v>1</v>
      </c>
      <c r="AB775" s="153"/>
      <c r="AC775" s="454" t="str">
        <f t="shared" si="125"/>
        <v/>
      </c>
    </row>
    <row r="776" spans="1:29" ht="130.5" x14ac:dyDescent="0.35">
      <c r="A776" s="111" t="str">
        <f t="shared" si="120"/>
        <v>Closed</v>
      </c>
      <c r="B776" s="220">
        <v>45646</v>
      </c>
      <c r="C776" s="14">
        <v>2410</v>
      </c>
      <c r="D776" s="14" t="s">
        <v>4229</v>
      </c>
      <c r="E776" s="14" t="s">
        <v>8</v>
      </c>
      <c r="F776" s="14" t="s">
        <v>2091</v>
      </c>
      <c r="G776" s="14" t="s">
        <v>1911</v>
      </c>
      <c r="H776" s="14">
        <v>111</v>
      </c>
      <c r="I776" s="176" t="s">
        <v>140</v>
      </c>
      <c r="J776" s="14">
        <v>8507246</v>
      </c>
      <c r="K776" s="87"/>
      <c r="L776" s="14" t="s">
        <v>4230</v>
      </c>
      <c r="M776" s="324">
        <f t="shared" si="124"/>
        <v>0</v>
      </c>
      <c r="N776" s="14" t="s">
        <v>1879</v>
      </c>
      <c r="O776" s="14" t="s">
        <v>1879</v>
      </c>
      <c r="P776" s="167" t="s">
        <v>143</v>
      </c>
      <c r="Q776" s="14"/>
      <c r="R776" s="170">
        <v>0</v>
      </c>
      <c r="S776" s="108" t="e">
        <f>IF(#REF!="","",#REF!+28)</f>
        <v>#REF!</v>
      </c>
      <c r="T776" s="79">
        <v>45646</v>
      </c>
      <c r="U776" s="14"/>
      <c r="V776" s="14"/>
      <c r="W776" s="14"/>
      <c r="X776" s="14"/>
      <c r="Y776" s="14" t="s">
        <v>2093</v>
      </c>
      <c r="Z776" s="14"/>
      <c r="AA776" s="2">
        <v>3</v>
      </c>
      <c r="AB776" s="153"/>
      <c r="AC776" s="454" t="str">
        <f t="shared" si="125"/>
        <v>1</v>
      </c>
    </row>
    <row r="777" spans="1:29" ht="101.5" x14ac:dyDescent="0.35">
      <c r="A777" s="111" t="str">
        <f t="shared" si="120"/>
        <v>Closed</v>
      </c>
      <c r="B777" s="222">
        <v>45646</v>
      </c>
      <c r="C777" s="14">
        <v>2410</v>
      </c>
      <c r="D777" s="14" t="s">
        <v>4231</v>
      </c>
      <c r="E777" s="14" t="s">
        <v>8</v>
      </c>
      <c r="F777" s="167" t="s">
        <v>2349</v>
      </c>
      <c r="G777" s="14" t="s">
        <v>1911</v>
      </c>
      <c r="H777" s="14">
        <v>115</v>
      </c>
      <c r="I777" s="176" t="s">
        <v>140</v>
      </c>
      <c r="J777" s="14">
        <v>254</v>
      </c>
      <c r="K777" s="87"/>
      <c r="L777" s="14" t="s">
        <v>4232</v>
      </c>
      <c r="M777" s="324">
        <f t="shared" si="124"/>
        <v>0</v>
      </c>
      <c r="N777" s="14" t="s">
        <v>1879</v>
      </c>
      <c r="O777" s="14" t="s">
        <v>1879</v>
      </c>
      <c r="P777" s="167" t="s">
        <v>143</v>
      </c>
      <c r="Q777" s="14"/>
      <c r="R777" s="170">
        <v>0</v>
      </c>
      <c r="S777" s="108">
        <f t="shared" ref="S777:S808" si="126">IF(B777="","",B777+28)</f>
        <v>45674</v>
      </c>
      <c r="T777" s="79">
        <v>45646</v>
      </c>
      <c r="U777" s="14"/>
      <c r="V777" s="14"/>
      <c r="W777" s="14"/>
      <c r="X777" s="14"/>
      <c r="Y777" s="85" t="s">
        <v>2351</v>
      </c>
      <c r="Z777" s="14"/>
      <c r="AA777" s="2">
        <f t="shared" ref="AA777:AA808" ca="1" si="127">IF(B777="",3,IF(S777&lt;$A$1,1,0))</f>
        <v>1</v>
      </c>
      <c r="AB777" s="153"/>
      <c r="AC777" s="454" t="str">
        <f t="shared" si="125"/>
        <v>1</v>
      </c>
    </row>
    <row r="778" spans="1:29" ht="43.5" x14ac:dyDescent="0.35">
      <c r="A778" s="111" t="str">
        <f t="shared" si="120"/>
        <v>Closed</v>
      </c>
      <c r="B778" s="222">
        <v>45646</v>
      </c>
      <c r="C778" s="14">
        <v>2410</v>
      </c>
      <c r="D778" s="14" t="s">
        <v>4233</v>
      </c>
      <c r="E778" s="14" t="s">
        <v>8</v>
      </c>
      <c r="F778" s="14" t="s">
        <v>2080</v>
      </c>
      <c r="G778" s="14" t="s">
        <v>1911</v>
      </c>
      <c r="H778" s="14">
        <v>119</v>
      </c>
      <c r="I778" s="176" t="s">
        <v>140</v>
      </c>
      <c r="K778" s="87"/>
      <c r="L778" s="14" t="s">
        <v>4234</v>
      </c>
      <c r="M778" s="324">
        <f t="shared" si="124"/>
        <v>0</v>
      </c>
      <c r="N778" s="14" t="s">
        <v>1879</v>
      </c>
      <c r="O778" s="14" t="s">
        <v>1879</v>
      </c>
      <c r="P778" s="167" t="s">
        <v>143</v>
      </c>
      <c r="Q778" s="14"/>
      <c r="R778" s="170">
        <v>0</v>
      </c>
      <c r="S778" s="108">
        <f t="shared" si="126"/>
        <v>45674</v>
      </c>
      <c r="T778" s="79">
        <v>45646</v>
      </c>
      <c r="U778" s="14"/>
      <c r="V778" s="14"/>
      <c r="W778" s="14"/>
      <c r="X778" s="14"/>
      <c r="Y778" s="14" t="s">
        <v>2084</v>
      </c>
      <c r="Z778" s="14"/>
      <c r="AA778" s="2">
        <f t="shared" ca="1" si="127"/>
        <v>1</v>
      </c>
      <c r="AB778" s="153"/>
      <c r="AC778" s="454" t="str">
        <f t="shared" si="125"/>
        <v>1</v>
      </c>
    </row>
    <row r="779" spans="1:29" ht="58" x14ac:dyDescent="0.35">
      <c r="A779" s="111" t="str">
        <f t="shared" si="120"/>
        <v>Closed</v>
      </c>
      <c r="B779" s="222">
        <v>45646</v>
      </c>
      <c r="C779" s="14">
        <v>2410</v>
      </c>
      <c r="D779" s="14" t="s">
        <v>4235</v>
      </c>
      <c r="E779" s="14" t="s">
        <v>1997</v>
      </c>
      <c r="F779" s="14" t="s">
        <v>1910</v>
      </c>
      <c r="G779" s="14" t="s">
        <v>1900</v>
      </c>
      <c r="H779" s="14">
        <v>203</v>
      </c>
      <c r="I779" s="176" t="s">
        <v>140</v>
      </c>
      <c r="K779" s="87"/>
      <c r="L779" s="14" t="s">
        <v>4236</v>
      </c>
      <c r="M779" s="324">
        <f t="shared" si="124"/>
        <v>0</v>
      </c>
      <c r="N779" s="14" t="s">
        <v>1879</v>
      </c>
      <c r="O779" s="14" t="s">
        <v>1880</v>
      </c>
      <c r="P779" s="167" t="s">
        <v>143</v>
      </c>
      <c r="Q779" s="14"/>
      <c r="R779" s="170">
        <v>0</v>
      </c>
      <c r="S779" s="108">
        <f t="shared" si="126"/>
        <v>45674</v>
      </c>
      <c r="T779" s="79">
        <v>45646</v>
      </c>
      <c r="U779" s="14"/>
      <c r="V779" s="14"/>
      <c r="W779" s="14"/>
      <c r="X779" s="14"/>
      <c r="Y779" s="15" t="s">
        <v>1915</v>
      </c>
      <c r="Z779" s="14"/>
      <c r="AA779" s="2">
        <f t="shared" ca="1" si="127"/>
        <v>1</v>
      </c>
      <c r="AB779" s="153"/>
      <c r="AC779" s="454" t="str">
        <f t="shared" si="125"/>
        <v>2</v>
      </c>
    </row>
    <row r="780" spans="1:29" ht="43.5" x14ac:dyDescent="0.35">
      <c r="A780" s="111" t="str">
        <f t="shared" si="120"/>
        <v>Closed</v>
      </c>
      <c r="B780" s="222">
        <v>45647</v>
      </c>
      <c r="C780" s="14">
        <v>2410</v>
      </c>
      <c r="D780" s="14" t="s">
        <v>4237</v>
      </c>
      <c r="E780" s="14" t="s">
        <v>8</v>
      </c>
      <c r="F780" s="14" t="s">
        <v>2080</v>
      </c>
      <c r="G780" s="14" t="s">
        <v>1900</v>
      </c>
      <c r="H780" s="14">
        <v>108</v>
      </c>
      <c r="I780" s="176" t="s">
        <v>140</v>
      </c>
      <c r="J780" s="14">
        <v>254</v>
      </c>
      <c r="K780" s="87"/>
      <c r="L780" s="14" t="s">
        <v>4238</v>
      </c>
      <c r="M780" s="324">
        <f t="shared" si="124"/>
        <v>0</v>
      </c>
      <c r="N780" s="14" t="s">
        <v>1879</v>
      </c>
      <c r="O780" s="14" t="s">
        <v>1879</v>
      </c>
      <c r="P780" s="167" t="s">
        <v>143</v>
      </c>
      <c r="Q780" s="14"/>
      <c r="R780" s="170">
        <v>0</v>
      </c>
      <c r="S780" s="108">
        <f t="shared" si="126"/>
        <v>45675</v>
      </c>
      <c r="T780" s="79">
        <v>45647</v>
      </c>
      <c r="U780" s="14"/>
      <c r="V780" s="14"/>
      <c r="W780" s="14"/>
      <c r="X780" s="176"/>
      <c r="Y780" s="14" t="s">
        <v>2084</v>
      </c>
      <c r="Z780" s="87"/>
      <c r="AA780" s="2">
        <f t="shared" ca="1" si="127"/>
        <v>1</v>
      </c>
      <c r="AB780" s="153"/>
      <c r="AC780" s="454" t="str">
        <f t="shared" si="125"/>
        <v>1</v>
      </c>
    </row>
    <row r="781" spans="1:29" ht="72.5" x14ac:dyDescent="0.35">
      <c r="A781" s="89" t="str">
        <f t="shared" si="120"/>
        <v>Closed</v>
      </c>
      <c r="B781" s="222">
        <v>45647</v>
      </c>
      <c r="C781" s="14">
        <v>2410</v>
      </c>
      <c r="D781" s="14" t="s">
        <v>1596</v>
      </c>
      <c r="E781" s="14" t="s">
        <v>27</v>
      </c>
      <c r="F781" s="14" t="s">
        <v>2048</v>
      </c>
      <c r="G781" s="14" t="s">
        <v>1900</v>
      </c>
      <c r="H781" s="14">
        <v>104</v>
      </c>
      <c r="I781" s="176" t="s">
        <v>5</v>
      </c>
      <c r="J781" s="14">
        <v>1385</v>
      </c>
      <c r="K781" s="87"/>
      <c r="L781" s="14" t="s">
        <v>4239</v>
      </c>
      <c r="M781" s="324">
        <f t="shared" si="124"/>
        <v>0</v>
      </c>
      <c r="N781" s="14" t="s">
        <v>1879</v>
      </c>
      <c r="O781" s="14" t="s">
        <v>1880</v>
      </c>
      <c r="P781" s="167" t="s">
        <v>147</v>
      </c>
      <c r="Q781" s="14" t="s">
        <v>153</v>
      </c>
      <c r="R781" s="223" t="s">
        <v>234</v>
      </c>
      <c r="S781" s="224">
        <f t="shared" si="126"/>
        <v>45675</v>
      </c>
      <c r="T781" s="79">
        <v>45294</v>
      </c>
      <c r="U781" s="14" t="s">
        <v>4240</v>
      </c>
      <c r="V781" s="14" t="s">
        <v>4241</v>
      </c>
      <c r="W781" s="14" t="s">
        <v>1879</v>
      </c>
      <c r="X781" s="14" t="s">
        <v>1880</v>
      </c>
      <c r="Y781" s="167" t="s">
        <v>2050</v>
      </c>
      <c r="Z781" s="14" t="s">
        <v>4242</v>
      </c>
      <c r="AA781" s="2">
        <f t="shared" ca="1" si="127"/>
        <v>1</v>
      </c>
      <c r="AB781" s="153"/>
      <c r="AC781" s="454" t="str">
        <f t="shared" si="125"/>
        <v>1</v>
      </c>
    </row>
    <row r="782" spans="1:29" ht="29" x14ac:dyDescent="0.35">
      <c r="A782" s="111" t="str">
        <f t="shared" si="120"/>
        <v>Closed</v>
      </c>
      <c r="B782" s="222">
        <v>45648</v>
      </c>
      <c r="C782" s="14">
        <v>2410</v>
      </c>
      <c r="D782" s="14" t="s">
        <v>4243</v>
      </c>
      <c r="E782" s="14" t="s">
        <v>8</v>
      </c>
      <c r="F782" s="14" t="s">
        <v>2255</v>
      </c>
      <c r="G782" s="14" t="s">
        <v>1911</v>
      </c>
      <c r="H782" s="14">
        <v>120</v>
      </c>
      <c r="I782" s="176" t="s">
        <v>140</v>
      </c>
      <c r="K782" s="87"/>
      <c r="L782" s="14" t="s">
        <v>4244</v>
      </c>
      <c r="M782" s="324">
        <f t="shared" si="124"/>
        <v>0</v>
      </c>
      <c r="N782" s="14" t="s">
        <v>1879</v>
      </c>
      <c r="O782" s="14" t="s">
        <v>1879</v>
      </c>
      <c r="P782" s="167" t="s">
        <v>143</v>
      </c>
      <c r="Q782" s="14"/>
      <c r="R782" s="170">
        <v>0</v>
      </c>
      <c r="S782" s="108">
        <f t="shared" si="126"/>
        <v>45676</v>
      </c>
      <c r="T782" s="79">
        <v>45648</v>
      </c>
      <c r="U782" s="14"/>
      <c r="V782" s="14"/>
      <c r="W782" s="14"/>
      <c r="X782" s="14"/>
      <c r="Y782" s="14" t="s">
        <v>2259</v>
      </c>
      <c r="Z782" s="14"/>
      <c r="AA782" s="2">
        <f t="shared" ca="1" si="127"/>
        <v>1</v>
      </c>
      <c r="AB782" s="153"/>
      <c r="AC782" s="454" t="str">
        <f t="shared" si="125"/>
        <v>1</v>
      </c>
    </row>
    <row r="783" spans="1:29" ht="72.5" x14ac:dyDescent="0.35">
      <c r="A783" s="111" t="str">
        <f t="shared" si="120"/>
        <v>Closed</v>
      </c>
      <c r="B783" s="222">
        <v>45648</v>
      </c>
      <c r="C783" s="14">
        <v>2410</v>
      </c>
      <c r="D783" s="14" t="s">
        <v>4245</v>
      </c>
      <c r="E783" s="14" t="s">
        <v>27</v>
      </c>
      <c r="F783" s="14" t="s">
        <v>2064</v>
      </c>
      <c r="G783" s="14" t="s">
        <v>1911</v>
      </c>
      <c r="H783" s="14">
        <v>116</v>
      </c>
      <c r="I783" s="176" t="s">
        <v>140</v>
      </c>
      <c r="J783" s="14">
        <v>1365</v>
      </c>
      <c r="K783" s="87"/>
      <c r="L783" s="14" t="s">
        <v>4246</v>
      </c>
      <c r="M783" s="324">
        <f t="shared" si="124"/>
        <v>0</v>
      </c>
      <c r="N783" s="14" t="s">
        <v>1879</v>
      </c>
      <c r="O783" s="14" t="s">
        <v>1879</v>
      </c>
      <c r="P783" s="167" t="s">
        <v>143</v>
      </c>
      <c r="Q783" s="14" t="s">
        <v>175</v>
      </c>
      <c r="R783" s="170">
        <v>0</v>
      </c>
      <c r="S783" s="108">
        <f t="shared" si="126"/>
        <v>45676</v>
      </c>
      <c r="T783" s="79">
        <v>45648</v>
      </c>
      <c r="U783" s="14"/>
      <c r="V783" s="14"/>
      <c r="W783" s="14"/>
      <c r="X783" s="14"/>
      <c r="Y783" s="15" t="s">
        <v>2068</v>
      </c>
      <c r="Z783" s="14" t="s">
        <v>4247</v>
      </c>
      <c r="AA783" s="2">
        <f t="shared" ca="1" si="127"/>
        <v>1</v>
      </c>
      <c r="AB783" s="153"/>
      <c r="AC783" s="454" t="str">
        <f t="shared" si="125"/>
        <v>1</v>
      </c>
    </row>
    <row r="784" spans="1:29" ht="43.5" x14ac:dyDescent="0.35">
      <c r="A784" s="111" t="str">
        <f t="shared" si="120"/>
        <v>Closed</v>
      </c>
      <c r="B784" s="222">
        <v>45648</v>
      </c>
      <c r="C784" s="14">
        <v>2410</v>
      </c>
      <c r="D784" s="14" t="s">
        <v>4248</v>
      </c>
      <c r="E784" s="14" t="s">
        <v>206</v>
      </c>
      <c r="F784" s="14" t="s">
        <v>1985</v>
      </c>
      <c r="G784" s="14" t="s">
        <v>1900</v>
      </c>
      <c r="H784" s="14">
        <v>115</v>
      </c>
      <c r="I784" s="176" t="s">
        <v>140</v>
      </c>
      <c r="J784" s="14">
        <v>87</v>
      </c>
      <c r="K784" s="87"/>
      <c r="L784" s="14" t="s">
        <v>4249</v>
      </c>
      <c r="M784" s="324">
        <f t="shared" si="124"/>
        <v>0</v>
      </c>
      <c r="N784" s="14" t="s">
        <v>1879</v>
      </c>
      <c r="O784" s="14" t="s">
        <v>1879</v>
      </c>
      <c r="P784" s="167" t="s">
        <v>143</v>
      </c>
      <c r="Q784" s="14"/>
      <c r="R784" s="170">
        <v>0</v>
      </c>
      <c r="S784" s="108">
        <f t="shared" si="126"/>
        <v>45676</v>
      </c>
      <c r="T784" s="79">
        <v>45648</v>
      </c>
      <c r="U784" s="14"/>
      <c r="V784" s="14"/>
      <c r="W784" s="14"/>
      <c r="X784" s="14"/>
      <c r="Y784" s="14" t="s">
        <v>1989</v>
      </c>
      <c r="Z784" s="14"/>
      <c r="AA784" s="2">
        <f t="shared" ca="1" si="127"/>
        <v>1</v>
      </c>
      <c r="AB784" s="153"/>
      <c r="AC784" s="454" t="str">
        <f t="shared" si="125"/>
        <v>1</v>
      </c>
    </row>
    <row r="785" spans="1:29" ht="145" x14ac:dyDescent="0.35">
      <c r="A785" s="111" t="str">
        <f t="shared" si="120"/>
        <v>Closed</v>
      </c>
      <c r="B785" s="222">
        <v>45648</v>
      </c>
      <c r="C785" s="14">
        <v>2410</v>
      </c>
      <c r="D785" s="14" t="s">
        <v>4250</v>
      </c>
      <c r="E785" s="14" t="s">
        <v>41</v>
      </c>
      <c r="F785" s="14" t="s">
        <v>2130</v>
      </c>
      <c r="G785" s="14" t="s">
        <v>1911</v>
      </c>
      <c r="H785" s="14">
        <v>117</v>
      </c>
      <c r="I785" s="176" t="s">
        <v>140</v>
      </c>
      <c r="J785" s="14">
        <v>86735</v>
      </c>
      <c r="K785" s="87"/>
      <c r="L785" s="14" t="s">
        <v>4251</v>
      </c>
      <c r="M785" s="324">
        <f t="shared" si="124"/>
        <v>0</v>
      </c>
      <c r="N785" s="14" t="s">
        <v>1879</v>
      </c>
      <c r="O785" s="14" t="s">
        <v>1880</v>
      </c>
      <c r="P785" s="167" t="s">
        <v>143</v>
      </c>
      <c r="Q785" s="14"/>
      <c r="R785" s="170">
        <v>0</v>
      </c>
      <c r="S785" s="108">
        <f t="shared" si="126"/>
        <v>45676</v>
      </c>
      <c r="T785" s="79">
        <v>45648</v>
      </c>
      <c r="U785" s="14"/>
      <c r="V785" s="14"/>
      <c r="W785" s="14"/>
      <c r="X785" s="14"/>
      <c r="Y785" s="15" t="s">
        <v>2134</v>
      </c>
      <c r="Z785" s="14"/>
      <c r="AA785" s="2">
        <f t="shared" ca="1" si="127"/>
        <v>1</v>
      </c>
      <c r="AB785" s="153"/>
      <c r="AC785" s="454" t="str">
        <f t="shared" si="125"/>
        <v>1</v>
      </c>
    </row>
    <row r="786" spans="1:29" ht="159.5" x14ac:dyDescent="0.35">
      <c r="A786" s="89" t="str">
        <f t="shared" si="120"/>
        <v>Closed</v>
      </c>
      <c r="B786" s="222">
        <v>45644</v>
      </c>
      <c r="C786" s="14">
        <v>2410</v>
      </c>
      <c r="D786" s="14" t="s">
        <v>4252</v>
      </c>
      <c r="E786" s="14" t="s">
        <v>192</v>
      </c>
      <c r="F786" s="14" t="s">
        <v>1972</v>
      </c>
      <c r="G786" s="14"/>
      <c r="H786" s="14"/>
      <c r="I786" s="176" t="s">
        <v>155</v>
      </c>
      <c r="K786" s="87"/>
      <c r="L786" s="14" t="s">
        <v>4253</v>
      </c>
      <c r="M786" s="324">
        <f t="shared" si="124"/>
        <v>0</v>
      </c>
      <c r="N786" s="14" t="s">
        <v>1879</v>
      </c>
      <c r="O786" s="14" t="s">
        <v>1880</v>
      </c>
      <c r="P786" s="167" t="s">
        <v>147</v>
      </c>
      <c r="Q786" s="14" t="s">
        <v>171</v>
      </c>
      <c r="R786" s="223">
        <f>IF(I786="Staff Accident","Entry Required",IF(I786="Assaults","Entry Required",0))</f>
        <v>0</v>
      </c>
      <c r="S786" s="224">
        <f t="shared" si="126"/>
        <v>45672</v>
      </c>
      <c r="T786" s="79">
        <v>45902</v>
      </c>
      <c r="U786" s="14"/>
      <c r="V786" s="14"/>
      <c r="W786" s="14"/>
      <c r="X786" s="14"/>
      <c r="Z786" s="14" t="s">
        <v>4254</v>
      </c>
      <c r="AA786" s="2">
        <f t="shared" ca="1" si="127"/>
        <v>1</v>
      </c>
      <c r="AB786" s="153"/>
      <c r="AC786" s="454" t="str">
        <f t="shared" si="125"/>
        <v/>
      </c>
    </row>
    <row r="787" spans="1:29" ht="58" x14ac:dyDescent="0.35">
      <c r="A787" s="89" t="str">
        <f t="shared" si="120"/>
        <v>Closed</v>
      </c>
      <c r="B787" s="222">
        <v>45650</v>
      </c>
      <c r="C787" s="14">
        <v>2410</v>
      </c>
      <c r="D787" s="14" t="s">
        <v>1599</v>
      </c>
      <c r="E787" s="14" t="s">
        <v>41</v>
      </c>
      <c r="F787" s="14" t="s">
        <v>2091</v>
      </c>
      <c r="G787" s="14" t="s">
        <v>1900</v>
      </c>
      <c r="H787" s="14">
        <v>102</v>
      </c>
      <c r="I787" s="176" t="s">
        <v>4</v>
      </c>
      <c r="K787" s="14" t="s">
        <v>137</v>
      </c>
      <c r="L787" s="14" t="s">
        <v>4255</v>
      </c>
      <c r="M787" s="324">
        <v>0</v>
      </c>
      <c r="N787" s="14" t="s">
        <v>1879</v>
      </c>
      <c r="O787" s="14" t="s">
        <v>1880</v>
      </c>
      <c r="P787" s="167" t="s">
        <v>139</v>
      </c>
      <c r="Q787" s="14" t="s">
        <v>138</v>
      </c>
      <c r="R787" s="223" t="s">
        <v>234</v>
      </c>
      <c r="S787" s="224">
        <f t="shared" si="126"/>
        <v>45678</v>
      </c>
      <c r="T787" s="14" t="s">
        <v>4256</v>
      </c>
      <c r="U787" s="14" t="s">
        <v>4257</v>
      </c>
      <c r="V787" s="14" t="s">
        <v>4258</v>
      </c>
      <c r="W787" s="14" t="s">
        <v>1879</v>
      </c>
      <c r="X787" s="14" t="s">
        <v>1880</v>
      </c>
      <c r="Y787" s="14" t="s">
        <v>2093</v>
      </c>
      <c r="Z787" s="14" t="s">
        <v>4259</v>
      </c>
      <c r="AA787" s="2">
        <f t="shared" ca="1" si="127"/>
        <v>1</v>
      </c>
      <c r="AB787" s="153"/>
      <c r="AC787" s="454" t="str">
        <f t="shared" si="125"/>
        <v>1</v>
      </c>
    </row>
    <row r="788" spans="1:29" ht="43.5" x14ac:dyDescent="0.35">
      <c r="A788" s="89" t="str">
        <f t="shared" si="120"/>
        <v>Closed</v>
      </c>
      <c r="B788" s="222">
        <v>45650</v>
      </c>
      <c r="C788" s="14">
        <v>2410</v>
      </c>
      <c r="D788" s="14" t="s">
        <v>4260</v>
      </c>
      <c r="E788" s="14" t="s">
        <v>192</v>
      </c>
      <c r="F788" s="14" t="s">
        <v>1968</v>
      </c>
      <c r="G788" s="14"/>
      <c r="H788" s="14">
        <v>205</v>
      </c>
      <c r="I788" s="176" t="s">
        <v>140</v>
      </c>
      <c r="K788" s="87"/>
      <c r="L788" s="14" t="s">
        <v>4261</v>
      </c>
      <c r="M788" s="324">
        <f>IF(I788="Staff Accident","Entry Required",IF(I788="Assaults","Entry Required",0))</f>
        <v>0</v>
      </c>
      <c r="N788" s="14" t="s">
        <v>1879</v>
      </c>
      <c r="O788" s="14" t="s">
        <v>1879</v>
      </c>
      <c r="P788" s="167" t="s">
        <v>143</v>
      </c>
      <c r="Q788" s="14"/>
      <c r="R788" s="223">
        <v>0</v>
      </c>
      <c r="S788" s="224">
        <f t="shared" si="126"/>
        <v>45678</v>
      </c>
      <c r="T788" s="79">
        <v>45650</v>
      </c>
      <c r="U788" s="14"/>
      <c r="V788" s="14"/>
      <c r="W788" s="14"/>
      <c r="X788" s="14"/>
      <c r="Y788" s="85" t="s">
        <v>1970</v>
      </c>
      <c r="Z788" s="14"/>
      <c r="AA788" s="2">
        <f t="shared" ca="1" si="127"/>
        <v>1</v>
      </c>
      <c r="AB788" s="153"/>
      <c r="AC788" s="454" t="str">
        <f t="shared" si="125"/>
        <v>2</v>
      </c>
    </row>
    <row r="789" spans="1:29" ht="29" x14ac:dyDescent="0.35">
      <c r="A789" s="89" t="str">
        <f t="shared" si="120"/>
        <v>Closed</v>
      </c>
      <c r="B789" s="222">
        <v>45652</v>
      </c>
      <c r="C789" s="14">
        <v>2410</v>
      </c>
      <c r="D789" s="14" t="s">
        <v>1602</v>
      </c>
      <c r="E789" s="14" t="s">
        <v>38</v>
      </c>
      <c r="F789" s="14" t="s">
        <v>1925</v>
      </c>
      <c r="G789" s="14"/>
      <c r="H789" s="14"/>
      <c r="I789" s="176" t="s">
        <v>2</v>
      </c>
      <c r="K789" s="85" t="s">
        <v>137</v>
      </c>
      <c r="L789" s="14" t="s">
        <v>4262</v>
      </c>
      <c r="M789" s="324">
        <v>0</v>
      </c>
      <c r="N789" s="14" t="s">
        <v>1879</v>
      </c>
      <c r="O789" s="14" t="s">
        <v>1880</v>
      </c>
      <c r="P789" s="167" t="s">
        <v>136</v>
      </c>
      <c r="Q789" s="14" t="s">
        <v>135</v>
      </c>
      <c r="R789" s="223" t="s">
        <v>234</v>
      </c>
      <c r="S789" s="224">
        <f t="shared" si="126"/>
        <v>45680</v>
      </c>
      <c r="T789" s="79">
        <v>45681</v>
      </c>
      <c r="U789" s="14" t="s">
        <v>4263</v>
      </c>
      <c r="V789" s="14" t="s">
        <v>4264</v>
      </c>
      <c r="W789" s="14" t="s">
        <v>1880</v>
      </c>
      <c r="X789" s="14" t="s">
        <v>1880</v>
      </c>
      <c r="Y789" s="167" t="s">
        <v>1929</v>
      </c>
      <c r="Z789" s="14" t="s">
        <v>4265</v>
      </c>
      <c r="AA789" s="2">
        <f t="shared" ca="1" si="127"/>
        <v>1</v>
      </c>
      <c r="AB789" s="153"/>
      <c r="AC789" s="454" t="str">
        <f t="shared" si="125"/>
        <v/>
      </c>
    </row>
    <row r="790" spans="1:29" ht="43.5" x14ac:dyDescent="0.35">
      <c r="A790" s="89" t="str">
        <f t="shared" si="120"/>
        <v>Closed</v>
      </c>
      <c r="B790" s="222">
        <v>45653</v>
      </c>
      <c r="C790" s="14">
        <v>2410</v>
      </c>
      <c r="D790" s="14" t="s">
        <v>4266</v>
      </c>
      <c r="E790" s="14" t="s">
        <v>27</v>
      </c>
      <c r="F790" s="14" t="s">
        <v>2003</v>
      </c>
      <c r="G790" s="14" t="s">
        <v>1911</v>
      </c>
      <c r="H790" s="14">
        <v>106</v>
      </c>
      <c r="I790" s="176" t="s">
        <v>5</v>
      </c>
      <c r="K790" s="87"/>
      <c r="L790" s="14" t="s">
        <v>4267</v>
      </c>
      <c r="M790" s="324">
        <f t="shared" ref="M790:M795" si="128">IF(I790="Staff Accident","Entry Required",IF(I790="Assaults","Entry Required",0))</f>
        <v>0</v>
      </c>
      <c r="N790" s="14" t="s">
        <v>1879</v>
      </c>
      <c r="O790" s="14" t="s">
        <v>1879</v>
      </c>
      <c r="P790" s="167" t="s">
        <v>147</v>
      </c>
      <c r="Q790" s="14" t="s">
        <v>177</v>
      </c>
      <c r="R790" s="223" t="s">
        <v>234</v>
      </c>
      <c r="S790" s="224">
        <f t="shared" si="126"/>
        <v>45681</v>
      </c>
      <c r="T790" s="79">
        <v>45739</v>
      </c>
      <c r="U790" s="14" t="s">
        <v>4268</v>
      </c>
      <c r="V790" s="14" t="s">
        <v>1934</v>
      </c>
      <c r="W790" s="14" t="s">
        <v>1879</v>
      </c>
      <c r="X790" s="14" t="s">
        <v>1883</v>
      </c>
      <c r="Y790" s="14" t="s">
        <v>2504</v>
      </c>
      <c r="Z790" s="14" t="s">
        <v>4174</v>
      </c>
      <c r="AA790" s="2">
        <f t="shared" ca="1" si="127"/>
        <v>1</v>
      </c>
      <c r="AB790" s="153"/>
      <c r="AC790" s="454" t="str">
        <f t="shared" si="125"/>
        <v>1</v>
      </c>
    </row>
    <row r="791" spans="1:29" ht="72.5" x14ac:dyDescent="0.35">
      <c r="A791" s="111" t="str">
        <f t="shared" si="120"/>
        <v>Closed</v>
      </c>
      <c r="B791" s="222">
        <v>45653</v>
      </c>
      <c r="C791" s="14">
        <v>2410</v>
      </c>
      <c r="D791" s="14" t="s">
        <v>4269</v>
      </c>
      <c r="E791" s="14" t="s">
        <v>8</v>
      </c>
      <c r="F791" s="14" t="s">
        <v>1925</v>
      </c>
      <c r="G791" s="14" t="s">
        <v>1900</v>
      </c>
      <c r="H791" s="14"/>
      <c r="I791" s="176" t="s">
        <v>140</v>
      </c>
      <c r="K791" s="87"/>
      <c r="L791" s="14" t="s">
        <v>4270</v>
      </c>
      <c r="M791" s="324">
        <f t="shared" si="128"/>
        <v>0</v>
      </c>
      <c r="N791" s="14" t="s">
        <v>1879</v>
      </c>
      <c r="O791" s="14" t="s">
        <v>1879</v>
      </c>
      <c r="P791" s="167" t="s">
        <v>143</v>
      </c>
      <c r="Q791" s="14"/>
      <c r="R791" s="170">
        <v>0</v>
      </c>
      <c r="S791" s="108">
        <f t="shared" si="126"/>
        <v>45681</v>
      </c>
      <c r="T791" s="79">
        <v>45653</v>
      </c>
      <c r="U791" s="14"/>
      <c r="V791" s="14"/>
      <c r="W791" s="14"/>
      <c r="X791" s="14"/>
      <c r="Y791" s="167" t="s">
        <v>1929</v>
      </c>
      <c r="Z791" s="14"/>
      <c r="AA791" s="2">
        <f t="shared" ca="1" si="127"/>
        <v>1</v>
      </c>
      <c r="AB791" s="153"/>
      <c r="AC791" s="454" t="str">
        <f t="shared" si="125"/>
        <v/>
      </c>
    </row>
    <row r="792" spans="1:29" ht="43.5" x14ac:dyDescent="0.35">
      <c r="A792" s="89" t="str">
        <f t="shared" si="120"/>
        <v>Closed</v>
      </c>
      <c r="B792" s="222">
        <v>45653</v>
      </c>
      <c r="C792" s="14">
        <v>2410</v>
      </c>
      <c r="D792" s="14" t="s">
        <v>4271</v>
      </c>
      <c r="E792" s="14" t="s">
        <v>31</v>
      </c>
      <c r="F792" s="14" t="s">
        <v>2056</v>
      </c>
      <c r="G792" s="30" t="s">
        <v>1900</v>
      </c>
      <c r="H792" s="14">
        <v>115</v>
      </c>
      <c r="I792" s="176" t="s">
        <v>155</v>
      </c>
      <c r="K792" s="87"/>
      <c r="L792" s="14" t="s">
        <v>4272</v>
      </c>
      <c r="M792" s="324">
        <f t="shared" si="128"/>
        <v>0</v>
      </c>
      <c r="N792" s="14" t="s">
        <v>1879</v>
      </c>
      <c r="O792" s="14" t="s">
        <v>2034</v>
      </c>
      <c r="P792" s="167" t="s">
        <v>147</v>
      </c>
      <c r="Q792" s="14" t="s">
        <v>174</v>
      </c>
      <c r="R792" s="223" t="s">
        <v>234</v>
      </c>
      <c r="S792" s="224">
        <f t="shared" si="126"/>
        <v>45681</v>
      </c>
      <c r="T792" s="79">
        <v>45737</v>
      </c>
      <c r="U792" s="14" t="s">
        <v>4273</v>
      </c>
      <c r="V792" s="14" t="s">
        <v>4274</v>
      </c>
      <c r="W792" s="14" t="s">
        <v>1879</v>
      </c>
      <c r="X792" s="14" t="s">
        <v>1883</v>
      </c>
      <c r="Y792" s="167" t="s">
        <v>2058</v>
      </c>
      <c r="Z792" s="14" t="s">
        <v>2415</v>
      </c>
      <c r="AA792" s="2">
        <f t="shared" ca="1" si="127"/>
        <v>1</v>
      </c>
      <c r="AB792" s="153"/>
      <c r="AC792" s="454" t="str">
        <f t="shared" si="125"/>
        <v>1</v>
      </c>
    </row>
    <row r="793" spans="1:29" ht="72.5" x14ac:dyDescent="0.35">
      <c r="A793" s="111" t="str">
        <f t="shared" si="120"/>
        <v>Closed</v>
      </c>
      <c r="B793" s="222">
        <v>45654</v>
      </c>
      <c r="C793" s="14">
        <v>2410</v>
      </c>
      <c r="D793" s="14" t="s">
        <v>4275</v>
      </c>
      <c r="E793" s="14" t="s">
        <v>192</v>
      </c>
      <c r="F793" s="14" t="s">
        <v>1954</v>
      </c>
      <c r="G793" s="14"/>
      <c r="H793" s="14"/>
      <c r="I793" s="176" t="s">
        <v>140</v>
      </c>
      <c r="K793" s="87"/>
      <c r="L793" s="14" t="s">
        <v>4276</v>
      </c>
      <c r="M793" s="324">
        <f t="shared" si="128"/>
        <v>0</v>
      </c>
      <c r="N793" s="14" t="s">
        <v>1879</v>
      </c>
      <c r="O793" s="14" t="s">
        <v>1879</v>
      </c>
      <c r="P793" s="167" t="s">
        <v>143</v>
      </c>
      <c r="Q793" s="14"/>
      <c r="R793" s="170">
        <v>0</v>
      </c>
      <c r="S793" s="108">
        <f t="shared" si="126"/>
        <v>45682</v>
      </c>
      <c r="T793" s="79">
        <v>45654</v>
      </c>
      <c r="U793" s="14"/>
      <c r="V793" s="14"/>
      <c r="W793" s="14"/>
      <c r="X793" s="14"/>
      <c r="Y793" s="14" t="s">
        <v>1956</v>
      </c>
      <c r="Z793" s="14"/>
      <c r="AA793" s="2">
        <f t="shared" ca="1" si="127"/>
        <v>1</v>
      </c>
      <c r="AB793" s="153"/>
      <c r="AC793" s="454" t="str">
        <f t="shared" si="125"/>
        <v/>
      </c>
    </row>
    <row r="794" spans="1:29" ht="43.5" x14ac:dyDescent="0.35">
      <c r="A794" s="111" t="str">
        <f t="shared" si="120"/>
        <v>Closed</v>
      </c>
      <c r="B794" s="222">
        <v>45654</v>
      </c>
      <c r="C794" s="14">
        <v>2410</v>
      </c>
      <c r="D794" s="14" t="s">
        <v>4277</v>
      </c>
      <c r="E794" s="14" t="s">
        <v>31</v>
      </c>
      <c r="F794" s="14" t="s">
        <v>4278</v>
      </c>
      <c r="G794" s="14" t="s">
        <v>1900</v>
      </c>
      <c r="H794" s="14">
        <v>102</v>
      </c>
      <c r="I794" s="176" t="s">
        <v>140</v>
      </c>
      <c r="K794" s="87"/>
      <c r="L794" s="14" t="s">
        <v>4279</v>
      </c>
      <c r="M794" s="324">
        <f t="shared" si="128"/>
        <v>0</v>
      </c>
      <c r="N794" s="14" t="s">
        <v>1879</v>
      </c>
      <c r="O794" s="14"/>
      <c r="P794" s="167" t="s">
        <v>143</v>
      </c>
      <c r="Q794" s="14"/>
      <c r="R794" s="170">
        <v>0</v>
      </c>
      <c r="S794" s="108">
        <f t="shared" si="126"/>
        <v>45682</v>
      </c>
      <c r="T794" s="79">
        <v>45654</v>
      </c>
      <c r="U794" s="14"/>
      <c r="V794" s="14"/>
      <c r="W794" s="14"/>
      <c r="X794" s="14"/>
      <c r="Z794" s="14"/>
      <c r="AA794" s="2">
        <f t="shared" ca="1" si="127"/>
        <v>1</v>
      </c>
      <c r="AB794" s="153"/>
      <c r="AC794" s="454" t="str">
        <f t="shared" si="125"/>
        <v>1</v>
      </c>
    </row>
    <row r="795" spans="1:29" x14ac:dyDescent="0.35">
      <c r="A795" s="111" t="str">
        <f t="shared" si="120"/>
        <v>Closed</v>
      </c>
      <c r="B795" s="222">
        <v>45655</v>
      </c>
      <c r="C795" s="14">
        <v>2410</v>
      </c>
      <c r="D795" s="14" t="s">
        <v>4280</v>
      </c>
      <c r="E795" s="14" t="s">
        <v>219</v>
      </c>
      <c r="F795" s="14" t="s">
        <v>1921</v>
      </c>
      <c r="G795" s="14" t="s">
        <v>1911</v>
      </c>
      <c r="H795" s="14"/>
      <c r="I795" s="176" t="s">
        <v>140</v>
      </c>
      <c r="K795" s="87"/>
      <c r="L795" s="14" t="s">
        <v>4281</v>
      </c>
      <c r="M795" s="324">
        <f t="shared" si="128"/>
        <v>0</v>
      </c>
      <c r="N795" s="14" t="s">
        <v>1879</v>
      </c>
      <c r="O795" s="14" t="s">
        <v>1879</v>
      </c>
      <c r="P795" s="167" t="s">
        <v>143</v>
      </c>
      <c r="Q795" s="14"/>
      <c r="R795" s="170">
        <v>0</v>
      </c>
      <c r="S795" s="108">
        <f t="shared" si="126"/>
        <v>45683</v>
      </c>
      <c r="T795" s="79">
        <v>45655</v>
      </c>
      <c r="U795" s="14"/>
      <c r="V795" s="14"/>
      <c r="W795" s="14"/>
      <c r="X795" s="14"/>
      <c r="Y795" s="14" t="s">
        <v>1923</v>
      </c>
      <c r="Z795" s="14"/>
      <c r="AA795" s="2">
        <f t="shared" ca="1" si="127"/>
        <v>1</v>
      </c>
      <c r="AB795" s="153"/>
      <c r="AC795" s="454" t="str">
        <f t="shared" si="125"/>
        <v/>
      </c>
    </row>
    <row r="796" spans="1:29" ht="159.5" x14ac:dyDescent="0.35">
      <c r="A796" s="89" t="str">
        <f t="shared" si="120"/>
        <v>Closed</v>
      </c>
      <c r="B796" s="222">
        <v>45650</v>
      </c>
      <c r="C796" s="14">
        <v>2410</v>
      </c>
      <c r="D796" s="14" t="s">
        <v>4282</v>
      </c>
      <c r="E796" s="14" t="s">
        <v>38</v>
      </c>
      <c r="F796" s="14" t="s">
        <v>1972</v>
      </c>
      <c r="G796" s="14"/>
      <c r="H796" s="14"/>
      <c r="I796" s="176" t="s">
        <v>2</v>
      </c>
      <c r="K796" s="85" t="s">
        <v>137</v>
      </c>
      <c r="L796" s="14" t="s">
        <v>4283</v>
      </c>
      <c r="M796" s="324">
        <v>0</v>
      </c>
      <c r="N796" s="14" t="s">
        <v>1879</v>
      </c>
      <c r="O796" s="14" t="s">
        <v>1880</v>
      </c>
      <c r="P796" s="167" t="s">
        <v>136</v>
      </c>
      <c r="Q796" s="14" t="s">
        <v>153</v>
      </c>
      <c r="R796" s="223" t="s">
        <v>234</v>
      </c>
      <c r="S796" s="224">
        <f t="shared" si="126"/>
        <v>45678</v>
      </c>
      <c r="T796" s="79">
        <v>45684</v>
      </c>
      <c r="U796" s="14"/>
      <c r="V796" s="14"/>
      <c r="W796" s="14"/>
      <c r="X796" s="14"/>
      <c r="Z796" s="14" t="s">
        <v>4284</v>
      </c>
      <c r="AA796" s="2">
        <f t="shared" ca="1" si="127"/>
        <v>1</v>
      </c>
      <c r="AB796" s="153"/>
      <c r="AC796" s="454" t="str">
        <f t="shared" si="125"/>
        <v/>
      </c>
    </row>
    <row r="797" spans="1:29" ht="43.5" x14ac:dyDescent="0.35">
      <c r="A797" s="111" t="str">
        <f t="shared" si="120"/>
        <v>Closed</v>
      </c>
      <c r="B797" s="222">
        <v>45656</v>
      </c>
      <c r="C797" s="14">
        <v>2410</v>
      </c>
      <c r="D797" s="14" t="s">
        <v>4285</v>
      </c>
      <c r="E797" s="14" t="s">
        <v>8</v>
      </c>
      <c r="F797" s="14" t="s">
        <v>1925</v>
      </c>
      <c r="G797" s="14" t="s">
        <v>1900</v>
      </c>
      <c r="H797" s="14"/>
      <c r="I797" s="176" t="s">
        <v>140</v>
      </c>
      <c r="K797" s="87"/>
      <c r="L797" s="14" t="s">
        <v>4286</v>
      </c>
      <c r="M797" s="324">
        <f>IF(I797="Staff Accident","Entry Required",IF(I797="Assaults","Entry Required",0))</f>
        <v>0</v>
      </c>
      <c r="N797" s="14" t="s">
        <v>1879</v>
      </c>
      <c r="O797" s="14" t="s">
        <v>1879</v>
      </c>
      <c r="P797" s="167" t="s">
        <v>143</v>
      </c>
      <c r="Q797" s="14"/>
      <c r="R797" s="170">
        <v>0</v>
      </c>
      <c r="S797" s="108">
        <f t="shared" si="126"/>
        <v>45684</v>
      </c>
      <c r="T797" s="79">
        <v>45656</v>
      </c>
      <c r="U797" s="14"/>
      <c r="V797" s="14"/>
      <c r="W797" s="14"/>
      <c r="X797" s="14"/>
      <c r="Y797" s="167" t="s">
        <v>1929</v>
      </c>
      <c r="Z797" s="14"/>
      <c r="AA797" s="2">
        <f t="shared" ca="1" si="127"/>
        <v>1</v>
      </c>
      <c r="AB797" s="153"/>
      <c r="AC797" s="454" t="str">
        <f t="shared" si="125"/>
        <v/>
      </c>
    </row>
    <row r="798" spans="1:29" ht="43.5" x14ac:dyDescent="0.35">
      <c r="A798" s="89" t="str">
        <f t="shared" si="120"/>
        <v>Closed</v>
      </c>
      <c r="B798" s="222">
        <v>45657</v>
      </c>
      <c r="C798" s="14">
        <v>2201</v>
      </c>
      <c r="D798" s="14" t="s">
        <v>4287</v>
      </c>
      <c r="E798" s="14" t="s">
        <v>27</v>
      </c>
      <c r="F798" s="167" t="s">
        <v>2432</v>
      </c>
      <c r="G798" s="14" t="s">
        <v>1911</v>
      </c>
      <c r="H798" s="14">
        <v>120</v>
      </c>
      <c r="I798" s="176" t="s">
        <v>140</v>
      </c>
      <c r="K798" s="87"/>
      <c r="L798" s="14" t="s">
        <v>4288</v>
      </c>
      <c r="M798" s="324">
        <f>IF(I798="Staff Accident","Entry Required",IF(I798="Assaults","Entry Required",0))</f>
        <v>0</v>
      </c>
      <c r="N798" s="14" t="s">
        <v>1879</v>
      </c>
      <c r="O798" s="14" t="s">
        <v>1879</v>
      </c>
      <c r="P798" s="167" t="s">
        <v>143</v>
      </c>
      <c r="Q798" s="14"/>
      <c r="R798" s="223">
        <v>0</v>
      </c>
      <c r="S798" s="224">
        <f t="shared" si="126"/>
        <v>45685</v>
      </c>
      <c r="T798" s="79">
        <v>45657</v>
      </c>
      <c r="U798" s="14"/>
      <c r="V798" s="14"/>
      <c r="W798" s="14"/>
      <c r="X798" s="14"/>
      <c r="Y798" s="2" t="s">
        <v>2436</v>
      </c>
      <c r="Z798" s="14"/>
      <c r="AA798" s="2">
        <f t="shared" ca="1" si="127"/>
        <v>1</v>
      </c>
      <c r="AB798" s="153"/>
      <c r="AC798" s="454" t="str">
        <f t="shared" si="125"/>
        <v>1</v>
      </c>
    </row>
    <row r="799" spans="1:29" ht="43.5" x14ac:dyDescent="0.35">
      <c r="A799" s="89" t="str">
        <f t="shared" si="120"/>
        <v>Closed</v>
      </c>
      <c r="B799" s="222">
        <v>45658</v>
      </c>
      <c r="C799" s="14">
        <v>2410</v>
      </c>
      <c r="D799" s="14" t="s">
        <v>4289</v>
      </c>
      <c r="E799" s="14" t="s">
        <v>192</v>
      </c>
      <c r="F799" s="14" t="s">
        <v>2289</v>
      </c>
      <c r="G799" s="14" t="s">
        <v>1911</v>
      </c>
      <c r="H799" s="14"/>
      <c r="I799" s="176" t="s">
        <v>140</v>
      </c>
      <c r="K799" s="87"/>
      <c r="L799" s="14" t="s">
        <v>4290</v>
      </c>
      <c r="M799" s="324">
        <f>IF(I799="Staff Accident","Entry Required",IF(I799="Assaults","Entry Required",0))</f>
        <v>0</v>
      </c>
      <c r="N799" s="14" t="s">
        <v>1879</v>
      </c>
      <c r="O799" s="14" t="s">
        <v>1879</v>
      </c>
      <c r="P799" s="167" t="s">
        <v>143</v>
      </c>
      <c r="Q799" s="14"/>
      <c r="R799" s="223">
        <v>0</v>
      </c>
      <c r="S799" s="224">
        <f t="shared" si="126"/>
        <v>45686</v>
      </c>
      <c r="T799" s="79">
        <v>45658</v>
      </c>
      <c r="U799" s="14"/>
      <c r="V799" s="14"/>
      <c r="W799" s="14"/>
      <c r="X799" s="14"/>
      <c r="Y799" s="15" t="s">
        <v>1915</v>
      </c>
      <c r="Z799" s="14"/>
      <c r="AA799" s="2">
        <f t="shared" ca="1" si="127"/>
        <v>1</v>
      </c>
      <c r="AB799" s="153"/>
      <c r="AC799" s="454" t="str">
        <f t="shared" si="125"/>
        <v/>
      </c>
    </row>
    <row r="800" spans="1:29" ht="58" x14ac:dyDescent="0.35">
      <c r="A800" s="89" t="str">
        <f t="shared" si="120"/>
        <v>Closed</v>
      </c>
      <c r="B800" s="222">
        <v>45658</v>
      </c>
      <c r="C800" s="14">
        <v>2410</v>
      </c>
      <c r="D800" s="14" t="s">
        <v>4291</v>
      </c>
      <c r="E800" s="14" t="s">
        <v>38</v>
      </c>
      <c r="F800" s="14" t="s">
        <v>2119</v>
      </c>
      <c r="G800" s="14" t="s">
        <v>1911</v>
      </c>
      <c r="H800" s="14">
        <v>203</v>
      </c>
      <c r="I800" s="176" t="s">
        <v>5</v>
      </c>
      <c r="J800" s="14">
        <v>88415</v>
      </c>
      <c r="K800" s="87" t="s">
        <v>137</v>
      </c>
      <c r="L800" s="14" t="s">
        <v>4292</v>
      </c>
      <c r="M800" s="324">
        <f>IF(I800="Staff Accident","Entry Required",IF(I800="Assaults","Entry Required",0))</f>
        <v>0</v>
      </c>
      <c r="N800" s="14" t="s">
        <v>1879</v>
      </c>
      <c r="O800" s="14" t="s">
        <v>1880</v>
      </c>
      <c r="P800" s="167" t="s">
        <v>136</v>
      </c>
      <c r="Q800" s="14" t="s">
        <v>138</v>
      </c>
      <c r="R800" s="223" t="s">
        <v>234</v>
      </c>
      <c r="S800" s="224">
        <f t="shared" si="126"/>
        <v>45686</v>
      </c>
      <c r="T800" s="79">
        <v>45902</v>
      </c>
      <c r="U800" s="14" t="s">
        <v>4293</v>
      </c>
      <c r="V800" s="14" t="s">
        <v>4294</v>
      </c>
      <c r="W800" s="14" t="s">
        <v>1879</v>
      </c>
      <c r="X800" s="14" t="s">
        <v>154</v>
      </c>
      <c r="Y800" s="14" t="s">
        <v>2093</v>
      </c>
      <c r="Z800" s="14" t="s">
        <v>4295</v>
      </c>
      <c r="AA800" s="2">
        <f t="shared" ca="1" si="127"/>
        <v>1</v>
      </c>
      <c r="AB800" s="153"/>
      <c r="AC800" s="454" t="str">
        <f t="shared" si="125"/>
        <v>2</v>
      </c>
    </row>
    <row r="801" spans="1:29" ht="43.5" x14ac:dyDescent="0.35">
      <c r="A801" s="89" t="str">
        <f t="shared" si="120"/>
        <v>Closed</v>
      </c>
      <c r="B801" s="222">
        <v>45659</v>
      </c>
      <c r="C801" s="14">
        <v>2410</v>
      </c>
      <c r="D801" s="14" t="s">
        <v>4296</v>
      </c>
      <c r="E801" s="14" t="s">
        <v>8</v>
      </c>
      <c r="F801" s="14" t="s">
        <v>1925</v>
      </c>
      <c r="G801" s="14" t="s">
        <v>1900</v>
      </c>
      <c r="H801" s="14"/>
      <c r="I801" s="176" t="s">
        <v>140</v>
      </c>
      <c r="K801" s="87"/>
      <c r="L801" s="14" t="s">
        <v>4297</v>
      </c>
      <c r="M801" s="324">
        <f>IF(I801="Staff Accident","Entry Required",IF(I801="Assaults","Entry Required",0))</f>
        <v>0</v>
      </c>
      <c r="N801" s="14" t="s">
        <v>1879</v>
      </c>
      <c r="O801" s="14" t="s">
        <v>1879</v>
      </c>
      <c r="P801" s="167" t="s">
        <v>143</v>
      </c>
      <c r="Q801" s="14"/>
      <c r="R801" s="223">
        <f>IF(I801="Staff Accident","Entry Required",IF(I801="Assaults","Entry Required",0))</f>
        <v>0</v>
      </c>
      <c r="S801" s="224">
        <f t="shared" si="126"/>
        <v>45687</v>
      </c>
      <c r="T801" s="79">
        <v>45659</v>
      </c>
      <c r="U801" s="14"/>
      <c r="V801" s="14"/>
      <c r="W801" s="14"/>
      <c r="X801" s="14"/>
      <c r="Y801" s="167" t="s">
        <v>1929</v>
      </c>
      <c r="Z801" s="14"/>
      <c r="AA801" s="2">
        <f t="shared" ca="1" si="127"/>
        <v>1</v>
      </c>
      <c r="AB801" s="153"/>
      <c r="AC801" s="454" t="str">
        <f t="shared" si="125"/>
        <v/>
      </c>
    </row>
    <row r="802" spans="1:29" ht="58" x14ac:dyDescent="0.35">
      <c r="A802" s="89" t="str">
        <f t="shared" si="120"/>
        <v>Closed</v>
      </c>
      <c r="B802" s="222">
        <v>45659</v>
      </c>
      <c r="C802" s="14">
        <v>2410</v>
      </c>
      <c r="D802" s="14" t="s">
        <v>1423</v>
      </c>
      <c r="E802" s="14" t="s">
        <v>40</v>
      </c>
      <c r="F802" s="14" t="s">
        <v>2056</v>
      </c>
      <c r="G802" s="14" t="s">
        <v>1900</v>
      </c>
      <c r="H802" s="14">
        <v>108</v>
      </c>
      <c r="I802" s="176" t="s">
        <v>4</v>
      </c>
      <c r="K802" s="14" t="s">
        <v>137</v>
      </c>
      <c r="L802" s="14" t="s">
        <v>4298</v>
      </c>
      <c r="M802" s="324">
        <v>0</v>
      </c>
      <c r="N802" s="14" t="s">
        <v>1879</v>
      </c>
      <c r="O802" s="14" t="s">
        <v>1880</v>
      </c>
      <c r="P802" s="167" t="s">
        <v>139</v>
      </c>
      <c r="Q802" s="14" t="s">
        <v>177</v>
      </c>
      <c r="R802" s="223" t="s">
        <v>234</v>
      </c>
      <c r="S802" s="224">
        <f t="shared" si="126"/>
        <v>45687</v>
      </c>
      <c r="T802" s="79">
        <v>45902</v>
      </c>
      <c r="U802" s="14" t="s">
        <v>4299</v>
      </c>
      <c r="V802" s="14" t="s">
        <v>4300</v>
      </c>
      <c r="W802" s="14" t="s">
        <v>1879</v>
      </c>
      <c r="X802" s="14" t="s">
        <v>1880</v>
      </c>
      <c r="Y802" s="167" t="s">
        <v>2058</v>
      </c>
      <c r="Z802" s="14" t="s">
        <v>4301</v>
      </c>
      <c r="AA802" s="2">
        <f t="shared" ca="1" si="127"/>
        <v>1</v>
      </c>
      <c r="AB802" s="153"/>
      <c r="AC802" s="454" t="str">
        <f t="shared" si="125"/>
        <v>1</v>
      </c>
    </row>
    <row r="803" spans="1:29" ht="130.5" x14ac:dyDescent="0.35">
      <c r="A803" s="89" t="str">
        <f t="shared" ref="A803:A866" si="129">IF(T803&gt;1,"Closed",IF(AA803=1,"Overdue",IF(AA803=3,"","Open")))</f>
        <v>Closed</v>
      </c>
      <c r="B803" s="222">
        <v>45660</v>
      </c>
      <c r="C803" s="14">
        <v>2410</v>
      </c>
      <c r="D803" s="14" t="s">
        <v>1426</v>
      </c>
      <c r="E803" s="14" t="s">
        <v>37</v>
      </c>
      <c r="F803" s="14" t="s">
        <v>1910</v>
      </c>
      <c r="G803" s="14" t="s">
        <v>1911</v>
      </c>
      <c r="H803" s="14">
        <v>111</v>
      </c>
      <c r="I803" s="176" t="s">
        <v>5</v>
      </c>
      <c r="K803" s="87"/>
      <c r="L803" s="328" t="s">
        <v>4302</v>
      </c>
      <c r="M803" s="324">
        <f>IF(I803="Staff Accident","Entry Required",IF(I803="Assaults","Entry Required",0))</f>
        <v>0</v>
      </c>
      <c r="N803" s="14" t="s">
        <v>1879</v>
      </c>
      <c r="O803" s="14" t="s">
        <v>1879</v>
      </c>
      <c r="P803" s="167" t="s">
        <v>147</v>
      </c>
      <c r="Q803" s="14" t="s">
        <v>177</v>
      </c>
      <c r="R803" s="223" t="s">
        <v>234</v>
      </c>
      <c r="S803" s="224">
        <f t="shared" si="126"/>
        <v>45688</v>
      </c>
      <c r="T803" s="79">
        <v>45902</v>
      </c>
      <c r="U803" s="14" t="s">
        <v>4303</v>
      </c>
      <c r="V803" s="14" t="s">
        <v>4304</v>
      </c>
      <c r="W803" s="14" t="s">
        <v>1879</v>
      </c>
      <c r="X803" s="14" t="s">
        <v>1880</v>
      </c>
      <c r="Y803" s="15" t="s">
        <v>1915</v>
      </c>
      <c r="Z803" s="14" t="s">
        <v>4305</v>
      </c>
      <c r="AA803" s="2">
        <f t="shared" ca="1" si="127"/>
        <v>1</v>
      </c>
      <c r="AB803" s="153"/>
      <c r="AC803" s="454" t="str">
        <f t="shared" si="125"/>
        <v>1</v>
      </c>
    </row>
    <row r="804" spans="1:29" ht="116" x14ac:dyDescent="0.35">
      <c r="A804" s="111" t="str">
        <f t="shared" si="129"/>
        <v>Closed</v>
      </c>
      <c r="B804" s="222">
        <v>45661</v>
      </c>
      <c r="C804" s="14">
        <v>2410</v>
      </c>
      <c r="D804" s="14" t="s">
        <v>4306</v>
      </c>
      <c r="E804" s="14" t="s">
        <v>192</v>
      </c>
      <c r="F804" s="14" t="s">
        <v>2073</v>
      </c>
      <c r="G804" s="14" t="s">
        <v>1911</v>
      </c>
      <c r="H804" s="14">
        <v>119</v>
      </c>
      <c r="I804" s="176" t="s">
        <v>140</v>
      </c>
      <c r="K804" s="87"/>
      <c r="L804" s="328" t="s">
        <v>4307</v>
      </c>
      <c r="M804" s="324">
        <f>IF(I804="Staff Accident","Entry Required",IF(I804="Assaults","Entry Required",0))</f>
        <v>0</v>
      </c>
      <c r="N804" s="14" t="s">
        <v>1879</v>
      </c>
      <c r="O804" s="14" t="s">
        <v>1879</v>
      </c>
      <c r="P804" s="167" t="s">
        <v>143</v>
      </c>
      <c r="Q804" s="14"/>
      <c r="R804" s="170">
        <v>0</v>
      </c>
      <c r="S804" s="108">
        <f t="shared" si="126"/>
        <v>45689</v>
      </c>
      <c r="T804" s="79">
        <v>45661</v>
      </c>
      <c r="U804" s="14"/>
      <c r="V804" s="14"/>
      <c r="W804" s="14"/>
      <c r="X804" s="176"/>
      <c r="Y804" s="15" t="s">
        <v>2075</v>
      </c>
      <c r="Z804" s="87"/>
      <c r="AA804" s="2">
        <f t="shared" ca="1" si="127"/>
        <v>1</v>
      </c>
      <c r="AB804" s="153"/>
      <c r="AC804" s="454" t="str">
        <f t="shared" si="125"/>
        <v>1</v>
      </c>
    </row>
    <row r="805" spans="1:29" ht="145" x14ac:dyDescent="0.35">
      <c r="A805" s="89" t="str">
        <f t="shared" si="129"/>
        <v>Closed</v>
      </c>
      <c r="B805" s="222">
        <v>45661</v>
      </c>
      <c r="C805" s="14">
        <v>2410</v>
      </c>
      <c r="D805" s="14" t="s">
        <v>4308</v>
      </c>
      <c r="E805" s="14" t="s">
        <v>27</v>
      </c>
      <c r="F805" s="14" t="s">
        <v>2196</v>
      </c>
      <c r="G805" s="14" t="s">
        <v>1911</v>
      </c>
      <c r="H805" s="14">
        <v>113</v>
      </c>
      <c r="I805" s="176" t="s">
        <v>5</v>
      </c>
      <c r="J805" s="14">
        <v>716</v>
      </c>
      <c r="K805" s="87"/>
      <c r="L805" s="14" t="s">
        <v>4309</v>
      </c>
      <c r="M805" s="324">
        <f>IF(I805="Staff Accident","Entry Required",IF(I805="Assaults","Entry Required",0))</f>
        <v>0</v>
      </c>
      <c r="N805" s="14" t="s">
        <v>1880</v>
      </c>
      <c r="O805" s="14" t="s">
        <v>1880</v>
      </c>
      <c r="P805" s="167" t="s">
        <v>147</v>
      </c>
      <c r="Q805" s="14" t="s">
        <v>174</v>
      </c>
      <c r="R805" s="223" t="s">
        <v>234</v>
      </c>
      <c r="S805" s="224">
        <f t="shared" si="126"/>
        <v>45689</v>
      </c>
      <c r="T805" s="79">
        <v>45782</v>
      </c>
      <c r="U805" s="14" t="s">
        <v>2493</v>
      </c>
      <c r="V805" s="14" t="s">
        <v>4310</v>
      </c>
      <c r="W805" s="14" t="s">
        <v>1879</v>
      </c>
      <c r="X805" s="14" t="s">
        <v>1883</v>
      </c>
      <c r="Y805" s="14" t="s">
        <v>2224</v>
      </c>
      <c r="Z805" s="14"/>
      <c r="AA805" s="2">
        <f t="shared" ca="1" si="127"/>
        <v>1</v>
      </c>
      <c r="AB805" s="153"/>
      <c r="AC805" s="454" t="str">
        <f t="shared" si="125"/>
        <v>1</v>
      </c>
    </row>
    <row r="806" spans="1:29" ht="72.5" x14ac:dyDescent="0.35">
      <c r="A806" s="89" t="str">
        <f t="shared" si="129"/>
        <v>Closed</v>
      </c>
      <c r="B806" s="222">
        <v>45662</v>
      </c>
      <c r="C806" s="14">
        <v>2411</v>
      </c>
      <c r="D806" s="14" t="s">
        <v>1605</v>
      </c>
      <c r="E806" s="14" t="s">
        <v>80</v>
      </c>
      <c r="F806" s="14" t="s">
        <v>4311</v>
      </c>
      <c r="G806" s="14"/>
      <c r="H806" s="14">
        <v>123</v>
      </c>
      <c r="I806" s="176" t="s">
        <v>155</v>
      </c>
      <c r="J806" s="14">
        <v>74928</v>
      </c>
      <c r="K806" s="87"/>
      <c r="L806" s="14" t="s">
        <v>4312</v>
      </c>
      <c r="M806" s="324">
        <f>IF(I806="Staff Accident","Entry Required",IF(I806="Assaults","Entry Required",0))</f>
        <v>0</v>
      </c>
      <c r="N806" s="14" t="s">
        <v>1879</v>
      </c>
      <c r="O806" s="14" t="s">
        <v>1880</v>
      </c>
      <c r="P806" s="167" t="s">
        <v>151</v>
      </c>
      <c r="Q806" s="14" t="s">
        <v>177</v>
      </c>
      <c r="R806" s="223" t="s">
        <v>234</v>
      </c>
      <c r="S806" s="224">
        <f t="shared" si="126"/>
        <v>45690</v>
      </c>
      <c r="T806" s="79">
        <v>45731</v>
      </c>
      <c r="U806" s="14" t="s">
        <v>4313</v>
      </c>
      <c r="V806" s="14" t="s">
        <v>4314</v>
      </c>
      <c r="W806" s="14" t="s">
        <v>1880</v>
      </c>
      <c r="X806" s="14" t="s">
        <v>1880</v>
      </c>
      <c r="Z806" s="14"/>
      <c r="AA806" s="2">
        <f t="shared" ca="1" si="127"/>
        <v>1</v>
      </c>
      <c r="AB806" s="153"/>
      <c r="AC806" s="454" t="str">
        <f t="shared" si="125"/>
        <v>1</v>
      </c>
    </row>
    <row r="807" spans="1:29" ht="43.5" x14ac:dyDescent="0.35">
      <c r="A807" s="89" t="str">
        <f t="shared" si="129"/>
        <v>Closed</v>
      </c>
      <c r="B807" s="222">
        <v>45663</v>
      </c>
      <c r="C807" s="14">
        <v>2411</v>
      </c>
      <c r="D807" s="14" t="s">
        <v>1255</v>
      </c>
      <c r="E807" s="14" t="s">
        <v>31</v>
      </c>
      <c r="F807" s="14" t="s">
        <v>2037</v>
      </c>
      <c r="G807" s="14"/>
      <c r="H807" s="14">
        <v>102</v>
      </c>
      <c r="I807" s="176" t="s">
        <v>155</v>
      </c>
      <c r="K807" s="87"/>
      <c r="L807" s="14" t="s">
        <v>4315</v>
      </c>
      <c r="M807" s="324">
        <f>IF(I807="Staff Accident","Entry Required",IF(I807="Assaults","Entry Required",0))</f>
        <v>0</v>
      </c>
      <c r="N807" s="14" t="s">
        <v>1879</v>
      </c>
      <c r="O807" s="14" t="s">
        <v>1880</v>
      </c>
      <c r="P807" s="167" t="s">
        <v>147</v>
      </c>
      <c r="Q807" s="14" t="s">
        <v>153</v>
      </c>
      <c r="R807" s="223">
        <f>IF(I807="Staff Accident","Entry Required",IF(I807="Assaults","Entry Required",0))</f>
        <v>0</v>
      </c>
      <c r="S807" s="224">
        <f t="shared" si="126"/>
        <v>45691</v>
      </c>
      <c r="T807" s="79">
        <v>45691</v>
      </c>
      <c r="U807" s="14" t="s">
        <v>4316</v>
      </c>
      <c r="V807" s="14" t="s">
        <v>3010</v>
      </c>
      <c r="W807" s="14"/>
      <c r="X807" s="14"/>
      <c r="Y807" s="167" t="s">
        <v>2039</v>
      </c>
      <c r="Z807" s="14"/>
      <c r="AA807" s="2">
        <f t="shared" ca="1" si="127"/>
        <v>1</v>
      </c>
      <c r="AB807" s="153"/>
      <c r="AC807" s="454" t="str">
        <f t="shared" si="125"/>
        <v>1</v>
      </c>
    </row>
    <row r="808" spans="1:29" ht="29" x14ac:dyDescent="0.35">
      <c r="A808" s="89" t="str">
        <f t="shared" si="129"/>
        <v>Closed</v>
      </c>
      <c r="B808" s="222">
        <v>45663</v>
      </c>
      <c r="C808" s="14">
        <v>2411</v>
      </c>
      <c r="D808" s="14" t="s">
        <v>4317</v>
      </c>
      <c r="E808" s="14" t="s">
        <v>28</v>
      </c>
      <c r="F808" s="14" t="s">
        <v>2037</v>
      </c>
      <c r="G808" s="14"/>
      <c r="H808" s="14">
        <v>102</v>
      </c>
      <c r="I808" s="176" t="s">
        <v>2</v>
      </c>
      <c r="K808" s="85" t="s">
        <v>137</v>
      </c>
      <c r="L808" s="14" t="s">
        <v>4315</v>
      </c>
      <c r="M808" s="324">
        <v>0</v>
      </c>
      <c r="N808" s="14" t="s">
        <v>1879</v>
      </c>
      <c r="O808" s="14" t="s">
        <v>1880</v>
      </c>
      <c r="P808" s="167" t="s">
        <v>143</v>
      </c>
      <c r="Q808" s="14"/>
      <c r="R808" s="223">
        <v>0</v>
      </c>
      <c r="S808" s="224">
        <f t="shared" si="126"/>
        <v>45691</v>
      </c>
      <c r="T808" s="79">
        <v>45663</v>
      </c>
      <c r="U808" s="14"/>
      <c r="V808" s="14"/>
      <c r="W808" s="14"/>
      <c r="X808" s="14"/>
      <c r="Y808" s="167" t="s">
        <v>2039</v>
      </c>
      <c r="Z808" s="14"/>
      <c r="AA808" s="2">
        <f t="shared" ca="1" si="127"/>
        <v>1</v>
      </c>
      <c r="AB808" s="153"/>
      <c r="AC808" s="454" t="str">
        <f t="shared" si="125"/>
        <v>1</v>
      </c>
    </row>
    <row r="809" spans="1:29" ht="58" x14ac:dyDescent="0.35">
      <c r="A809" s="111" t="str">
        <f t="shared" si="129"/>
        <v>Closed</v>
      </c>
      <c r="B809" s="222">
        <v>45664</v>
      </c>
      <c r="C809" s="14">
        <v>2411</v>
      </c>
      <c r="D809" s="14" t="s">
        <v>1289</v>
      </c>
      <c r="E809" s="14" t="s">
        <v>56</v>
      </c>
      <c r="F809" s="14" t="s">
        <v>4318</v>
      </c>
      <c r="G809" s="14" t="s">
        <v>1911</v>
      </c>
      <c r="H809" s="14"/>
      <c r="I809" s="176" t="s">
        <v>144</v>
      </c>
      <c r="K809" s="87"/>
      <c r="L809" s="14" t="s">
        <v>4319</v>
      </c>
      <c r="M809" s="324">
        <f t="shared" ref="M809:M834" si="130">IF(I809="Staff Accident","Entry Required",IF(I809="Assaults","Entry Required",0))</f>
        <v>0</v>
      </c>
      <c r="N809" s="14" t="s">
        <v>1879</v>
      </c>
      <c r="O809" s="14" t="s">
        <v>1879</v>
      </c>
      <c r="P809" s="167" t="s">
        <v>151</v>
      </c>
      <c r="Q809" s="14" t="s">
        <v>146</v>
      </c>
      <c r="R809" s="170" t="s">
        <v>236</v>
      </c>
      <c r="S809" s="108">
        <f t="shared" ref="S809:S840" si="131">IF(B809="","",B809+28)</f>
        <v>45692</v>
      </c>
      <c r="T809" s="79">
        <v>45719</v>
      </c>
      <c r="U809" s="14"/>
      <c r="V809" s="14"/>
      <c r="W809" s="14"/>
      <c r="X809" s="14"/>
      <c r="Z809" s="14"/>
      <c r="AA809" s="2">
        <f t="shared" ref="AA809:AA840" ca="1" si="132">IF(B809="",3,IF(S809&lt;$A$1,1,0))</f>
        <v>1</v>
      </c>
      <c r="AB809" s="153"/>
      <c r="AC809" s="454" t="str">
        <f t="shared" si="125"/>
        <v/>
      </c>
    </row>
    <row r="810" spans="1:29" ht="72.5" x14ac:dyDescent="0.35">
      <c r="A810" s="111" t="str">
        <f t="shared" si="129"/>
        <v>Closed</v>
      </c>
      <c r="B810" s="222">
        <v>45664</v>
      </c>
      <c r="C810" s="14">
        <v>2411</v>
      </c>
      <c r="D810" s="14" t="s">
        <v>4320</v>
      </c>
      <c r="E810" s="14" t="s">
        <v>206</v>
      </c>
      <c r="F810" s="14" t="s">
        <v>2136</v>
      </c>
      <c r="G810" s="14" t="s">
        <v>1900</v>
      </c>
      <c r="H810" s="14"/>
      <c r="I810" s="176" t="s">
        <v>140</v>
      </c>
      <c r="K810" s="87"/>
      <c r="L810" s="14" t="s">
        <v>4321</v>
      </c>
      <c r="M810" s="324">
        <f t="shared" si="130"/>
        <v>0</v>
      </c>
      <c r="N810" s="14" t="s">
        <v>1879</v>
      </c>
      <c r="O810" s="14" t="s">
        <v>1879</v>
      </c>
      <c r="P810" s="167" t="s">
        <v>143</v>
      </c>
      <c r="Q810" s="14"/>
      <c r="R810" s="170">
        <v>0</v>
      </c>
      <c r="S810" s="108">
        <f t="shared" si="131"/>
        <v>45692</v>
      </c>
      <c r="T810" s="79">
        <v>45664</v>
      </c>
      <c r="U810" s="14"/>
      <c r="V810" s="14"/>
      <c r="W810" s="14"/>
      <c r="X810" s="14"/>
      <c r="Y810" s="14" t="s">
        <v>2140</v>
      </c>
      <c r="Z810" s="14"/>
      <c r="AA810" s="2">
        <f t="shared" ca="1" si="132"/>
        <v>1</v>
      </c>
      <c r="AB810" s="153"/>
      <c r="AC810" s="454" t="str">
        <f t="shared" si="125"/>
        <v/>
      </c>
    </row>
    <row r="811" spans="1:29" ht="72.5" x14ac:dyDescent="0.35">
      <c r="A811" s="111" t="str">
        <f t="shared" si="129"/>
        <v>Closed</v>
      </c>
      <c r="B811" s="222">
        <v>45664</v>
      </c>
      <c r="C811" s="14">
        <v>2411</v>
      </c>
      <c r="D811" s="14" t="s">
        <v>4322</v>
      </c>
      <c r="E811" s="14" t="s">
        <v>206</v>
      </c>
      <c r="F811" s="14" t="s">
        <v>2136</v>
      </c>
      <c r="G811" s="14" t="s">
        <v>1900</v>
      </c>
      <c r="H811" s="14">
        <v>124</v>
      </c>
      <c r="I811" s="176" t="s">
        <v>140</v>
      </c>
      <c r="K811" s="87"/>
      <c r="L811" s="14" t="s">
        <v>4323</v>
      </c>
      <c r="M811" s="324">
        <f t="shared" si="130"/>
        <v>0</v>
      </c>
      <c r="N811" s="14" t="s">
        <v>1879</v>
      </c>
      <c r="O811" s="14" t="s">
        <v>1879</v>
      </c>
      <c r="P811" s="167" t="s">
        <v>143</v>
      </c>
      <c r="Q811" s="14"/>
      <c r="R811" s="170">
        <v>0</v>
      </c>
      <c r="S811" s="108">
        <f t="shared" si="131"/>
        <v>45692</v>
      </c>
      <c r="T811" s="79">
        <v>45664</v>
      </c>
      <c r="U811" s="14"/>
      <c r="V811" s="14"/>
      <c r="W811" s="14"/>
      <c r="X811" s="14"/>
      <c r="Y811" s="14" t="s">
        <v>2140</v>
      </c>
      <c r="Z811" s="14"/>
      <c r="AA811" s="2">
        <f t="shared" ca="1" si="132"/>
        <v>1</v>
      </c>
      <c r="AB811" s="153"/>
      <c r="AC811" s="454" t="str">
        <f t="shared" si="125"/>
        <v>1</v>
      </c>
    </row>
    <row r="812" spans="1:29" ht="43.5" x14ac:dyDescent="0.35">
      <c r="A812" s="89" t="str">
        <f t="shared" si="129"/>
        <v>Closed</v>
      </c>
      <c r="B812" s="222">
        <v>45664</v>
      </c>
      <c r="C812" s="14">
        <v>2411</v>
      </c>
      <c r="D812" s="14" t="s">
        <v>1429</v>
      </c>
      <c r="E812" s="14" t="s">
        <v>78</v>
      </c>
      <c r="F812" s="14" t="s">
        <v>2052</v>
      </c>
      <c r="G812" s="14"/>
      <c r="H812" s="14">
        <v>120</v>
      </c>
      <c r="I812" s="176" t="s">
        <v>155</v>
      </c>
      <c r="K812" s="87"/>
      <c r="L812" s="14" t="s">
        <v>4324</v>
      </c>
      <c r="M812" s="324">
        <f t="shared" si="130"/>
        <v>0</v>
      </c>
      <c r="N812" s="14" t="s">
        <v>1879</v>
      </c>
      <c r="O812" s="14"/>
      <c r="P812" s="167" t="s">
        <v>147</v>
      </c>
      <c r="Q812" s="14" t="s">
        <v>174</v>
      </c>
      <c r="R812" s="223" t="s">
        <v>234</v>
      </c>
      <c r="S812" s="224">
        <f t="shared" si="131"/>
        <v>45692</v>
      </c>
      <c r="T812" s="79">
        <v>45737</v>
      </c>
      <c r="U812" s="14" t="s">
        <v>2931</v>
      </c>
      <c r="V812" s="14" t="s">
        <v>4325</v>
      </c>
      <c r="W812" s="14" t="s">
        <v>1880</v>
      </c>
      <c r="X812" s="14" t="s">
        <v>1880</v>
      </c>
      <c r="Y812" s="14" t="s">
        <v>2054</v>
      </c>
      <c r="Z812" s="14" t="s">
        <v>4326</v>
      </c>
      <c r="AA812" s="2">
        <f t="shared" ca="1" si="132"/>
        <v>1</v>
      </c>
      <c r="AB812" s="153"/>
      <c r="AC812" s="454" t="str">
        <f t="shared" si="125"/>
        <v>1</v>
      </c>
    </row>
    <row r="813" spans="1:29" ht="43.5" x14ac:dyDescent="0.35">
      <c r="A813" s="111" t="str">
        <f t="shared" si="129"/>
        <v>Closed</v>
      </c>
      <c r="B813" s="222">
        <v>45664</v>
      </c>
      <c r="C813" s="14">
        <v>2411</v>
      </c>
      <c r="D813" s="14" t="s">
        <v>4327</v>
      </c>
      <c r="E813" s="14" t="s">
        <v>8</v>
      </c>
      <c r="F813" s="14" t="s">
        <v>2073</v>
      </c>
      <c r="G813" s="14" t="s">
        <v>1911</v>
      </c>
      <c r="H813" s="14">
        <v>205</v>
      </c>
      <c r="I813" s="176" t="s">
        <v>140</v>
      </c>
      <c r="K813" s="87"/>
      <c r="L813" s="14" t="s">
        <v>4328</v>
      </c>
      <c r="M813" s="324">
        <f t="shared" si="130"/>
        <v>0</v>
      </c>
      <c r="N813" s="14" t="s">
        <v>1879</v>
      </c>
      <c r="O813" s="14" t="s">
        <v>1879</v>
      </c>
      <c r="P813" s="167" t="s">
        <v>143</v>
      </c>
      <c r="Q813" s="14"/>
      <c r="R813" s="170">
        <v>0</v>
      </c>
      <c r="S813" s="108">
        <f t="shared" si="131"/>
        <v>45692</v>
      </c>
      <c r="T813" s="79">
        <v>45664</v>
      </c>
      <c r="U813" s="14"/>
      <c r="V813" s="14"/>
      <c r="W813" s="14"/>
      <c r="X813" s="14"/>
      <c r="Y813" s="15" t="s">
        <v>2075</v>
      </c>
      <c r="Z813" s="14"/>
      <c r="AA813" s="2">
        <f t="shared" ca="1" si="132"/>
        <v>1</v>
      </c>
      <c r="AB813" s="153"/>
      <c r="AC813" s="454" t="str">
        <f t="shared" si="125"/>
        <v>2</v>
      </c>
    </row>
    <row r="814" spans="1:29" ht="43.5" x14ac:dyDescent="0.35">
      <c r="A814" s="111" t="str">
        <f t="shared" si="129"/>
        <v>Closed</v>
      </c>
      <c r="B814" s="222">
        <v>45665</v>
      </c>
      <c r="C814" s="14">
        <v>2411</v>
      </c>
      <c r="D814" s="14" t="s">
        <v>4329</v>
      </c>
      <c r="E814" s="14" t="s">
        <v>192</v>
      </c>
      <c r="F814" s="14" t="s">
        <v>2245</v>
      </c>
      <c r="G814" s="14"/>
      <c r="H814" s="14">
        <v>115</v>
      </c>
      <c r="I814" s="176" t="s">
        <v>140</v>
      </c>
      <c r="K814" s="87"/>
      <c r="L814" s="14" t="s">
        <v>4330</v>
      </c>
      <c r="M814" s="324">
        <f t="shared" si="130"/>
        <v>0</v>
      </c>
      <c r="N814" s="14" t="s">
        <v>1879</v>
      </c>
      <c r="O814" s="14" t="s">
        <v>1879</v>
      </c>
      <c r="P814" s="167" t="s">
        <v>143</v>
      </c>
      <c r="Q814" s="14"/>
      <c r="R814" s="170">
        <v>0</v>
      </c>
      <c r="S814" s="108">
        <f t="shared" si="131"/>
        <v>45693</v>
      </c>
      <c r="T814" s="79">
        <v>45665</v>
      </c>
      <c r="U814" s="14"/>
      <c r="V814" s="14"/>
      <c r="W814" s="14"/>
      <c r="X814" s="14"/>
      <c r="Z814" s="14"/>
      <c r="AA814" s="2">
        <f t="shared" ca="1" si="132"/>
        <v>1</v>
      </c>
      <c r="AB814" s="153"/>
      <c r="AC814" s="454" t="str">
        <f t="shared" si="125"/>
        <v>1</v>
      </c>
    </row>
    <row r="815" spans="1:29" ht="29" x14ac:dyDescent="0.35">
      <c r="A815" s="111" t="str">
        <f t="shared" si="129"/>
        <v>Closed</v>
      </c>
      <c r="B815" s="222">
        <v>45665</v>
      </c>
      <c r="C815" s="14">
        <v>2411</v>
      </c>
      <c r="D815" s="14" t="s">
        <v>4331</v>
      </c>
      <c r="E815" s="14" t="s">
        <v>192</v>
      </c>
      <c r="F815" s="14" t="s">
        <v>2119</v>
      </c>
      <c r="G815" s="14" t="s">
        <v>1911</v>
      </c>
      <c r="H815" s="14">
        <v>203</v>
      </c>
      <c r="I815" s="176" t="s">
        <v>140</v>
      </c>
      <c r="K815" s="87"/>
      <c r="L815" s="14" t="s">
        <v>4332</v>
      </c>
      <c r="M815" s="324">
        <f t="shared" si="130"/>
        <v>0</v>
      </c>
      <c r="N815" s="14" t="s">
        <v>1879</v>
      </c>
      <c r="O815" s="14" t="s">
        <v>1879</v>
      </c>
      <c r="P815" s="167" t="s">
        <v>143</v>
      </c>
      <c r="Q815" s="14"/>
      <c r="R815" s="170">
        <v>0</v>
      </c>
      <c r="S815" s="108">
        <f t="shared" si="131"/>
        <v>45693</v>
      </c>
      <c r="T815" s="79">
        <v>45665</v>
      </c>
      <c r="U815" s="14"/>
      <c r="V815" s="14"/>
      <c r="W815" s="14"/>
      <c r="X815" s="14"/>
      <c r="Y815" s="14" t="s">
        <v>2093</v>
      </c>
      <c r="Z815" s="14"/>
      <c r="AA815" s="2">
        <f t="shared" ca="1" si="132"/>
        <v>1</v>
      </c>
      <c r="AB815" s="153"/>
      <c r="AC815" s="454" t="str">
        <f t="shared" si="125"/>
        <v>2</v>
      </c>
    </row>
    <row r="816" spans="1:29" ht="43.5" x14ac:dyDescent="0.45">
      <c r="A816" s="111" t="str">
        <f t="shared" si="129"/>
        <v>Closed</v>
      </c>
      <c r="B816" s="222">
        <v>45665</v>
      </c>
      <c r="C816" s="14">
        <v>2411</v>
      </c>
      <c r="D816" s="14" t="s">
        <v>4333</v>
      </c>
      <c r="E816" s="14" t="s">
        <v>1907</v>
      </c>
      <c r="F816" s="14" t="s">
        <v>2338</v>
      </c>
      <c r="G816" s="14"/>
      <c r="H816" s="14"/>
      <c r="I816" s="176" t="s">
        <v>140</v>
      </c>
      <c r="K816" s="87"/>
      <c r="L816" s="14" t="s">
        <v>4334</v>
      </c>
      <c r="M816" s="324">
        <f t="shared" si="130"/>
        <v>0</v>
      </c>
      <c r="N816" s="14" t="s">
        <v>1879</v>
      </c>
      <c r="O816" s="14" t="s">
        <v>1879</v>
      </c>
      <c r="P816" s="167" t="s">
        <v>143</v>
      </c>
      <c r="Q816" s="14"/>
      <c r="R816" s="170">
        <v>0</v>
      </c>
      <c r="S816" s="108">
        <f t="shared" si="131"/>
        <v>45693</v>
      </c>
      <c r="T816" s="79">
        <v>45665</v>
      </c>
      <c r="U816" s="14"/>
      <c r="V816" s="14"/>
      <c r="W816" s="14"/>
      <c r="X816" s="14"/>
      <c r="Y816" s="463" t="s">
        <v>2340</v>
      </c>
      <c r="Z816" s="14"/>
      <c r="AA816" s="2">
        <f t="shared" ca="1" si="132"/>
        <v>1</v>
      </c>
      <c r="AB816" s="153"/>
      <c r="AC816" s="454" t="str">
        <f t="shared" si="125"/>
        <v/>
      </c>
    </row>
    <row r="817" spans="1:29" ht="43.5" x14ac:dyDescent="0.45">
      <c r="A817" s="111" t="str">
        <f t="shared" si="129"/>
        <v>Closed</v>
      </c>
      <c r="B817" s="222">
        <v>45665</v>
      </c>
      <c r="C817" s="14">
        <v>2411</v>
      </c>
      <c r="D817" s="14" t="s">
        <v>4335</v>
      </c>
      <c r="E817" s="14" t="s">
        <v>1907</v>
      </c>
      <c r="F817" s="14" t="s">
        <v>2338</v>
      </c>
      <c r="G817" s="14"/>
      <c r="H817" s="14">
        <v>124</v>
      </c>
      <c r="I817" s="176" t="s">
        <v>140</v>
      </c>
      <c r="K817" s="87"/>
      <c r="L817" s="328" t="s">
        <v>4336</v>
      </c>
      <c r="M817" s="324">
        <f t="shared" si="130"/>
        <v>0</v>
      </c>
      <c r="N817" s="14" t="s">
        <v>1879</v>
      </c>
      <c r="O817" s="14" t="s">
        <v>1879</v>
      </c>
      <c r="P817" s="167" t="s">
        <v>143</v>
      </c>
      <c r="Q817" s="14"/>
      <c r="R817" s="170">
        <v>0</v>
      </c>
      <c r="S817" s="108">
        <f t="shared" si="131"/>
        <v>45693</v>
      </c>
      <c r="T817" s="79">
        <v>45665</v>
      </c>
      <c r="U817" s="14"/>
      <c r="V817" s="14"/>
      <c r="W817" s="14"/>
      <c r="X817" s="14"/>
      <c r="Y817" s="463" t="s">
        <v>2340</v>
      </c>
      <c r="Z817" s="14"/>
      <c r="AA817" s="2">
        <f t="shared" ca="1" si="132"/>
        <v>1</v>
      </c>
      <c r="AB817" s="153"/>
      <c r="AC817" s="454" t="str">
        <f t="shared" si="125"/>
        <v>1</v>
      </c>
    </row>
    <row r="818" spans="1:29" ht="58" x14ac:dyDescent="0.35">
      <c r="A818" s="111" t="str">
        <f t="shared" si="129"/>
        <v>Closed</v>
      </c>
      <c r="B818" s="222">
        <v>45665</v>
      </c>
      <c r="C818" s="14">
        <v>2411</v>
      </c>
      <c r="D818" s="14" t="s">
        <v>4337</v>
      </c>
      <c r="E818" s="14" t="s">
        <v>192</v>
      </c>
      <c r="F818" s="14" t="s">
        <v>2299</v>
      </c>
      <c r="G818" s="14"/>
      <c r="H818" s="14">
        <v>107</v>
      </c>
      <c r="I818" s="176" t="s">
        <v>140</v>
      </c>
      <c r="K818" s="87"/>
      <c r="L818" s="14" t="s">
        <v>4338</v>
      </c>
      <c r="M818" s="324">
        <f t="shared" si="130"/>
        <v>0</v>
      </c>
      <c r="N818" s="14" t="s">
        <v>1879</v>
      </c>
      <c r="O818" s="14" t="s">
        <v>1879</v>
      </c>
      <c r="P818" s="167" t="s">
        <v>143</v>
      </c>
      <c r="Q818" s="14"/>
      <c r="R818" s="170">
        <v>0</v>
      </c>
      <c r="S818" s="108">
        <f t="shared" si="131"/>
        <v>45693</v>
      </c>
      <c r="T818" s="79">
        <v>45665</v>
      </c>
      <c r="U818" s="14"/>
      <c r="V818" s="14"/>
      <c r="W818" s="14"/>
      <c r="X818" s="14"/>
      <c r="Y818" s="14" t="s">
        <v>2302</v>
      </c>
      <c r="Z818" s="14"/>
      <c r="AA818" s="2">
        <f t="shared" ca="1" si="132"/>
        <v>1</v>
      </c>
      <c r="AB818" s="153"/>
      <c r="AC818" s="454" t="str">
        <f t="shared" si="125"/>
        <v>1</v>
      </c>
    </row>
    <row r="819" spans="1:29" ht="29" x14ac:dyDescent="0.35">
      <c r="A819" s="111" t="str">
        <f t="shared" si="129"/>
        <v>Closed</v>
      </c>
      <c r="B819" s="222">
        <v>45665</v>
      </c>
      <c r="C819" s="14">
        <v>2411</v>
      </c>
      <c r="D819" s="14" t="s">
        <v>4339</v>
      </c>
      <c r="E819" s="14" t="s">
        <v>192</v>
      </c>
      <c r="F819" s="14" t="s">
        <v>2765</v>
      </c>
      <c r="G819" s="14"/>
      <c r="H819" s="14">
        <v>203</v>
      </c>
      <c r="I819" s="176" t="s">
        <v>140</v>
      </c>
      <c r="K819" s="87"/>
      <c r="L819" s="14" t="s">
        <v>4340</v>
      </c>
      <c r="M819" s="324">
        <f t="shared" si="130"/>
        <v>0</v>
      </c>
      <c r="N819" s="14" t="s">
        <v>1879</v>
      </c>
      <c r="O819" s="14" t="s">
        <v>1879</v>
      </c>
      <c r="P819" s="167" t="s">
        <v>143</v>
      </c>
      <c r="Q819" s="14"/>
      <c r="R819" s="170">
        <v>0</v>
      </c>
      <c r="S819" s="108">
        <f t="shared" si="131"/>
        <v>45693</v>
      </c>
      <c r="T819" s="79">
        <v>45665</v>
      </c>
      <c r="U819" s="14"/>
      <c r="V819" s="14"/>
      <c r="W819" s="14"/>
      <c r="X819" s="14"/>
      <c r="Z819" s="14"/>
      <c r="AA819" s="2">
        <f t="shared" ca="1" si="132"/>
        <v>1</v>
      </c>
      <c r="AB819" s="153"/>
      <c r="AC819" s="454" t="str">
        <f t="shared" si="125"/>
        <v>2</v>
      </c>
    </row>
    <row r="820" spans="1:29" ht="319" x14ac:dyDescent="0.35">
      <c r="A820" s="89" t="str">
        <f t="shared" si="129"/>
        <v>Closed</v>
      </c>
      <c r="B820" s="222">
        <v>45665</v>
      </c>
      <c r="C820" s="14">
        <v>2411</v>
      </c>
      <c r="D820" s="14" t="s">
        <v>1433</v>
      </c>
      <c r="E820" s="14" t="s">
        <v>64</v>
      </c>
      <c r="F820" s="167" t="s">
        <v>3086</v>
      </c>
      <c r="G820" s="14" t="s">
        <v>1900</v>
      </c>
      <c r="H820" s="14">
        <v>104</v>
      </c>
      <c r="I820" s="176" t="s">
        <v>140</v>
      </c>
      <c r="K820" s="87"/>
      <c r="L820" s="14" t="s">
        <v>4341</v>
      </c>
      <c r="M820" s="324">
        <f t="shared" si="130"/>
        <v>0</v>
      </c>
      <c r="N820" s="14" t="s">
        <v>1880</v>
      </c>
      <c r="O820" s="14" t="s">
        <v>1879</v>
      </c>
      <c r="P820" s="167" t="s">
        <v>147</v>
      </c>
      <c r="Q820" s="14" t="s">
        <v>163</v>
      </c>
      <c r="R820" s="223" t="s">
        <v>236</v>
      </c>
      <c r="S820" s="224">
        <f t="shared" si="131"/>
        <v>45693</v>
      </c>
      <c r="T820" s="79">
        <v>45902</v>
      </c>
      <c r="U820" s="14" t="s">
        <v>4342</v>
      </c>
      <c r="V820" s="14" t="s">
        <v>4343</v>
      </c>
      <c r="W820" s="14" t="s">
        <v>1879</v>
      </c>
      <c r="X820" s="14" t="s">
        <v>1880</v>
      </c>
      <c r="Y820" s="167" t="s">
        <v>3088</v>
      </c>
      <c r="Z820" s="14" t="s">
        <v>4344</v>
      </c>
      <c r="AA820" s="2">
        <f t="shared" ca="1" si="132"/>
        <v>1</v>
      </c>
      <c r="AB820" s="153"/>
      <c r="AC820" s="454" t="str">
        <f t="shared" si="125"/>
        <v>1</v>
      </c>
    </row>
    <row r="821" spans="1:29" ht="29" x14ac:dyDescent="0.35">
      <c r="A821" s="111" t="str">
        <f t="shared" si="129"/>
        <v>Closed</v>
      </c>
      <c r="B821" s="222">
        <v>45666</v>
      </c>
      <c r="C821" s="14">
        <v>2411</v>
      </c>
      <c r="D821" s="14" t="s">
        <v>4345</v>
      </c>
      <c r="E821" s="14" t="s">
        <v>64</v>
      </c>
      <c r="F821" s="14" t="s">
        <v>2080</v>
      </c>
      <c r="G821" s="14" t="s">
        <v>1900</v>
      </c>
      <c r="H821" s="14"/>
      <c r="I821" s="176" t="s">
        <v>140</v>
      </c>
      <c r="K821" s="87"/>
      <c r="L821" s="14" t="s">
        <v>4346</v>
      </c>
      <c r="M821" s="324">
        <f t="shared" si="130"/>
        <v>0</v>
      </c>
      <c r="N821" s="14" t="s">
        <v>1880</v>
      </c>
      <c r="O821" s="14" t="s">
        <v>1879</v>
      </c>
      <c r="P821" s="167" t="s">
        <v>143</v>
      </c>
      <c r="Q821" s="14"/>
      <c r="R821" s="170">
        <v>0</v>
      </c>
      <c r="S821" s="108">
        <f t="shared" si="131"/>
        <v>45694</v>
      </c>
      <c r="T821" s="79">
        <v>45666</v>
      </c>
      <c r="U821" s="14"/>
      <c r="V821" s="14"/>
      <c r="W821" s="14"/>
      <c r="X821" s="14"/>
      <c r="Y821" s="14" t="s">
        <v>2084</v>
      </c>
      <c r="Z821" s="14"/>
      <c r="AA821" s="2">
        <f t="shared" ca="1" si="132"/>
        <v>1</v>
      </c>
      <c r="AB821" s="153"/>
      <c r="AC821" s="454" t="str">
        <f t="shared" si="125"/>
        <v/>
      </c>
    </row>
    <row r="822" spans="1:29" ht="29" x14ac:dyDescent="0.35">
      <c r="A822" s="111" t="str">
        <f t="shared" si="129"/>
        <v>Closed</v>
      </c>
      <c r="B822" s="222">
        <v>45666</v>
      </c>
      <c r="C822" s="14">
        <v>2411</v>
      </c>
      <c r="D822" s="14" t="s">
        <v>4347</v>
      </c>
      <c r="E822" s="14" t="s">
        <v>64</v>
      </c>
      <c r="F822" s="14" t="s">
        <v>2056</v>
      </c>
      <c r="G822" s="14" t="s">
        <v>1900</v>
      </c>
      <c r="H822" s="14"/>
      <c r="I822" s="176" t="s">
        <v>140</v>
      </c>
      <c r="K822" s="87"/>
      <c r="L822" s="14" t="s">
        <v>4348</v>
      </c>
      <c r="M822" s="324">
        <f t="shared" si="130"/>
        <v>0</v>
      </c>
      <c r="N822" s="14" t="s">
        <v>1880</v>
      </c>
      <c r="O822" s="14" t="s">
        <v>1879</v>
      </c>
      <c r="P822" s="167" t="s">
        <v>143</v>
      </c>
      <c r="Q822" s="14"/>
      <c r="R822" s="170">
        <v>0</v>
      </c>
      <c r="S822" s="108">
        <f t="shared" si="131"/>
        <v>45694</v>
      </c>
      <c r="T822" s="79">
        <v>45666</v>
      </c>
      <c r="U822" s="14"/>
      <c r="V822" s="14"/>
      <c r="W822" s="14"/>
      <c r="X822" s="14"/>
      <c r="Y822" s="167" t="s">
        <v>2058</v>
      </c>
      <c r="Z822" s="14"/>
      <c r="AA822" s="2">
        <f t="shared" ca="1" si="132"/>
        <v>1</v>
      </c>
      <c r="AB822" s="153"/>
      <c r="AC822" s="454" t="str">
        <f t="shared" si="125"/>
        <v/>
      </c>
    </row>
    <row r="823" spans="1:29" ht="58" x14ac:dyDescent="0.35">
      <c r="A823" s="111" t="str">
        <f t="shared" si="129"/>
        <v>Closed</v>
      </c>
      <c r="B823" s="222">
        <v>45666</v>
      </c>
      <c r="C823" s="14">
        <v>2411</v>
      </c>
      <c r="D823" s="14" t="s">
        <v>4349</v>
      </c>
      <c r="E823" s="14" t="s">
        <v>64</v>
      </c>
      <c r="F823" s="14" t="s">
        <v>2048</v>
      </c>
      <c r="G823" s="14" t="s">
        <v>1900</v>
      </c>
      <c r="H823" s="14"/>
      <c r="I823" s="176" t="s">
        <v>140</v>
      </c>
      <c r="K823" s="14"/>
      <c r="L823" s="14" t="s">
        <v>4350</v>
      </c>
      <c r="M823" s="324">
        <f t="shared" si="130"/>
        <v>0</v>
      </c>
      <c r="N823" s="14" t="s">
        <v>1880</v>
      </c>
      <c r="O823" s="14" t="s">
        <v>1879</v>
      </c>
      <c r="P823" s="167" t="s">
        <v>143</v>
      </c>
      <c r="Q823" s="14"/>
      <c r="R823" s="170">
        <v>0</v>
      </c>
      <c r="S823" s="108">
        <f t="shared" si="131"/>
        <v>45694</v>
      </c>
      <c r="T823" s="79">
        <v>45666</v>
      </c>
      <c r="U823" s="14"/>
      <c r="V823" s="14"/>
      <c r="W823" s="14"/>
      <c r="X823" s="14"/>
      <c r="Y823" s="167" t="s">
        <v>2050</v>
      </c>
      <c r="Z823" s="14"/>
      <c r="AA823" s="2">
        <f t="shared" ca="1" si="132"/>
        <v>1</v>
      </c>
      <c r="AB823" s="153"/>
      <c r="AC823" s="454" t="str">
        <f t="shared" si="125"/>
        <v/>
      </c>
    </row>
    <row r="824" spans="1:29" ht="116" x14ac:dyDescent="0.35">
      <c r="A824" s="111" t="str">
        <f t="shared" si="129"/>
        <v>Closed</v>
      </c>
      <c r="B824" s="222">
        <v>45668</v>
      </c>
      <c r="C824" s="14">
        <v>2411</v>
      </c>
      <c r="D824" s="14" t="s">
        <v>4351</v>
      </c>
      <c r="E824" s="14" t="s">
        <v>64</v>
      </c>
      <c r="F824" s="14" t="s">
        <v>3127</v>
      </c>
      <c r="G824" s="14" t="s">
        <v>1911</v>
      </c>
      <c r="H824" s="14">
        <v>106</v>
      </c>
      <c r="I824" s="176" t="s">
        <v>140</v>
      </c>
      <c r="J824" s="14">
        <v>90</v>
      </c>
      <c r="K824" s="14"/>
      <c r="L824" s="14" t="s">
        <v>4352</v>
      </c>
      <c r="M824" s="324">
        <f t="shared" si="130"/>
        <v>0</v>
      </c>
      <c r="N824" s="14" t="s">
        <v>1880</v>
      </c>
      <c r="O824" s="14" t="s">
        <v>1879</v>
      </c>
      <c r="P824" s="167" t="s">
        <v>143</v>
      </c>
      <c r="Q824" s="14"/>
      <c r="R824" s="170">
        <v>0</v>
      </c>
      <c r="S824" s="108">
        <f t="shared" si="131"/>
        <v>45696</v>
      </c>
      <c r="T824" s="79">
        <v>45668</v>
      </c>
      <c r="U824" s="14"/>
      <c r="V824" s="14"/>
      <c r="W824" s="14"/>
      <c r="X824" s="14"/>
      <c r="Y824" s="14" t="s">
        <v>2150</v>
      </c>
      <c r="Z824" s="14"/>
      <c r="AA824" s="2">
        <f t="shared" ca="1" si="132"/>
        <v>1</v>
      </c>
      <c r="AB824" s="153"/>
      <c r="AC824" s="454" t="str">
        <f t="shared" si="125"/>
        <v>1</v>
      </c>
    </row>
    <row r="825" spans="1:29" ht="43.5" x14ac:dyDescent="0.35">
      <c r="A825" s="111" t="str">
        <f t="shared" si="129"/>
        <v>Closed</v>
      </c>
      <c r="B825" s="222">
        <v>45668</v>
      </c>
      <c r="C825" s="14">
        <v>2411</v>
      </c>
      <c r="D825" s="14" t="s">
        <v>4353</v>
      </c>
      <c r="E825" s="14" t="s">
        <v>8</v>
      </c>
      <c r="F825" s="14"/>
      <c r="G825" s="14"/>
      <c r="H825" s="14">
        <v>205</v>
      </c>
      <c r="I825" s="176" t="s">
        <v>140</v>
      </c>
      <c r="J825" s="14">
        <v>54567</v>
      </c>
      <c r="K825" s="14"/>
      <c r="L825" s="14" t="s">
        <v>4354</v>
      </c>
      <c r="M825" s="324">
        <f t="shared" si="130"/>
        <v>0</v>
      </c>
      <c r="N825" s="14" t="s">
        <v>1879</v>
      </c>
      <c r="O825" s="14" t="s">
        <v>1879</v>
      </c>
      <c r="P825" s="167" t="s">
        <v>143</v>
      </c>
      <c r="Q825" s="14"/>
      <c r="R825" s="170">
        <v>0</v>
      </c>
      <c r="S825" s="108">
        <f t="shared" si="131"/>
        <v>45696</v>
      </c>
      <c r="T825" s="79">
        <v>45668</v>
      </c>
      <c r="U825" s="14"/>
      <c r="V825" s="14"/>
      <c r="W825" s="14"/>
      <c r="X825" s="14"/>
      <c r="Z825" s="14"/>
      <c r="AA825" s="2">
        <f t="shared" ca="1" si="132"/>
        <v>1</v>
      </c>
      <c r="AB825" s="153"/>
      <c r="AC825" s="454" t="str">
        <f t="shared" si="125"/>
        <v>2</v>
      </c>
    </row>
    <row r="826" spans="1:29" ht="72.5" x14ac:dyDescent="0.35">
      <c r="A826" s="89" t="str">
        <f t="shared" si="129"/>
        <v>Closed</v>
      </c>
      <c r="B826" s="222">
        <v>45669</v>
      </c>
      <c r="C826" s="14">
        <v>2411</v>
      </c>
      <c r="D826" s="14" t="s">
        <v>4355</v>
      </c>
      <c r="E826" s="14" t="s">
        <v>37</v>
      </c>
      <c r="F826" s="14" t="s">
        <v>1921</v>
      </c>
      <c r="G826" s="14" t="s">
        <v>1900</v>
      </c>
      <c r="H826" s="14">
        <v>108</v>
      </c>
      <c r="I826" s="176" t="s">
        <v>5</v>
      </c>
      <c r="J826" s="14">
        <v>600</v>
      </c>
      <c r="K826" s="87"/>
      <c r="L826" s="14" t="s">
        <v>4356</v>
      </c>
      <c r="M826" s="324">
        <f t="shared" si="130"/>
        <v>0</v>
      </c>
      <c r="N826" s="14" t="s">
        <v>1879</v>
      </c>
      <c r="O826" s="14" t="s">
        <v>1880</v>
      </c>
      <c r="P826" s="167" t="s">
        <v>147</v>
      </c>
      <c r="Q826" s="14" t="s">
        <v>185</v>
      </c>
      <c r="R826" s="223" t="s">
        <v>234</v>
      </c>
      <c r="S826" s="224">
        <f t="shared" si="131"/>
        <v>45697</v>
      </c>
      <c r="T826" s="79">
        <v>45902</v>
      </c>
      <c r="U826" s="14" t="s">
        <v>4357</v>
      </c>
      <c r="V826" s="14" t="s">
        <v>4358</v>
      </c>
      <c r="W826" s="14" t="s">
        <v>1879</v>
      </c>
      <c r="X826" s="14" t="s">
        <v>154</v>
      </c>
      <c r="Y826" s="14" t="s">
        <v>1923</v>
      </c>
      <c r="Z826" s="14" t="s">
        <v>4359</v>
      </c>
      <c r="AA826" s="2">
        <f t="shared" ca="1" si="132"/>
        <v>1</v>
      </c>
      <c r="AB826" s="153"/>
      <c r="AC826" s="454" t="str">
        <f t="shared" si="125"/>
        <v>1</v>
      </c>
    </row>
    <row r="827" spans="1:29" ht="43.5" x14ac:dyDescent="0.35">
      <c r="A827" s="89" t="str">
        <f t="shared" si="129"/>
        <v>Closed</v>
      </c>
      <c r="B827" s="222">
        <v>45670</v>
      </c>
      <c r="C827" s="14">
        <v>2411</v>
      </c>
      <c r="D827" s="14" t="s">
        <v>4360</v>
      </c>
      <c r="E827" s="14" t="s">
        <v>64</v>
      </c>
      <c r="F827" s="14" t="s">
        <v>3127</v>
      </c>
      <c r="G827" s="14" t="s">
        <v>1900</v>
      </c>
      <c r="H827" s="14"/>
      <c r="I827" s="176" t="s">
        <v>140</v>
      </c>
      <c r="K827" s="87"/>
      <c r="L827" s="14" t="s">
        <v>4361</v>
      </c>
      <c r="M827" s="324">
        <f t="shared" si="130"/>
        <v>0</v>
      </c>
      <c r="N827" s="14" t="s">
        <v>1880</v>
      </c>
      <c r="O827" s="14" t="s">
        <v>1879</v>
      </c>
      <c r="P827" s="167" t="s">
        <v>143</v>
      </c>
      <c r="Q827" s="14"/>
      <c r="R827" s="223">
        <v>0</v>
      </c>
      <c r="S827" s="224">
        <f t="shared" si="131"/>
        <v>45698</v>
      </c>
      <c r="T827" s="79">
        <v>45670</v>
      </c>
      <c r="U827" s="14"/>
      <c r="V827" s="14"/>
      <c r="W827" s="14"/>
      <c r="X827" s="14"/>
      <c r="Y827" s="14" t="s">
        <v>2150</v>
      </c>
      <c r="Z827" s="14"/>
      <c r="AA827" s="2">
        <f t="shared" ca="1" si="132"/>
        <v>1</v>
      </c>
      <c r="AB827" s="153"/>
      <c r="AC827" s="454" t="str">
        <f t="shared" si="125"/>
        <v/>
      </c>
    </row>
    <row r="828" spans="1:29" ht="116" x14ac:dyDescent="0.35">
      <c r="A828" s="89" t="str">
        <f t="shared" si="129"/>
        <v>Closed</v>
      </c>
      <c r="B828" s="222">
        <v>45670</v>
      </c>
      <c r="C828" s="14">
        <v>2411</v>
      </c>
      <c r="D828" s="14" t="s">
        <v>4362</v>
      </c>
      <c r="E828" s="14" t="s">
        <v>78</v>
      </c>
      <c r="F828" s="14" t="s">
        <v>2804</v>
      </c>
      <c r="G828" s="14" t="s">
        <v>1900</v>
      </c>
      <c r="H828" s="14">
        <v>115</v>
      </c>
      <c r="I828" s="176" t="s">
        <v>155</v>
      </c>
      <c r="J828" s="14">
        <v>651</v>
      </c>
      <c r="K828" s="87"/>
      <c r="L828" s="14" t="s">
        <v>4363</v>
      </c>
      <c r="M828" s="324">
        <f t="shared" si="130"/>
        <v>0</v>
      </c>
      <c r="N828" s="14" t="s">
        <v>1880</v>
      </c>
      <c r="O828" s="14" t="s">
        <v>1880</v>
      </c>
      <c r="P828" s="167" t="s">
        <v>147</v>
      </c>
      <c r="Q828" s="14" t="s">
        <v>185</v>
      </c>
      <c r="R828" s="223" t="s">
        <v>234</v>
      </c>
      <c r="S828" s="224">
        <f t="shared" si="131"/>
        <v>45698</v>
      </c>
      <c r="T828" s="79">
        <v>45902</v>
      </c>
      <c r="U828" s="14" t="s">
        <v>4364</v>
      </c>
      <c r="V828" s="14" t="s">
        <v>4365</v>
      </c>
      <c r="W828" s="14" t="s">
        <v>1879</v>
      </c>
      <c r="X828" s="14" t="s">
        <v>1883</v>
      </c>
      <c r="Y828" s="14" t="s">
        <v>2185</v>
      </c>
      <c r="Z828" s="14" t="s">
        <v>4366</v>
      </c>
      <c r="AA828" s="2">
        <f t="shared" ca="1" si="132"/>
        <v>1</v>
      </c>
      <c r="AB828" s="153"/>
      <c r="AC828" s="454" t="str">
        <f t="shared" si="125"/>
        <v>1</v>
      </c>
    </row>
    <row r="829" spans="1:29" ht="58" x14ac:dyDescent="0.35">
      <c r="A829" s="111" t="str">
        <f t="shared" si="129"/>
        <v>Closed</v>
      </c>
      <c r="B829" s="222">
        <v>45670</v>
      </c>
      <c r="C829" s="14">
        <v>2411</v>
      </c>
      <c r="D829" s="14" t="s">
        <v>4367</v>
      </c>
      <c r="E829" s="14" t="s">
        <v>192</v>
      </c>
      <c r="F829" s="14" t="s">
        <v>1972</v>
      </c>
      <c r="G829" s="14"/>
      <c r="H829" s="14"/>
      <c r="I829" s="176" t="s">
        <v>140</v>
      </c>
      <c r="K829" s="87"/>
      <c r="L829" s="14" t="s">
        <v>4368</v>
      </c>
      <c r="M829" s="324">
        <f t="shared" si="130"/>
        <v>0</v>
      </c>
      <c r="N829" s="14" t="s">
        <v>1879</v>
      </c>
      <c r="O829" s="14" t="s">
        <v>1879</v>
      </c>
      <c r="P829" s="167" t="s">
        <v>143</v>
      </c>
      <c r="Q829" s="14"/>
      <c r="R829" s="170">
        <v>0</v>
      </c>
      <c r="S829" s="108">
        <f t="shared" si="131"/>
        <v>45698</v>
      </c>
      <c r="T829" s="79">
        <v>45304</v>
      </c>
      <c r="U829" s="14"/>
      <c r="V829" s="14"/>
      <c r="W829" s="14"/>
      <c r="X829" s="14"/>
      <c r="Z829" s="14"/>
      <c r="AA829" s="2">
        <f t="shared" ca="1" si="132"/>
        <v>1</v>
      </c>
      <c r="AB829" s="153"/>
      <c r="AC829" s="454" t="str">
        <f t="shared" si="125"/>
        <v/>
      </c>
    </row>
    <row r="830" spans="1:29" ht="58" x14ac:dyDescent="0.35">
      <c r="A830" s="111" t="str">
        <f t="shared" si="129"/>
        <v>Closed</v>
      </c>
      <c r="B830" s="222">
        <v>45671</v>
      </c>
      <c r="C830" s="14">
        <v>2411</v>
      </c>
      <c r="D830" s="14" t="s">
        <v>4369</v>
      </c>
      <c r="E830" s="14" t="s">
        <v>192</v>
      </c>
      <c r="F830" s="167" t="s">
        <v>3086</v>
      </c>
      <c r="G830" s="14"/>
      <c r="H830" s="14"/>
      <c r="I830" s="176" t="s">
        <v>140</v>
      </c>
      <c r="K830" s="87"/>
      <c r="L830" s="14" t="s">
        <v>4370</v>
      </c>
      <c r="M830" s="324">
        <f t="shared" si="130"/>
        <v>0</v>
      </c>
      <c r="N830" s="14" t="s">
        <v>1879</v>
      </c>
      <c r="O830" s="14" t="s">
        <v>1879</v>
      </c>
      <c r="P830" s="167" t="s">
        <v>143</v>
      </c>
      <c r="Q830" s="14"/>
      <c r="R830" s="170">
        <v>0</v>
      </c>
      <c r="S830" s="108">
        <f t="shared" si="131"/>
        <v>45699</v>
      </c>
      <c r="T830" s="79">
        <v>45305</v>
      </c>
      <c r="U830" s="14"/>
      <c r="V830" s="14"/>
      <c r="W830" s="14"/>
      <c r="X830" s="14"/>
      <c r="Y830" s="167" t="s">
        <v>3088</v>
      </c>
      <c r="Z830" s="14"/>
      <c r="AA830" s="2">
        <f t="shared" ca="1" si="132"/>
        <v>1</v>
      </c>
      <c r="AB830" s="153"/>
      <c r="AC830" s="454" t="str">
        <f t="shared" ref="AC830:AC892" si="133">LEFT(H830,1)</f>
        <v/>
      </c>
    </row>
    <row r="831" spans="1:29" ht="58" x14ac:dyDescent="0.35">
      <c r="A831" s="111" t="str">
        <f t="shared" si="129"/>
        <v>Closed</v>
      </c>
      <c r="B831" s="222">
        <v>45671</v>
      </c>
      <c r="C831" s="14">
        <v>2411</v>
      </c>
      <c r="D831" s="14" t="s">
        <v>4371</v>
      </c>
      <c r="E831" s="14" t="s">
        <v>192</v>
      </c>
      <c r="F831" s="14" t="s">
        <v>1954</v>
      </c>
      <c r="G831" s="14" t="s">
        <v>1911</v>
      </c>
      <c r="H831" s="14">
        <v>120</v>
      </c>
      <c r="I831" s="176" t="s">
        <v>140</v>
      </c>
      <c r="K831" s="87"/>
      <c r="L831" s="14" t="s">
        <v>4372</v>
      </c>
      <c r="M831" s="324">
        <f t="shared" si="130"/>
        <v>0</v>
      </c>
      <c r="N831" s="14" t="s">
        <v>1879</v>
      </c>
      <c r="O831" s="14" t="s">
        <v>1879</v>
      </c>
      <c r="P831" s="167" t="s">
        <v>143</v>
      </c>
      <c r="Q831" s="14"/>
      <c r="R831" s="170">
        <v>0</v>
      </c>
      <c r="S831" s="108">
        <f t="shared" si="131"/>
        <v>45699</v>
      </c>
      <c r="T831" s="79">
        <v>45671</v>
      </c>
      <c r="U831" s="14"/>
      <c r="V831" s="14"/>
      <c r="W831" s="14"/>
      <c r="X831" s="14"/>
      <c r="Y831" s="14" t="s">
        <v>1956</v>
      </c>
      <c r="Z831" s="14"/>
      <c r="AA831" s="2">
        <f t="shared" ca="1" si="132"/>
        <v>1</v>
      </c>
      <c r="AB831" s="153"/>
      <c r="AC831" s="454" t="str">
        <f t="shared" si="133"/>
        <v>1</v>
      </c>
    </row>
    <row r="832" spans="1:29" ht="29" x14ac:dyDescent="0.35">
      <c r="A832" s="111" t="str">
        <f t="shared" si="129"/>
        <v>Closed</v>
      </c>
      <c r="B832" s="222">
        <v>45671</v>
      </c>
      <c r="C832" s="14">
        <v>2411</v>
      </c>
      <c r="D832" s="14" t="s">
        <v>4373</v>
      </c>
      <c r="E832" s="14" t="s">
        <v>192</v>
      </c>
      <c r="F832" s="14" t="s">
        <v>2073</v>
      </c>
      <c r="G832" s="14" t="s">
        <v>1911</v>
      </c>
      <c r="H832" s="14">
        <v>124</v>
      </c>
      <c r="I832" s="176" t="s">
        <v>140</v>
      </c>
      <c r="K832" s="87"/>
      <c r="L832" s="14" t="s">
        <v>4374</v>
      </c>
      <c r="M832" s="324">
        <f t="shared" si="130"/>
        <v>0</v>
      </c>
      <c r="N832" s="14" t="s">
        <v>1879</v>
      </c>
      <c r="O832" s="14" t="s">
        <v>1879</v>
      </c>
      <c r="P832" s="167" t="s">
        <v>143</v>
      </c>
      <c r="Q832" s="14"/>
      <c r="R832" s="170">
        <v>0</v>
      </c>
      <c r="S832" s="108">
        <f t="shared" si="131"/>
        <v>45699</v>
      </c>
      <c r="T832" s="79">
        <v>45671</v>
      </c>
      <c r="U832" s="14"/>
      <c r="V832" s="14"/>
      <c r="W832" s="14"/>
      <c r="X832" s="14"/>
      <c r="Y832" s="15" t="s">
        <v>2075</v>
      </c>
      <c r="Z832" s="14"/>
      <c r="AA832" s="2">
        <f t="shared" ca="1" si="132"/>
        <v>1</v>
      </c>
      <c r="AB832" s="153"/>
      <c r="AC832" s="454" t="str">
        <f t="shared" si="133"/>
        <v>1</v>
      </c>
    </row>
    <row r="833" spans="1:29" ht="29" x14ac:dyDescent="0.35">
      <c r="A833" s="111" t="str">
        <f t="shared" si="129"/>
        <v>Closed</v>
      </c>
      <c r="B833" s="222">
        <v>45671</v>
      </c>
      <c r="C833" s="14">
        <v>2411</v>
      </c>
      <c r="D833" s="14" t="s">
        <v>4375</v>
      </c>
      <c r="E833" s="14" t="s">
        <v>83</v>
      </c>
      <c r="F833" s="14" t="s">
        <v>2147</v>
      </c>
      <c r="G833" s="14" t="s">
        <v>1911</v>
      </c>
      <c r="H833" s="14"/>
      <c r="I833" s="176" t="s">
        <v>140</v>
      </c>
      <c r="K833" s="87"/>
      <c r="L833" s="14" t="s">
        <v>4376</v>
      </c>
      <c r="M833" s="324">
        <f t="shared" si="130"/>
        <v>0</v>
      </c>
      <c r="N833" s="14" t="s">
        <v>1879</v>
      </c>
      <c r="O833" s="14" t="s">
        <v>1879</v>
      </c>
      <c r="P833" s="167" t="s">
        <v>143</v>
      </c>
      <c r="Q833" s="14"/>
      <c r="R833" s="170">
        <v>0</v>
      </c>
      <c r="S833" s="108">
        <f t="shared" si="131"/>
        <v>45699</v>
      </c>
      <c r="T833" s="79">
        <v>45671</v>
      </c>
      <c r="U833" s="14"/>
      <c r="V833" s="14"/>
      <c r="W833" s="14"/>
      <c r="X833" s="14"/>
      <c r="Y833" s="14" t="s">
        <v>2150</v>
      </c>
      <c r="Z833" s="14"/>
      <c r="AA833" s="2">
        <f t="shared" ca="1" si="132"/>
        <v>1</v>
      </c>
      <c r="AB833" s="153"/>
      <c r="AC833" s="454" t="str">
        <f t="shared" si="133"/>
        <v/>
      </c>
    </row>
    <row r="834" spans="1:29" ht="58" x14ac:dyDescent="0.35">
      <c r="A834" s="111" t="str">
        <f t="shared" si="129"/>
        <v>Closed</v>
      </c>
      <c r="B834" s="222">
        <v>45672</v>
      </c>
      <c r="C834" s="14">
        <v>2411</v>
      </c>
      <c r="D834" s="14" t="s">
        <v>4377</v>
      </c>
      <c r="E834" s="14" t="s">
        <v>206</v>
      </c>
      <c r="F834" s="14" t="s">
        <v>2245</v>
      </c>
      <c r="G834" s="14"/>
      <c r="H834" s="14">
        <v>111</v>
      </c>
      <c r="I834" s="176" t="s">
        <v>140</v>
      </c>
      <c r="K834" s="87"/>
      <c r="L834" s="14" t="s">
        <v>4378</v>
      </c>
      <c r="M834" s="324">
        <f t="shared" si="130"/>
        <v>0</v>
      </c>
      <c r="N834" s="14" t="s">
        <v>1879</v>
      </c>
      <c r="O834" s="14" t="s">
        <v>1879</v>
      </c>
      <c r="P834" s="167" t="s">
        <v>143</v>
      </c>
      <c r="Q834" s="14"/>
      <c r="R834" s="170">
        <v>0</v>
      </c>
      <c r="S834" s="108">
        <f t="shared" si="131"/>
        <v>45700</v>
      </c>
      <c r="T834" s="79">
        <v>45672</v>
      </c>
      <c r="U834" s="14"/>
      <c r="V834" s="14"/>
      <c r="W834" s="14"/>
      <c r="X834" s="14"/>
      <c r="Z834" s="14"/>
      <c r="AA834" s="2">
        <f t="shared" ca="1" si="132"/>
        <v>1</v>
      </c>
      <c r="AB834" s="153"/>
      <c r="AC834" s="454" t="str">
        <f t="shared" si="133"/>
        <v>1</v>
      </c>
    </row>
    <row r="835" spans="1:29" ht="43.5" x14ac:dyDescent="0.35">
      <c r="A835" s="89" t="str">
        <f t="shared" si="129"/>
        <v>Closed</v>
      </c>
      <c r="B835" s="222">
        <v>45672</v>
      </c>
      <c r="C835" s="14">
        <v>2411</v>
      </c>
      <c r="D835" s="14" t="s">
        <v>1245</v>
      </c>
      <c r="E835" s="14" t="s">
        <v>38</v>
      </c>
      <c r="F835" s="14" t="s">
        <v>1893</v>
      </c>
      <c r="G835" s="14"/>
      <c r="H835" s="14"/>
      <c r="I835" s="176" t="s">
        <v>2</v>
      </c>
      <c r="K835" s="85" t="s">
        <v>137</v>
      </c>
      <c r="L835" s="14" t="s">
        <v>4379</v>
      </c>
      <c r="M835" s="324">
        <v>0</v>
      </c>
      <c r="N835" s="14" t="s">
        <v>1879</v>
      </c>
      <c r="O835" s="14" t="s">
        <v>1880</v>
      </c>
      <c r="P835" s="167" t="s">
        <v>147</v>
      </c>
      <c r="Q835" s="14" t="s">
        <v>176</v>
      </c>
      <c r="R835" s="223" t="s">
        <v>236</v>
      </c>
      <c r="S835" s="224">
        <f t="shared" si="131"/>
        <v>45700</v>
      </c>
      <c r="T835" s="79">
        <v>45684</v>
      </c>
      <c r="U835" s="14" t="s">
        <v>4380</v>
      </c>
      <c r="V835" s="14" t="s">
        <v>4381</v>
      </c>
      <c r="W835" s="14" t="s">
        <v>1879</v>
      </c>
      <c r="X835" s="14" t="s">
        <v>1880</v>
      </c>
      <c r="Z835" s="14"/>
      <c r="AA835" s="2">
        <f t="shared" ca="1" si="132"/>
        <v>1</v>
      </c>
      <c r="AB835" s="153"/>
      <c r="AC835" s="454" t="str">
        <f t="shared" si="133"/>
        <v/>
      </c>
    </row>
    <row r="836" spans="1:29" ht="43.5" x14ac:dyDescent="0.35">
      <c r="A836" s="111" t="str">
        <f t="shared" si="129"/>
        <v>Closed</v>
      </c>
      <c r="B836" s="222">
        <v>45672</v>
      </c>
      <c r="C836" s="14">
        <v>2411</v>
      </c>
      <c r="D836" s="14" t="s">
        <v>4382</v>
      </c>
      <c r="E836" s="14" t="s">
        <v>192</v>
      </c>
      <c r="F836" s="14" t="s">
        <v>1921</v>
      </c>
      <c r="G836" s="14"/>
      <c r="H836" s="14">
        <v>119</v>
      </c>
      <c r="I836" s="176" t="s">
        <v>140</v>
      </c>
      <c r="K836" s="87"/>
      <c r="L836" s="14" t="s">
        <v>4383</v>
      </c>
      <c r="M836" s="324">
        <f>IF(I836="Staff Accident","Entry Required",IF(I836="Assaults","Entry Required",0))</f>
        <v>0</v>
      </c>
      <c r="N836" s="14" t="s">
        <v>1879</v>
      </c>
      <c r="O836" s="14" t="s">
        <v>1879</v>
      </c>
      <c r="P836" s="167" t="s">
        <v>143</v>
      </c>
      <c r="Q836" s="14"/>
      <c r="R836" s="170">
        <v>0</v>
      </c>
      <c r="S836" s="108">
        <f t="shared" si="131"/>
        <v>45700</v>
      </c>
      <c r="T836" s="79">
        <v>45672</v>
      </c>
      <c r="U836" s="14"/>
      <c r="V836" s="14"/>
      <c r="W836" s="14"/>
      <c r="X836" s="14"/>
      <c r="Y836" s="14" t="s">
        <v>1923</v>
      </c>
      <c r="Z836" s="14"/>
      <c r="AA836" s="2">
        <f t="shared" ca="1" si="132"/>
        <v>1</v>
      </c>
      <c r="AB836" s="153"/>
      <c r="AC836" s="454" t="str">
        <f t="shared" si="133"/>
        <v>1</v>
      </c>
    </row>
    <row r="837" spans="1:29" ht="72.5" x14ac:dyDescent="0.35">
      <c r="A837" s="111" t="str">
        <f t="shared" si="129"/>
        <v>Closed</v>
      </c>
      <c r="B837" s="222">
        <v>45672</v>
      </c>
      <c r="C837" s="14">
        <v>2411</v>
      </c>
      <c r="D837" s="14" t="s">
        <v>4384</v>
      </c>
      <c r="E837" s="14" t="s">
        <v>192</v>
      </c>
      <c r="F837" s="14" t="s">
        <v>1972</v>
      </c>
      <c r="G837" s="14"/>
      <c r="H837" s="14"/>
      <c r="I837" s="176" t="s">
        <v>140</v>
      </c>
      <c r="K837" s="87"/>
      <c r="L837" s="14" t="s">
        <v>4385</v>
      </c>
      <c r="M837" s="324">
        <f>IF(I837="Staff Accident","Entry Required",IF(I837="Assaults","Entry Required",0))</f>
        <v>0</v>
      </c>
      <c r="N837" s="14" t="s">
        <v>1879</v>
      </c>
      <c r="O837" s="14" t="s">
        <v>1879</v>
      </c>
      <c r="P837" s="167" t="s">
        <v>143</v>
      </c>
      <c r="Q837" s="14"/>
      <c r="R837" s="170">
        <v>0</v>
      </c>
      <c r="S837" s="108">
        <f t="shared" si="131"/>
        <v>45700</v>
      </c>
      <c r="T837" s="79">
        <v>45672</v>
      </c>
      <c r="U837" s="14"/>
      <c r="V837" s="14"/>
      <c r="W837" s="14"/>
      <c r="X837" s="14"/>
      <c r="Z837" s="14"/>
      <c r="AA837" s="2">
        <f t="shared" ca="1" si="132"/>
        <v>1</v>
      </c>
      <c r="AB837" s="153"/>
      <c r="AC837" s="454" t="str">
        <f t="shared" si="133"/>
        <v/>
      </c>
    </row>
    <row r="838" spans="1:29" ht="58" x14ac:dyDescent="0.35">
      <c r="A838" s="89" t="str">
        <f t="shared" si="129"/>
        <v>Closed</v>
      </c>
      <c r="B838" s="222">
        <v>45673</v>
      </c>
      <c r="C838" s="14">
        <v>2411</v>
      </c>
      <c r="D838" s="14" t="s">
        <v>4386</v>
      </c>
      <c r="E838" s="14" t="s">
        <v>38</v>
      </c>
      <c r="F838" s="14" t="s">
        <v>1972</v>
      </c>
      <c r="G838" s="14"/>
      <c r="H838" s="14"/>
      <c r="I838" s="176" t="s">
        <v>2</v>
      </c>
      <c r="J838" s="14">
        <v>8503165</v>
      </c>
      <c r="K838" s="85" t="s">
        <v>137</v>
      </c>
      <c r="L838" s="14" t="s">
        <v>4387</v>
      </c>
      <c r="M838" s="324">
        <v>0</v>
      </c>
      <c r="N838" s="14" t="s">
        <v>1879</v>
      </c>
      <c r="O838" s="14" t="s">
        <v>1880</v>
      </c>
      <c r="P838" s="167" t="s">
        <v>147</v>
      </c>
      <c r="Q838" s="14" t="s">
        <v>153</v>
      </c>
      <c r="R838" s="223" t="s">
        <v>234</v>
      </c>
      <c r="S838" s="224">
        <f t="shared" si="131"/>
        <v>45701</v>
      </c>
      <c r="T838" s="79">
        <v>45902</v>
      </c>
      <c r="U838" s="14" t="s">
        <v>4388</v>
      </c>
      <c r="V838" s="14" t="s">
        <v>4389</v>
      </c>
      <c r="W838" s="14" t="s">
        <v>1879</v>
      </c>
      <c r="X838" s="14" t="s">
        <v>1883</v>
      </c>
      <c r="Z838" s="14" t="s">
        <v>4390</v>
      </c>
      <c r="AA838" s="2">
        <f t="shared" ca="1" si="132"/>
        <v>1</v>
      </c>
      <c r="AB838" s="153"/>
      <c r="AC838" s="454" t="str">
        <f t="shared" si="133"/>
        <v/>
      </c>
    </row>
    <row r="839" spans="1:29" ht="116" x14ac:dyDescent="0.35">
      <c r="A839" s="89" t="str">
        <f t="shared" si="129"/>
        <v>Closed</v>
      </c>
      <c r="B839" s="222">
        <v>45673</v>
      </c>
      <c r="C839" s="14">
        <v>2411</v>
      </c>
      <c r="D839" s="14" t="s">
        <v>4391</v>
      </c>
      <c r="E839" s="14" t="s">
        <v>78</v>
      </c>
      <c r="F839" s="167" t="s">
        <v>1947</v>
      </c>
      <c r="G839" s="14" t="s">
        <v>1911</v>
      </c>
      <c r="H839" s="14">
        <v>103</v>
      </c>
      <c r="I839" s="176" t="s">
        <v>155</v>
      </c>
      <c r="J839" s="14">
        <v>8508846</v>
      </c>
      <c r="K839" s="87"/>
      <c r="L839" s="14" t="s">
        <v>4392</v>
      </c>
      <c r="M839" s="324">
        <f>IF(I839="Staff Accident","Entry Required",IF(I839="Assaults","Entry Required",0))</f>
        <v>0</v>
      </c>
      <c r="N839" s="14" t="s">
        <v>1880</v>
      </c>
      <c r="O839" s="14" t="s">
        <v>1880</v>
      </c>
      <c r="P839" s="167" t="s">
        <v>147</v>
      </c>
      <c r="Q839" s="14" t="s">
        <v>177</v>
      </c>
      <c r="R839" s="223" t="s">
        <v>234</v>
      </c>
      <c r="S839" s="224">
        <f t="shared" si="131"/>
        <v>45701</v>
      </c>
      <c r="T839" s="79">
        <v>45902</v>
      </c>
      <c r="U839" s="14" t="s">
        <v>2207</v>
      </c>
      <c r="V839" s="14" t="s">
        <v>4393</v>
      </c>
      <c r="W839" s="14" t="s">
        <v>2034</v>
      </c>
      <c r="X839" s="14" t="s">
        <v>1883</v>
      </c>
      <c r="Y839" s="167" t="s">
        <v>1951</v>
      </c>
      <c r="Z839" s="14" t="s">
        <v>4394</v>
      </c>
      <c r="AA839" s="2">
        <f t="shared" ca="1" si="132"/>
        <v>1</v>
      </c>
      <c r="AB839" s="153"/>
      <c r="AC839" s="454" t="str">
        <f t="shared" si="133"/>
        <v>1</v>
      </c>
    </row>
    <row r="840" spans="1:29" ht="43.5" x14ac:dyDescent="0.35">
      <c r="A840" s="89" t="str">
        <f t="shared" si="129"/>
        <v>Closed</v>
      </c>
      <c r="B840" s="222">
        <v>45673</v>
      </c>
      <c r="C840" s="14">
        <v>2411</v>
      </c>
      <c r="D840" s="14" t="s">
        <v>4395</v>
      </c>
      <c r="E840" s="14" t="s">
        <v>37</v>
      </c>
      <c r="F840" s="14" t="s">
        <v>2162</v>
      </c>
      <c r="G840" s="14" t="s">
        <v>1911</v>
      </c>
      <c r="H840" s="14"/>
      <c r="I840" s="176" t="s">
        <v>5</v>
      </c>
      <c r="K840" s="87"/>
      <c r="L840" s="14" t="s">
        <v>4396</v>
      </c>
      <c r="M840" s="324">
        <f>IF(I840="Staff Accident","Entry Required",IF(I840="Assaults","Entry Required",0))</f>
        <v>0</v>
      </c>
      <c r="N840" s="14" t="s">
        <v>1879</v>
      </c>
      <c r="O840" s="14" t="s">
        <v>1880</v>
      </c>
      <c r="P840" s="167" t="s">
        <v>147</v>
      </c>
      <c r="Q840" s="14" t="s">
        <v>168</v>
      </c>
      <c r="R840" s="223" t="s">
        <v>234</v>
      </c>
      <c r="S840" s="224">
        <f t="shared" si="131"/>
        <v>45701</v>
      </c>
      <c r="T840" s="79">
        <v>45902</v>
      </c>
      <c r="U840" s="14" t="s">
        <v>4397</v>
      </c>
      <c r="V840" s="14" t="s">
        <v>4398</v>
      </c>
      <c r="W840" s="14" t="s">
        <v>2034</v>
      </c>
      <c r="X840" s="14" t="s">
        <v>1879</v>
      </c>
      <c r="Y840" s="15" t="s">
        <v>2164</v>
      </c>
      <c r="Z840" s="14" t="s">
        <v>4399</v>
      </c>
      <c r="AA840" s="2">
        <f t="shared" ca="1" si="132"/>
        <v>1</v>
      </c>
      <c r="AB840" s="153"/>
      <c r="AC840" s="454" t="str">
        <f t="shared" si="133"/>
        <v/>
      </c>
    </row>
    <row r="841" spans="1:29" ht="43.5" x14ac:dyDescent="0.35">
      <c r="A841" s="89" t="str">
        <f t="shared" si="129"/>
        <v>Closed</v>
      </c>
      <c r="B841" s="222">
        <v>45673</v>
      </c>
      <c r="C841" s="14">
        <v>2411</v>
      </c>
      <c r="D841" s="14" t="s">
        <v>4400</v>
      </c>
      <c r="E841" s="14" t="s">
        <v>38</v>
      </c>
      <c r="F841" s="14" t="s">
        <v>1972</v>
      </c>
      <c r="G841" s="14"/>
      <c r="H841" s="14"/>
      <c r="I841" s="176" t="s">
        <v>2</v>
      </c>
      <c r="J841" s="14">
        <v>1057</v>
      </c>
      <c r="K841" s="85" t="s">
        <v>137</v>
      </c>
      <c r="L841" s="14" t="s">
        <v>4401</v>
      </c>
      <c r="M841" s="324">
        <v>0</v>
      </c>
      <c r="N841" s="14" t="s">
        <v>1879</v>
      </c>
      <c r="O841" s="14" t="s">
        <v>1880</v>
      </c>
      <c r="P841" s="167" t="s">
        <v>147</v>
      </c>
      <c r="Q841" s="14" t="s">
        <v>184</v>
      </c>
      <c r="R841" s="223" t="s">
        <v>241</v>
      </c>
      <c r="S841" s="224">
        <f t="shared" ref="S841:S872" si="134">IF(B841="","",B841+28)</f>
        <v>45701</v>
      </c>
      <c r="T841" s="79">
        <v>45902</v>
      </c>
      <c r="U841" s="14" t="s">
        <v>4402</v>
      </c>
      <c r="V841" s="14" t="s">
        <v>4403</v>
      </c>
      <c r="W841" s="14" t="s">
        <v>1879</v>
      </c>
      <c r="X841" s="14" t="s">
        <v>1880</v>
      </c>
      <c r="Z841" s="14" t="s">
        <v>4404</v>
      </c>
      <c r="AA841" s="2">
        <f t="shared" ref="AA841:AA872" ca="1" si="135">IF(B841="",3,IF(S841&lt;$A$1,1,0))</f>
        <v>1</v>
      </c>
      <c r="AB841" s="153"/>
      <c r="AC841" s="454" t="str">
        <f t="shared" si="133"/>
        <v/>
      </c>
    </row>
    <row r="842" spans="1:29" ht="43.5" x14ac:dyDescent="0.35">
      <c r="A842" s="111" t="str">
        <f t="shared" si="129"/>
        <v>Closed</v>
      </c>
      <c r="B842" s="222">
        <v>45673</v>
      </c>
      <c r="C842" s="14">
        <v>2411</v>
      </c>
      <c r="D842" s="14" t="s">
        <v>4405</v>
      </c>
      <c r="E842" s="14" t="s">
        <v>31</v>
      </c>
      <c r="F842" s="14" t="s">
        <v>3142</v>
      </c>
      <c r="G842" s="14" t="s">
        <v>1911</v>
      </c>
      <c r="H842" s="14"/>
      <c r="I842" s="176" t="s">
        <v>140</v>
      </c>
      <c r="K842" s="87"/>
      <c r="L842" s="14" t="s">
        <v>4406</v>
      </c>
      <c r="M842" s="324">
        <f>IF(I842="Staff Accident","Entry Required",IF(I842="Assaults","Entry Required",0))</f>
        <v>0</v>
      </c>
      <c r="N842" s="14" t="s">
        <v>1879</v>
      </c>
      <c r="O842" s="14" t="s">
        <v>1879</v>
      </c>
      <c r="P842" s="167" t="s">
        <v>143</v>
      </c>
      <c r="Q842" s="14"/>
      <c r="R842" s="170">
        <v>0</v>
      </c>
      <c r="S842" s="108">
        <f t="shared" si="134"/>
        <v>45701</v>
      </c>
      <c r="T842" s="79">
        <v>45673</v>
      </c>
      <c r="U842" s="14"/>
      <c r="V842" s="14"/>
      <c r="W842" s="14"/>
      <c r="X842" s="14"/>
      <c r="Z842" s="14"/>
      <c r="AA842" s="2">
        <f t="shared" ca="1" si="135"/>
        <v>1</v>
      </c>
      <c r="AB842" s="153"/>
      <c r="AC842" s="454" t="str">
        <f t="shared" si="133"/>
        <v/>
      </c>
    </row>
    <row r="843" spans="1:29" ht="217.5" x14ac:dyDescent="0.35">
      <c r="A843" s="89" t="str">
        <f t="shared" si="129"/>
        <v>Closed</v>
      </c>
      <c r="B843" s="222">
        <v>45673</v>
      </c>
      <c r="C843" s="14">
        <v>2411</v>
      </c>
      <c r="D843" s="14" t="s">
        <v>4407</v>
      </c>
      <c r="E843" s="14" t="s">
        <v>194</v>
      </c>
      <c r="F843" s="14" t="s">
        <v>3245</v>
      </c>
      <c r="G843" s="14" t="s">
        <v>1911</v>
      </c>
      <c r="H843" s="14">
        <v>105</v>
      </c>
      <c r="I843" s="176" t="s">
        <v>155</v>
      </c>
      <c r="J843" s="14">
        <v>97</v>
      </c>
      <c r="K843" s="87"/>
      <c r="L843" s="14" t="s">
        <v>4408</v>
      </c>
      <c r="M843" s="324">
        <f>IF(I843="Staff Accident","Entry Required",IF(I843="Assaults","Entry Required",0))</f>
        <v>0</v>
      </c>
      <c r="N843" s="14" t="s">
        <v>1879</v>
      </c>
      <c r="O843" s="14" t="s">
        <v>1880</v>
      </c>
      <c r="P843" s="167" t="s">
        <v>151</v>
      </c>
      <c r="Q843" s="14" t="s">
        <v>177</v>
      </c>
      <c r="R843" s="223" t="s">
        <v>234</v>
      </c>
      <c r="S843" s="224">
        <f t="shared" si="134"/>
        <v>45701</v>
      </c>
      <c r="T843" s="79">
        <v>45902</v>
      </c>
      <c r="U843" s="14" t="s">
        <v>4409</v>
      </c>
      <c r="V843" s="14" t="s">
        <v>4410</v>
      </c>
      <c r="W843" s="14" t="s">
        <v>1880</v>
      </c>
      <c r="X843" s="14" t="s">
        <v>1880</v>
      </c>
      <c r="Z843" s="14" t="s">
        <v>4411</v>
      </c>
      <c r="AA843" s="2">
        <f t="shared" ca="1" si="135"/>
        <v>1</v>
      </c>
      <c r="AB843" s="153"/>
      <c r="AC843" s="454" t="str">
        <f t="shared" si="133"/>
        <v>1</v>
      </c>
    </row>
    <row r="844" spans="1:29" ht="29" x14ac:dyDescent="0.35">
      <c r="A844" s="89" t="str">
        <f t="shared" si="129"/>
        <v>Closed</v>
      </c>
      <c r="B844" s="222">
        <v>45674</v>
      </c>
      <c r="C844" s="14">
        <v>2411</v>
      </c>
      <c r="D844" s="14" t="s">
        <v>4412</v>
      </c>
      <c r="E844" s="14" t="s">
        <v>192</v>
      </c>
      <c r="F844" s="14" t="s">
        <v>2245</v>
      </c>
      <c r="G844" s="14"/>
      <c r="H844" s="14">
        <v>121</v>
      </c>
      <c r="I844" s="176" t="s">
        <v>140</v>
      </c>
      <c r="K844" s="87"/>
      <c r="L844" s="14" t="s">
        <v>4413</v>
      </c>
      <c r="M844" s="324">
        <f>IF(I844="Staff Accident","Entry Required",IF(I844="Assaults","Entry Required",0))</f>
        <v>0</v>
      </c>
      <c r="N844" s="14" t="s">
        <v>1879</v>
      </c>
      <c r="O844" s="14" t="s">
        <v>1879</v>
      </c>
      <c r="P844" s="167" t="s">
        <v>143</v>
      </c>
      <c r="Q844" s="14"/>
      <c r="R844" s="223">
        <v>0</v>
      </c>
      <c r="S844" s="224">
        <f t="shared" si="134"/>
        <v>45702</v>
      </c>
      <c r="T844" s="79">
        <v>45674</v>
      </c>
      <c r="U844" s="14"/>
      <c r="V844" s="14"/>
      <c r="W844" s="14"/>
      <c r="X844" s="14"/>
      <c r="Z844" s="14"/>
      <c r="AA844" s="2">
        <f t="shared" ca="1" si="135"/>
        <v>1</v>
      </c>
      <c r="AB844" s="153"/>
      <c r="AC844" s="454" t="str">
        <f t="shared" si="133"/>
        <v>1</v>
      </c>
    </row>
    <row r="845" spans="1:29" ht="29" x14ac:dyDescent="0.35">
      <c r="A845" s="89" t="str">
        <f t="shared" si="129"/>
        <v>Closed</v>
      </c>
      <c r="B845" s="222">
        <v>45674</v>
      </c>
      <c r="C845" s="14">
        <v>2411</v>
      </c>
      <c r="D845" s="14" t="s">
        <v>4414</v>
      </c>
      <c r="E845" s="14" t="s">
        <v>192</v>
      </c>
      <c r="F845" s="167" t="s">
        <v>3086</v>
      </c>
      <c r="G845" s="14"/>
      <c r="H845" s="14">
        <v>113</v>
      </c>
      <c r="I845" s="176" t="s">
        <v>140</v>
      </c>
      <c r="K845" s="87"/>
      <c r="L845" s="14" t="s">
        <v>4415</v>
      </c>
      <c r="M845" s="324">
        <f>IF(I845="Staff Accident","Entry Required",IF(I845="Assaults","Entry Required",0))</f>
        <v>0</v>
      </c>
      <c r="N845" s="14" t="s">
        <v>1879</v>
      </c>
      <c r="O845" s="14" t="s">
        <v>1879</v>
      </c>
      <c r="P845" s="167" t="s">
        <v>143</v>
      </c>
      <c r="Q845" s="14"/>
      <c r="R845" s="223">
        <v>0</v>
      </c>
      <c r="S845" s="224">
        <f t="shared" si="134"/>
        <v>45702</v>
      </c>
      <c r="T845" s="79">
        <v>45674</v>
      </c>
      <c r="U845" s="14"/>
      <c r="V845" s="14"/>
      <c r="W845" s="14"/>
      <c r="X845" s="14"/>
      <c r="Y845" s="167" t="s">
        <v>3088</v>
      </c>
      <c r="Z845" s="14"/>
      <c r="AA845" s="2">
        <f t="shared" ca="1" si="135"/>
        <v>1</v>
      </c>
      <c r="AB845" s="153"/>
      <c r="AC845" s="454" t="str">
        <f t="shared" si="133"/>
        <v>1</v>
      </c>
    </row>
    <row r="846" spans="1:29" ht="44" thickBot="1" x14ac:dyDescent="0.4">
      <c r="A846" s="89" t="str">
        <f t="shared" si="129"/>
        <v>Closed</v>
      </c>
      <c r="B846" s="222">
        <v>45674</v>
      </c>
      <c r="C846" s="14">
        <v>2411</v>
      </c>
      <c r="D846" s="14" t="s">
        <v>4416</v>
      </c>
      <c r="E846" s="14" t="s">
        <v>1997</v>
      </c>
      <c r="F846" s="167" t="s">
        <v>2162</v>
      </c>
      <c r="G846" s="14" t="s">
        <v>1911</v>
      </c>
      <c r="H846" s="14">
        <v>101</v>
      </c>
      <c r="I846" s="176" t="s">
        <v>140</v>
      </c>
      <c r="K846" s="87"/>
      <c r="L846" s="14" t="s">
        <v>4417</v>
      </c>
      <c r="M846" s="324">
        <f>IF(I846="Staff Accident","Entry Required",IF(I846="Assaults","Entry Required",0))</f>
        <v>0</v>
      </c>
      <c r="N846" s="14" t="s">
        <v>1879</v>
      </c>
      <c r="O846" s="14" t="s">
        <v>1879</v>
      </c>
      <c r="P846" s="167" t="s">
        <v>143</v>
      </c>
      <c r="Q846" s="14"/>
      <c r="R846" s="223">
        <v>0</v>
      </c>
      <c r="S846" s="224">
        <f t="shared" si="134"/>
        <v>45702</v>
      </c>
      <c r="T846" s="79">
        <v>45674</v>
      </c>
      <c r="U846" s="14"/>
      <c r="V846" s="14"/>
      <c r="W846" s="14"/>
      <c r="X846" s="14"/>
      <c r="Y846" s="15" t="s">
        <v>2164</v>
      </c>
      <c r="Z846" s="14"/>
      <c r="AA846" s="2">
        <f t="shared" ca="1" si="135"/>
        <v>1</v>
      </c>
      <c r="AB846" s="153"/>
      <c r="AC846" s="454" t="str">
        <f t="shared" si="133"/>
        <v>1</v>
      </c>
    </row>
    <row r="847" spans="1:29" ht="44" thickBot="1" x14ac:dyDescent="0.4">
      <c r="A847" s="89" t="str">
        <f t="shared" si="129"/>
        <v>Closed</v>
      </c>
      <c r="B847" s="222">
        <v>45675</v>
      </c>
      <c r="C847" s="14">
        <v>2411</v>
      </c>
      <c r="D847" s="14" t="s">
        <v>4418</v>
      </c>
      <c r="E847" s="14" t="s">
        <v>38</v>
      </c>
      <c r="F847" s="14" t="s">
        <v>2162</v>
      </c>
      <c r="G847" s="14" t="s">
        <v>1911</v>
      </c>
      <c r="H847" s="14"/>
      <c r="I847" s="176" t="s">
        <v>2</v>
      </c>
      <c r="J847" s="14">
        <v>1361</v>
      </c>
      <c r="K847" s="85" t="s">
        <v>137</v>
      </c>
      <c r="L847" s="14" t="s">
        <v>4419</v>
      </c>
      <c r="M847" s="324">
        <v>0</v>
      </c>
      <c r="N847" s="14" t="s">
        <v>1879</v>
      </c>
      <c r="O847" s="14" t="s">
        <v>1879</v>
      </c>
      <c r="P847" s="167" t="s">
        <v>136</v>
      </c>
      <c r="Q847" s="14" t="s">
        <v>138</v>
      </c>
      <c r="R847" s="223" t="s">
        <v>234</v>
      </c>
      <c r="S847" s="224">
        <f t="shared" si="134"/>
        <v>45703</v>
      </c>
      <c r="T847" s="79">
        <v>45690</v>
      </c>
      <c r="U847" s="14" t="s">
        <v>4420</v>
      </c>
      <c r="V847" s="14" t="s">
        <v>4421</v>
      </c>
      <c r="W847" s="14" t="s">
        <v>1879</v>
      </c>
      <c r="X847" s="14" t="s">
        <v>154</v>
      </c>
      <c r="Y847" s="464" t="s">
        <v>2164</v>
      </c>
      <c r="Z847" s="87" t="s">
        <v>4422</v>
      </c>
      <c r="AA847" s="2">
        <f t="shared" ca="1" si="135"/>
        <v>1</v>
      </c>
      <c r="AB847" s="153"/>
      <c r="AC847" s="454" t="str">
        <f t="shared" si="133"/>
        <v/>
      </c>
    </row>
    <row r="848" spans="1:29" ht="43.5" x14ac:dyDescent="0.35">
      <c r="A848" s="111" t="str">
        <f t="shared" si="129"/>
        <v>Closed</v>
      </c>
      <c r="B848" s="222">
        <v>45676</v>
      </c>
      <c r="C848" s="14">
        <v>2411</v>
      </c>
      <c r="D848" s="14" t="s">
        <v>4423</v>
      </c>
      <c r="E848" s="14" t="s">
        <v>192</v>
      </c>
      <c r="F848" s="14"/>
      <c r="G848" s="14"/>
      <c r="H848" s="14">
        <v>108</v>
      </c>
      <c r="I848" s="176" t="s">
        <v>140</v>
      </c>
      <c r="K848" s="87"/>
      <c r="L848" s="14" t="s">
        <v>4424</v>
      </c>
      <c r="M848" s="324">
        <f t="shared" ref="M848:M881" si="136">IF(I848="Staff Accident","Entry Required",IF(I848="Assaults","Entry Required",0))</f>
        <v>0</v>
      </c>
      <c r="N848" s="14" t="s">
        <v>1879</v>
      </c>
      <c r="O848" s="14" t="s">
        <v>1879</v>
      </c>
      <c r="P848" s="167" t="s">
        <v>143</v>
      </c>
      <c r="Q848" s="14"/>
      <c r="R848" s="170">
        <v>0</v>
      </c>
      <c r="S848" s="108">
        <f t="shared" si="134"/>
        <v>45704</v>
      </c>
      <c r="T848" s="79">
        <v>45676</v>
      </c>
      <c r="U848" s="14"/>
      <c r="V848" s="14"/>
      <c r="W848" s="14"/>
      <c r="X848" s="14"/>
      <c r="Y848" s="88"/>
      <c r="Z848" s="14"/>
      <c r="AA848" s="2">
        <f t="shared" ca="1" si="135"/>
        <v>1</v>
      </c>
      <c r="AB848" s="153"/>
      <c r="AC848" s="454" t="str">
        <f t="shared" si="133"/>
        <v>1</v>
      </c>
    </row>
    <row r="849" spans="1:29" ht="29" x14ac:dyDescent="0.35">
      <c r="A849" s="111" t="str">
        <f t="shared" si="129"/>
        <v>Closed</v>
      </c>
      <c r="B849" s="222">
        <v>45676</v>
      </c>
      <c r="C849" s="14">
        <v>2411</v>
      </c>
      <c r="D849" s="14" t="s">
        <v>4425</v>
      </c>
      <c r="E849" s="14" t="s">
        <v>192</v>
      </c>
      <c r="F849" s="14" t="s">
        <v>1968</v>
      </c>
      <c r="G849" s="14"/>
      <c r="H849" s="14">
        <v>201</v>
      </c>
      <c r="I849" s="176" t="s">
        <v>140</v>
      </c>
      <c r="K849" s="87"/>
      <c r="L849" s="14" t="s">
        <v>4426</v>
      </c>
      <c r="M849" s="324">
        <f t="shared" si="136"/>
        <v>0</v>
      </c>
      <c r="N849" s="14" t="s">
        <v>1879</v>
      </c>
      <c r="O849" s="14" t="s">
        <v>1879</v>
      </c>
      <c r="P849" s="167" t="s">
        <v>143</v>
      </c>
      <c r="Q849" s="14"/>
      <c r="R849" s="170">
        <v>0</v>
      </c>
      <c r="S849" s="108">
        <f t="shared" si="134"/>
        <v>45704</v>
      </c>
      <c r="T849" s="79">
        <v>45676</v>
      </c>
      <c r="U849" s="14"/>
      <c r="V849" s="14"/>
      <c r="W849" s="14"/>
      <c r="X849" s="14"/>
      <c r="Y849" s="14" t="s">
        <v>1970</v>
      </c>
      <c r="Z849" s="14"/>
      <c r="AA849" s="2">
        <f t="shared" ca="1" si="135"/>
        <v>1</v>
      </c>
      <c r="AB849" s="153"/>
      <c r="AC849" s="454" t="str">
        <f t="shared" si="133"/>
        <v>2</v>
      </c>
    </row>
    <row r="850" spans="1:29" x14ac:dyDescent="0.35">
      <c r="A850" s="111" t="str">
        <f t="shared" si="129"/>
        <v>Closed</v>
      </c>
      <c r="B850" s="222">
        <v>45677</v>
      </c>
      <c r="C850" s="14">
        <v>2411</v>
      </c>
      <c r="D850" s="14" t="s">
        <v>4427</v>
      </c>
      <c r="E850" s="14" t="s">
        <v>192</v>
      </c>
      <c r="F850" s="14" t="s">
        <v>1899</v>
      </c>
      <c r="G850" s="14"/>
      <c r="H850" s="14"/>
      <c r="I850" s="176" t="s">
        <v>140</v>
      </c>
      <c r="K850" s="87"/>
      <c r="L850" s="14" t="s">
        <v>4428</v>
      </c>
      <c r="M850" s="324">
        <f t="shared" si="136"/>
        <v>0</v>
      </c>
      <c r="N850" s="14" t="s">
        <v>1879</v>
      </c>
      <c r="O850" s="14" t="s">
        <v>1879</v>
      </c>
      <c r="P850" s="167" t="s">
        <v>143</v>
      </c>
      <c r="Q850" s="14"/>
      <c r="R850" s="170">
        <v>0</v>
      </c>
      <c r="S850" s="108">
        <f t="shared" si="134"/>
        <v>45705</v>
      </c>
      <c r="T850" s="79">
        <v>45677</v>
      </c>
      <c r="U850" s="14"/>
      <c r="V850" s="14"/>
      <c r="W850" s="14"/>
      <c r="X850" s="14"/>
      <c r="Y850" s="14" t="s">
        <v>1904</v>
      </c>
      <c r="Z850" s="14"/>
      <c r="AA850" s="2">
        <f t="shared" ca="1" si="135"/>
        <v>1</v>
      </c>
      <c r="AB850" s="153"/>
      <c r="AC850" s="454" t="str">
        <f t="shared" si="133"/>
        <v/>
      </c>
    </row>
    <row r="851" spans="1:29" ht="130.5" x14ac:dyDescent="0.35">
      <c r="A851" s="89" t="str">
        <f t="shared" si="129"/>
        <v>Closed</v>
      </c>
      <c r="B851" s="222">
        <v>45678</v>
      </c>
      <c r="C851" s="14">
        <v>2411</v>
      </c>
      <c r="D851" s="14" t="s">
        <v>4429</v>
      </c>
      <c r="E851" s="14" t="s">
        <v>72</v>
      </c>
      <c r="F851" s="14" t="s">
        <v>1972</v>
      </c>
      <c r="G851" s="14"/>
      <c r="H851" s="14">
        <v>125</v>
      </c>
      <c r="I851" s="176" t="s">
        <v>155</v>
      </c>
      <c r="J851" s="14">
        <v>443</v>
      </c>
      <c r="K851" s="87"/>
      <c r="L851" s="14" t="s">
        <v>4430</v>
      </c>
      <c r="M851" s="324">
        <f t="shared" si="136"/>
        <v>0</v>
      </c>
      <c r="N851" s="14" t="s">
        <v>1879</v>
      </c>
      <c r="O851" s="14" t="s">
        <v>1879</v>
      </c>
      <c r="P851" s="167" t="s">
        <v>147</v>
      </c>
      <c r="Q851" s="14" t="s">
        <v>177</v>
      </c>
      <c r="R851" s="223" t="s">
        <v>234</v>
      </c>
      <c r="S851" s="224">
        <f t="shared" si="134"/>
        <v>45706</v>
      </c>
      <c r="T851" s="79">
        <v>45902</v>
      </c>
      <c r="U851" s="14" t="s">
        <v>4431</v>
      </c>
      <c r="V851" s="14" t="s">
        <v>4432</v>
      </c>
      <c r="W851" s="14" t="s">
        <v>1880</v>
      </c>
      <c r="X851" s="14" t="s">
        <v>1883</v>
      </c>
      <c r="Z851" s="14" t="s">
        <v>4433</v>
      </c>
      <c r="AA851" s="2">
        <f t="shared" ca="1" si="135"/>
        <v>1</v>
      </c>
      <c r="AB851" s="153"/>
      <c r="AC851" s="454" t="str">
        <f t="shared" si="133"/>
        <v>1</v>
      </c>
    </row>
    <row r="852" spans="1:29" ht="29" x14ac:dyDescent="0.35">
      <c r="A852" s="111" t="str">
        <f t="shared" si="129"/>
        <v>Closed</v>
      </c>
      <c r="B852" s="222">
        <v>45679</v>
      </c>
      <c r="C852" s="14">
        <v>2411</v>
      </c>
      <c r="D852" s="14" t="s">
        <v>4434</v>
      </c>
      <c r="E852" s="14" t="s">
        <v>192</v>
      </c>
      <c r="F852" s="14" t="s">
        <v>2190</v>
      </c>
      <c r="G852" s="14"/>
      <c r="H852" s="14">
        <v>125</v>
      </c>
      <c r="I852" s="176" t="s">
        <v>140</v>
      </c>
      <c r="K852" s="87"/>
      <c r="L852" s="14" t="s">
        <v>4435</v>
      </c>
      <c r="M852" s="324">
        <f t="shared" si="136"/>
        <v>0</v>
      </c>
      <c r="N852" s="14" t="s">
        <v>1879</v>
      </c>
      <c r="O852" s="14" t="s">
        <v>1879</v>
      </c>
      <c r="P852" s="167" t="s">
        <v>143</v>
      </c>
      <c r="Q852" s="14"/>
      <c r="R852" s="170">
        <v>0</v>
      </c>
      <c r="S852" s="108">
        <f t="shared" si="134"/>
        <v>45707</v>
      </c>
      <c r="T852" s="79">
        <v>45679</v>
      </c>
      <c r="U852" s="14"/>
      <c r="V852" s="14"/>
      <c r="W852" s="14"/>
      <c r="X852" s="14"/>
      <c r="Z852" s="14"/>
      <c r="AA852" s="2">
        <f t="shared" ca="1" si="135"/>
        <v>1</v>
      </c>
      <c r="AB852" s="153"/>
      <c r="AC852" s="454" t="str">
        <f t="shared" si="133"/>
        <v>1</v>
      </c>
    </row>
    <row r="853" spans="1:29" ht="116" x14ac:dyDescent="0.35">
      <c r="A853" s="111" t="str">
        <f t="shared" si="129"/>
        <v>Closed</v>
      </c>
      <c r="B853" s="222">
        <v>45679</v>
      </c>
      <c r="C853" s="14">
        <v>2411</v>
      </c>
      <c r="D853" s="14" t="s">
        <v>4436</v>
      </c>
      <c r="E853" s="14" t="s">
        <v>192</v>
      </c>
      <c r="F853" s="14" t="s">
        <v>3902</v>
      </c>
      <c r="G853" s="14"/>
      <c r="H853" s="14"/>
      <c r="I853" s="176" t="s">
        <v>140</v>
      </c>
      <c r="K853" s="87"/>
      <c r="L853" s="14" t="s">
        <v>4437</v>
      </c>
      <c r="M853" s="324">
        <f t="shared" si="136"/>
        <v>0</v>
      </c>
      <c r="N853" s="14" t="s">
        <v>1879</v>
      </c>
      <c r="O853" s="14" t="s">
        <v>1879</v>
      </c>
      <c r="P853" s="167" t="s">
        <v>143</v>
      </c>
      <c r="Q853" s="14"/>
      <c r="R853" s="170">
        <v>0</v>
      </c>
      <c r="S853" s="108">
        <f t="shared" si="134"/>
        <v>45707</v>
      </c>
      <c r="T853" s="79">
        <v>45679</v>
      </c>
      <c r="U853" s="14"/>
      <c r="V853" s="14"/>
      <c r="W853" s="14"/>
      <c r="X853" s="14"/>
      <c r="Y853" s="167" t="s">
        <v>1929</v>
      </c>
      <c r="Z853" s="14"/>
      <c r="AA853" s="2">
        <f t="shared" ca="1" si="135"/>
        <v>1</v>
      </c>
      <c r="AB853" s="153"/>
      <c r="AC853" s="454" t="str">
        <f t="shared" si="133"/>
        <v/>
      </c>
    </row>
    <row r="854" spans="1:29" ht="58" x14ac:dyDescent="0.35">
      <c r="A854" s="89" t="str">
        <f t="shared" si="129"/>
        <v>Closed</v>
      </c>
      <c r="B854" s="222">
        <v>45680</v>
      </c>
      <c r="C854" s="14">
        <v>2411</v>
      </c>
      <c r="D854" s="14" t="s">
        <v>4438</v>
      </c>
      <c r="E854" s="14" t="s">
        <v>72</v>
      </c>
      <c r="F854" s="14" t="s">
        <v>1910</v>
      </c>
      <c r="G854" s="14"/>
      <c r="H854" s="14"/>
      <c r="I854" s="176" t="s">
        <v>155</v>
      </c>
      <c r="J854" s="14">
        <v>716</v>
      </c>
      <c r="K854" s="87"/>
      <c r="L854" s="14" t="s">
        <v>4439</v>
      </c>
      <c r="M854" s="324">
        <f t="shared" si="136"/>
        <v>0</v>
      </c>
      <c r="N854" s="14" t="s">
        <v>1879</v>
      </c>
      <c r="O854" s="14" t="s">
        <v>1879</v>
      </c>
      <c r="P854" s="167" t="s">
        <v>147</v>
      </c>
      <c r="Q854" s="14" t="s">
        <v>174</v>
      </c>
      <c r="R854" s="223">
        <f t="shared" ref="R854" si="137">IF(I854="Staff Accident","Entry Required",IF(I854="Assaults","Entry Required",0))</f>
        <v>0</v>
      </c>
      <c r="S854" s="224">
        <f t="shared" si="134"/>
        <v>45708</v>
      </c>
      <c r="T854" s="79">
        <v>45695</v>
      </c>
      <c r="U854" s="14" t="s">
        <v>4440</v>
      </c>
      <c r="V854" s="14" t="s">
        <v>2102</v>
      </c>
      <c r="W854" s="14" t="s">
        <v>1880</v>
      </c>
      <c r="X854" s="14" t="s">
        <v>1883</v>
      </c>
      <c r="Y854" s="15" t="s">
        <v>1915</v>
      </c>
      <c r="Z854" s="14" t="s">
        <v>4441</v>
      </c>
      <c r="AA854" s="2">
        <f t="shared" ca="1" si="135"/>
        <v>1</v>
      </c>
      <c r="AB854" s="153"/>
      <c r="AC854" s="454" t="str">
        <f t="shared" si="133"/>
        <v/>
      </c>
    </row>
    <row r="855" spans="1:29" ht="29" x14ac:dyDescent="0.35">
      <c r="A855" s="111" t="str">
        <f t="shared" si="129"/>
        <v>Closed</v>
      </c>
      <c r="B855" s="222">
        <v>45680</v>
      </c>
      <c r="C855" s="14">
        <v>2411</v>
      </c>
      <c r="D855" s="14" t="s">
        <v>4442</v>
      </c>
      <c r="E855" s="14" t="s">
        <v>192</v>
      </c>
      <c r="F855" s="14" t="s">
        <v>3705</v>
      </c>
      <c r="G855" s="14" t="s">
        <v>1911</v>
      </c>
      <c r="H855" s="14"/>
      <c r="I855" s="176" t="s">
        <v>140</v>
      </c>
      <c r="K855" s="87"/>
      <c r="L855" s="14" t="s">
        <v>4443</v>
      </c>
      <c r="M855" s="324">
        <f t="shared" si="136"/>
        <v>0</v>
      </c>
      <c r="N855" s="14" t="s">
        <v>1879</v>
      </c>
      <c r="O855" s="14" t="s">
        <v>1879</v>
      </c>
      <c r="P855" s="167" t="s">
        <v>143</v>
      </c>
      <c r="Q855" s="14"/>
      <c r="R855" s="170">
        <v>0</v>
      </c>
      <c r="S855" s="108">
        <f t="shared" si="134"/>
        <v>45708</v>
      </c>
      <c r="T855" s="79">
        <v>45680</v>
      </c>
      <c r="U855" s="14"/>
      <c r="V855" s="14"/>
      <c r="W855" s="14"/>
      <c r="X855" s="176"/>
      <c r="Y855" s="14" t="s">
        <v>2023</v>
      </c>
      <c r="Z855" s="87"/>
      <c r="AA855" s="2">
        <f t="shared" ca="1" si="135"/>
        <v>1</v>
      </c>
      <c r="AB855" s="153"/>
      <c r="AC855" s="454" t="str">
        <f t="shared" si="133"/>
        <v/>
      </c>
    </row>
    <row r="856" spans="1:29" ht="58" x14ac:dyDescent="0.35">
      <c r="A856" s="111" t="str">
        <f t="shared" si="129"/>
        <v>Closed</v>
      </c>
      <c r="B856" s="222">
        <v>45680</v>
      </c>
      <c r="C856" s="14">
        <v>2411</v>
      </c>
      <c r="D856" s="14" t="s">
        <v>4444</v>
      </c>
      <c r="E856" s="14" t="s">
        <v>31</v>
      </c>
      <c r="F856" s="14" t="s">
        <v>1910</v>
      </c>
      <c r="G856" s="14" t="s">
        <v>1911</v>
      </c>
      <c r="H856" s="14">
        <v>107</v>
      </c>
      <c r="I856" s="176" t="s">
        <v>140</v>
      </c>
      <c r="K856" s="87"/>
      <c r="L856" s="14" t="s">
        <v>4445</v>
      </c>
      <c r="M856" s="324">
        <f t="shared" si="136"/>
        <v>0</v>
      </c>
      <c r="N856" s="14" t="s">
        <v>1879</v>
      </c>
      <c r="O856" s="14" t="s">
        <v>1880</v>
      </c>
      <c r="P856" s="167" t="s">
        <v>143</v>
      </c>
      <c r="Q856" s="14"/>
      <c r="R856" s="170">
        <v>0</v>
      </c>
      <c r="S856" s="224">
        <f t="shared" si="134"/>
        <v>45708</v>
      </c>
      <c r="T856" s="79">
        <v>45680</v>
      </c>
      <c r="U856" s="14"/>
      <c r="V856" s="14"/>
      <c r="W856" s="14"/>
      <c r="X856" s="14"/>
      <c r="Y856" s="295" t="s">
        <v>1915</v>
      </c>
      <c r="Z856" s="14"/>
      <c r="AA856" s="2">
        <f t="shared" ca="1" si="135"/>
        <v>1</v>
      </c>
      <c r="AB856" s="153"/>
      <c r="AC856" s="454" t="str">
        <f t="shared" si="133"/>
        <v>1</v>
      </c>
    </row>
    <row r="857" spans="1:29" ht="58" x14ac:dyDescent="0.35">
      <c r="A857" s="111" t="str">
        <f t="shared" si="129"/>
        <v>Closed</v>
      </c>
      <c r="B857" s="222">
        <v>45680</v>
      </c>
      <c r="C857" s="14">
        <v>2411</v>
      </c>
      <c r="D857" s="14" t="s">
        <v>4446</v>
      </c>
      <c r="E857" s="14" t="s">
        <v>31</v>
      </c>
      <c r="F857" s="14" t="s">
        <v>2205</v>
      </c>
      <c r="G857" s="14"/>
      <c r="H857" s="14">
        <v>107</v>
      </c>
      <c r="I857" s="176" t="s">
        <v>140</v>
      </c>
      <c r="K857" s="87"/>
      <c r="L857" s="14" t="s">
        <v>4447</v>
      </c>
      <c r="M857" s="324">
        <f t="shared" si="136"/>
        <v>0</v>
      </c>
      <c r="N857" s="14" t="s">
        <v>1879</v>
      </c>
      <c r="O857" s="14" t="s">
        <v>1879</v>
      </c>
      <c r="P857" s="167" t="s">
        <v>143</v>
      </c>
      <c r="Q857" s="14"/>
      <c r="R857" s="170">
        <v>0</v>
      </c>
      <c r="S857" s="108">
        <f t="shared" si="134"/>
        <v>45708</v>
      </c>
      <c r="T857" s="79">
        <v>45680</v>
      </c>
      <c r="U857" s="14"/>
      <c r="V857" s="14"/>
      <c r="W857" s="14"/>
      <c r="X857" s="176"/>
      <c r="Y857" s="14" t="s">
        <v>2726</v>
      </c>
      <c r="Z857" s="87"/>
      <c r="AA857" s="2">
        <f t="shared" ca="1" si="135"/>
        <v>1</v>
      </c>
      <c r="AB857" s="153"/>
      <c r="AC857" s="454" t="str">
        <f t="shared" si="133"/>
        <v>1</v>
      </c>
    </row>
    <row r="858" spans="1:29" ht="72.5" x14ac:dyDescent="0.45">
      <c r="A858" s="111" t="str">
        <f t="shared" si="129"/>
        <v>Closed</v>
      </c>
      <c r="B858" s="222">
        <v>45680</v>
      </c>
      <c r="C858" s="14">
        <v>2411</v>
      </c>
      <c r="D858" s="14" t="s">
        <v>4448</v>
      </c>
      <c r="E858" s="14" t="s">
        <v>192</v>
      </c>
      <c r="F858" s="14" t="s">
        <v>2338</v>
      </c>
      <c r="G858" s="14"/>
      <c r="H858" s="14">
        <v>107</v>
      </c>
      <c r="I858" s="176" t="s">
        <v>140</v>
      </c>
      <c r="K858" s="87"/>
      <c r="L858" s="14" t="s">
        <v>4449</v>
      </c>
      <c r="M858" s="324">
        <f t="shared" si="136"/>
        <v>0</v>
      </c>
      <c r="N858" s="14" t="s">
        <v>1879</v>
      </c>
      <c r="O858" s="14" t="s">
        <v>1879</v>
      </c>
      <c r="P858" s="167" t="s">
        <v>143</v>
      </c>
      <c r="Q858" s="14"/>
      <c r="R858" s="170">
        <v>0</v>
      </c>
      <c r="S858" s="108">
        <f t="shared" si="134"/>
        <v>45708</v>
      </c>
      <c r="T858" s="79">
        <v>45680</v>
      </c>
      <c r="U858" s="14"/>
      <c r="V858" s="14"/>
      <c r="W858" s="14"/>
      <c r="X858" s="14"/>
      <c r="Y858" s="463" t="s">
        <v>2340</v>
      </c>
      <c r="Z858" s="14"/>
      <c r="AA858" s="2">
        <f t="shared" ca="1" si="135"/>
        <v>1</v>
      </c>
      <c r="AB858" s="153"/>
      <c r="AC858" s="454" t="str">
        <f t="shared" si="133"/>
        <v>1</v>
      </c>
    </row>
    <row r="859" spans="1:29" ht="58" x14ac:dyDescent="0.35">
      <c r="A859" s="111" t="str">
        <f t="shared" si="129"/>
        <v>Closed</v>
      </c>
      <c r="B859" s="222">
        <v>45681</v>
      </c>
      <c r="C859" s="14">
        <v>2411</v>
      </c>
      <c r="D859" s="14" t="s">
        <v>4450</v>
      </c>
      <c r="E859" s="14" t="s">
        <v>31</v>
      </c>
      <c r="F859" s="14" t="s">
        <v>2783</v>
      </c>
      <c r="G859" s="14" t="s">
        <v>1900</v>
      </c>
      <c r="H859" s="14">
        <v>121</v>
      </c>
      <c r="I859" s="176" t="s">
        <v>140</v>
      </c>
      <c r="K859" s="87"/>
      <c r="L859" s="14" t="s">
        <v>4451</v>
      </c>
      <c r="M859" s="324">
        <f t="shared" si="136"/>
        <v>0</v>
      </c>
      <c r="N859" s="14" t="s">
        <v>1879</v>
      </c>
      <c r="O859" s="14" t="s">
        <v>1879</v>
      </c>
      <c r="P859" s="167" t="s">
        <v>143</v>
      </c>
      <c r="Q859" s="14"/>
      <c r="R859" s="170">
        <v>0</v>
      </c>
      <c r="S859" s="108">
        <f t="shared" si="134"/>
        <v>45709</v>
      </c>
      <c r="T859" s="79">
        <v>45681</v>
      </c>
      <c r="U859" s="14"/>
      <c r="V859" s="14"/>
      <c r="W859" s="14"/>
      <c r="X859" s="14"/>
      <c r="Z859" s="14"/>
      <c r="AA859" s="2">
        <f t="shared" ca="1" si="135"/>
        <v>1</v>
      </c>
      <c r="AB859" s="153"/>
      <c r="AC859" s="454" t="str">
        <f t="shared" si="133"/>
        <v>1</v>
      </c>
    </row>
    <row r="860" spans="1:29" ht="29" x14ac:dyDescent="0.35">
      <c r="A860" s="111" t="str">
        <f t="shared" si="129"/>
        <v>Closed</v>
      </c>
      <c r="B860" s="222">
        <v>45681</v>
      </c>
      <c r="C860" s="14">
        <v>2411</v>
      </c>
      <c r="D860" s="14" t="s">
        <v>4452</v>
      </c>
      <c r="E860" s="14" t="s">
        <v>31</v>
      </c>
      <c r="F860" s="14" t="s">
        <v>1972</v>
      </c>
      <c r="G860" s="14"/>
      <c r="H860" s="14">
        <v>102</v>
      </c>
      <c r="I860" s="176" t="s">
        <v>140</v>
      </c>
      <c r="K860" s="87"/>
      <c r="L860" s="14" t="s">
        <v>4453</v>
      </c>
      <c r="M860" s="324">
        <f t="shared" si="136"/>
        <v>0</v>
      </c>
      <c r="N860" s="14" t="s">
        <v>1879</v>
      </c>
      <c r="O860" s="14" t="s">
        <v>1879</v>
      </c>
      <c r="P860" s="167" t="s">
        <v>143</v>
      </c>
      <c r="Q860" s="14"/>
      <c r="R860" s="170">
        <v>0</v>
      </c>
      <c r="S860" s="108">
        <f t="shared" si="134"/>
        <v>45709</v>
      </c>
      <c r="T860" s="79">
        <v>45681</v>
      </c>
      <c r="U860" s="14"/>
      <c r="V860" s="14"/>
      <c r="W860" s="14"/>
      <c r="X860" s="14"/>
      <c r="Z860" s="14"/>
      <c r="AA860" s="2">
        <f t="shared" ca="1" si="135"/>
        <v>1</v>
      </c>
      <c r="AB860" s="153"/>
      <c r="AC860" s="454" t="str">
        <f t="shared" si="133"/>
        <v>1</v>
      </c>
    </row>
    <row r="861" spans="1:29" ht="43.5" x14ac:dyDescent="0.35">
      <c r="A861" s="89" t="str">
        <f t="shared" si="129"/>
        <v>Closed</v>
      </c>
      <c r="B861" s="222">
        <v>45681</v>
      </c>
      <c r="C861" s="14">
        <v>2411</v>
      </c>
      <c r="D861" s="14" t="s">
        <v>4454</v>
      </c>
      <c r="E861" s="14" t="s">
        <v>37</v>
      </c>
      <c r="F861" s="14" t="s">
        <v>1918</v>
      </c>
      <c r="G861" s="14"/>
      <c r="H861" s="14">
        <v>102</v>
      </c>
      <c r="I861" s="176" t="s">
        <v>5</v>
      </c>
      <c r="K861" s="87"/>
      <c r="L861" s="14" t="s">
        <v>4455</v>
      </c>
      <c r="M861" s="324">
        <f t="shared" si="136"/>
        <v>0</v>
      </c>
      <c r="N861" s="14" t="s">
        <v>1879</v>
      </c>
      <c r="O861" s="14" t="s">
        <v>1880</v>
      </c>
      <c r="P861" s="167" t="s">
        <v>147</v>
      </c>
      <c r="Q861" s="14" t="s">
        <v>174</v>
      </c>
      <c r="R861" s="223" t="s">
        <v>234</v>
      </c>
      <c r="S861" s="224">
        <f t="shared" si="134"/>
        <v>45709</v>
      </c>
      <c r="T861" s="79">
        <v>45719</v>
      </c>
      <c r="U861" s="14" t="s">
        <v>4193</v>
      </c>
      <c r="V861" s="14" t="s">
        <v>4398</v>
      </c>
      <c r="W861" s="14" t="s">
        <v>1879</v>
      </c>
      <c r="X861" s="14" t="s">
        <v>1883</v>
      </c>
      <c r="Y861" s="51" t="s">
        <v>2001</v>
      </c>
      <c r="Z861" s="14"/>
      <c r="AA861" s="2">
        <f t="shared" ca="1" si="135"/>
        <v>1</v>
      </c>
      <c r="AB861" s="153"/>
      <c r="AC861" s="454" t="str">
        <f t="shared" si="133"/>
        <v>1</v>
      </c>
    </row>
    <row r="862" spans="1:29" ht="58" x14ac:dyDescent="0.35">
      <c r="A862" s="111" t="str">
        <f t="shared" si="129"/>
        <v>Closed</v>
      </c>
      <c r="B862" s="222">
        <v>45681</v>
      </c>
      <c r="C862" s="14">
        <v>2411</v>
      </c>
      <c r="D862" s="14" t="s">
        <v>4456</v>
      </c>
      <c r="E862" s="14" t="s">
        <v>8</v>
      </c>
      <c r="F862" s="14" t="s">
        <v>2299</v>
      </c>
      <c r="G862" s="14" t="s">
        <v>1911</v>
      </c>
      <c r="H862" s="14">
        <v>207</v>
      </c>
      <c r="I862" s="176" t="s">
        <v>140</v>
      </c>
      <c r="K862" s="87"/>
      <c r="L862" s="14" t="s">
        <v>4457</v>
      </c>
      <c r="M862" s="324">
        <f t="shared" si="136"/>
        <v>0</v>
      </c>
      <c r="N862" s="14" t="s">
        <v>1879</v>
      </c>
      <c r="O862" s="14" t="s">
        <v>1879</v>
      </c>
      <c r="P862" s="167" t="s">
        <v>143</v>
      </c>
      <c r="Q862" s="14"/>
      <c r="R862" s="170">
        <v>0</v>
      </c>
      <c r="S862" s="108">
        <f t="shared" si="134"/>
        <v>45709</v>
      </c>
      <c r="T862" s="79">
        <v>45681</v>
      </c>
      <c r="U862" s="14"/>
      <c r="V862" s="14"/>
      <c r="W862" s="14"/>
      <c r="X862" s="14"/>
      <c r="Y862" s="14" t="s">
        <v>2302</v>
      </c>
      <c r="Z862" s="14"/>
      <c r="AA862" s="2">
        <f t="shared" ca="1" si="135"/>
        <v>1</v>
      </c>
      <c r="AB862" s="153"/>
      <c r="AC862" s="454" t="str">
        <f t="shared" si="133"/>
        <v>2</v>
      </c>
    </row>
    <row r="863" spans="1:29" ht="29" x14ac:dyDescent="0.35">
      <c r="A863" s="111" t="str">
        <f t="shared" si="129"/>
        <v>Closed</v>
      </c>
      <c r="B863" s="222">
        <v>45682</v>
      </c>
      <c r="C863" s="14">
        <v>2411</v>
      </c>
      <c r="D863" s="14" t="s">
        <v>4458</v>
      </c>
      <c r="E863" s="14" t="s">
        <v>31</v>
      </c>
      <c r="F863" s="14" t="s">
        <v>1910</v>
      </c>
      <c r="G863" s="14" t="s">
        <v>1900</v>
      </c>
      <c r="H863" s="14">
        <v>205</v>
      </c>
      <c r="I863" s="176" t="s">
        <v>140</v>
      </c>
      <c r="K863" s="87"/>
      <c r="L863" s="14" t="s">
        <v>4459</v>
      </c>
      <c r="M863" s="324">
        <f t="shared" si="136"/>
        <v>0</v>
      </c>
      <c r="N863" s="14" t="s">
        <v>1879</v>
      </c>
      <c r="O863" s="14" t="s">
        <v>1879</v>
      </c>
      <c r="P863" s="167" t="s">
        <v>143</v>
      </c>
      <c r="Q863" s="14"/>
      <c r="R863" s="170">
        <v>0</v>
      </c>
      <c r="S863" s="108">
        <f t="shared" si="134"/>
        <v>45710</v>
      </c>
      <c r="T863" s="79">
        <v>45682</v>
      </c>
      <c r="U863" s="14"/>
      <c r="V863" s="14"/>
      <c r="W863" s="14"/>
      <c r="X863" s="14"/>
      <c r="Y863" s="15" t="s">
        <v>1915</v>
      </c>
      <c r="Z863" s="14"/>
      <c r="AA863" s="2">
        <f t="shared" ca="1" si="135"/>
        <v>1</v>
      </c>
      <c r="AB863" s="153"/>
      <c r="AC863" s="454" t="str">
        <f t="shared" si="133"/>
        <v>2</v>
      </c>
    </row>
    <row r="864" spans="1:29" ht="43.5" x14ac:dyDescent="0.35">
      <c r="A864" s="89" t="str">
        <f t="shared" si="129"/>
        <v>Closed</v>
      </c>
      <c r="B864" s="222">
        <v>45682</v>
      </c>
      <c r="C864" s="14">
        <v>2411</v>
      </c>
      <c r="D864" s="14" t="s">
        <v>4460</v>
      </c>
      <c r="E864" s="14" t="s">
        <v>72</v>
      </c>
      <c r="F864" s="14" t="s">
        <v>1980</v>
      </c>
      <c r="G864" s="14" t="s">
        <v>1911</v>
      </c>
      <c r="H864" s="14">
        <v>110</v>
      </c>
      <c r="I864" s="176" t="s">
        <v>155</v>
      </c>
      <c r="J864" s="14">
        <v>118</v>
      </c>
      <c r="K864" s="87"/>
      <c r="L864" s="14" t="s">
        <v>4461</v>
      </c>
      <c r="M864" s="324">
        <f t="shared" si="136"/>
        <v>0</v>
      </c>
      <c r="N864" s="14" t="s">
        <v>1879</v>
      </c>
      <c r="O864" s="14" t="s">
        <v>1879</v>
      </c>
      <c r="P864" s="167" t="s">
        <v>147</v>
      </c>
      <c r="Q864" s="14" t="s">
        <v>175</v>
      </c>
      <c r="R864" s="223" t="s">
        <v>234</v>
      </c>
      <c r="S864" s="224">
        <f t="shared" si="134"/>
        <v>45710</v>
      </c>
      <c r="T864" s="79">
        <v>45902</v>
      </c>
      <c r="U864" s="14" t="s">
        <v>72</v>
      </c>
      <c r="V864" s="14" t="s">
        <v>2102</v>
      </c>
      <c r="W864" s="14" t="s">
        <v>1880</v>
      </c>
      <c r="X864" s="176" t="s">
        <v>1883</v>
      </c>
      <c r="Y864" s="15" t="s">
        <v>1982</v>
      </c>
      <c r="Z864" s="87" t="s">
        <v>4462</v>
      </c>
      <c r="AA864" s="2">
        <f t="shared" ca="1" si="135"/>
        <v>1</v>
      </c>
      <c r="AB864" s="153"/>
      <c r="AC864" s="454" t="str">
        <f t="shared" si="133"/>
        <v>1</v>
      </c>
    </row>
    <row r="865" spans="1:29" ht="159.5" x14ac:dyDescent="0.35">
      <c r="A865" s="89" t="str">
        <f t="shared" si="129"/>
        <v>Closed</v>
      </c>
      <c r="B865" s="222">
        <v>45682</v>
      </c>
      <c r="C865" s="14">
        <v>2411</v>
      </c>
      <c r="D865" s="14" t="s">
        <v>4463</v>
      </c>
      <c r="E865" s="14" t="s">
        <v>78</v>
      </c>
      <c r="F865" s="14" t="s">
        <v>2014</v>
      </c>
      <c r="G865" s="14" t="s">
        <v>1911</v>
      </c>
      <c r="H865" s="14">
        <v>106</v>
      </c>
      <c r="I865" s="176" t="s">
        <v>155</v>
      </c>
      <c r="K865" s="87"/>
      <c r="L865" s="14" t="s">
        <v>4464</v>
      </c>
      <c r="M865" s="324">
        <f t="shared" si="136"/>
        <v>0</v>
      </c>
      <c r="N865" s="14" t="s">
        <v>1880</v>
      </c>
      <c r="O865" s="14" t="s">
        <v>1880</v>
      </c>
      <c r="P865" s="167" t="s">
        <v>147</v>
      </c>
      <c r="Q865" s="14" t="s">
        <v>175</v>
      </c>
      <c r="R865" s="223" t="s">
        <v>234</v>
      </c>
      <c r="S865" s="224">
        <f t="shared" si="134"/>
        <v>45710</v>
      </c>
      <c r="T865" s="79">
        <v>45902</v>
      </c>
      <c r="U865" s="14" t="s">
        <v>4465</v>
      </c>
      <c r="V865" s="14" t="s">
        <v>4466</v>
      </c>
      <c r="W865" s="14" t="s">
        <v>1879</v>
      </c>
      <c r="X865" s="14" t="s">
        <v>1883</v>
      </c>
      <c r="Y865" s="51" t="s">
        <v>2001</v>
      </c>
      <c r="Z865" s="14" t="s">
        <v>4467</v>
      </c>
      <c r="AA865" s="2">
        <f t="shared" ca="1" si="135"/>
        <v>1</v>
      </c>
      <c r="AB865" s="153"/>
      <c r="AC865" s="454" t="str">
        <f t="shared" si="133"/>
        <v>1</v>
      </c>
    </row>
    <row r="866" spans="1:29" ht="101.5" x14ac:dyDescent="0.35">
      <c r="A866" s="111" t="str">
        <f t="shared" si="129"/>
        <v>Closed</v>
      </c>
      <c r="B866" s="222">
        <v>45682</v>
      </c>
      <c r="C866" s="14">
        <v>2411</v>
      </c>
      <c r="D866" s="14" t="s">
        <v>4468</v>
      </c>
      <c r="E866" s="14" t="s">
        <v>206</v>
      </c>
      <c r="F866" s="14" t="s">
        <v>2147</v>
      </c>
      <c r="G866" s="14" t="s">
        <v>1911</v>
      </c>
      <c r="H866" s="14">
        <v>105</v>
      </c>
      <c r="I866" s="176" t="s">
        <v>140</v>
      </c>
      <c r="K866" s="87"/>
      <c r="L866" s="14" t="s">
        <v>4469</v>
      </c>
      <c r="M866" s="324">
        <f t="shared" si="136"/>
        <v>0</v>
      </c>
      <c r="N866" s="14" t="s">
        <v>1879</v>
      </c>
      <c r="O866" s="14" t="s">
        <v>1879</v>
      </c>
      <c r="P866" s="167" t="s">
        <v>143</v>
      </c>
      <c r="Q866" s="14"/>
      <c r="R866" s="170">
        <v>0</v>
      </c>
      <c r="S866" s="108">
        <f t="shared" si="134"/>
        <v>45710</v>
      </c>
      <c r="T866" s="79">
        <v>45682</v>
      </c>
      <c r="U866" s="14"/>
      <c r="V866" s="14"/>
      <c r="W866" s="14"/>
      <c r="X866" s="14"/>
      <c r="Y866" s="14" t="s">
        <v>2150</v>
      </c>
      <c r="Z866" s="14"/>
      <c r="AA866" s="2">
        <f t="shared" ca="1" si="135"/>
        <v>1</v>
      </c>
      <c r="AB866" s="153"/>
      <c r="AC866" s="454" t="str">
        <f t="shared" si="133"/>
        <v>1</v>
      </c>
    </row>
    <row r="867" spans="1:29" ht="29" x14ac:dyDescent="0.35">
      <c r="A867" s="111" t="str">
        <f t="shared" ref="A867:A929" si="138">IF(T867&gt;1,"Closed",IF(AA867=1,"Overdue",IF(AA867=3,"","Open")))</f>
        <v>Closed</v>
      </c>
      <c r="B867" s="222">
        <v>45683</v>
      </c>
      <c r="C867" s="14">
        <v>2411</v>
      </c>
      <c r="D867" s="14" t="s">
        <v>4470</v>
      </c>
      <c r="E867" s="14" t="s">
        <v>192</v>
      </c>
      <c r="F867" s="14" t="s">
        <v>2765</v>
      </c>
      <c r="G867" s="14"/>
      <c r="H867" s="14">
        <v>201</v>
      </c>
      <c r="I867" s="176" t="s">
        <v>140</v>
      </c>
      <c r="K867" s="87"/>
      <c r="L867" s="14" t="s">
        <v>4471</v>
      </c>
      <c r="M867" s="324">
        <f t="shared" si="136"/>
        <v>0</v>
      </c>
      <c r="N867" s="14" t="s">
        <v>1879</v>
      </c>
      <c r="O867" s="14" t="s">
        <v>1879</v>
      </c>
      <c r="P867" s="167" t="s">
        <v>143</v>
      </c>
      <c r="Q867" s="14"/>
      <c r="R867" s="170">
        <v>0</v>
      </c>
      <c r="S867" s="108">
        <f t="shared" si="134"/>
        <v>45711</v>
      </c>
      <c r="T867" s="79">
        <v>45683</v>
      </c>
      <c r="U867" s="14"/>
      <c r="V867" s="14"/>
      <c r="W867" s="14"/>
      <c r="X867" s="14"/>
      <c r="Z867" s="14"/>
      <c r="AA867" s="2">
        <f t="shared" ca="1" si="135"/>
        <v>1</v>
      </c>
      <c r="AB867" s="153"/>
      <c r="AC867" s="454" t="str">
        <f t="shared" si="133"/>
        <v>2</v>
      </c>
    </row>
    <row r="868" spans="1:29" ht="58" x14ac:dyDescent="0.35">
      <c r="A868" s="111" t="str">
        <f t="shared" si="138"/>
        <v>Closed</v>
      </c>
      <c r="B868" s="222">
        <v>45684</v>
      </c>
      <c r="C868" s="14">
        <v>2411</v>
      </c>
      <c r="D868" s="14" t="s">
        <v>4472</v>
      </c>
      <c r="E868" s="14" t="s">
        <v>206</v>
      </c>
      <c r="F868" s="14" t="s">
        <v>2147</v>
      </c>
      <c r="G868" s="14"/>
      <c r="H868" s="14"/>
      <c r="I868" s="176" t="s">
        <v>140</v>
      </c>
      <c r="K868" s="87"/>
      <c r="L868" s="14" t="s">
        <v>4473</v>
      </c>
      <c r="M868" s="324">
        <f t="shared" si="136"/>
        <v>0</v>
      </c>
      <c r="N868" s="14" t="s">
        <v>1879</v>
      </c>
      <c r="O868" s="14" t="s">
        <v>1879</v>
      </c>
      <c r="P868" s="167" t="s">
        <v>143</v>
      </c>
      <c r="Q868" s="14"/>
      <c r="R868" s="170">
        <v>0</v>
      </c>
      <c r="S868" s="108">
        <f t="shared" si="134"/>
        <v>45712</v>
      </c>
      <c r="T868" s="79">
        <v>45684</v>
      </c>
      <c r="U868" s="14"/>
      <c r="V868" s="14"/>
      <c r="W868" s="14"/>
      <c r="X868" s="14"/>
      <c r="Y868" s="14" t="s">
        <v>2150</v>
      </c>
      <c r="Z868" s="14"/>
      <c r="AA868" s="2">
        <f t="shared" ca="1" si="135"/>
        <v>1</v>
      </c>
      <c r="AB868" s="153"/>
      <c r="AC868" s="454" t="str">
        <f t="shared" si="133"/>
        <v/>
      </c>
    </row>
    <row r="869" spans="1:29" ht="43.5" x14ac:dyDescent="0.35">
      <c r="A869" s="89" t="str">
        <f t="shared" si="138"/>
        <v>Closed</v>
      </c>
      <c r="B869" s="222">
        <v>45684</v>
      </c>
      <c r="C869" s="14">
        <v>2411</v>
      </c>
      <c r="D869" s="14" t="s">
        <v>4474</v>
      </c>
      <c r="E869" s="14" t="s">
        <v>27</v>
      </c>
      <c r="F869" s="14" t="s">
        <v>2212</v>
      </c>
      <c r="G869" s="14" t="s">
        <v>1911</v>
      </c>
      <c r="H869" s="14">
        <v>116</v>
      </c>
      <c r="I869" s="176"/>
      <c r="K869" s="87"/>
      <c r="L869" s="14" t="s">
        <v>4475</v>
      </c>
      <c r="M869" s="324">
        <f t="shared" si="136"/>
        <v>0</v>
      </c>
      <c r="N869" s="14" t="s">
        <v>1879</v>
      </c>
      <c r="O869" s="14" t="s">
        <v>1880</v>
      </c>
      <c r="P869" s="167" t="s">
        <v>147</v>
      </c>
      <c r="Q869" s="14" t="s">
        <v>135</v>
      </c>
      <c r="R869" s="223" t="s">
        <v>234</v>
      </c>
      <c r="S869" s="224">
        <f t="shared" si="134"/>
        <v>45712</v>
      </c>
      <c r="T869" s="79">
        <v>45902</v>
      </c>
      <c r="U869" s="14"/>
      <c r="V869" s="14"/>
      <c r="W869" s="14"/>
      <c r="X869" s="14"/>
      <c r="Y869" s="14" t="s">
        <v>2216</v>
      </c>
      <c r="Z869" s="14" t="s">
        <v>4476</v>
      </c>
      <c r="AA869" s="2">
        <f t="shared" ca="1" si="135"/>
        <v>1</v>
      </c>
      <c r="AB869" s="153"/>
      <c r="AC869" s="454" t="str">
        <f t="shared" si="133"/>
        <v>1</v>
      </c>
    </row>
    <row r="870" spans="1:29" ht="116" x14ac:dyDescent="0.35">
      <c r="A870" s="89" t="str">
        <f t="shared" si="138"/>
        <v>Closed</v>
      </c>
      <c r="B870" s="222">
        <v>45684</v>
      </c>
      <c r="C870" s="14">
        <v>2411</v>
      </c>
      <c r="D870" s="14" t="s">
        <v>4477</v>
      </c>
      <c r="E870" s="14" t="s">
        <v>27</v>
      </c>
      <c r="F870" s="14" t="s">
        <v>2048</v>
      </c>
      <c r="G870" s="14" t="s">
        <v>1911</v>
      </c>
      <c r="H870" s="14">
        <v>111</v>
      </c>
      <c r="I870" s="176" t="s">
        <v>5</v>
      </c>
      <c r="K870" s="87"/>
      <c r="L870" s="14" t="s">
        <v>4478</v>
      </c>
      <c r="M870" s="324">
        <f t="shared" si="136"/>
        <v>0</v>
      </c>
      <c r="N870" s="14" t="s">
        <v>1879</v>
      </c>
      <c r="O870" s="14" t="s">
        <v>1879</v>
      </c>
      <c r="P870" s="167" t="s">
        <v>147</v>
      </c>
      <c r="Q870" s="14" t="s">
        <v>153</v>
      </c>
      <c r="R870" s="223" t="s">
        <v>234</v>
      </c>
      <c r="S870" s="224">
        <f t="shared" si="134"/>
        <v>45712</v>
      </c>
      <c r="T870" s="79">
        <v>45719</v>
      </c>
      <c r="U870" s="14" t="s">
        <v>4479</v>
      </c>
      <c r="V870" s="14" t="s">
        <v>4002</v>
      </c>
      <c r="W870" s="14" t="s">
        <v>1879</v>
      </c>
      <c r="X870" s="14" t="s">
        <v>154</v>
      </c>
      <c r="Y870" s="167" t="s">
        <v>2050</v>
      </c>
      <c r="Z870" s="14" t="s">
        <v>4480</v>
      </c>
      <c r="AA870" s="2">
        <f t="shared" ca="1" si="135"/>
        <v>1</v>
      </c>
      <c r="AB870" s="153"/>
      <c r="AC870" s="454" t="str">
        <f t="shared" si="133"/>
        <v>1</v>
      </c>
    </row>
    <row r="871" spans="1:29" ht="29" x14ac:dyDescent="0.35">
      <c r="A871" s="89" t="str">
        <f t="shared" si="138"/>
        <v>Closed</v>
      </c>
      <c r="B871" s="222">
        <v>45685</v>
      </c>
      <c r="C871" s="14">
        <v>2411</v>
      </c>
      <c r="D871" s="14" t="s">
        <v>4481</v>
      </c>
      <c r="E871" s="14" t="s">
        <v>192</v>
      </c>
      <c r="F871" s="14" t="s">
        <v>2155</v>
      </c>
      <c r="G871" s="14"/>
      <c r="H871" s="14">
        <v>207</v>
      </c>
      <c r="I871" s="176" t="s">
        <v>140</v>
      </c>
      <c r="K871" s="87"/>
      <c r="L871" s="14" t="s">
        <v>4482</v>
      </c>
      <c r="M871" s="324">
        <f t="shared" si="136"/>
        <v>0</v>
      </c>
      <c r="N871" s="14" t="s">
        <v>1879</v>
      </c>
      <c r="O871" s="14" t="s">
        <v>1879</v>
      </c>
      <c r="P871" s="167" t="s">
        <v>143</v>
      </c>
      <c r="R871" s="223">
        <v>0</v>
      </c>
      <c r="S871" s="224">
        <f t="shared" si="134"/>
        <v>45713</v>
      </c>
      <c r="T871" s="79">
        <v>45685</v>
      </c>
      <c r="U871" s="14"/>
      <c r="V871" s="14"/>
      <c r="W871" s="14"/>
      <c r="X871" s="14"/>
      <c r="Z871" s="14"/>
      <c r="AA871" s="2">
        <f t="shared" ca="1" si="135"/>
        <v>1</v>
      </c>
      <c r="AB871" s="153"/>
      <c r="AC871" s="454" t="str">
        <f t="shared" si="133"/>
        <v>2</v>
      </c>
    </row>
    <row r="872" spans="1:29" ht="58" x14ac:dyDescent="0.35">
      <c r="A872" s="89" t="str">
        <f t="shared" si="138"/>
        <v>Closed</v>
      </c>
      <c r="B872" s="222">
        <v>45685</v>
      </c>
      <c r="C872" s="14">
        <v>2411</v>
      </c>
      <c r="D872" s="14" t="s">
        <v>4483</v>
      </c>
      <c r="E872" s="14" t="s">
        <v>31</v>
      </c>
      <c r="F872" s="14" t="s">
        <v>2048</v>
      </c>
      <c r="G872" s="14" t="s">
        <v>1900</v>
      </c>
      <c r="H872" s="14"/>
      <c r="I872" s="176" t="s">
        <v>155</v>
      </c>
      <c r="K872" s="87"/>
      <c r="L872" s="14" t="s">
        <v>4484</v>
      </c>
      <c r="M872" s="324">
        <f t="shared" si="136"/>
        <v>0</v>
      </c>
      <c r="N872" s="14" t="s">
        <v>1879</v>
      </c>
      <c r="O872" s="14" t="s">
        <v>1879</v>
      </c>
      <c r="P872" s="167" t="s">
        <v>147</v>
      </c>
      <c r="Q872" s="14" t="s">
        <v>175</v>
      </c>
      <c r="R872" s="223" t="s">
        <v>234</v>
      </c>
      <c r="S872" s="224">
        <f t="shared" si="134"/>
        <v>45713</v>
      </c>
      <c r="T872" s="79">
        <v>45902</v>
      </c>
      <c r="U872" s="14" t="s">
        <v>4485</v>
      </c>
      <c r="V872" s="14" t="s">
        <v>4486</v>
      </c>
      <c r="W872" s="14" t="s">
        <v>1879</v>
      </c>
      <c r="X872" s="14" t="s">
        <v>1883</v>
      </c>
      <c r="Y872" s="167" t="s">
        <v>2050</v>
      </c>
      <c r="Z872" s="14" t="s">
        <v>4476</v>
      </c>
      <c r="AA872" s="2">
        <f t="shared" ca="1" si="135"/>
        <v>1</v>
      </c>
      <c r="AB872" s="153"/>
      <c r="AC872" s="454" t="str">
        <f t="shared" si="133"/>
        <v/>
      </c>
    </row>
    <row r="873" spans="1:29" ht="29" x14ac:dyDescent="0.35">
      <c r="A873" s="111" t="str">
        <f t="shared" si="138"/>
        <v>Closed</v>
      </c>
      <c r="B873" s="222">
        <v>45685</v>
      </c>
      <c r="C873" s="14">
        <v>2411</v>
      </c>
      <c r="D873" s="14" t="s">
        <v>4487</v>
      </c>
      <c r="E873" s="14" t="s">
        <v>192</v>
      </c>
      <c r="F873" s="14" t="s">
        <v>2119</v>
      </c>
      <c r="G873" s="14" t="s">
        <v>1911</v>
      </c>
      <c r="H873" s="14"/>
      <c r="I873" s="176" t="s">
        <v>140</v>
      </c>
      <c r="K873" s="87"/>
      <c r="L873" s="14" t="s">
        <v>4488</v>
      </c>
      <c r="M873" s="324">
        <f t="shared" si="136"/>
        <v>0</v>
      </c>
      <c r="N873" s="14" t="s">
        <v>1879</v>
      </c>
      <c r="O873" s="14" t="s">
        <v>1879</v>
      </c>
      <c r="P873" s="167" t="s">
        <v>143</v>
      </c>
      <c r="Q873" s="14"/>
      <c r="R873" s="170">
        <v>0</v>
      </c>
      <c r="S873" s="108">
        <f t="shared" ref="S873:S879" si="139">IF(B873="","",B873+28)</f>
        <v>45713</v>
      </c>
      <c r="T873" s="79">
        <v>45685</v>
      </c>
      <c r="U873" s="14"/>
      <c r="V873" s="14"/>
      <c r="W873" s="14"/>
      <c r="X873" s="14"/>
      <c r="Y873" s="14" t="s">
        <v>2093</v>
      </c>
      <c r="Z873" s="14"/>
      <c r="AA873" s="2">
        <f t="shared" ref="AA873:AA879" ca="1" si="140">IF(B873="",3,IF(S873&lt;$A$1,1,0))</f>
        <v>1</v>
      </c>
      <c r="AB873" s="153"/>
      <c r="AC873" s="454" t="str">
        <f t="shared" si="133"/>
        <v/>
      </c>
    </row>
    <row r="874" spans="1:29" ht="29" x14ac:dyDescent="0.35">
      <c r="A874" s="111" t="str">
        <f t="shared" si="138"/>
        <v>Closed</v>
      </c>
      <c r="B874" s="222">
        <v>45686</v>
      </c>
      <c r="C874" s="14">
        <v>2411</v>
      </c>
      <c r="D874" s="14" t="s">
        <v>4489</v>
      </c>
      <c r="E874" s="14" t="s">
        <v>192</v>
      </c>
      <c r="F874" s="14" t="s">
        <v>1968</v>
      </c>
      <c r="G874" s="14" t="s">
        <v>1911</v>
      </c>
      <c r="H874" s="14">
        <v>201</v>
      </c>
      <c r="I874" s="176" t="s">
        <v>140</v>
      </c>
      <c r="K874" s="87"/>
      <c r="L874" s="14" t="s">
        <v>4490</v>
      </c>
      <c r="M874" s="324">
        <f t="shared" si="136"/>
        <v>0</v>
      </c>
      <c r="N874" s="14" t="s">
        <v>1879</v>
      </c>
      <c r="O874" s="14" t="s">
        <v>1879</v>
      </c>
      <c r="P874" s="167" t="s">
        <v>143</v>
      </c>
      <c r="Q874" s="14"/>
      <c r="R874" s="170">
        <v>0</v>
      </c>
      <c r="S874" s="108">
        <f t="shared" si="139"/>
        <v>45714</v>
      </c>
      <c r="T874" s="79">
        <v>45686</v>
      </c>
      <c r="U874" s="14"/>
      <c r="V874" s="14"/>
      <c r="W874" s="14"/>
      <c r="X874" s="14"/>
      <c r="Y874" s="14" t="s">
        <v>1970</v>
      </c>
      <c r="Z874" s="14"/>
      <c r="AA874" s="2">
        <f t="shared" ca="1" si="140"/>
        <v>1</v>
      </c>
      <c r="AB874" s="153"/>
      <c r="AC874" s="454" t="str">
        <f t="shared" si="133"/>
        <v>2</v>
      </c>
    </row>
    <row r="875" spans="1:29" ht="72.5" x14ac:dyDescent="0.35">
      <c r="A875" s="111" t="str">
        <f t="shared" si="138"/>
        <v>Closed</v>
      </c>
      <c r="B875" s="222">
        <v>45684</v>
      </c>
      <c r="C875" s="14">
        <v>2411</v>
      </c>
      <c r="D875" s="14" t="s">
        <v>4491</v>
      </c>
      <c r="E875" s="14" t="s">
        <v>31</v>
      </c>
      <c r="F875" s="14" t="s">
        <v>1954</v>
      </c>
      <c r="G875" s="14"/>
      <c r="H875" s="14"/>
      <c r="I875" s="176" t="s">
        <v>140</v>
      </c>
      <c r="J875" s="14">
        <v>625</v>
      </c>
      <c r="K875" s="87"/>
      <c r="L875" s="14" t="s">
        <v>4492</v>
      </c>
      <c r="M875" s="324">
        <f t="shared" si="136"/>
        <v>0</v>
      </c>
      <c r="N875" s="14" t="s">
        <v>1879</v>
      </c>
      <c r="O875" s="14" t="s">
        <v>1879</v>
      </c>
      <c r="P875" s="167" t="s">
        <v>143</v>
      </c>
      <c r="Q875" s="14"/>
      <c r="R875" s="170">
        <v>0</v>
      </c>
      <c r="S875" s="108">
        <f t="shared" si="139"/>
        <v>45712</v>
      </c>
      <c r="T875" s="79">
        <v>45684</v>
      </c>
      <c r="U875" s="14"/>
      <c r="V875" s="14"/>
      <c r="W875" s="14"/>
      <c r="X875" s="14"/>
      <c r="Y875" s="14" t="s">
        <v>1956</v>
      </c>
      <c r="Z875" s="14"/>
      <c r="AA875" s="2">
        <f t="shared" ca="1" si="140"/>
        <v>1</v>
      </c>
      <c r="AB875" s="153"/>
      <c r="AC875" s="454" t="str">
        <f t="shared" si="133"/>
        <v/>
      </c>
    </row>
    <row r="876" spans="1:29" ht="43.5" x14ac:dyDescent="0.35">
      <c r="A876" s="111" t="str">
        <f t="shared" si="138"/>
        <v>Closed</v>
      </c>
      <c r="B876" s="222">
        <v>45687</v>
      </c>
      <c r="C876" s="14">
        <v>2411</v>
      </c>
      <c r="D876" s="14" t="s">
        <v>4493</v>
      </c>
      <c r="E876" s="14" t="s">
        <v>85</v>
      </c>
      <c r="F876" s="14" t="s">
        <v>1910</v>
      </c>
      <c r="G876" s="14" t="s">
        <v>1900</v>
      </c>
      <c r="H876" s="14">
        <v>116</v>
      </c>
      <c r="I876" s="176" t="s">
        <v>140</v>
      </c>
      <c r="K876" s="87"/>
      <c r="L876" s="14" t="s">
        <v>4494</v>
      </c>
      <c r="M876" s="324">
        <f t="shared" si="136"/>
        <v>0</v>
      </c>
      <c r="N876" s="14" t="s">
        <v>1879</v>
      </c>
      <c r="O876" s="14" t="s">
        <v>1879</v>
      </c>
      <c r="P876" s="167" t="s">
        <v>143</v>
      </c>
      <c r="Q876" s="14"/>
      <c r="R876" s="170">
        <v>0</v>
      </c>
      <c r="S876" s="108">
        <f t="shared" si="139"/>
        <v>45715</v>
      </c>
      <c r="T876" s="79">
        <v>45687</v>
      </c>
      <c r="U876" s="14"/>
      <c r="V876" s="14"/>
      <c r="W876" s="14"/>
      <c r="X876" s="14"/>
      <c r="Y876" s="15" t="s">
        <v>1915</v>
      </c>
      <c r="Z876" s="14"/>
      <c r="AA876" s="2">
        <f t="shared" ca="1" si="140"/>
        <v>1</v>
      </c>
      <c r="AB876" s="153"/>
      <c r="AC876" s="454" t="str">
        <f t="shared" si="133"/>
        <v>1</v>
      </c>
    </row>
    <row r="877" spans="1:29" ht="43.5" x14ac:dyDescent="0.35">
      <c r="A877" s="111" t="str">
        <f t="shared" si="138"/>
        <v>Closed</v>
      </c>
      <c r="B877" s="222">
        <v>45687</v>
      </c>
      <c r="C877" s="14">
        <v>2411</v>
      </c>
      <c r="D877" s="14" t="s">
        <v>4495</v>
      </c>
      <c r="E877" s="14" t="s">
        <v>85</v>
      </c>
      <c r="F877" s="14" t="s">
        <v>1910</v>
      </c>
      <c r="G877" s="14" t="s">
        <v>1900</v>
      </c>
      <c r="H877" s="14">
        <v>123</v>
      </c>
      <c r="I877" s="176" t="s">
        <v>140</v>
      </c>
      <c r="K877" s="87"/>
      <c r="L877" s="14" t="s">
        <v>4496</v>
      </c>
      <c r="M877" s="324">
        <f t="shared" si="136"/>
        <v>0</v>
      </c>
      <c r="N877" s="14" t="s">
        <v>1879</v>
      </c>
      <c r="O877" s="14" t="s">
        <v>1879</v>
      </c>
      <c r="P877" s="167" t="s">
        <v>143</v>
      </c>
      <c r="Q877" s="14"/>
      <c r="R877" s="170">
        <v>0</v>
      </c>
      <c r="S877" s="108">
        <f t="shared" si="139"/>
        <v>45715</v>
      </c>
      <c r="T877" s="79">
        <v>45687</v>
      </c>
      <c r="U877" s="14"/>
      <c r="V877" s="14"/>
      <c r="W877" s="14"/>
      <c r="X877" s="176"/>
      <c r="Y877" s="15" t="s">
        <v>1915</v>
      </c>
      <c r="Z877" s="87"/>
      <c r="AA877" s="2">
        <f t="shared" ca="1" si="140"/>
        <v>1</v>
      </c>
      <c r="AB877" s="153"/>
      <c r="AC877" s="454" t="str">
        <f t="shared" si="133"/>
        <v>1</v>
      </c>
    </row>
    <row r="878" spans="1:29" ht="29" x14ac:dyDescent="0.35">
      <c r="A878" s="111" t="str">
        <f t="shared" si="138"/>
        <v>Closed</v>
      </c>
      <c r="B878" s="222">
        <v>45688</v>
      </c>
      <c r="C878" s="14">
        <v>2411</v>
      </c>
      <c r="D878" s="14" t="s">
        <v>4497</v>
      </c>
      <c r="E878" s="14" t="s">
        <v>192</v>
      </c>
      <c r="F878" s="14" t="s">
        <v>2073</v>
      </c>
      <c r="G878" s="14" t="s">
        <v>1911</v>
      </c>
      <c r="H878" s="14">
        <v>107</v>
      </c>
      <c r="I878" s="176" t="s">
        <v>140</v>
      </c>
      <c r="J878" s="14">
        <v>600</v>
      </c>
      <c r="K878" s="87"/>
      <c r="L878" s="14" t="s">
        <v>4498</v>
      </c>
      <c r="M878" s="324">
        <f t="shared" si="136"/>
        <v>0</v>
      </c>
      <c r="N878" s="14" t="s">
        <v>1879</v>
      </c>
      <c r="O878" s="14" t="s">
        <v>1879</v>
      </c>
      <c r="P878" s="167" t="s">
        <v>143</v>
      </c>
      <c r="Q878" s="14"/>
      <c r="R878" s="170">
        <v>0</v>
      </c>
      <c r="S878" s="108">
        <f t="shared" si="139"/>
        <v>45716</v>
      </c>
      <c r="T878" s="79">
        <v>45688</v>
      </c>
      <c r="U878" s="14"/>
      <c r="V878" s="14"/>
      <c r="W878" s="14"/>
      <c r="X878" s="176"/>
      <c r="Y878" s="15" t="s">
        <v>2075</v>
      </c>
      <c r="Z878" s="87"/>
      <c r="AA878" s="2">
        <f t="shared" ca="1" si="140"/>
        <v>1</v>
      </c>
      <c r="AB878" s="153"/>
      <c r="AC878" s="454" t="str">
        <f t="shared" si="133"/>
        <v>1</v>
      </c>
    </row>
    <row r="879" spans="1:29" ht="58" x14ac:dyDescent="0.35">
      <c r="A879" s="89" t="str">
        <f t="shared" si="138"/>
        <v>Closed</v>
      </c>
      <c r="B879" s="222">
        <v>45688</v>
      </c>
      <c r="C879" s="14">
        <v>2411</v>
      </c>
      <c r="D879" s="14" t="s">
        <v>4499</v>
      </c>
      <c r="E879" s="14" t="s">
        <v>31</v>
      </c>
      <c r="F879" s="14" t="s">
        <v>2060</v>
      </c>
      <c r="G879" s="14"/>
      <c r="H879" s="14"/>
      <c r="I879" s="176" t="s">
        <v>155</v>
      </c>
      <c r="J879" s="14">
        <v>391</v>
      </c>
      <c r="K879" s="87"/>
      <c r="L879" s="14" t="s">
        <v>4500</v>
      </c>
      <c r="M879" s="324">
        <f t="shared" si="136"/>
        <v>0</v>
      </c>
      <c r="N879" s="14" t="s">
        <v>1879</v>
      </c>
      <c r="O879" s="14" t="s">
        <v>1879</v>
      </c>
      <c r="P879" s="167" t="s">
        <v>147</v>
      </c>
      <c r="Q879" s="14" t="s">
        <v>174</v>
      </c>
      <c r="R879" s="223" t="s">
        <v>234</v>
      </c>
      <c r="S879" s="224">
        <f t="shared" si="139"/>
        <v>45716</v>
      </c>
      <c r="T879" s="79">
        <v>45740</v>
      </c>
      <c r="U879" s="14" t="s">
        <v>4501</v>
      </c>
      <c r="V879" s="14" t="s">
        <v>4502</v>
      </c>
      <c r="W879" s="14" t="s">
        <v>1879</v>
      </c>
      <c r="X879" s="14" t="s">
        <v>1883</v>
      </c>
      <c r="Y879" s="466" t="s">
        <v>2062</v>
      </c>
      <c r="Z879" s="14" t="s">
        <v>4503</v>
      </c>
      <c r="AA879" s="2">
        <f t="shared" ca="1" si="140"/>
        <v>1</v>
      </c>
      <c r="AB879" s="153"/>
      <c r="AC879" s="454" t="str">
        <f t="shared" si="133"/>
        <v/>
      </c>
    </row>
    <row r="880" spans="1:29" ht="43.5" x14ac:dyDescent="0.35">
      <c r="A880" s="111" t="str">
        <f t="shared" si="138"/>
        <v>Closed</v>
      </c>
      <c r="B880" s="222">
        <v>45689</v>
      </c>
      <c r="C880" s="14">
        <v>2411</v>
      </c>
      <c r="D880" s="14" t="s">
        <v>4504</v>
      </c>
      <c r="E880" s="14" t="s">
        <v>31</v>
      </c>
      <c r="F880" s="14" t="s">
        <v>2119</v>
      </c>
      <c r="G880" s="14"/>
      <c r="H880" s="14"/>
      <c r="I880" s="176" t="s">
        <v>140</v>
      </c>
      <c r="K880" s="87"/>
      <c r="L880" s="14" t="s">
        <v>4505</v>
      </c>
      <c r="M880" s="324">
        <f t="shared" si="136"/>
        <v>0</v>
      </c>
      <c r="N880" s="14" t="s">
        <v>1879</v>
      </c>
      <c r="O880" s="14" t="s">
        <v>1879</v>
      </c>
      <c r="P880" s="167" t="s">
        <v>143</v>
      </c>
      <c r="Q880" s="14"/>
      <c r="R880" s="170">
        <v>0</v>
      </c>
      <c r="S880" s="108">
        <f>IF(B881="","",B881+28)</f>
        <v>45717</v>
      </c>
      <c r="T880" s="79">
        <v>45689</v>
      </c>
      <c r="U880" s="14"/>
      <c r="V880" s="14"/>
      <c r="W880" s="14"/>
      <c r="X880" s="14"/>
      <c r="Y880" s="14" t="s">
        <v>2093</v>
      </c>
      <c r="Z880" s="14"/>
      <c r="AA880" s="2">
        <f ca="1">IF(B881="",3,IF(S880&lt;$A$1,1,0))</f>
        <v>1</v>
      </c>
      <c r="AB880" s="153"/>
      <c r="AC880" s="454" t="str">
        <f t="shared" si="133"/>
        <v/>
      </c>
    </row>
    <row r="881" spans="1:29" ht="58" x14ac:dyDescent="0.35">
      <c r="A881" s="111" t="str">
        <f t="shared" si="138"/>
        <v>Closed</v>
      </c>
      <c r="B881" s="220">
        <v>45689</v>
      </c>
      <c r="C881" s="14">
        <v>2411</v>
      </c>
      <c r="D881" s="14" t="s">
        <v>4506</v>
      </c>
      <c r="E881" s="14" t="s">
        <v>192</v>
      </c>
      <c r="F881" s="14" t="s">
        <v>2060</v>
      </c>
      <c r="G881" s="14"/>
      <c r="H881" s="14"/>
      <c r="I881" s="176" t="s">
        <v>140</v>
      </c>
      <c r="K881" s="87"/>
      <c r="L881" s="14" t="s">
        <v>4507</v>
      </c>
      <c r="M881" s="324">
        <f t="shared" si="136"/>
        <v>0</v>
      </c>
      <c r="N881" s="14" t="s">
        <v>1879</v>
      </c>
      <c r="O881" s="14" t="s">
        <v>1879</v>
      </c>
      <c r="P881" s="167" t="s">
        <v>143</v>
      </c>
      <c r="Q881" s="14"/>
      <c r="R881" s="170">
        <v>0</v>
      </c>
      <c r="S881" s="108">
        <f>IF(B882="","",B882+28)</f>
        <v>45717</v>
      </c>
      <c r="T881" s="79">
        <v>45689</v>
      </c>
      <c r="U881" s="14"/>
      <c r="V881" s="14"/>
      <c r="W881" s="14"/>
      <c r="X881" s="14"/>
      <c r="Y881" s="466" t="s">
        <v>2062</v>
      </c>
      <c r="Z881" s="14"/>
      <c r="AA881" s="2">
        <v>3</v>
      </c>
      <c r="AB881" s="153"/>
      <c r="AC881" s="454" t="str">
        <f t="shared" si="133"/>
        <v/>
      </c>
    </row>
    <row r="882" spans="1:29" ht="101.5" x14ac:dyDescent="0.35">
      <c r="A882" s="89" t="str">
        <f t="shared" si="138"/>
        <v>Closed</v>
      </c>
      <c r="B882" s="222">
        <v>45689</v>
      </c>
      <c r="C882" s="14">
        <v>2411</v>
      </c>
      <c r="D882" s="14" t="s">
        <v>4508</v>
      </c>
      <c r="E882" s="14" t="s">
        <v>40</v>
      </c>
      <c r="F882" s="14" t="s">
        <v>1910</v>
      </c>
      <c r="G882" s="14" t="s">
        <v>1911</v>
      </c>
      <c r="H882" s="14"/>
      <c r="I882" s="176" t="s">
        <v>4</v>
      </c>
      <c r="J882" s="14">
        <v>8506728</v>
      </c>
      <c r="K882" s="14" t="s">
        <v>137</v>
      </c>
      <c r="L882" s="14" t="s">
        <v>4509</v>
      </c>
      <c r="M882" s="324">
        <v>0.5</v>
      </c>
      <c r="N882" s="14" t="s">
        <v>1879</v>
      </c>
      <c r="O882" s="14" t="s">
        <v>1879</v>
      </c>
      <c r="P882" s="167" t="s">
        <v>139</v>
      </c>
      <c r="Q882" s="14" t="s">
        <v>135</v>
      </c>
      <c r="R882" s="223" t="s">
        <v>234</v>
      </c>
      <c r="S882" s="224">
        <f t="shared" ref="S882:S922" si="141">IF(B882="","",B882+28)</f>
        <v>45717</v>
      </c>
      <c r="T882" s="79">
        <v>45902</v>
      </c>
      <c r="U882" s="14"/>
      <c r="V882" s="14"/>
      <c r="W882" s="14"/>
      <c r="X882" s="14"/>
      <c r="Y882" s="23" t="s">
        <v>1915</v>
      </c>
      <c r="Z882" s="14" t="s">
        <v>4510</v>
      </c>
      <c r="AA882" s="2">
        <f ca="1">IF(B882="",3,IF(S882&lt;$A$1,1,0))</f>
        <v>1</v>
      </c>
      <c r="AB882" s="153"/>
      <c r="AC882" s="454" t="str">
        <f t="shared" si="133"/>
        <v/>
      </c>
    </row>
    <row r="883" spans="1:29" ht="43.5" x14ac:dyDescent="0.35">
      <c r="A883" s="111" t="str">
        <f t="shared" si="138"/>
        <v>Closed</v>
      </c>
      <c r="B883" s="222">
        <v>45690</v>
      </c>
      <c r="C883" s="14">
        <v>2412</v>
      </c>
      <c r="D883" s="14" t="s">
        <v>4511</v>
      </c>
      <c r="E883" s="14" t="s">
        <v>187</v>
      </c>
      <c r="F883" s="14" t="s">
        <v>2037</v>
      </c>
      <c r="G883" s="30" t="s">
        <v>1911</v>
      </c>
      <c r="H883" s="14">
        <v>106</v>
      </c>
      <c r="I883" s="176" t="s">
        <v>140</v>
      </c>
      <c r="J883" s="14">
        <v>70452</v>
      </c>
      <c r="K883" s="87"/>
      <c r="L883" s="14" t="s">
        <v>4512</v>
      </c>
      <c r="M883" s="324">
        <f t="shared" ref="M883:M891" si="142">IF(I883="Staff Accident","Entry Required",IF(I883="Assaults","Entry Required",0))</f>
        <v>0</v>
      </c>
      <c r="N883" s="14" t="s">
        <v>1879</v>
      </c>
      <c r="O883" s="14" t="s">
        <v>1879</v>
      </c>
      <c r="P883" s="167" t="s">
        <v>143</v>
      </c>
      <c r="Q883" s="14"/>
      <c r="R883" s="170">
        <v>0</v>
      </c>
      <c r="S883" s="108">
        <f t="shared" si="141"/>
        <v>45718</v>
      </c>
      <c r="T883" s="79">
        <v>45690</v>
      </c>
      <c r="U883" s="14"/>
      <c r="V883" s="14"/>
      <c r="W883" s="14"/>
      <c r="X883" s="176"/>
      <c r="Y883" s="167" t="s">
        <v>2039</v>
      </c>
      <c r="Z883" s="87"/>
      <c r="AA883" s="2">
        <f ca="1">IF(B883="",3,IF(S883&lt;$A$1,1,0))</f>
        <v>1</v>
      </c>
      <c r="AB883" s="153"/>
      <c r="AC883" s="454" t="str">
        <f t="shared" si="133"/>
        <v>1</v>
      </c>
    </row>
    <row r="884" spans="1:29" ht="290" x14ac:dyDescent="0.35">
      <c r="A884" s="89" t="str">
        <f t="shared" si="138"/>
        <v>Closed</v>
      </c>
      <c r="B884" s="222">
        <v>45691</v>
      </c>
      <c r="C884" s="14">
        <v>2412</v>
      </c>
      <c r="D884" s="14" t="s">
        <v>4513</v>
      </c>
      <c r="E884" s="14" t="s">
        <v>27</v>
      </c>
      <c r="F884" s="14" t="s">
        <v>1910</v>
      </c>
      <c r="G884" s="14" t="s">
        <v>1911</v>
      </c>
      <c r="H884" s="14"/>
      <c r="I884" s="176" t="s">
        <v>140</v>
      </c>
      <c r="K884" s="87"/>
      <c r="L884" s="14" t="s">
        <v>4514</v>
      </c>
      <c r="M884" s="324">
        <f t="shared" si="142"/>
        <v>0</v>
      </c>
      <c r="N884" s="14" t="s">
        <v>1879</v>
      </c>
      <c r="O884" s="14" t="s">
        <v>1879</v>
      </c>
      <c r="P884" s="167" t="s">
        <v>143</v>
      </c>
      <c r="Q884" s="14"/>
      <c r="R884" s="223">
        <v>0</v>
      </c>
      <c r="S884" s="224">
        <f t="shared" si="141"/>
        <v>45719</v>
      </c>
      <c r="T884" s="79">
        <v>45902</v>
      </c>
      <c r="U884" s="14"/>
      <c r="V884" s="14"/>
      <c r="W884" s="14"/>
      <c r="X884" s="14"/>
      <c r="Y884" s="15" t="s">
        <v>1915</v>
      </c>
      <c r="Z884" s="14" t="s">
        <v>4515</v>
      </c>
      <c r="AA884" s="2">
        <f ca="1">IF(B884="",3,IF(S884&lt;$A$1,1,0))</f>
        <v>1</v>
      </c>
      <c r="AB884" s="153"/>
      <c r="AC884" s="454" t="str">
        <f t="shared" si="133"/>
        <v/>
      </c>
    </row>
    <row r="885" spans="1:29" ht="43.5" x14ac:dyDescent="0.35">
      <c r="A885" s="111" t="str">
        <f t="shared" si="138"/>
        <v>Closed</v>
      </c>
      <c r="B885" s="222">
        <v>45691</v>
      </c>
      <c r="C885" s="14">
        <v>2412</v>
      </c>
      <c r="D885" s="14" t="s">
        <v>4516</v>
      </c>
      <c r="E885" s="14" t="s">
        <v>31</v>
      </c>
      <c r="F885" s="14" t="s">
        <v>2687</v>
      </c>
      <c r="G885" s="14"/>
      <c r="H885" s="14">
        <v>112</v>
      </c>
      <c r="I885" s="176" t="s">
        <v>140</v>
      </c>
      <c r="K885" s="87"/>
      <c r="L885" s="14" t="s">
        <v>4517</v>
      </c>
      <c r="M885" s="324">
        <f t="shared" si="142"/>
        <v>0</v>
      </c>
      <c r="N885" s="14" t="s">
        <v>1879</v>
      </c>
      <c r="O885" s="14" t="s">
        <v>1879</v>
      </c>
      <c r="P885" s="167" t="s">
        <v>143</v>
      </c>
      <c r="Q885" s="14"/>
      <c r="R885" s="170">
        <v>0</v>
      </c>
      <c r="S885" s="108">
        <f t="shared" si="141"/>
        <v>45719</v>
      </c>
      <c r="T885" s="79">
        <v>45691</v>
      </c>
      <c r="U885" s="14"/>
      <c r="V885" s="14"/>
      <c r="W885" s="14"/>
      <c r="X885" s="176"/>
      <c r="Z885" s="87"/>
      <c r="AA885" s="2">
        <f ca="1">IF(B885="",3,IF(S885&lt;$A$1,1,0))</f>
        <v>1</v>
      </c>
      <c r="AB885" s="153"/>
      <c r="AC885" s="454" t="str">
        <f t="shared" si="133"/>
        <v>1</v>
      </c>
    </row>
    <row r="886" spans="1:29" ht="58" x14ac:dyDescent="0.35">
      <c r="A886" s="111" t="str">
        <f t="shared" si="138"/>
        <v>Closed</v>
      </c>
      <c r="B886" s="222">
        <v>45691</v>
      </c>
      <c r="C886" s="14">
        <v>2412</v>
      </c>
      <c r="D886" s="14" t="s">
        <v>4518</v>
      </c>
      <c r="E886" s="14" t="s">
        <v>8</v>
      </c>
      <c r="F886" s="14" t="s">
        <v>2080</v>
      </c>
      <c r="G886" s="14" t="s">
        <v>1911</v>
      </c>
      <c r="H886" s="14">
        <v>110</v>
      </c>
      <c r="I886" s="176" t="s">
        <v>140</v>
      </c>
      <c r="J886" s="14">
        <v>8564143</v>
      </c>
      <c r="K886" s="87"/>
      <c r="L886" s="14" t="s">
        <v>4519</v>
      </c>
      <c r="M886" s="324">
        <f t="shared" si="142"/>
        <v>0</v>
      </c>
      <c r="N886" s="14" t="s">
        <v>1879</v>
      </c>
      <c r="O886" s="14" t="s">
        <v>1879</v>
      </c>
      <c r="P886" s="167" t="s">
        <v>143</v>
      </c>
      <c r="Q886" s="14"/>
      <c r="R886" s="170">
        <v>0</v>
      </c>
      <c r="S886" s="108">
        <f t="shared" si="141"/>
        <v>45719</v>
      </c>
      <c r="T886" s="79">
        <v>45691</v>
      </c>
      <c r="U886" s="14"/>
      <c r="V886" s="14"/>
      <c r="W886" s="14"/>
      <c r="X886" s="14"/>
      <c r="Y886" s="88" t="s">
        <v>2084</v>
      </c>
      <c r="Z886" s="14"/>
      <c r="AA886" s="2">
        <v>0</v>
      </c>
      <c r="AB886" s="153"/>
      <c r="AC886" s="454" t="str">
        <f t="shared" si="133"/>
        <v>1</v>
      </c>
    </row>
    <row r="887" spans="1:29" ht="101.5" x14ac:dyDescent="0.35">
      <c r="A887" s="111" t="str">
        <f t="shared" si="138"/>
        <v>Closed</v>
      </c>
      <c r="B887" s="222">
        <v>45692</v>
      </c>
      <c r="C887" s="14">
        <v>2412</v>
      </c>
      <c r="D887" s="14" t="s">
        <v>4520</v>
      </c>
      <c r="E887" s="14" t="s">
        <v>180</v>
      </c>
      <c r="F887" s="14" t="s">
        <v>2060</v>
      </c>
      <c r="G887" s="14"/>
      <c r="H887" s="14"/>
      <c r="I887" s="176" t="s">
        <v>140</v>
      </c>
      <c r="J887" s="14">
        <v>426</v>
      </c>
      <c r="K887" s="87"/>
      <c r="L887" s="14" t="s">
        <v>4521</v>
      </c>
      <c r="M887" s="324">
        <f t="shared" si="142"/>
        <v>0</v>
      </c>
      <c r="N887" s="14" t="s">
        <v>1879</v>
      </c>
      <c r="O887" s="14" t="s">
        <v>1879</v>
      </c>
      <c r="P887" s="167" t="s">
        <v>143</v>
      </c>
      <c r="Q887" s="14"/>
      <c r="R887" s="170">
        <v>0</v>
      </c>
      <c r="S887" s="108">
        <f t="shared" si="141"/>
        <v>45720</v>
      </c>
      <c r="T887" s="79">
        <v>45692</v>
      </c>
      <c r="U887" s="14"/>
      <c r="V887" s="14"/>
      <c r="W887" s="14"/>
      <c r="X887" s="14"/>
      <c r="Y887" s="466" t="s">
        <v>2062</v>
      </c>
      <c r="Z887" s="14"/>
      <c r="AA887" s="2">
        <f t="shared" ref="AA887:AA950" ca="1" si="143">IF(B887="",3,IF(S887&lt;$A$1,1,0))</f>
        <v>1</v>
      </c>
      <c r="AB887" s="153"/>
      <c r="AC887" s="454" t="str">
        <f t="shared" si="133"/>
        <v/>
      </c>
    </row>
    <row r="888" spans="1:29" ht="116" x14ac:dyDescent="0.35">
      <c r="A888" s="111" t="str">
        <f t="shared" si="138"/>
        <v>Closed</v>
      </c>
      <c r="B888" s="222">
        <v>45692</v>
      </c>
      <c r="C888" s="14">
        <v>2412</v>
      </c>
      <c r="D888" s="14" t="s">
        <v>4522</v>
      </c>
      <c r="E888" s="14" t="s">
        <v>52</v>
      </c>
      <c r="F888" s="14" t="s">
        <v>3142</v>
      </c>
      <c r="G888" s="14" t="s">
        <v>1911</v>
      </c>
      <c r="H888" s="14">
        <v>112</v>
      </c>
      <c r="I888" s="176" t="s">
        <v>140</v>
      </c>
      <c r="J888" s="14">
        <v>64124</v>
      </c>
      <c r="K888" s="87"/>
      <c r="L888" s="14" t="s">
        <v>4523</v>
      </c>
      <c r="M888" s="324">
        <f t="shared" si="142"/>
        <v>0</v>
      </c>
      <c r="N888" s="14" t="s">
        <v>1879</v>
      </c>
      <c r="O888" s="14" t="s">
        <v>1879</v>
      </c>
      <c r="P888" s="167" t="s">
        <v>143</v>
      </c>
      <c r="Q888" s="14"/>
      <c r="R888" s="170">
        <v>0</v>
      </c>
      <c r="S888" s="108">
        <f t="shared" si="141"/>
        <v>45720</v>
      </c>
      <c r="T888" s="79">
        <v>45692</v>
      </c>
      <c r="U888" s="14"/>
      <c r="V888" s="14"/>
      <c r="W888" s="14"/>
      <c r="X888" s="14"/>
      <c r="Z888" s="14"/>
      <c r="AA888" s="2">
        <f t="shared" ca="1" si="143"/>
        <v>1</v>
      </c>
      <c r="AB888" s="153"/>
      <c r="AC888" s="454" t="str">
        <f t="shared" si="133"/>
        <v>1</v>
      </c>
    </row>
    <row r="889" spans="1:29" ht="43.5" x14ac:dyDescent="0.35">
      <c r="A889" s="89" t="str">
        <f t="shared" si="138"/>
        <v>Closed</v>
      </c>
      <c r="B889" s="222">
        <v>45692</v>
      </c>
      <c r="C889" s="14">
        <v>2412</v>
      </c>
      <c r="D889" s="14" t="s">
        <v>4524</v>
      </c>
      <c r="E889" s="14" t="s">
        <v>192</v>
      </c>
      <c r="F889" s="14" t="s">
        <v>1972</v>
      </c>
      <c r="G889" s="14"/>
      <c r="H889" s="14"/>
      <c r="I889" s="176" t="s">
        <v>155</v>
      </c>
      <c r="K889" s="87"/>
      <c r="L889" s="14" t="s">
        <v>4525</v>
      </c>
      <c r="M889" s="324">
        <f t="shared" si="142"/>
        <v>0</v>
      </c>
      <c r="N889" s="14" t="s">
        <v>1879</v>
      </c>
      <c r="O889" s="14" t="s">
        <v>1879</v>
      </c>
      <c r="P889" s="167" t="s">
        <v>147</v>
      </c>
      <c r="Q889" s="14" t="s">
        <v>160</v>
      </c>
      <c r="R889" s="223" t="s">
        <v>236</v>
      </c>
      <c r="S889" s="224">
        <f t="shared" si="141"/>
        <v>45720</v>
      </c>
      <c r="T889" s="79">
        <v>45902</v>
      </c>
      <c r="U889" s="14"/>
      <c r="V889" s="14"/>
      <c r="W889" s="14"/>
      <c r="X889" s="14"/>
      <c r="Z889" s="14" t="s">
        <v>4526</v>
      </c>
      <c r="AA889" s="2">
        <f t="shared" ca="1" si="143"/>
        <v>1</v>
      </c>
      <c r="AB889" s="153"/>
      <c r="AC889" s="454" t="str">
        <f t="shared" si="133"/>
        <v/>
      </c>
    </row>
    <row r="890" spans="1:29" ht="58" x14ac:dyDescent="0.35">
      <c r="A890" s="111" t="str">
        <f t="shared" si="138"/>
        <v>Closed</v>
      </c>
      <c r="B890" s="222">
        <v>45693</v>
      </c>
      <c r="C890" s="14">
        <v>2412</v>
      </c>
      <c r="D890" s="14" t="s">
        <v>4527</v>
      </c>
      <c r="E890" s="14" t="s">
        <v>38</v>
      </c>
      <c r="F890" s="14" t="s">
        <v>4528</v>
      </c>
      <c r="G890" s="14" t="s">
        <v>1900</v>
      </c>
      <c r="H890" s="14">
        <v>110</v>
      </c>
      <c r="I890" s="176" t="s">
        <v>140</v>
      </c>
      <c r="K890" s="87"/>
      <c r="L890" s="14" t="s">
        <v>4529</v>
      </c>
      <c r="M890" s="324">
        <f t="shared" si="142"/>
        <v>0</v>
      </c>
      <c r="N890" s="14" t="s">
        <v>1879</v>
      </c>
      <c r="O890" s="14" t="s">
        <v>1879</v>
      </c>
      <c r="P890" s="167" t="s">
        <v>143</v>
      </c>
      <c r="Q890" s="14"/>
      <c r="R890" s="170">
        <v>0</v>
      </c>
      <c r="S890" s="108">
        <f t="shared" si="141"/>
        <v>45721</v>
      </c>
      <c r="T890" s="79">
        <v>45693</v>
      </c>
      <c r="U890" s="14"/>
      <c r="V890" s="14"/>
      <c r="W890" s="14"/>
      <c r="X890" s="14"/>
      <c r="Y890" s="14" t="s">
        <v>3982</v>
      </c>
      <c r="Z890" s="14"/>
      <c r="AA890" s="2">
        <f t="shared" ca="1" si="143"/>
        <v>1</v>
      </c>
      <c r="AB890" s="153"/>
      <c r="AC890" s="454" t="str">
        <f t="shared" si="133"/>
        <v>1</v>
      </c>
    </row>
    <row r="891" spans="1:29" ht="58" x14ac:dyDescent="0.35">
      <c r="A891" s="89" t="str">
        <f t="shared" si="138"/>
        <v>Closed</v>
      </c>
      <c r="B891" s="222">
        <v>45693</v>
      </c>
      <c r="C891" s="14">
        <v>2412</v>
      </c>
      <c r="D891" s="14" t="s">
        <v>4530</v>
      </c>
      <c r="E891" s="14" t="s">
        <v>31</v>
      </c>
      <c r="F891" s="14" t="s">
        <v>2962</v>
      </c>
      <c r="G891" s="14" t="s">
        <v>1900</v>
      </c>
      <c r="H891" s="14"/>
      <c r="I891" s="176" t="s">
        <v>155</v>
      </c>
      <c r="K891" s="87"/>
      <c r="L891" s="14" t="s">
        <v>4531</v>
      </c>
      <c r="M891" s="324">
        <f t="shared" si="142"/>
        <v>0</v>
      </c>
      <c r="N891" s="14" t="s">
        <v>1879</v>
      </c>
      <c r="O891" s="14" t="s">
        <v>1880</v>
      </c>
      <c r="P891" s="167" t="s">
        <v>147</v>
      </c>
      <c r="Q891" s="14" t="s">
        <v>175</v>
      </c>
      <c r="R891" s="223" t="s">
        <v>234</v>
      </c>
      <c r="S891" s="224">
        <f t="shared" si="141"/>
        <v>45721</v>
      </c>
      <c r="T891" s="79">
        <v>45902</v>
      </c>
      <c r="U891" s="14"/>
      <c r="V891" s="14"/>
      <c r="W891" s="14"/>
      <c r="X891" s="14"/>
      <c r="Y891" s="167" t="s">
        <v>2964</v>
      </c>
      <c r="Z891" s="14" t="s">
        <v>4532</v>
      </c>
      <c r="AA891" s="2">
        <f t="shared" ca="1" si="143"/>
        <v>1</v>
      </c>
      <c r="AB891" s="153"/>
      <c r="AC891" s="454" t="str">
        <f t="shared" si="133"/>
        <v/>
      </c>
    </row>
    <row r="892" spans="1:29" ht="72.5" x14ac:dyDescent="0.35">
      <c r="A892" s="111" t="str">
        <f t="shared" si="138"/>
        <v>Closed</v>
      </c>
      <c r="B892" s="222">
        <v>45694</v>
      </c>
      <c r="C892" s="14">
        <v>2412</v>
      </c>
      <c r="D892" s="14" t="s">
        <v>4533</v>
      </c>
      <c r="E892" s="14" t="s">
        <v>180</v>
      </c>
      <c r="F892" s="14" t="s">
        <v>2147</v>
      </c>
      <c r="G892" s="14" t="s">
        <v>1900</v>
      </c>
      <c r="H892" s="14">
        <v>115</v>
      </c>
      <c r="I892" s="176" t="s">
        <v>140</v>
      </c>
      <c r="J892" s="14">
        <v>87</v>
      </c>
      <c r="K892" s="87"/>
      <c r="L892" s="14" t="s">
        <v>4534</v>
      </c>
      <c r="M892" s="324">
        <f>IF(I892="Staff Accident","Entry Required",IF(I892="Assaults","Entry Required",0))</f>
        <v>0</v>
      </c>
      <c r="N892" s="14" t="s">
        <v>1879</v>
      </c>
      <c r="O892" s="14" t="s">
        <v>1880</v>
      </c>
      <c r="P892" s="167" t="s">
        <v>143</v>
      </c>
      <c r="Q892" s="14"/>
      <c r="R892" s="170">
        <v>0</v>
      </c>
      <c r="S892" s="108">
        <f t="shared" si="141"/>
        <v>45722</v>
      </c>
      <c r="T892" s="79">
        <v>45694</v>
      </c>
      <c r="U892" s="14"/>
      <c r="V892" s="14"/>
      <c r="W892" s="14"/>
      <c r="X892" s="14"/>
      <c r="Y892" s="14" t="s">
        <v>2150</v>
      </c>
      <c r="Z892" s="14"/>
      <c r="AA892" s="2">
        <f t="shared" ca="1" si="143"/>
        <v>1</v>
      </c>
      <c r="AB892" s="153"/>
      <c r="AC892" s="454" t="str">
        <f t="shared" si="133"/>
        <v>1</v>
      </c>
    </row>
    <row r="893" spans="1:29" ht="29" x14ac:dyDescent="0.35">
      <c r="A893" s="111" t="str">
        <f t="shared" si="138"/>
        <v>Closed</v>
      </c>
      <c r="B893" s="222">
        <v>45701</v>
      </c>
      <c r="C893" s="14">
        <v>2412</v>
      </c>
      <c r="D893" s="14" t="s">
        <v>4535</v>
      </c>
      <c r="E893" s="14" t="s">
        <v>64</v>
      </c>
      <c r="F893" s="14" t="s">
        <v>2147</v>
      </c>
      <c r="G893" s="14" t="s">
        <v>1900</v>
      </c>
      <c r="H893" s="14"/>
      <c r="I893" s="176" t="s">
        <v>140</v>
      </c>
      <c r="K893" s="87"/>
      <c r="L893" s="14" t="s">
        <v>4536</v>
      </c>
      <c r="M893" s="324">
        <f>IF(I893="Staff Accident","Entry Required",IF(I893="Assaults","Entry Required",0))</f>
        <v>0</v>
      </c>
      <c r="N893" s="14" t="s">
        <v>1879</v>
      </c>
      <c r="O893" s="14" t="s">
        <v>1879</v>
      </c>
      <c r="P893" s="167" t="s">
        <v>143</v>
      </c>
      <c r="Q893" s="14"/>
      <c r="R893" s="170">
        <v>0</v>
      </c>
      <c r="S893" s="108">
        <f t="shared" si="141"/>
        <v>45729</v>
      </c>
      <c r="T893" s="79">
        <v>45694</v>
      </c>
      <c r="U893" s="14"/>
      <c r="V893" s="14"/>
      <c r="W893" s="14"/>
      <c r="X893" s="14"/>
      <c r="Y893" s="14" t="s">
        <v>2150</v>
      </c>
      <c r="Z893" s="14"/>
      <c r="AA893" s="2">
        <f t="shared" ca="1" si="143"/>
        <v>1</v>
      </c>
      <c r="AB893" s="153"/>
      <c r="AC893" s="454" t="str">
        <f t="shared" ref="AC893:AC956" si="144">LEFT(H893,1)</f>
        <v/>
      </c>
    </row>
    <row r="894" spans="1:29" ht="29" x14ac:dyDescent="0.35">
      <c r="A894" s="111" t="str">
        <f t="shared" si="138"/>
        <v>Closed</v>
      </c>
      <c r="B894" s="222">
        <v>45701</v>
      </c>
      <c r="C894" s="14">
        <v>2412</v>
      </c>
      <c r="D894" s="14" t="s">
        <v>4537</v>
      </c>
      <c r="E894" s="14" t="s">
        <v>64</v>
      </c>
      <c r="F894" s="30" t="s">
        <v>2147</v>
      </c>
      <c r="G894" s="14" t="s">
        <v>1911</v>
      </c>
      <c r="H894" s="14"/>
      <c r="I894" s="176" t="s">
        <v>140</v>
      </c>
      <c r="K894" s="87"/>
      <c r="L894" s="14" t="s">
        <v>4538</v>
      </c>
      <c r="M894" s="324">
        <f>IF(I894="Staff Accident","Entry Required",IF(I894="Assaults","Entry Required",0))</f>
        <v>0</v>
      </c>
      <c r="N894" s="14" t="s">
        <v>1879</v>
      </c>
      <c r="O894" s="14" t="s">
        <v>1879</v>
      </c>
      <c r="P894" s="167" t="s">
        <v>143</v>
      </c>
      <c r="Q894" s="14"/>
      <c r="R894" s="170">
        <v>0</v>
      </c>
      <c r="S894" s="108">
        <f t="shared" si="141"/>
        <v>45729</v>
      </c>
      <c r="T894" s="79">
        <v>45694</v>
      </c>
      <c r="U894" s="14"/>
      <c r="V894" s="14"/>
      <c r="W894" s="14"/>
      <c r="X894" s="14"/>
      <c r="Y894" s="14" t="s">
        <v>2150</v>
      </c>
      <c r="Z894" s="14"/>
      <c r="AA894" s="2">
        <f t="shared" ca="1" si="143"/>
        <v>1</v>
      </c>
      <c r="AB894" s="153"/>
      <c r="AC894" s="454" t="str">
        <f t="shared" si="144"/>
        <v/>
      </c>
    </row>
    <row r="895" spans="1:29" ht="29" x14ac:dyDescent="0.35">
      <c r="A895" s="89" t="str">
        <f t="shared" si="138"/>
        <v>Closed</v>
      </c>
      <c r="B895" s="222">
        <v>45694</v>
      </c>
      <c r="C895" s="14">
        <v>2412</v>
      </c>
      <c r="D895" s="14" t="s">
        <v>4539</v>
      </c>
      <c r="E895" s="14" t="s">
        <v>31</v>
      </c>
      <c r="F895" s="14" t="s">
        <v>2136</v>
      </c>
      <c r="G895" s="14"/>
      <c r="H895" s="14">
        <v>103</v>
      </c>
      <c r="I895" s="176" t="s">
        <v>140</v>
      </c>
      <c r="K895" s="87"/>
      <c r="L895" s="14" t="s">
        <v>4540</v>
      </c>
      <c r="M895" s="324">
        <f>IF(J894="Staff Accident","Entry Required",IF(J894="Assaults","Entry Required",0))</f>
        <v>0</v>
      </c>
      <c r="N895" s="14" t="s">
        <v>1879</v>
      </c>
      <c r="O895" s="14" t="s">
        <v>1880</v>
      </c>
      <c r="P895" s="167" t="s">
        <v>143</v>
      </c>
      <c r="Q895" s="14"/>
      <c r="R895" s="223">
        <v>0</v>
      </c>
      <c r="S895" s="224">
        <f t="shared" si="141"/>
        <v>45722</v>
      </c>
      <c r="T895" s="79">
        <v>45694</v>
      </c>
      <c r="U895" s="14"/>
      <c r="V895" s="14"/>
      <c r="W895" s="14"/>
      <c r="X895" s="14"/>
      <c r="Y895" s="14" t="s">
        <v>2140</v>
      </c>
      <c r="Z895" s="14" t="s">
        <v>4541</v>
      </c>
      <c r="AA895" s="2">
        <f t="shared" ca="1" si="143"/>
        <v>1</v>
      </c>
      <c r="AB895" s="153"/>
      <c r="AC895" s="454" t="str">
        <f t="shared" si="144"/>
        <v>1</v>
      </c>
    </row>
    <row r="896" spans="1:29" ht="72.5" x14ac:dyDescent="0.35">
      <c r="A896" s="111" t="str">
        <f t="shared" si="138"/>
        <v>Closed</v>
      </c>
      <c r="B896" s="222">
        <v>45694</v>
      </c>
      <c r="C896" s="14">
        <v>2412</v>
      </c>
      <c r="D896" s="14" t="s">
        <v>4542</v>
      </c>
      <c r="E896" s="14" t="s">
        <v>8</v>
      </c>
      <c r="F896" s="14"/>
      <c r="G896" s="14"/>
      <c r="H896" s="14">
        <v>118</v>
      </c>
      <c r="I896" s="176" t="s">
        <v>140</v>
      </c>
      <c r="J896" s="14">
        <v>70885</v>
      </c>
      <c r="K896" s="87"/>
      <c r="L896" s="14" t="s">
        <v>4543</v>
      </c>
      <c r="M896" s="324">
        <f>IF(I896="Staff Accident","Entry Required",IF(I896="Assaults","Entry Required",0))</f>
        <v>0</v>
      </c>
      <c r="N896" s="14" t="s">
        <v>1879</v>
      </c>
      <c r="O896" s="14" t="s">
        <v>1879</v>
      </c>
      <c r="P896" s="167" t="s">
        <v>143</v>
      </c>
      <c r="Q896" s="14"/>
      <c r="R896" s="170">
        <v>0</v>
      </c>
      <c r="S896" s="108">
        <f t="shared" si="141"/>
        <v>45722</v>
      </c>
      <c r="T896" s="79">
        <v>45694</v>
      </c>
      <c r="U896" s="14"/>
      <c r="V896" s="14"/>
      <c r="W896" s="14"/>
      <c r="X896" s="14"/>
      <c r="Z896" s="14"/>
      <c r="AA896" s="2">
        <f t="shared" ca="1" si="143"/>
        <v>1</v>
      </c>
      <c r="AB896" s="153"/>
      <c r="AC896" s="454" t="str">
        <f t="shared" si="144"/>
        <v>1</v>
      </c>
    </row>
    <row r="897" spans="1:29" ht="29" x14ac:dyDescent="0.35">
      <c r="A897" s="111" t="str">
        <f t="shared" si="138"/>
        <v>Closed</v>
      </c>
      <c r="B897" s="222">
        <v>45691</v>
      </c>
      <c r="C897" s="14">
        <v>2412</v>
      </c>
      <c r="D897" s="14" t="s">
        <v>4544</v>
      </c>
      <c r="E897" s="14" t="s">
        <v>42</v>
      </c>
      <c r="F897" s="167" t="s">
        <v>2162</v>
      </c>
      <c r="G897" s="14"/>
      <c r="H897" s="14"/>
      <c r="I897" s="176" t="s">
        <v>140</v>
      </c>
      <c r="K897" s="87"/>
      <c r="L897" s="14" t="s">
        <v>4545</v>
      </c>
      <c r="M897" s="324">
        <f>IF(I897="Staff Accident","Entry Required",IF(I897="Assaults","Entry Required",0))</f>
        <v>0</v>
      </c>
      <c r="N897" s="14" t="s">
        <v>1879</v>
      </c>
      <c r="O897" s="14" t="s">
        <v>1880</v>
      </c>
      <c r="P897" s="167" t="s">
        <v>143</v>
      </c>
      <c r="Q897" s="14"/>
      <c r="R897" s="170">
        <v>0</v>
      </c>
      <c r="S897" s="108">
        <f t="shared" si="141"/>
        <v>45719</v>
      </c>
      <c r="T897" s="79">
        <v>45691</v>
      </c>
      <c r="U897" s="14"/>
      <c r="V897" s="14"/>
      <c r="W897" s="14"/>
      <c r="X897" s="14"/>
      <c r="Y897" s="15" t="s">
        <v>2164</v>
      </c>
      <c r="Z897" s="14"/>
      <c r="AA897" s="2">
        <f t="shared" ca="1" si="143"/>
        <v>1</v>
      </c>
      <c r="AB897" s="153"/>
      <c r="AC897" s="454" t="str">
        <f t="shared" si="144"/>
        <v/>
      </c>
    </row>
    <row r="898" spans="1:29" ht="29" x14ac:dyDescent="0.35">
      <c r="A898" s="111" t="str">
        <f t="shared" si="138"/>
        <v>Closed</v>
      </c>
      <c r="B898" s="222">
        <v>45691</v>
      </c>
      <c r="C898" s="14">
        <v>2412</v>
      </c>
      <c r="D898" s="14" t="s">
        <v>4546</v>
      </c>
      <c r="E898" s="14" t="s">
        <v>42</v>
      </c>
      <c r="F898" s="14" t="s">
        <v>2299</v>
      </c>
      <c r="G898" s="14"/>
      <c r="H898" s="14"/>
      <c r="I898" s="176" t="s">
        <v>140</v>
      </c>
      <c r="K898" s="87"/>
      <c r="L898" s="14" t="s">
        <v>4545</v>
      </c>
      <c r="M898" s="324">
        <f>IF(I898="Staff Accident","Entry Required",IF(I898="Assaults","Entry Required",0))</f>
        <v>0</v>
      </c>
      <c r="N898" s="14" t="s">
        <v>1879</v>
      </c>
      <c r="O898" s="14" t="s">
        <v>1880</v>
      </c>
      <c r="P898" s="167" t="s">
        <v>143</v>
      </c>
      <c r="Q898" s="14"/>
      <c r="R898" s="170">
        <v>0</v>
      </c>
      <c r="S898" s="108">
        <f t="shared" si="141"/>
        <v>45719</v>
      </c>
      <c r="T898" s="79">
        <v>45691</v>
      </c>
      <c r="U898" s="14"/>
      <c r="V898" s="14"/>
      <c r="W898" s="14"/>
      <c r="X898" s="14"/>
      <c r="Y898" s="14" t="s">
        <v>2302</v>
      </c>
      <c r="Z898" s="87"/>
      <c r="AA898" s="2">
        <f t="shared" ca="1" si="143"/>
        <v>1</v>
      </c>
      <c r="AB898" s="153"/>
      <c r="AC898" s="454" t="str">
        <f t="shared" si="144"/>
        <v/>
      </c>
    </row>
    <row r="899" spans="1:29" ht="29" x14ac:dyDescent="0.35">
      <c r="A899" s="111" t="str">
        <f t="shared" si="138"/>
        <v>Closed</v>
      </c>
      <c r="B899" s="222">
        <v>45692</v>
      </c>
      <c r="C899" s="14">
        <v>2412</v>
      </c>
      <c r="D899" s="14" t="s">
        <v>4547</v>
      </c>
      <c r="E899" s="14" t="s">
        <v>1907</v>
      </c>
      <c r="F899" s="14" t="s">
        <v>2064</v>
      </c>
      <c r="G899" s="14" t="s">
        <v>1911</v>
      </c>
      <c r="H899" s="14"/>
      <c r="I899" s="176" t="s">
        <v>140</v>
      </c>
      <c r="K899" s="87"/>
      <c r="L899" s="14" t="s">
        <v>4548</v>
      </c>
      <c r="M899" s="324">
        <f>IF(J899="Staff Accident","Entry Required",IF(J899="Assaults","Entry Required",0))</f>
        <v>0</v>
      </c>
      <c r="N899" s="14" t="s">
        <v>1879</v>
      </c>
      <c r="O899" s="14" t="s">
        <v>1880</v>
      </c>
      <c r="P899" s="167" t="s">
        <v>143</v>
      </c>
      <c r="Q899" s="14"/>
      <c r="R899" s="170">
        <v>0</v>
      </c>
      <c r="S899" s="108">
        <f t="shared" si="141"/>
        <v>45720</v>
      </c>
      <c r="T899" s="79">
        <v>45692</v>
      </c>
      <c r="U899" s="14"/>
      <c r="V899" s="14"/>
      <c r="W899" s="14"/>
      <c r="X899" s="14"/>
      <c r="Z899" s="14"/>
      <c r="AA899" s="2">
        <f t="shared" ca="1" si="143"/>
        <v>1</v>
      </c>
      <c r="AB899" s="153"/>
      <c r="AC899" s="454" t="str">
        <f t="shared" si="144"/>
        <v/>
      </c>
    </row>
    <row r="900" spans="1:29" ht="43.5" x14ac:dyDescent="0.35">
      <c r="A900" s="111" t="str">
        <f t="shared" si="138"/>
        <v>Closed</v>
      </c>
      <c r="B900" s="222">
        <v>45695</v>
      </c>
      <c r="C900" s="14">
        <v>2412</v>
      </c>
      <c r="D900" s="14" t="s">
        <v>4549</v>
      </c>
      <c r="E900" s="14" t="s">
        <v>192</v>
      </c>
      <c r="F900" s="14" t="s">
        <v>1972</v>
      </c>
      <c r="G900" s="14"/>
      <c r="H900" s="14"/>
      <c r="I900" s="176" t="s">
        <v>140</v>
      </c>
      <c r="K900" s="87"/>
      <c r="L900" s="14" t="s">
        <v>4550</v>
      </c>
      <c r="M900" s="324">
        <f>IF(J900="Staff Accident","Entry Required",IF(J900="Assaults","Entry Required",0))</f>
        <v>0</v>
      </c>
      <c r="N900" s="14" t="s">
        <v>1879</v>
      </c>
      <c r="O900" s="14" t="s">
        <v>1880</v>
      </c>
      <c r="P900" s="167" t="s">
        <v>143</v>
      </c>
      <c r="Q900" s="14"/>
      <c r="R900" s="170">
        <v>0</v>
      </c>
      <c r="S900" s="108">
        <f t="shared" si="141"/>
        <v>45723</v>
      </c>
      <c r="T900" s="79">
        <v>45695</v>
      </c>
      <c r="U900" s="14"/>
      <c r="V900" s="14"/>
      <c r="W900" s="14"/>
      <c r="X900" s="14"/>
      <c r="Z900" s="14"/>
      <c r="AA900" s="2">
        <f t="shared" ca="1" si="143"/>
        <v>1</v>
      </c>
      <c r="AB900" s="153"/>
      <c r="AC900" s="454" t="str">
        <f t="shared" si="144"/>
        <v/>
      </c>
    </row>
    <row r="901" spans="1:29" ht="29" x14ac:dyDescent="0.35">
      <c r="A901" s="111" t="str">
        <f t="shared" si="138"/>
        <v>Closed</v>
      </c>
      <c r="B901" s="222">
        <v>45695</v>
      </c>
      <c r="C901" s="14">
        <v>2412</v>
      </c>
      <c r="D901" s="14" t="s">
        <v>4551</v>
      </c>
      <c r="E901" s="14" t="s">
        <v>192</v>
      </c>
      <c r="F901" s="14" t="s">
        <v>2765</v>
      </c>
      <c r="G901" s="14" t="s">
        <v>1911</v>
      </c>
      <c r="H901" s="14">
        <v>124</v>
      </c>
      <c r="I901" s="176" t="s">
        <v>140</v>
      </c>
      <c r="K901" s="87"/>
      <c r="L901" s="14" t="s">
        <v>4552</v>
      </c>
      <c r="M901" s="324">
        <f>IF(J901="Staff Accident","Entry Required",IF(J901="Assaults","Entry Required",0))</f>
        <v>0</v>
      </c>
      <c r="N901" s="14" t="s">
        <v>1879</v>
      </c>
      <c r="O901" s="14" t="s">
        <v>1880</v>
      </c>
      <c r="P901" s="167" t="s">
        <v>143</v>
      </c>
      <c r="Q901" s="14"/>
      <c r="R901" s="170">
        <v>0</v>
      </c>
      <c r="S901" s="108">
        <f t="shared" si="141"/>
        <v>45723</v>
      </c>
      <c r="T901" s="79">
        <v>45695</v>
      </c>
      <c r="U901" s="14"/>
      <c r="V901" s="14"/>
      <c r="W901" s="14"/>
      <c r="X901" s="14"/>
      <c r="Z901" s="14"/>
      <c r="AA901" s="2">
        <f t="shared" ca="1" si="143"/>
        <v>1</v>
      </c>
      <c r="AB901" s="153"/>
      <c r="AC901" s="454" t="str">
        <f t="shared" si="144"/>
        <v>1</v>
      </c>
    </row>
    <row r="902" spans="1:29" ht="43.5" x14ac:dyDescent="0.35">
      <c r="A902" s="111" t="str">
        <f t="shared" si="138"/>
        <v>Closed</v>
      </c>
      <c r="B902" s="222">
        <v>45695</v>
      </c>
      <c r="C902" s="14">
        <v>2412</v>
      </c>
      <c r="D902" s="14" t="s">
        <v>4553</v>
      </c>
      <c r="E902" s="14" t="s">
        <v>31</v>
      </c>
      <c r="F902" s="167" t="s">
        <v>2349</v>
      </c>
      <c r="G902" s="14" t="s">
        <v>1911</v>
      </c>
      <c r="H902" s="14">
        <v>207</v>
      </c>
      <c r="I902" s="176" t="s">
        <v>140</v>
      </c>
      <c r="K902" s="87"/>
      <c r="L902" s="14" t="s">
        <v>4554</v>
      </c>
      <c r="M902" s="324">
        <f>IF(J902="Staff Accident","Entry Required",IF(J902="Assaults","Entry Required",0))</f>
        <v>0</v>
      </c>
      <c r="N902" s="14" t="s">
        <v>1879</v>
      </c>
      <c r="O902" s="14" t="s">
        <v>1880</v>
      </c>
      <c r="P902" s="167" t="s">
        <v>143</v>
      </c>
      <c r="Q902" s="14"/>
      <c r="R902" s="170">
        <v>0</v>
      </c>
      <c r="S902" s="108">
        <f t="shared" si="141"/>
        <v>45723</v>
      </c>
      <c r="T902" s="79">
        <v>45695</v>
      </c>
      <c r="U902" s="14"/>
      <c r="V902" s="14"/>
      <c r="W902" s="14"/>
      <c r="X902" s="14"/>
      <c r="Y902" s="14" t="s">
        <v>2351</v>
      </c>
      <c r="Z902" s="14"/>
      <c r="AA902" s="2">
        <f t="shared" ca="1" si="143"/>
        <v>1</v>
      </c>
      <c r="AB902" s="153"/>
      <c r="AC902" s="454" t="str">
        <f t="shared" si="144"/>
        <v>2</v>
      </c>
    </row>
    <row r="903" spans="1:29" ht="43.5" x14ac:dyDescent="0.35">
      <c r="A903" s="111" t="str">
        <f t="shared" si="138"/>
        <v>Closed</v>
      </c>
      <c r="B903" s="222">
        <v>45695</v>
      </c>
      <c r="C903" s="14">
        <v>2412</v>
      </c>
      <c r="D903" s="14" t="s">
        <v>4555</v>
      </c>
      <c r="E903" s="14" t="s">
        <v>192</v>
      </c>
      <c r="F903" s="14" t="s">
        <v>2783</v>
      </c>
      <c r="G903" s="14"/>
      <c r="H903" s="14"/>
      <c r="I903" s="176" t="s">
        <v>140</v>
      </c>
      <c r="K903" s="87"/>
      <c r="L903" s="14" t="s">
        <v>4556</v>
      </c>
      <c r="M903" s="324">
        <f>IF(J903="Staff Accident","Entry Required",IF(J903="Assaults","Entry Required",0))</f>
        <v>0</v>
      </c>
      <c r="N903" s="14" t="s">
        <v>1879</v>
      </c>
      <c r="O903" s="14" t="s">
        <v>1880</v>
      </c>
      <c r="P903" s="167" t="s">
        <v>143</v>
      </c>
      <c r="Q903" s="14"/>
      <c r="R903" s="170">
        <v>0</v>
      </c>
      <c r="S903" s="108">
        <f t="shared" si="141"/>
        <v>45723</v>
      </c>
      <c r="T903" s="79">
        <v>45695</v>
      </c>
      <c r="U903" s="14"/>
      <c r="V903" s="14"/>
      <c r="W903" s="14"/>
      <c r="X903" s="14"/>
      <c r="Z903" s="14"/>
      <c r="AA903" s="2">
        <f t="shared" ca="1" si="143"/>
        <v>1</v>
      </c>
      <c r="AB903" s="153"/>
      <c r="AC903" s="454" t="str">
        <f t="shared" si="144"/>
        <v/>
      </c>
    </row>
    <row r="904" spans="1:29" ht="43.5" x14ac:dyDescent="0.35">
      <c r="A904" s="89" t="str">
        <f t="shared" si="138"/>
        <v>Closed</v>
      </c>
      <c r="B904" s="222">
        <v>45698</v>
      </c>
      <c r="C904" s="14">
        <v>2412</v>
      </c>
      <c r="D904" s="14" t="s">
        <v>4557</v>
      </c>
      <c r="E904" s="14" t="s">
        <v>38</v>
      </c>
      <c r="F904" s="14" t="s">
        <v>4558</v>
      </c>
      <c r="G904" s="14"/>
      <c r="H904" s="14"/>
      <c r="I904" s="176" t="s">
        <v>140</v>
      </c>
      <c r="J904" s="14">
        <v>788</v>
      </c>
      <c r="K904" s="87"/>
      <c r="L904" s="14" t="s">
        <v>4559</v>
      </c>
      <c r="M904" s="324">
        <f>IF(I904="Staff Accident","Entry Required",IF(I904="Assaults","Entry Required",0))</f>
        <v>0</v>
      </c>
      <c r="N904" s="14" t="s">
        <v>1879</v>
      </c>
      <c r="O904" s="14" t="s">
        <v>1880</v>
      </c>
      <c r="P904" s="167" t="s">
        <v>143</v>
      </c>
      <c r="Q904" s="14"/>
      <c r="R904" s="223">
        <v>0</v>
      </c>
      <c r="S904" s="224">
        <f t="shared" si="141"/>
        <v>45726</v>
      </c>
      <c r="T904" s="79">
        <v>45698</v>
      </c>
      <c r="U904" s="14"/>
      <c r="V904" s="14"/>
      <c r="W904" s="14"/>
      <c r="X904" s="14"/>
      <c r="Y904" s="51" t="s">
        <v>2001</v>
      </c>
      <c r="Z904" s="14"/>
      <c r="AA904" s="2">
        <f t="shared" ca="1" si="143"/>
        <v>1</v>
      </c>
      <c r="AB904" s="153"/>
      <c r="AC904" s="454" t="str">
        <f t="shared" si="144"/>
        <v/>
      </c>
    </row>
    <row r="905" spans="1:29" ht="43.5" x14ac:dyDescent="0.35">
      <c r="A905" s="89" t="str">
        <f t="shared" si="138"/>
        <v>Closed</v>
      </c>
      <c r="B905" s="222">
        <v>45698</v>
      </c>
      <c r="C905" s="14">
        <v>2412</v>
      </c>
      <c r="D905" s="14" t="s">
        <v>4560</v>
      </c>
      <c r="E905" s="14" t="s">
        <v>72</v>
      </c>
      <c r="F905" s="14" t="s">
        <v>2533</v>
      </c>
      <c r="G905" s="14"/>
      <c r="H905" s="14"/>
      <c r="I905" s="176" t="s">
        <v>155</v>
      </c>
      <c r="J905" s="14">
        <v>118</v>
      </c>
      <c r="K905" s="87"/>
      <c r="L905" s="14" t="s">
        <v>4561</v>
      </c>
      <c r="M905" s="324">
        <f>IF(I905="Staff Accident","Entry Required",IF(I905="Assaults","Entry Required",0))</f>
        <v>0</v>
      </c>
      <c r="N905" s="14" t="s">
        <v>1879</v>
      </c>
      <c r="O905" s="14" t="s">
        <v>1879</v>
      </c>
      <c r="P905" s="167" t="s">
        <v>147</v>
      </c>
      <c r="Q905" s="14" t="s">
        <v>175</v>
      </c>
      <c r="R905" s="223" t="s">
        <v>234</v>
      </c>
      <c r="S905" s="224">
        <f t="shared" si="141"/>
        <v>45726</v>
      </c>
      <c r="T905" s="79">
        <v>45902</v>
      </c>
      <c r="U905" s="14" t="s">
        <v>2746</v>
      </c>
      <c r="V905" s="14" t="s">
        <v>2102</v>
      </c>
      <c r="W905" s="14" t="s">
        <v>1880</v>
      </c>
      <c r="X905" s="14" t="s">
        <v>154</v>
      </c>
      <c r="Z905" s="14" t="s">
        <v>4562</v>
      </c>
      <c r="AA905" s="2">
        <f t="shared" ca="1" si="143"/>
        <v>1</v>
      </c>
      <c r="AB905" s="153"/>
      <c r="AC905" s="454" t="str">
        <f t="shared" si="144"/>
        <v/>
      </c>
    </row>
    <row r="906" spans="1:29" ht="72.5" x14ac:dyDescent="0.35">
      <c r="A906" s="89" t="str">
        <f t="shared" si="138"/>
        <v>Closed</v>
      </c>
      <c r="B906" s="222">
        <v>45698</v>
      </c>
      <c r="C906" s="14">
        <v>2412</v>
      </c>
      <c r="D906" s="14" t="s">
        <v>4563</v>
      </c>
      <c r="E906" s="14" t="s">
        <v>72</v>
      </c>
      <c r="F906" s="14" t="s">
        <v>4564</v>
      </c>
      <c r="G906" s="14"/>
      <c r="H906" s="14"/>
      <c r="I906" s="176" t="s">
        <v>155</v>
      </c>
      <c r="J906" s="14">
        <v>59665</v>
      </c>
      <c r="K906" s="87"/>
      <c r="L906" s="14" t="s">
        <v>4565</v>
      </c>
      <c r="M906" s="324">
        <f>IF(I906="Staff Accident","Entry Required",IF(I906="Assaults","Entry Required",0))</f>
        <v>0</v>
      </c>
      <c r="N906" s="14" t="s">
        <v>1879</v>
      </c>
      <c r="O906" s="14" t="s">
        <v>1880</v>
      </c>
      <c r="P906" s="167" t="s">
        <v>147</v>
      </c>
      <c r="Q906" s="14" t="s">
        <v>175</v>
      </c>
      <c r="R906" s="223" t="s">
        <v>234</v>
      </c>
      <c r="S906" s="224">
        <f t="shared" si="141"/>
        <v>45726</v>
      </c>
      <c r="T906" s="79">
        <v>45902</v>
      </c>
      <c r="U906" s="14" t="s">
        <v>2746</v>
      </c>
      <c r="V906" s="14" t="s">
        <v>2102</v>
      </c>
      <c r="W906" s="14" t="s">
        <v>1880</v>
      </c>
      <c r="X906" s="14" t="s">
        <v>1880</v>
      </c>
      <c r="Z906" s="14" t="s">
        <v>4566</v>
      </c>
      <c r="AA906" s="2">
        <f t="shared" ca="1" si="143"/>
        <v>1</v>
      </c>
      <c r="AB906" s="153"/>
      <c r="AC906" s="454" t="str">
        <f t="shared" si="144"/>
        <v/>
      </c>
    </row>
    <row r="907" spans="1:29" ht="58" x14ac:dyDescent="0.35">
      <c r="A907" s="89" t="str">
        <f t="shared" si="138"/>
        <v>Closed</v>
      </c>
      <c r="B907" s="222">
        <v>45700</v>
      </c>
      <c r="C907" s="14">
        <v>2412</v>
      </c>
      <c r="D907" s="14" t="s">
        <v>4567</v>
      </c>
      <c r="E907" s="14" t="s">
        <v>1907</v>
      </c>
      <c r="F907" s="14" t="s">
        <v>1980</v>
      </c>
      <c r="G907" s="14" t="s">
        <v>1911</v>
      </c>
      <c r="H907" s="14">
        <v>106</v>
      </c>
      <c r="I907" s="176" t="s">
        <v>140</v>
      </c>
      <c r="J907" s="14">
        <v>716</v>
      </c>
      <c r="K907" s="87" t="s">
        <v>137</v>
      </c>
      <c r="L907" s="14" t="s">
        <v>4568</v>
      </c>
      <c r="M907" s="324">
        <v>0</v>
      </c>
      <c r="N907" s="14" t="s">
        <v>1879</v>
      </c>
      <c r="O907" s="14" t="s">
        <v>1880</v>
      </c>
      <c r="P907" s="167" t="s">
        <v>143</v>
      </c>
      <c r="Q907" s="14" t="s">
        <v>174</v>
      </c>
      <c r="R907" s="223">
        <v>0</v>
      </c>
      <c r="S907" s="224">
        <f t="shared" si="141"/>
        <v>45728</v>
      </c>
      <c r="T907" s="79">
        <v>45700</v>
      </c>
      <c r="U907" s="14"/>
      <c r="V907" s="14"/>
      <c r="W907" s="14"/>
      <c r="X907" s="14"/>
      <c r="Y907" s="15" t="s">
        <v>1982</v>
      </c>
      <c r="Z907" s="14" t="s">
        <v>4569</v>
      </c>
      <c r="AA907" s="2">
        <f t="shared" ca="1" si="143"/>
        <v>1</v>
      </c>
      <c r="AB907" s="153"/>
      <c r="AC907" s="454" t="str">
        <f t="shared" si="144"/>
        <v>1</v>
      </c>
    </row>
    <row r="908" spans="1:29" ht="101.5" x14ac:dyDescent="0.35">
      <c r="A908" s="89" t="str">
        <f t="shared" si="138"/>
        <v>Closed</v>
      </c>
      <c r="B908" s="222">
        <v>45700</v>
      </c>
      <c r="C908" s="14">
        <v>2412</v>
      </c>
      <c r="D908" s="14" t="s">
        <v>4570</v>
      </c>
      <c r="E908" s="14" t="s">
        <v>42</v>
      </c>
      <c r="F908" s="14" t="s">
        <v>2119</v>
      </c>
      <c r="G908" s="14" t="s">
        <v>1911</v>
      </c>
      <c r="H908" s="14">
        <v>124</v>
      </c>
      <c r="I908" s="176" t="s">
        <v>4</v>
      </c>
      <c r="J908" s="14">
        <v>8506434</v>
      </c>
      <c r="K908" s="14" t="s">
        <v>137</v>
      </c>
      <c r="L908" s="14" t="s">
        <v>4571</v>
      </c>
      <c r="M908" s="324">
        <v>0</v>
      </c>
      <c r="N908" s="14" t="s">
        <v>1879</v>
      </c>
      <c r="O908" s="14" t="s">
        <v>1879</v>
      </c>
      <c r="P908" s="167" t="s">
        <v>139</v>
      </c>
      <c r="Q908" s="14" t="s">
        <v>157</v>
      </c>
      <c r="R908" s="223" t="s">
        <v>234</v>
      </c>
      <c r="S908" s="224">
        <f t="shared" si="141"/>
        <v>45728</v>
      </c>
      <c r="T908" s="79">
        <v>45727</v>
      </c>
      <c r="U908" s="14" t="s">
        <v>4572</v>
      </c>
      <c r="V908" s="14" t="s">
        <v>2149</v>
      </c>
      <c r="W908" s="14" t="s">
        <v>1879</v>
      </c>
      <c r="X908" s="14" t="s">
        <v>154</v>
      </c>
      <c r="Y908" s="14" t="s">
        <v>2093</v>
      </c>
      <c r="Z908" s="14" t="s">
        <v>4573</v>
      </c>
      <c r="AA908" s="2">
        <f t="shared" ca="1" si="143"/>
        <v>1</v>
      </c>
      <c r="AB908" s="153"/>
      <c r="AC908" s="454" t="str">
        <f t="shared" si="144"/>
        <v>1</v>
      </c>
    </row>
    <row r="909" spans="1:29" ht="58" x14ac:dyDescent="0.35">
      <c r="A909" s="111" t="str">
        <f t="shared" si="138"/>
        <v>Closed</v>
      </c>
      <c r="B909" s="222">
        <v>45701</v>
      </c>
      <c r="C909" s="14">
        <v>2412</v>
      </c>
      <c r="D909" s="14" t="s">
        <v>4574</v>
      </c>
      <c r="E909" s="14" t="s">
        <v>51</v>
      </c>
      <c r="F909" s="14" t="s">
        <v>2056</v>
      </c>
      <c r="G909" s="14"/>
      <c r="H909" s="14">
        <v>106</v>
      </c>
      <c r="I909" s="176" t="s">
        <v>140</v>
      </c>
      <c r="J909" s="14">
        <v>8503461</v>
      </c>
      <c r="K909" s="87"/>
      <c r="L909" s="14" t="s">
        <v>4575</v>
      </c>
      <c r="M909" s="324">
        <f t="shared" ref="M909:M926" si="145">IF(I909="Staff Accident","Entry Required",IF(I909="Assaults","Entry Required",0))</f>
        <v>0</v>
      </c>
      <c r="N909" s="14" t="s">
        <v>1879</v>
      </c>
      <c r="O909" s="14" t="s">
        <v>1879</v>
      </c>
      <c r="P909" s="167" t="s">
        <v>143</v>
      </c>
      <c r="Q909" s="14"/>
      <c r="R909" s="170">
        <v>0</v>
      </c>
      <c r="S909" s="108">
        <f t="shared" si="141"/>
        <v>45729</v>
      </c>
      <c r="T909" s="79">
        <v>45701</v>
      </c>
      <c r="U909" s="14"/>
      <c r="V909" s="14"/>
      <c r="W909" s="14"/>
      <c r="X909" s="14"/>
      <c r="Y909" s="167" t="s">
        <v>2058</v>
      </c>
      <c r="Z909" s="14"/>
      <c r="AA909" s="2">
        <f t="shared" ca="1" si="143"/>
        <v>1</v>
      </c>
      <c r="AB909" s="153"/>
      <c r="AC909" s="454" t="str">
        <f t="shared" si="144"/>
        <v>1</v>
      </c>
    </row>
    <row r="910" spans="1:29" ht="43.5" x14ac:dyDescent="0.35">
      <c r="A910" s="89" t="str">
        <f t="shared" si="138"/>
        <v>Closed</v>
      </c>
      <c r="B910" s="222">
        <v>45701</v>
      </c>
      <c r="C910" s="14">
        <v>2412</v>
      </c>
      <c r="D910" s="14" t="s">
        <v>4576</v>
      </c>
      <c r="E910" s="14" t="s">
        <v>61</v>
      </c>
      <c r="F910" s="14" t="s">
        <v>2299</v>
      </c>
      <c r="G910" s="14"/>
      <c r="H910" s="14">
        <v>207</v>
      </c>
      <c r="I910" s="176" t="s">
        <v>155</v>
      </c>
      <c r="J910" s="14">
        <v>602</v>
      </c>
      <c r="K910" s="87"/>
      <c r="L910" s="14" t="s">
        <v>4577</v>
      </c>
      <c r="M910" s="324">
        <f t="shared" si="145"/>
        <v>0</v>
      </c>
      <c r="N910" s="14" t="s">
        <v>1879</v>
      </c>
      <c r="O910" s="14" t="s">
        <v>1880</v>
      </c>
      <c r="P910" s="167" t="s">
        <v>143</v>
      </c>
      <c r="Q910" s="14"/>
      <c r="R910" s="170">
        <v>0</v>
      </c>
      <c r="S910" s="224">
        <f t="shared" si="141"/>
        <v>45729</v>
      </c>
      <c r="T910" s="79">
        <v>45701</v>
      </c>
      <c r="U910" s="14"/>
      <c r="V910" s="14"/>
      <c r="W910" s="14"/>
      <c r="X910" s="14"/>
      <c r="Y910" s="14" t="s">
        <v>2302</v>
      </c>
      <c r="Z910" s="14"/>
      <c r="AA910" s="2">
        <f t="shared" ca="1" si="143"/>
        <v>1</v>
      </c>
      <c r="AB910" s="153"/>
      <c r="AC910" s="454" t="str">
        <f t="shared" si="144"/>
        <v>2</v>
      </c>
    </row>
    <row r="911" spans="1:29" ht="43.5" x14ac:dyDescent="0.35">
      <c r="A911" s="89" t="str">
        <f t="shared" si="138"/>
        <v>Closed</v>
      </c>
      <c r="B911" s="222">
        <v>45702</v>
      </c>
      <c r="C911" s="14">
        <v>2412</v>
      </c>
      <c r="D911" s="14" t="s">
        <v>4578</v>
      </c>
      <c r="E911" s="14" t="s">
        <v>27</v>
      </c>
      <c r="F911" s="14" t="s">
        <v>2048</v>
      </c>
      <c r="G911" s="14" t="s">
        <v>1911</v>
      </c>
      <c r="H911" s="14">
        <v>120</v>
      </c>
      <c r="I911" s="176" t="s">
        <v>5</v>
      </c>
      <c r="J911" s="14">
        <v>600</v>
      </c>
      <c r="K911" s="87"/>
      <c r="L911" s="14" t="s">
        <v>4579</v>
      </c>
      <c r="M911" s="324">
        <f t="shared" si="145"/>
        <v>0</v>
      </c>
      <c r="N911" s="14" t="s">
        <v>1879</v>
      </c>
      <c r="O911" s="14" t="s">
        <v>1880</v>
      </c>
      <c r="P911" s="167" t="s">
        <v>147</v>
      </c>
      <c r="Q911" s="14" t="s">
        <v>174</v>
      </c>
      <c r="R911" s="223" t="s">
        <v>234</v>
      </c>
      <c r="S911" s="224">
        <f t="shared" si="141"/>
        <v>45730</v>
      </c>
      <c r="T911" s="79">
        <v>45740</v>
      </c>
      <c r="U911" s="14" t="s">
        <v>4580</v>
      </c>
      <c r="V911" s="14" t="s">
        <v>4398</v>
      </c>
      <c r="W911" s="14" t="s">
        <v>2034</v>
      </c>
      <c r="X911" s="14" t="s">
        <v>1883</v>
      </c>
      <c r="Y911" s="167" t="s">
        <v>2050</v>
      </c>
      <c r="Z911" s="14" t="s">
        <v>4581</v>
      </c>
      <c r="AA911" s="2">
        <f t="shared" ca="1" si="143"/>
        <v>1</v>
      </c>
      <c r="AB911" s="153"/>
      <c r="AC911" s="454" t="str">
        <f t="shared" si="144"/>
        <v>1</v>
      </c>
    </row>
    <row r="912" spans="1:29" ht="87" x14ac:dyDescent="0.45">
      <c r="A912" s="89" t="str">
        <f t="shared" si="138"/>
        <v>Closed</v>
      </c>
      <c r="B912" s="222">
        <v>45624</v>
      </c>
      <c r="C912" s="14">
        <v>2409</v>
      </c>
      <c r="D912" s="14" t="s">
        <v>4582</v>
      </c>
      <c r="E912" s="14" t="s">
        <v>192</v>
      </c>
      <c r="F912" s="14" t="s">
        <v>2338</v>
      </c>
      <c r="G912" s="14"/>
      <c r="H912" s="14">
        <v>103</v>
      </c>
      <c r="I912" s="176" t="s">
        <v>140</v>
      </c>
      <c r="J912" s="14">
        <v>254</v>
      </c>
      <c r="K912" s="87"/>
      <c r="L912" s="14" t="s">
        <v>4583</v>
      </c>
      <c r="M912" s="324">
        <f t="shared" si="145"/>
        <v>0</v>
      </c>
      <c r="N912" s="14" t="s">
        <v>1879</v>
      </c>
      <c r="O912" s="30" t="s">
        <v>1879</v>
      </c>
      <c r="P912" s="167" t="s">
        <v>143</v>
      </c>
      <c r="Q912" s="14"/>
      <c r="R912" s="223">
        <v>0</v>
      </c>
      <c r="S912" s="224">
        <f t="shared" si="141"/>
        <v>45652</v>
      </c>
      <c r="T912" s="79">
        <v>45624</v>
      </c>
      <c r="U912" s="14"/>
      <c r="V912" s="14"/>
      <c r="W912" s="14"/>
      <c r="X912" s="14"/>
      <c r="Y912" s="463" t="s">
        <v>2340</v>
      </c>
      <c r="Z912" s="14"/>
      <c r="AA912" s="2">
        <f t="shared" ca="1" si="143"/>
        <v>1</v>
      </c>
      <c r="AB912" s="153"/>
      <c r="AC912" s="454" t="str">
        <f t="shared" si="144"/>
        <v>1</v>
      </c>
    </row>
    <row r="913" spans="1:29" ht="43.5" x14ac:dyDescent="0.35">
      <c r="A913" s="89" t="str">
        <f t="shared" si="138"/>
        <v>Closed</v>
      </c>
      <c r="B913" s="222">
        <v>45702</v>
      </c>
      <c r="C913" s="14">
        <v>2412</v>
      </c>
      <c r="D913" s="14" t="s">
        <v>4582</v>
      </c>
      <c r="E913" s="14" t="s">
        <v>38</v>
      </c>
      <c r="F913" s="14" t="s">
        <v>1910</v>
      </c>
      <c r="G913" s="14" t="s">
        <v>1911</v>
      </c>
      <c r="H913" s="14"/>
      <c r="I913" s="176" t="s">
        <v>6</v>
      </c>
      <c r="K913" s="87"/>
      <c r="L913" s="14" t="s">
        <v>4584</v>
      </c>
      <c r="M913" s="324">
        <f t="shared" si="145"/>
        <v>0</v>
      </c>
      <c r="N913" s="14" t="s">
        <v>1879</v>
      </c>
      <c r="O913" s="14" t="s">
        <v>1879</v>
      </c>
      <c r="P913" s="167" t="s">
        <v>143</v>
      </c>
      <c r="Q913" s="14"/>
      <c r="R913" s="223">
        <v>0</v>
      </c>
      <c r="S913" s="224">
        <f t="shared" si="141"/>
        <v>45730</v>
      </c>
      <c r="T913" s="79">
        <v>45702</v>
      </c>
      <c r="U913" s="14"/>
      <c r="V913" s="14"/>
      <c r="W913" s="14"/>
      <c r="X913" s="176"/>
      <c r="Y913" s="15" t="s">
        <v>1915</v>
      </c>
      <c r="Z913" s="87"/>
      <c r="AA913" s="2">
        <f t="shared" ca="1" si="143"/>
        <v>1</v>
      </c>
      <c r="AB913" s="153"/>
      <c r="AC913" s="454" t="str">
        <f t="shared" si="144"/>
        <v/>
      </c>
    </row>
    <row r="914" spans="1:29" ht="72.5" x14ac:dyDescent="0.35">
      <c r="A914" s="111" t="str">
        <f t="shared" si="138"/>
        <v>Closed</v>
      </c>
      <c r="B914" s="222">
        <v>45702</v>
      </c>
      <c r="C914" s="14">
        <v>2412</v>
      </c>
      <c r="D914" s="14" t="s">
        <v>4585</v>
      </c>
      <c r="E914" s="14" t="s">
        <v>192</v>
      </c>
      <c r="F914" s="14" t="s">
        <v>2962</v>
      </c>
      <c r="G914" s="14" t="s">
        <v>1911</v>
      </c>
      <c r="H914" s="14"/>
      <c r="I914" s="176" t="s">
        <v>140</v>
      </c>
      <c r="J914" s="14">
        <v>97</v>
      </c>
      <c r="K914" s="87"/>
      <c r="L914" s="14" t="s">
        <v>4586</v>
      </c>
      <c r="M914" s="324">
        <f t="shared" si="145"/>
        <v>0</v>
      </c>
      <c r="N914" s="14" t="s">
        <v>1879</v>
      </c>
      <c r="O914" s="14" t="s">
        <v>1879</v>
      </c>
      <c r="P914" s="167" t="s">
        <v>143</v>
      </c>
      <c r="Q914" s="14"/>
      <c r="R914" s="170">
        <v>0</v>
      </c>
      <c r="S914" s="108">
        <f t="shared" si="141"/>
        <v>45730</v>
      </c>
      <c r="T914" s="79">
        <v>45702</v>
      </c>
      <c r="U914" s="14"/>
      <c r="V914" s="14"/>
      <c r="W914" s="14"/>
      <c r="X914" s="14"/>
      <c r="Y914" s="167" t="s">
        <v>2964</v>
      </c>
      <c r="Z914" s="14"/>
      <c r="AA914" s="2">
        <f t="shared" ca="1" si="143"/>
        <v>1</v>
      </c>
      <c r="AB914" s="153"/>
      <c r="AC914" s="454" t="str">
        <f t="shared" si="144"/>
        <v/>
      </c>
    </row>
    <row r="915" spans="1:29" ht="116" x14ac:dyDescent="0.35">
      <c r="A915" s="111" t="str">
        <f t="shared" si="138"/>
        <v>Closed</v>
      </c>
      <c r="B915" s="222">
        <v>45702</v>
      </c>
      <c r="C915" s="14">
        <v>2412</v>
      </c>
      <c r="D915" s="14" t="s">
        <v>4587</v>
      </c>
      <c r="E915" s="14" t="s">
        <v>180</v>
      </c>
      <c r="F915" s="14" t="s">
        <v>2774</v>
      </c>
      <c r="G915" s="14"/>
      <c r="H915" s="14"/>
      <c r="I915" s="176" t="s">
        <v>140</v>
      </c>
      <c r="K915" s="87"/>
      <c r="L915" s="14" t="s">
        <v>4588</v>
      </c>
      <c r="M915" s="324">
        <f t="shared" si="145"/>
        <v>0</v>
      </c>
      <c r="N915" s="14" t="s">
        <v>1879</v>
      </c>
      <c r="O915" s="14" t="s">
        <v>1879</v>
      </c>
      <c r="P915" s="167" t="s">
        <v>143</v>
      </c>
      <c r="Q915" s="14"/>
      <c r="R915" s="170">
        <v>0</v>
      </c>
      <c r="S915" s="108">
        <f t="shared" si="141"/>
        <v>45730</v>
      </c>
      <c r="T915" s="79">
        <v>45702</v>
      </c>
      <c r="U915" s="14"/>
      <c r="V915" s="14"/>
      <c r="W915" s="14"/>
      <c r="X915" s="14"/>
      <c r="Z915" s="14"/>
      <c r="AA915" s="2">
        <f t="shared" ca="1" si="143"/>
        <v>1</v>
      </c>
      <c r="AB915" s="153"/>
      <c r="AC915" s="454" t="str">
        <f t="shared" si="144"/>
        <v/>
      </c>
    </row>
    <row r="916" spans="1:29" ht="58" x14ac:dyDescent="0.35">
      <c r="A916" s="111" t="str">
        <f t="shared" si="138"/>
        <v>Closed</v>
      </c>
      <c r="B916" s="222">
        <v>45703</v>
      </c>
      <c r="C916" s="14">
        <v>2412</v>
      </c>
      <c r="D916" s="14" t="s">
        <v>4589</v>
      </c>
      <c r="E916" s="14" t="s">
        <v>1907</v>
      </c>
      <c r="F916" s="14" t="s">
        <v>2119</v>
      </c>
      <c r="G916" s="14" t="s">
        <v>1911</v>
      </c>
      <c r="H916" s="14"/>
      <c r="I916" s="176" t="s">
        <v>140</v>
      </c>
      <c r="J916" s="14">
        <v>569</v>
      </c>
      <c r="K916" s="87"/>
      <c r="L916" s="14" t="s">
        <v>4590</v>
      </c>
      <c r="M916" s="324">
        <f t="shared" si="145"/>
        <v>0</v>
      </c>
      <c r="N916" s="14" t="s">
        <v>1879</v>
      </c>
      <c r="O916" s="14" t="s">
        <v>1879</v>
      </c>
      <c r="P916" s="167" t="s">
        <v>143</v>
      </c>
      <c r="Q916" s="14"/>
      <c r="R916" s="170">
        <v>0</v>
      </c>
      <c r="S916" s="108">
        <f t="shared" si="141"/>
        <v>45731</v>
      </c>
      <c r="T916" s="79">
        <v>45702</v>
      </c>
      <c r="U916" s="14"/>
      <c r="V916" s="14"/>
      <c r="W916" s="14"/>
      <c r="X916" s="14"/>
      <c r="Y916" s="14" t="s">
        <v>2093</v>
      </c>
      <c r="Z916" s="14"/>
      <c r="AA916" s="2">
        <f t="shared" ca="1" si="143"/>
        <v>1</v>
      </c>
      <c r="AB916" s="153"/>
      <c r="AC916" s="454" t="str">
        <f t="shared" si="144"/>
        <v/>
      </c>
    </row>
    <row r="917" spans="1:29" ht="72.5" x14ac:dyDescent="0.35">
      <c r="A917" s="111" t="str">
        <f t="shared" si="138"/>
        <v>Closed</v>
      </c>
      <c r="B917" s="222">
        <v>45703</v>
      </c>
      <c r="C917" s="14">
        <v>2412</v>
      </c>
      <c r="D917" s="14" t="s">
        <v>4591</v>
      </c>
      <c r="E917" s="14" t="s">
        <v>1997</v>
      </c>
      <c r="F917" s="14" t="s">
        <v>1886</v>
      </c>
      <c r="G917" s="14" t="s">
        <v>1911</v>
      </c>
      <c r="H917" s="14">
        <v>118</v>
      </c>
      <c r="I917" s="176" t="s">
        <v>140</v>
      </c>
      <c r="J917" s="14">
        <v>8504629</v>
      </c>
      <c r="K917" s="87"/>
      <c r="L917" s="14" t="s">
        <v>4592</v>
      </c>
      <c r="M917" s="324">
        <f t="shared" si="145"/>
        <v>0</v>
      </c>
      <c r="N917" s="14" t="s">
        <v>1879</v>
      </c>
      <c r="O917" s="14" t="s">
        <v>1879</v>
      </c>
      <c r="P917" s="167" t="s">
        <v>143</v>
      </c>
      <c r="Q917" s="14"/>
      <c r="R917" s="170">
        <v>0</v>
      </c>
      <c r="S917" s="108">
        <f t="shared" si="141"/>
        <v>45731</v>
      </c>
      <c r="T917" s="79">
        <v>45703</v>
      </c>
      <c r="U917" s="14"/>
      <c r="V917" s="14"/>
      <c r="W917" s="14"/>
      <c r="X917" s="14"/>
      <c r="Y917" s="14" t="s">
        <v>1890</v>
      </c>
      <c r="Z917" s="14"/>
      <c r="AA917" s="2">
        <f t="shared" ca="1" si="143"/>
        <v>1</v>
      </c>
      <c r="AB917" s="153"/>
      <c r="AC917" s="454" t="str">
        <f t="shared" si="144"/>
        <v>1</v>
      </c>
    </row>
    <row r="918" spans="1:29" ht="43.5" x14ac:dyDescent="0.35">
      <c r="A918" s="89" t="str">
        <f t="shared" si="138"/>
        <v>Closed</v>
      </c>
      <c r="B918" s="222">
        <v>45703</v>
      </c>
      <c r="C918" s="14">
        <v>2412</v>
      </c>
      <c r="D918" s="14" t="s">
        <v>4593</v>
      </c>
      <c r="E918" s="14" t="s">
        <v>27</v>
      </c>
      <c r="F918" s="14" t="s">
        <v>2262</v>
      </c>
      <c r="G918" s="14" t="s">
        <v>1900</v>
      </c>
      <c r="H918" s="14">
        <v>113</v>
      </c>
      <c r="I918" s="176" t="s">
        <v>5</v>
      </c>
      <c r="J918" s="14">
        <v>8510009</v>
      </c>
      <c r="K918" s="87"/>
      <c r="L918" s="14" t="s">
        <v>4594</v>
      </c>
      <c r="M918" s="324">
        <f t="shared" si="145"/>
        <v>0</v>
      </c>
      <c r="N918" s="14" t="s">
        <v>1879</v>
      </c>
      <c r="O918" s="14" t="s">
        <v>1879</v>
      </c>
      <c r="P918" s="167" t="s">
        <v>147</v>
      </c>
      <c r="Q918" s="14" t="s">
        <v>153</v>
      </c>
      <c r="R918" s="223" t="s">
        <v>234</v>
      </c>
      <c r="S918" s="224">
        <f t="shared" si="141"/>
        <v>45731</v>
      </c>
      <c r="T918" s="79">
        <v>45717</v>
      </c>
      <c r="U918" s="14" t="s">
        <v>4595</v>
      </c>
      <c r="V918" s="14" t="s">
        <v>4596</v>
      </c>
      <c r="W918" s="14" t="s">
        <v>1879</v>
      </c>
      <c r="X918" s="14" t="s">
        <v>154</v>
      </c>
      <c r="Y918" s="14" t="s">
        <v>2185</v>
      </c>
      <c r="Z918" s="14"/>
      <c r="AA918" s="2">
        <f t="shared" ca="1" si="143"/>
        <v>1</v>
      </c>
      <c r="AB918" s="153"/>
      <c r="AC918" s="454" t="str">
        <f t="shared" si="144"/>
        <v>1</v>
      </c>
    </row>
    <row r="919" spans="1:29" ht="116" x14ac:dyDescent="0.35">
      <c r="A919" s="111" t="str">
        <f t="shared" si="138"/>
        <v>Closed</v>
      </c>
      <c r="B919" s="222">
        <v>45704</v>
      </c>
      <c r="C919" s="14">
        <v>2412</v>
      </c>
      <c r="D919" s="14" t="s">
        <v>4597</v>
      </c>
      <c r="E919" s="30" t="s">
        <v>206</v>
      </c>
      <c r="F919" s="14" t="s">
        <v>1980</v>
      </c>
      <c r="G919" s="14"/>
      <c r="H919" s="14"/>
      <c r="I919" s="176" t="s">
        <v>140</v>
      </c>
      <c r="K919" s="87"/>
      <c r="L919" s="14" t="s">
        <v>4598</v>
      </c>
      <c r="M919" s="324">
        <f t="shared" si="145"/>
        <v>0</v>
      </c>
      <c r="N919" s="14" t="s">
        <v>1879</v>
      </c>
      <c r="O919" s="14" t="s">
        <v>1879</v>
      </c>
      <c r="P919" s="167" t="s">
        <v>143</v>
      </c>
      <c r="Q919" s="14"/>
      <c r="R919" s="170">
        <v>0</v>
      </c>
      <c r="S919" s="108">
        <f t="shared" si="141"/>
        <v>45732</v>
      </c>
      <c r="T919" s="79">
        <v>45703</v>
      </c>
      <c r="U919" s="14"/>
      <c r="V919" s="14"/>
      <c r="W919" s="14"/>
      <c r="X919" s="14"/>
      <c r="Y919" s="15" t="s">
        <v>1982</v>
      </c>
      <c r="Z919" s="14"/>
      <c r="AA919" s="2">
        <f t="shared" ca="1" si="143"/>
        <v>1</v>
      </c>
      <c r="AB919" s="153"/>
      <c r="AC919" s="454" t="str">
        <f t="shared" si="144"/>
        <v/>
      </c>
    </row>
    <row r="920" spans="1:29" ht="29" x14ac:dyDescent="0.35">
      <c r="A920" s="111" t="str">
        <f t="shared" si="138"/>
        <v>Closed</v>
      </c>
      <c r="B920" s="222">
        <v>45704</v>
      </c>
      <c r="C920" s="14">
        <v>2412</v>
      </c>
      <c r="D920" s="14" t="s">
        <v>4599</v>
      </c>
      <c r="E920" s="14" t="s">
        <v>192</v>
      </c>
      <c r="F920" s="14" t="s">
        <v>1972</v>
      </c>
      <c r="G920" s="14"/>
      <c r="H920" s="14">
        <v>102</v>
      </c>
      <c r="I920" s="176" t="s">
        <v>140</v>
      </c>
      <c r="K920" s="87"/>
      <c r="L920" s="14" t="s">
        <v>4600</v>
      </c>
      <c r="M920" s="324">
        <f t="shared" si="145"/>
        <v>0</v>
      </c>
      <c r="N920" s="14" t="s">
        <v>1879</v>
      </c>
      <c r="O920" s="14" t="s">
        <v>1879</v>
      </c>
      <c r="P920" s="167" t="s">
        <v>143</v>
      </c>
      <c r="Q920" s="14"/>
      <c r="R920" s="170">
        <v>0</v>
      </c>
      <c r="S920" s="108">
        <f t="shared" si="141"/>
        <v>45732</v>
      </c>
      <c r="T920" s="79">
        <v>45703</v>
      </c>
      <c r="U920" s="14"/>
      <c r="V920" s="14"/>
      <c r="W920" s="14"/>
      <c r="X920" s="14"/>
      <c r="Z920" s="14"/>
      <c r="AA920" s="2">
        <f t="shared" ca="1" si="143"/>
        <v>1</v>
      </c>
      <c r="AB920" s="153"/>
      <c r="AC920" s="454" t="str">
        <f t="shared" si="144"/>
        <v>1</v>
      </c>
    </row>
    <row r="921" spans="1:29" ht="44" thickBot="1" x14ac:dyDescent="0.4">
      <c r="A921" s="111" t="str">
        <f t="shared" si="138"/>
        <v>Closed</v>
      </c>
      <c r="B921" s="226">
        <v>45706</v>
      </c>
      <c r="C921" s="14">
        <v>2412</v>
      </c>
      <c r="D921" s="14" t="s">
        <v>4601</v>
      </c>
      <c r="E921" s="14" t="s">
        <v>8</v>
      </c>
      <c r="F921" s="167" t="s">
        <v>2349</v>
      </c>
      <c r="G921" s="14" t="s">
        <v>1911</v>
      </c>
      <c r="H921" s="14">
        <v>116</v>
      </c>
      <c r="I921" s="176" t="s">
        <v>140</v>
      </c>
      <c r="J921" s="14">
        <v>254</v>
      </c>
      <c r="K921" s="87"/>
      <c r="L921" s="14" t="s">
        <v>4602</v>
      </c>
      <c r="M921" s="324">
        <f t="shared" si="145"/>
        <v>0</v>
      </c>
      <c r="N921" s="14" t="s">
        <v>1879</v>
      </c>
      <c r="O921" s="14" t="s">
        <v>1879</v>
      </c>
      <c r="P921" s="167" t="s">
        <v>143</v>
      </c>
      <c r="Q921" s="14"/>
      <c r="R921" s="170">
        <v>0</v>
      </c>
      <c r="S921" s="108">
        <f t="shared" si="141"/>
        <v>45734</v>
      </c>
      <c r="T921" s="79">
        <v>45918</v>
      </c>
      <c r="U921" s="14"/>
      <c r="V921" s="14"/>
      <c r="W921" s="14"/>
      <c r="X921" s="14"/>
      <c r="Y921" s="14" t="s">
        <v>2351</v>
      </c>
      <c r="Z921" s="14"/>
      <c r="AA921" s="2">
        <f t="shared" ca="1" si="143"/>
        <v>1</v>
      </c>
      <c r="AB921" s="153"/>
      <c r="AC921" s="454" t="str">
        <f t="shared" si="144"/>
        <v>1</v>
      </c>
    </row>
    <row r="922" spans="1:29" ht="58.5" thickBot="1" x14ac:dyDescent="0.4">
      <c r="A922" s="89" t="str">
        <f t="shared" si="138"/>
        <v>Closed</v>
      </c>
      <c r="B922" s="222">
        <v>45706</v>
      </c>
      <c r="C922" s="14">
        <v>2412</v>
      </c>
      <c r="D922" s="14" t="s">
        <v>4603</v>
      </c>
      <c r="E922" s="14" t="s">
        <v>1907</v>
      </c>
      <c r="F922" s="14" t="s">
        <v>2162</v>
      </c>
      <c r="G922" s="14" t="s">
        <v>1911</v>
      </c>
      <c r="H922" s="14">
        <v>120</v>
      </c>
      <c r="I922" s="176" t="s">
        <v>140</v>
      </c>
      <c r="J922" s="14">
        <v>254</v>
      </c>
      <c r="K922" s="87"/>
      <c r="L922" s="14" t="s">
        <v>4604</v>
      </c>
      <c r="M922" s="324">
        <f t="shared" si="145"/>
        <v>0</v>
      </c>
      <c r="N922" s="14" t="s">
        <v>1879</v>
      </c>
      <c r="O922" s="14" t="s">
        <v>1879</v>
      </c>
      <c r="P922" s="167" t="s">
        <v>143</v>
      </c>
      <c r="Q922" s="14"/>
      <c r="R922" s="170">
        <v>0</v>
      </c>
      <c r="S922" s="224">
        <f t="shared" si="141"/>
        <v>45734</v>
      </c>
      <c r="T922" s="79">
        <v>45706</v>
      </c>
      <c r="U922" s="14"/>
      <c r="V922" s="14"/>
      <c r="W922" s="14"/>
      <c r="X922" s="14"/>
      <c r="Y922" s="464" t="s">
        <v>2164</v>
      </c>
      <c r="Z922" s="14"/>
      <c r="AA922" s="2">
        <f t="shared" ca="1" si="143"/>
        <v>1</v>
      </c>
      <c r="AB922" s="153"/>
      <c r="AC922" s="454" t="str">
        <f t="shared" si="144"/>
        <v>1</v>
      </c>
    </row>
    <row r="923" spans="1:29" ht="43.5" x14ac:dyDescent="0.35">
      <c r="A923" s="111" t="str">
        <f t="shared" si="138"/>
        <v>Closed</v>
      </c>
      <c r="B923" s="293">
        <v>45707</v>
      </c>
      <c r="C923" s="14">
        <v>2412</v>
      </c>
      <c r="D923" s="14" t="s">
        <v>4605</v>
      </c>
      <c r="E923" s="14" t="s">
        <v>192</v>
      </c>
      <c r="F923" s="14" t="s">
        <v>2155</v>
      </c>
      <c r="G923" s="14" t="s">
        <v>1911</v>
      </c>
      <c r="H923" s="14">
        <v>123</v>
      </c>
      <c r="I923" s="176" t="s">
        <v>140</v>
      </c>
      <c r="J923" s="14">
        <v>391</v>
      </c>
      <c r="K923" s="87"/>
      <c r="L923" s="14" t="s">
        <v>4606</v>
      </c>
      <c r="M923" s="324">
        <f t="shared" si="145"/>
        <v>0</v>
      </c>
      <c r="N923" s="14" t="s">
        <v>1879</v>
      </c>
      <c r="O923" s="14" t="s">
        <v>1879</v>
      </c>
      <c r="P923" s="167" t="s">
        <v>143</v>
      </c>
      <c r="Q923" s="14"/>
      <c r="R923" s="170">
        <v>0</v>
      </c>
      <c r="S923" s="108">
        <f>IF(B922="","",B922+28)</f>
        <v>45734</v>
      </c>
      <c r="T923" s="79">
        <v>45707</v>
      </c>
      <c r="U923" s="14"/>
      <c r="V923" s="14"/>
      <c r="W923" s="14"/>
      <c r="X923" s="14"/>
      <c r="Z923" s="14"/>
      <c r="AA923" s="2">
        <f t="shared" ca="1" si="143"/>
        <v>1</v>
      </c>
      <c r="AB923" s="153"/>
      <c r="AC923" s="454" t="str">
        <f t="shared" si="144"/>
        <v>1</v>
      </c>
    </row>
    <row r="924" spans="1:29" ht="43.5" x14ac:dyDescent="0.35">
      <c r="A924" s="89" t="str">
        <f t="shared" si="138"/>
        <v>Closed</v>
      </c>
      <c r="B924" s="222">
        <v>45709</v>
      </c>
      <c r="C924" s="14">
        <v>2412</v>
      </c>
      <c r="D924" s="14" t="s">
        <v>4607</v>
      </c>
      <c r="E924" s="14" t="s">
        <v>196</v>
      </c>
      <c r="F924" s="14" t="s">
        <v>2056</v>
      </c>
      <c r="G924" s="14" t="s">
        <v>1911</v>
      </c>
      <c r="H924" s="14">
        <v>104</v>
      </c>
      <c r="I924" s="176" t="s">
        <v>155</v>
      </c>
      <c r="K924" s="87"/>
      <c r="L924" s="14" t="s">
        <v>4608</v>
      </c>
      <c r="M924" s="324">
        <f t="shared" si="145"/>
        <v>0</v>
      </c>
      <c r="N924" s="14" t="s">
        <v>1880</v>
      </c>
      <c r="O924" s="14" t="s">
        <v>1880</v>
      </c>
      <c r="P924" s="167" t="s">
        <v>147</v>
      </c>
      <c r="Q924" s="14" t="s">
        <v>175</v>
      </c>
      <c r="R924" s="223" t="s">
        <v>234</v>
      </c>
      <c r="S924" s="224">
        <f t="shared" ref="S924:S955" si="146">IF(B924="","",B924+28)</f>
        <v>45737</v>
      </c>
      <c r="T924" s="79">
        <v>45902</v>
      </c>
      <c r="U924" s="14" t="s">
        <v>4609</v>
      </c>
      <c r="V924" s="14" t="s">
        <v>2102</v>
      </c>
      <c r="W924" s="14" t="s">
        <v>1880</v>
      </c>
      <c r="X924" s="14" t="s">
        <v>1880</v>
      </c>
      <c r="Y924" s="167" t="s">
        <v>2058</v>
      </c>
      <c r="Z924" s="14" t="s">
        <v>4610</v>
      </c>
      <c r="AA924" s="2">
        <f t="shared" ca="1" si="143"/>
        <v>1</v>
      </c>
      <c r="AB924" s="153"/>
      <c r="AC924" s="454" t="str">
        <f t="shared" si="144"/>
        <v>1</v>
      </c>
    </row>
    <row r="925" spans="1:29" ht="72.5" x14ac:dyDescent="0.35">
      <c r="A925" s="89" t="str">
        <f t="shared" si="138"/>
        <v>Closed</v>
      </c>
      <c r="B925" s="222">
        <v>45710</v>
      </c>
      <c r="C925" s="14">
        <v>2412</v>
      </c>
      <c r="D925" s="14" t="s">
        <v>4611</v>
      </c>
      <c r="E925" s="14" t="s">
        <v>27</v>
      </c>
      <c r="F925" s="14" t="s">
        <v>2262</v>
      </c>
      <c r="G925" s="14" t="s">
        <v>1911</v>
      </c>
      <c r="H925" s="14">
        <v>205</v>
      </c>
      <c r="I925" s="176" t="s">
        <v>5</v>
      </c>
      <c r="J925" s="14">
        <v>651</v>
      </c>
      <c r="K925" s="87"/>
      <c r="L925" s="14" t="s">
        <v>4612</v>
      </c>
      <c r="M925" s="324">
        <f t="shared" si="145"/>
        <v>0</v>
      </c>
      <c r="N925" s="14" t="s">
        <v>1879</v>
      </c>
      <c r="O925" s="14" t="s">
        <v>1880</v>
      </c>
      <c r="P925" s="167" t="s">
        <v>147</v>
      </c>
      <c r="Q925" s="14" t="s">
        <v>174</v>
      </c>
      <c r="R925" s="223" t="s">
        <v>234</v>
      </c>
      <c r="S925" s="224">
        <f t="shared" si="146"/>
        <v>45738</v>
      </c>
      <c r="T925" s="14" t="s">
        <v>4613</v>
      </c>
      <c r="U925" s="14" t="s">
        <v>4614</v>
      </c>
      <c r="V925" s="14" t="s">
        <v>4615</v>
      </c>
      <c r="W925" s="14" t="s">
        <v>1879</v>
      </c>
      <c r="X925" s="14" t="s">
        <v>1883</v>
      </c>
      <c r="Y925" s="88" t="s">
        <v>2185</v>
      </c>
      <c r="Z925" s="14" t="s">
        <v>4616</v>
      </c>
      <c r="AA925" s="2">
        <f t="shared" ca="1" si="143"/>
        <v>1</v>
      </c>
      <c r="AB925" s="153"/>
      <c r="AC925" s="454" t="str">
        <f t="shared" si="144"/>
        <v>2</v>
      </c>
    </row>
    <row r="926" spans="1:29" ht="43.5" x14ac:dyDescent="0.35">
      <c r="A926" s="111" t="str">
        <f t="shared" si="138"/>
        <v>Closed</v>
      </c>
      <c r="B926" s="226">
        <v>45710</v>
      </c>
      <c r="C926" s="14">
        <v>2412</v>
      </c>
      <c r="D926" s="14" t="s">
        <v>4617</v>
      </c>
      <c r="E926" s="14" t="s">
        <v>192</v>
      </c>
      <c r="F926" s="14" t="s">
        <v>2765</v>
      </c>
      <c r="G926" s="14" t="s">
        <v>1911</v>
      </c>
      <c r="H926" s="14">
        <v>117</v>
      </c>
      <c r="I926" s="176" t="s">
        <v>140</v>
      </c>
      <c r="J926" s="14">
        <v>254</v>
      </c>
      <c r="K926" s="87"/>
      <c r="L926" s="14" t="s">
        <v>4618</v>
      </c>
      <c r="M926" s="324">
        <f t="shared" si="145"/>
        <v>0</v>
      </c>
      <c r="N926" s="14" t="s">
        <v>1879</v>
      </c>
      <c r="O926" s="14" t="s">
        <v>1879</v>
      </c>
      <c r="P926" s="167" t="s">
        <v>143</v>
      </c>
      <c r="Q926" s="14"/>
      <c r="R926" s="170">
        <v>0</v>
      </c>
      <c r="S926" s="108">
        <f t="shared" si="146"/>
        <v>45738</v>
      </c>
      <c r="T926" s="79">
        <v>45344</v>
      </c>
      <c r="U926" s="14"/>
      <c r="V926" s="14"/>
      <c r="W926" s="14"/>
      <c r="X926" s="14"/>
      <c r="Z926" s="14"/>
      <c r="AA926" s="2">
        <f t="shared" ca="1" si="143"/>
        <v>1</v>
      </c>
      <c r="AB926" s="153"/>
      <c r="AC926" s="454" t="str">
        <f t="shared" si="144"/>
        <v>1</v>
      </c>
    </row>
    <row r="927" spans="1:29" ht="43.5" x14ac:dyDescent="0.35">
      <c r="A927" s="111" t="str">
        <f t="shared" si="138"/>
        <v>Closed</v>
      </c>
      <c r="B927" s="226">
        <v>45710</v>
      </c>
      <c r="C927" s="14">
        <v>2412</v>
      </c>
      <c r="D927" s="14" t="s">
        <v>4619</v>
      </c>
      <c r="E927" s="14" t="s">
        <v>8</v>
      </c>
      <c r="F927" s="14" t="s">
        <v>2080</v>
      </c>
      <c r="G927" s="14" t="s">
        <v>1911</v>
      </c>
      <c r="H927" s="14">
        <v>125</v>
      </c>
      <c r="I927" s="176" t="s">
        <v>140</v>
      </c>
      <c r="J927" s="14">
        <v>8505252</v>
      </c>
      <c r="K927" s="87"/>
      <c r="L927" s="14" t="s">
        <v>4620</v>
      </c>
      <c r="M927" s="324">
        <f>IF(I926="Staff Accident","Entry Required",IF(I926="Assaults","Entry Required",0))</f>
        <v>0</v>
      </c>
      <c r="N927" s="14" t="s">
        <v>1879</v>
      </c>
      <c r="O927" s="14" t="s">
        <v>1879</v>
      </c>
      <c r="P927" s="167" t="s">
        <v>143</v>
      </c>
      <c r="Q927" s="14"/>
      <c r="R927" s="170">
        <v>0</v>
      </c>
      <c r="S927" s="108">
        <f t="shared" si="146"/>
        <v>45738</v>
      </c>
      <c r="T927" s="79">
        <v>45344</v>
      </c>
      <c r="U927" s="14"/>
      <c r="V927" s="14"/>
      <c r="W927" s="14"/>
      <c r="X927" s="14"/>
      <c r="Y927" s="14" t="s">
        <v>2084</v>
      </c>
      <c r="Z927" s="14"/>
      <c r="AA927" s="2">
        <f t="shared" ca="1" si="143"/>
        <v>1</v>
      </c>
      <c r="AB927" s="153"/>
      <c r="AC927" s="454" t="str">
        <f t="shared" si="144"/>
        <v>1</v>
      </c>
    </row>
    <row r="928" spans="1:29" ht="29" x14ac:dyDescent="0.35">
      <c r="A928" s="111" t="str">
        <f t="shared" si="138"/>
        <v>Closed</v>
      </c>
      <c r="B928" s="226">
        <v>45710</v>
      </c>
      <c r="C928" s="14">
        <v>2412</v>
      </c>
      <c r="D928" s="14" t="s">
        <v>4621</v>
      </c>
      <c r="E928" s="14" t="s">
        <v>8</v>
      </c>
      <c r="F928" s="14" t="s">
        <v>2212</v>
      </c>
      <c r="G928" s="14" t="s">
        <v>1911</v>
      </c>
      <c r="H928" s="14">
        <v>202</v>
      </c>
      <c r="I928" s="176" t="s">
        <v>140</v>
      </c>
      <c r="K928" s="87"/>
      <c r="L928" s="14" t="s">
        <v>4622</v>
      </c>
      <c r="M928" s="324">
        <f t="shared" ref="M928:M941" si="147">IF(I928="Staff Accident","Entry Required",IF(I928="Assaults","Entry Required",0))</f>
        <v>0</v>
      </c>
      <c r="N928" s="14" t="s">
        <v>1879</v>
      </c>
      <c r="O928" s="14" t="s">
        <v>1879</v>
      </c>
      <c r="P928" s="167" t="s">
        <v>143</v>
      </c>
      <c r="Q928" s="14"/>
      <c r="R928" s="170">
        <v>0</v>
      </c>
      <c r="S928" s="108">
        <f t="shared" si="146"/>
        <v>45738</v>
      </c>
      <c r="T928" s="79">
        <v>45344</v>
      </c>
      <c r="U928" s="14"/>
      <c r="V928" s="14"/>
      <c r="W928" s="14"/>
      <c r="X928" s="14"/>
      <c r="Y928" s="14" t="s">
        <v>2216</v>
      </c>
      <c r="Z928" s="14"/>
      <c r="AA928" s="2">
        <f t="shared" ca="1" si="143"/>
        <v>1</v>
      </c>
      <c r="AB928" s="153"/>
      <c r="AC928" s="454" t="str">
        <f t="shared" si="144"/>
        <v>2</v>
      </c>
    </row>
    <row r="929" spans="1:29" ht="29" x14ac:dyDescent="0.35">
      <c r="A929" s="111" t="str">
        <f t="shared" si="138"/>
        <v>Closed</v>
      </c>
      <c r="B929" s="226">
        <v>45711</v>
      </c>
      <c r="C929" s="14">
        <v>2412</v>
      </c>
      <c r="D929" s="14" t="s">
        <v>4623</v>
      </c>
      <c r="E929" s="14" t="s">
        <v>8</v>
      </c>
      <c r="F929" s="14"/>
      <c r="G929" s="14"/>
      <c r="H929" s="14">
        <v>101</v>
      </c>
      <c r="I929" s="176" t="s">
        <v>140</v>
      </c>
      <c r="K929" s="87"/>
      <c r="L929" s="14" t="s">
        <v>4624</v>
      </c>
      <c r="M929" s="324">
        <f t="shared" si="147"/>
        <v>0</v>
      </c>
      <c r="N929" s="14" t="s">
        <v>1879</v>
      </c>
      <c r="O929" s="14" t="s">
        <v>1879</v>
      </c>
      <c r="P929" s="167" t="s">
        <v>143</v>
      </c>
      <c r="Q929" s="14"/>
      <c r="R929" s="170">
        <v>0</v>
      </c>
      <c r="S929" s="108">
        <f t="shared" si="146"/>
        <v>45739</v>
      </c>
      <c r="T929" s="79">
        <v>45345</v>
      </c>
      <c r="U929" s="14"/>
      <c r="V929" s="14"/>
      <c r="W929" s="14"/>
      <c r="X929" s="14"/>
      <c r="Z929" s="14"/>
      <c r="AA929" s="2">
        <f t="shared" ca="1" si="143"/>
        <v>1</v>
      </c>
      <c r="AB929" s="153"/>
      <c r="AC929" s="454" t="str">
        <f t="shared" si="144"/>
        <v>1</v>
      </c>
    </row>
    <row r="930" spans="1:29" ht="43.5" x14ac:dyDescent="0.35">
      <c r="A930" s="111" t="str">
        <f t="shared" ref="A930:A993" si="148">IF(T930&gt;1,"Closed",IF(AA930=1,"Overdue",IF(AA930=3,"","Open")))</f>
        <v>Closed</v>
      </c>
      <c r="B930" s="226">
        <v>45711</v>
      </c>
      <c r="C930" s="14">
        <v>2412</v>
      </c>
      <c r="D930" s="14" t="s">
        <v>4625</v>
      </c>
      <c r="E930" s="14" t="s">
        <v>8</v>
      </c>
      <c r="F930" s="14" t="s">
        <v>3040</v>
      </c>
      <c r="G930" s="14" t="s">
        <v>1900</v>
      </c>
      <c r="H930" s="14">
        <v>102</v>
      </c>
      <c r="I930" s="176" t="s">
        <v>140</v>
      </c>
      <c r="K930" s="87"/>
      <c r="L930" s="14" t="s">
        <v>4626</v>
      </c>
      <c r="M930" s="324">
        <f t="shared" si="147"/>
        <v>0</v>
      </c>
      <c r="N930" s="14" t="s">
        <v>1879</v>
      </c>
      <c r="O930" s="14" t="s">
        <v>1879</v>
      </c>
      <c r="P930" s="167" t="s">
        <v>143</v>
      </c>
      <c r="Q930" s="14"/>
      <c r="R930" s="170">
        <v>0</v>
      </c>
      <c r="S930" s="108">
        <f t="shared" si="146"/>
        <v>45739</v>
      </c>
      <c r="T930" s="79">
        <v>45345</v>
      </c>
      <c r="U930" s="14"/>
      <c r="V930" s="14"/>
      <c r="W930" s="14"/>
      <c r="X930" s="14"/>
      <c r="Y930" s="85" t="s">
        <v>3044</v>
      </c>
      <c r="Z930" s="14"/>
      <c r="AA930" s="2">
        <f t="shared" ca="1" si="143"/>
        <v>1</v>
      </c>
      <c r="AB930" s="153"/>
      <c r="AC930" s="454" t="str">
        <f t="shared" si="144"/>
        <v>1</v>
      </c>
    </row>
    <row r="931" spans="1:29" ht="43.5" x14ac:dyDescent="0.35">
      <c r="A931" s="111" t="str">
        <f t="shared" si="148"/>
        <v>Closed</v>
      </c>
      <c r="B931" s="226">
        <v>45711</v>
      </c>
      <c r="C931" s="14">
        <v>2412</v>
      </c>
      <c r="D931" s="14" t="s">
        <v>4627</v>
      </c>
      <c r="E931" s="14" t="s">
        <v>192</v>
      </c>
      <c r="F931" s="14" t="s">
        <v>3081</v>
      </c>
      <c r="G931" s="14" t="s">
        <v>1900</v>
      </c>
      <c r="H931" s="14">
        <v>113</v>
      </c>
      <c r="I931" s="176" t="s">
        <v>140</v>
      </c>
      <c r="K931" s="87"/>
      <c r="L931" s="14" t="s">
        <v>4628</v>
      </c>
      <c r="M931" s="324">
        <f t="shared" si="147"/>
        <v>0</v>
      </c>
      <c r="N931" s="14" t="s">
        <v>1879</v>
      </c>
      <c r="O931" s="14" t="s">
        <v>1879</v>
      </c>
      <c r="P931" s="167" t="s">
        <v>143</v>
      </c>
      <c r="Q931" s="14"/>
      <c r="R931" s="170">
        <v>0</v>
      </c>
      <c r="S931" s="108">
        <f t="shared" si="146"/>
        <v>45739</v>
      </c>
      <c r="T931" s="79">
        <v>45345</v>
      </c>
      <c r="U931" s="14"/>
      <c r="V931" s="14"/>
      <c r="W931" s="14"/>
      <c r="X931" s="14"/>
      <c r="Y931" s="14" t="s">
        <v>2185</v>
      </c>
      <c r="Z931" s="14"/>
      <c r="AA931" s="2">
        <f t="shared" ca="1" si="143"/>
        <v>1</v>
      </c>
      <c r="AB931" s="153"/>
      <c r="AC931" s="454" t="str">
        <f t="shared" si="144"/>
        <v>1</v>
      </c>
    </row>
    <row r="932" spans="1:29" ht="58" x14ac:dyDescent="0.35">
      <c r="A932" s="89" t="str">
        <f t="shared" si="148"/>
        <v>Closed</v>
      </c>
      <c r="B932" s="222">
        <v>45712</v>
      </c>
      <c r="C932" s="14">
        <v>2412</v>
      </c>
      <c r="D932" s="14" t="s">
        <v>4629</v>
      </c>
      <c r="E932" s="14" t="s">
        <v>37</v>
      </c>
      <c r="F932" s="14" t="s">
        <v>2864</v>
      </c>
      <c r="G932" s="14" t="s">
        <v>1911</v>
      </c>
      <c r="H932" s="14">
        <v>207</v>
      </c>
      <c r="I932" s="176" t="s">
        <v>155</v>
      </c>
      <c r="J932" s="14">
        <v>64986</v>
      </c>
      <c r="K932" s="87"/>
      <c r="L932" s="14" t="s">
        <v>4630</v>
      </c>
      <c r="M932" s="324">
        <f t="shared" si="147"/>
        <v>0</v>
      </c>
      <c r="N932" s="14" t="s">
        <v>1879</v>
      </c>
      <c r="O932" s="14" t="s">
        <v>1879</v>
      </c>
      <c r="P932" s="167" t="s">
        <v>147</v>
      </c>
      <c r="Q932" s="14" t="s">
        <v>175</v>
      </c>
      <c r="R932" s="223" t="s">
        <v>234</v>
      </c>
      <c r="S932" s="224">
        <f t="shared" si="146"/>
        <v>45740</v>
      </c>
      <c r="T932" s="79">
        <v>45718</v>
      </c>
      <c r="U932" s="14" t="s">
        <v>4631</v>
      </c>
      <c r="V932" s="14" t="s">
        <v>4632</v>
      </c>
      <c r="W932" s="14" t="s">
        <v>1879</v>
      </c>
      <c r="X932" s="14" t="s">
        <v>1883</v>
      </c>
      <c r="Y932" s="14" t="s">
        <v>2868</v>
      </c>
      <c r="Z932" s="14"/>
      <c r="AA932" s="2">
        <f t="shared" ca="1" si="143"/>
        <v>1</v>
      </c>
      <c r="AB932" s="153"/>
      <c r="AC932" s="454" t="str">
        <f t="shared" si="144"/>
        <v>2</v>
      </c>
    </row>
    <row r="933" spans="1:29" ht="174" x14ac:dyDescent="0.35">
      <c r="A933" s="111" t="str">
        <f t="shared" si="148"/>
        <v>Closed</v>
      </c>
      <c r="B933" s="226">
        <v>45712</v>
      </c>
      <c r="C933" s="14">
        <v>2412</v>
      </c>
      <c r="D933" s="14" t="s">
        <v>4633</v>
      </c>
      <c r="E933" s="14" t="s">
        <v>192</v>
      </c>
      <c r="F933" s="14" t="s">
        <v>2064</v>
      </c>
      <c r="G933" s="14" t="s">
        <v>1900</v>
      </c>
      <c r="H933" s="14">
        <v>108</v>
      </c>
      <c r="I933" s="176" t="s">
        <v>140</v>
      </c>
      <c r="J933" s="14">
        <v>86735</v>
      </c>
      <c r="K933" s="87"/>
      <c r="L933" s="14" t="s">
        <v>4634</v>
      </c>
      <c r="M933" s="324">
        <f t="shared" si="147"/>
        <v>0</v>
      </c>
      <c r="N933" s="14" t="s">
        <v>1879</v>
      </c>
      <c r="O933" s="14" t="s">
        <v>1880</v>
      </c>
      <c r="P933" s="167" t="s">
        <v>143</v>
      </c>
      <c r="Q933" s="14"/>
      <c r="R933" s="170">
        <v>0</v>
      </c>
      <c r="S933" s="108">
        <f t="shared" si="146"/>
        <v>45740</v>
      </c>
      <c r="T933" s="79">
        <v>45712</v>
      </c>
      <c r="U933" s="14"/>
      <c r="V933" s="14"/>
      <c r="W933" s="14"/>
      <c r="X933" s="14"/>
      <c r="Y933" s="15" t="s">
        <v>2068</v>
      </c>
      <c r="Z933" s="14"/>
      <c r="AA933" s="2">
        <f t="shared" ca="1" si="143"/>
        <v>1</v>
      </c>
      <c r="AB933" s="153"/>
      <c r="AC933" s="454" t="str">
        <f t="shared" si="144"/>
        <v>1</v>
      </c>
    </row>
    <row r="934" spans="1:29" ht="43.5" x14ac:dyDescent="0.35">
      <c r="A934" s="89" t="str">
        <f t="shared" si="148"/>
        <v>Closed</v>
      </c>
      <c r="B934" s="222">
        <v>45713</v>
      </c>
      <c r="C934" s="14">
        <v>2412</v>
      </c>
      <c r="D934" s="14" t="s">
        <v>4635</v>
      </c>
      <c r="E934" s="14" t="s">
        <v>27</v>
      </c>
      <c r="F934" s="14" t="s">
        <v>2426</v>
      </c>
      <c r="G934" s="14" t="s">
        <v>1900</v>
      </c>
      <c r="H934" s="14">
        <v>124</v>
      </c>
      <c r="I934" s="176" t="s">
        <v>5</v>
      </c>
      <c r="K934" s="87"/>
      <c r="L934" s="14" t="s">
        <v>4636</v>
      </c>
      <c r="M934" s="324">
        <f t="shared" si="147"/>
        <v>0</v>
      </c>
      <c r="N934" s="14" t="s">
        <v>1879</v>
      </c>
      <c r="O934" s="14" t="s">
        <v>1880</v>
      </c>
      <c r="P934" s="167" t="s">
        <v>147</v>
      </c>
      <c r="Q934" s="14" t="s">
        <v>175</v>
      </c>
      <c r="R934" s="223" t="s">
        <v>234</v>
      </c>
      <c r="S934" s="224">
        <f t="shared" si="146"/>
        <v>45741</v>
      </c>
      <c r="T934" s="79">
        <v>45719</v>
      </c>
      <c r="U934" s="14" t="s">
        <v>4637</v>
      </c>
      <c r="V934" s="14" t="s">
        <v>4638</v>
      </c>
      <c r="W934" s="14" t="s">
        <v>1879</v>
      </c>
      <c r="X934" s="14" t="s">
        <v>1883</v>
      </c>
      <c r="Y934" s="167" t="s">
        <v>2428</v>
      </c>
      <c r="Z934" s="14"/>
      <c r="AA934" s="2">
        <f t="shared" ca="1" si="143"/>
        <v>1</v>
      </c>
      <c r="AB934" s="153"/>
      <c r="AC934" s="454" t="str">
        <f t="shared" si="144"/>
        <v>1</v>
      </c>
    </row>
    <row r="935" spans="1:29" ht="43.5" x14ac:dyDescent="0.35">
      <c r="A935" s="111" t="str">
        <f t="shared" si="148"/>
        <v>Closed</v>
      </c>
      <c r="B935" s="226">
        <v>45713</v>
      </c>
      <c r="C935" s="14">
        <v>2412</v>
      </c>
      <c r="D935" s="14" t="s">
        <v>4639</v>
      </c>
      <c r="E935" s="30" t="s">
        <v>192</v>
      </c>
      <c r="F935" s="14" t="s">
        <v>2212</v>
      </c>
      <c r="G935" s="14" t="s">
        <v>1911</v>
      </c>
      <c r="H935" s="14">
        <v>202</v>
      </c>
      <c r="I935" s="176" t="s">
        <v>140</v>
      </c>
      <c r="K935" s="87"/>
      <c r="L935" s="14" t="s">
        <v>4640</v>
      </c>
      <c r="M935" s="324">
        <f t="shared" si="147"/>
        <v>0</v>
      </c>
      <c r="N935" s="14" t="s">
        <v>1879</v>
      </c>
      <c r="O935" s="14" t="s">
        <v>1879</v>
      </c>
      <c r="P935" s="167" t="s">
        <v>143</v>
      </c>
      <c r="Q935" s="14"/>
      <c r="R935" s="170">
        <v>0</v>
      </c>
      <c r="S935" s="108">
        <f t="shared" si="146"/>
        <v>45741</v>
      </c>
      <c r="T935" s="79">
        <v>45713</v>
      </c>
      <c r="U935" s="14"/>
      <c r="V935" s="14"/>
      <c r="W935" s="14"/>
      <c r="X935" s="14"/>
      <c r="Y935" s="14" t="s">
        <v>2216</v>
      </c>
      <c r="Z935" s="14"/>
      <c r="AA935" s="2">
        <f t="shared" ca="1" si="143"/>
        <v>1</v>
      </c>
      <c r="AB935" s="153"/>
      <c r="AC935" s="454" t="str">
        <f t="shared" si="144"/>
        <v>2</v>
      </c>
    </row>
    <row r="936" spans="1:29" ht="43.5" x14ac:dyDescent="0.35">
      <c r="A936" s="111" t="str">
        <f t="shared" si="148"/>
        <v>Closed</v>
      </c>
      <c r="B936" s="226">
        <v>45713</v>
      </c>
      <c r="C936" s="14">
        <v>2412</v>
      </c>
      <c r="D936" s="14" t="s">
        <v>4641</v>
      </c>
      <c r="E936" s="14" t="s">
        <v>192</v>
      </c>
      <c r="F936" s="14" t="s">
        <v>2765</v>
      </c>
      <c r="G936" s="14" t="s">
        <v>1911</v>
      </c>
      <c r="H936" s="14">
        <v>205</v>
      </c>
      <c r="I936" s="176" t="s">
        <v>140</v>
      </c>
      <c r="K936" s="87"/>
      <c r="L936" s="14" t="s">
        <v>4642</v>
      </c>
      <c r="M936" s="324">
        <f t="shared" si="147"/>
        <v>0</v>
      </c>
      <c r="N936" s="14" t="s">
        <v>1879</v>
      </c>
      <c r="O936" s="14" t="s">
        <v>1879</v>
      </c>
      <c r="P936" s="167" t="s">
        <v>143</v>
      </c>
      <c r="Q936" s="14"/>
      <c r="R936" s="170">
        <v>0</v>
      </c>
      <c r="S936" s="108">
        <f t="shared" si="146"/>
        <v>45741</v>
      </c>
      <c r="T936" s="79">
        <v>45713</v>
      </c>
      <c r="U936" s="14"/>
      <c r="V936" s="14"/>
      <c r="W936" s="14"/>
      <c r="X936" s="14"/>
      <c r="Z936" s="14"/>
      <c r="AA936" s="2">
        <f t="shared" ca="1" si="143"/>
        <v>1</v>
      </c>
      <c r="AB936" s="153"/>
      <c r="AC936" s="454" t="str">
        <f t="shared" si="144"/>
        <v>2</v>
      </c>
    </row>
    <row r="937" spans="1:29" ht="29" x14ac:dyDescent="0.35">
      <c r="A937" s="111" t="str">
        <f t="shared" si="148"/>
        <v>Closed</v>
      </c>
      <c r="B937" s="226">
        <v>45713</v>
      </c>
      <c r="C937" s="14">
        <v>2412</v>
      </c>
      <c r="D937" s="14" t="s">
        <v>4643</v>
      </c>
      <c r="E937" s="14" t="s">
        <v>192</v>
      </c>
      <c r="F937" s="14" t="s">
        <v>2245</v>
      </c>
      <c r="G937" s="14" t="s">
        <v>1900</v>
      </c>
      <c r="H937" s="14"/>
      <c r="I937" s="176" t="s">
        <v>140</v>
      </c>
      <c r="K937" s="87"/>
      <c r="L937" s="14" t="s">
        <v>4644</v>
      </c>
      <c r="M937" s="324">
        <f t="shared" si="147"/>
        <v>0</v>
      </c>
      <c r="N937" s="14" t="s">
        <v>1879</v>
      </c>
      <c r="O937" s="14" t="s">
        <v>1879</v>
      </c>
      <c r="P937" s="167" t="s">
        <v>143</v>
      </c>
      <c r="Q937" s="14"/>
      <c r="R937" s="170">
        <v>0</v>
      </c>
      <c r="S937" s="108">
        <f t="shared" si="146"/>
        <v>45741</v>
      </c>
      <c r="T937" s="79">
        <v>45713</v>
      </c>
      <c r="U937" s="14"/>
      <c r="V937" s="14"/>
      <c r="W937" s="14"/>
      <c r="X937" s="14"/>
      <c r="Z937" s="14"/>
      <c r="AA937" s="2">
        <f t="shared" ca="1" si="143"/>
        <v>1</v>
      </c>
      <c r="AB937" s="153"/>
      <c r="AC937" s="454" t="str">
        <f t="shared" si="144"/>
        <v/>
      </c>
    </row>
    <row r="938" spans="1:29" ht="58" x14ac:dyDescent="0.35">
      <c r="A938" s="89" t="str">
        <f t="shared" si="148"/>
        <v>Closed</v>
      </c>
      <c r="B938" s="222">
        <v>45714</v>
      </c>
      <c r="C938" s="14">
        <v>2412</v>
      </c>
      <c r="D938" s="14" t="s">
        <v>1444</v>
      </c>
      <c r="E938" s="14" t="s">
        <v>209</v>
      </c>
      <c r="F938" s="14" t="s">
        <v>4645</v>
      </c>
      <c r="G938" s="14" t="s">
        <v>1911</v>
      </c>
      <c r="H938" s="14"/>
      <c r="I938" s="176" t="s">
        <v>155</v>
      </c>
      <c r="K938" s="87"/>
      <c r="L938" s="14" t="s">
        <v>4646</v>
      </c>
      <c r="M938" s="324">
        <f t="shared" si="147"/>
        <v>0</v>
      </c>
      <c r="N938" s="14" t="s">
        <v>1880</v>
      </c>
      <c r="O938" s="14" t="s">
        <v>1880</v>
      </c>
      <c r="P938" s="167" t="s">
        <v>147</v>
      </c>
      <c r="Q938" s="14" t="s">
        <v>153</v>
      </c>
      <c r="R938" s="223" t="s">
        <v>234</v>
      </c>
      <c r="S938" s="224">
        <f t="shared" si="146"/>
        <v>45742</v>
      </c>
      <c r="T938" s="79">
        <v>45902</v>
      </c>
      <c r="U938" s="14" t="s">
        <v>4647</v>
      </c>
      <c r="V938" s="14" t="s">
        <v>2102</v>
      </c>
      <c r="W938" s="14" t="s">
        <v>1880</v>
      </c>
      <c r="X938" s="14" t="s">
        <v>1880</v>
      </c>
      <c r="Z938" s="14" t="s">
        <v>4648</v>
      </c>
      <c r="AA938" s="2">
        <f t="shared" ca="1" si="143"/>
        <v>1</v>
      </c>
      <c r="AB938" s="153"/>
      <c r="AC938" s="454" t="str">
        <f t="shared" si="144"/>
        <v/>
      </c>
    </row>
    <row r="939" spans="1:29" ht="87" x14ac:dyDescent="0.35">
      <c r="A939" s="111" t="str">
        <f t="shared" si="148"/>
        <v>Closed</v>
      </c>
      <c r="B939" s="226">
        <v>45714</v>
      </c>
      <c r="C939" s="14">
        <v>2412</v>
      </c>
      <c r="D939" s="14" t="s">
        <v>4649</v>
      </c>
      <c r="E939" s="14" t="s">
        <v>192</v>
      </c>
      <c r="F939" s="14" t="s">
        <v>2064</v>
      </c>
      <c r="G939" s="14" t="s">
        <v>1911</v>
      </c>
      <c r="H939" s="14"/>
      <c r="I939" s="176" t="s">
        <v>140</v>
      </c>
      <c r="K939" s="87"/>
      <c r="L939" s="14" t="s">
        <v>4650</v>
      </c>
      <c r="M939" s="324">
        <f t="shared" si="147"/>
        <v>0</v>
      </c>
      <c r="N939" s="14" t="s">
        <v>1879</v>
      </c>
      <c r="O939" s="14" t="s">
        <v>1879</v>
      </c>
      <c r="P939" s="167" t="s">
        <v>143</v>
      </c>
      <c r="Q939" s="14"/>
      <c r="R939" s="170">
        <v>0</v>
      </c>
      <c r="S939" s="108">
        <f t="shared" si="146"/>
        <v>45742</v>
      </c>
      <c r="T939" s="79">
        <v>45715</v>
      </c>
      <c r="U939" s="14"/>
      <c r="V939" s="14"/>
      <c r="W939" s="14"/>
      <c r="X939" s="14"/>
      <c r="Y939" s="15" t="s">
        <v>2068</v>
      </c>
      <c r="Z939" s="14"/>
      <c r="AA939" s="2">
        <f t="shared" ca="1" si="143"/>
        <v>1</v>
      </c>
      <c r="AB939" s="153"/>
      <c r="AC939" s="454" t="str">
        <f t="shared" si="144"/>
        <v/>
      </c>
    </row>
    <row r="940" spans="1:29" ht="58" x14ac:dyDescent="0.35">
      <c r="A940" s="111" t="str">
        <f t="shared" si="148"/>
        <v>Closed</v>
      </c>
      <c r="B940" s="226">
        <v>45716</v>
      </c>
      <c r="C940" s="14">
        <v>2412</v>
      </c>
      <c r="D940" s="14" t="s">
        <v>4651</v>
      </c>
      <c r="E940" s="14" t="s">
        <v>206</v>
      </c>
      <c r="F940" s="14" t="s">
        <v>2147</v>
      </c>
      <c r="G940" s="14"/>
      <c r="H940" s="14">
        <v>104</v>
      </c>
      <c r="I940" s="176" t="s">
        <v>140</v>
      </c>
      <c r="K940" s="87"/>
      <c r="L940" s="14" t="s">
        <v>4652</v>
      </c>
      <c r="M940" s="324">
        <f t="shared" si="147"/>
        <v>0</v>
      </c>
      <c r="N940" s="14" t="s">
        <v>1879</v>
      </c>
      <c r="O940" s="14" t="s">
        <v>1879</v>
      </c>
      <c r="P940" s="167" t="s">
        <v>143</v>
      </c>
      <c r="Q940" s="14"/>
      <c r="R940" s="170">
        <v>0</v>
      </c>
      <c r="S940" s="108">
        <f t="shared" si="146"/>
        <v>45744</v>
      </c>
      <c r="T940" s="79">
        <v>45716</v>
      </c>
      <c r="U940" s="14"/>
      <c r="V940" s="14"/>
      <c r="W940" s="14"/>
      <c r="X940" s="14"/>
      <c r="Y940" s="14" t="s">
        <v>2150</v>
      </c>
      <c r="Z940" s="14"/>
      <c r="AA940" s="2">
        <f t="shared" ca="1" si="143"/>
        <v>1</v>
      </c>
      <c r="AB940" s="153"/>
      <c r="AC940" s="454" t="str">
        <f t="shared" si="144"/>
        <v>1</v>
      </c>
    </row>
    <row r="941" spans="1:29" ht="29" x14ac:dyDescent="0.35">
      <c r="A941" s="111" t="str">
        <f t="shared" si="148"/>
        <v>Closed</v>
      </c>
      <c r="B941" s="226">
        <v>45717</v>
      </c>
      <c r="C941" s="14">
        <v>2412</v>
      </c>
      <c r="D941" s="14" t="s">
        <v>4653</v>
      </c>
      <c r="E941" s="14" t="s">
        <v>192</v>
      </c>
      <c r="F941" s="14" t="s">
        <v>1968</v>
      </c>
      <c r="G941" s="14"/>
      <c r="H941" s="14">
        <v>205</v>
      </c>
      <c r="I941" s="176" t="s">
        <v>140</v>
      </c>
      <c r="K941" s="87"/>
      <c r="L941" s="14" t="s">
        <v>4654</v>
      </c>
      <c r="M941" s="324">
        <f t="shared" si="147"/>
        <v>0</v>
      </c>
      <c r="N941" s="14" t="s">
        <v>1879</v>
      </c>
      <c r="O941" s="14" t="s">
        <v>1879</v>
      </c>
      <c r="P941" s="167" t="s">
        <v>143</v>
      </c>
      <c r="Q941" s="14"/>
      <c r="R941" s="170">
        <v>0</v>
      </c>
      <c r="S941" s="108">
        <f t="shared" si="146"/>
        <v>45745</v>
      </c>
      <c r="T941" s="79">
        <v>45717</v>
      </c>
      <c r="U941" s="14"/>
      <c r="V941" s="14"/>
      <c r="W941" s="14"/>
      <c r="X941" s="14"/>
      <c r="Y941" s="14" t="s">
        <v>1970</v>
      </c>
      <c r="Z941" s="14"/>
      <c r="AA941" s="2">
        <f t="shared" ca="1" si="143"/>
        <v>1</v>
      </c>
      <c r="AB941" s="153"/>
      <c r="AC941" s="454" t="str">
        <f t="shared" si="144"/>
        <v>2</v>
      </c>
    </row>
    <row r="942" spans="1:29" ht="58" x14ac:dyDescent="0.35">
      <c r="A942" s="111" t="str">
        <f t="shared" si="148"/>
        <v>Closed</v>
      </c>
      <c r="B942" s="226">
        <v>45717</v>
      </c>
      <c r="C942" s="14">
        <v>2412</v>
      </c>
      <c r="D942" s="14" t="s">
        <v>1383</v>
      </c>
      <c r="E942" s="14" t="s">
        <v>42</v>
      </c>
      <c r="F942" s="14" t="s">
        <v>2864</v>
      </c>
      <c r="G942" s="14" t="s">
        <v>1900</v>
      </c>
      <c r="H942" s="14">
        <v>124</v>
      </c>
      <c r="I942" s="176" t="s">
        <v>4</v>
      </c>
      <c r="K942" s="14" t="s">
        <v>137</v>
      </c>
      <c r="L942" s="14" t="s">
        <v>4655</v>
      </c>
      <c r="M942" s="324">
        <v>0</v>
      </c>
      <c r="N942" s="14" t="s">
        <v>1879</v>
      </c>
      <c r="O942" s="14" t="s">
        <v>1880</v>
      </c>
      <c r="P942" s="167" t="s">
        <v>139</v>
      </c>
      <c r="Q942" s="14" t="s">
        <v>188</v>
      </c>
      <c r="R942" s="170" t="s">
        <v>234</v>
      </c>
      <c r="S942" s="108">
        <f t="shared" si="146"/>
        <v>45745</v>
      </c>
      <c r="T942" s="14" t="s">
        <v>1386</v>
      </c>
      <c r="U942" s="14" t="s">
        <v>4656</v>
      </c>
      <c r="V942" s="14" t="s">
        <v>4657</v>
      </c>
      <c r="W942" s="14" t="s">
        <v>1879</v>
      </c>
      <c r="X942" s="14" t="s">
        <v>1880</v>
      </c>
      <c r="Y942" s="14" t="s">
        <v>2868</v>
      </c>
      <c r="Z942" s="14" t="s">
        <v>3289</v>
      </c>
      <c r="AA942" s="2">
        <f t="shared" ca="1" si="143"/>
        <v>1</v>
      </c>
      <c r="AB942" s="153"/>
      <c r="AC942" s="454" t="str">
        <f t="shared" si="144"/>
        <v>1</v>
      </c>
    </row>
    <row r="943" spans="1:29" ht="43.5" x14ac:dyDescent="0.35">
      <c r="A943" s="111" t="str">
        <f t="shared" si="148"/>
        <v>Closed</v>
      </c>
      <c r="B943" s="226">
        <v>45717</v>
      </c>
      <c r="C943" s="14">
        <v>2412</v>
      </c>
      <c r="D943" s="14" t="s">
        <v>4658</v>
      </c>
      <c r="E943" s="14" t="s">
        <v>192</v>
      </c>
      <c r="F943" s="14" t="s">
        <v>2765</v>
      </c>
      <c r="G943" s="14"/>
      <c r="H943" s="14">
        <v>106</v>
      </c>
      <c r="I943" s="176" t="s">
        <v>140</v>
      </c>
      <c r="K943" s="87"/>
      <c r="L943" s="14" t="s">
        <v>4659</v>
      </c>
      <c r="M943" s="324">
        <f t="shared" ref="M943:M948" si="149">IF(I943="Staff Accident","Entry Required",IF(I943="Assaults","Entry Required",0))</f>
        <v>0</v>
      </c>
      <c r="N943" s="14" t="s">
        <v>1879</v>
      </c>
      <c r="O943" s="14" t="s">
        <v>1879</v>
      </c>
      <c r="P943" s="167" t="s">
        <v>143</v>
      </c>
      <c r="Q943" s="14"/>
      <c r="R943" s="170">
        <v>0</v>
      </c>
      <c r="S943" s="108">
        <f t="shared" si="146"/>
        <v>45745</v>
      </c>
      <c r="T943" s="79">
        <v>45717</v>
      </c>
      <c r="U943" s="14"/>
      <c r="V943" s="14"/>
      <c r="W943" s="14"/>
      <c r="X943" s="14"/>
      <c r="Z943" s="14"/>
      <c r="AA943" s="2">
        <f t="shared" ca="1" si="143"/>
        <v>1</v>
      </c>
      <c r="AB943" s="153"/>
      <c r="AC943" s="454" t="str">
        <f t="shared" si="144"/>
        <v>1</v>
      </c>
    </row>
    <row r="944" spans="1:29" ht="43.5" x14ac:dyDescent="0.35">
      <c r="A944" s="111" t="str">
        <f t="shared" si="148"/>
        <v>Closed</v>
      </c>
      <c r="B944" s="226">
        <v>45717</v>
      </c>
      <c r="C944" s="14">
        <v>2412</v>
      </c>
      <c r="D944" s="14" t="s">
        <v>4658</v>
      </c>
      <c r="E944" s="14" t="s">
        <v>192</v>
      </c>
      <c r="F944" s="14" t="s">
        <v>2765</v>
      </c>
      <c r="G944" s="14"/>
      <c r="H944" s="14">
        <v>106</v>
      </c>
      <c r="I944" s="176" t="s">
        <v>140</v>
      </c>
      <c r="K944" s="87"/>
      <c r="L944" s="14" t="s">
        <v>4660</v>
      </c>
      <c r="M944" s="324">
        <f t="shared" si="149"/>
        <v>0</v>
      </c>
      <c r="N944" s="14" t="s">
        <v>1879</v>
      </c>
      <c r="O944" s="14" t="s">
        <v>1879</v>
      </c>
      <c r="P944" s="167" t="s">
        <v>143</v>
      </c>
      <c r="Q944" s="14"/>
      <c r="R944" s="170">
        <v>0</v>
      </c>
      <c r="S944" s="108">
        <f t="shared" si="146"/>
        <v>45745</v>
      </c>
      <c r="T944" s="79">
        <v>45717</v>
      </c>
      <c r="U944" s="14"/>
      <c r="V944" s="14"/>
      <c r="W944" s="14"/>
      <c r="X944" s="14"/>
      <c r="Z944" s="14"/>
      <c r="AA944" s="2">
        <f t="shared" ca="1" si="143"/>
        <v>1</v>
      </c>
      <c r="AB944" s="153"/>
      <c r="AC944" s="454" t="str">
        <f t="shared" si="144"/>
        <v>1</v>
      </c>
    </row>
    <row r="945" spans="1:29" ht="43.5" x14ac:dyDescent="0.35">
      <c r="A945" s="89" t="str">
        <f t="shared" si="148"/>
        <v>Closed</v>
      </c>
      <c r="B945" s="222">
        <v>45719</v>
      </c>
      <c r="C945" s="14">
        <v>2413</v>
      </c>
      <c r="D945" s="14" t="s">
        <v>4661</v>
      </c>
      <c r="E945" s="14" t="s">
        <v>196</v>
      </c>
      <c r="F945" s="14" t="s">
        <v>2183</v>
      </c>
      <c r="G945" s="14"/>
      <c r="H945" s="14">
        <v>207</v>
      </c>
      <c r="I945" s="176" t="s">
        <v>155</v>
      </c>
      <c r="J945" s="14">
        <v>41867</v>
      </c>
      <c r="K945" s="87"/>
      <c r="L945" s="14" t="s">
        <v>4662</v>
      </c>
      <c r="M945" s="324">
        <f t="shared" si="149"/>
        <v>0</v>
      </c>
      <c r="N945" s="14" t="s">
        <v>1880</v>
      </c>
      <c r="O945" s="14" t="s">
        <v>1880</v>
      </c>
      <c r="P945" s="167" t="s">
        <v>151</v>
      </c>
      <c r="Q945" s="14" t="s">
        <v>174</v>
      </c>
      <c r="R945" s="223" t="s">
        <v>234</v>
      </c>
      <c r="S945" s="224">
        <f t="shared" si="146"/>
        <v>45747</v>
      </c>
      <c r="T945" s="79">
        <v>45902</v>
      </c>
      <c r="U945" s="14"/>
      <c r="V945" s="14"/>
      <c r="W945" s="14"/>
      <c r="X945" s="14"/>
      <c r="Y945" s="14" t="s">
        <v>2185</v>
      </c>
      <c r="Z945" s="14" t="s">
        <v>4663</v>
      </c>
      <c r="AA945" s="2">
        <f t="shared" ca="1" si="143"/>
        <v>1</v>
      </c>
      <c r="AB945" s="153"/>
      <c r="AC945" s="454" t="str">
        <f t="shared" si="144"/>
        <v>2</v>
      </c>
    </row>
    <row r="946" spans="1:29" ht="130.5" x14ac:dyDescent="0.35">
      <c r="A946" s="111" t="str">
        <f t="shared" si="148"/>
        <v>Closed</v>
      </c>
      <c r="B946" s="222">
        <v>45719</v>
      </c>
      <c r="C946" s="14">
        <v>2413</v>
      </c>
      <c r="D946" s="14" t="s">
        <v>4664</v>
      </c>
      <c r="E946" s="14" t="s">
        <v>31</v>
      </c>
      <c r="F946" s="14" t="s">
        <v>2019</v>
      </c>
      <c r="G946" s="14" t="s">
        <v>1900</v>
      </c>
      <c r="H946" s="14"/>
      <c r="I946" s="176" t="s">
        <v>140</v>
      </c>
      <c r="K946" s="87"/>
      <c r="L946" s="14" t="s">
        <v>4665</v>
      </c>
      <c r="M946" s="324">
        <f t="shared" si="149"/>
        <v>0</v>
      </c>
      <c r="N946" s="14" t="s">
        <v>1879</v>
      </c>
      <c r="O946" s="14" t="s">
        <v>1879</v>
      </c>
      <c r="P946" s="167" t="s">
        <v>143</v>
      </c>
      <c r="Q946" s="14"/>
      <c r="R946" s="170">
        <v>0</v>
      </c>
      <c r="S946" s="108">
        <f t="shared" si="146"/>
        <v>45747</v>
      </c>
      <c r="T946" s="79">
        <v>45719</v>
      </c>
      <c r="U946" s="14"/>
      <c r="V946" s="14"/>
      <c r="W946" s="14"/>
      <c r="X946" s="14"/>
      <c r="Y946" s="14" t="s">
        <v>2023</v>
      </c>
      <c r="Z946" s="14"/>
      <c r="AA946" s="2">
        <f t="shared" ca="1" si="143"/>
        <v>1</v>
      </c>
      <c r="AB946" s="153"/>
      <c r="AC946" s="454" t="str">
        <f t="shared" si="144"/>
        <v/>
      </c>
    </row>
    <row r="947" spans="1:29" ht="101.5" x14ac:dyDescent="0.35">
      <c r="A947" s="111" t="str">
        <f t="shared" si="148"/>
        <v>Closed</v>
      </c>
      <c r="B947" s="222">
        <v>45720</v>
      </c>
      <c r="C947" s="14">
        <v>2413</v>
      </c>
      <c r="D947" s="14" t="s">
        <v>4666</v>
      </c>
      <c r="E947" s="14" t="s">
        <v>180</v>
      </c>
      <c r="F947" s="14" t="s">
        <v>4667</v>
      </c>
      <c r="G947" s="14"/>
      <c r="H947" s="14">
        <v>102</v>
      </c>
      <c r="I947" s="176" t="s">
        <v>140</v>
      </c>
      <c r="K947" s="87"/>
      <c r="L947" s="14" t="s">
        <v>4668</v>
      </c>
      <c r="M947" s="324">
        <f t="shared" si="149"/>
        <v>0</v>
      </c>
      <c r="N947" s="14" t="s">
        <v>1879</v>
      </c>
      <c r="O947" s="14" t="s">
        <v>1879</v>
      </c>
      <c r="P947" s="167" t="s">
        <v>143</v>
      </c>
      <c r="Q947" s="14"/>
      <c r="R947" s="170">
        <v>0</v>
      </c>
      <c r="S947" s="108">
        <f t="shared" si="146"/>
        <v>45748</v>
      </c>
      <c r="T947" s="79">
        <v>45720</v>
      </c>
      <c r="U947" s="14"/>
      <c r="V947" s="14"/>
      <c r="W947" s="14"/>
      <c r="X947" s="14"/>
      <c r="Z947" s="14"/>
      <c r="AA947" s="2">
        <f t="shared" ca="1" si="143"/>
        <v>1</v>
      </c>
      <c r="AB947" s="153"/>
      <c r="AC947" s="454" t="str">
        <f t="shared" si="144"/>
        <v>1</v>
      </c>
    </row>
    <row r="948" spans="1:29" ht="43.5" x14ac:dyDescent="0.35">
      <c r="A948" s="111" t="str">
        <f t="shared" si="148"/>
        <v>Closed</v>
      </c>
      <c r="B948" s="222">
        <v>45720</v>
      </c>
      <c r="C948" s="14">
        <v>2413</v>
      </c>
      <c r="D948" s="14" t="s">
        <v>1379</v>
      </c>
      <c r="E948" s="14" t="s">
        <v>78</v>
      </c>
      <c r="F948" s="14" t="s">
        <v>4669</v>
      </c>
      <c r="G948" s="14"/>
      <c r="H948" s="14">
        <v>121</v>
      </c>
      <c r="I948" s="176" t="s">
        <v>155</v>
      </c>
      <c r="K948" s="87"/>
      <c r="L948" s="14" t="s">
        <v>4670</v>
      </c>
      <c r="M948" s="324">
        <f t="shared" si="149"/>
        <v>0</v>
      </c>
      <c r="N948" s="14" t="s">
        <v>1879</v>
      </c>
      <c r="O948" s="14" t="s">
        <v>1880</v>
      </c>
      <c r="P948" s="167" t="s">
        <v>147</v>
      </c>
      <c r="Q948" s="14" t="s">
        <v>185</v>
      </c>
      <c r="R948" s="170" t="s">
        <v>234</v>
      </c>
      <c r="S948" s="108">
        <f t="shared" si="146"/>
        <v>45748</v>
      </c>
      <c r="T948" s="14" t="s">
        <v>1382</v>
      </c>
      <c r="U948" s="14" t="s">
        <v>4671</v>
      </c>
      <c r="V948" s="14" t="s">
        <v>4672</v>
      </c>
      <c r="W948" s="14" t="s">
        <v>1880</v>
      </c>
      <c r="X948" s="14" t="s">
        <v>1880</v>
      </c>
      <c r="Y948" s="14" t="s">
        <v>2726</v>
      </c>
      <c r="Z948" s="14" t="s">
        <v>4673</v>
      </c>
      <c r="AA948" s="2">
        <f t="shared" ca="1" si="143"/>
        <v>1</v>
      </c>
      <c r="AB948" s="153"/>
      <c r="AC948" s="454" t="str">
        <f t="shared" si="144"/>
        <v>1</v>
      </c>
    </row>
    <row r="949" spans="1:29" ht="43.5" x14ac:dyDescent="0.35">
      <c r="A949" s="89" t="str">
        <f t="shared" si="148"/>
        <v>Closed</v>
      </c>
      <c r="B949" s="222">
        <v>45720</v>
      </c>
      <c r="C949" s="14">
        <v>2413</v>
      </c>
      <c r="D949" s="14" t="s">
        <v>4674</v>
      </c>
      <c r="E949" s="14" t="s">
        <v>42</v>
      </c>
      <c r="F949" s="14"/>
      <c r="G949" s="14"/>
      <c r="H949" s="14"/>
      <c r="I949" s="176" t="s">
        <v>140</v>
      </c>
      <c r="K949" s="87"/>
      <c r="L949" s="14" t="s">
        <v>4675</v>
      </c>
      <c r="M949" s="324">
        <v>0</v>
      </c>
      <c r="N949" s="14" t="s">
        <v>1879</v>
      </c>
      <c r="O949" s="14" t="s">
        <v>1879</v>
      </c>
      <c r="P949" s="167" t="s">
        <v>143</v>
      </c>
      <c r="Q949" s="14"/>
      <c r="R949" s="223">
        <v>0</v>
      </c>
      <c r="S949" s="224">
        <f t="shared" si="146"/>
        <v>45748</v>
      </c>
      <c r="T949" s="79">
        <v>45724</v>
      </c>
      <c r="U949" s="14"/>
      <c r="V949" s="14"/>
      <c r="W949" s="14"/>
      <c r="X949" s="14"/>
      <c r="Z949" s="14" t="s">
        <v>4676</v>
      </c>
      <c r="AA949" s="2">
        <f t="shared" ca="1" si="143"/>
        <v>1</v>
      </c>
      <c r="AB949" s="153"/>
      <c r="AC949" s="454" t="str">
        <f t="shared" si="144"/>
        <v/>
      </c>
    </row>
    <row r="950" spans="1:29" ht="101.5" x14ac:dyDescent="0.35">
      <c r="A950" s="111" t="str">
        <f t="shared" si="148"/>
        <v>Closed</v>
      </c>
      <c r="B950" s="222">
        <v>45722</v>
      </c>
      <c r="C950" s="14">
        <v>2413</v>
      </c>
      <c r="D950" s="14" t="s">
        <v>4677</v>
      </c>
      <c r="E950" s="14" t="s">
        <v>38</v>
      </c>
      <c r="F950" s="14" t="s">
        <v>2119</v>
      </c>
      <c r="G950" s="14" t="s">
        <v>1911</v>
      </c>
      <c r="H950" s="14">
        <v>125</v>
      </c>
      <c r="I950" s="176" t="s">
        <v>140</v>
      </c>
      <c r="K950" s="87"/>
      <c r="L950" s="14" t="s">
        <v>4678</v>
      </c>
      <c r="M950" s="324">
        <f>IF(I950="Staff Accident","Entry Required",IF(I950="Assaults","Entry Required",0))</f>
        <v>0</v>
      </c>
      <c r="N950" s="14" t="s">
        <v>1879</v>
      </c>
      <c r="O950" s="14" t="s">
        <v>1879</v>
      </c>
      <c r="P950" s="167" t="s">
        <v>143</v>
      </c>
      <c r="Q950" s="14"/>
      <c r="R950" s="170">
        <v>0</v>
      </c>
      <c r="S950" s="108">
        <f t="shared" si="146"/>
        <v>45750</v>
      </c>
      <c r="T950" s="79">
        <v>45722</v>
      </c>
      <c r="U950" s="14"/>
      <c r="V950" s="14"/>
      <c r="W950" s="14"/>
      <c r="X950" s="14"/>
      <c r="Y950" s="14" t="s">
        <v>2093</v>
      </c>
      <c r="Z950" s="14"/>
      <c r="AA950" s="2">
        <f t="shared" ca="1" si="143"/>
        <v>1</v>
      </c>
      <c r="AB950" s="153"/>
      <c r="AC950" s="454" t="str">
        <f t="shared" si="144"/>
        <v>1</v>
      </c>
    </row>
    <row r="951" spans="1:29" ht="58.5" thickBot="1" x14ac:dyDescent="0.4">
      <c r="A951" s="111" t="str">
        <f t="shared" si="148"/>
        <v>Closed</v>
      </c>
      <c r="B951" s="222">
        <v>45722</v>
      </c>
      <c r="C951" s="14">
        <v>2413</v>
      </c>
      <c r="D951" s="14" t="s">
        <v>4679</v>
      </c>
      <c r="E951" s="14" t="s">
        <v>192</v>
      </c>
      <c r="F951" s="14" t="s">
        <v>949</v>
      </c>
      <c r="G951" s="14"/>
      <c r="H951" s="14"/>
      <c r="I951" s="176" t="s">
        <v>2</v>
      </c>
      <c r="K951" s="85" t="s">
        <v>137</v>
      </c>
      <c r="L951" s="14" t="s">
        <v>4680</v>
      </c>
      <c r="M951" s="324">
        <v>0</v>
      </c>
      <c r="N951" s="14" t="s">
        <v>1879</v>
      </c>
      <c r="O951" s="14" t="s">
        <v>1879</v>
      </c>
      <c r="P951" s="167" t="s">
        <v>143</v>
      </c>
      <c r="Q951" s="14"/>
      <c r="R951" s="170">
        <v>0</v>
      </c>
      <c r="S951" s="108">
        <f t="shared" si="146"/>
        <v>45750</v>
      </c>
      <c r="T951" s="79">
        <v>45722</v>
      </c>
      <c r="U951" s="14"/>
      <c r="V951" s="14"/>
      <c r="W951" s="14"/>
      <c r="X951" s="14"/>
      <c r="Z951" s="14"/>
      <c r="AA951" s="2">
        <f t="shared" ref="AA951:AA1014" ca="1" si="150">IF(B951="",3,IF(S951&lt;$A$1,1,0))</f>
        <v>1</v>
      </c>
      <c r="AB951" s="153"/>
      <c r="AC951" s="454" t="str">
        <f t="shared" si="144"/>
        <v/>
      </c>
    </row>
    <row r="952" spans="1:29" ht="44" thickBot="1" x14ac:dyDescent="0.4">
      <c r="A952" s="111" t="str">
        <f t="shared" si="148"/>
        <v>Closed</v>
      </c>
      <c r="B952" s="222">
        <v>45723</v>
      </c>
      <c r="C952" s="14">
        <v>2413</v>
      </c>
      <c r="D952" s="14" t="s">
        <v>4681</v>
      </c>
      <c r="E952" s="14" t="s">
        <v>1997</v>
      </c>
      <c r="F952" s="14" t="s">
        <v>2162</v>
      </c>
      <c r="G952" s="14" t="s">
        <v>1911</v>
      </c>
      <c r="H952" s="14">
        <v>115</v>
      </c>
      <c r="I952" s="176" t="s">
        <v>140</v>
      </c>
      <c r="K952" s="87"/>
      <c r="L952" s="14" t="s">
        <v>4682</v>
      </c>
      <c r="M952" s="324">
        <f>IF(I952="Staff Accident","Entry Required",IF(I952="Assaults","Entry Required",0))</f>
        <v>0</v>
      </c>
      <c r="N952" s="14" t="s">
        <v>1879</v>
      </c>
      <c r="O952" s="14" t="s">
        <v>1879</v>
      </c>
      <c r="P952" s="167" t="s">
        <v>143</v>
      </c>
      <c r="Q952" s="14"/>
      <c r="R952" s="170">
        <v>0</v>
      </c>
      <c r="S952" s="108">
        <f t="shared" si="146"/>
        <v>45751</v>
      </c>
      <c r="T952" s="79">
        <v>45723</v>
      </c>
      <c r="U952" s="14"/>
      <c r="V952" s="14"/>
      <c r="W952" s="14"/>
      <c r="X952" s="14"/>
      <c r="Y952" s="464" t="s">
        <v>2164</v>
      </c>
      <c r="Z952" s="14"/>
      <c r="AA952" s="2">
        <f t="shared" ca="1" si="150"/>
        <v>1</v>
      </c>
      <c r="AB952" s="153"/>
      <c r="AC952" s="454" t="str">
        <f t="shared" si="144"/>
        <v>1</v>
      </c>
    </row>
    <row r="953" spans="1:29" ht="116" x14ac:dyDescent="0.35">
      <c r="A953" s="111" t="str">
        <f t="shared" si="148"/>
        <v>Closed</v>
      </c>
      <c r="B953" s="222">
        <v>45723</v>
      </c>
      <c r="C953" s="14">
        <v>2413</v>
      </c>
      <c r="D953" s="14" t="s">
        <v>4683</v>
      </c>
      <c r="E953" s="14" t="s">
        <v>8</v>
      </c>
      <c r="F953" s="14" t="s">
        <v>1925</v>
      </c>
      <c r="G953" s="14" t="s">
        <v>1900</v>
      </c>
      <c r="H953" s="14">
        <v>115</v>
      </c>
      <c r="I953" s="176" t="s">
        <v>140</v>
      </c>
      <c r="K953" s="87"/>
      <c r="L953" s="14" t="s">
        <v>4684</v>
      </c>
      <c r="M953" s="324">
        <f>IF(I953="Staff Accident","Entry Required",IF(I953="Assaults","Entry Required",0))</f>
        <v>0</v>
      </c>
      <c r="N953" s="14" t="s">
        <v>1879</v>
      </c>
      <c r="O953" s="14" t="s">
        <v>1879</v>
      </c>
      <c r="P953" s="167" t="s">
        <v>143</v>
      </c>
      <c r="Q953" s="14"/>
      <c r="R953" s="170">
        <v>0</v>
      </c>
      <c r="S953" s="108">
        <f t="shared" si="146"/>
        <v>45751</v>
      </c>
      <c r="T953" s="79">
        <v>45723</v>
      </c>
      <c r="U953" s="14"/>
      <c r="V953" s="14"/>
      <c r="W953" s="14"/>
      <c r="X953" s="14"/>
      <c r="Y953" s="167" t="s">
        <v>1929</v>
      </c>
      <c r="Z953" s="14"/>
      <c r="AA953" s="2">
        <f t="shared" ca="1" si="150"/>
        <v>1</v>
      </c>
      <c r="AB953" s="153"/>
      <c r="AC953" s="454" t="str">
        <f t="shared" si="144"/>
        <v>1</v>
      </c>
    </row>
    <row r="954" spans="1:29" ht="29" x14ac:dyDescent="0.35">
      <c r="A954" s="111" t="str">
        <f t="shared" si="148"/>
        <v>Closed</v>
      </c>
      <c r="B954" s="222">
        <v>45724</v>
      </c>
      <c r="C954" s="14">
        <v>2413</v>
      </c>
      <c r="D954" s="14" t="s">
        <v>4685</v>
      </c>
      <c r="E954" s="14" t="s">
        <v>192</v>
      </c>
      <c r="F954" s="14" t="s">
        <v>2147</v>
      </c>
      <c r="G954" s="14"/>
      <c r="H954" s="14">
        <v>121</v>
      </c>
      <c r="I954" s="176" t="s">
        <v>140</v>
      </c>
      <c r="K954" s="87"/>
      <c r="L954" s="14" t="s">
        <v>4686</v>
      </c>
      <c r="M954" s="324">
        <f>IF(I954="Staff Accident","Entry Required",IF(I954="Assaults","Entry Required",0))</f>
        <v>0</v>
      </c>
      <c r="N954" s="14" t="s">
        <v>1879</v>
      </c>
      <c r="O954" s="14" t="s">
        <v>1879</v>
      </c>
      <c r="P954" s="167" t="s">
        <v>143</v>
      </c>
      <c r="Q954" s="14"/>
      <c r="R954" s="170">
        <v>0</v>
      </c>
      <c r="S954" s="108">
        <f t="shared" si="146"/>
        <v>45752</v>
      </c>
      <c r="T954" s="79">
        <v>45724</v>
      </c>
      <c r="U954" s="14"/>
      <c r="V954" s="14"/>
      <c r="W954" s="14"/>
      <c r="X954" s="14"/>
      <c r="Y954" s="14" t="s">
        <v>2150</v>
      </c>
      <c r="Z954" s="14"/>
      <c r="AA954" s="2">
        <f t="shared" ca="1" si="150"/>
        <v>1</v>
      </c>
      <c r="AB954" s="153"/>
      <c r="AC954" s="454" t="str">
        <f t="shared" si="144"/>
        <v>1</v>
      </c>
    </row>
    <row r="955" spans="1:29" ht="72.5" x14ac:dyDescent="0.35">
      <c r="A955" s="89" t="str">
        <f t="shared" si="148"/>
        <v>Closed</v>
      </c>
      <c r="B955" s="222">
        <v>45724</v>
      </c>
      <c r="C955" s="14">
        <v>2413</v>
      </c>
      <c r="D955" s="14" t="s">
        <v>4687</v>
      </c>
      <c r="E955" s="14" t="s">
        <v>38</v>
      </c>
      <c r="F955" s="14" t="s">
        <v>2091</v>
      </c>
      <c r="G955" s="14" t="s">
        <v>1900</v>
      </c>
      <c r="H955" s="14">
        <v>112</v>
      </c>
      <c r="I955" s="176" t="s">
        <v>2</v>
      </c>
      <c r="K955" s="85" t="s">
        <v>137</v>
      </c>
      <c r="L955" s="14" t="s">
        <v>4688</v>
      </c>
      <c r="M955" s="324">
        <v>14</v>
      </c>
      <c r="N955" s="14" t="s">
        <v>1880</v>
      </c>
      <c r="O955" s="14" t="s">
        <v>1879</v>
      </c>
      <c r="P955" s="167" t="s">
        <v>136</v>
      </c>
      <c r="Q955" s="14" t="s">
        <v>138</v>
      </c>
      <c r="R955" s="223" t="s">
        <v>234</v>
      </c>
      <c r="S955" s="224">
        <f t="shared" si="146"/>
        <v>45752</v>
      </c>
      <c r="T955" s="79">
        <v>45902</v>
      </c>
      <c r="U955" s="14" t="s">
        <v>4689</v>
      </c>
      <c r="V955" s="14" t="s">
        <v>4690</v>
      </c>
      <c r="W955" s="14" t="s">
        <v>1879</v>
      </c>
      <c r="X955" s="14" t="s">
        <v>1879</v>
      </c>
      <c r="Y955" s="85" t="s">
        <v>2093</v>
      </c>
      <c r="Z955" s="14" t="s">
        <v>4691</v>
      </c>
      <c r="AA955" s="2">
        <f t="shared" ca="1" si="150"/>
        <v>1</v>
      </c>
      <c r="AB955" s="153"/>
      <c r="AC955" s="454" t="str">
        <f t="shared" si="144"/>
        <v>1</v>
      </c>
    </row>
    <row r="956" spans="1:29" ht="29" x14ac:dyDescent="0.35">
      <c r="A956" s="111" t="str">
        <f t="shared" si="148"/>
        <v>Closed</v>
      </c>
      <c r="B956" s="222">
        <v>45724</v>
      </c>
      <c r="C956" s="14">
        <v>2413</v>
      </c>
      <c r="D956" s="14" t="s">
        <v>4692</v>
      </c>
      <c r="E956" s="14" t="s">
        <v>8</v>
      </c>
      <c r="F956" s="14" t="s">
        <v>2119</v>
      </c>
      <c r="G956" s="14" t="s">
        <v>1911</v>
      </c>
      <c r="H956" s="14">
        <v>103</v>
      </c>
      <c r="I956" s="176" t="s">
        <v>140</v>
      </c>
      <c r="K956" s="87"/>
      <c r="L956" s="14" t="s">
        <v>4693</v>
      </c>
      <c r="M956" s="324">
        <f>IF(I956="Staff Accident","Entry Required",IF(I956="Assaults","Entry Required",0))</f>
        <v>0</v>
      </c>
      <c r="N956" s="14" t="s">
        <v>1879</v>
      </c>
      <c r="O956" s="14" t="s">
        <v>1879</v>
      </c>
      <c r="P956" s="167" t="s">
        <v>143</v>
      </c>
      <c r="Q956" s="14"/>
      <c r="R956" s="170">
        <v>0</v>
      </c>
      <c r="S956" s="108">
        <f t="shared" ref="S956:S987" si="151">IF(B956="","",B956+28)</f>
        <v>45752</v>
      </c>
      <c r="T956" s="79">
        <v>45724</v>
      </c>
      <c r="U956" s="14"/>
      <c r="V956" s="14"/>
      <c r="W956" s="14"/>
      <c r="X956" s="14"/>
      <c r="Y956" s="14" t="s">
        <v>2093</v>
      </c>
      <c r="Z956" s="14"/>
      <c r="AA956" s="2">
        <f t="shared" ca="1" si="150"/>
        <v>1</v>
      </c>
      <c r="AB956" s="153"/>
      <c r="AC956" s="454" t="str">
        <f t="shared" si="144"/>
        <v>1</v>
      </c>
    </row>
    <row r="957" spans="1:29" ht="43.5" x14ac:dyDescent="0.35">
      <c r="A957" s="111" t="str">
        <f t="shared" si="148"/>
        <v>Closed</v>
      </c>
      <c r="B957" s="222">
        <v>45725</v>
      </c>
      <c r="C957" s="14">
        <v>2413</v>
      </c>
      <c r="D957" s="14" t="s">
        <v>4694</v>
      </c>
      <c r="E957" s="14" t="s">
        <v>8</v>
      </c>
      <c r="F957" s="14" t="s">
        <v>2019</v>
      </c>
      <c r="G957" s="14" t="s">
        <v>1911</v>
      </c>
      <c r="H957" s="14">
        <v>110</v>
      </c>
      <c r="I957" s="176" t="s">
        <v>140</v>
      </c>
      <c r="K957" s="87"/>
      <c r="L957" s="14" t="s">
        <v>4695</v>
      </c>
      <c r="M957" s="324">
        <f>IF(I957="Staff Accident","Entry Required",IF(I957="Assaults","Entry Required",0))</f>
        <v>0</v>
      </c>
      <c r="N957" s="14" t="s">
        <v>1879</v>
      </c>
      <c r="O957" s="14" t="s">
        <v>1879</v>
      </c>
      <c r="P957" s="167" t="s">
        <v>143</v>
      </c>
      <c r="Q957" s="14"/>
      <c r="R957" s="170">
        <v>0</v>
      </c>
      <c r="S957" s="108">
        <f t="shared" si="151"/>
        <v>45753</v>
      </c>
      <c r="T957" s="79">
        <v>45725</v>
      </c>
      <c r="U957" s="14"/>
      <c r="V957" s="14"/>
      <c r="W957" s="14"/>
      <c r="X957" s="14"/>
      <c r="Z957" s="14"/>
      <c r="AA957" s="2">
        <f t="shared" ca="1" si="150"/>
        <v>1</v>
      </c>
      <c r="AB957" s="153"/>
      <c r="AC957" s="454" t="str">
        <f t="shared" ref="AC957:AC1020" si="152">LEFT(H957,1)</f>
        <v>1</v>
      </c>
    </row>
    <row r="958" spans="1:29" ht="72.5" x14ac:dyDescent="0.35">
      <c r="A958" s="111" t="str">
        <f t="shared" si="148"/>
        <v>Closed</v>
      </c>
      <c r="B958" s="222">
        <v>45725</v>
      </c>
      <c r="C958" s="14">
        <v>2413</v>
      </c>
      <c r="D958" s="14" t="s">
        <v>4696</v>
      </c>
      <c r="E958" s="14" t="s">
        <v>180</v>
      </c>
      <c r="F958" s="14" t="s">
        <v>2953</v>
      </c>
      <c r="G958" s="14" t="s">
        <v>1911</v>
      </c>
      <c r="H958" s="14">
        <v>110</v>
      </c>
      <c r="I958" s="176" t="s">
        <v>140</v>
      </c>
      <c r="K958" s="87"/>
      <c r="L958" s="14" t="s">
        <v>4697</v>
      </c>
      <c r="M958" s="324">
        <f>IF(I958="Staff Accident","Entry Required",IF(I958="Assaults","Entry Required",0))</f>
        <v>0</v>
      </c>
      <c r="N958" s="14" t="s">
        <v>1879</v>
      </c>
      <c r="O958" s="14" t="s">
        <v>1879</v>
      </c>
      <c r="P958" s="167" t="s">
        <v>143</v>
      </c>
      <c r="Q958" s="14"/>
      <c r="R958" s="170">
        <v>0</v>
      </c>
      <c r="S958" s="108">
        <f t="shared" si="151"/>
        <v>45753</v>
      </c>
      <c r="T958" s="79">
        <v>45725</v>
      </c>
      <c r="U958" s="14"/>
      <c r="V958" s="14"/>
      <c r="W958" s="14"/>
      <c r="X958" s="14"/>
      <c r="Z958" s="14"/>
      <c r="AA958" s="2">
        <f t="shared" ca="1" si="150"/>
        <v>1</v>
      </c>
      <c r="AB958" s="153"/>
      <c r="AC958" s="454" t="str">
        <f t="shared" si="152"/>
        <v>1</v>
      </c>
    </row>
    <row r="959" spans="1:29" ht="43.5" x14ac:dyDescent="0.35">
      <c r="A959" s="89" t="str">
        <f t="shared" si="148"/>
        <v>Closed</v>
      </c>
      <c r="B959" s="222">
        <v>45725</v>
      </c>
      <c r="C959" s="14">
        <v>2413</v>
      </c>
      <c r="D959" s="14" t="s">
        <v>4698</v>
      </c>
      <c r="E959" s="14" t="s">
        <v>42</v>
      </c>
      <c r="F959" s="14" t="s">
        <v>2099</v>
      </c>
      <c r="G959" s="14"/>
      <c r="H959" s="14">
        <v>101</v>
      </c>
      <c r="I959" s="176" t="s">
        <v>140</v>
      </c>
      <c r="J959" s="14" t="s">
        <v>137</v>
      </c>
      <c r="K959" s="87"/>
      <c r="L959" s="14" t="s">
        <v>4699</v>
      </c>
      <c r="M959" s="324">
        <v>0</v>
      </c>
      <c r="N959" s="14" t="s">
        <v>1879</v>
      </c>
      <c r="O959" s="14"/>
      <c r="P959" s="167" t="s">
        <v>143</v>
      </c>
      <c r="Q959" s="14"/>
      <c r="R959" s="223">
        <v>0</v>
      </c>
      <c r="S959" s="224">
        <f t="shared" si="151"/>
        <v>45753</v>
      </c>
      <c r="T959" s="79">
        <v>45725</v>
      </c>
      <c r="U959" s="14"/>
      <c r="V959" s="14"/>
      <c r="W959" s="14"/>
      <c r="X959" s="14"/>
      <c r="Y959" s="14" t="s">
        <v>2103</v>
      </c>
      <c r="Z959" s="14"/>
      <c r="AA959" s="2">
        <f t="shared" ca="1" si="150"/>
        <v>1</v>
      </c>
      <c r="AB959" s="153"/>
      <c r="AC959" s="454" t="str">
        <f t="shared" si="152"/>
        <v>1</v>
      </c>
    </row>
    <row r="960" spans="1:29" ht="58" x14ac:dyDescent="0.35">
      <c r="A960" s="111" t="str">
        <f t="shared" si="148"/>
        <v>Closed</v>
      </c>
      <c r="B960" s="222">
        <v>45725</v>
      </c>
      <c r="C960" s="14">
        <v>2413</v>
      </c>
      <c r="D960" s="14" t="s">
        <v>4700</v>
      </c>
      <c r="E960" s="14" t="s">
        <v>206</v>
      </c>
      <c r="F960" s="14" t="s">
        <v>2864</v>
      </c>
      <c r="G960" s="14"/>
      <c r="H960" s="14"/>
      <c r="I960" s="176" t="s">
        <v>140</v>
      </c>
      <c r="K960" s="87"/>
      <c r="L960" s="14" t="s">
        <v>4701</v>
      </c>
      <c r="M960" s="324">
        <f t="shared" ref="M960:M966" si="153">IF(I960="Staff Accident","Entry Required",IF(I960="Assaults","Entry Required",0))</f>
        <v>0</v>
      </c>
      <c r="N960" s="14" t="s">
        <v>1879</v>
      </c>
      <c r="O960" s="14" t="s">
        <v>1879</v>
      </c>
      <c r="P960" s="167" t="s">
        <v>143</v>
      </c>
      <c r="Q960" s="14"/>
      <c r="R960" s="170">
        <v>0</v>
      </c>
      <c r="S960" s="108">
        <f t="shared" si="151"/>
        <v>45753</v>
      </c>
      <c r="T960" s="79">
        <v>45725</v>
      </c>
      <c r="U960" s="14"/>
      <c r="V960" s="14"/>
      <c r="W960" s="14"/>
      <c r="X960" s="14"/>
      <c r="Y960" s="14" t="s">
        <v>2868</v>
      </c>
      <c r="Z960" s="14"/>
      <c r="AA960" s="2">
        <f t="shared" ca="1" si="150"/>
        <v>1</v>
      </c>
      <c r="AB960" s="153"/>
      <c r="AC960" s="454" t="str">
        <f t="shared" si="152"/>
        <v/>
      </c>
    </row>
    <row r="961" spans="1:29" ht="58" x14ac:dyDescent="0.35">
      <c r="A961" s="111" t="str">
        <f t="shared" si="148"/>
        <v>Closed</v>
      </c>
      <c r="B961" s="227">
        <v>45726</v>
      </c>
      <c r="C961" s="327">
        <v>2413</v>
      </c>
      <c r="D961" s="327" t="s">
        <v>4702</v>
      </c>
      <c r="E961" s="327" t="s">
        <v>78</v>
      </c>
      <c r="F961" s="327" t="s">
        <v>2130</v>
      </c>
      <c r="G961" s="327" t="s">
        <v>1911</v>
      </c>
      <c r="H961" s="327">
        <v>123</v>
      </c>
      <c r="I961" s="337" t="s">
        <v>155</v>
      </c>
      <c r="J961" s="327"/>
      <c r="K961" s="338"/>
      <c r="L961" s="327" t="s">
        <v>4703</v>
      </c>
      <c r="M961" s="324">
        <f t="shared" si="153"/>
        <v>0</v>
      </c>
      <c r="N961" s="14" t="s">
        <v>1879</v>
      </c>
      <c r="O961" s="14" t="s">
        <v>1880</v>
      </c>
      <c r="P961" s="167" t="s">
        <v>147</v>
      </c>
      <c r="Q961" s="14" t="s">
        <v>177</v>
      </c>
      <c r="R961" s="170" t="s">
        <v>234</v>
      </c>
      <c r="S961" s="108">
        <f t="shared" si="151"/>
        <v>45754</v>
      </c>
      <c r="T961" s="79">
        <v>45701</v>
      </c>
      <c r="U961" s="14" t="s">
        <v>4704</v>
      </c>
      <c r="V961" s="14" t="s">
        <v>4705</v>
      </c>
      <c r="W961" s="14" t="s">
        <v>1879</v>
      </c>
      <c r="X961" s="14" t="s">
        <v>1883</v>
      </c>
      <c r="Y961" s="15" t="s">
        <v>2134</v>
      </c>
      <c r="Z961" s="14"/>
      <c r="AA961" s="2">
        <f t="shared" ca="1" si="150"/>
        <v>1</v>
      </c>
      <c r="AB961" s="153"/>
      <c r="AC961" s="454" t="str">
        <f t="shared" si="152"/>
        <v>1</v>
      </c>
    </row>
    <row r="962" spans="1:29" ht="43.5" x14ac:dyDescent="0.35">
      <c r="A962" s="89" t="str">
        <f t="shared" si="148"/>
        <v>Closed</v>
      </c>
      <c r="B962" s="227">
        <v>45726</v>
      </c>
      <c r="C962" s="327">
        <v>2413</v>
      </c>
      <c r="D962" s="327" t="s">
        <v>4706</v>
      </c>
      <c r="E962" s="327" t="s">
        <v>78</v>
      </c>
      <c r="F962" s="14" t="s">
        <v>2037</v>
      </c>
      <c r="G962" s="327" t="s">
        <v>1911</v>
      </c>
      <c r="H962" s="327">
        <v>121</v>
      </c>
      <c r="I962" s="337" t="s">
        <v>140</v>
      </c>
      <c r="J962" s="327"/>
      <c r="K962" s="338"/>
      <c r="L962" s="327" t="s">
        <v>4707</v>
      </c>
      <c r="M962" s="324">
        <f t="shared" si="153"/>
        <v>0</v>
      </c>
      <c r="N962" s="14" t="s">
        <v>1879</v>
      </c>
      <c r="O962" s="14" t="s">
        <v>1880</v>
      </c>
      <c r="P962" s="167" t="s">
        <v>143</v>
      </c>
      <c r="Q962" s="14"/>
      <c r="R962" s="223">
        <v>0</v>
      </c>
      <c r="S962" s="224">
        <f t="shared" si="151"/>
        <v>45754</v>
      </c>
      <c r="T962" s="79">
        <v>45726</v>
      </c>
      <c r="U962" s="14"/>
      <c r="V962" s="14"/>
      <c r="W962" s="14"/>
      <c r="X962" s="14"/>
      <c r="Y962" s="167" t="s">
        <v>2039</v>
      </c>
      <c r="Z962" s="14" t="s">
        <v>4708</v>
      </c>
      <c r="AA962" s="2">
        <f t="shared" ca="1" si="150"/>
        <v>1</v>
      </c>
      <c r="AB962" s="153"/>
      <c r="AC962" s="454" t="str">
        <f t="shared" si="152"/>
        <v>1</v>
      </c>
    </row>
    <row r="963" spans="1:29" ht="29" x14ac:dyDescent="0.35">
      <c r="A963" s="111" t="str">
        <f t="shared" si="148"/>
        <v>Closed</v>
      </c>
      <c r="B963" s="222">
        <v>45726</v>
      </c>
      <c r="C963" s="14">
        <v>2413</v>
      </c>
      <c r="D963" s="14" t="s">
        <v>4709</v>
      </c>
      <c r="E963" s="14" t="s">
        <v>192</v>
      </c>
      <c r="F963" s="14" t="s">
        <v>3086</v>
      </c>
      <c r="G963" s="14"/>
      <c r="H963" s="14"/>
      <c r="I963" s="176" t="s">
        <v>140</v>
      </c>
      <c r="K963" s="87"/>
      <c r="L963" s="339" t="s">
        <v>4710</v>
      </c>
      <c r="M963" s="324">
        <f t="shared" si="153"/>
        <v>0</v>
      </c>
      <c r="N963" s="14" t="s">
        <v>1879</v>
      </c>
      <c r="O963" s="14" t="s">
        <v>1879</v>
      </c>
      <c r="P963" s="167" t="s">
        <v>143</v>
      </c>
      <c r="Q963" s="14"/>
      <c r="R963" s="170">
        <v>0</v>
      </c>
      <c r="S963" s="108">
        <f t="shared" si="151"/>
        <v>45754</v>
      </c>
      <c r="T963" s="79">
        <v>45726</v>
      </c>
      <c r="U963" s="14"/>
      <c r="V963" s="14"/>
      <c r="W963" s="14"/>
      <c r="X963" s="14"/>
      <c r="Y963" s="167" t="s">
        <v>3088</v>
      </c>
      <c r="Z963" s="14"/>
      <c r="AA963" s="2">
        <f t="shared" ca="1" si="150"/>
        <v>1</v>
      </c>
      <c r="AB963" s="153"/>
      <c r="AC963" s="454" t="str">
        <f t="shared" si="152"/>
        <v/>
      </c>
    </row>
    <row r="964" spans="1:29" ht="29" x14ac:dyDescent="0.35">
      <c r="A964" s="111" t="str">
        <f t="shared" si="148"/>
        <v>Closed</v>
      </c>
      <c r="B964" s="222">
        <v>45726</v>
      </c>
      <c r="C964" s="14">
        <v>2413</v>
      </c>
      <c r="D964" s="14" t="s">
        <v>4711</v>
      </c>
      <c r="E964" s="14" t="s">
        <v>192</v>
      </c>
      <c r="F964" s="14" t="s">
        <v>2212</v>
      </c>
      <c r="G964" s="14" t="s">
        <v>1900</v>
      </c>
      <c r="H964" s="14"/>
      <c r="I964" s="176" t="s">
        <v>140</v>
      </c>
      <c r="K964" s="87"/>
      <c r="L964" s="14" t="s">
        <v>4712</v>
      </c>
      <c r="M964" s="324">
        <f t="shared" si="153"/>
        <v>0</v>
      </c>
      <c r="N964" s="14" t="s">
        <v>1879</v>
      </c>
      <c r="O964" s="14" t="s">
        <v>1879</v>
      </c>
      <c r="P964" s="167" t="s">
        <v>143</v>
      </c>
      <c r="Q964" s="14"/>
      <c r="R964" s="170">
        <v>0</v>
      </c>
      <c r="S964" s="108">
        <f t="shared" si="151"/>
        <v>45754</v>
      </c>
      <c r="T964" s="79">
        <v>45726</v>
      </c>
      <c r="U964" s="14"/>
      <c r="V964" s="14"/>
      <c r="W964" s="14"/>
      <c r="X964" s="14"/>
      <c r="Y964" s="14" t="s">
        <v>2216</v>
      </c>
      <c r="Z964" s="14"/>
      <c r="AA964" s="2">
        <f t="shared" ca="1" si="150"/>
        <v>1</v>
      </c>
      <c r="AB964" s="153"/>
      <c r="AC964" s="454" t="str">
        <f t="shared" si="152"/>
        <v/>
      </c>
    </row>
    <row r="965" spans="1:29" ht="43.5" x14ac:dyDescent="0.35">
      <c r="A965" s="111" t="str">
        <f t="shared" si="148"/>
        <v>Closed</v>
      </c>
      <c r="B965" s="222">
        <v>45727</v>
      </c>
      <c r="C965" s="14">
        <v>2413</v>
      </c>
      <c r="D965" s="14" t="s">
        <v>4713</v>
      </c>
      <c r="E965" s="14" t="s">
        <v>192</v>
      </c>
      <c r="F965" s="14" t="s">
        <v>2245</v>
      </c>
      <c r="G965" s="14" t="s">
        <v>1900</v>
      </c>
      <c r="H965" s="14">
        <v>106</v>
      </c>
      <c r="I965" s="176" t="s">
        <v>140</v>
      </c>
      <c r="K965" s="87"/>
      <c r="L965" s="14" t="s">
        <v>4714</v>
      </c>
      <c r="M965" s="324">
        <f t="shared" si="153"/>
        <v>0</v>
      </c>
      <c r="N965" s="14" t="s">
        <v>1879</v>
      </c>
      <c r="O965" s="14" t="s">
        <v>1879</v>
      </c>
      <c r="P965" s="167" t="s">
        <v>143</v>
      </c>
      <c r="Q965" s="14"/>
      <c r="R965" s="170">
        <v>0</v>
      </c>
      <c r="S965" s="108">
        <f t="shared" si="151"/>
        <v>45755</v>
      </c>
      <c r="T965" s="79">
        <v>45727</v>
      </c>
      <c r="U965" s="14"/>
      <c r="V965" s="14"/>
      <c r="W965" s="14"/>
      <c r="X965" s="14"/>
      <c r="Z965" s="14"/>
      <c r="AA965" s="2">
        <f t="shared" ca="1" si="150"/>
        <v>1</v>
      </c>
      <c r="AB965" s="153"/>
      <c r="AC965" s="454" t="str">
        <f t="shared" si="152"/>
        <v>1</v>
      </c>
    </row>
    <row r="966" spans="1:29" ht="58" x14ac:dyDescent="0.35">
      <c r="A966" s="111" t="str">
        <f t="shared" si="148"/>
        <v>Closed</v>
      </c>
      <c r="B966" s="222">
        <v>45729</v>
      </c>
      <c r="C966" s="14">
        <v>2413</v>
      </c>
      <c r="D966" s="14" t="s">
        <v>4715</v>
      </c>
      <c r="E966" s="14" t="s">
        <v>8</v>
      </c>
      <c r="F966" s="14" t="s">
        <v>2052</v>
      </c>
      <c r="G966" s="14" t="s">
        <v>1911</v>
      </c>
      <c r="H966" s="14">
        <v>107</v>
      </c>
      <c r="I966" s="176" t="s">
        <v>140</v>
      </c>
      <c r="K966" s="87"/>
      <c r="L966" s="14" t="s">
        <v>4716</v>
      </c>
      <c r="M966" s="324">
        <f t="shared" si="153"/>
        <v>0</v>
      </c>
      <c r="N966" s="14" t="s">
        <v>1879</v>
      </c>
      <c r="O966" s="14" t="s">
        <v>1879</v>
      </c>
      <c r="P966" s="167" t="s">
        <v>143</v>
      </c>
      <c r="Q966" s="14"/>
      <c r="R966" s="170">
        <v>0</v>
      </c>
      <c r="S966" s="108">
        <f t="shared" si="151"/>
        <v>45757</v>
      </c>
      <c r="T966" s="79">
        <v>45729</v>
      </c>
      <c r="U966" s="14"/>
      <c r="V966" s="14"/>
      <c r="W966" s="14"/>
      <c r="X966" s="14"/>
      <c r="Y966" s="14" t="s">
        <v>2054</v>
      </c>
      <c r="Z966" s="14"/>
      <c r="AA966" s="2">
        <f t="shared" ca="1" si="150"/>
        <v>1</v>
      </c>
      <c r="AB966" s="153"/>
      <c r="AC966" s="454" t="str">
        <f t="shared" si="152"/>
        <v>1</v>
      </c>
    </row>
    <row r="967" spans="1:29" ht="58" x14ac:dyDescent="0.35">
      <c r="A967" s="111" t="str">
        <f t="shared" si="148"/>
        <v>Closed</v>
      </c>
      <c r="B967" s="222">
        <v>45729</v>
      </c>
      <c r="C967" s="14">
        <v>2413</v>
      </c>
      <c r="D967" s="14" t="s">
        <v>1300</v>
      </c>
      <c r="E967" s="14" t="s">
        <v>38</v>
      </c>
      <c r="F967" s="14" t="s">
        <v>3040</v>
      </c>
      <c r="G967" s="14"/>
      <c r="H967" s="14"/>
      <c r="I967" s="176" t="s">
        <v>2</v>
      </c>
      <c r="K967" s="85" t="s">
        <v>137</v>
      </c>
      <c r="L967" s="14" t="s">
        <v>4717</v>
      </c>
      <c r="M967" s="324">
        <v>0</v>
      </c>
      <c r="N967" s="14" t="s">
        <v>1879</v>
      </c>
      <c r="O967" s="14" t="s">
        <v>1879</v>
      </c>
      <c r="P967" s="167" t="s">
        <v>136</v>
      </c>
      <c r="Q967" s="14" t="s">
        <v>171</v>
      </c>
      <c r="R967" s="170" t="s">
        <v>236</v>
      </c>
      <c r="S967" s="108">
        <f t="shared" si="151"/>
        <v>45757</v>
      </c>
      <c r="T967" s="79">
        <v>45737</v>
      </c>
      <c r="U967" s="14" t="s">
        <v>4718</v>
      </c>
      <c r="V967" s="14" t="s">
        <v>4719</v>
      </c>
      <c r="W967" s="14" t="s">
        <v>1879</v>
      </c>
      <c r="X967" s="14" t="s">
        <v>1880</v>
      </c>
      <c r="Y967" s="85" t="s">
        <v>3044</v>
      </c>
      <c r="Z967" s="14" t="s">
        <v>4720</v>
      </c>
      <c r="AA967" s="2">
        <f t="shared" ca="1" si="150"/>
        <v>1</v>
      </c>
      <c r="AB967" s="153"/>
      <c r="AC967" s="454" t="str">
        <f t="shared" si="152"/>
        <v/>
      </c>
    </row>
    <row r="968" spans="1:29" ht="43.5" x14ac:dyDescent="0.35">
      <c r="A968" s="111" t="str">
        <f t="shared" si="148"/>
        <v>Closed</v>
      </c>
      <c r="B968" s="222">
        <v>45729</v>
      </c>
      <c r="C968" s="14">
        <v>2413</v>
      </c>
      <c r="D968" s="14" t="s">
        <v>4721</v>
      </c>
      <c r="E968" s="14" t="s">
        <v>8</v>
      </c>
      <c r="F968" s="14" t="s">
        <v>2037</v>
      </c>
      <c r="G968" s="14" t="s">
        <v>4722</v>
      </c>
      <c r="H968" s="14">
        <v>105</v>
      </c>
      <c r="I968" s="176" t="s">
        <v>140</v>
      </c>
      <c r="K968" s="87"/>
      <c r="L968" s="14" t="s">
        <v>4723</v>
      </c>
      <c r="M968" s="324">
        <f>IF(I968="Staff Accident","Entry Required",IF(I968="Assaults","Entry Required",0))</f>
        <v>0</v>
      </c>
      <c r="N968" s="14" t="s">
        <v>1879</v>
      </c>
      <c r="O968" s="14" t="s">
        <v>1879</v>
      </c>
      <c r="P968" s="167" t="s">
        <v>143</v>
      </c>
      <c r="Q968" s="14"/>
      <c r="R968" s="170">
        <v>0</v>
      </c>
      <c r="S968" s="108">
        <f t="shared" si="151"/>
        <v>45757</v>
      </c>
      <c r="T968" s="79">
        <v>45790</v>
      </c>
      <c r="U968" s="14"/>
      <c r="V968" s="14"/>
      <c r="W968" s="14"/>
      <c r="X968" s="14"/>
      <c r="Y968" s="167" t="s">
        <v>2039</v>
      </c>
      <c r="Z968" s="14"/>
      <c r="AA968" s="2">
        <f t="shared" ca="1" si="150"/>
        <v>1</v>
      </c>
      <c r="AB968" s="153"/>
      <c r="AC968" s="454" t="str">
        <f t="shared" si="152"/>
        <v>1</v>
      </c>
    </row>
    <row r="969" spans="1:29" ht="58" x14ac:dyDescent="0.45">
      <c r="A969" s="111" t="str">
        <f t="shared" si="148"/>
        <v>Closed</v>
      </c>
      <c r="B969" s="222">
        <v>45729</v>
      </c>
      <c r="C969" s="14">
        <v>2413</v>
      </c>
      <c r="D969" s="14" t="s">
        <v>4724</v>
      </c>
      <c r="E969" s="14" t="s">
        <v>192</v>
      </c>
      <c r="F969" s="14" t="s">
        <v>2338</v>
      </c>
      <c r="G969" s="14"/>
      <c r="H969" s="14"/>
      <c r="I969" s="176" t="s">
        <v>140</v>
      </c>
      <c r="K969" s="87"/>
      <c r="L969" s="14" t="s">
        <v>4725</v>
      </c>
      <c r="M969" s="324">
        <f>IF(I969="Staff Accident","Entry Required",IF(I969="Assaults","Entry Required",0))</f>
        <v>0</v>
      </c>
      <c r="N969" s="14" t="s">
        <v>1879</v>
      </c>
      <c r="O969" s="14" t="s">
        <v>1879</v>
      </c>
      <c r="P969" s="167" t="s">
        <v>143</v>
      </c>
      <c r="Q969" s="14"/>
      <c r="R969" s="170">
        <v>0</v>
      </c>
      <c r="S969" s="108">
        <f t="shared" si="151"/>
        <v>45757</v>
      </c>
      <c r="T969" s="79">
        <v>45790</v>
      </c>
      <c r="U969" s="14"/>
      <c r="V969" s="14"/>
      <c r="W969" s="14"/>
      <c r="X969" s="14"/>
      <c r="Y969" s="463" t="s">
        <v>2340</v>
      </c>
      <c r="Z969" s="14"/>
      <c r="AA969" s="2">
        <f t="shared" ca="1" si="150"/>
        <v>1</v>
      </c>
      <c r="AB969" s="153"/>
      <c r="AC969" s="454" t="str">
        <f t="shared" si="152"/>
        <v/>
      </c>
    </row>
    <row r="970" spans="1:29" ht="43.5" x14ac:dyDescent="0.35">
      <c r="A970" s="111" t="str">
        <f t="shared" si="148"/>
        <v>Closed</v>
      </c>
      <c r="B970" s="222">
        <v>45731</v>
      </c>
      <c r="C970" s="14">
        <v>2413</v>
      </c>
      <c r="D970" s="14" t="s">
        <v>4726</v>
      </c>
      <c r="E970" s="14" t="s">
        <v>8</v>
      </c>
      <c r="F970" s="14" t="s">
        <v>2212</v>
      </c>
      <c r="G970" s="14"/>
      <c r="H970" s="14"/>
      <c r="I970" s="176" t="s">
        <v>140</v>
      </c>
      <c r="K970" s="87"/>
      <c r="L970" s="14" t="s">
        <v>4727</v>
      </c>
      <c r="M970" s="324">
        <f>IF(I970="Staff Accident","Entry Required",IF(I970="Assaults","Entry Required",0))</f>
        <v>0</v>
      </c>
      <c r="N970" s="14" t="s">
        <v>1879</v>
      </c>
      <c r="O970" s="14" t="s">
        <v>1879</v>
      </c>
      <c r="P970" s="167" t="s">
        <v>143</v>
      </c>
      <c r="Q970" s="14"/>
      <c r="R970" s="170">
        <v>0</v>
      </c>
      <c r="S970" s="108">
        <f t="shared" si="151"/>
        <v>45759</v>
      </c>
      <c r="T970" s="79">
        <v>45731</v>
      </c>
      <c r="U970" s="14"/>
      <c r="V970" s="14"/>
      <c r="W970" s="14"/>
      <c r="X970" s="14"/>
      <c r="Y970" s="14" t="s">
        <v>2216</v>
      </c>
      <c r="Z970" s="14"/>
      <c r="AA970" s="2">
        <f t="shared" ca="1" si="150"/>
        <v>1</v>
      </c>
      <c r="AB970" s="153"/>
      <c r="AC970" s="454" t="str">
        <f t="shared" si="152"/>
        <v/>
      </c>
    </row>
    <row r="971" spans="1:29" ht="58" x14ac:dyDescent="0.35">
      <c r="A971" s="89" t="str">
        <f t="shared" si="148"/>
        <v>Closed</v>
      </c>
      <c r="B971" s="222">
        <v>45731</v>
      </c>
      <c r="C971" s="14">
        <v>2413</v>
      </c>
      <c r="D971" s="14" t="s">
        <v>4728</v>
      </c>
      <c r="E971" s="14" t="s">
        <v>38</v>
      </c>
      <c r="F971" s="14" t="s">
        <v>2119</v>
      </c>
      <c r="G971" s="14"/>
      <c r="H971" s="14">
        <v>120</v>
      </c>
      <c r="I971" s="176" t="s">
        <v>140</v>
      </c>
      <c r="K971" s="85" t="s">
        <v>137</v>
      </c>
      <c r="L971" s="14" t="s">
        <v>4729</v>
      </c>
      <c r="M971" s="324">
        <v>0</v>
      </c>
      <c r="N971" s="14" t="s">
        <v>1879</v>
      </c>
      <c r="O971" s="14" t="s">
        <v>1880</v>
      </c>
      <c r="P971" s="167" t="s">
        <v>143</v>
      </c>
      <c r="Q971" s="14"/>
      <c r="R971" s="223">
        <v>0</v>
      </c>
      <c r="S971" s="224">
        <f t="shared" si="151"/>
        <v>45759</v>
      </c>
      <c r="T971" s="79">
        <v>45902</v>
      </c>
      <c r="U971" s="14"/>
      <c r="V971" s="14"/>
      <c r="W971" s="14"/>
      <c r="X971" s="14"/>
      <c r="Y971" s="14" t="s">
        <v>2093</v>
      </c>
      <c r="Z971" s="14" t="s">
        <v>4730</v>
      </c>
      <c r="AA971" s="2">
        <f t="shared" ca="1" si="150"/>
        <v>1</v>
      </c>
      <c r="AB971" s="153"/>
      <c r="AC971" s="454" t="str">
        <f t="shared" si="152"/>
        <v>1</v>
      </c>
    </row>
    <row r="972" spans="1:29" ht="29" x14ac:dyDescent="0.35">
      <c r="A972" s="111" t="str">
        <f t="shared" si="148"/>
        <v>Closed</v>
      </c>
      <c r="B972" s="222">
        <v>45731</v>
      </c>
      <c r="C972" s="14">
        <v>2413</v>
      </c>
      <c r="D972" s="14" t="s">
        <v>4731</v>
      </c>
      <c r="E972" s="14" t="s">
        <v>192</v>
      </c>
      <c r="F972" s="14" t="s">
        <v>2262</v>
      </c>
      <c r="G972" s="14" t="s">
        <v>1900</v>
      </c>
      <c r="H972" s="14">
        <v>203</v>
      </c>
      <c r="I972" s="176" t="s">
        <v>140</v>
      </c>
      <c r="K972" s="87"/>
      <c r="L972" s="14" t="s">
        <v>4732</v>
      </c>
      <c r="M972" s="324">
        <f>IF(I972="Staff Accident","Entry Required",IF(I972="Assaults","Entry Required",0))</f>
        <v>0</v>
      </c>
      <c r="N972" s="14" t="s">
        <v>1879</v>
      </c>
      <c r="O972" s="14" t="s">
        <v>1879</v>
      </c>
      <c r="P972" s="167" t="s">
        <v>143</v>
      </c>
      <c r="R972" s="170">
        <v>0</v>
      </c>
      <c r="S972" s="108">
        <f t="shared" si="151"/>
        <v>45759</v>
      </c>
      <c r="T972" s="79">
        <v>45731</v>
      </c>
      <c r="U972" s="14"/>
      <c r="V972" s="14"/>
      <c r="W972" s="14"/>
      <c r="X972" s="14"/>
      <c r="Y972" s="14" t="s">
        <v>2185</v>
      </c>
      <c r="Z972" s="14"/>
      <c r="AA972" s="2">
        <f t="shared" ca="1" si="150"/>
        <v>1</v>
      </c>
      <c r="AB972" s="153"/>
      <c r="AC972" s="454" t="str">
        <f t="shared" si="152"/>
        <v>2</v>
      </c>
    </row>
    <row r="973" spans="1:29" ht="43.5" x14ac:dyDescent="0.35">
      <c r="A973" s="111" t="str">
        <f t="shared" si="148"/>
        <v>Closed</v>
      </c>
      <c r="B973" s="222">
        <v>45731</v>
      </c>
      <c r="C973" s="14">
        <v>2413</v>
      </c>
      <c r="D973" s="14" t="s">
        <v>4733</v>
      </c>
      <c r="E973" s="14" t="s">
        <v>37</v>
      </c>
      <c r="F973" s="14" t="s">
        <v>2962</v>
      </c>
      <c r="G973" s="14" t="s">
        <v>1900</v>
      </c>
      <c r="H973" s="14"/>
      <c r="I973" s="176" t="s">
        <v>5</v>
      </c>
      <c r="K973" s="87"/>
      <c r="L973" s="14" t="s">
        <v>4734</v>
      </c>
      <c r="M973" s="324">
        <f>IF(I973="Staff Accident","Entry Required",IF(I973="Assaults","Entry Required",0))</f>
        <v>0</v>
      </c>
      <c r="N973" s="14" t="s">
        <v>1879</v>
      </c>
      <c r="O973" s="14" t="s">
        <v>1879</v>
      </c>
      <c r="P973" s="167" t="s">
        <v>147</v>
      </c>
      <c r="Q973" s="14" t="s">
        <v>174</v>
      </c>
      <c r="R973" s="170" t="s">
        <v>234</v>
      </c>
      <c r="S973" s="108">
        <f t="shared" si="151"/>
        <v>45759</v>
      </c>
      <c r="T973" s="79">
        <v>45797</v>
      </c>
      <c r="U973" s="14" t="s">
        <v>4735</v>
      </c>
      <c r="V973" s="14" t="s">
        <v>4736</v>
      </c>
      <c r="W973" s="14" t="s">
        <v>1880</v>
      </c>
      <c r="X973" s="14" t="s">
        <v>1883</v>
      </c>
      <c r="Y973" s="167" t="s">
        <v>2964</v>
      </c>
      <c r="Z973" s="14" t="s">
        <v>2181</v>
      </c>
      <c r="AA973" s="2">
        <f t="shared" ca="1" si="150"/>
        <v>1</v>
      </c>
      <c r="AB973" s="153"/>
      <c r="AC973" s="454" t="str">
        <f t="shared" si="152"/>
        <v/>
      </c>
    </row>
    <row r="974" spans="1:29" ht="43.5" x14ac:dyDescent="0.35">
      <c r="A974" s="111" t="str">
        <f t="shared" si="148"/>
        <v>Closed</v>
      </c>
      <c r="B974" s="222">
        <v>45732</v>
      </c>
      <c r="C974" s="14">
        <v>2413</v>
      </c>
      <c r="D974" s="14" t="s">
        <v>4737</v>
      </c>
      <c r="E974" s="14" t="s">
        <v>1997</v>
      </c>
      <c r="F974" s="14"/>
      <c r="G974" s="14"/>
      <c r="H974" s="14"/>
      <c r="I974" s="176" t="s">
        <v>140</v>
      </c>
      <c r="K974" s="87"/>
      <c r="L974" s="14" t="s">
        <v>4738</v>
      </c>
      <c r="M974" s="324">
        <f>IF(I974="Staff Accident","Entry Required",IF(I974="Assaults","Entry Required",0))</f>
        <v>0</v>
      </c>
      <c r="N974" s="14" t="s">
        <v>1879</v>
      </c>
      <c r="O974" s="14" t="s">
        <v>1879</v>
      </c>
      <c r="P974" s="167" t="s">
        <v>143</v>
      </c>
      <c r="Q974" s="14"/>
      <c r="R974" s="170">
        <v>0</v>
      </c>
      <c r="S974" s="108">
        <f t="shared" si="151"/>
        <v>45760</v>
      </c>
      <c r="T974" s="79">
        <v>45732</v>
      </c>
      <c r="U974" s="14"/>
      <c r="V974" s="14"/>
      <c r="W974" s="14"/>
      <c r="X974" s="14"/>
      <c r="Z974" s="14"/>
      <c r="AA974" s="2">
        <f t="shared" ca="1" si="150"/>
        <v>1</v>
      </c>
      <c r="AB974" s="153"/>
      <c r="AC974" s="454" t="str">
        <f t="shared" si="152"/>
        <v/>
      </c>
    </row>
    <row r="975" spans="1:29" ht="43.5" x14ac:dyDescent="0.35">
      <c r="A975" s="111" t="str">
        <f t="shared" si="148"/>
        <v>Closed</v>
      </c>
      <c r="B975" s="222">
        <v>45730</v>
      </c>
      <c r="C975" s="14">
        <v>2413</v>
      </c>
      <c r="D975" s="14" t="s">
        <v>4739</v>
      </c>
      <c r="E975" s="14" t="s">
        <v>8</v>
      </c>
      <c r="F975" s="14" t="s">
        <v>1925</v>
      </c>
      <c r="G975" s="14" t="s">
        <v>1911</v>
      </c>
      <c r="H975" s="14">
        <v>202</v>
      </c>
      <c r="I975" s="176" t="s">
        <v>140</v>
      </c>
      <c r="K975" s="87"/>
      <c r="L975" s="14" t="s">
        <v>4740</v>
      </c>
      <c r="M975" s="324">
        <f>IF(I975="Staff Accident","Entry Required",IF(I975="Assaults","Entry Required",0))</f>
        <v>0</v>
      </c>
      <c r="N975" s="14" t="s">
        <v>1879</v>
      </c>
      <c r="O975" s="14" t="s">
        <v>1879</v>
      </c>
      <c r="P975" s="167" t="s">
        <v>143</v>
      </c>
      <c r="Q975" s="14"/>
      <c r="R975" s="170">
        <v>0</v>
      </c>
      <c r="S975" s="108">
        <f t="shared" si="151"/>
        <v>45758</v>
      </c>
      <c r="T975" s="79">
        <v>45730</v>
      </c>
      <c r="U975" s="14"/>
      <c r="V975" s="14"/>
      <c r="W975" s="14"/>
      <c r="X975" s="14"/>
      <c r="Y975" s="167" t="s">
        <v>1929</v>
      </c>
      <c r="Z975" s="14"/>
      <c r="AA975" s="2">
        <f t="shared" ca="1" si="150"/>
        <v>1</v>
      </c>
      <c r="AB975" s="153"/>
      <c r="AC975" s="454" t="str">
        <f t="shared" si="152"/>
        <v>2</v>
      </c>
    </row>
    <row r="976" spans="1:29" ht="43.5" x14ac:dyDescent="0.35">
      <c r="A976" s="111" t="str">
        <f t="shared" si="148"/>
        <v>Closed</v>
      </c>
      <c r="B976" s="222">
        <v>45730</v>
      </c>
      <c r="C976" s="14">
        <v>2413</v>
      </c>
      <c r="D976" s="14" t="s">
        <v>4741</v>
      </c>
      <c r="E976" s="14" t="s">
        <v>192</v>
      </c>
      <c r="F976" s="14"/>
      <c r="G976" s="14"/>
      <c r="H976" s="14">
        <v>112</v>
      </c>
      <c r="I976" s="176" t="s">
        <v>140</v>
      </c>
      <c r="K976" s="87"/>
      <c r="L976" s="14" t="s">
        <v>4742</v>
      </c>
      <c r="M976" s="324">
        <f>IF(I976="Staff Accident","Entry Required",IF(I976="Assaults","Entry Required",0))</f>
        <v>0</v>
      </c>
      <c r="N976" s="14" t="s">
        <v>1879</v>
      </c>
      <c r="O976" s="14" t="s">
        <v>1879</v>
      </c>
      <c r="P976" s="167" t="s">
        <v>143</v>
      </c>
      <c r="Q976" s="14"/>
      <c r="R976" s="170">
        <v>0</v>
      </c>
      <c r="S976" s="108">
        <f t="shared" si="151"/>
        <v>45758</v>
      </c>
      <c r="T976" s="79">
        <v>45730</v>
      </c>
      <c r="U976" s="14"/>
      <c r="V976" s="14"/>
      <c r="W976" s="14"/>
      <c r="X976" s="14"/>
      <c r="Z976" s="14"/>
      <c r="AA976" s="2">
        <f t="shared" ca="1" si="150"/>
        <v>1</v>
      </c>
      <c r="AB976" s="153"/>
      <c r="AC976" s="454" t="str">
        <f t="shared" si="152"/>
        <v>1</v>
      </c>
    </row>
    <row r="977" spans="1:29" ht="72.5" x14ac:dyDescent="0.35">
      <c r="A977" s="89" t="str">
        <f t="shared" si="148"/>
        <v>Closed</v>
      </c>
      <c r="B977" s="222">
        <v>45730</v>
      </c>
      <c r="C977" s="14">
        <v>2413</v>
      </c>
      <c r="D977" s="14" t="s">
        <v>4743</v>
      </c>
      <c r="E977" s="14" t="s">
        <v>38</v>
      </c>
      <c r="F977" s="14" t="s">
        <v>949</v>
      </c>
      <c r="G977" s="14"/>
      <c r="H977" s="14"/>
      <c r="I977" s="176" t="s">
        <v>2</v>
      </c>
      <c r="K977" s="85" t="s">
        <v>137</v>
      </c>
      <c r="L977" s="14" t="s">
        <v>4744</v>
      </c>
      <c r="M977" s="324">
        <v>0</v>
      </c>
      <c r="N977" s="14" t="s">
        <v>1879</v>
      </c>
      <c r="O977" s="14" t="s">
        <v>1879</v>
      </c>
      <c r="P977" s="167" t="s">
        <v>147</v>
      </c>
      <c r="Q977" s="14" t="s">
        <v>171</v>
      </c>
      <c r="R977" s="223" t="s">
        <v>236</v>
      </c>
      <c r="S977" s="224">
        <f t="shared" si="151"/>
        <v>45758</v>
      </c>
      <c r="T977" s="79">
        <v>45902</v>
      </c>
      <c r="U977" s="14" t="s">
        <v>4745</v>
      </c>
      <c r="V977" s="14" t="s">
        <v>4746</v>
      </c>
      <c r="W977" s="14" t="s">
        <v>1879</v>
      </c>
      <c r="X977" s="14" t="s">
        <v>1880</v>
      </c>
      <c r="Z977" s="14" t="s">
        <v>4747</v>
      </c>
      <c r="AA977" s="2">
        <f t="shared" ca="1" si="150"/>
        <v>1</v>
      </c>
      <c r="AB977" s="153"/>
      <c r="AC977" s="454" t="str">
        <f t="shared" si="152"/>
        <v/>
      </c>
    </row>
    <row r="978" spans="1:29" ht="43.5" x14ac:dyDescent="0.35">
      <c r="A978" s="111" t="str">
        <f t="shared" si="148"/>
        <v>Closed</v>
      </c>
      <c r="B978" s="222">
        <v>45730</v>
      </c>
      <c r="C978" s="14">
        <v>2413</v>
      </c>
      <c r="D978" s="14" t="s">
        <v>4748</v>
      </c>
      <c r="E978" s="14" t="s">
        <v>37</v>
      </c>
      <c r="F978" s="14" t="s">
        <v>1985</v>
      </c>
      <c r="G978" s="14" t="s">
        <v>1900</v>
      </c>
      <c r="H978" s="14">
        <v>104</v>
      </c>
      <c r="I978" s="176" t="s">
        <v>5</v>
      </c>
      <c r="K978" s="87"/>
      <c r="L978" s="14" t="s">
        <v>4749</v>
      </c>
      <c r="M978" s="324">
        <f t="shared" ref="M978:M984" si="154">IF(I978="Staff Accident","Entry Required",IF(I978="Assaults","Entry Required",0))</f>
        <v>0</v>
      </c>
      <c r="N978" s="14" t="s">
        <v>1879</v>
      </c>
      <c r="O978" s="14" t="s">
        <v>1879</v>
      </c>
      <c r="P978" s="167" t="s">
        <v>147</v>
      </c>
      <c r="Q978" s="14" t="s">
        <v>174</v>
      </c>
      <c r="R978" s="170" t="s">
        <v>234</v>
      </c>
      <c r="S978" s="108">
        <f t="shared" si="151"/>
        <v>45758</v>
      </c>
      <c r="T978" s="79">
        <v>45797</v>
      </c>
      <c r="U978" s="14" t="s">
        <v>4750</v>
      </c>
      <c r="V978" s="14" t="s">
        <v>4751</v>
      </c>
      <c r="W978" s="14" t="s">
        <v>1879</v>
      </c>
      <c r="X978" s="14" t="s">
        <v>1883</v>
      </c>
      <c r="Y978" s="14" t="s">
        <v>1989</v>
      </c>
      <c r="Z978" s="14" t="s">
        <v>4752</v>
      </c>
      <c r="AA978" s="2">
        <f t="shared" ca="1" si="150"/>
        <v>1</v>
      </c>
      <c r="AB978" s="153"/>
      <c r="AC978" s="454" t="str">
        <f t="shared" si="152"/>
        <v>1</v>
      </c>
    </row>
    <row r="979" spans="1:29" x14ac:dyDescent="0.35">
      <c r="A979" s="111" t="str">
        <f t="shared" si="148"/>
        <v>Closed</v>
      </c>
      <c r="B979" s="222">
        <v>45730</v>
      </c>
      <c r="C979" s="14">
        <v>2413</v>
      </c>
      <c r="D979" s="14" t="s">
        <v>4753</v>
      </c>
      <c r="E979" s="14" t="s">
        <v>192</v>
      </c>
      <c r="F979" s="14" t="s">
        <v>1921</v>
      </c>
      <c r="G979" s="14" t="s">
        <v>1911</v>
      </c>
      <c r="H979" s="14"/>
      <c r="I979" s="176" t="s">
        <v>140</v>
      </c>
      <c r="K979" s="87"/>
      <c r="L979" s="14" t="s">
        <v>4754</v>
      </c>
      <c r="M979" s="324">
        <f t="shared" si="154"/>
        <v>0</v>
      </c>
      <c r="N979" s="14" t="s">
        <v>1879</v>
      </c>
      <c r="O979" s="14" t="s">
        <v>1879</v>
      </c>
      <c r="P979" s="167" t="s">
        <v>143</v>
      </c>
      <c r="Q979" s="14"/>
      <c r="R979" s="170">
        <v>0</v>
      </c>
      <c r="S979" s="108">
        <f t="shared" si="151"/>
        <v>45758</v>
      </c>
      <c r="T979" s="79">
        <v>45730</v>
      </c>
      <c r="U979" s="14"/>
      <c r="V979" s="14"/>
      <c r="W979" s="14"/>
      <c r="X979" s="14"/>
      <c r="Y979" s="14" t="s">
        <v>1923</v>
      </c>
      <c r="Z979" s="14"/>
      <c r="AA979" s="2">
        <f t="shared" ca="1" si="150"/>
        <v>1</v>
      </c>
      <c r="AB979" s="153"/>
      <c r="AC979" s="454" t="str">
        <f t="shared" si="152"/>
        <v/>
      </c>
    </row>
    <row r="980" spans="1:29" ht="43.5" x14ac:dyDescent="0.35">
      <c r="A980" s="111" t="str">
        <f t="shared" si="148"/>
        <v>Closed</v>
      </c>
      <c r="B980" s="222">
        <v>45730</v>
      </c>
      <c r="C980" s="14">
        <v>2413</v>
      </c>
      <c r="D980" s="14" t="s">
        <v>4755</v>
      </c>
      <c r="E980" s="14" t="s">
        <v>8</v>
      </c>
      <c r="F980" s="14" t="s">
        <v>3902</v>
      </c>
      <c r="G980" s="14" t="s">
        <v>1911</v>
      </c>
      <c r="H980" s="14">
        <v>203</v>
      </c>
      <c r="I980" s="176" t="s">
        <v>140</v>
      </c>
      <c r="K980" s="87"/>
      <c r="L980" s="14" t="s">
        <v>4756</v>
      </c>
      <c r="M980" s="324">
        <f t="shared" si="154"/>
        <v>0</v>
      </c>
      <c r="N980" s="14" t="s">
        <v>1879</v>
      </c>
      <c r="O980" s="14" t="s">
        <v>1879</v>
      </c>
      <c r="P980" s="167" t="s">
        <v>143</v>
      </c>
      <c r="Q980" s="14"/>
      <c r="R980" s="170">
        <v>0</v>
      </c>
      <c r="S980" s="108">
        <f t="shared" si="151"/>
        <v>45758</v>
      </c>
      <c r="T980" s="79">
        <v>45730</v>
      </c>
      <c r="U980" s="14"/>
      <c r="V980" s="14"/>
      <c r="W980" s="14"/>
      <c r="X980" s="14"/>
      <c r="Y980" s="167" t="s">
        <v>1929</v>
      </c>
      <c r="Z980" s="14"/>
      <c r="AA980" s="2">
        <f t="shared" ca="1" si="150"/>
        <v>1</v>
      </c>
      <c r="AB980" s="153"/>
      <c r="AC980" s="454" t="str">
        <f t="shared" si="152"/>
        <v>2</v>
      </c>
    </row>
    <row r="981" spans="1:29" ht="58" x14ac:dyDescent="0.35">
      <c r="A981" s="111" t="str">
        <f t="shared" si="148"/>
        <v>Closed</v>
      </c>
      <c r="B981" s="222">
        <v>45733</v>
      </c>
      <c r="C981" s="14">
        <v>2413</v>
      </c>
      <c r="D981" s="14" t="s">
        <v>4757</v>
      </c>
      <c r="E981" s="14" t="s">
        <v>8</v>
      </c>
      <c r="F981" s="14" t="s">
        <v>1925</v>
      </c>
      <c r="G981" s="14"/>
      <c r="H981" s="14"/>
      <c r="I981" s="176" t="s">
        <v>140</v>
      </c>
      <c r="K981" s="87"/>
      <c r="L981" s="14" t="s">
        <v>4758</v>
      </c>
      <c r="M981" s="324">
        <f t="shared" si="154"/>
        <v>0</v>
      </c>
      <c r="N981" s="14" t="s">
        <v>1879</v>
      </c>
      <c r="O981" s="14" t="s">
        <v>1879</v>
      </c>
      <c r="P981" s="167" t="s">
        <v>143</v>
      </c>
      <c r="Q981" s="14"/>
      <c r="R981" s="170">
        <v>0</v>
      </c>
      <c r="S981" s="108">
        <f t="shared" si="151"/>
        <v>45761</v>
      </c>
      <c r="T981" s="79">
        <v>45733</v>
      </c>
      <c r="U981" s="14"/>
      <c r="V981" s="14"/>
      <c r="W981" s="14"/>
      <c r="X981" s="14"/>
      <c r="Y981" s="167" t="s">
        <v>1929</v>
      </c>
      <c r="Z981" s="14"/>
      <c r="AA981" s="2">
        <f t="shared" ca="1" si="150"/>
        <v>1</v>
      </c>
      <c r="AB981" s="153"/>
      <c r="AC981" s="454" t="str">
        <f t="shared" si="152"/>
        <v/>
      </c>
    </row>
    <row r="982" spans="1:29" ht="29" x14ac:dyDescent="0.35">
      <c r="A982" s="111" t="str">
        <f t="shared" si="148"/>
        <v>Closed</v>
      </c>
      <c r="B982" s="222">
        <v>45733</v>
      </c>
      <c r="C982" s="14">
        <v>2413</v>
      </c>
      <c r="D982" s="14" t="s">
        <v>4759</v>
      </c>
      <c r="E982" s="14" t="s">
        <v>27</v>
      </c>
      <c r="F982" s="14" t="s">
        <v>2080</v>
      </c>
      <c r="G982" s="14" t="s">
        <v>1900</v>
      </c>
      <c r="H982" s="14">
        <v>108</v>
      </c>
      <c r="I982" s="176" t="s">
        <v>5</v>
      </c>
      <c r="K982" s="87"/>
      <c r="L982" s="14" t="s">
        <v>4760</v>
      </c>
      <c r="M982" s="324">
        <f t="shared" si="154"/>
        <v>0</v>
      </c>
      <c r="N982" s="14" t="s">
        <v>1879</v>
      </c>
      <c r="O982" s="14" t="s">
        <v>1879</v>
      </c>
      <c r="P982" s="167" t="s">
        <v>147</v>
      </c>
      <c r="Q982" s="14" t="s">
        <v>175</v>
      </c>
      <c r="R982" s="170" t="s">
        <v>234</v>
      </c>
      <c r="S982" s="108">
        <f t="shared" si="151"/>
        <v>45761</v>
      </c>
      <c r="T982" s="79">
        <v>45740</v>
      </c>
      <c r="U982" s="14" t="s">
        <v>4761</v>
      </c>
      <c r="V982" s="14" t="s">
        <v>4762</v>
      </c>
      <c r="W982" s="14" t="s">
        <v>2034</v>
      </c>
      <c r="X982" s="14" t="s">
        <v>1883</v>
      </c>
      <c r="Y982" s="14" t="s">
        <v>2084</v>
      </c>
      <c r="Z982" s="14" t="s">
        <v>4763</v>
      </c>
      <c r="AA982" s="2">
        <f t="shared" ca="1" si="150"/>
        <v>1</v>
      </c>
      <c r="AB982" s="153"/>
      <c r="AC982" s="454" t="str">
        <f t="shared" si="152"/>
        <v>1</v>
      </c>
    </row>
    <row r="983" spans="1:29" ht="43.5" x14ac:dyDescent="0.35">
      <c r="A983" s="111" t="str">
        <f t="shared" si="148"/>
        <v>Closed</v>
      </c>
      <c r="B983" s="222">
        <v>45734</v>
      </c>
      <c r="C983" s="14">
        <v>2413</v>
      </c>
      <c r="D983" s="14" t="s">
        <v>4764</v>
      </c>
      <c r="E983" s="14" t="s">
        <v>31</v>
      </c>
      <c r="F983" s="14" t="s">
        <v>1886</v>
      </c>
      <c r="G983" s="14" t="s">
        <v>1900</v>
      </c>
      <c r="H983" s="14">
        <v>123</v>
      </c>
      <c r="I983" s="176" t="s">
        <v>140</v>
      </c>
      <c r="K983" s="87"/>
      <c r="L983" s="14" t="s">
        <v>4765</v>
      </c>
      <c r="M983" s="324">
        <f t="shared" si="154"/>
        <v>0</v>
      </c>
      <c r="N983" s="14" t="s">
        <v>1879</v>
      </c>
      <c r="O983" s="14" t="s">
        <v>1879</v>
      </c>
      <c r="P983" s="167" t="s">
        <v>143</v>
      </c>
      <c r="Q983" s="14"/>
      <c r="R983" s="170">
        <v>0</v>
      </c>
      <c r="S983" s="108">
        <f t="shared" si="151"/>
        <v>45762</v>
      </c>
      <c r="T983" s="79">
        <v>45734</v>
      </c>
      <c r="U983" s="14"/>
      <c r="V983" s="14"/>
      <c r="W983" s="14"/>
      <c r="X983" s="14"/>
      <c r="Y983" s="14" t="s">
        <v>1890</v>
      </c>
      <c r="Z983" s="14"/>
      <c r="AA983" s="2">
        <f t="shared" ca="1" si="150"/>
        <v>1</v>
      </c>
      <c r="AB983" s="153"/>
      <c r="AC983" s="454" t="str">
        <f t="shared" si="152"/>
        <v>1</v>
      </c>
    </row>
    <row r="984" spans="1:29" ht="58" x14ac:dyDescent="0.35">
      <c r="A984" s="111" t="str">
        <f t="shared" si="148"/>
        <v>Closed</v>
      </c>
      <c r="B984" s="222">
        <v>45734</v>
      </c>
      <c r="C984" s="14">
        <v>2413</v>
      </c>
      <c r="D984" s="14" t="s">
        <v>4766</v>
      </c>
      <c r="E984" s="14" t="s">
        <v>27</v>
      </c>
      <c r="F984" s="14" t="s">
        <v>2130</v>
      </c>
      <c r="G984" s="14" t="s">
        <v>1900</v>
      </c>
      <c r="H984" s="14">
        <v>122</v>
      </c>
      <c r="I984" s="176" t="s">
        <v>140</v>
      </c>
      <c r="K984" s="87"/>
      <c r="L984" s="14" t="s">
        <v>4767</v>
      </c>
      <c r="M984" s="324">
        <f t="shared" si="154"/>
        <v>0</v>
      </c>
      <c r="N984" s="14" t="s">
        <v>1879</v>
      </c>
      <c r="O984" s="14" t="s">
        <v>1880</v>
      </c>
      <c r="P984" s="167" t="s">
        <v>147</v>
      </c>
      <c r="Q984" s="14" t="s">
        <v>177</v>
      </c>
      <c r="R984" s="170" t="s">
        <v>234</v>
      </c>
      <c r="S984" s="108">
        <f t="shared" si="151"/>
        <v>45762</v>
      </c>
      <c r="T984" s="79">
        <v>45737</v>
      </c>
      <c r="U984" s="14"/>
      <c r="V984" s="14"/>
      <c r="W984" s="14"/>
      <c r="X984" s="14"/>
      <c r="Y984" s="14" t="s">
        <v>2134</v>
      </c>
      <c r="Z984" s="14" t="s">
        <v>4768</v>
      </c>
      <c r="AA984" s="2">
        <f t="shared" ca="1" si="150"/>
        <v>1</v>
      </c>
      <c r="AB984" s="153"/>
      <c r="AC984" s="454" t="str">
        <f t="shared" si="152"/>
        <v>1</v>
      </c>
    </row>
    <row r="985" spans="1:29" ht="58" x14ac:dyDescent="0.35">
      <c r="A985" s="111" t="str">
        <f t="shared" si="148"/>
        <v>Closed</v>
      </c>
      <c r="B985" s="222">
        <v>45735</v>
      </c>
      <c r="C985" s="14">
        <v>2413</v>
      </c>
      <c r="D985" s="14" t="s">
        <v>4769</v>
      </c>
      <c r="E985" s="14" t="s">
        <v>40</v>
      </c>
      <c r="F985" s="14" t="s">
        <v>2196</v>
      </c>
      <c r="G985" s="14" t="s">
        <v>1900</v>
      </c>
      <c r="H985" s="14"/>
      <c r="I985" s="176" t="s">
        <v>4</v>
      </c>
      <c r="K985" s="14" t="s">
        <v>137</v>
      </c>
      <c r="L985" s="14" t="s">
        <v>4770</v>
      </c>
      <c r="M985" s="324">
        <v>0</v>
      </c>
      <c r="N985" s="14" t="s">
        <v>1879</v>
      </c>
      <c r="O985" s="14" t="s">
        <v>1880</v>
      </c>
      <c r="P985" s="167" t="s">
        <v>143</v>
      </c>
      <c r="Q985" s="14"/>
      <c r="R985" s="170">
        <v>0</v>
      </c>
      <c r="S985" s="108">
        <f t="shared" si="151"/>
        <v>45763</v>
      </c>
      <c r="T985" s="79">
        <v>45735</v>
      </c>
      <c r="U985" s="14"/>
      <c r="V985" s="14"/>
      <c r="W985" s="14"/>
      <c r="X985" s="14"/>
      <c r="Y985" s="14" t="s">
        <v>2198</v>
      </c>
      <c r="Z985" s="14" t="s">
        <v>4771</v>
      </c>
      <c r="AA985" s="2">
        <f t="shared" ca="1" si="150"/>
        <v>1</v>
      </c>
      <c r="AB985" s="153"/>
      <c r="AC985" s="454" t="str">
        <f t="shared" si="152"/>
        <v/>
      </c>
    </row>
    <row r="986" spans="1:29" ht="58" x14ac:dyDescent="0.35">
      <c r="A986" s="89" t="str">
        <f t="shared" si="148"/>
        <v>Closed</v>
      </c>
      <c r="B986" s="222">
        <v>45735</v>
      </c>
      <c r="C986" s="14">
        <v>2413</v>
      </c>
      <c r="D986" s="14" t="s">
        <v>4772</v>
      </c>
      <c r="E986" s="14" t="s">
        <v>209</v>
      </c>
      <c r="F986" s="14" t="s">
        <v>3637</v>
      </c>
      <c r="G986" s="14"/>
      <c r="H986" s="14">
        <v>202</v>
      </c>
      <c r="I986" s="176" t="s">
        <v>155</v>
      </c>
      <c r="K986" s="87"/>
      <c r="L986" s="14" t="s">
        <v>4773</v>
      </c>
      <c r="M986" s="324">
        <f>IF(I986="Staff Accident","Entry Required",IF(I986="Assaults","Entry Required",0))</f>
        <v>0</v>
      </c>
      <c r="N986" s="14" t="s">
        <v>1879</v>
      </c>
      <c r="O986" s="14" t="s">
        <v>1880</v>
      </c>
      <c r="P986" s="167" t="s">
        <v>147</v>
      </c>
      <c r="Q986" s="14" t="s">
        <v>174</v>
      </c>
      <c r="R986" s="223" t="s">
        <v>234</v>
      </c>
      <c r="S986" s="224">
        <f t="shared" si="151"/>
        <v>45763</v>
      </c>
      <c r="T986" s="79">
        <v>45902</v>
      </c>
      <c r="U986" s="14"/>
      <c r="V986" s="14"/>
      <c r="W986" s="14"/>
      <c r="X986" s="14"/>
      <c r="Z986" s="14" t="s">
        <v>4774</v>
      </c>
      <c r="AA986" s="2">
        <f t="shared" ca="1" si="150"/>
        <v>1</v>
      </c>
      <c r="AB986" s="153"/>
      <c r="AC986" s="454" t="str">
        <f t="shared" si="152"/>
        <v>2</v>
      </c>
    </row>
    <row r="987" spans="1:29" ht="87" x14ac:dyDescent="0.35">
      <c r="A987" s="89" t="str">
        <f t="shared" si="148"/>
        <v>Closed</v>
      </c>
      <c r="B987" s="222">
        <v>45735</v>
      </c>
      <c r="C987" s="14">
        <v>2413</v>
      </c>
      <c r="D987" s="14" t="s">
        <v>4775</v>
      </c>
      <c r="E987" s="14" t="s">
        <v>27</v>
      </c>
      <c r="F987" s="14" t="s">
        <v>1910</v>
      </c>
      <c r="G987" s="14" t="s">
        <v>1911</v>
      </c>
      <c r="H987" s="14">
        <v>115</v>
      </c>
      <c r="I987" s="176" t="s">
        <v>5</v>
      </c>
      <c r="K987" s="87"/>
      <c r="L987" s="14" t="s">
        <v>4776</v>
      </c>
      <c r="M987" s="324">
        <f>IF(I987="Staff Accident","Entry Required",IF(I987="Assaults","Entry Required",0))</f>
        <v>0</v>
      </c>
      <c r="N987" s="14" t="s">
        <v>1879</v>
      </c>
      <c r="O987" s="14" t="s">
        <v>1880</v>
      </c>
      <c r="P987" s="167" t="s">
        <v>147</v>
      </c>
      <c r="Q987" s="14" t="s">
        <v>175</v>
      </c>
      <c r="R987" s="223" t="s">
        <v>234</v>
      </c>
      <c r="S987" s="224">
        <f t="shared" si="151"/>
        <v>45763</v>
      </c>
      <c r="T987" s="79">
        <v>45902</v>
      </c>
      <c r="U987" s="14"/>
      <c r="V987" s="14"/>
      <c r="W987" s="14"/>
      <c r="X987" s="14"/>
      <c r="Y987" s="15" t="s">
        <v>1915</v>
      </c>
      <c r="Z987" s="14" t="s">
        <v>4777</v>
      </c>
      <c r="AA987" s="2">
        <f t="shared" ca="1" si="150"/>
        <v>1</v>
      </c>
      <c r="AB987" s="153"/>
      <c r="AC987" s="454" t="str">
        <f t="shared" si="152"/>
        <v>1</v>
      </c>
    </row>
    <row r="988" spans="1:29" ht="58" x14ac:dyDescent="0.35">
      <c r="A988" s="89" t="str">
        <f t="shared" si="148"/>
        <v>Closed</v>
      </c>
      <c r="B988" s="222">
        <v>45737</v>
      </c>
      <c r="C988" s="14">
        <v>2413</v>
      </c>
      <c r="D988" s="14" t="s">
        <v>4778</v>
      </c>
      <c r="E988" s="14" t="s">
        <v>192</v>
      </c>
      <c r="F988" s="167" t="s">
        <v>1947</v>
      </c>
      <c r="G988" s="14" t="s">
        <v>1911</v>
      </c>
      <c r="H988" s="14"/>
      <c r="I988" s="176" t="s">
        <v>140</v>
      </c>
      <c r="K988" s="87"/>
      <c r="L988" s="14" t="s">
        <v>4779</v>
      </c>
      <c r="M988" s="324">
        <f>IF(I988="Staff Accident","Entry Required",IF(I988="Assaults","Entry Required",0))</f>
        <v>0</v>
      </c>
      <c r="N988" s="14" t="s">
        <v>1879</v>
      </c>
      <c r="O988" s="14" t="s">
        <v>1879</v>
      </c>
      <c r="P988" s="167" t="s">
        <v>143</v>
      </c>
      <c r="Q988" s="14"/>
      <c r="R988" s="223">
        <v>0</v>
      </c>
      <c r="S988" s="224">
        <f t="shared" ref="S988:S1018" si="155">IF(B988="","",B988+28)</f>
        <v>45765</v>
      </c>
      <c r="T988" s="79">
        <v>45737</v>
      </c>
      <c r="U988" s="14"/>
      <c r="V988" s="14"/>
      <c r="W988" s="14"/>
      <c r="X988" s="14"/>
      <c r="Y988" s="167" t="s">
        <v>1951</v>
      </c>
      <c r="Z988" s="14"/>
      <c r="AA988" s="2">
        <f t="shared" ca="1" si="150"/>
        <v>1</v>
      </c>
      <c r="AB988" s="153"/>
      <c r="AC988" s="454" t="str">
        <f t="shared" si="152"/>
        <v/>
      </c>
    </row>
    <row r="989" spans="1:29" x14ac:dyDescent="0.35">
      <c r="A989" s="89" t="str">
        <f t="shared" si="148"/>
        <v>Closed</v>
      </c>
      <c r="B989" s="222">
        <v>45737</v>
      </c>
      <c r="C989" s="14">
        <v>2413</v>
      </c>
      <c r="D989" s="14" t="s">
        <v>4780</v>
      </c>
      <c r="E989" s="14" t="s">
        <v>217</v>
      </c>
      <c r="F989" s="14" t="s">
        <v>2064</v>
      </c>
      <c r="G989" s="14" t="s">
        <v>1911</v>
      </c>
      <c r="H989" s="14"/>
      <c r="I989" s="176" t="s">
        <v>140</v>
      </c>
      <c r="K989" s="87"/>
      <c r="L989" s="14" t="s">
        <v>4781</v>
      </c>
      <c r="M989" s="324">
        <f>IF(I989="Staff Accident","Entry Required",IF(I989="Assaults","Entry Required",0))</f>
        <v>0</v>
      </c>
      <c r="N989" s="14" t="s">
        <v>1879</v>
      </c>
      <c r="O989" s="14" t="s">
        <v>1879</v>
      </c>
      <c r="P989" s="167" t="s">
        <v>143</v>
      </c>
      <c r="Q989" s="14"/>
      <c r="R989" s="223">
        <v>0</v>
      </c>
      <c r="S989" s="224">
        <f t="shared" si="155"/>
        <v>45765</v>
      </c>
      <c r="T989" s="79">
        <v>45737</v>
      </c>
      <c r="U989" s="14"/>
      <c r="V989" s="14"/>
      <c r="W989" s="14"/>
      <c r="X989" s="14"/>
      <c r="Z989" s="14"/>
      <c r="AA989" s="2">
        <f t="shared" ca="1" si="150"/>
        <v>1</v>
      </c>
      <c r="AB989" s="153"/>
      <c r="AC989" s="454" t="str">
        <f t="shared" si="152"/>
        <v/>
      </c>
    </row>
    <row r="990" spans="1:29" ht="43.5" x14ac:dyDescent="0.35">
      <c r="A990" s="89" t="str">
        <f t="shared" si="148"/>
        <v>Closed</v>
      </c>
      <c r="B990" s="222">
        <v>45737</v>
      </c>
      <c r="C990" s="14">
        <v>2413</v>
      </c>
      <c r="D990" s="14" t="s">
        <v>4782</v>
      </c>
      <c r="E990" s="14" t="s">
        <v>8</v>
      </c>
      <c r="F990" s="14" t="s">
        <v>1968</v>
      </c>
      <c r="G990" s="14" t="s">
        <v>1911</v>
      </c>
      <c r="H990" s="14">
        <v>201</v>
      </c>
      <c r="I990" s="176" t="s">
        <v>140</v>
      </c>
      <c r="J990" s="14">
        <v>81332</v>
      </c>
      <c r="K990" s="87"/>
      <c r="L990" s="14" t="s">
        <v>4783</v>
      </c>
      <c r="M990" s="324">
        <f>IF(I990="Staff Accident","Entry Required",IF(I990="Assaults","Entry Required",0))</f>
        <v>0</v>
      </c>
      <c r="N990" s="14" t="s">
        <v>1879</v>
      </c>
      <c r="O990" s="14" t="s">
        <v>1879</v>
      </c>
      <c r="P990" s="167" t="s">
        <v>143</v>
      </c>
      <c r="Q990" s="14"/>
      <c r="R990" s="223">
        <v>0</v>
      </c>
      <c r="S990" s="224">
        <f t="shared" si="155"/>
        <v>45765</v>
      </c>
      <c r="T990" s="79">
        <v>45737</v>
      </c>
      <c r="U990" s="14"/>
      <c r="V990" s="14"/>
      <c r="W990" s="14"/>
      <c r="X990" s="14"/>
      <c r="Y990" s="14" t="s">
        <v>1970</v>
      </c>
      <c r="Z990" s="14"/>
      <c r="AA990" s="2">
        <f t="shared" ca="1" si="150"/>
        <v>1</v>
      </c>
      <c r="AB990" s="153"/>
      <c r="AC990" s="454" t="str">
        <f t="shared" si="152"/>
        <v>2</v>
      </c>
    </row>
    <row r="991" spans="1:29" ht="58" x14ac:dyDescent="0.35">
      <c r="A991" s="89" t="str">
        <f t="shared" si="148"/>
        <v>Closed</v>
      </c>
      <c r="B991" s="222">
        <v>45739</v>
      </c>
      <c r="C991" s="14">
        <v>2413</v>
      </c>
      <c r="D991" s="14" t="s">
        <v>4784</v>
      </c>
      <c r="E991" s="14" t="s">
        <v>38</v>
      </c>
      <c r="F991" s="14" t="s">
        <v>2060</v>
      </c>
      <c r="G991" s="14" t="s">
        <v>1911</v>
      </c>
      <c r="H991" s="14">
        <v>113</v>
      </c>
      <c r="I991" s="176" t="s">
        <v>140</v>
      </c>
      <c r="J991" s="14">
        <v>8506845</v>
      </c>
      <c r="K991" s="85" t="s">
        <v>137</v>
      </c>
      <c r="L991" s="14" t="s">
        <v>4785</v>
      </c>
      <c r="M991" s="324">
        <v>0</v>
      </c>
      <c r="N991" s="14" t="s">
        <v>1879</v>
      </c>
      <c r="O991" s="14" t="s">
        <v>1880</v>
      </c>
      <c r="P991" s="167" t="s">
        <v>143</v>
      </c>
      <c r="Q991" s="14"/>
      <c r="R991" s="223">
        <v>0</v>
      </c>
      <c r="S991" s="224">
        <f t="shared" si="155"/>
        <v>45767</v>
      </c>
      <c r="T991" s="79">
        <v>45902</v>
      </c>
      <c r="U991" s="14"/>
      <c r="V991" s="14"/>
      <c r="W991" s="14"/>
      <c r="X991" s="14"/>
      <c r="Y991" s="466" t="s">
        <v>2062</v>
      </c>
      <c r="Z991" s="14"/>
      <c r="AA991" s="2">
        <f t="shared" ca="1" si="150"/>
        <v>1</v>
      </c>
      <c r="AB991" s="153"/>
      <c r="AC991" s="454" t="str">
        <f t="shared" si="152"/>
        <v>1</v>
      </c>
    </row>
    <row r="992" spans="1:29" ht="58" x14ac:dyDescent="0.35">
      <c r="A992" s="89" t="str">
        <f t="shared" si="148"/>
        <v>Closed</v>
      </c>
      <c r="B992" s="222">
        <v>45740</v>
      </c>
      <c r="C992" s="14">
        <v>2413</v>
      </c>
      <c r="D992" s="14" t="s">
        <v>4786</v>
      </c>
      <c r="E992" s="14" t="s">
        <v>27</v>
      </c>
      <c r="F992" s="14" t="s">
        <v>2136</v>
      </c>
      <c r="G992" s="14" t="s">
        <v>1900</v>
      </c>
      <c r="H992" s="14">
        <v>123</v>
      </c>
      <c r="I992" s="176" t="s">
        <v>5</v>
      </c>
      <c r="J992" s="14">
        <v>716</v>
      </c>
      <c r="K992" s="87"/>
      <c r="L992" s="14" t="s">
        <v>4787</v>
      </c>
      <c r="M992" s="324">
        <f t="shared" ref="M992:M1012" si="156">IF(I992="Staff Accident","Entry Required",IF(I992="Assaults","Entry Required",0))</f>
        <v>0</v>
      </c>
      <c r="N992" s="14" t="s">
        <v>1879</v>
      </c>
      <c r="O992" s="14" t="s">
        <v>1880</v>
      </c>
      <c r="P992" s="167" t="s">
        <v>147</v>
      </c>
      <c r="Q992" s="14" t="s">
        <v>174</v>
      </c>
      <c r="R992" s="223" t="s">
        <v>234</v>
      </c>
      <c r="S992" s="224">
        <f t="shared" si="155"/>
        <v>45768</v>
      </c>
      <c r="T992" s="79">
        <v>45902</v>
      </c>
      <c r="U992" s="14"/>
      <c r="V992" s="14"/>
      <c r="W992" s="14"/>
      <c r="X992" s="14"/>
      <c r="Y992" s="14" t="s">
        <v>2140</v>
      </c>
      <c r="Z992" s="14" t="s">
        <v>4777</v>
      </c>
      <c r="AA992" s="2">
        <f t="shared" ca="1" si="150"/>
        <v>1</v>
      </c>
      <c r="AB992" s="153"/>
      <c r="AC992" s="454" t="str">
        <f t="shared" si="152"/>
        <v>1</v>
      </c>
    </row>
    <row r="993" spans="1:29" ht="43.5" x14ac:dyDescent="0.35">
      <c r="A993" s="111" t="str">
        <f t="shared" si="148"/>
        <v>Closed</v>
      </c>
      <c r="B993" s="222">
        <v>45740</v>
      </c>
      <c r="C993" s="14">
        <v>2413</v>
      </c>
      <c r="D993" s="14" t="s">
        <v>4788</v>
      </c>
      <c r="E993" s="14" t="s">
        <v>192</v>
      </c>
      <c r="F993" s="14" t="s">
        <v>2155</v>
      </c>
      <c r="G993" s="14"/>
      <c r="H993" s="14"/>
      <c r="I993" s="176" t="s">
        <v>140</v>
      </c>
      <c r="J993" s="14">
        <v>443</v>
      </c>
      <c r="K993" s="87"/>
      <c r="L993" s="14" t="s">
        <v>4789</v>
      </c>
      <c r="M993" s="324">
        <f t="shared" si="156"/>
        <v>0</v>
      </c>
      <c r="N993" s="14" t="s">
        <v>1879</v>
      </c>
      <c r="O993" s="14" t="s">
        <v>1879</v>
      </c>
      <c r="P993" s="167" t="s">
        <v>143</v>
      </c>
      <c r="Q993" s="14"/>
      <c r="R993" s="170">
        <v>0</v>
      </c>
      <c r="S993" s="108">
        <f t="shared" si="155"/>
        <v>45768</v>
      </c>
      <c r="T993" s="79">
        <v>45740</v>
      </c>
      <c r="U993" s="14"/>
      <c r="V993" s="14"/>
      <c r="W993" s="14"/>
      <c r="X993" s="14"/>
      <c r="Z993" s="14"/>
      <c r="AA993" s="2">
        <f t="shared" ca="1" si="150"/>
        <v>1</v>
      </c>
      <c r="AB993" s="153"/>
      <c r="AC993" s="454" t="str">
        <f t="shared" si="152"/>
        <v/>
      </c>
    </row>
    <row r="994" spans="1:29" ht="87" x14ac:dyDescent="0.35">
      <c r="A994" s="111" t="str">
        <f t="shared" ref="A994:A1057" si="157">IF(T994&gt;1,"Closed",IF(AA994=1,"Overdue",IF(AA994=3,"","Open")))</f>
        <v>Closed</v>
      </c>
      <c r="B994" s="222">
        <v>45740</v>
      </c>
      <c r="C994" s="14">
        <v>2413</v>
      </c>
      <c r="D994" s="14" t="s">
        <v>4790</v>
      </c>
      <c r="E994" s="14" t="s">
        <v>192</v>
      </c>
      <c r="F994" s="14" t="s">
        <v>1877</v>
      </c>
      <c r="G994" s="14"/>
      <c r="H994" s="14">
        <v>202</v>
      </c>
      <c r="I994" s="176" t="s">
        <v>140</v>
      </c>
      <c r="J994" s="14">
        <v>75341</v>
      </c>
      <c r="K994" s="87"/>
      <c r="L994" s="14" t="s">
        <v>4791</v>
      </c>
      <c r="M994" s="324">
        <f t="shared" si="156"/>
        <v>0</v>
      </c>
      <c r="N994" s="14" t="s">
        <v>1879</v>
      </c>
      <c r="O994" s="14" t="s">
        <v>1879</v>
      </c>
      <c r="P994" s="167" t="s">
        <v>143</v>
      </c>
      <c r="Q994" s="14"/>
      <c r="R994" s="170">
        <v>0</v>
      </c>
      <c r="S994" s="108">
        <f t="shared" si="155"/>
        <v>45768</v>
      </c>
      <c r="T994" s="79">
        <v>45740</v>
      </c>
      <c r="U994" s="14"/>
      <c r="V994" s="14"/>
      <c r="W994" s="14"/>
      <c r="X994" s="14"/>
      <c r="Z994" s="14"/>
      <c r="AA994" s="2">
        <f t="shared" ca="1" si="150"/>
        <v>1</v>
      </c>
      <c r="AB994" s="153"/>
      <c r="AC994" s="454" t="str">
        <f t="shared" si="152"/>
        <v>2</v>
      </c>
    </row>
    <row r="995" spans="1:29" x14ac:dyDescent="0.35">
      <c r="A995" s="111" t="str">
        <f t="shared" si="157"/>
        <v>Closed</v>
      </c>
      <c r="B995" s="222">
        <v>45730</v>
      </c>
      <c r="C995" s="14">
        <v>2413</v>
      </c>
      <c r="D995" s="14" t="s">
        <v>1305</v>
      </c>
      <c r="E995" s="14" t="s">
        <v>78</v>
      </c>
      <c r="F995" s="14" t="s">
        <v>2060</v>
      </c>
      <c r="G995" s="14"/>
      <c r="H995" s="14"/>
      <c r="I995" s="176" t="s">
        <v>155</v>
      </c>
      <c r="J995" s="14">
        <v>1365</v>
      </c>
      <c r="K995" s="87"/>
      <c r="L995" s="14" t="s">
        <v>4792</v>
      </c>
      <c r="M995" s="324">
        <f t="shared" si="156"/>
        <v>0</v>
      </c>
      <c r="N995" s="14" t="s">
        <v>1879</v>
      </c>
      <c r="O995" s="14" t="s">
        <v>1879</v>
      </c>
      <c r="P995" s="167" t="s">
        <v>147</v>
      </c>
      <c r="Q995" s="14" t="s">
        <v>175</v>
      </c>
      <c r="R995" s="170" t="s">
        <v>234</v>
      </c>
      <c r="S995" s="108">
        <f t="shared" si="155"/>
        <v>45758</v>
      </c>
      <c r="T995" s="79">
        <v>45740</v>
      </c>
      <c r="U995" s="14" t="s">
        <v>4793</v>
      </c>
      <c r="V995" s="14" t="s">
        <v>4794</v>
      </c>
      <c r="W995" s="14" t="s">
        <v>1880</v>
      </c>
      <c r="X995" s="14" t="s">
        <v>1880</v>
      </c>
      <c r="Y995" s="466" t="s">
        <v>2062</v>
      </c>
      <c r="Z995" s="14"/>
      <c r="AA995" s="2">
        <f t="shared" ca="1" si="150"/>
        <v>1</v>
      </c>
      <c r="AB995" s="153"/>
      <c r="AC995" s="454" t="str">
        <f t="shared" si="152"/>
        <v/>
      </c>
    </row>
    <row r="996" spans="1:29" ht="58" x14ac:dyDescent="0.35">
      <c r="A996" s="89" t="str">
        <f t="shared" si="157"/>
        <v>Closed</v>
      </c>
      <c r="B996" s="222">
        <v>45741</v>
      </c>
      <c r="C996" s="14">
        <v>2413</v>
      </c>
      <c r="D996" s="14" t="s">
        <v>1389</v>
      </c>
      <c r="E996" s="14" t="s">
        <v>204</v>
      </c>
      <c r="F996" s="14" t="s">
        <v>4795</v>
      </c>
      <c r="G996" s="14"/>
      <c r="H996" s="14"/>
      <c r="I996" s="176" t="s">
        <v>155</v>
      </c>
      <c r="J996" s="14">
        <v>443</v>
      </c>
      <c r="K996" s="87"/>
      <c r="L996" s="14" t="s">
        <v>4796</v>
      </c>
      <c r="M996" s="324">
        <f t="shared" si="156"/>
        <v>0</v>
      </c>
      <c r="N996" s="14" t="s">
        <v>1879</v>
      </c>
      <c r="O996" s="14" t="s">
        <v>1880</v>
      </c>
      <c r="P996" s="167" t="s">
        <v>147</v>
      </c>
      <c r="Q996" s="14" t="s">
        <v>177</v>
      </c>
      <c r="R996" s="223" t="s">
        <v>234</v>
      </c>
      <c r="S996" s="224">
        <f t="shared" si="155"/>
        <v>45769</v>
      </c>
      <c r="T996" s="79">
        <v>45902</v>
      </c>
      <c r="U996" s="14"/>
      <c r="V996" s="14"/>
      <c r="W996" s="14"/>
      <c r="X996" s="14"/>
      <c r="Z996" s="14" t="s">
        <v>4797</v>
      </c>
      <c r="AA996" s="2">
        <f t="shared" ca="1" si="150"/>
        <v>1</v>
      </c>
      <c r="AB996" s="153"/>
      <c r="AC996" s="454" t="str">
        <f t="shared" si="152"/>
        <v/>
      </c>
    </row>
    <row r="997" spans="1:29" ht="43.5" x14ac:dyDescent="0.35">
      <c r="A997" s="89" t="str">
        <f t="shared" si="157"/>
        <v>Closed</v>
      </c>
      <c r="B997" s="222">
        <v>45741</v>
      </c>
      <c r="C997" s="14">
        <v>2413</v>
      </c>
      <c r="D997" s="14" t="s">
        <v>4798</v>
      </c>
      <c r="E997" s="14" t="s">
        <v>27</v>
      </c>
      <c r="F997" s="14" t="s">
        <v>2027</v>
      </c>
      <c r="G997" s="14"/>
      <c r="H997" s="14">
        <v>205</v>
      </c>
      <c r="I997" s="176" t="s">
        <v>5</v>
      </c>
      <c r="J997" s="14">
        <v>748</v>
      </c>
      <c r="K997" s="87"/>
      <c r="L997" s="14" t="s">
        <v>4799</v>
      </c>
      <c r="M997" s="324">
        <f t="shared" si="156"/>
        <v>0</v>
      </c>
      <c r="N997" s="14" t="s">
        <v>1879</v>
      </c>
      <c r="O997" s="14" t="s">
        <v>1879</v>
      </c>
      <c r="P997" s="167" t="s">
        <v>147</v>
      </c>
      <c r="Q997" s="14" t="s">
        <v>168</v>
      </c>
      <c r="R997" s="223" t="s">
        <v>234</v>
      </c>
      <c r="S997" s="224">
        <f t="shared" si="155"/>
        <v>45769</v>
      </c>
      <c r="T997" s="79">
        <v>45805</v>
      </c>
      <c r="U997" s="14" t="s">
        <v>4800</v>
      </c>
      <c r="V997" s="14" t="s">
        <v>4084</v>
      </c>
      <c r="W997" s="14" t="s">
        <v>1879</v>
      </c>
      <c r="X997" s="14" t="s">
        <v>1883</v>
      </c>
      <c r="Y997" s="14" t="s">
        <v>2361</v>
      </c>
      <c r="Z997" s="14" t="s">
        <v>4801</v>
      </c>
      <c r="AA997" s="2">
        <f t="shared" ca="1" si="150"/>
        <v>1</v>
      </c>
      <c r="AB997" s="153"/>
      <c r="AC997" s="454" t="str">
        <f t="shared" si="152"/>
        <v>2</v>
      </c>
    </row>
    <row r="998" spans="1:29" ht="29" x14ac:dyDescent="0.35">
      <c r="A998" s="89" t="str">
        <f t="shared" si="157"/>
        <v>Closed</v>
      </c>
      <c r="B998" s="222">
        <v>45741</v>
      </c>
      <c r="C998" s="14">
        <v>2413</v>
      </c>
      <c r="D998" s="14" t="s">
        <v>4802</v>
      </c>
      <c r="E998" s="14" t="s">
        <v>37</v>
      </c>
      <c r="F998" s="14" t="s">
        <v>2037</v>
      </c>
      <c r="G998" s="14" t="s">
        <v>1911</v>
      </c>
      <c r="H998" s="14">
        <v>104</v>
      </c>
      <c r="I998" s="176" t="s">
        <v>140</v>
      </c>
      <c r="J998" s="14">
        <v>254</v>
      </c>
      <c r="K998" s="87"/>
      <c r="L998" s="14" t="s">
        <v>4803</v>
      </c>
      <c r="M998" s="324">
        <f t="shared" si="156"/>
        <v>0</v>
      </c>
      <c r="N998" s="14" t="s">
        <v>1879</v>
      </c>
      <c r="O998" s="14" t="s">
        <v>1880</v>
      </c>
      <c r="P998" s="167" t="s">
        <v>147</v>
      </c>
      <c r="Q998" s="14" t="s">
        <v>177</v>
      </c>
      <c r="R998" s="223" t="s">
        <v>234</v>
      </c>
      <c r="S998" s="224">
        <f t="shared" si="155"/>
        <v>45769</v>
      </c>
      <c r="T998" s="79">
        <v>45741</v>
      </c>
      <c r="U998" s="14"/>
      <c r="V998" s="14"/>
      <c r="W998" s="14"/>
      <c r="X998" s="14"/>
      <c r="Y998" s="167" t="s">
        <v>2039</v>
      </c>
      <c r="Z998" s="14"/>
      <c r="AA998" s="2">
        <f t="shared" ca="1" si="150"/>
        <v>1</v>
      </c>
      <c r="AB998" s="153"/>
      <c r="AC998" s="454" t="str">
        <f t="shared" si="152"/>
        <v>1</v>
      </c>
    </row>
    <row r="999" spans="1:29" ht="72.5" x14ac:dyDescent="0.35">
      <c r="A999" s="89" t="str">
        <f t="shared" si="157"/>
        <v>Closed</v>
      </c>
      <c r="B999" s="222">
        <v>45742</v>
      </c>
      <c r="C999" s="14">
        <v>2413</v>
      </c>
      <c r="D999" s="14" t="s">
        <v>4804</v>
      </c>
      <c r="E999" s="14" t="s">
        <v>61</v>
      </c>
      <c r="F999" s="167" t="s">
        <v>2041</v>
      </c>
      <c r="G999" s="14"/>
      <c r="H999" s="14">
        <v>116</v>
      </c>
      <c r="I999" s="176" t="s">
        <v>140</v>
      </c>
      <c r="J999" s="14">
        <v>192</v>
      </c>
      <c r="K999" s="87"/>
      <c r="L999" s="14" t="s">
        <v>4805</v>
      </c>
      <c r="M999" s="324">
        <f t="shared" si="156"/>
        <v>0</v>
      </c>
      <c r="N999" s="14" t="s">
        <v>1879</v>
      </c>
      <c r="O999" s="14" t="s">
        <v>1880</v>
      </c>
      <c r="P999" s="167" t="s">
        <v>147</v>
      </c>
      <c r="Q999" s="14" t="s">
        <v>177</v>
      </c>
      <c r="R999" s="223" t="s">
        <v>234</v>
      </c>
      <c r="S999" s="224">
        <f t="shared" si="155"/>
        <v>45770</v>
      </c>
      <c r="T999" s="79">
        <v>45742</v>
      </c>
      <c r="U999" s="14"/>
      <c r="V999" s="14"/>
      <c r="W999" s="14"/>
      <c r="X999" s="14"/>
      <c r="Y999" s="2" t="s">
        <v>3881</v>
      </c>
      <c r="Z999" s="14"/>
      <c r="AA999" s="2">
        <f t="shared" ca="1" si="150"/>
        <v>1</v>
      </c>
      <c r="AB999" s="153"/>
      <c r="AC999" s="454" t="str">
        <f t="shared" si="152"/>
        <v>1</v>
      </c>
    </row>
    <row r="1000" spans="1:29" x14ac:dyDescent="0.35">
      <c r="A1000" s="111" t="str">
        <f t="shared" si="157"/>
        <v>Closed</v>
      </c>
      <c r="B1000" s="222">
        <v>45743</v>
      </c>
      <c r="C1000" s="14">
        <v>2413</v>
      </c>
      <c r="D1000" s="14" t="s">
        <v>4806</v>
      </c>
      <c r="E1000" s="14" t="s">
        <v>8</v>
      </c>
      <c r="F1000" s="14" t="s">
        <v>1925</v>
      </c>
      <c r="G1000" s="14"/>
      <c r="H1000" s="14"/>
      <c r="I1000" s="176" t="s">
        <v>140</v>
      </c>
      <c r="K1000" s="87"/>
      <c r="L1000" s="14" t="s">
        <v>4807</v>
      </c>
      <c r="M1000" s="324">
        <f t="shared" si="156"/>
        <v>0</v>
      </c>
      <c r="N1000" s="14" t="s">
        <v>1879</v>
      </c>
      <c r="O1000" s="14" t="s">
        <v>1879</v>
      </c>
      <c r="P1000" s="167" t="s">
        <v>143</v>
      </c>
      <c r="Q1000" s="14"/>
      <c r="R1000" s="170">
        <v>0</v>
      </c>
      <c r="S1000" s="108">
        <f t="shared" si="155"/>
        <v>45771</v>
      </c>
      <c r="T1000" s="79">
        <v>45743</v>
      </c>
      <c r="U1000" s="14"/>
      <c r="V1000" s="14"/>
      <c r="W1000" s="14"/>
      <c r="X1000" s="14"/>
      <c r="Y1000" s="14" t="s">
        <v>1929</v>
      </c>
      <c r="Z1000" s="14"/>
      <c r="AA1000" s="2">
        <f t="shared" ca="1" si="150"/>
        <v>1</v>
      </c>
      <c r="AB1000" s="153"/>
      <c r="AC1000" s="454" t="str">
        <f t="shared" si="152"/>
        <v/>
      </c>
    </row>
    <row r="1001" spans="1:29" ht="29" x14ac:dyDescent="0.35">
      <c r="A1001" s="111" t="str">
        <f t="shared" si="157"/>
        <v>Closed</v>
      </c>
      <c r="B1001" s="222">
        <v>45743</v>
      </c>
      <c r="C1001" s="14">
        <v>2413</v>
      </c>
      <c r="D1001" s="14" t="s">
        <v>4808</v>
      </c>
      <c r="E1001" s="14" t="s">
        <v>180</v>
      </c>
      <c r="F1001" s="14" t="s">
        <v>3245</v>
      </c>
      <c r="G1001" s="14" t="s">
        <v>1900</v>
      </c>
      <c r="H1001" s="14">
        <v>112</v>
      </c>
      <c r="I1001" s="176" t="s">
        <v>140</v>
      </c>
      <c r="K1001" s="87"/>
      <c r="L1001" s="14" t="s">
        <v>4809</v>
      </c>
      <c r="M1001" s="324">
        <f t="shared" si="156"/>
        <v>0</v>
      </c>
      <c r="N1001" s="14" t="s">
        <v>1879</v>
      </c>
      <c r="O1001" s="14" t="s">
        <v>1879</v>
      </c>
      <c r="P1001" s="167" t="s">
        <v>143</v>
      </c>
      <c r="Q1001" s="14"/>
      <c r="R1001" s="170">
        <v>0</v>
      </c>
      <c r="S1001" s="108">
        <f t="shared" si="155"/>
        <v>45771</v>
      </c>
      <c r="T1001" s="79">
        <v>45743</v>
      </c>
      <c r="U1001" s="14"/>
      <c r="V1001" s="14"/>
      <c r="W1001" s="14"/>
      <c r="X1001" s="14"/>
      <c r="Z1001" s="14"/>
      <c r="AA1001" s="2">
        <f t="shared" ca="1" si="150"/>
        <v>1</v>
      </c>
      <c r="AB1001" s="153"/>
      <c r="AC1001" s="454" t="str">
        <f t="shared" si="152"/>
        <v>1</v>
      </c>
    </row>
    <row r="1002" spans="1:29" ht="43.5" x14ac:dyDescent="0.35">
      <c r="A1002" s="111" t="str">
        <f t="shared" si="157"/>
        <v>Closed</v>
      </c>
      <c r="B1002" s="222">
        <v>45743</v>
      </c>
      <c r="C1002" s="14">
        <v>2413</v>
      </c>
      <c r="D1002" s="14" t="s">
        <v>4810</v>
      </c>
      <c r="E1002" s="14" t="s">
        <v>27</v>
      </c>
      <c r="F1002" s="14" t="s">
        <v>1958</v>
      </c>
      <c r="G1002" s="14"/>
      <c r="H1002" s="14">
        <v>106</v>
      </c>
      <c r="I1002" s="176" t="s">
        <v>140</v>
      </c>
      <c r="J1002" s="14">
        <v>8501802</v>
      </c>
      <c r="K1002" s="87"/>
      <c r="L1002" s="14" t="s">
        <v>4811</v>
      </c>
      <c r="M1002" s="324">
        <f t="shared" si="156"/>
        <v>0</v>
      </c>
      <c r="N1002" s="14" t="s">
        <v>1879</v>
      </c>
      <c r="O1002" s="14" t="s">
        <v>1879</v>
      </c>
      <c r="P1002" s="167" t="s">
        <v>143</v>
      </c>
      <c r="Q1002" s="14"/>
      <c r="R1002" s="170">
        <v>0</v>
      </c>
      <c r="S1002" s="108">
        <f t="shared" si="155"/>
        <v>45771</v>
      </c>
      <c r="T1002" s="79">
        <v>45743</v>
      </c>
      <c r="U1002" s="14"/>
      <c r="V1002" s="14"/>
      <c r="W1002" s="14"/>
      <c r="X1002" s="14"/>
      <c r="Y1002" s="14" t="s">
        <v>1960</v>
      </c>
      <c r="Z1002" s="14" t="s">
        <v>4812</v>
      </c>
      <c r="AA1002" s="2">
        <f t="shared" ca="1" si="150"/>
        <v>1</v>
      </c>
      <c r="AB1002" s="153"/>
      <c r="AC1002" s="454" t="str">
        <f t="shared" si="152"/>
        <v>1</v>
      </c>
    </row>
    <row r="1003" spans="1:29" ht="43.5" x14ac:dyDescent="0.35">
      <c r="A1003" s="111" t="str">
        <f t="shared" si="157"/>
        <v>Closed</v>
      </c>
      <c r="B1003" s="222">
        <v>45743</v>
      </c>
      <c r="C1003" s="14">
        <v>2413</v>
      </c>
      <c r="D1003" s="14" t="s">
        <v>4813</v>
      </c>
      <c r="E1003" s="14" t="s">
        <v>27</v>
      </c>
      <c r="F1003" s="14" t="s">
        <v>1910</v>
      </c>
      <c r="G1003" s="14"/>
      <c r="H1003" s="14">
        <v>113</v>
      </c>
      <c r="I1003" s="176" t="s">
        <v>140</v>
      </c>
      <c r="J1003" s="14">
        <v>8510009</v>
      </c>
      <c r="K1003" s="87"/>
      <c r="L1003" s="14" t="s">
        <v>4814</v>
      </c>
      <c r="M1003" s="324">
        <f t="shared" si="156"/>
        <v>0</v>
      </c>
      <c r="N1003" s="14" t="s">
        <v>1879</v>
      </c>
      <c r="O1003" s="14" t="s">
        <v>1879</v>
      </c>
      <c r="P1003" s="167" t="s">
        <v>143</v>
      </c>
      <c r="Q1003" s="14"/>
      <c r="R1003" s="170">
        <v>0</v>
      </c>
      <c r="S1003" s="108">
        <f t="shared" si="155"/>
        <v>45771</v>
      </c>
      <c r="T1003" s="79">
        <v>45743</v>
      </c>
      <c r="U1003" s="14"/>
      <c r="V1003" s="14"/>
      <c r="W1003" s="14"/>
      <c r="X1003" s="14"/>
      <c r="Y1003" s="15" t="s">
        <v>1915</v>
      </c>
      <c r="Z1003" s="14" t="s">
        <v>4812</v>
      </c>
      <c r="AA1003" s="2">
        <f t="shared" ca="1" si="150"/>
        <v>1</v>
      </c>
      <c r="AB1003" s="153"/>
      <c r="AC1003" s="454" t="str">
        <f t="shared" si="152"/>
        <v>1</v>
      </c>
    </row>
    <row r="1004" spans="1:29" ht="43.5" x14ac:dyDescent="0.35">
      <c r="A1004" s="111" t="str">
        <f t="shared" si="157"/>
        <v>Closed</v>
      </c>
      <c r="B1004" s="222">
        <v>45743</v>
      </c>
      <c r="C1004" s="14">
        <v>2413</v>
      </c>
      <c r="D1004" s="14" t="s">
        <v>4815</v>
      </c>
      <c r="E1004" s="14" t="s">
        <v>192</v>
      </c>
      <c r="F1004" s="167" t="s">
        <v>1947</v>
      </c>
      <c r="G1004" s="14"/>
      <c r="H1004" s="14">
        <v>123</v>
      </c>
      <c r="I1004" s="176" t="s">
        <v>140</v>
      </c>
      <c r="J1004" s="14">
        <v>74928</v>
      </c>
      <c r="K1004" s="87"/>
      <c r="L1004" s="14" t="s">
        <v>4816</v>
      </c>
      <c r="M1004" s="324">
        <f t="shared" si="156"/>
        <v>0</v>
      </c>
      <c r="N1004" s="14" t="s">
        <v>1879</v>
      </c>
      <c r="O1004" s="14" t="s">
        <v>1879</v>
      </c>
      <c r="P1004" s="167" t="s">
        <v>143</v>
      </c>
      <c r="Q1004" s="14"/>
      <c r="R1004" s="170">
        <v>0</v>
      </c>
      <c r="S1004" s="108">
        <f t="shared" si="155"/>
        <v>45771</v>
      </c>
      <c r="T1004" s="79">
        <v>45743</v>
      </c>
      <c r="U1004" s="14"/>
      <c r="V1004" s="14"/>
      <c r="W1004" s="14"/>
      <c r="X1004" s="14"/>
      <c r="Y1004" s="167" t="s">
        <v>1951</v>
      </c>
      <c r="Z1004" s="14"/>
      <c r="AA1004" s="2">
        <f t="shared" ca="1" si="150"/>
        <v>1</v>
      </c>
      <c r="AB1004" s="153"/>
      <c r="AC1004" s="454" t="str">
        <f t="shared" si="152"/>
        <v>1</v>
      </c>
    </row>
    <row r="1005" spans="1:29" ht="29" x14ac:dyDescent="0.35">
      <c r="A1005" s="111" t="str">
        <f t="shared" si="157"/>
        <v>Closed</v>
      </c>
      <c r="B1005" s="222">
        <v>45743</v>
      </c>
      <c r="C1005" s="14">
        <v>2413</v>
      </c>
      <c r="D1005" s="14" t="s">
        <v>4817</v>
      </c>
      <c r="E1005" s="14" t="s">
        <v>31</v>
      </c>
      <c r="F1005" s="167" t="s">
        <v>1947</v>
      </c>
      <c r="G1005" s="14"/>
      <c r="H1005" s="14">
        <v>105</v>
      </c>
      <c r="I1005" s="176" t="s">
        <v>140</v>
      </c>
      <c r="J1005" s="14">
        <v>8508846</v>
      </c>
      <c r="K1005" s="87"/>
      <c r="L1005" s="14" t="s">
        <v>4818</v>
      </c>
      <c r="M1005" s="324">
        <f t="shared" si="156"/>
        <v>0</v>
      </c>
      <c r="N1005" s="14" t="s">
        <v>1879</v>
      </c>
      <c r="O1005" s="14" t="s">
        <v>1879</v>
      </c>
      <c r="P1005" s="167" t="s">
        <v>143</v>
      </c>
      <c r="Q1005" s="14"/>
      <c r="R1005" s="170">
        <v>0</v>
      </c>
      <c r="S1005" s="108">
        <f t="shared" si="155"/>
        <v>45771</v>
      </c>
      <c r="T1005" s="79">
        <v>45743</v>
      </c>
      <c r="U1005" s="14"/>
      <c r="V1005" s="14"/>
      <c r="W1005" s="14"/>
      <c r="X1005" s="14"/>
      <c r="Y1005" s="167" t="s">
        <v>1951</v>
      </c>
      <c r="Z1005" s="14"/>
      <c r="AA1005" s="2">
        <f t="shared" ca="1" si="150"/>
        <v>1</v>
      </c>
      <c r="AB1005" s="153"/>
      <c r="AC1005" s="454" t="str">
        <f t="shared" si="152"/>
        <v>1</v>
      </c>
    </row>
    <row r="1006" spans="1:29" x14ac:dyDescent="0.35">
      <c r="A1006" s="111" t="str">
        <f t="shared" si="157"/>
        <v>Closed</v>
      </c>
      <c r="B1006" s="222">
        <v>45743</v>
      </c>
      <c r="C1006" s="14">
        <v>2413</v>
      </c>
      <c r="D1006" s="14" t="s">
        <v>4819</v>
      </c>
      <c r="E1006" s="14" t="s">
        <v>219</v>
      </c>
      <c r="F1006" s="14" t="s">
        <v>1968</v>
      </c>
      <c r="G1006" s="14"/>
      <c r="H1006" s="14"/>
      <c r="I1006" s="176" t="s">
        <v>140</v>
      </c>
      <c r="K1006" s="87"/>
      <c r="L1006" s="14" t="s">
        <v>4820</v>
      </c>
      <c r="M1006" s="324">
        <f t="shared" si="156"/>
        <v>0</v>
      </c>
      <c r="N1006" s="14" t="s">
        <v>1879</v>
      </c>
      <c r="O1006" s="14" t="s">
        <v>1879</v>
      </c>
      <c r="P1006" s="167" t="s">
        <v>143</v>
      </c>
      <c r="Q1006" s="14"/>
      <c r="R1006" s="170">
        <v>0</v>
      </c>
      <c r="S1006" s="108">
        <f t="shared" si="155"/>
        <v>45771</v>
      </c>
      <c r="T1006" s="79">
        <v>45743</v>
      </c>
      <c r="U1006" s="14"/>
      <c r="V1006" s="14"/>
      <c r="W1006" s="14"/>
      <c r="X1006" s="14"/>
      <c r="Y1006" s="14" t="s">
        <v>1970</v>
      </c>
      <c r="Z1006" s="14"/>
      <c r="AA1006" s="2">
        <f t="shared" ca="1" si="150"/>
        <v>1</v>
      </c>
      <c r="AB1006" s="153"/>
      <c r="AC1006" s="454" t="str">
        <f t="shared" si="152"/>
        <v/>
      </c>
    </row>
    <row r="1007" spans="1:29" ht="217.5" x14ac:dyDescent="0.35">
      <c r="A1007" s="111" t="str">
        <f t="shared" si="157"/>
        <v>Closed</v>
      </c>
      <c r="B1007" s="222">
        <v>45744</v>
      </c>
      <c r="C1007" s="14">
        <v>2413</v>
      </c>
      <c r="D1007" s="14" t="s">
        <v>1528</v>
      </c>
      <c r="E1007" s="14" t="s">
        <v>52</v>
      </c>
      <c r="F1007" s="14" t="s">
        <v>1972</v>
      </c>
      <c r="G1007" s="14"/>
      <c r="H1007" s="14"/>
      <c r="I1007" s="176" t="s">
        <v>155</v>
      </c>
      <c r="K1007" s="87"/>
      <c r="L1007" s="14" t="s">
        <v>4821</v>
      </c>
      <c r="M1007" s="324">
        <f t="shared" si="156"/>
        <v>0</v>
      </c>
      <c r="N1007" s="14" t="s">
        <v>1879</v>
      </c>
      <c r="O1007" s="14" t="s">
        <v>1879</v>
      </c>
      <c r="P1007" s="167" t="s">
        <v>151</v>
      </c>
      <c r="Q1007" s="14" t="s">
        <v>170</v>
      </c>
      <c r="R1007" s="170" t="s">
        <v>241</v>
      </c>
      <c r="S1007" s="108">
        <f t="shared" si="155"/>
        <v>45772</v>
      </c>
      <c r="T1007" s="79">
        <v>45882</v>
      </c>
      <c r="U1007" s="14" t="s">
        <v>4822</v>
      </c>
      <c r="V1007" s="14" t="s">
        <v>4823</v>
      </c>
      <c r="W1007" s="14"/>
      <c r="X1007" s="14" t="s">
        <v>1880</v>
      </c>
      <c r="Z1007" s="14" t="s">
        <v>4824</v>
      </c>
      <c r="AA1007" s="2">
        <f t="shared" ca="1" si="150"/>
        <v>1</v>
      </c>
      <c r="AB1007" s="153"/>
      <c r="AC1007" s="454" t="str">
        <f t="shared" si="152"/>
        <v/>
      </c>
    </row>
    <row r="1008" spans="1:29" ht="43.5" x14ac:dyDescent="0.35">
      <c r="A1008" s="111" t="str">
        <f t="shared" si="157"/>
        <v>Closed</v>
      </c>
      <c r="B1008" s="222">
        <v>45744</v>
      </c>
      <c r="C1008" s="14">
        <v>2413</v>
      </c>
      <c r="D1008" s="14" t="s">
        <v>4825</v>
      </c>
      <c r="E1008" s="14" t="s">
        <v>192</v>
      </c>
      <c r="F1008" s="14" t="s">
        <v>1925</v>
      </c>
      <c r="G1008" s="14"/>
      <c r="H1008" s="14">
        <v>101</v>
      </c>
      <c r="I1008" s="176" t="s">
        <v>140</v>
      </c>
      <c r="J1008" s="14">
        <v>64986</v>
      </c>
      <c r="K1008" s="87"/>
      <c r="L1008" s="14" t="s">
        <v>4826</v>
      </c>
      <c r="M1008" s="324">
        <f t="shared" si="156"/>
        <v>0</v>
      </c>
      <c r="N1008" s="14" t="s">
        <v>1879</v>
      </c>
      <c r="O1008" s="14" t="s">
        <v>1879</v>
      </c>
      <c r="P1008" s="167" t="s">
        <v>143</v>
      </c>
      <c r="Q1008" s="14"/>
      <c r="R1008" s="170">
        <v>0</v>
      </c>
      <c r="S1008" s="108">
        <f t="shared" si="155"/>
        <v>45772</v>
      </c>
      <c r="T1008" s="79">
        <v>45744</v>
      </c>
      <c r="U1008" s="14"/>
      <c r="V1008" s="14"/>
      <c r="W1008" s="14"/>
      <c r="X1008" s="14"/>
      <c r="Y1008" s="14" t="s">
        <v>1929</v>
      </c>
      <c r="Z1008" s="14"/>
      <c r="AA1008" s="2">
        <f t="shared" ca="1" si="150"/>
        <v>1</v>
      </c>
      <c r="AB1008" s="153"/>
      <c r="AC1008" s="454" t="str">
        <f t="shared" si="152"/>
        <v>1</v>
      </c>
    </row>
    <row r="1009" spans="1:29" ht="72.5" x14ac:dyDescent="0.35">
      <c r="A1009" s="111" t="str">
        <f t="shared" si="157"/>
        <v>Closed</v>
      </c>
      <c r="B1009" s="222">
        <v>45744</v>
      </c>
      <c r="C1009" s="14">
        <v>2413</v>
      </c>
      <c r="D1009" s="14" t="s">
        <v>4827</v>
      </c>
      <c r="E1009" s="14" t="s">
        <v>31</v>
      </c>
      <c r="F1009" s="14" t="s">
        <v>4828</v>
      </c>
      <c r="G1009" s="14"/>
      <c r="H1009" s="14">
        <v>108</v>
      </c>
      <c r="I1009" s="176" t="s">
        <v>140</v>
      </c>
      <c r="J1009" s="14">
        <v>254</v>
      </c>
      <c r="K1009" s="87"/>
      <c r="L1009" s="14" t="s">
        <v>4829</v>
      </c>
      <c r="M1009" s="324">
        <f t="shared" si="156"/>
        <v>0</v>
      </c>
      <c r="N1009" s="14" t="s">
        <v>1879</v>
      </c>
      <c r="O1009" s="14" t="s">
        <v>1879</v>
      </c>
      <c r="P1009" s="167" t="s">
        <v>147</v>
      </c>
      <c r="Q1009" s="14" t="s">
        <v>177</v>
      </c>
      <c r="R1009" s="170" t="s">
        <v>234</v>
      </c>
      <c r="S1009" s="108">
        <f t="shared" si="155"/>
        <v>45772</v>
      </c>
      <c r="T1009" s="79">
        <v>45799</v>
      </c>
      <c r="U1009" s="14"/>
      <c r="V1009" s="14"/>
      <c r="W1009" s="14"/>
      <c r="X1009" s="14"/>
      <c r="Y1009" s="14" t="s">
        <v>2050</v>
      </c>
      <c r="Z1009" s="14" t="s">
        <v>4830</v>
      </c>
      <c r="AA1009" s="2">
        <f t="shared" ca="1" si="150"/>
        <v>1</v>
      </c>
      <c r="AB1009" s="153"/>
      <c r="AC1009" s="454" t="str">
        <f t="shared" si="152"/>
        <v>1</v>
      </c>
    </row>
    <row r="1010" spans="1:29" ht="29" x14ac:dyDescent="0.35">
      <c r="A1010" s="111" t="str">
        <f t="shared" si="157"/>
        <v>Closed</v>
      </c>
      <c r="B1010" s="222">
        <v>45744</v>
      </c>
      <c r="C1010" s="14">
        <v>2413</v>
      </c>
      <c r="D1010" s="14" t="s">
        <v>4831</v>
      </c>
      <c r="E1010" s="14" t="s">
        <v>8</v>
      </c>
      <c r="F1010" s="14" t="s">
        <v>1925</v>
      </c>
      <c r="G1010" s="14"/>
      <c r="H1010" s="14"/>
      <c r="I1010" s="176" t="s">
        <v>140</v>
      </c>
      <c r="K1010" s="87"/>
      <c r="L1010" s="14" t="s">
        <v>4832</v>
      </c>
      <c r="M1010" s="324">
        <f t="shared" si="156"/>
        <v>0</v>
      </c>
      <c r="N1010" s="14" t="s">
        <v>1879</v>
      </c>
      <c r="O1010" s="14" t="s">
        <v>1879</v>
      </c>
      <c r="P1010" s="167" t="s">
        <v>143</v>
      </c>
      <c r="Q1010" s="14"/>
      <c r="R1010" s="170">
        <v>0</v>
      </c>
      <c r="S1010" s="108">
        <f t="shared" si="155"/>
        <v>45772</v>
      </c>
      <c r="T1010" s="79">
        <v>45744</v>
      </c>
      <c r="U1010" s="14"/>
      <c r="V1010" s="14"/>
      <c r="W1010" s="14"/>
      <c r="X1010" s="14"/>
      <c r="Y1010" s="14" t="s">
        <v>1929</v>
      </c>
      <c r="Z1010" s="14"/>
      <c r="AA1010" s="2">
        <f t="shared" ca="1" si="150"/>
        <v>1</v>
      </c>
      <c r="AB1010" s="153"/>
      <c r="AC1010" s="454" t="str">
        <f t="shared" si="152"/>
        <v/>
      </c>
    </row>
    <row r="1011" spans="1:29" ht="43.5" x14ac:dyDescent="0.35">
      <c r="A1011" s="111" t="str">
        <f t="shared" si="157"/>
        <v>Closed</v>
      </c>
      <c r="B1011" s="222">
        <v>45745</v>
      </c>
      <c r="C1011" s="14">
        <v>2413</v>
      </c>
      <c r="D1011" s="14" t="s">
        <v>4833</v>
      </c>
      <c r="E1011" s="14" t="s">
        <v>31</v>
      </c>
      <c r="F1011" s="14" t="s">
        <v>2196</v>
      </c>
      <c r="G1011" s="14" t="s">
        <v>1911</v>
      </c>
      <c r="H1011" s="14">
        <v>106</v>
      </c>
      <c r="I1011" s="176" t="s">
        <v>140</v>
      </c>
      <c r="J1011" s="14">
        <v>254</v>
      </c>
      <c r="K1011" s="87"/>
      <c r="L1011" s="14" t="s">
        <v>4834</v>
      </c>
      <c r="M1011" s="324">
        <f t="shared" si="156"/>
        <v>0</v>
      </c>
      <c r="N1011" s="14" t="s">
        <v>1879</v>
      </c>
      <c r="O1011" s="14" t="s">
        <v>1879</v>
      </c>
      <c r="P1011" s="167" t="s">
        <v>143</v>
      </c>
      <c r="Q1011" s="14"/>
      <c r="R1011" s="170">
        <v>0</v>
      </c>
      <c r="S1011" s="108">
        <f t="shared" si="155"/>
        <v>45773</v>
      </c>
      <c r="T1011" s="79">
        <v>45745</v>
      </c>
      <c r="U1011" s="14"/>
      <c r="V1011" s="14"/>
      <c r="W1011" s="14"/>
      <c r="X1011" s="14"/>
      <c r="Y1011" s="14" t="s">
        <v>2224</v>
      </c>
      <c r="Z1011" s="298" t="s">
        <v>4835</v>
      </c>
      <c r="AA1011" s="2">
        <f t="shared" ca="1" si="150"/>
        <v>1</v>
      </c>
      <c r="AB1011" s="153"/>
      <c r="AC1011" s="454" t="str">
        <f t="shared" si="152"/>
        <v>1</v>
      </c>
    </row>
    <row r="1012" spans="1:29" ht="29" x14ac:dyDescent="0.35">
      <c r="A1012" s="111" t="str">
        <f t="shared" si="157"/>
        <v>Closed</v>
      </c>
      <c r="B1012" s="222">
        <v>45744</v>
      </c>
      <c r="C1012" s="14">
        <v>2413</v>
      </c>
      <c r="D1012" s="14" t="s">
        <v>4836</v>
      </c>
      <c r="E1012" s="14" t="s">
        <v>85</v>
      </c>
      <c r="F1012" s="14" t="s">
        <v>1910</v>
      </c>
      <c r="G1012" s="14" t="s">
        <v>1911</v>
      </c>
      <c r="H1012" s="14">
        <v>113</v>
      </c>
      <c r="I1012" s="176" t="s">
        <v>140</v>
      </c>
      <c r="J1012" s="14">
        <v>85223</v>
      </c>
      <c r="K1012" s="87"/>
      <c r="L1012" s="14" t="s">
        <v>4837</v>
      </c>
      <c r="M1012" s="324">
        <f t="shared" si="156"/>
        <v>0</v>
      </c>
      <c r="N1012" s="14" t="s">
        <v>1879</v>
      </c>
      <c r="O1012" s="14" t="s">
        <v>1879</v>
      </c>
      <c r="P1012" s="167" t="s">
        <v>143</v>
      </c>
      <c r="Q1012" s="14"/>
      <c r="R1012" s="170">
        <v>0</v>
      </c>
      <c r="S1012" s="108">
        <f t="shared" si="155"/>
        <v>45772</v>
      </c>
      <c r="T1012" s="79">
        <v>45744</v>
      </c>
      <c r="U1012" s="14"/>
      <c r="V1012" s="14"/>
      <c r="W1012" s="14"/>
      <c r="X1012" s="14"/>
      <c r="Z1012" s="14"/>
      <c r="AA1012" s="2">
        <f t="shared" ca="1" si="150"/>
        <v>1</v>
      </c>
      <c r="AB1012" s="153"/>
      <c r="AC1012" s="454" t="str">
        <f t="shared" si="152"/>
        <v>1</v>
      </c>
    </row>
    <row r="1013" spans="1:29" ht="43.5" x14ac:dyDescent="0.35">
      <c r="A1013" s="111" t="str">
        <f t="shared" si="157"/>
        <v>Closed</v>
      </c>
      <c r="B1013" s="222">
        <v>45745</v>
      </c>
      <c r="C1013" s="14">
        <v>2501</v>
      </c>
      <c r="D1013" s="14" t="s">
        <v>4838</v>
      </c>
      <c r="E1013" s="14" t="s">
        <v>72</v>
      </c>
      <c r="F1013" s="14" t="s">
        <v>2533</v>
      </c>
      <c r="G1013" s="14"/>
      <c r="H1013" s="14"/>
      <c r="I1013" s="176" t="s">
        <v>140</v>
      </c>
      <c r="J1013" s="14">
        <v>8511211</v>
      </c>
      <c r="K1013" s="87"/>
      <c r="L1013" s="14" t="s">
        <v>4839</v>
      </c>
      <c r="M1013" s="324">
        <f t="shared" ref="M1013:M1023" si="158">IF(I1013="Staff Accident","Entry Required",IF(I1013="Assaults","Entry Required",0))</f>
        <v>0</v>
      </c>
      <c r="N1013" s="14" t="s">
        <v>1879</v>
      </c>
      <c r="O1013" s="14" t="s">
        <v>1879</v>
      </c>
      <c r="P1013" s="167" t="s">
        <v>143</v>
      </c>
      <c r="Q1013" s="14"/>
      <c r="R1013" s="170">
        <v>0</v>
      </c>
      <c r="S1013" s="108">
        <f t="shared" si="155"/>
        <v>45773</v>
      </c>
      <c r="T1013" s="14" t="s">
        <v>4840</v>
      </c>
      <c r="U1013" s="79">
        <v>45752</v>
      </c>
      <c r="V1013" s="14" t="s">
        <v>3527</v>
      </c>
      <c r="W1013" s="14" t="s">
        <v>2102</v>
      </c>
      <c r="X1013" s="14" t="s">
        <v>1880</v>
      </c>
      <c r="Z1013" s="14"/>
      <c r="AA1013" s="2">
        <f t="shared" ca="1" si="150"/>
        <v>1</v>
      </c>
      <c r="AB1013" s="153"/>
      <c r="AC1013" s="454" t="str">
        <f t="shared" si="152"/>
        <v/>
      </c>
    </row>
    <row r="1014" spans="1:29" ht="43.5" x14ac:dyDescent="0.35">
      <c r="A1014" s="111" t="str">
        <f t="shared" si="157"/>
        <v>Closed</v>
      </c>
      <c r="B1014" s="222">
        <v>45745</v>
      </c>
      <c r="C1014" s="14">
        <v>2501</v>
      </c>
      <c r="D1014" s="14" t="s">
        <v>4841</v>
      </c>
      <c r="E1014" s="14" t="s">
        <v>31</v>
      </c>
      <c r="F1014" s="14" t="s">
        <v>2196</v>
      </c>
      <c r="G1014" s="14" t="s">
        <v>1911</v>
      </c>
      <c r="H1014" s="14">
        <v>106</v>
      </c>
      <c r="I1014" s="176" t="s">
        <v>140</v>
      </c>
      <c r="J1014" s="14">
        <v>254</v>
      </c>
      <c r="K1014" s="87"/>
      <c r="L1014" s="14" t="s">
        <v>4842</v>
      </c>
      <c r="M1014" s="324">
        <f t="shared" si="158"/>
        <v>0</v>
      </c>
      <c r="N1014" s="14" t="s">
        <v>1879</v>
      </c>
      <c r="O1014" s="14" t="s">
        <v>1879</v>
      </c>
      <c r="P1014" s="167" t="s">
        <v>143</v>
      </c>
      <c r="Q1014" s="14"/>
      <c r="R1014" s="170">
        <v>0</v>
      </c>
      <c r="S1014" s="108">
        <f t="shared" si="155"/>
        <v>45773</v>
      </c>
      <c r="T1014" s="14" t="s">
        <v>4840</v>
      </c>
      <c r="U1014" s="14"/>
      <c r="V1014" s="14"/>
      <c r="W1014" s="14"/>
      <c r="X1014" s="14"/>
      <c r="Y1014" s="88" t="s">
        <v>2224</v>
      </c>
      <c r="Z1014" s="14"/>
      <c r="AA1014" s="2">
        <f t="shared" ca="1" si="150"/>
        <v>1</v>
      </c>
      <c r="AB1014" s="153"/>
      <c r="AC1014" s="454" t="str">
        <f t="shared" si="152"/>
        <v>1</v>
      </c>
    </row>
    <row r="1015" spans="1:29" ht="43.5" x14ac:dyDescent="0.35">
      <c r="A1015" s="111" t="str">
        <f t="shared" si="157"/>
        <v>Closed</v>
      </c>
      <c r="B1015" s="222">
        <v>45746</v>
      </c>
      <c r="C1015" s="14">
        <v>2501</v>
      </c>
      <c r="D1015" s="14" t="s">
        <v>4843</v>
      </c>
      <c r="E1015" s="14" t="s">
        <v>8</v>
      </c>
      <c r="F1015" s="14" t="s">
        <v>2262</v>
      </c>
      <c r="G1015" s="14" t="s">
        <v>1911</v>
      </c>
      <c r="H1015" s="14">
        <v>112</v>
      </c>
      <c r="I1015" s="176" t="s">
        <v>140</v>
      </c>
      <c r="J1015" s="14">
        <v>74332</v>
      </c>
      <c r="K1015" s="87"/>
      <c r="L1015" s="14" t="s">
        <v>4844</v>
      </c>
      <c r="M1015" s="324">
        <f t="shared" si="158"/>
        <v>0</v>
      </c>
      <c r="N1015" s="14" t="s">
        <v>1879</v>
      </c>
      <c r="O1015" s="14" t="s">
        <v>1879</v>
      </c>
      <c r="P1015" s="167" t="s">
        <v>143</v>
      </c>
      <c r="Q1015" s="14"/>
      <c r="R1015" s="170">
        <v>0</v>
      </c>
      <c r="S1015" s="108">
        <f t="shared" si="155"/>
        <v>45774</v>
      </c>
      <c r="T1015" s="14" t="s">
        <v>4845</v>
      </c>
      <c r="U1015" s="14"/>
      <c r="V1015" s="14"/>
      <c r="W1015" s="14"/>
      <c r="X1015" s="14"/>
      <c r="Y1015" s="88" t="s">
        <v>2185</v>
      </c>
      <c r="Z1015" s="14"/>
      <c r="AA1015" s="2">
        <f t="shared" ref="AA1015:AA1078" ca="1" si="159">IF(B1015="",3,IF(S1015&lt;$A$1,1,0))</f>
        <v>1</v>
      </c>
      <c r="AB1015" s="153"/>
      <c r="AC1015" s="454" t="str">
        <f t="shared" si="152"/>
        <v>1</v>
      </c>
    </row>
    <row r="1016" spans="1:29" ht="58" x14ac:dyDescent="0.35">
      <c r="A1016" s="111" t="str">
        <f t="shared" si="157"/>
        <v>Closed</v>
      </c>
      <c r="B1016" s="222">
        <v>45746</v>
      </c>
      <c r="C1016" s="14">
        <v>2501</v>
      </c>
      <c r="D1016" s="14" t="s">
        <v>4846</v>
      </c>
      <c r="E1016" s="14" t="s">
        <v>8</v>
      </c>
      <c r="F1016" s="14" t="s">
        <v>2262</v>
      </c>
      <c r="G1016" s="14" t="s">
        <v>1911</v>
      </c>
      <c r="H1016" s="14"/>
      <c r="I1016" s="176" t="s">
        <v>140</v>
      </c>
      <c r="K1016" s="87"/>
      <c r="L1016" s="14" t="s">
        <v>4847</v>
      </c>
      <c r="M1016" s="324">
        <f t="shared" si="158"/>
        <v>0</v>
      </c>
      <c r="N1016" s="14" t="s">
        <v>1879</v>
      </c>
      <c r="O1016" s="14" t="s">
        <v>1879</v>
      </c>
      <c r="P1016" s="167" t="s">
        <v>143</v>
      </c>
      <c r="Q1016" s="14"/>
      <c r="R1016" s="170">
        <v>0</v>
      </c>
      <c r="S1016" s="108">
        <f t="shared" si="155"/>
        <v>45774</v>
      </c>
      <c r="T1016" s="14" t="s">
        <v>4845</v>
      </c>
      <c r="U1016" s="14"/>
      <c r="V1016" s="14"/>
      <c r="W1016" s="14"/>
      <c r="X1016" s="14"/>
      <c r="Y1016" s="14" t="s">
        <v>2185</v>
      </c>
      <c r="Z1016" s="14"/>
      <c r="AA1016" s="2">
        <f t="shared" ca="1" si="159"/>
        <v>1</v>
      </c>
      <c r="AB1016" s="153"/>
      <c r="AC1016" s="454" t="str">
        <f t="shared" si="152"/>
        <v/>
      </c>
    </row>
    <row r="1017" spans="1:29" ht="43.5" x14ac:dyDescent="0.45">
      <c r="A1017" s="111" t="str">
        <f t="shared" si="157"/>
        <v>Closed</v>
      </c>
      <c r="B1017" s="222">
        <v>45747</v>
      </c>
      <c r="C1017" s="14">
        <v>2501</v>
      </c>
      <c r="D1017" s="14" t="s">
        <v>4848</v>
      </c>
      <c r="E1017" s="14" t="s">
        <v>180</v>
      </c>
      <c r="F1017" s="14" t="s">
        <v>4849</v>
      </c>
      <c r="G1017" s="14"/>
      <c r="H1017" s="14"/>
      <c r="I1017" s="176" t="s">
        <v>140</v>
      </c>
      <c r="J1017" s="14">
        <v>1402</v>
      </c>
      <c r="K1017" s="87"/>
      <c r="L1017" s="14" t="s">
        <v>4850</v>
      </c>
      <c r="M1017" s="324">
        <f t="shared" si="158"/>
        <v>0</v>
      </c>
      <c r="N1017" s="14" t="s">
        <v>1879</v>
      </c>
      <c r="O1017" s="14" t="s">
        <v>1880</v>
      </c>
      <c r="P1017" s="167" t="s">
        <v>143</v>
      </c>
      <c r="Q1017" s="14"/>
      <c r="R1017" s="170">
        <v>0</v>
      </c>
      <c r="S1017" s="108">
        <f t="shared" si="155"/>
        <v>45775</v>
      </c>
      <c r="T1017" s="14" t="s">
        <v>4851</v>
      </c>
      <c r="U1017" s="14"/>
      <c r="V1017" s="14"/>
      <c r="W1017" s="14"/>
      <c r="X1017" s="14"/>
      <c r="Y1017" s="463" t="s">
        <v>4852</v>
      </c>
      <c r="Z1017" s="14"/>
      <c r="AA1017" s="2">
        <f t="shared" ca="1" si="159"/>
        <v>1</v>
      </c>
      <c r="AB1017" s="153"/>
      <c r="AC1017" s="454" t="str">
        <f t="shared" si="152"/>
        <v/>
      </c>
    </row>
    <row r="1018" spans="1:29" ht="58" x14ac:dyDescent="0.35">
      <c r="A1018" s="111" t="str">
        <f t="shared" si="157"/>
        <v>Closed</v>
      </c>
      <c r="B1018" s="222">
        <v>45747</v>
      </c>
      <c r="C1018" s="14">
        <v>2501</v>
      </c>
      <c r="D1018" s="14" t="s">
        <v>4853</v>
      </c>
      <c r="E1018" s="14" t="s">
        <v>31</v>
      </c>
      <c r="F1018" s="14" t="s">
        <v>2048</v>
      </c>
      <c r="G1018" s="14" t="s">
        <v>1900</v>
      </c>
      <c r="H1018" s="14">
        <v>106</v>
      </c>
      <c r="I1018" s="176" t="s">
        <v>155</v>
      </c>
      <c r="J1018" s="14">
        <v>1362</v>
      </c>
      <c r="K1018" s="87"/>
      <c r="L1018" s="14" t="s">
        <v>4854</v>
      </c>
      <c r="M1018" s="324">
        <f t="shared" si="158"/>
        <v>0</v>
      </c>
      <c r="N1018" s="14" t="s">
        <v>1879</v>
      </c>
      <c r="O1018" s="14" t="s">
        <v>1879</v>
      </c>
      <c r="P1018" s="167" t="s">
        <v>147</v>
      </c>
      <c r="Q1018" s="14" t="s">
        <v>175</v>
      </c>
      <c r="R1018" s="170" t="s">
        <v>234</v>
      </c>
      <c r="S1018" s="108">
        <f t="shared" si="155"/>
        <v>45775</v>
      </c>
      <c r="T1018" s="79">
        <v>45754</v>
      </c>
      <c r="U1018" s="14" t="s">
        <v>4855</v>
      </c>
      <c r="V1018" s="14" t="s">
        <v>4856</v>
      </c>
      <c r="W1018" s="14" t="s">
        <v>1879</v>
      </c>
      <c r="X1018" s="14" t="s">
        <v>154</v>
      </c>
      <c r="Y1018" s="167" t="s">
        <v>2050</v>
      </c>
      <c r="Z1018" s="14" t="s">
        <v>4857</v>
      </c>
      <c r="AA1018" s="2">
        <f t="shared" ca="1" si="159"/>
        <v>1</v>
      </c>
      <c r="AB1018" s="153"/>
      <c r="AC1018" s="454" t="str">
        <f t="shared" si="152"/>
        <v>1</v>
      </c>
    </row>
    <row r="1019" spans="1:29" ht="72.5" x14ac:dyDescent="0.35">
      <c r="A1019" s="111" t="str">
        <f>IF(T1019&gt;1,"Closed",IF(AA1019=1,"Overdue",IF(AA1019=3,"","Open")))</f>
        <v>Closed</v>
      </c>
      <c r="B1019" s="222">
        <v>45747</v>
      </c>
      <c r="C1019" s="14">
        <v>2501</v>
      </c>
      <c r="D1019" s="14" t="s">
        <v>4858</v>
      </c>
      <c r="E1019" s="14" t="s">
        <v>40</v>
      </c>
      <c r="F1019" s="14" t="s">
        <v>2196</v>
      </c>
      <c r="G1019" s="14" t="s">
        <v>1900</v>
      </c>
      <c r="H1019" s="14">
        <v>123</v>
      </c>
      <c r="I1019" s="176" t="s">
        <v>4</v>
      </c>
      <c r="J1019" s="14">
        <v>8500108</v>
      </c>
      <c r="K1019" s="14" t="s">
        <v>137</v>
      </c>
      <c r="L1019" s="14" t="s">
        <v>4859</v>
      </c>
      <c r="M1019" s="324">
        <v>0</v>
      </c>
      <c r="N1019" s="14" t="s">
        <v>1879</v>
      </c>
      <c r="O1019" s="14" t="s">
        <v>1879</v>
      </c>
      <c r="P1019" s="167" t="s">
        <v>139</v>
      </c>
      <c r="Q1019" s="14" t="s">
        <v>153</v>
      </c>
      <c r="R1019" s="170" t="s">
        <v>234</v>
      </c>
      <c r="S1019" s="108">
        <f>IF(B1019="","",B1019+28)</f>
        <v>45775</v>
      </c>
      <c r="T1019" s="79">
        <v>45804</v>
      </c>
      <c r="U1019" s="14" t="s">
        <v>4860</v>
      </c>
      <c r="V1019" s="14" t="s">
        <v>4861</v>
      </c>
      <c r="W1019" s="14" t="s">
        <v>1879</v>
      </c>
      <c r="X1019" s="14"/>
      <c r="Y1019" s="167" t="s">
        <v>2198</v>
      </c>
      <c r="Z1019" s="14"/>
      <c r="AA1019" s="2">
        <f t="shared" ca="1" si="159"/>
        <v>1</v>
      </c>
      <c r="AB1019" s="153"/>
      <c r="AC1019" s="454" t="str">
        <f>LEFT(H1019,1)</f>
        <v>1</v>
      </c>
    </row>
    <row r="1020" spans="1:29" ht="29" x14ac:dyDescent="0.35">
      <c r="A1020" s="111" t="str">
        <f t="shared" si="157"/>
        <v>Closed</v>
      </c>
      <c r="B1020" s="226">
        <v>45748</v>
      </c>
      <c r="C1020" s="14">
        <v>2501</v>
      </c>
      <c r="D1020" s="14" t="s">
        <v>4862</v>
      </c>
      <c r="E1020" s="14" t="s">
        <v>219</v>
      </c>
      <c r="F1020" s="14" t="s">
        <v>2155</v>
      </c>
      <c r="G1020" s="14"/>
      <c r="H1020" s="14">
        <v>101</v>
      </c>
      <c r="I1020" s="176" t="s">
        <v>140</v>
      </c>
      <c r="K1020" s="87"/>
      <c r="L1020" s="14" t="s">
        <v>4863</v>
      </c>
      <c r="M1020" s="324">
        <f t="shared" si="158"/>
        <v>0</v>
      </c>
      <c r="N1020" s="14" t="s">
        <v>1879</v>
      </c>
      <c r="O1020" s="14" t="s">
        <v>1879</v>
      </c>
      <c r="P1020" s="167" t="s">
        <v>143</v>
      </c>
      <c r="Q1020" s="14"/>
      <c r="R1020" s="170">
        <v>0</v>
      </c>
      <c r="S1020" s="108">
        <f t="shared" ref="S1020:S1051" si="160">IF(B1020="","",B1020+28)</f>
        <v>45776</v>
      </c>
      <c r="T1020" s="79">
        <v>45661</v>
      </c>
      <c r="U1020" s="14"/>
      <c r="V1020" s="14"/>
      <c r="W1020" s="14"/>
      <c r="X1020" s="14"/>
      <c r="Z1020" s="14"/>
      <c r="AA1020" s="2">
        <f t="shared" ca="1" si="159"/>
        <v>1</v>
      </c>
      <c r="AB1020" s="153"/>
      <c r="AC1020" s="454" t="str">
        <f t="shared" si="152"/>
        <v>1</v>
      </c>
    </row>
    <row r="1021" spans="1:29" ht="43.5" x14ac:dyDescent="0.35">
      <c r="A1021" s="111" t="str">
        <f t="shared" si="157"/>
        <v>Closed</v>
      </c>
      <c r="B1021" s="226">
        <v>45748</v>
      </c>
      <c r="C1021" s="14">
        <v>2501</v>
      </c>
      <c r="D1021" s="14" t="s">
        <v>4864</v>
      </c>
      <c r="E1021" s="14" t="s">
        <v>8</v>
      </c>
      <c r="F1021" s="14" t="s">
        <v>3902</v>
      </c>
      <c r="G1021" s="14"/>
      <c r="H1021" s="14">
        <v>125</v>
      </c>
      <c r="I1021" s="176" t="s">
        <v>140</v>
      </c>
      <c r="J1021" s="14">
        <v>8504143</v>
      </c>
      <c r="K1021" s="87"/>
      <c r="L1021" s="14" t="s">
        <v>4865</v>
      </c>
      <c r="M1021" s="324">
        <f t="shared" si="158"/>
        <v>0</v>
      </c>
      <c r="N1021" s="14" t="s">
        <v>1879</v>
      </c>
      <c r="O1021" s="14" t="s">
        <v>1879</v>
      </c>
      <c r="P1021" s="167" t="s">
        <v>143</v>
      </c>
      <c r="Q1021" s="14"/>
      <c r="R1021" s="170">
        <v>0</v>
      </c>
      <c r="S1021" s="108">
        <f t="shared" si="160"/>
        <v>45776</v>
      </c>
      <c r="T1021" s="79">
        <v>45661</v>
      </c>
      <c r="U1021" s="14"/>
      <c r="V1021" s="14"/>
      <c r="W1021" s="14"/>
      <c r="X1021" s="14"/>
      <c r="Y1021" s="14" t="s">
        <v>1929</v>
      </c>
      <c r="Z1021" s="14"/>
      <c r="AA1021" s="2">
        <f t="shared" ca="1" si="159"/>
        <v>1</v>
      </c>
      <c r="AB1021" s="153"/>
      <c r="AC1021" s="454" t="str">
        <f t="shared" ref="AC1021:AC1084" si="161">LEFT(H1021,1)</f>
        <v>1</v>
      </c>
    </row>
    <row r="1022" spans="1:29" ht="29" x14ac:dyDescent="0.35">
      <c r="A1022" s="111" t="str">
        <f t="shared" si="157"/>
        <v>Closed</v>
      </c>
      <c r="B1022" s="226">
        <v>45749</v>
      </c>
      <c r="C1022" s="14">
        <v>2501</v>
      </c>
      <c r="D1022" s="14" t="s">
        <v>4866</v>
      </c>
      <c r="E1022" s="14" t="s">
        <v>219</v>
      </c>
      <c r="F1022" s="14" t="s">
        <v>2056</v>
      </c>
      <c r="G1022" s="14" t="s">
        <v>1911</v>
      </c>
      <c r="H1022" s="14">
        <v>117</v>
      </c>
      <c r="I1022" s="176" t="s">
        <v>140</v>
      </c>
      <c r="J1022" s="14">
        <v>62828</v>
      </c>
      <c r="K1022" s="87"/>
      <c r="L1022" s="328" t="s">
        <v>4867</v>
      </c>
      <c r="M1022" s="324">
        <f t="shared" si="158"/>
        <v>0</v>
      </c>
      <c r="N1022" s="14" t="s">
        <v>1879</v>
      </c>
      <c r="O1022" s="14" t="s">
        <v>1879</v>
      </c>
      <c r="P1022" s="167" t="s">
        <v>143</v>
      </c>
      <c r="Q1022" s="14"/>
      <c r="R1022" s="170">
        <v>0</v>
      </c>
      <c r="S1022" s="108">
        <f t="shared" si="160"/>
        <v>45777</v>
      </c>
      <c r="T1022" s="79">
        <v>45692</v>
      </c>
      <c r="U1022" s="14"/>
      <c r="V1022" s="14"/>
      <c r="W1022" s="14"/>
      <c r="X1022" s="14"/>
      <c r="Y1022" s="167" t="s">
        <v>2058</v>
      </c>
      <c r="Z1022" s="14"/>
      <c r="AA1022" s="2">
        <f t="shared" ca="1" si="159"/>
        <v>1</v>
      </c>
      <c r="AB1022" s="153"/>
      <c r="AC1022" s="454" t="str">
        <f t="shared" si="161"/>
        <v>1</v>
      </c>
    </row>
    <row r="1023" spans="1:29" ht="29" x14ac:dyDescent="0.35">
      <c r="A1023" s="111" t="str">
        <f t="shared" si="157"/>
        <v>Closed</v>
      </c>
      <c r="B1023" s="226">
        <v>45749</v>
      </c>
      <c r="C1023" s="14">
        <v>2501</v>
      </c>
      <c r="D1023" s="14" t="s">
        <v>1346</v>
      </c>
      <c r="E1023" s="14" t="s">
        <v>219</v>
      </c>
      <c r="F1023" s="14" t="s">
        <v>1972</v>
      </c>
      <c r="G1023" s="14"/>
      <c r="H1023" s="14">
        <v>112</v>
      </c>
      <c r="I1023" s="176" t="s">
        <v>155</v>
      </c>
      <c r="J1023" s="14">
        <v>550</v>
      </c>
      <c r="K1023" s="87"/>
      <c r="L1023" s="14" t="s">
        <v>4868</v>
      </c>
      <c r="M1023" s="324">
        <f t="shared" si="158"/>
        <v>0</v>
      </c>
      <c r="N1023" s="14" t="s">
        <v>1879</v>
      </c>
      <c r="O1023" s="14" t="s">
        <v>1879</v>
      </c>
      <c r="P1023" s="167" t="s">
        <v>147</v>
      </c>
      <c r="Q1023" s="14" t="s">
        <v>177</v>
      </c>
      <c r="R1023" s="170" t="s">
        <v>234</v>
      </c>
      <c r="S1023" s="108">
        <f t="shared" si="160"/>
        <v>45777</v>
      </c>
      <c r="T1023" s="79">
        <v>45774</v>
      </c>
      <c r="U1023" s="14" t="s">
        <v>4869</v>
      </c>
      <c r="V1023" s="14" t="s">
        <v>4870</v>
      </c>
      <c r="W1023" s="14" t="s">
        <v>1880</v>
      </c>
      <c r="X1023" s="14" t="s">
        <v>1880</v>
      </c>
      <c r="Z1023" s="14" t="s">
        <v>4871</v>
      </c>
      <c r="AA1023" s="2">
        <f t="shared" ca="1" si="159"/>
        <v>1</v>
      </c>
      <c r="AB1023" s="153"/>
      <c r="AC1023" s="454" t="str">
        <f t="shared" si="161"/>
        <v>1</v>
      </c>
    </row>
    <row r="1024" spans="1:29" ht="58" x14ac:dyDescent="0.35">
      <c r="A1024" s="111" t="str">
        <f t="shared" si="157"/>
        <v>Closed</v>
      </c>
      <c r="B1024" s="226">
        <v>45747</v>
      </c>
      <c r="C1024" s="14">
        <v>2501</v>
      </c>
      <c r="D1024" s="14" t="s">
        <v>4872</v>
      </c>
      <c r="E1024" s="14" t="s">
        <v>31</v>
      </c>
      <c r="F1024" s="14" t="s">
        <v>2048</v>
      </c>
      <c r="G1024" s="14" t="s">
        <v>1900</v>
      </c>
      <c r="H1024" s="14">
        <v>106</v>
      </c>
      <c r="I1024" s="176" t="s">
        <v>2</v>
      </c>
      <c r="J1024" s="14">
        <v>1362</v>
      </c>
      <c r="K1024" s="85" t="s">
        <v>137</v>
      </c>
      <c r="L1024" s="14" t="s">
        <v>4873</v>
      </c>
      <c r="M1024" s="324">
        <v>0</v>
      </c>
      <c r="N1024" s="14" t="s">
        <v>1879</v>
      </c>
      <c r="O1024" s="14" t="s">
        <v>1880</v>
      </c>
      <c r="P1024" s="167" t="s">
        <v>143</v>
      </c>
      <c r="Q1024" s="14"/>
      <c r="R1024" s="170">
        <v>0</v>
      </c>
      <c r="S1024" s="108">
        <f t="shared" si="160"/>
        <v>45775</v>
      </c>
      <c r="T1024" s="79">
        <v>45747</v>
      </c>
      <c r="U1024" s="14"/>
      <c r="V1024" s="14"/>
      <c r="W1024" s="14"/>
      <c r="X1024" s="14"/>
      <c r="Y1024" s="167" t="s">
        <v>2050</v>
      </c>
      <c r="Z1024" s="14"/>
      <c r="AA1024" s="2">
        <f t="shared" ca="1" si="159"/>
        <v>1</v>
      </c>
      <c r="AB1024" s="153"/>
      <c r="AC1024" s="454" t="str">
        <f t="shared" si="161"/>
        <v>1</v>
      </c>
    </row>
    <row r="1025" spans="1:29" ht="43.5" x14ac:dyDescent="0.35">
      <c r="A1025" s="111" t="str">
        <f t="shared" si="157"/>
        <v>Closed</v>
      </c>
      <c r="B1025" s="226">
        <v>45750</v>
      </c>
      <c r="C1025" s="14">
        <v>2501</v>
      </c>
      <c r="D1025" s="14" t="s">
        <v>4874</v>
      </c>
      <c r="E1025" s="14" t="s">
        <v>31</v>
      </c>
      <c r="F1025" s="14" t="s">
        <v>2162</v>
      </c>
      <c r="G1025" s="14" t="s">
        <v>1900</v>
      </c>
      <c r="H1025" s="14">
        <v>203</v>
      </c>
      <c r="I1025" s="176" t="s">
        <v>155</v>
      </c>
      <c r="J1025" s="14">
        <v>78670</v>
      </c>
      <c r="K1025" s="87"/>
      <c r="L1025" s="14" t="s">
        <v>4875</v>
      </c>
      <c r="M1025" s="324">
        <f>IF(I1025="Staff Accident","Entry Required",IF(I1025="Assaults","Entry Required",0))</f>
        <v>0</v>
      </c>
      <c r="N1025" s="14" t="s">
        <v>1879</v>
      </c>
      <c r="O1025" s="14" t="s">
        <v>1880</v>
      </c>
      <c r="P1025" s="167" t="s">
        <v>147</v>
      </c>
      <c r="Q1025" s="14" t="s">
        <v>168</v>
      </c>
      <c r="R1025" s="170" t="s">
        <v>234</v>
      </c>
      <c r="S1025" s="108">
        <f t="shared" si="160"/>
        <v>45778</v>
      </c>
      <c r="T1025" s="79">
        <v>45805</v>
      </c>
      <c r="U1025" s="14" t="s">
        <v>4876</v>
      </c>
      <c r="V1025" s="14" t="s">
        <v>4877</v>
      </c>
      <c r="W1025" s="14" t="s">
        <v>1879</v>
      </c>
      <c r="X1025" s="14" t="s">
        <v>154</v>
      </c>
      <c r="Y1025" s="15" t="s">
        <v>2164</v>
      </c>
      <c r="Z1025" s="14" t="s">
        <v>4878</v>
      </c>
      <c r="AA1025" s="2">
        <f t="shared" ca="1" si="159"/>
        <v>1</v>
      </c>
      <c r="AB1025" s="153"/>
      <c r="AC1025" s="454" t="str">
        <f t="shared" si="161"/>
        <v>2</v>
      </c>
    </row>
    <row r="1026" spans="1:29" ht="29" x14ac:dyDescent="0.35">
      <c r="A1026" s="111" t="str">
        <f t="shared" si="157"/>
        <v>Closed</v>
      </c>
      <c r="B1026" s="226">
        <v>45750</v>
      </c>
      <c r="C1026" s="14">
        <v>2501</v>
      </c>
      <c r="D1026" s="14" t="s">
        <v>4879</v>
      </c>
      <c r="E1026" s="14" t="s">
        <v>219</v>
      </c>
      <c r="F1026" s="14" t="s">
        <v>2073</v>
      </c>
      <c r="G1026" s="14" t="s">
        <v>1911</v>
      </c>
      <c r="H1026" s="14">
        <v>120</v>
      </c>
      <c r="I1026" s="176" t="s">
        <v>140</v>
      </c>
      <c r="K1026" s="87"/>
      <c r="L1026" s="14" t="s">
        <v>4880</v>
      </c>
      <c r="M1026" s="324">
        <f>IF(I1026="Staff Accident","Entry Required",IF(I1026="Assaults","Entry Required",0))</f>
        <v>0</v>
      </c>
      <c r="N1026" s="14" t="s">
        <v>1879</v>
      </c>
      <c r="O1026" s="14" t="s">
        <v>1879</v>
      </c>
      <c r="P1026" s="167" t="s">
        <v>143</v>
      </c>
      <c r="Q1026" s="14"/>
      <c r="R1026" s="170">
        <v>0</v>
      </c>
      <c r="S1026" s="108">
        <f t="shared" si="160"/>
        <v>45778</v>
      </c>
      <c r="T1026" s="79">
        <v>45720</v>
      </c>
      <c r="U1026" s="14"/>
      <c r="V1026" s="14"/>
      <c r="W1026" s="14"/>
      <c r="X1026" s="14"/>
      <c r="Y1026" s="15" t="s">
        <v>2075</v>
      </c>
      <c r="Z1026" s="14"/>
      <c r="AA1026" s="2">
        <f t="shared" ca="1" si="159"/>
        <v>1</v>
      </c>
      <c r="AB1026" s="153"/>
      <c r="AC1026" s="454" t="str">
        <f t="shared" si="161"/>
        <v>1</v>
      </c>
    </row>
    <row r="1027" spans="1:29" ht="58" x14ac:dyDescent="0.35">
      <c r="A1027" s="89" t="str">
        <f t="shared" si="157"/>
        <v>Closed</v>
      </c>
      <c r="B1027" s="222">
        <v>45749</v>
      </c>
      <c r="C1027" s="14">
        <v>2501</v>
      </c>
      <c r="D1027" s="14" t="s">
        <v>4881</v>
      </c>
      <c r="E1027" s="14" t="s">
        <v>192</v>
      </c>
      <c r="F1027" s="14" t="s">
        <v>4882</v>
      </c>
      <c r="G1027" s="14"/>
      <c r="H1027" s="14"/>
      <c r="I1027" s="176" t="s">
        <v>155</v>
      </c>
      <c r="K1027" s="87"/>
      <c r="L1027" s="14" t="s">
        <v>4883</v>
      </c>
      <c r="M1027" s="324">
        <f>IF(I1027="Staff Accident","Entry Required",IF(I1027="Assaults","Entry Required",0))</f>
        <v>0</v>
      </c>
      <c r="N1027" s="14" t="s">
        <v>1879</v>
      </c>
      <c r="O1027" s="14" t="s">
        <v>1879</v>
      </c>
      <c r="P1027" s="167" t="s">
        <v>147</v>
      </c>
      <c r="Q1027" s="14" t="s">
        <v>172</v>
      </c>
      <c r="R1027" s="223" t="s">
        <v>236</v>
      </c>
      <c r="S1027" s="224">
        <f t="shared" si="160"/>
        <v>45777</v>
      </c>
      <c r="T1027" s="79">
        <v>45756</v>
      </c>
      <c r="U1027" s="14"/>
      <c r="V1027" s="14"/>
      <c r="W1027" s="14"/>
      <c r="X1027" s="14"/>
      <c r="Z1027" s="14" t="s">
        <v>4884</v>
      </c>
      <c r="AA1027" s="2">
        <f t="shared" ca="1" si="159"/>
        <v>1</v>
      </c>
      <c r="AB1027" s="153"/>
      <c r="AC1027" s="454" t="str">
        <f t="shared" si="161"/>
        <v/>
      </c>
    </row>
    <row r="1028" spans="1:29" ht="43.5" x14ac:dyDescent="0.35">
      <c r="A1028" s="89" t="str">
        <f t="shared" si="157"/>
        <v>Closed</v>
      </c>
      <c r="B1028" s="222">
        <v>45751</v>
      </c>
      <c r="C1028" s="14">
        <v>2501</v>
      </c>
      <c r="D1028" s="14" t="s">
        <v>4885</v>
      </c>
      <c r="E1028" s="14" t="s">
        <v>8</v>
      </c>
      <c r="F1028" s="14" t="s">
        <v>2262</v>
      </c>
      <c r="G1028" s="14" t="s">
        <v>1911</v>
      </c>
      <c r="H1028" s="14">
        <v>107</v>
      </c>
      <c r="I1028" s="176" t="s">
        <v>140</v>
      </c>
      <c r="K1028" s="87"/>
      <c r="L1028" s="14" t="s">
        <v>4886</v>
      </c>
      <c r="M1028" s="324">
        <f>IF(I1028="Staff Accident","Entry Required",IF(I1028="Assaults","Entry Required",0))</f>
        <v>0</v>
      </c>
      <c r="N1028" s="14" t="s">
        <v>1879</v>
      </c>
      <c r="O1028" s="14" t="s">
        <v>1879</v>
      </c>
      <c r="P1028" s="167" t="s">
        <v>143</v>
      </c>
      <c r="Q1028" s="14"/>
      <c r="R1028" s="223">
        <v>0</v>
      </c>
      <c r="S1028" s="224">
        <f t="shared" si="160"/>
        <v>45779</v>
      </c>
      <c r="T1028" s="79">
        <v>45751</v>
      </c>
      <c r="U1028" s="14"/>
      <c r="V1028" s="14"/>
      <c r="W1028" s="14"/>
      <c r="X1028" s="14"/>
      <c r="Y1028" s="88" t="s">
        <v>2185</v>
      </c>
      <c r="Z1028" s="14"/>
      <c r="AA1028" s="2">
        <f t="shared" ca="1" si="159"/>
        <v>1</v>
      </c>
      <c r="AB1028" s="153"/>
      <c r="AC1028" s="454" t="str">
        <f t="shared" si="161"/>
        <v>1</v>
      </c>
    </row>
    <row r="1029" spans="1:29" ht="43.5" x14ac:dyDescent="0.35">
      <c r="A1029" s="89" t="str">
        <f t="shared" si="157"/>
        <v>Closed</v>
      </c>
      <c r="B1029" s="222">
        <v>45753</v>
      </c>
      <c r="C1029" s="14">
        <v>2501</v>
      </c>
      <c r="D1029" s="14" t="s">
        <v>1608</v>
      </c>
      <c r="E1029" s="14" t="s">
        <v>42</v>
      </c>
      <c r="F1029" s="14" t="s">
        <v>2064</v>
      </c>
      <c r="G1029" s="14"/>
      <c r="H1029" s="14">
        <v>120</v>
      </c>
      <c r="I1029" s="176" t="s">
        <v>4</v>
      </c>
      <c r="K1029" s="14" t="s">
        <v>137</v>
      </c>
      <c r="L1029" s="328" t="s">
        <v>4887</v>
      </c>
      <c r="M1029" s="324">
        <v>0</v>
      </c>
      <c r="N1029" s="14" t="s">
        <v>1879</v>
      </c>
      <c r="O1029" s="14" t="s">
        <v>1880</v>
      </c>
      <c r="P1029" s="167" t="s">
        <v>139</v>
      </c>
      <c r="Q1029" s="14" t="s">
        <v>138</v>
      </c>
      <c r="R1029" s="223" t="s">
        <v>234</v>
      </c>
      <c r="S1029" s="224">
        <f t="shared" si="160"/>
        <v>45781</v>
      </c>
      <c r="T1029" s="79">
        <v>45769</v>
      </c>
      <c r="U1029" s="14" t="s">
        <v>4888</v>
      </c>
      <c r="V1029" s="14" t="s">
        <v>4889</v>
      </c>
      <c r="W1029" s="14" t="s">
        <v>1879</v>
      </c>
      <c r="X1029" s="14" t="s">
        <v>154</v>
      </c>
      <c r="Y1029" s="15" t="s">
        <v>2068</v>
      </c>
      <c r="Z1029" s="14" t="s">
        <v>4890</v>
      </c>
      <c r="AA1029" s="2">
        <f t="shared" ca="1" si="159"/>
        <v>1</v>
      </c>
      <c r="AB1029" s="153"/>
      <c r="AC1029" s="454" t="str">
        <f t="shared" si="161"/>
        <v>1</v>
      </c>
    </row>
    <row r="1030" spans="1:29" ht="43.5" x14ac:dyDescent="0.35">
      <c r="A1030" s="89" t="str">
        <f t="shared" si="157"/>
        <v>Closed</v>
      </c>
      <c r="B1030" s="222">
        <v>45754</v>
      </c>
      <c r="C1030" s="14">
        <v>2501</v>
      </c>
      <c r="D1030" s="14" t="s">
        <v>4891</v>
      </c>
      <c r="E1030" s="14" t="s">
        <v>209</v>
      </c>
      <c r="F1030" s="14" t="s">
        <v>3637</v>
      </c>
      <c r="G1030" s="14" t="s">
        <v>1911</v>
      </c>
      <c r="H1030" s="14">
        <v>120</v>
      </c>
      <c r="I1030" s="176" t="s">
        <v>155</v>
      </c>
      <c r="J1030" s="14">
        <v>651</v>
      </c>
      <c r="K1030" s="87"/>
      <c r="L1030" s="14" t="s">
        <v>4892</v>
      </c>
      <c r="M1030" s="324">
        <f t="shared" ref="M1030:M1047" si="162">IF(I1030="Staff Accident","Entry Required",IF(I1030="Assaults","Entry Required",0))</f>
        <v>0</v>
      </c>
      <c r="N1030" s="14" t="s">
        <v>1879</v>
      </c>
      <c r="O1030" s="14" t="s">
        <v>1880</v>
      </c>
      <c r="P1030" s="167" t="s">
        <v>147</v>
      </c>
      <c r="Q1030" s="14" t="s">
        <v>174</v>
      </c>
      <c r="R1030" s="223" t="s">
        <v>234</v>
      </c>
      <c r="S1030" s="224">
        <f t="shared" si="160"/>
        <v>45782</v>
      </c>
      <c r="T1030" s="79">
        <v>45902</v>
      </c>
      <c r="U1030" s="14"/>
      <c r="V1030" s="14"/>
      <c r="W1030" s="14"/>
      <c r="X1030" s="14"/>
      <c r="Z1030" s="14" t="s">
        <v>4893</v>
      </c>
      <c r="AA1030" s="2">
        <f t="shared" ca="1" si="159"/>
        <v>1</v>
      </c>
      <c r="AB1030" s="153"/>
      <c r="AC1030" s="454" t="str">
        <f t="shared" si="161"/>
        <v>1</v>
      </c>
    </row>
    <row r="1031" spans="1:29" ht="72.5" x14ac:dyDescent="0.35">
      <c r="A1031" s="111" t="str">
        <f t="shared" si="157"/>
        <v>Closed</v>
      </c>
      <c r="B1031" s="226">
        <v>45754</v>
      </c>
      <c r="C1031" s="14">
        <v>2501</v>
      </c>
      <c r="D1031" s="14" t="s">
        <v>4894</v>
      </c>
      <c r="E1031" s="14" t="s">
        <v>37</v>
      </c>
      <c r="F1031" s="14" t="s">
        <v>1937</v>
      </c>
      <c r="G1031" s="14"/>
      <c r="H1031" s="14">
        <v>122</v>
      </c>
      <c r="I1031" s="176" t="s">
        <v>5</v>
      </c>
      <c r="J1031" s="14">
        <v>90</v>
      </c>
      <c r="K1031" s="87"/>
      <c r="L1031" s="14" t="s">
        <v>4895</v>
      </c>
      <c r="M1031" s="324">
        <f t="shared" si="162"/>
        <v>0</v>
      </c>
      <c r="N1031" s="14" t="s">
        <v>1879</v>
      </c>
      <c r="O1031" s="14" t="s">
        <v>1880</v>
      </c>
      <c r="P1031" s="167" t="s">
        <v>147</v>
      </c>
      <c r="Q1031" s="14" t="s">
        <v>177</v>
      </c>
      <c r="R1031" s="170" t="s">
        <v>234</v>
      </c>
      <c r="S1031" s="108">
        <f t="shared" si="160"/>
        <v>45782</v>
      </c>
      <c r="T1031" s="79">
        <v>45663</v>
      </c>
      <c r="U1031" s="14" t="s">
        <v>4896</v>
      </c>
      <c r="V1031" s="14" t="s">
        <v>4897</v>
      </c>
      <c r="W1031" s="14" t="s">
        <v>1880</v>
      </c>
      <c r="X1031" s="14" t="s">
        <v>1879</v>
      </c>
      <c r="Z1031" s="14" t="s">
        <v>4898</v>
      </c>
      <c r="AA1031" s="2">
        <f t="shared" ca="1" si="159"/>
        <v>1</v>
      </c>
      <c r="AB1031" s="153"/>
      <c r="AC1031" s="454" t="str">
        <f t="shared" si="161"/>
        <v>1</v>
      </c>
    </row>
    <row r="1032" spans="1:29" ht="58" x14ac:dyDescent="0.35">
      <c r="A1032" s="111" t="str">
        <f t="shared" si="157"/>
        <v>Closed</v>
      </c>
      <c r="B1032" s="226">
        <v>45755</v>
      </c>
      <c r="C1032" s="14">
        <v>2501</v>
      </c>
      <c r="D1032" s="14" t="s">
        <v>1342</v>
      </c>
      <c r="E1032" s="14" t="s">
        <v>78</v>
      </c>
      <c r="F1032" s="14" t="s">
        <v>2060</v>
      </c>
      <c r="G1032" s="14" t="s">
        <v>1911</v>
      </c>
      <c r="H1032" s="14">
        <v>119</v>
      </c>
      <c r="I1032" s="176" t="s">
        <v>155</v>
      </c>
      <c r="K1032" s="87"/>
      <c r="L1032" s="14" t="s">
        <v>4899</v>
      </c>
      <c r="M1032" s="324">
        <f t="shared" si="162"/>
        <v>0</v>
      </c>
      <c r="N1032" s="14" t="s">
        <v>1879</v>
      </c>
      <c r="O1032" s="14" t="s">
        <v>1879</v>
      </c>
      <c r="P1032" s="167" t="s">
        <v>147</v>
      </c>
      <c r="Q1032" s="14" t="s">
        <v>153</v>
      </c>
      <c r="R1032" s="170" t="s">
        <v>234</v>
      </c>
      <c r="S1032" s="108">
        <f t="shared" si="160"/>
        <v>45783</v>
      </c>
      <c r="T1032" s="79">
        <v>45798</v>
      </c>
      <c r="U1032" s="14"/>
      <c r="V1032" s="14" t="s">
        <v>4900</v>
      </c>
      <c r="W1032" s="14" t="s">
        <v>1880</v>
      </c>
      <c r="X1032" s="14" t="s">
        <v>1880</v>
      </c>
      <c r="Y1032" s="466" t="s">
        <v>2062</v>
      </c>
      <c r="Z1032" s="14" t="s">
        <v>2738</v>
      </c>
      <c r="AA1032" s="2">
        <f t="shared" ca="1" si="159"/>
        <v>1</v>
      </c>
      <c r="AB1032" s="153"/>
      <c r="AC1032" s="454" t="str">
        <f t="shared" si="161"/>
        <v>1</v>
      </c>
    </row>
    <row r="1033" spans="1:29" ht="43.5" x14ac:dyDescent="0.35">
      <c r="A1033" s="111" t="str">
        <f t="shared" si="157"/>
        <v>Closed</v>
      </c>
      <c r="B1033" s="226">
        <v>45755</v>
      </c>
      <c r="C1033" s="14">
        <v>2501</v>
      </c>
      <c r="D1033" s="14" t="s">
        <v>4901</v>
      </c>
      <c r="E1033" s="14" t="s">
        <v>78</v>
      </c>
      <c r="F1033" s="14" t="s">
        <v>2060</v>
      </c>
      <c r="G1033" s="14"/>
      <c r="H1033" s="14">
        <v>116</v>
      </c>
      <c r="I1033" s="176" t="s">
        <v>155</v>
      </c>
      <c r="K1033" s="87"/>
      <c r="L1033" s="14" t="s">
        <v>4902</v>
      </c>
      <c r="M1033" s="324">
        <f t="shared" si="162"/>
        <v>0</v>
      </c>
      <c r="N1033" s="14" t="s">
        <v>1879</v>
      </c>
      <c r="O1033" s="14" t="s">
        <v>1880</v>
      </c>
      <c r="P1033" s="167" t="s">
        <v>147</v>
      </c>
      <c r="Q1033" s="14" t="s">
        <v>157</v>
      </c>
      <c r="R1033" s="170" t="s">
        <v>234</v>
      </c>
      <c r="S1033" s="108">
        <f t="shared" si="160"/>
        <v>45783</v>
      </c>
      <c r="T1033" s="79">
        <v>45797</v>
      </c>
      <c r="U1033" s="14" t="s">
        <v>4903</v>
      </c>
      <c r="V1033" s="14" t="s">
        <v>3185</v>
      </c>
      <c r="W1033" s="14" t="s">
        <v>1880</v>
      </c>
      <c r="X1033" s="14" t="s">
        <v>1883</v>
      </c>
      <c r="Y1033" s="466" t="s">
        <v>2062</v>
      </c>
      <c r="Z1033" s="14" t="s">
        <v>2181</v>
      </c>
      <c r="AA1033" s="2">
        <f t="shared" ca="1" si="159"/>
        <v>1</v>
      </c>
      <c r="AB1033" s="153"/>
      <c r="AC1033" s="454" t="str">
        <f t="shared" si="161"/>
        <v>1</v>
      </c>
    </row>
    <row r="1034" spans="1:29" ht="87" x14ac:dyDescent="0.35">
      <c r="A1034" s="89" t="str">
        <f t="shared" si="157"/>
        <v>Closed</v>
      </c>
      <c r="B1034" s="222">
        <v>45755</v>
      </c>
      <c r="C1034" s="14">
        <v>2501</v>
      </c>
      <c r="D1034" s="14" t="s">
        <v>4904</v>
      </c>
      <c r="E1034" s="14" t="s">
        <v>62</v>
      </c>
      <c r="F1034" s="14" t="s">
        <v>3119</v>
      </c>
      <c r="G1034" s="14" t="s">
        <v>1900</v>
      </c>
      <c r="H1034" s="14">
        <v>113</v>
      </c>
      <c r="I1034" s="176" t="s">
        <v>21</v>
      </c>
      <c r="K1034" s="87"/>
      <c r="L1034" s="14" t="s">
        <v>4905</v>
      </c>
      <c r="M1034" s="324">
        <f t="shared" si="162"/>
        <v>0</v>
      </c>
      <c r="N1034" s="14" t="s">
        <v>1879</v>
      </c>
      <c r="O1034" s="14" t="s">
        <v>1879</v>
      </c>
      <c r="P1034" s="167" t="s">
        <v>147</v>
      </c>
      <c r="Q1034" s="14" t="s">
        <v>146</v>
      </c>
      <c r="R1034" s="223" t="s">
        <v>236</v>
      </c>
      <c r="S1034" s="224">
        <f t="shared" si="160"/>
        <v>45783</v>
      </c>
      <c r="T1034" s="79">
        <v>45902</v>
      </c>
      <c r="U1034" s="14"/>
      <c r="V1034" s="14"/>
      <c r="W1034" s="14"/>
      <c r="X1034" s="14"/>
      <c r="Z1034" s="14" t="s">
        <v>4906</v>
      </c>
      <c r="AA1034" s="2">
        <f t="shared" ca="1" si="159"/>
        <v>1</v>
      </c>
      <c r="AB1034" s="153"/>
      <c r="AC1034" s="454" t="str">
        <f t="shared" si="161"/>
        <v>1</v>
      </c>
    </row>
    <row r="1035" spans="1:29" ht="58" x14ac:dyDescent="0.45">
      <c r="A1035" s="111" t="str">
        <f t="shared" si="157"/>
        <v>Closed</v>
      </c>
      <c r="B1035" s="226">
        <v>45755</v>
      </c>
      <c r="C1035" s="14">
        <v>2501</v>
      </c>
      <c r="D1035" s="14" t="s">
        <v>4907</v>
      </c>
      <c r="E1035" s="14" t="s">
        <v>192</v>
      </c>
      <c r="F1035" s="14" t="s">
        <v>2338</v>
      </c>
      <c r="G1035" s="14"/>
      <c r="H1035" s="14"/>
      <c r="I1035" s="176" t="s">
        <v>140</v>
      </c>
      <c r="K1035" s="87"/>
      <c r="L1035" s="14" t="s">
        <v>4908</v>
      </c>
      <c r="M1035" s="324">
        <f t="shared" si="162"/>
        <v>0</v>
      </c>
      <c r="N1035" s="14" t="s">
        <v>1879</v>
      </c>
      <c r="O1035" s="14" t="s">
        <v>1879</v>
      </c>
      <c r="P1035" s="167" t="s">
        <v>143</v>
      </c>
      <c r="Q1035" s="14"/>
      <c r="R1035" s="170">
        <v>0</v>
      </c>
      <c r="S1035" s="108">
        <f t="shared" si="160"/>
        <v>45783</v>
      </c>
      <c r="T1035" s="79">
        <v>45755</v>
      </c>
      <c r="U1035" s="14"/>
      <c r="V1035" s="14"/>
      <c r="W1035" s="14"/>
      <c r="X1035" s="14"/>
      <c r="Y1035" s="463" t="s">
        <v>2340</v>
      </c>
      <c r="Z1035" s="14"/>
      <c r="AA1035" s="2">
        <f t="shared" ca="1" si="159"/>
        <v>1</v>
      </c>
      <c r="AB1035" s="153"/>
      <c r="AC1035" s="454" t="str">
        <f t="shared" si="161"/>
        <v/>
      </c>
    </row>
    <row r="1036" spans="1:29" ht="29" x14ac:dyDescent="0.35">
      <c r="A1036" s="111" t="str">
        <f t="shared" si="157"/>
        <v>Closed</v>
      </c>
      <c r="B1036" s="226">
        <v>45756</v>
      </c>
      <c r="C1036" s="14">
        <v>2501</v>
      </c>
      <c r="D1036" s="14" t="s">
        <v>4909</v>
      </c>
      <c r="E1036" s="14" t="s">
        <v>8</v>
      </c>
      <c r="F1036" s="167" t="s">
        <v>1947</v>
      </c>
      <c r="G1036" s="14" t="s">
        <v>1911</v>
      </c>
      <c r="H1036" s="14">
        <v>122</v>
      </c>
      <c r="I1036" s="176" t="s">
        <v>140</v>
      </c>
      <c r="K1036" s="87"/>
      <c r="L1036" s="14" t="s">
        <v>4910</v>
      </c>
      <c r="M1036" s="324">
        <f t="shared" si="162"/>
        <v>0</v>
      </c>
      <c r="N1036" s="14" t="s">
        <v>1879</v>
      </c>
      <c r="O1036" s="14" t="s">
        <v>1879</v>
      </c>
      <c r="P1036" s="167" t="s">
        <v>143</v>
      </c>
      <c r="Q1036" s="14"/>
      <c r="R1036" s="170">
        <v>0</v>
      </c>
      <c r="S1036" s="108">
        <f t="shared" si="160"/>
        <v>45784</v>
      </c>
      <c r="T1036" s="79">
        <v>45755</v>
      </c>
      <c r="U1036" s="14"/>
      <c r="V1036" s="14"/>
      <c r="W1036" s="14"/>
      <c r="X1036" s="14"/>
      <c r="Y1036" s="167" t="s">
        <v>1951</v>
      </c>
      <c r="Z1036" s="14"/>
      <c r="AA1036" s="2">
        <f t="shared" ca="1" si="159"/>
        <v>1</v>
      </c>
      <c r="AB1036" s="153"/>
      <c r="AC1036" s="454" t="str">
        <f t="shared" si="161"/>
        <v>1</v>
      </c>
    </row>
    <row r="1037" spans="1:29" ht="29" x14ac:dyDescent="0.35">
      <c r="A1037" s="111" t="str">
        <f t="shared" si="157"/>
        <v>Closed</v>
      </c>
      <c r="B1037" s="226">
        <v>45756</v>
      </c>
      <c r="C1037" s="14">
        <v>2501</v>
      </c>
      <c r="D1037" s="14" t="s">
        <v>4911</v>
      </c>
      <c r="E1037" s="14" t="s">
        <v>8</v>
      </c>
      <c r="F1037" s="14" t="s">
        <v>1921</v>
      </c>
      <c r="G1037" s="14"/>
      <c r="H1037" s="14"/>
      <c r="I1037" s="176" t="s">
        <v>140</v>
      </c>
      <c r="K1037" s="87"/>
      <c r="L1037" s="14" t="s">
        <v>4912</v>
      </c>
      <c r="M1037" s="324">
        <f t="shared" si="162"/>
        <v>0</v>
      </c>
      <c r="N1037" s="14" t="s">
        <v>1879</v>
      </c>
      <c r="O1037" s="14" t="s">
        <v>1879</v>
      </c>
      <c r="P1037" s="167" t="s">
        <v>143</v>
      </c>
      <c r="Q1037" s="14"/>
      <c r="R1037" s="170">
        <v>0</v>
      </c>
      <c r="S1037" s="108">
        <f t="shared" si="160"/>
        <v>45784</v>
      </c>
      <c r="T1037" s="79">
        <v>45755</v>
      </c>
      <c r="U1037" s="14"/>
      <c r="V1037" s="14"/>
      <c r="W1037" s="14"/>
      <c r="X1037" s="14"/>
      <c r="Y1037" s="14" t="s">
        <v>1923</v>
      </c>
      <c r="Z1037" s="14"/>
      <c r="AA1037" s="2">
        <f t="shared" ca="1" si="159"/>
        <v>1</v>
      </c>
      <c r="AB1037" s="153"/>
      <c r="AC1037" s="454" t="str">
        <f t="shared" si="161"/>
        <v/>
      </c>
    </row>
    <row r="1038" spans="1:29" ht="43.5" x14ac:dyDescent="0.35">
      <c r="A1038" s="111" t="str">
        <f t="shared" si="157"/>
        <v>Closed</v>
      </c>
      <c r="B1038" s="226">
        <v>45756</v>
      </c>
      <c r="C1038" s="14">
        <v>2501</v>
      </c>
      <c r="D1038" s="14" t="s">
        <v>4913</v>
      </c>
      <c r="E1038" s="14" t="s">
        <v>219</v>
      </c>
      <c r="F1038" s="14" t="s">
        <v>3592</v>
      </c>
      <c r="G1038" s="14"/>
      <c r="H1038" s="14">
        <v>202</v>
      </c>
      <c r="I1038" s="176" t="s">
        <v>140</v>
      </c>
      <c r="J1038" s="14">
        <v>132</v>
      </c>
      <c r="K1038" s="87"/>
      <c r="L1038" s="14" t="s">
        <v>4914</v>
      </c>
      <c r="M1038" s="324">
        <f t="shared" si="162"/>
        <v>0</v>
      </c>
      <c r="N1038" s="14" t="s">
        <v>1879</v>
      </c>
      <c r="O1038" s="14" t="s">
        <v>1879</v>
      </c>
      <c r="P1038" s="167" t="s">
        <v>143</v>
      </c>
      <c r="Q1038" s="14"/>
      <c r="R1038" s="170">
        <v>0</v>
      </c>
      <c r="S1038" s="108">
        <f t="shared" si="160"/>
        <v>45784</v>
      </c>
      <c r="T1038" s="79">
        <v>45755</v>
      </c>
      <c r="U1038" s="14"/>
      <c r="V1038" s="14"/>
      <c r="W1038" s="14"/>
      <c r="X1038" s="14"/>
      <c r="Z1038" s="14"/>
      <c r="AA1038" s="2">
        <f t="shared" ca="1" si="159"/>
        <v>1</v>
      </c>
      <c r="AB1038" s="153"/>
      <c r="AC1038" s="454" t="str">
        <f t="shared" si="161"/>
        <v>2</v>
      </c>
    </row>
    <row r="1039" spans="1:29" ht="58" x14ac:dyDescent="0.35">
      <c r="A1039" s="89" t="str">
        <f t="shared" si="157"/>
        <v>Closed</v>
      </c>
      <c r="B1039" s="222">
        <v>45757</v>
      </c>
      <c r="C1039" s="14">
        <v>2501</v>
      </c>
      <c r="D1039" s="14" t="s">
        <v>4915</v>
      </c>
      <c r="E1039" s="14" t="s">
        <v>204</v>
      </c>
      <c r="F1039" s="14" t="s">
        <v>2037</v>
      </c>
      <c r="G1039" s="14" t="s">
        <v>1911</v>
      </c>
      <c r="H1039" s="14">
        <v>105</v>
      </c>
      <c r="I1039" s="176" t="s">
        <v>155</v>
      </c>
      <c r="J1039" s="14">
        <v>391</v>
      </c>
      <c r="K1039" s="87"/>
      <c r="L1039" s="14" t="s">
        <v>4916</v>
      </c>
      <c r="M1039" s="324">
        <f t="shared" si="162"/>
        <v>0</v>
      </c>
      <c r="N1039" s="14" t="s">
        <v>1879</v>
      </c>
      <c r="O1039" s="14" t="s">
        <v>1880</v>
      </c>
      <c r="P1039" s="167" t="s">
        <v>147</v>
      </c>
      <c r="Q1039" s="14" t="s">
        <v>174</v>
      </c>
      <c r="R1039" s="223" t="s">
        <v>234</v>
      </c>
      <c r="S1039" s="224">
        <f t="shared" si="160"/>
        <v>45785</v>
      </c>
      <c r="T1039" s="79">
        <v>45902</v>
      </c>
      <c r="U1039" s="14"/>
      <c r="V1039" s="14"/>
      <c r="W1039" s="14"/>
      <c r="X1039" s="14"/>
      <c r="Y1039" s="167" t="s">
        <v>2039</v>
      </c>
      <c r="Z1039" s="14" t="s">
        <v>4917</v>
      </c>
      <c r="AA1039" s="2">
        <f t="shared" ca="1" si="159"/>
        <v>1</v>
      </c>
      <c r="AB1039" s="153"/>
      <c r="AC1039" s="454" t="str">
        <f t="shared" si="161"/>
        <v>1</v>
      </c>
    </row>
    <row r="1040" spans="1:29" ht="58" x14ac:dyDescent="0.35">
      <c r="A1040" s="111" t="str">
        <f t="shared" si="157"/>
        <v>Closed</v>
      </c>
      <c r="B1040" s="226">
        <v>45757</v>
      </c>
      <c r="C1040" s="14">
        <v>2501</v>
      </c>
      <c r="D1040" s="14" t="s">
        <v>4918</v>
      </c>
      <c r="E1040" s="14" t="s">
        <v>31</v>
      </c>
      <c r="F1040" s="167" t="s">
        <v>1947</v>
      </c>
      <c r="G1040" s="14" t="s">
        <v>1900</v>
      </c>
      <c r="H1040" s="14">
        <v>120</v>
      </c>
      <c r="I1040" s="176" t="s">
        <v>155</v>
      </c>
      <c r="J1040" s="14">
        <v>547</v>
      </c>
      <c r="K1040" s="87"/>
      <c r="L1040" s="14" t="s">
        <v>4919</v>
      </c>
      <c r="M1040" s="324">
        <f t="shared" si="162"/>
        <v>0</v>
      </c>
      <c r="N1040" s="14" t="s">
        <v>1879</v>
      </c>
      <c r="O1040" s="14" t="s">
        <v>1879</v>
      </c>
      <c r="P1040" s="167" t="s">
        <v>147</v>
      </c>
      <c r="Q1040" s="14" t="s">
        <v>168</v>
      </c>
      <c r="R1040" s="170" t="s">
        <v>234</v>
      </c>
      <c r="S1040" s="108">
        <f t="shared" si="160"/>
        <v>45785</v>
      </c>
      <c r="T1040" s="79">
        <v>45805</v>
      </c>
      <c r="U1040" s="14" t="s">
        <v>4920</v>
      </c>
      <c r="V1040" s="14" t="s">
        <v>2850</v>
      </c>
      <c r="W1040" s="14" t="s">
        <v>1879</v>
      </c>
      <c r="X1040" s="14" t="s">
        <v>1883</v>
      </c>
      <c r="Y1040" s="167" t="s">
        <v>1951</v>
      </c>
      <c r="Z1040" s="14" t="s">
        <v>4878</v>
      </c>
      <c r="AA1040" s="2">
        <f t="shared" ca="1" si="159"/>
        <v>1</v>
      </c>
      <c r="AB1040" s="153"/>
      <c r="AC1040" s="454" t="str">
        <f t="shared" si="161"/>
        <v>1</v>
      </c>
    </row>
    <row r="1041" spans="1:29" ht="43.5" x14ac:dyDescent="0.35">
      <c r="A1041" s="111" t="str">
        <f t="shared" si="157"/>
        <v>Closed</v>
      </c>
      <c r="B1041" s="226">
        <v>45757</v>
      </c>
      <c r="C1041" s="14">
        <v>2501</v>
      </c>
      <c r="D1041" s="14" t="s">
        <v>4921</v>
      </c>
      <c r="E1041" s="14" t="s">
        <v>31</v>
      </c>
      <c r="F1041" s="14" t="s">
        <v>2962</v>
      </c>
      <c r="G1041" s="14" t="s">
        <v>1911</v>
      </c>
      <c r="H1041" s="14">
        <v>203</v>
      </c>
      <c r="I1041" s="176" t="s">
        <v>140</v>
      </c>
      <c r="K1041" s="87"/>
      <c r="L1041" s="14" t="s">
        <v>4922</v>
      </c>
      <c r="M1041" s="324">
        <f t="shared" si="162"/>
        <v>0</v>
      </c>
      <c r="N1041" s="14" t="s">
        <v>1879</v>
      </c>
      <c r="O1041" s="14" t="s">
        <v>1879</v>
      </c>
      <c r="P1041" s="167" t="s">
        <v>143</v>
      </c>
      <c r="Q1041" s="14"/>
      <c r="R1041" s="170">
        <v>0</v>
      </c>
      <c r="S1041" s="108">
        <f t="shared" si="160"/>
        <v>45785</v>
      </c>
      <c r="T1041" s="79">
        <v>45757</v>
      </c>
      <c r="U1041" s="14"/>
      <c r="V1041" s="14"/>
      <c r="W1041" s="14"/>
      <c r="X1041" s="14"/>
      <c r="Z1041" s="14"/>
      <c r="AA1041" s="2">
        <f t="shared" ca="1" si="159"/>
        <v>1</v>
      </c>
      <c r="AB1041" s="153"/>
      <c r="AC1041" s="454" t="str">
        <f t="shared" si="161"/>
        <v>2</v>
      </c>
    </row>
    <row r="1042" spans="1:29" ht="101.5" x14ac:dyDescent="0.35">
      <c r="A1042" s="111" t="str">
        <f t="shared" si="157"/>
        <v>Closed</v>
      </c>
      <c r="B1042" s="226">
        <v>45758</v>
      </c>
      <c r="C1042" s="14">
        <v>2501</v>
      </c>
      <c r="D1042" s="14" t="s">
        <v>4923</v>
      </c>
      <c r="E1042" s="14" t="s">
        <v>27</v>
      </c>
      <c r="F1042" s="14" t="s">
        <v>2255</v>
      </c>
      <c r="G1042" s="14" t="s">
        <v>1911</v>
      </c>
      <c r="H1042" s="14">
        <v>115</v>
      </c>
      <c r="I1042" s="176" t="s">
        <v>140</v>
      </c>
      <c r="J1042" s="14">
        <v>391</v>
      </c>
      <c r="K1042" s="87"/>
      <c r="L1042" s="14" t="s">
        <v>4924</v>
      </c>
      <c r="M1042" s="324">
        <f t="shared" si="162"/>
        <v>0</v>
      </c>
      <c r="N1042" s="14" t="s">
        <v>1879</v>
      </c>
      <c r="O1042" s="14"/>
      <c r="P1042" s="167" t="s">
        <v>143</v>
      </c>
      <c r="Q1042" s="14"/>
      <c r="R1042" s="170">
        <v>0</v>
      </c>
      <c r="S1042" s="108">
        <f t="shared" si="160"/>
        <v>45786</v>
      </c>
      <c r="T1042" s="79">
        <v>45758</v>
      </c>
      <c r="U1042" s="14"/>
      <c r="V1042" s="14"/>
      <c r="W1042" s="14"/>
      <c r="X1042" s="14"/>
      <c r="Y1042" s="14" t="s">
        <v>2259</v>
      </c>
      <c r="Z1042" s="14"/>
      <c r="AA1042" s="2">
        <f t="shared" ca="1" si="159"/>
        <v>1</v>
      </c>
      <c r="AB1042" s="153"/>
      <c r="AC1042" s="454" t="str">
        <f t="shared" si="161"/>
        <v>1</v>
      </c>
    </row>
    <row r="1043" spans="1:29" ht="43.5" x14ac:dyDescent="0.35">
      <c r="A1043" s="111" t="str">
        <f t="shared" si="157"/>
        <v>Closed</v>
      </c>
      <c r="B1043" s="226">
        <v>45758</v>
      </c>
      <c r="C1043" s="14">
        <v>2501</v>
      </c>
      <c r="D1043" s="14" t="s">
        <v>4925</v>
      </c>
      <c r="E1043" s="14" t="s">
        <v>8</v>
      </c>
      <c r="F1043" s="14" t="s">
        <v>1937</v>
      </c>
      <c r="G1043" s="14"/>
      <c r="H1043" s="14">
        <v>102</v>
      </c>
      <c r="I1043" s="176" t="s">
        <v>140</v>
      </c>
      <c r="J1043" s="14">
        <v>439</v>
      </c>
      <c r="K1043" s="87"/>
      <c r="L1043" s="14" t="s">
        <v>4926</v>
      </c>
      <c r="M1043" s="324">
        <f t="shared" si="162"/>
        <v>0</v>
      </c>
      <c r="N1043" s="14" t="s">
        <v>1879</v>
      </c>
      <c r="O1043" s="14" t="s">
        <v>1879</v>
      </c>
      <c r="P1043" s="167" t="s">
        <v>143</v>
      </c>
      <c r="Q1043" s="14"/>
      <c r="R1043" s="170">
        <v>0</v>
      </c>
      <c r="S1043" s="108">
        <f t="shared" si="160"/>
        <v>45786</v>
      </c>
      <c r="T1043" s="79">
        <v>45758</v>
      </c>
      <c r="U1043" s="14"/>
      <c r="V1043" s="14"/>
      <c r="W1043" s="14"/>
      <c r="X1043" s="14"/>
      <c r="Z1043" s="14"/>
      <c r="AA1043" s="2">
        <f t="shared" ca="1" si="159"/>
        <v>1</v>
      </c>
      <c r="AB1043" s="153"/>
      <c r="AC1043" s="454" t="str">
        <f t="shared" si="161"/>
        <v>1</v>
      </c>
    </row>
    <row r="1044" spans="1:29" ht="58" x14ac:dyDescent="0.35">
      <c r="A1044" s="111" t="str">
        <f t="shared" si="157"/>
        <v>Closed</v>
      </c>
      <c r="B1044" s="226">
        <v>45758</v>
      </c>
      <c r="C1044" s="14">
        <v>2501</v>
      </c>
      <c r="D1044" s="14" t="s">
        <v>1358</v>
      </c>
      <c r="E1044" s="14" t="s">
        <v>78</v>
      </c>
      <c r="F1044" s="30" t="s">
        <v>2060</v>
      </c>
      <c r="G1044" s="14"/>
      <c r="H1044" s="14">
        <v>113</v>
      </c>
      <c r="I1044" s="176" t="s">
        <v>155</v>
      </c>
      <c r="J1044" s="14">
        <v>1365</v>
      </c>
      <c r="K1044" s="87"/>
      <c r="L1044" s="14" t="s">
        <v>4927</v>
      </c>
      <c r="M1044" s="324">
        <f t="shared" si="162"/>
        <v>0</v>
      </c>
      <c r="N1044" s="14" t="s">
        <v>1879</v>
      </c>
      <c r="O1044" s="14" t="s">
        <v>1880</v>
      </c>
      <c r="P1044" s="167" t="s">
        <v>147</v>
      </c>
      <c r="Q1044" s="14" t="s">
        <v>175</v>
      </c>
      <c r="R1044" s="170" t="s">
        <v>234</v>
      </c>
      <c r="S1044" s="108">
        <f t="shared" si="160"/>
        <v>45786</v>
      </c>
      <c r="T1044" s="79">
        <v>45800</v>
      </c>
      <c r="U1044" s="14" t="s">
        <v>4903</v>
      </c>
      <c r="V1044" s="14" t="s">
        <v>3185</v>
      </c>
      <c r="W1044" s="14" t="s">
        <v>1880</v>
      </c>
      <c r="X1044" s="14" t="s">
        <v>1880</v>
      </c>
      <c r="Y1044" s="466" t="s">
        <v>2062</v>
      </c>
      <c r="Z1044" s="14" t="s">
        <v>2181</v>
      </c>
      <c r="AA1044" s="2">
        <f t="shared" ca="1" si="159"/>
        <v>1</v>
      </c>
      <c r="AB1044" s="153"/>
      <c r="AC1044" s="454" t="str">
        <f t="shared" si="161"/>
        <v>1</v>
      </c>
    </row>
    <row r="1045" spans="1:29" ht="29" x14ac:dyDescent="0.35">
      <c r="A1045" s="111" t="str">
        <f t="shared" si="157"/>
        <v>Closed</v>
      </c>
      <c r="B1045" s="226">
        <v>45760</v>
      </c>
      <c r="C1045" s="14">
        <v>2501</v>
      </c>
      <c r="D1045" s="14" t="s">
        <v>4928</v>
      </c>
      <c r="E1045" s="14" t="s">
        <v>192</v>
      </c>
      <c r="F1045" s="14" t="s">
        <v>2533</v>
      </c>
      <c r="G1045" s="14"/>
      <c r="H1045" s="14"/>
      <c r="I1045" s="176" t="s">
        <v>140</v>
      </c>
      <c r="K1045" s="87"/>
      <c r="L1045" s="14" t="s">
        <v>4929</v>
      </c>
      <c r="M1045" s="324">
        <f t="shared" si="162"/>
        <v>0</v>
      </c>
      <c r="N1045" s="14" t="s">
        <v>1879</v>
      </c>
      <c r="O1045" s="14" t="s">
        <v>1879</v>
      </c>
      <c r="P1045" s="167" t="s">
        <v>143</v>
      </c>
      <c r="Q1045" s="14"/>
      <c r="R1045" s="170">
        <v>0</v>
      </c>
      <c r="S1045" s="108">
        <f t="shared" si="160"/>
        <v>45788</v>
      </c>
      <c r="T1045" s="79">
        <v>45760</v>
      </c>
      <c r="U1045" s="14"/>
      <c r="V1045" s="14"/>
      <c r="W1045" s="14"/>
      <c r="X1045" s="14"/>
      <c r="Z1045" s="14"/>
      <c r="AA1045" s="2">
        <f t="shared" ca="1" si="159"/>
        <v>1</v>
      </c>
      <c r="AB1045" s="153"/>
      <c r="AC1045" s="454" t="str">
        <f t="shared" si="161"/>
        <v/>
      </c>
    </row>
    <row r="1046" spans="1:29" ht="43.5" x14ac:dyDescent="0.35">
      <c r="A1046" s="111" t="str">
        <f t="shared" si="157"/>
        <v>Closed</v>
      </c>
      <c r="B1046" s="226">
        <v>45760</v>
      </c>
      <c r="C1046" s="14">
        <v>2501</v>
      </c>
      <c r="D1046" s="14" t="s">
        <v>4930</v>
      </c>
      <c r="E1046" s="14" t="s">
        <v>8</v>
      </c>
      <c r="F1046" s="14" t="s">
        <v>4931</v>
      </c>
      <c r="G1046" s="14"/>
      <c r="H1046" s="14">
        <v>103</v>
      </c>
      <c r="I1046" s="176" t="s">
        <v>140</v>
      </c>
      <c r="J1046" s="14">
        <v>391</v>
      </c>
      <c r="K1046" s="87"/>
      <c r="L1046" s="14" t="s">
        <v>4932</v>
      </c>
      <c r="M1046" s="324">
        <f t="shared" si="162"/>
        <v>0</v>
      </c>
      <c r="N1046" s="14" t="s">
        <v>1879</v>
      </c>
      <c r="O1046" s="14" t="s">
        <v>1879</v>
      </c>
      <c r="P1046" s="167" t="s">
        <v>143</v>
      </c>
      <c r="Q1046" s="14"/>
      <c r="R1046" s="170">
        <v>0</v>
      </c>
      <c r="S1046" s="108">
        <f t="shared" si="160"/>
        <v>45788</v>
      </c>
      <c r="T1046" s="79">
        <v>45760</v>
      </c>
      <c r="U1046" s="14"/>
      <c r="V1046" s="14"/>
      <c r="W1046" s="14"/>
      <c r="X1046" s="14"/>
      <c r="Y1046" s="14" t="s">
        <v>2012</v>
      </c>
      <c r="Z1046" s="14"/>
      <c r="AA1046" s="2">
        <f t="shared" ca="1" si="159"/>
        <v>1</v>
      </c>
      <c r="AB1046" s="153"/>
      <c r="AC1046" s="454" t="str">
        <f t="shared" si="161"/>
        <v>1</v>
      </c>
    </row>
    <row r="1047" spans="1:29" ht="58" x14ac:dyDescent="0.35">
      <c r="A1047" s="111" t="str">
        <f t="shared" si="157"/>
        <v>Closed</v>
      </c>
      <c r="B1047" s="226">
        <v>45761</v>
      </c>
      <c r="C1047" s="14">
        <v>2501</v>
      </c>
      <c r="D1047" s="14" t="s">
        <v>4933</v>
      </c>
      <c r="E1047" s="14" t="s">
        <v>31</v>
      </c>
      <c r="F1047" s="167" t="s">
        <v>2041</v>
      </c>
      <c r="G1047" s="14" t="s">
        <v>1911</v>
      </c>
      <c r="H1047" s="14">
        <v>119</v>
      </c>
      <c r="I1047" s="176" t="s">
        <v>155</v>
      </c>
      <c r="J1047" s="14">
        <v>37</v>
      </c>
      <c r="K1047" s="87"/>
      <c r="L1047" s="14" t="s">
        <v>4934</v>
      </c>
      <c r="M1047" s="324">
        <f t="shared" si="162"/>
        <v>0</v>
      </c>
      <c r="N1047" s="14" t="s">
        <v>1879</v>
      </c>
      <c r="O1047" s="14" t="s">
        <v>1880</v>
      </c>
      <c r="P1047" s="167" t="s">
        <v>147</v>
      </c>
      <c r="Q1047" s="14" t="s">
        <v>177</v>
      </c>
      <c r="R1047" s="170" t="s">
        <v>234</v>
      </c>
      <c r="S1047" s="108">
        <f t="shared" si="160"/>
        <v>45789</v>
      </c>
      <c r="T1047" s="79">
        <v>45799</v>
      </c>
      <c r="U1047" s="14" t="s">
        <v>1949</v>
      </c>
      <c r="V1047" s="14" t="s">
        <v>4935</v>
      </c>
      <c r="W1047" s="14" t="s">
        <v>1879</v>
      </c>
      <c r="X1047" s="14" t="s">
        <v>154</v>
      </c>
      <c r="Y1047" s="2" t="s">
        <v>3881</v>
      </c>
      <c r="Z1047" s="14" t="s">
        <v>4936</v>
      </c>
      <c r="AA1047" s="2">
        <f t="shared" ca="1" si="159"/>
        <v>1</v>
      </c>
      <c r="AB1047" s="153"/>
      <c r="AC1047" s="454" t="str">
        <f t="shared" si="161"/>
        <v>1</v>
      </c>
    </row>
    <row r="1048" spans="1:29" ht="43.5" x14ac:dyDescent="0.35">
      <c r="A1048" s="89" t="str">
        <f t="shared" si="157"/>
        <v>Closed</v>
      </c>
      <c r="B1048" s="222">
        <v>45761</v>
      </c>
      <c r="C1048" s="14">
        <v>2501</v>
      </c>
      <c r="D1048" s="14" t="s">
        <v>4937</v>
      </c>
      <c r="E1048" s="14" t="s">
        <v>40</v>
      </c>
      <c r="F1048" s="14" t="s">
        <v>1968</v>
      </c>
      <c r="G1048" s="14" t="s">
        <v>1900</v>
      </c>
      <c r="H1048" s="14">
        <v>117</v>
      </c>
      <c r="I1048" s="176" t="s">
        <v>4</v>
      </c>
      <c r="K1048" s="14" t="s">
        <v>137</v>
      </c>
      <c r="L1048" s="14" t="s">
        <v>4938</v>
      </c>
      <c r="M1048" s="324">
        <v>0</v>
      </c>
      <c r="N1048" s="14" t="s">
        <v>1879</v>
      </c>
      <c r="O1048" s="14" t="s">
        <v>1880</v>
      </c>
      <c r="P1048" s="167" t="s">
        <v>139</v>
      </c>
      <c r="Q1048" s="14" t="s">
        <v>138</v>
      </c>
      <c r="R1048" s="223" t="s">
        <v>234</v>
      </c>
      <c r="S1048" s="224">
        <f t="shared" si="160"/>
        <v>45789</v>
      </c>
      <c r="T1048" s="79">
        <v>45772</v>
      </c>
      <c r="U1048" s="14" t="s">
        <v>4939</v>
      </c>
      <c r="V1048" s="14" t="s">
        <v>4940</v>
      </c>
      <c r="W1048" s="14"/>
      <c r="X1048" s="14"/>
      <c r="Y1048" s="14" t="s">
        <v>1970</v>
      </c>
      <c r="Z1048" s="14" t="s">
        <v>4941</v>
      </c>
      <c r="AA1048" s="2">
        <f t="shared" ca="1" si="159"/>
        <v>1</v>
      </c>
      <c r="AB1048" s="153"/>
      <c r="AC1048" s="454" t="str">
        <f t="shared" si="161"/>
        <v>1</v>
      </c>
    </row>
    <row r="1049" spans="1:29" ht="29" x14ac:dyDescent="0.35">
      <c r="A1049" s="111" t="str">
        <f t="shared" si="157"/>
        <v>Closed</v>
      </c>
      <c r="B1049" s="226">
        <v>45761</v>
      </c>
      <c r="C1049" s="14">
        <v>2501</v>
      </c>
      <c r="D1049" s="14" t="s">
        <v>4942</v>
      </c>
      <c r="E1049" s="14" t="s">
        <v>8</v>
      </c>
      <c r="F1049" s="14" t="s">
        <v>2262</v>
      </c>
      <c r="G1049" s="14" t="s">
        <v>1900</v>
      </c>
      <c r="H1049" s="14">
        <v>117</v>
      </c>
      <c r="I1049" s="176" t="s">
        <v>140</v>
      </c>
      <c r="J1049" s="14">
        <v>625</v>
      </c>
      <c r="K1049" s="87"/>
      <c r="L1049" s="14" t="s">
        <v>4943</v>
      </c>
      <c r="M1049" s="324">
        <f>IF(I1049="Staff Accident","Entry Required",IF(I1049="Assaults","Entry Required",0))</f>
        <v>0</v>
      </c>
      <c r="N1049" s="14" t="s">
        <v>1879</v>
      </c>
      <c r="O1049" s="14" t="s">
        <v>1879</v>
      </c>
      <c r="P1049" s="167" t="s">
        <v>143</v>
      </c>
      <c r="Q1049" s="14"/>
      <c r="R1049" s="170">
        <v>0</v>
      </c>
      <c r="S1049" s="108">
        <f t="shared" si="160"/>
        <v>45789</v>
      </c>
      <c r="T1049" s="79">
        <v>45761</v>
      </c>
      <c r="U1049" s="14"/>
      <c r="V1049" s="14"/>
      <c r="W1049" s="14"/>
      <c r="X1049" s="14"/>
      <c r="Y1049" s="14" t="s">
        <v>2185</v>
      </c>
      <c r="Z1049" s="14"/>
      <c r="AA1049" s="2">
        <f t="shared" ca="1" si="159"/>
        <v>1</v>
      </c>
      <c r="AB1049" s="153"/>
      <c r="AC1049" s="454" t="str">
        <f t="shared" si="161"/>
        <v>1</v>
      </c>
    </row>
    <row r="1050" spans="1:29" ht="58" x14ac:dyDescent="0.35">
      <c r="A1050" s="111" t="str">
        <f t="shared" si="157"/>
        <v>Closed</v>
      </c>
      <c r="B1050" s="226">
        <v>45761</v>
      </c>
      <c r="C1050" s="14">
        <v>2501</v>
      </c>
      <c r="D1050" s="14" t="s">
        <v>4944</v>
      </c>
      <c r="E1050" s="14" t="s">
        <v>27</v>
      </c>
      <c r="F1050" s="167" t="s">
        <v>2041</v>
      </c>
      <c r="G1050" s="14" t="s">
        <v>1911</v>
      </c>
      <c r="H1050" s="14">
        <v>119</v>
      </c>
      <c r="I1050" s="176" t="s">
        <v>5</v>
      </c>
      <c r="J1050" s="14">
        <v>37</v>
      </c>
      <c r="K1050" s="87"/>
      <c r="L1050" s="14" t="s">
        <v>4945</v>
      </c>
      <c r="M1050" s="324">
        <f>IF(I1050="Staff Accident","Entry Required",IF(I1050="Assaults","Entry Required",0))</f>
        <v>0</v>
      </c>
      <c r="N1050" s="14" t="s">
        <v>1879</v>
      </c>
      <c r="O1050" s="14" t="s">
        <v>1879</v>
      </c>
      <c r="P1050" s="167" t="s">
        <v>143</v>
      </c>
      <c r="Q1050" s="14"/>
      <c r="R1050" s="170">
        <v>0</v>
      </c>
      <c r="S1050" s="108">
        <f t="shared" si="160"/>
        <v>45789</v>
      </c>
      <c r="T1050" s="79">
        <v>45761</v>
      </c>
      <c r="U1050" s="14"/>
      <c r="V1050" s="14"/>
      <c r="W1050" s="14"/>
      <c r="X1050" s="14"/>
      <c r="Y1050" s="2" t="s">
        <v>2045</v>
      </c>
      <c r="Z1050" s="14"/>
      <c r="AA1050" s="2">
        <f t="shared" ca="1" si="159"/>
        <v>1</v>
      </c>
      <c r="AB1050" s="153"/>
      <c r="AC1050" s="454" t="str">
        <f t="shared" si="161"/>
        <v>1</v>
      </c>
    </row>
    <row r="1051" spans="1:29" ht="72.5" x14ac:dyDescent="0.35">
      <c r="A1051" s="111" t="str">
        <f t="shared" si="157"/>
        <v>Closed</v>
      </c>
      <c r="B1051" s="226">
        <v>45763</v>
      </c>
      <c r="C1051" s="14">
        <v>2501</v>
      </c>
      <c r="D1051" s="14" t="s">
        <v>1370</v>
      </c>
      <c r="E1051" s="14" t="s">
        <v>78</v>
      </c>
      <c r="F1051" s="14" t="s">
        <v>1985</v>
      </c>
      <c r="G1051" s="14" t="s">
        <v>1900</v>
      </c>
      <c r="H1051" s="14">
        <v>109</v>
      </c>
      <c r="I1051" s="176" t="s">
        <v>155</v>
      </c>
      <c r="K1051" s="87"/>
      <c r="L1051" s="14" t="s">
        <v>4946</v>
      </c>
      <c r="M1051" s="324">
        <f>IF(I1051="Staff Accident","Entry Required",IF(I1051="Assaults","Entry Required",0))</f>
        <v>0</v>
      </c>
      <c r="N1051" s="14" t="s">
        <v>1879</v>
      </c>
      <c r="O1051" s="14" t="s">
        <v>1880</v>
      </c>
      <c r="P1051" s="167" t="s">
        <v>147</v>
      </c>
      <c r="Q1051" s="14" t="s">
        <v>175</v>
      </c>
      <c r="R1051" s="170" t="s">
        <v>234</v>
      </c>
      <c r="S1051" s="108">
        <f t="shared" si="160"/>
        <v>45791</v>
      </c>
      <c r="T1051" s="79">
        <v>45768</v>
      </c>
      <c r="U1051" s="14" t="s">
        <v>4947</v>
      </c>
      <c r="V1051" s="14" t="s">
        <v>4948</v>
      </c>
      <c r="W1051" s="14" t="s">
        <v>1880</v>
      </c>
      <c r="X1051" s="14" t="s">
        <v>1880</v>
      </c>
      <c r="Y1051" s="14" t="s">
        <v>1989</v>
      </c>
      <c r="Z1051" s="14" t="s">
        <v>4857</v>
      </c>
      <c r="AA1051" s="2">
        <f t="shared" ca="1" si="159"/>
        <v>1</v>
      </c>
      <c r="AB1051" s="153"/>
      <c r="AC1051" s="454" t="str">
        <f t="shared" si="161"/>
        <v>1</v>
      </c>
    </row>
    <row r="1052" spans="1:29" ht="58" x14ac:dyDescent="0.35">
      <c r="A1052" s="111" t="str">
        <f t="shared" si="157"/>
        <v>Closed</v>
      </c>
      <c r="B1052" s="226">
        <v>45763</v>
      </c>
      <c r="C1052" s="14">
        <v>2501</v>
      </c>
      <c r="D1052" s="14" t="s">
        <v>4949</v>
      </c>
      <c r="E1052" s="14" t="s">
        <v>31</v>
      </c>
      <c r="F1052" s="14" t="s">
        <v>4667</v>
      </c>
      <c r="G1052" s="14" t="s">
        <v>1900</v>
      </c>
      <c r="H1052" s="14">
        <v>112</v>
      </c>
      <c r="I1052" s="176" t="s">
        <v>155</v>
      </c>
      <c r="J1052" s="14">
        <v>37</v>
      </c>
      <c r="K1052" s="87"/>
      <c r="L1052" s="14" t="s">
        <v>4950</v>
      </c>
      <c r="M1052" s="324">
        <f>IF(I1052="Staff Accident","Entry Required",IF(I1052="Assaults","Entry Required",0))</f>
        <v>0</v>
      </c>
      <c r="N1052" s="14" t="s">
        <v>1879</v>
      </c>
      <c r="O1052" s="14" t="s">
        <v>1880</v>
      </c>
      <c r="P1052" s="167" t="s">
        <v>147</v>
      </c>
      <c r="Q1052" s="14" t="s">
        <v>177</v>
      </c>
      <c r="R1052" s="170" t="s">
        <v>234</v>
      </c>
      <c r="S1052" s="108">
        <f t="shared" ref="S1052:S1083" si="163">IF(B1052="","",B1052+28)</f>
        <v>45791</v>
      </c>
      <c r="T1052" s="79">
        <v>45774</v>
      </c>
      <c r="U1052" s="14" t="s">
        <v>4951</v>
      </c>
      <c r="V1052" s="14" t="s">
        <v>4952</v>
      </c>
      <c r="W1052" s="14" t="s">
        <v>1879</v>
      </c>
      <c r="X1052" s="14" t="s">
        <v>1883</v>
      </c>
      <c r="Z1052" s="14" t="s">
        <v>4953</v>
      </c>
      <c r="AA1052" s="2">
        <f t="shared" ca="1" si="159"/>
        <v>1</v>
      </c>
      <c r="AB1052" s="153"/>
      <c r="AC1052" s="454" t="str">
        <f t="shared" si="161"/>
        <v>1</v>
      </c>
    </row>
    <row r="1053" spans="1:29" ht="43.5" x14ac:dyDescent="0.35">
      <c r="A1053" s="89" t="str">
        <f t="shared" si="157"/>
        <v>Closed</v>
      </c>
      <c r="B1053" s="222">
        <v>45763</v>
      </c>
      <c r="C1053" s="14">
        <v>2501</v>
      </c>
      <c r="D1053" s="14" t="s">
        <v>4954</v>
      </c>
      <c r="E1053" s="14" t="s">
        <v>31</v>
      </c>
      <c r="F1053" s="14" t="s">
        <v>2010</v>
      </c>
      <c r="G1053" s="14" t="s">
        <v>1911</v>
      </c>
      <c r="H1053" s="14">
        <v>105</v>
      </c>
      <c r="I1053" s="176" t="s">
        <v>140</v>
      </c>
      <c r="J1053" s="14">
        <v>323</v>
      </c>
      <c r="K1053" s="87"/>
      <c r="L1053" s="14" t="s">
        <v>4955</v>
      </c>
      <c r="M1053" s="324">
        <f>IF(I1053="Staff Accident","Entry Required",IF(I1053="Assaults","Entry Required",0))</f>
        <v>0</v>
      </c>
      <c r="N1053" s="14" t="s">
        <v>1879</v>
      </c>
      <c r="O1053" s="14" t="s">
        <v>1879</v>
      </c>
      <c r="P1053" s="167" t="s">
        <v>143</v>
      </c>
      <c r="Q1053" s="14"/>
      <c r="R1053" s="223">
        <v>0</v>
      </c>
      <c r="S1053" s="224">
        <f t="shared" si="163"/>
        <v>45791</v>
      </c>
      <c r="T1053" s="79">
        <v>45763</v>
      </c>
      <c r="U1053" s="14"/>
      <c r="V1053" s="14"/>
      <c r="W1053" s="14"/>
      <c r="X1053" s="14"/>
      <c r="Y1053" s="14" t="s">
        <v>2012</v>
      </c>
      <c r="Z1053" s="14" t="s">
        <v>4956</v>
      </c>
      <c r="AA1053" s="2">
        <f t="shared" ca="1" si="159"/>
        <v>1</v>
      </c>
      <c r="AB1053" s="153"/>
      <c r="AC1053" s="454" t="str">
        <f t="shared" si="161"/>
        <v>1</v>
      </c>
    </row>
    <row r="1054" spans="1:29" ht="58" x14ac:dyDescent="0.35">
      <c r="A1054" s="111" t="str">
        <f t="shared" si="157"/>
        <v>Closed</v>
      </c>
      <c r="B1054" s="226">
        <v>45763</v>
      </c>
      <c r="C1054" s="14">
        <v>2501</v>
      </c>
      <c r="D1054" s="14" t="s">
        <v>4957</v>
      </c>
      <c r="E1054" s="14" t="s">
        <v>38</v>
      </c>
      <c r="F1054" s="14" t="s">
        <v>4667</v>
      </c>
      <c r="G1054" s="14" t="s">
        <v>1900</v>
      </c>
      <c r="H1054" s="14">
        <v>105</v>
      </c>
      <c r="I1054" s="176" t="s">
        <v>2</v>
      </c>
      <c r="J1054" s="14">
        <v>553</v>
      </c>
      <c r="K1054" s="85" t="s">
        <v>137</v>
      </c>
      <c r="L1054" s="14" t="s">
        <v>4958</v>
      </c>
      <c r="M1054" s="324">
        <v>0</v>
      </c>
      <c r="N1054" s="14" t="s">
        <v>1879</v>
      </c>
      <c r="O1054" s="14"/>
      <c r="P1054" s="167" t="s">
        <v>143</v>
      </c>
      <c r="Q1054" s="14"/>
      <c r="R1054" s="170">
        <v>0</v>
      </c>
      <c r="S1054" s="108">
        <f t="shared" si="163"/>
        <v>45791</v>
      </c>
      <c r="T1054" s="79">
        <v>45763</v>
      </c>
      <c r="U1054" s="14"/>
      <c r="V1054" s="14"/>
      <c r="W1054" s="14"/>
      <c r="X1054" s="14"/>
      <c r="Z1054" s="14"/>
      <c r="AA1054" s="2">
        <f t="shared" ca="1" si="159"/>
        <v>1</v>
      </c>
      <c r="AB1054" s="153"/>
      <c r="AC1054" s="454" t="str">
        <f t="shared" si="161"/>
        <v>1</v>
      </c>
    </row>
    <row r="1055" spans="1:29" ht="43.5" x14ac:dyDescent="0.35">
      <c r="A1055" s="89" t="str">
        <f t="shared" si="157"/>
        <v>Closed</v>
      </c>
      <c r="B1055" s="222">
        <v>45764</v>
      </c>
      <c r="C1055" s="14">
        <v>2501</v>
      </c>
      <c r="D1055" s="14" t="s">
        <v>4959</v>
      </c>
      <c r="E1055" s="14" t="s">
        <v>27</v>
      </c>
      <c r="F1055" s="14" t="s">
        <v>2064</v>
      </c>
      <c r="G1055" s="14" t="s">
        <v>1911</v>
      </c>
      <c r="H1055" s="14"/>
      <c r="I1055" s="176" t="s">
        <v>5</v>
      </c>
      <c r="J1055" s="14">
        <v>74928</v>
      </c>
      <c r="K1055" s="87"/>
      <c r="L1055" s="14" t="s">
        <v>4960</v>
      </c>
      <c r="M1055" s="324">
        <f>IF(I1055="Staff Accident","Entry Required",IF(I1055="Assaults","Entry Required",0))</f>
        <v>0</v>
      </c>
      <c r="N1055" s="14" t="s">
        <v>1879</v>
      </c>
      <c r="O1055" s="14" t="s">
        <v>1879</v>
      </c>
      <c r="P1055" s="167" t="s">
        <v>147</v>
      </c>
      <c r="Q1055" s="14" t="s">
        <v>138</v>
      </c>
      <c r="R1055" s="223" t="s">
        <v>234</v>
      </c>
      <c r="S1055" s="224">
        <f t="shared" si="163"/>
        <v>45792</v>
      </c>
      <c r="T1055" s="79">
        <v>45772</v>
      </c>
      <c r="U1055" s="14" t="s">
        <v>4961</v>
      </c>
      <c r="V1055" s="14" t="s">
        <v>4962</v>
      </c>
      <c r="W1055" s="14" t="s">
        <v>1879</v>
      </c>
      <c r="X1055" s="14" t="s">
        <v>1883</v>
      </c>
      <c r="Y1055" s="15" t="s">
        <v>2068</v>
      </c>
      <c r="Z1055" s="14" t="s">
        <v>4963</v>
      </c>
      <c r="AA1055" s="2">
        <f t="shared" ca="1" si="159"/>
        <v>1</v>
      </c>
      <c r="AB1055" s="153"/>
      <c r="AC1055" s="454" t="str">
        <f t="shared" si="161"/>
        <v/>
      </c>
    </row>
    <row r="1056" spans="1:29" ht="29" x14ac:dyDescent="0.35">
      <c r="A1056" s="89" t="str">
        <f t="shared" si="157"/>
        <v>Closed</v>
      </c>
      <c r="B1056" s="222">
        <v>45764</v>
      </c>
      <c r="C1056" s="14">
        <v>2501</v>
      </c>
      <c r="D1056" s="14" t="s">
        <v>4964</v>
      </c>
      <c r="E1056" s="14" t="s">
        <v>8</v>
      </c>
      <c r="F1056" s="14" t="s">
        <v>1921</v>
      </c>
      <c r="G1056" s="14" t="s">
        <v>1900</v>
      </c>
      <c r="H1056" s="14"/>
      <c r="I1056" s="176" t="s">
        <v>140</v>
      </c>
      <c r="K1056" s="87"/>
      <c r="L1056" s="14" t="s">
        <v>4965</v>
      </c>
      <c r="M1056" s="324">
        <f>IF(I1056="Staff Accident","Entry Required",IF(I1056="Assaults","Entry Required",0))</f>
        <v>0</v>
      </c>
      <c r="N1056" s="14" t="s">
        <v>1879</v>
      </c>
      <c r="O1056" s="14" t="s">
        <v>1879</v>
      </c>
      <c r="P1056" s="167" t="s">
        <v>143</v>
      </c>
      <c r="Q1056" s="14"/>
      <c r="R1056" s="223">
        <v>0</v>
      </c>
      <c r="S1056" s="224">
        <f t="shared" si="163"/>
        <v>45792</v>
      </c>
      <c r="T1056" s="79">
        <v>45733</v>
      </c>
      <c r="U1056" s="14"/>
      <c r="V1056" s="14"/>
      <c r="W1056" s="14"/>
      <c r="X1056" s="14"/>
      <c r="Y1056" s="14" t="s">
        <v>1923</v>
      </c>
      <c r="Z1056" s="14"/>
      <c r="AA1056" s="2">
        <f t="shared" ca="1" si="159"/>
        <v>1</v>
      </c>
      <c r="AB1056" s="153"/>
      <c r="AC1056" s="454" t="str">
        <f t="shared" si="161"/>
        <v/>
      </c>
    </row>
    <row r="1057" spans="1:29" ht="58" x14ac:dyDescent="0.35">
      <c r="A1057" s="89" t="str">
        <f t="shared" si="157"/>
        <v>Closed</v>
      </c>
      <c r="B1057" s="222">
        <v>45765</v>
      </c>
      <c r="C1057" s="14">
        <v>2501</v>
      </c>
      <c r="D1057" s="14" t="s">
        <v>4966</v>
      </c>
      <c r="E1057" s="14" t="s">
        <v>72</v>
      </c>
      <c r="F1057" s="14" t="s">
        <v>1972</v>
      </c>
      <c r="G1057" s="14"/>
      <c r="H1057" s="14"/>
      <c r="I1057" s="176" t="s">
        <v>155</v>
      </c>
      <c r="J1057" s="14">
        <v>1365</v>
      </c>
      <c r="K1057" s="87"/>
      <c r="L1057" s="328" t="s">
        <v>4967</v>
      </c>
      <c r="M1057" s="324">
        <f>IF(I1057="Staff Accident","Entry Required",IF(I1057="Assaults","Entry Required",0))</f>
        <v>0</v>
      </c>
      <c r="N1057" s="14" t="s">
        <v>1879</v>
      </c>
      <c r="O1057" s="14" t="s">
        <v>1880</v>
      </c>
      <c r="P1057" s="167" t="s">
        <v>147</v>
      </c>
      <c r="Q1057" s="14" t="s">
        <v>175</v>
      </c>
      <c r="R1057" s="223" t="s">
        <v>234</v>
      </c>
      <c r="S1057" s="224">
        <f t="shared" si="163"/>
        <v>45793</v>
      </c>
      <c r="T1057" s="79">
        <v>45797</v>
      </c>
      <c r="U1057" s="14" t="s">
        <v>72</v>
      </c>
      <c r="V1057" s="14" t="s">
        <v>4794</v>
      </c>
      <c r="W1057" s="14" t="s">
        <v>1880</v>
      </c>
      <c r="X1057" s="14" t="s">
        <v>1883</v>
      </c>
      <c r="Z1057" s="14" t="s">
        <v>4968</v>
      </c>
      <c r="AA1057" s="2">
        <f t="shared" ca="1" si="159"/>
        <v>1</v>
      </c>
      <c r="AB1057" s="153"/>
      <c r="AC1057" s="454" t="str">
        <f t="shared" si="161"/>
        <v/>
      </c>
    </row>
    <row r="1058" spans="1:29" ht="58" x14ac:dyDescent="0.35">
      <c r="A1058" s="89" t="str">
        <f t="shared" ref="A1058:A1121" si="164">IF(T1058&gt;1,"Closed",IF(AA1058=1,"Overdue",IF(AA1058=3,"","Open")))</f>
        <v>Closed</v>
      </c>
      <c r="B1058" s="222">
        <v>45766</v>
      </c>
      <c r="C1058" s="14">
        <v>2501</v>
      </c>
      <c r="D1058" s="14" t="s">
        <v>4969</v>
      </c>
      <c r="E1058" s="14" t="s">
        <v>31</v>
      </c>
      <c r="F1058" s="14" t="s">
        <v>2299</v>
      </c>
      <c r="G1058" s="14" t="s">
        <v>1911</v>
      </c>
      <c r="H1058" s="14">
        <v>116</v>
      </c>
      <c r="I1058" s="176" t="s">
        <v>2</v>
      </c>
      <c r="K1058" s="87" t="s">
        <v>137</v>
      </c>
      <c r="L1058" s="14" t="s">
        <v>4970</v>
      </c>
      <c r="M1058" s="324">
        <v>0</v>
      </c>
      <c r="N1058" s="14" t="s">
        <v>1879</v>
      </c>
      <c r="O1058" s="14" t="s">
        <v>1880</v>
      </c>
      <c r="P1058" s="167" t="s">
        <v>147</v>
      </c>
      <c r="Q1058" s="14" t="s">
        <v>157</v>
      </c>
      <c r="R1058" s="223" t="s">
        <v>234</v>
      </c>
      <c r="S1058" s="224">
        <f t="shared" si="163"/>
        <v>45794</v>
      </c>
      <c r="T1058" s="79">
        <v>45902</v>
      </c>
      <c r="U1058" s="14"/>
      <c r="V1058" s="14"/>
      <c r="W1058" s="14"/>
      <c r="X1058" s="14"/>
      <c r="Y1058" s="14" t="s">
        <v>2302</v>
      </c>
      <c r="Z1058" s="14" t="s">
        <v>4971</v>
      </c>
      <c r="AA1058" s="2">
        <f t="shared" ca="1" si="159"/>
        <v>1</v>
      </c>
      <c r="AB1058" s="153"/>
      <c r="AC1058" s="454" t="str">
        <f t="shared" si="161"/>
        <v>1</v>
      </c>
    </row>
    <row r="1059" spans="1:29" ht="58" x14ac:dyDescent="0.35">
      <c r="A1059" s="111" t="str">
        <f t="shared" si="164"/>
        <v>Closed</v>
      </c>
      <c r="B1059" s="226">
        <v>45766</v>
      </c>
      <c r="C1059" s="14">
        <v>2501</v>
      </c>
      <c r="D1059" s="14" t="s">
        <v>4972</v>
      </c>
      <c r="E1059" s="14" t="s">
        <v>38</v>
      </c>
      <c r="F1059" s="14" t="s">
        <v>2299</v>
      </c>
      <c r="G1059" s="14" t="s">
        <v>1911</v>
      </c>
      <c r="H1059" s="14">
        <v>116</v>
      </c>
      <c r="I1059" s="176" t="s">
        <v>2</v>
      </c>
      <c r="K1059" s="85" t="s">
        <v>137</v>
      </c>
      <c r="L1059" s="14" t="s">
        <v>4973</v>
      </c>
      <c r="M1059" s="324">
        <v>3</v>
      </c>
      <c r="N1059" s="14" t="s">
        <v>1879</v>
      </c>
      <c r="O1059" s="14" t="s">
        <v>1880</v>
      </c>
      <c r="P1059" s="167" t="s">
        <v>143</v>
      </c>
      <c r="Q1059" s="14"/>
      <c r="R1059" s="170">
        <v>0</v>
      </c>
      <c r="S1059" s="108">
        <f t="shared" si="163"/>
        <v>45794</v>
      </c>
      <c r="T1059" s="79">
        <v>45766</v>
      </c>
      <c r="U1059" s="14"/>
      <c r="V1059" s="14"/>
      <c r="W1059" s="14"/>
      <c r="X1059" s="14"/>
      <c r="Y1059" s="14" t="s">
        <v>2302</v>
      </c>
      <c r="Z1059" s="14"/>
      <c r="AA1059" s="2">
        <f t="shared" ca="1" si="159"/>
        <v>1</v>
      </c>
      <c r="AB1059" s="153"/>
      <c r="AC1059" s="454" t="str">
        <f t="shared" si="161"/>
        <v>1</v>
      </c>
    </row>
    <row r="1060" spans="1:29" ht="29" x14ac:dyDescent="0.35">
      <c r="A1060" s="111" t="str">
        <f t="shared" si="164"/>
        <v>Closed</v>
      </c>
      <c r="B1060" s="226">
        <v>45769</v>
      </c>
      <c r="C1060" s="14">
        <v>2501</v>
      </c>
      <c r="D1060" s="14" t="s">
        <v>4974</v>
      </c>
      <c r="E1060" s="14" t="s">
        <v>219</v>
      </c>
      <c r="F1060" s="14" t="s">
        <v>2155</v>
      </c>
      <c r="G1060" s="14"/>
      <c r="H1060" s="14">
        <v>109</v>
      </c>
      <c r="I1060" s="176" t="s">
        <v>140</v>
      </c>
      <c r="J1060" s="14">
        <v>254</v>
      </c>
      <c r="K1060" s="87"/>
      <c r="L1060" s="14" t="s">
        <v>4975</v>
      </c>
      <c r="M1060" s="324">
        <f t="shared" ref="M1060:M1067" si="165">IF(I1060="Staff Accident","Entry Required",IF(I1060="Assaults","Entry Required",0))</f>
        <v>0</v>
      </c>
      <c r="N1060" s="14" t="s">
        <v>2034</v>
      </c>
      <c r="O1060" s="14" t="s">
        <v>1879</v>
      </c>
      <c r="P1060" s="167" t="s">
        <v>143</v>
      </c>
      <c r="Q1060" s="14"/>
      <c r="R1060" s="170">
        <v>0</v>
      </c>
      <c r="S1060" s="108">
        <f t="shared" si="163"/>
        <v>45797</v>
      </c>
      <c r="T1060" s="79">
        <v>45769</v>
      </c>
      <c r="U1060" s="14"/>
      <c r="V1060" s="14"/>
      <c r="W1060" s="14"/>
      <c r="X1060" s="14"/>
      <c r="Z1060" s="14"/>
      <c r="AA1060" s="2">
        <f t="shared" ca="1" si="159"/>
        <v>1</v>
      </c>
      <c r="AB1060" s="153"/>
      <c r="AC1060" s="454" t="str">
        <f t="shared" si="161"/>
        <v>1</v>
      </c>
    </row>
    <row r="1061" spans="1:29" ht="43.5" x14ac:dyDescent="0.35">
      <c r="A1061" s="111" t="str">
        <f t="shared" si="164"/>
        <v>Closed</v>
      </c>
      <c r="B1061" s="226">
        <v>45771</v>
      </c>
      <c r="C1061" s="14">
        <v>2501</v>
      </c>
      <c r="D1061" s="14" t="s">
        <v>4976</v>
      </c>
      <c r="E1061" s="14" t="s">
        <v>219</v>
      </c>
      <c r="F1061" s="14" t="s">
        <v>2027</v>
      </c>
      <c r="G1061" s="14" t="s">
        <v>1911</v>
      </c>
      <c r="H1061" s="14"/>
      <c r="I1061" s="176" t="s">
        <v>140</v>
      </c>
      <c r="K1061" s="87"/>
      <c r="L1061" s="14" t="s">
        <v>4977</v>
      </c>
      <c r="M1061" s="324">
        <f t="shared" si="165"/>
        <v>0</v>
      </c>
      <c r="N1061" s="14" t="s">
        <v>2034</v>
      </c>
      <c r="O1061" s="14" t="s">
        <v>1879</v>
      </c>
      <c r="P1061" s="167" t="s">
        <v>143</v>
      </c>
      <c r="Q1061" s="14"/>
      <c r="R1061" s="170">
        <v>0</v>
      </c>
      <c r="S1061" s="108">
        <f t="shared" si="163"/>
        <v>45799</v>
      </c>
      <c r="T1061" s="79">
        <v>45771</v>
      </c>
      <c r="U1061" s="14"/>
      <c r="V1061" s="14"/>
      <c r="W1061" s="14"/>
      <c r="X1061" s="14"/>
      <c r="Y1061" s="14" t="s">
        <v>2361</v>
      </c>
      <c r="Z1061" s="14"/>
      <c r="AA1061" s="2">
        <f t="shared" ca="1" si="159"/>
        <v>1</v>
      </c>
      <c r="AB1061" s="153"/>
      <c r="AC1061" s="454" t="str">
        <f t="shared" si="161"/>
        <v/>
      </c>
    </row>
    <row r="1062" spans="1:29" ht="29" x14ac:dyDescent="0.35">
      <c r="A1062" s="111" t="str">
        <f t="shared" si="164"/>
        <v>Closed</v>
      </c>
      <c r="B1062" s="226">
        <v>45771</v>
      </c>
      <c r="C1062" s="14">
        <v>2501</v>
      </c>
      <c r="D1062" s="14" t="s">
        <v>4978</v>
      </c>
      <c r="E1062" s="14" t="s">
        <v>219</v>
      </c>
      <c r="F1062" s="14" t="s">
        <v>2119</v>
      </c>
      <c r="G1062" s="14" t="s">
        <v>1911</v>
      </c>
      <c r="H1062" s="14">
        <v>203</v>
      </c>
      <c r="I1062" s="176" t="s">
        <v>140</v>
      </c>
      <c r="K1062" s="87"/>
      <c r="L1062" s="14" t="s">
        <v>4979</v>
      </c>
      <c r="M1062" s="324">
        <f t="shared" si="165"/>
        <v>0</v>
      </c>
      <c r="N1062" s="14" t="s">
        <v>2034</v>
      </c>
      <c r="O1062" s="14" t="s">
        <v>1879</v>
      </c>
      <c r="P1062" s="167" t="s">
        <v>143</v>
      </c>
      <c r="Q1062" s="14"/>
      <c r="R1062" s="170">
        <v>0</v>
      </c>
      <c r="S1062" s="108">
        <f t="shared" si="163"/>
        <v>45799</v>
      </c>
      <c r="T1062" s="79">
        <v>45771</v>
      </c>
      <c r="U1062" s="14"/>
      <c r="V1062" s="14"/>
      <c r="W1062" s="14"/>
      <c r="X1062" s="14"/>
      <c r="Y1062" s="14" t="s">
        <v>2093</v>
      </c>
      <c r="Z1062" s="14"/>
      <c r="AA1062" s="2">
        <f t="shared" ca="1" si="159"/>
        <v>1</v>
      </c>
      <c r="AB1062" s="153"/>
      <c r="AC1062" s="454" t="str">
        <f t="shared" si="161"/>
        <v>2</v>
      </c>
    </row>
    <row r="1063" spans="1:29" ht="58" x14ac:dyDescent="0.35">
      <c r="A1063" s="111" t="str">
        <f t="shared" si="164"/>
        <v>Closed</v>
      </c>
      <c r="B1063" s="226">
        <v>45771</v>
      </c>
      <c r="C1063" s="14">
        <v>2501</v>
      </c>
      <c r="D1063" s="14" t="s">
        <v>4980</v>
      </c>
      <c r="E1063" s="14" t="s">
        <v>31</v>
      </c>
      <c r="F1063" s="14" t="s">
        <v>2432</v>
      </c>
      <c r="G1063" s="14" t="s">
        <v>1911</v>
      </c>
      <c r="H1063" s="14">
        <v>117</v>
      </c>
      <c r="I1063" s="176" t="s">
        <v>140</v>
      </c>
      <c r="K1063" s="87"/>
      <c r="L1063" s="14" t="s">
        <v>4981</v>
      </c>
      <c r="M1063" s="324">
        <f t="shared" si="165"/>
        <v>0</v>
      </c>
      <c r="N1063" s="14" t="s">
        <v>2034</v>
      </c>
      <c r="O1063" s="14" t="s">
        <v>1879</v>
      </c>
      <c r="P1063" s="167" t="s">
        <v>143</v>
      </c>
      <c r="Q1063" s="14"/>
      <c r="R1063" s="170">
        <v>0</v>
      </c>
      <c r="S1063" s="108">
        <f t="shared" si="163"/>
        <v>45799</v>
      </c>
      <c r="T1063" s="79">
        <v>45797</v>
      </c>
      <c r="U1063" s="14"/>
      <c r="V1063" s="14"/>
      <c r="W1063" s="14"/>
      <c r="X1063" s="14"/>
      <c r="Y1063" s="14" t="s">
        <v>2436</v>
      </c>
      <c r="Z1063" s="14" t="s">
        <v>4982</v>
      </c>
      <c r="AA1063" s="2">
        <f t="shared" ca="1" si="159"/>
        <v>1</v>
      </c>
      <c r="AB1063" s="153"/>
      <c r="AC1063" s="454" t="str">
        <f t="shared" si="161"/>
        <v>1</v>
      </c>
    </row>
    <row r="1064" spans="1:29" ht="29" x14ac:dyDescent="0.35">
      <c r="A1064" s="111" t="str">
        <f t="shared" si="164"/>
        <v>Closed</v>
      </c>
      <c r="B1064" s="226">
        <v>45772</v>
      </c>
      <c r="C1064" s="14">
        <v>2501</v>
      </c>
      <c r="D1064" s="14" t="s">
        <v>4983</v>
      </c>
      <c r="E1064" s="14" t="s">
        <v>8</v>
      </c>
      <c r="F1064" s="14" t="s">
        <v>1921</v>
      </c>
      <c r="G1064" s="14"/>
      <c r="H1064" s="14"/>
      <c r="I1064" s="176" t="s">
        <v>140</v>
      </c>
      <c r="K1064" s="87"/>
      <c r="L1064" s="14" t="s">
        <v>4984</v>
      </c>
      <c r="M1064" s="324">
        <f t="shared" si="165"/>
        <v>0</v>
      </c>
      <c r="N1064" s="14" t="s">
        <v>2034</v>
      </c>
      <c r="O1064" s="14" t="s">
        <v>1879</v>
      </c>
      <c r="P1064" s="167" t="s">
        <v>143</v>
      </c>
      <c r="Q1064" s="14"/>
      <c r="R1064" s="170">
        <v>0</v>
      </c>
      <c r="S1064" s="108">
        <f t="shared" si="163"/>
        <v>45800</v>
      </c>
      <c r="T1064" s="79">
        <v>45772</v>
      </c>
      <c r="U1064" s="14"/>
      <c r="V1064" s="14"/>
      <c r="W1064" s="14"/>
      <c r="X1064" s="14"/>
      <c r="Y1064" s="14" t="s">
        <v>1923</v>
      </c>
      <c r="Z1064" s="14"/>
      <c r="AA1064" s="2">
        <f t="shared" ca="1" si="159"/>
        <v>1</v>
      </c>
      <c r="AB1064" s="153"/>
      <c r="AC1064" s="454" t="str">
        <f t="shared" si="161"/>
        <v/>
      </c>
    </row>
    <row r="1065" spans="1:29" ht="43.5" x14ac:dyDescent="0.35">
      <c r="A1065" s="111" t="str">
        <f t="shared" si="164"/>
        <v>Closed</v>
      </c>
      <c r="B1065" s="226">
        <v>45772</v>
      </c>
      <c r="C1065" s="14">
        <v>2501</v>
      </c>
      <c r="D1065" s="14" t="s">
        <v>4985</v>
      </c>
      <c r="E1065" s="14" t="s">
        <v>206</v>
      </c>
      <c r="F1065" s="14" t="s">
        <v>2052</v>
      </c>
      <c r="G1065" s="14"/>
      <c r="H1065" s="14">
        <v>120</v>
      </c>
      <c r="I1065" s="176" t="s">
        <v>140</v>
      </c>
      <c r="K1065" s="87"/>
      <c r="L1065" s="14" t="s">
        <v>4986</v>
      </c>
      <c r="M1065" s="324">
        <f t="shared" si="165"/>
        <v>0</v>
      </c>
      <c r="N1065" s="14" t="s">
        <v>2034</v>
      </c>
      <c r="O1065" s="14" t="s">
        <v>1879</v>
      </c>
      <c r="P1065" s="167" t="s">
        <v>143</v>
      </c>
      <c r="Q1065" s="14"/>
      <c r="R1065" s="170">
        <v>0</v>
      </c>
      <c r="S1065" s="108">
        <f t="shared" si="163"/>
        <v>45800</v>
      </c>
      <c r="T1065" s="79">
        <v>45772</v>
      </c>
      <c r="U1065" s="14"/>
      <c r="V1065" s="14"/>
      <c r="W1065" s="14"/>
      <c r="X1065" s="14"/>
      <c r="Y1065" s="14" t="s">
        <v>2054</v>
      </c>
      <c r="Z1065" s="14"/>
      <c r="AA1065" s="2">
        <f t="shared" ca="1" si="159"/>
        <v>1</v>
      </c>
      <c r="AB1065" s="153"/>
      <c r="AC1065" s="454" t="str">
        <f t="shared" si="161"/>
        <v>1</v>
      </c>
    </row>
    <row r="1066" spans="1:29" ht="43.5" x14ac:dyDescent="0.45">
      <c r="A1066" s="111" t="str">
        <f t="shared" si="164"/>
        <v>Closed</v>
      </c>
      <c r="B1066" s="226">
        <v>45774</v>
      </c>
      <c r="C1066" s="14">
        <v>2502</v>
      </c>
      <c r="D1066" s="14" t="s">
        <v>4987</v>
      </c>
      <c r="E1066" s="14" t="s">
        <v>192</v>
      </c>
      <c r="F1066" s="14" t="s">
        <v>4988</v>
      </c>
      <c r="G1066" s="14"/>
      <c r="H1066" s="14">
        <v>114</v>
      </c>
      <c r="I1066" s="176" t="s">
        <v>140</v>
      </c>
      <c r="K1066" s="87"/>
      <c r="L1066" s="14" t="s">
        <v>4989</v>
      </c>
      <c r="M1066" s="324">
        <f t="shared" si="165"/>
        <v>0</v>
      </c>
      <c r="N1066" s="14" t="s">
        <v>1879</v>
      </c>
      <c r="O1066" s="14" t="s">
        <v>4990</v>
      </c>
      <c r="P1066" s="167" t="s">
        <v>143</v>
      </c>
      <c r="Q1066" s="14"/>
      <c r="R1066" s="170">
        <v>0</v>
      </c>
      <c r="S1066" s="108">
        <f t="shared" si="163"/>
        <v>45802</v>
      </c>
      <c r="T1066" s="79">
        <v>45774</v>
      </c>
      <c r="U1066" s="14"/>
      <c r="V1066" s="14"/>
      <c r="W1066" s="14"/>
      <c r="X1066" s="14"/>
      <c r="Y1066" s="463" t="s">
        <v>4991</v>
      </c>
      <c r="Z1066" s="14"/>
      <c r="AA1066" s="2">
        <f t="shared" ca="1" si="159"/>
        <v>1</v>
      </c>
      <c r="AB1066" s="153"/>
      <c r="AC1066" s="454" t="str">
        <f t="shared" si="161"/>
        <v>1</v>
      </c>
    </row>
    <row r="1067" spans="1:29" ht="43.5" x14ac:dyDescent="0.35">
      <c r="A1067" s="111" t="str">
        <f t="shared" si="164"/>
        <v>Closed</v>
      </c>
      <c r="B1067" s="226">
        <v>45774</v>
      </c>
      <c r="C1067" s="14">
        <v>2502</v>
      </c>
      <c r="D1067" s="14" t="s">
        <v>4992</v>
      </c>
      <c r="E1067" s="14" t="s">
        <v>1907</v>
      </c>
      <c r="F1067" s="14"/>
      <c r="G1067" s="14"/>
      <c r="H1067" s="14"/>
      <c r="I1067" s="176" t="s">
        <v>140</v>
      </c>
      <c r="K1067" s="87"/>
      <c r="L1067" s="14" t="s">
        <v>4993</v>
      </c>
      <c r="M1067" s="324">
        <f t="shared" si="165"/>
        <v>0</v>
      </c>
      <c r="N1067" s="14" t="s">
        <v>2034</v>
      </c>
      <c r="O1067" s="14" t="s">
        <v>1879</v>
      </c>
      <c r="P1067" s="167" t="s">
        <v>143</v>
      </c>
      <c r="Q1067" s="14"/>
      <c r="R1067" s="170">
        <v>0</v>
      </c>
      <c r="S1067" s="108">
        <f t="shared" si="163"/>
        <v>45802</v>
      </c>
      <c r="T1067" s="79">
        <v>45774</v>
      </c>
      <c r="U1067" s="14"/>
      <c r="V1067" s="14"/>
      <c r="W1067" s="14"/>
      <c r="X1067" s="14"/>
      <c r="Z1067" s="14"/>
      <c r="AA1067" s="2">
        <f t="shared" ca="1" si="159"/>
        <v>1</v>
      </c>
      <c r="AB1067" s="153"/>
      <c r="AC1067" s="454" t="str">
        <f t="shared" si="161"/>
        <v/>
      </c>
    </row>
    <row r="1068" spans="1:29" ht="58" x14ac:dyDescent="0.35">
      <c r="A1068" s="89" t="str">
        <f t="shared" si="164"/>
        <v>Closed</v>
      </c>
      <c r="B1068" s="222">
        <v>45774</v>
      </c>
      <c r="C1068" s="14">
        <v>2502</v>
      </c>
      <c r="D1068" s="14" t="s">
        <v>4994</v>
      </c>
      <c r="E1068" s="14" t="s">
        <v>40</v>
      </c>
      <c r="F1068" s="14" t="s">
        <v>1910</v>
      </c>
      <c r="G1068" s="14"/>
      <c r="H1068" s="14">
        <v>116</v>
      </c>
      <c r="I1068" s="176" t="s">
        <v>4</v>
      </c>
      <c r="K1068" s="14" t="s">
        <v>137</v>
      </c>
      <c r="L1068" s="14" t="s">
        <v>4995</v>
      </c>
      <c r="M1068" s="324">
        <v>0</v>
      </c>
      <c r="N1068" s="14" t="s">
        <v>1879</v>
      </c>
      <c r="O1068" s="14" t="s">
        <v>1880</v>
      </c>
      <c r="P1068" s="167" t="s">
        <v>139</v>
      </c>
      <c r="Q1068" s="14" t="s">
        <v>177</v>
      </c>
      <c r="R1068" s="223" t="s">
        <v>234</v>
      </c>
      <c r="S1068" s="224">
        <f t="shared" si="163"/>
        <v>45802</v>
      </c>
      <c r="T1068" s="79">
        <v>45902</v>
      </c>
      <c r="U1068" s="14"/>
      <c r="V1068" s="14"/>
      <c r="W1068" s="14"/>
      <c r="X1068" s="14"/>
      <c r="Y1068" s="14" t="s">
        <v>1915</v>
      </c>
      <c r="Z1068" s="14" t="s">
        <v>4996</v>
      </c>
      <c r="AA1068" s="2">
        <f t="shared" ca="1" si="159"/>
        <v>1</v>
      </c>
      <c r="AB1068" s="153"/>
      <c r="AC1068" s="454" t="str">
        <f t="shared" si="161"/>
        <v>1</v>
      </c>
    </row>
    <row r="1069" spans="1:29" ht="58" x14ac:dyDescent="0.35">
      <c r="A1069" s="89" t="str">
        <f t="shared" si="164"/>
        <v>Closed</v>
      </c>
      <c r="B1069" s="222">
        <v>45775</v>
      </c>
      <c r="C1069" s="14">
        <v>2502</v>
      </c>
      <c r="D1069" s="14" t="s">
        <v>1611</v>
      </c>
      <c r="E1069" s="14" t="s">
        <v>61</v>
      </c>
      <c r="F1069" s="14" t="s">
        <v>2052</v>
      </c>
      <c r="G1069" s="14" t="s">
        <v>1900</v>
      </c>
      <c r="H1069" s="14">
        <v>119</v>
      </c>
      <c r="I1069" s="176" t="s">
        <v>155</v>
      </c>
      <c r="J1069" s="14">
        <v>548</v>
      </c>
      <c r="K1069" s="87"/>
      <c r="L1069" s="14" t="s">
        <v>4997</v>
      </c>
      <c r="M1069" s="324">
        <f>IF(I1069="Staff Accident","Entry Required",IF(I1069="Assaults","Entry Required",0))</f>
        <v>0</v>
      </c>
      <c r="N1069" s="14" t="s">
        <v>1879</v>
      </c>
      <c r="O1069" s="14" t="s">
        <v>1879</v>
      </c>
      <c r="P1069" s="167" t="s">
        <v>147</v>
      </c>
      <c r="Q1069" s="14" t="s">
        <v>135</v>
      </c>
      <c r="R1069" s="223" t="s">
        <v>234</v>
      </c>
      <c r="S1069" s="224">
        <f t="shared" si="163"/>
        <v>45803</v>
      </c>
      <c r="T1069" s="79">
        <v>45883</v>
      </c>
      <c r="U1069" s="14" t="s">
        <v>4998</v>
      </c>
      <c r="V1069" s="14" t="s">
        <v>4999</v>
      </c>
      <c r="W1069" s="14" t="s">
        <v>1879</v>
      </c>
      <c r="X1069" s="14" t="s">
        <v>1880</v>
      </c>
      <c r="Y1069" s="14" t="s">
        <v>2054</v>
      </c>
      <c r="Z1069" s="14" t="s">
        <v>5000</v>
      </c>
      <c r="AA1069" s="2">
        <f t="shared" ca="1" si="159"/>
        <v>1</v>
      </c>
      <c r="AB1069" s="153"/>
      <c r="AC1069" s="454" t="str">
        <f t="shared" si="161"/>
        <v>1</v>
      </c>
    </row>
    <row r="1070" spans="1:29" ht="43.5" x14ac:dyDescent="0.35">
      <c r="A1070" s="89" t="str">
        <f t="shared" si="164"/>
        <v>Closed</v>
      </c>
      <c r="B1070" s="222">
        <v>45775</v>
      </c>
      <c r="C1070" s="14">
        <v>2502</v>
      </c>
      <c r="D1070" s="14" t="s">
        <v>5001</v>
      </c>
      <c r="E1070" s="14" t="s">
        <v>27</v>
      </c>
      <c r="F1070" s="14" t="s">
        <v>2064</v>
      </c>
      <c r="G1070" s="14" t="s">
        <v>1911</v>
      </c>
      <c r="H1070" s="14">
        <v>116</v>
      </c>
      <c r="I1070" s="176" t="s">
        <v>5</v>
      </c>
      <c r="J1070" s="14">
        <v>549</v>
      </c>
      <c r="K1070" s="87"/>
      <c r="L1070" s="14" t="s">
        <v>5002</v>
      </c>
      <c r="M1070" s="324">
        <f>IF(I1070="Staff Accident","Entry Required",IF(I1070="Assaults","Entry Required",0))</f>
        <v>0</v>
      </c>
      <c r="N1070" s="14" t="s">
        <v>1879</v>
      </c>
      <c r="O1070" s="14" t="s">
        <v>1879</v>
      </c>
      <c r="P1070" s="167" t="s">
        <v>147</v>
      </c>
      <c r="Q1070" s="14" t="s">
        <v>135</v>
      </c>
      <c r="R1070" s="223" t="s">
        <v>234</v>
      </c>
      <c r="S1070" s="224">
        <f t="shared" si="163"/>
        <v>45803</v>
      </c>
      <c r="T1070" s="79">
        <v>45883</v>
      </c>
      <c r="U1070" s="14" t="s">
        <v>5003</v>
      </c>
      <c r="V1070" s="14" t="s">
        <v>5004</v>
      </c>
      <c r="W1070" s="14" t="s">
        <v>1879</v>
      </c>
      <c r="X1070" s="14" t="s">
        <v>1883</v>
      </c>
      <c r="Y1070" s="14" t="s">
        <v>2068</v>
      </c>
      <c r="Z1070" s="14" t="s">
        <v>5005</v>
      </c>
      <c r="AA1070" s="2">
        <f t="shared" ca="1" si="159"/>
        <v>1</v>
      </c>
      <c r="AB1070" s="153"/>
      <c r="AC1070" s="454" t="str">
        <f t="shared" si="161"/>
        <v>1</v>
      </c>
    </row>
    <row r="1071" spans="1:29" ht="58" x14ac:dyDescent="0.35">
      <c r="A1071" s="111" t="str">
        <f t="shared" si="164"/>
        <v>Closed</v>
      </c>
      <c r="B1071" s="226">
        <v>45775</v>
      </c>
      <c r="C1071" s="14">
        <v>2502</v>
      </c>
      <c r="D1071" s="14" t="s">
        <v>5006</v>
      </c>
      <c r="E1071" s="14" t="s">
        <v>180</v>
      </c>
      <c r="F1071" s="14" t="s">
        <v>2014</v>
      </c>
      <c r="G1071" s="14"/>
      <c r="H1071" s="14"/>
      <c r="I1071" s="176" t="s">
        <v>140</v>
      </c>
      <c r="K1071" s="87"/>
      <c r="L1071" s="14" t="s">
        <v>5007</v>
      </c>
      <c r="M1071" s="324">
        <f>IF(I1071="Staff Accident","Entry Required",IF(I1071="Assaults","Entry Required",0))</f>
        <v>0</v>
      </c>
      <c r="N1071" s="14" t="s">
        <v>2034</v>
      </c>
      <c r="O1071" s="14" t="s">
        <v>1879</v>
      </c>
      <c r="P1071" s="167" t="s">
        <v>143</v>
      </c>
      <c r="Q1071" s="14"/>
      <c r="R1071" s="170">
        <v>0</v>
      </c>
      <c r="S1071" s="108">
        <f t="shared" si="163"/>
        <v>45803</v>
      </c>
      <c r="T1071" s="79">
        <v>45775</v>
      </c>
      <c r="U1071" s="14"/>
      <c r="V1071" s="14"/>
      <c r="W1071" s="14"/>
      <c r="X1071" s="14"/>
      <c r="Z1071" s="14"/>
      <c r="AA1071" s="2">
        <f t="shared" ca="1" si="159"/>
        <v>1</v>
      </c>
      <c r="AB1071" s="153"/>
      <c r="AC1071" s="454" t="str">
        <f t="shared" si="161"/>
        <v/>
      </c>
    </row>
    <row r="1072" spans="1:29" ht="72.5" x14ac:dyDescent="0.35">
      <c r="A1072" s="111" t="str">
        <f t="shared" si="164"/>
        <v>Closed</v>
      </c>
      <c r="B1072" s="226">
        <v>45777</v>
      </c>
      <c r="C1072" s="14">
        <v>2502</v>
      </c>
      <c r="D1072" s="14" t="s">
        <v>1353</v>
      </c>
      <c r="E1072" s="14" t="s">
        <v>72</v>
      </c>
      <c r="F1072" s="14" t="s">
        <v>2533</v>
      </c>
      <c r="G1072" s="14" t="s">
        <v>1911</v>
      </c>
      <c r="H1072" s="14">
        <v>111</v>
      </c>
      <c r="I1072" s="176" t="s">
        <v>155</v>
      </c>
      <c r="J1072" s="14">
        <v>8506434</v>
      </c>
      <c r="K1072" s="87"/>
      <c r="L1072" s="14" t="s">
        <v>5008</v>
      </c>
      <c r="M1072" s="324">
        <f>IF(I1072="Staff Accident","Entry Required",IF(I1072="Assaults","Entry Required",0))</f>
        <v>0</v>
      </c>
      <c r="N1072" s="14" t="s">
        <v>2034</v>
      </c>
      <c r="O1072" s="14" t="s">
        <v>1879</v>
      </c>
      <c r="P1072" s="167" t="s">
        <v>147</v>
      </c>
      <c r="Q1072" s="14" t="s">
        <v>175</v>
      </c>
      <c r="R1072" s="170" t="s">
        <v>234</v>
      </c>
      <c r="S1072" s="108">
        <f t="shared" si="163"/>
        <v>45805</v>
      </c>
      <c r="T1072" s="79">
        <v>45802</v>
      </c>
      <c r="U1072" s="14" t="s">
        <v>72</v>
      </c>
      <c r="V1072" s="14" t="s">
        <v>3185</v>
      </c>
      <c r="W1072" s="14" t="s">
        <v>1880</v>
      </c>
      <c r="X1072" s="14" t="s">
        <v>1880</v>
      </c>
      <c r="Z1072" s="14" t="s">
        <v>4857</v>
      </c>
      <c r="AA1072" s="2">
        <f t="shared" ca="1" si="159"/>
        <v>1</v>
      </c>
      <c r="AB1072" s="153"/>
      <c r="AC1072" s="454" t="str">
        <f t="shared" si="161"/>
        <v>1</v>
      </c>
    </row>
    <row r="1073" spans="1:29" ht="58" x14ac:dyDescent="0.35">
      <c r="A1073" s="111" t="str">
        <f t="shared" si="164"/>
        <v>Closed</v>
      </c>
      <c r="B1073" s="226">
        <v>45777</v>
      </c>
      <c r="C1073" s="14">
        <v>2502</v>
      </c>
      <c r="D1073" s="14" t="s">
        <v>5009</v>
      </c>
      <c r="E1073" s="14" t="s">
        <v>42</v>
      </c>
      <c r="F1073" s="14" t="s">
        <v>2864</v>
      </c>
      <c r="G1073" s="14" t="s">
        <v>1911</v>
      </c>
      <c r="H1073" s="14">
        <v>116</v>
      </c>
      <c r="I1073" s="176" t="s">
        <v>4</v>
      </c>
      <c r="J1073" s="14">
        <v>384</v>
      </c>
      <c r="K1073" s="14" t="s">
        <v>137</v>
      </c>
      <c r="L1073" s="14" t="s">
        <v>5010</v>
      </c>
      <c r="M1073" s="324">
        <v>0</v>
      </c>
      <c r="N1073" s="14" t="s">
        <v>2034</v>
      </c>
      <c r="O1073" s="14" t="s">
        <v>1879</v>
      </c>
      <c r="P1073" s="167" t="s">
        <v>139</v>
      </c>
      <c r="Q1073" s="14" t="s">
        <v>138</v>
      </c>
      <c r="R1073" s="170" t="s">
        <v>234</v>
      </c>
      <c r="S1073" s="108">
        <f t="shared" si="163"/>
        <v>45805</v>
      </c>
      <c r="T1073" s="79">
        <v>45811</v>
      </c>
      <c r="U1073" s="14" t="s">
        <v>5011</v>
      </c>
      <c r="V1073" s="14" t="s">
        <v>5012</v>
      </c>
      <c r="W1073" s="14" t="s">
        <v>1879</v>
      </c>
      <c r="X1073" s="14" t="s">
        <v>1880</v>
      </c>
      <c r="Y1073" s="14" t="s">
        <v>2868</v>
      </c>
      <c r="Z1073" s="14" t="s">
        <v>5013</v>
      </c>
      <c r="AA1073" s="2">
        <f t="shared" ca="1" si="159"/>
        <v>1</v>
      </c>
      <c r="AB1073" s="153"/>
      <c r="AC1073" s="454" t="str">
        <f t="shared" si="161"/>
        <v>1</v>
      </c>
    </row>
    <row r="1074" spans="1:29" ht="58" x14ac:dyDescent="0.35">
      <c r="A1074" s="111" t="str">
        <f t="shared" si="164"/>
        <v>Closed</v>
      </c>
      <c r="B1074" s="226">
        <v>45778</v>
      </c>
      <c r="C1074" s="14">
        <v>2502</v>
      </c>
      <c r="D1074" s="14" t="s">
        <v>5014</v>
      </c>
      <c r="E1074" s="14" t="s">
        <v>40</v>
      </c>
      <c r="F1074" s="14" t="s">
        <v>1980</v>
      </c>
      <c r="G1074" s="14" t="s">
        <v>1900</v>
      </c>
      <c r="H1074" s="14">
        <v>107</v>
      </c>
      <c r="I1074" s="176" t="s">
        <v>140</v>
      </c>
      <c r="K1074" s="87"/>
      <c r="L1074" s="14" t="s">
        <v>5015</v>
      </c>
      <c r="M1074" s="324">
        <v>0</v>
      </c>
      <c r="N1074" s="14" t="s">
        <v>1879</v>
      </c>
      <c r="O1074" s="14" t="s">
        <v>1879</v>
      </c>
      <c r="P1074" s="167" t="s">
        <v>143</v>
      </c>
      <c r="Q1074" s="14" t="s">
        <v>177</v>
      </c>
      <c r="R1074" s="170" t="s">
        <v>234</v>
      </c>
      <c r="S1074" s="108">
        <f t="shared" si="163"/>
        <v>45806</v>
      </c>
      <c r="T1074" s="79">
        <v>45799</v>
      </c>
      <c r="U1074" s="14"/>
      <c r="V1074" s="14"/>
      <c r="W1074" s="14"/>
      <c r="X1074" s="14"/>
      <c r="Y1074" s="14" t="s">
        <v>1982</v>
      </c>
      <c r="Z1074" s="14" t="s">
        <v>5016</v>
      </c>
      <c r="AA1074" s="2">
        <f t="shared" ca="1" si="159"/>
        <v>1</v>
      </c>
      <c r="AB1074" s="153"/>
      <c r="AC1074" s="454" t="str">
        <f t="shared" si="161"/>
        <v>1</v>
      </c>
    </row>
    <row r="1075" spans="1:29" ht="72.5" x14ac:dyDescent="0.35">
      <c r="A1075" s="111" t="str">
        <f t="shared" si="164"/>
        <v>Closed</v>
      </c>
      <c r="B1075" s="226">
        <v>45778</v>
      </c>
      <c r="C1075" s="14">
        <v>2502</v>
      </c>
      <c r="D1075" s="14" t="s">
        <v>5017</v>
      </c>
      <c r="E1075" s="14" t="s">
        <v>1907</v>
      </c>
      <c r="F1075" s="14" t="s">
        <v>2095</v>
      </c>
      <c r="G1075" s="14" t="s">
        <v>1911</v>
      </c>
      <c r="H1075" s="14">
        <v>107</v>
      </c>
      <c r="I1075" s="176" t="s">
        <v>140</v>
      </c>
      <c r="K1075" s="87"/>
      <c r="L1075" s="14" t="s">
        <v>5018</v>
      </c>
      <c r="M1075" s="324">
        <f t="shared" ref="M1075:M1085" si="166">IF(I1075="Staff Accident","Entry Required",IF(I1075="Assaults","Entry Required",0))</f>
        <v>0</v>
      </c>
      <c r="N1075" s="14" t="s">
        <v>1879</v>
      </c>
      <c r="O1075" s="14" t="s">
        <v>1879</v>
      </c>
      <c r="P1075" s="167" t="s">
        <v>143</v>
      </c>
      <c r="Q1075" s="14"/>
      <c r="R1075" s="170">
        <v>0</v>
      </c>
      <c r="S1075" s="108">
        <f t="shared" si="163"/>
        <v>45806</v>
      </c>
      <c r="T1075" s="79">
        <v>45778</v>
      </c>
      <c r="U1075" s="14"/>
      <c r="V1075" s="14"/>
      <c r="W1075" s="14"/>
      <c r="X1075" s="14"/>
      <c r="Y1075" s="14" t="s">
        <v>1915</v>
      </c>
      <c r="Z1075" s="14"/>
      <c r="AA1075" s="2">
        <f t="shared" ca="1" si="159"/>
        <v>1</v>
      </c>
      <c r="AB1075" s="153"/>
      <c r="AC1075" s="454" t="str">
        <f t="shared" si="161"/>
        <v>1</v>
      </c>
    </row>
    <row r="1076" spans="1:29" ht="43.5" x14ac:dyDescent="0.35">
      <c r="A1076" s="89" t="str">
        <f t="shared" si="164"/>
        <v>Closed</v>
      </c>
      <c r="B1076" s="222">
        <v>45779</v>
      </c>
      <c r="C1076" s="14">
        <v>2502</v>
      </c>
      <c r="D1076" s="14" t="s">
        <v>5019</v>
      </c>
      <c r="E1076" s="14" t="s">
        <v>78</v>
      </c>
      <c r="F1076" s="14" t="s">
        <v>1910</v>
      </c>
      <c r="G1076" s="14" t="s">
        <v>1911</v>
      </c>
      <c r="H1076" s="14">
        <v>109</v>
      </c>
      <c r="I1076" s="176" t="s">
        <v>155</v>
      </c>
      <c r="K1076" s="87"/>
      <c r="L1076" s="14" t="s">
        <v>5020</v>
      </c>
      <c r="M1076" s="324">
        <f t="shared" si="166"/>
        <v>0</v>
      </c>
      <c r="N1076" s="14" t="s">
        <v>1879</v>
      </c>
      <c r="O1076" s="14" t="s">
        <v>1880</v>
      </c>
      <c r="P1076" s="167" t="s">
        <v>147</v>
      </c>
      <c r="Q1076" s="14" t="s">
        <v>168</v>
      </c>
      <c r="R1076" s="223" t="s">
        <v>234</v>
      </c>
      <c r="S1076" s="224">
        <f t="shared" si="163"/>
        <v>45807</v>
      </c>
      <c r="T1076" s="79">
        <v>45902</v>
      </c>
      <c r="U1076" s="14"/>
      <c r="V1076" s="14"/>
      <c r="W1076" s="14"/>
      <c r="X1076" s="14"/>
      <c r="Y1076" s="14" t="s">
        <v>1915</v>
      </c>
      <c r="Z1076" s="14" t="s">
        <v>5021</v>
      </c>
      <c r="AA1076" s="2">
        <f t="shared" ca="1" si="159"/>
        <v>1</v>
      </c>
      <c r="AB1076" s="153"/>
      <c r="AC1076" s="454" t="str">
        <f t="shared" si="161"/>
        <v>1</v>
      </c>
    </row>
    <row r="1077" spans="1:29" x14ac:dyDescent="0.35">
      <c r="A1077" s="89" t="str">
        <f t="shared" si="164"/>
        <v>Closed</v>
      </c>
      <c r="B1077" s="222">
        <v>45779</v>
      </c>
      <c r="C1077" s="14">
        <v>2502</v>
      </c>
      <c r="D1077" s="14" t="s">
        <v>5022</v>
      </c>
      <c r="E1077" s="14" t="s">
        <v>219</v>
      </c>
      <c r="F1077" s="14" t="s">
        <v>1968</v>
      </c>
      <c r="G1077" s="14"/>
      <c r="H1077" s="14">
        <v>120</v>
      </c>
      <c r="I1077" s="176" t="s">
        <v>140</v>
      </c>
      <c r="K1077" s="87"/>
      <c r="L1077" s="14" t="s">
        <v>5023</v>
      </c>
      <c r="M1077" s="324">
        <f t="shared" si="166"/>
        <v>0</v>
      </c>
      <c r="N1077" s="14" t="s">
        <v>1879</v>
      </c>
      <c r="O1077" s="14" t="s">
        <v>1879</v>
      </c>
      <c r="P1077" s="167" t="s">
        <v>143</v>
      </c>
      <c r="Q1077" s="14"/>
      <c r="R1077" s="223">
        <v>0</v>
      </c>
      <c r="S1077" s="224">
        <f t="shared" si="163"/>
        <v>45807</v>
      </c>
      <c r="T1077" s="79">
        <v>45779</v>
      </c>
      <c r="U1077" s="14"/>
      <c r="V1077" s="14"/>
      <c r="W1077" s="14"/>
      <c r="X1077" s="14"/>
      <c r="Y1077" s="14" t="s">
        <v>1970</v>
      </c>
      <c r="Z1077" s="14"/>
      <c r="AA1077" s="2">
        <f t="shared" ca="1" si="159"/>
        <v>1</v>
      </c>
      <c r="AB1077" s="153"/>
      <c r="AC1077" s="454" t="str">
        <f t="shared" si="161"/>
        <v>1</v>
      </c>
    </row>
    <row r="1078" spans="1:29" ht="29" x14ac:dyDescent="0.35">
      <c r="A1078" s="89" t="str">
        <f t="shared" si="164"/>
        <v>Closed</v>
      </c>
      <c r="B1078" s="222">
        <v>45779</v>
      </c>
      <c r="C1078" s="14">
        <v>2502</v>
      </c>
      <c r="D1078" s="14" t="s">
        <v>5024</v>
      </c>
      <c r="E1078" s="14" t="s">
        <v>8</v>
      </c>
      <c r="F1078" s="14" t="s">
        <v>1937</v>
      </c>
      <c r="G1078" s="14"/>
      <c r="H1078" s="14">
        <v>107</v>
      </c>
      <c r="I1078" s="176" t="s">
        <v>140</v>
      </c>
      <c r="K1078" s="87"/>
      <c r="L1078" s="14" t="s">
        <v>5025</v>
      </c>
      <c r="M1078" s="324">
        <f t="shared" si="166"/>
        <v>0</v>
      </c>
      <c r="N1078" s="14" t="s">
        <v>1879</v>
      </c>
      <c r="O1078" s="14" t="s">
        <v>1879</v>
      </c>
      <c r="P1078" s="167" t="s">
        <v>143</v>
      </c>
      <c r="Q1078" s="14"/>
      <c r="R1078" s="223">
        <v>0</v>
      </c>
      <c r="S1078" s="224">
        <f t="shared" si="163"/>
        <v>45807</v>
      </c>
      <c r="T1078" s="79">
        <v>45779</v>
      </c>
      <c r="U1078" s="14"/>
      <c r="V1078" s="14"/>
      <c r="W1078" s="14"/>
      <c r="X1078" s="14"/>
      <c r="Z1078" s="14"/>
      <c r="AA1078" s="2">
        <f t="shared" ca="1" si="159"/>
        <v>1</v>
      </c>
      <c r="AB1078" s="153"/>
      <c r="AC1078" s="454" t="str">
        <f t="shared" si="161"/>
        <v>1</v>
      </c>
    </row>
    <row r="1079" spans="1:29" ht="29" x14ac:dyDescent="0.35">
      <c r="A1079" s="89" t="str">
        <f t="shared" si="164"/>
        <v>Closed</v>
      </c>
      <c r="B1079" s="222">
        <v>45779</v>
      </c>
      <c r="C1079" s="14">
        <v>2502</v>
      </c>
      <c r="D1079" s="14" t="s">
        <v>5026</v>
      </c>
      <c r="E1079" s="14" t="s">
        <v>72</v>
      </c>
      <c r="F1079" s="14" t="s">
        <v>2032</v>
      </c>
      <c r="G1079" s="14"/>
      <c r="H1079" s="14"/>
      <c r="I1079" s="176" t="s">
        <v>155</v>
      </c>
      <c r="K1079" s="87"/>
      <c r="L1079" s="14" t="s">
        <v>5027</v>
      </c>
      <c r="M1079" s="324">
        <f t="shared" si="166"/>
        <v>0</v>
      </c>
      <c r="N1079" s="14" t="s">
        <v>1879</v>
      </c>
      <c r="O1079" s="14"/>
      <c r="P1079" s="167" t="s">
        <v>147</v>
      </c>
      <c r="Q1079" s="14" t="s">
        <v>174</v>
      </c>
      <c r="R1079" s="223" t="s">
        <v>234</v>
      </c>
      <c r="S1079" s="224">
        <f t="shared" si="163"/>
        <v>45807</v>
      </c>
      <c r="T1079" s="79">
        <v>45902</v>
      </c>
      <c r="U1079" s="14"/>
      <c r="V1079" s="14"/>
      <c r="W1079" s="14"/>
      <c r="X1079" s="14"/>
      <c r="Z1079" s="14" t="s">
        <v>342</v>
      </c>
      <c r="AA1079" s="2">
        <f t="shared" ref="AA1079:AA1121" ca="1" si="167">IF(B1079="",3,IF(S1079&lt;$A$1,1,0))</f>
        <v>1</v>
      </c>
      <c r="AB1079" s="153"/>
      <c r="AC1079" s="454" t="str">
        <f t="shared" si="161"/>
        <v/>
      </c>
    </row>
    <row r="1080" spans="1:29" ht="58" x14ac:dyDescent="0.45">
      <c r="A1080" s="111" t="str">
        <f t="shared" si="164"/>
        <v>Closed</v>
      </c>
      <c r="B1080" s="226">
        <v>45779</v>
      </c>
      <c r="C1080" s="14">
        <v>2502</v>
      </c>
      <c r="D1080" s="14" t="s">
        <v>5028</v>
      </c>
      <c r="E1080" s="14" t="s">
        <v>192</v>
      </c>
      <c r="F1080" s="14" t="s">
        <v>2338</v>
      </c>
      <c r="G1080" s="14"/>
      <c r="H1080" s="14">
        <v>109</v>
      </c>
      <c r="I1080" s="176" t="s">
        <v>140</v>
      </c>
      <c r="K1080" s="87"/>
      <c r="L1080" s="14" t="s">
        <v>5029</v>
      </c>
      <c r="M1080" s="324">
        <f t="shared" si="166"/>
        <v>0</v>
      </c>
      <c r="N1080" s="14" t="s">
        <v>1879</v>
      </c>
      <c r="O1080" s="14" t="s">
        <v>1879</v>
      </c>
      <c r="P1080" s="167" t="s">
        <v>143</v>
      </c>
      <c r="Q1080" s="14"/>
      <c r="R1080" s="170">
        <v>0</v>
      </c>
      <c r="S1080" s="108">
        <f t="shared" si="163"/>
        <v>45807</v>
      </c>
      <c r="T1080" s="79">
        <v>45779</v>
      </c>
      <c r="U1080" s="14"/>
      <c r="V1080" s="14"/>
      <c r="W1080" s="14"/>
      <c r="X1080" s="14"/>
      <c r="Y1080" s="463" t="s">
        <v>2340</v>
      </c>
      <c r="Z1080" s="14"/>
      <c r="AA1080" s="2">
        <f t="shared" ca="1" si="167"/>
        <v>1</v>
      </c>
      <c r="AB1080" s="153"/>
      <c r="AC1080" s="454" t="str">
        <f t="shared" si="161"/>
        <v>1</v>
      </c>
    </row>
    <row r="1081" spans="1:29" ht="29" x14ac:dyDescent="0.35">
      <c r="A1081" s="111" t="str">
        <f t="shared" si="164"/>
        <v>Closed</v>
      </c>
      <c r="B1081" s="226">
        <v>45780</v>
      </c>
      <c r="C1081" s="14">
        <v>2502</v>
      </c>
      <c r="D1081" s="14" t="s">
        <v>5030</v>
      </c>
      <c r="E1081" s="14" t="s">
        <v>219</v>
      </c>
      <c r="F1081" s="14" t="s">
        <v>1968</v>
      </c>
      <c r="G1081" s="14" t="s">
        <v>1911</v>
      </c>
      <c r="H1081" s="14">
        <v>104</v>
      </c>
      <c r="I1081" s="176" t="s">
        <v>140</v>
      </c>
      <c r="K1081" s="87"/>
      <c r="L1081" s="14" t="s">
        <v>5031</v>
      </c>
      <c r="M1081" s="324">
        <f t="shared" si="166"/>
        <v>0</v>
      </c>
      <c r="N1081" s="14" t="s">
        <v>1879</v>
      </c>
      <c r="O1081" s="14" t="s">
        <v>1879</v>
      </c>
      <c r="P1081" s="167" t="s">
        <v>143</v>
      </c>
      <c r="Q1081" s="14"/>
      <c r="R1081" s="170">
        <v>0</v>
      </c>
      <c r="S1081" s="108">
        <f t="shared" si="163"/>
        <v>45808</v>
      </c>
      <c r="T1081" s="79">
        <v>45780</v>
      </c>
      <c r="U1081" s="14"/>
      <c r="V1081" s="14"/>
      <c r="W1081" s="14"/>
      <c r="X1081" s="14"/>
      <c r="Y1081" s="14" t="s">
        <v>1970</v>
      </c>
      <c r="Z1081" s="14"/>
      <c r="AA1081" s="2">
        <f t="shared" ca="1" si="167"/>
        <v>1</v>
      </c>
      <c r="AB1081" s="153"/>
      <c r="AC1081" s="454" t="str">
        <f t="shared" si="161"/>
        <v>1</v>
      </c>
    </row>
    <row r="1082" spans="1:29" ht="29" x14ac:dyDescent="0.35">
      <c r="A1082" s="111" t="str">
        <f t="shared" si="164"/>
        <v>Closed</v>
      </c>
      <c r="B1082" s="226">
        <v>45780</v>
      </c>
      <c r="C1082" s="14">
        <v>2502</v>
      </c>
      <c r="D1082" s="14" t="s">
        <v>5032</v>
      </c>
      <c r="E1082" s="14" t="s">
        <v>206</v>
      </c>
      <c r="F1082" s="14" t="s">
        <v>2432</v>
      </c>
      <c r="G1082" s="14" t="s">
        <v>1911</v>
      </c>
      <c r="H1082" s="14"/>
      <c r="I1082" s="176" t="s">
        <v>140</v>
      </c>
      <c r="K1082" s="87"/>
      <c r="L1082" s="14" t="s">
        <v>5033</v>
      </c>
      <c r="M1082" s="324">
        <f t="shared" si="166"/>
        <v>0</v>
      </c>
      <c r="N1082" s="14" t="s">
        <v>1879</v>
      </c>
      <c r="O1082" s="14" t="s">
        <v>1879</v>
      </c>
      <c r="P1082" s="14" t="s">
        <v>143</v>
      </c>
      <c r="Q1082" s="14"/>
      <c r="R1082" s="170">
        <v>0</v>
      </c>
      <c r="S1082" s="108">
        <f t="shared" si="163"/>
        <v>45808</v>
      </c>
      <c r="T1082" s="79">
        <v>45780</v>
      </c>
      <c r="U1082" s="14"/>
      <c r="V1082" s="14"/>
      <c r="W1082" s="14"/>
      <c r="X1082" s="14"/>
      <c r="Y1082" s="14" t="s">
        <v>2436</v>
      </c>
      <c r="Z1082" s="14"/>
      <c r="AA1082" s="2">
        <f t="shared" ca="1" si="167"/>
        <v>1</v>
      </c>
      <c r="AB1082" s="153"/>
      <c r="AC1082" s="454" t="str">
        <f t="shared" si="161"/>
        <v/>
      </c>
    </row>
    <row r="1083" spans="1:29" ht="29" x14ac:dyDescent="0.35">
      <c r="A1083" s="111" t="str">
        <f t="shared" si="164"/>
        <v>Closed</v>
      </c>
      <c r="B1083" s="226">
        <v>45780</v>
      </c>
      <c r="C1083" s="14">
        <v>2502</v>
      </c>
      <c r="D1083" s="14" t="s">
        <v>5034</v>
      </c>
      <c r="E1083" s="14" t="s">
        <v>206</v>
      </c>
      <c r="F1083" s="14" t="s">
        <v>2245</v>
      </c>
      <c r="G1083" s="14"/>
      <c r="H1083" s="14"/>
      <c r="I1083" s="176" t="s">
        <v>140</v>
      </c>
      <c r="K1083" s="87"/>
      <c r="L1083" s="14" t="s">
        <v>5035</v>
      </c>
      <c r="M1083" s="324">
        <f t="shared" si="166"/>
        <v>0</v>
      </c>
      <c r="N1083" s="14" t="s">
        <v>1879</v>
      </c>
      <c r="O1083" s="14" t="s">
        <v>1879</v>
      </c>
      <c r="P1083" s="14" t="s">
        <v>143</v>
      </c>
      <c r="Q1083" s="14"/>
      <c r="R1083" s="170">
        <v>0</v>
      </c>
      <c r="S1083" s="108">
        <f t="shared" si="163"/>
        <v>45808</v>
      </c>
      <c r="T1083" s="79">
        <v>45780</v>
      </c>
      <c r="U1083" s="14"/>
      <c r="V1083" s="14"/>
      <c r="W1083" s="14"/>
      <c r="X1083" s="14"/>
      <c r="Z1083" s="14"/>
      <c r="AA1083" s="2">
        <f t="shared" ca="1" si="167"/>
        <v>1</v>
      </c>
      <c r="AB1083" s="153"/>
      <c r="AC1083" s="454" t="str">
        <f t="shared" si="161"/>
        <v/>
      </c>
    </row>
    <row r="1084" spans="1:29" ht="43.5" x14ac:dyDescent="0.35">
      <c r="A1084" s="111" t="str">
        <f t="shared" si="164"/>
        <v>Closed</v>
      </c>
      <c r="B1084" s="226">
        <v>45781</v>
      </c>
      <c r="C1084" s="14">
        <v>2502</v>
      </c>
      <c r="D1084" s="14" t="s">
        <v>5036</v>
      </c>
      <c r="E1084" s="14" t="s">
        <v>38</v>
      </c>
      <c r="F1084" s="14" t="s">
        <v>2064</v>
      </c>
      <c r="G1084" s="14" t="s">
        <v>1911</v>
      </c>
      <c r="H1084" s="14">
        <v>112</v>
      </c>
      <c r="I1084" s="176" t="s">
        <v>140</v>
      </c>
      <c r="K1084" s="87"/>
      <c r="L1084" s="14" t="s">
        <v>5037</v>
      </c>
      <c r="M1084" s="324">
        <f t="shared" si="166"/>
        <v>0</v>
      </c>
      <c r="N1084" s="14" t="s">
        <v>1879</v>
      </c>
      <c r="O1084" s="14" t="s">
        <v>1879</v>
      </c>
      <c r="P1084" s="14" t="s">
        <v>143</v>
      </c>
      <c r="Q1084" s="14"/>
      <c r="R1084" s="170">
        <v>0</v>
      </c>
      <c r="S1084" s="108">
        <f t="shared" ref="S1084:S1115" si="168">IF(B1084="","",B1084+28)</f>
        <v>45809</v>
      </c>
      <c r="T1084" s="79">
        <v>45781</v>
      </c>
      <c r="U1084" s="14"/>
      <c r="V1084" s="14"/>
      <c r="W1084" s="14"/>
      <c r="X1084" s="14"/>
      <c r="Y1084" s="14" t="s">
        <v>2068</v>
      </c>
      <c r="Z1084" s="14"/>
      <c r="AA1084" s="2">
        <f t="shared" ca="1" si="167"/>
        <v>1</v>
      </c>
      <c r="AB1084" s="153"/>
      <c r="AC1084" s="454" t="str">
        <f t="shared" si="161"/>
        <v>1</v>
      </c>
    </row>
    <row r="1085" spans="1:29" ht="43.5" x14ac:dyDescent="0.35">
      <c r="A1085" s="111" t="str">
        <f t="shared" si="164"/>
        <v>Closed</v>
      </c>
      <c r="B1085" s="226">
        <v>45782</v>
      </c>
      <c r="C1085" s="14">
        <v>2502</v>
      </c>
      <c r="D1085" s="14" t="s">
        <v>5038</v>
      </c>
      <c r="E1085" s="14" t="s">
        <v>219</v>
      </c>
      <c r="F1085" s="14" t="s">
        <v>2119</v>
      </c>
      <c r="G1085" s="14" t="s">
        <v>1911</v>
      </c>
      <c r="H1085" s="14"/>
      <c r="I1085" s="176" t="s">
        <v>140</v>
      </c>
      <c r="K1085" s="87"/>
      <c r="L1085" s="14" t="s">
        <v>5039</v>
      </c>
      <c r="M1085" s="324">
        <f t="shared" si="166"/>
        <v>0</v>
      </c>
      <c r="N1085" s="14" t="s">
        <v>1879</v>
      </c>
      <c r="O1085" s="14" t="s">
        <v>1879</v>
      </c>
      <c r="P1085" s="167" t="s">
        <v>143</v>
      </c>
      <c r="Q1085" s="14"/>
      <c r="R1085" s="170">
        <v>0</v>
      </c>
      <c r="S1085" s="108">
        <f t="shared" si="168"/>
        <v>45810</v>
      </c>
      <c r="T1085" s="79">
        <v>45782</v>
      </c>
      <c r="U1085" s="14"/>
      <c r="V1085" s="14"/>
      <c r="W1085" s="14"/>
      <c r="X1085" s="14"/>
      <c r="Y1085" s="14" t="s">
        <v>2093</v>
      </c>
      <c r="Z1085" s="14"/>
      <c r="AA1085" s="2">
        <f t="shared" ca="1" si="167"/>
        <v>1</v>
      </c>
      <c r="AB1085" s="153"/>
      <c r="AC1085" s="454" t="str">
        <f t="shared" ref="AC1085:AC1148" si="169">LEFT(H1085,1)</f>
        <v/>
      </c>
    </row>
    <row r="1086" spans="1:29" ht="58" x14ac:dyDescent="0.35">
      <c r="A1086" s="111" t="str">
        <f t="shared" si="164"/>
        <v>Closed</v>
      </c>
      <c r="B1086" s="226">
        <v>45782</v>
      </c>
      <c r="C1086" s="14">
        <v>2502</v>
      </c>
      <c r="D1086" s="14" t="s">
        <v>5040</v>
      </c>
      <c r="E1086" s="14" t="s">
        <v>40</v>
      </c>
      <c r="F1086" s="14" t="s">
        <v>2037</v>
      </c>
      <c r="G1086" s="14"/>
      <c r="H1086" s="14">
        <v>111</v>
      </c>
      <c r="I1086" s="176" t="s">
        <v>4</v>
      </c>
      <c r="J1086" s="14">
        <v>87</v>
      </c>
      <c r="K1086" s="14" t="s">
        <v>137</v>
      </c>
      <c r="L1086" s="14" t="s">
        <v>5041</v>
      </c>
      <c r="M1086" s="324">
        <v>0</v>
      </c>
      <c r="N1086" s="14" t="s">
        <v>1879</v>
      </c>
      <c r="O1086" s="14" t="s">
        <v>1879</v>
      </c>
      <c r="P1086" s="167" t="s">
        <v>139</v>
      </c>
      <c r="Q1086" s="14" t="s">
        <v>135</v>
      </c>
      <c r="R1086" s="170" t="s">
        <v>234</v>
      </c>
      <c r="S1086" s="108">
        <f t="shared" si="168"/>
        <v>45810</v>
      </c>
      <c r="T1086" s="79">
        <v>45804</v>
      </c>
      <c r="U1086" s="14" t="s">
        <v>5042</v>
      </c>
      <c r="V1086" s="14" t="s">
        <v>5043</v>
      </c>
      <c r="W1086" s="14" t="s">
        <v>1879</v>
      </c>
      <c r="X1086" s="14" t="s">
        <v>1879</v>
      </c>
      <c r="Y1086" s="14" t="s">
        <v>2039</v>
      </c>
      <c r="Z1086" s="14"/>
      <c r="AA1086" s="2">
        <f t="shared" ca="1" si="167"/>
        <v>1</v>
      </c>
      <c r="AB1086" s="153"/>
      <c r="AC1086" s="454" t="str">
        <f t="shared" si="169"/>
        <v>1</v>
      </c>
    </row>
    <row r="1087" spans="1:29" ht="29" x14ac:dyDescent="0.35">
      <c r="A1087" s="89" t="str">
        <f t="shared" si="164"/>
        <v>Closed</v>
      </c>
      <c r="B1087" s="222">
        <v>45782</v>
      </c>
      <c r="C1087" s="14">
        <v>2502</v>
      </c>
      <c r="D1087" s="14" t="s">
        <v>5044</v>
      </c>
      <c r="E1087" s="14" t="s">
        <v>38</v>
      </c>
      <c r="F1087" s="14" t="s">
        <v>5045</v>
      </c>
      <c r="G1087" s="14"/>
      <c r="H1087" s="14"/>
      <c r="I1087" s="176" t="s">
        <v>2</v>
      </c>
      <c r="J1087" s="14">
        <v>8503271</v>
      </c>
      <c r="K1087" s="85" t="s">
        <v>137</v>
      </c>
      <c r="L1087" s="14" t="s">
        <v>5046</v>
      </c>
      <c r="M1087" s="324">
        <v>0</v>
      </c>
      <c r="N1087" s="14" t="s">
        <v>1879</v>
      </c>
      <c r="O1087" s="14" t="s">
        <v>1879</v>
      </c>
      <c r="P1087" s="167" t="s">
        <v>136</v>
      </c>
      <c r="Q1087" s="14" t="s">
        <v>157</v>
      </c>
      <c r="R1087" s="223" t="s">
        <v>234</v>
      </c>
      <c r="S1087" s="224">
        <f t="shared" si="168"/>
        <v>45810</v>
      </c>
      <c r="T1087" s="79">
        <v>45902</v>
      </c>
      <c r="U1087" s="14"/>
      <c r="V1087" s="14"/>
      <c r="W1087" s="14"/>
      <c r="X1087" s="14"/>
      <c r="Z1087" s="14" t="s">
        <v>5047</v>
      </c>
      <c r="AA1087" s="2">
        <f t="shared" ca="1" si="167"/>
        <v>1</v>
      </c>
      <c r="AB1087" s="153"/>
      <c r="AC1087" s="454" t="str">
        <f t="shared" si="169"/>
        <v/>
      </c>
    </row>
    <row r="1088" spans="1:29" ht="43.5" x14ac:dyDescent="0.35">
      <c r="A1088" s="89" t="str">
        <f t="shared" si="164"/>
        <v>Closed</v>
      </c>
      <c r="B1088" s="222">
        <v>45783</v>
      </c>
      <c r="C1088" s="14">
        <v>2502</v>
      </c>
      <c r="D1088" s="14" t="s">
        <v>5048</v>
      </c>
      <c r="E1088" s="14" t="s">
        <v>27</v>
      </c>
      <c r="F1088" s="14" t="s">
        <v>2064</v>
      </c>
      <c r="G1088" s="14" t="s">
        <v>1900</v>
      </c>
      <c r="H1088" s="14">
        <v>201</v>
      </c>
      <c r="I1088" s="176" t="s">
        <v>140</v>
      </c>
      <c r="K1088" s="87"/>
      <c r="L1088" s="14" t="s">
        <v>5049</v>
      </c>
      <c r="M1088" s="324">
        <f t="shared" ref="M1088:M1097" si="170">IF(I1088="Staff Accident","Entry Required",IF(I1088="Assaults","Entry Required",0))</f>
        <v>0</v>
      </c>
      <c r="N1088" s="14" t="s">
        <v>1879</v>
      </c>
      <c r="O1088" s="14" t="s">
        <v>1879</v>
      </c>
      <c r="P1088" s="167" t="s">
        <v>143</v>
      </c>
      <c r="Q1088" s="14"/>
      <c r="R1088" s="223">
        <v>0</v>
      </c>
      <c r="S1088" s="224">
        <f t="shared" si="168"/>
        <v>45811</v>
      </c>
      <c r="T1088" s="79">
        <v>45783</v>
      </c>
      <c r="U1088" s="14"/>
      <c r="V1088" s="14"/>
      <c r="W1088" s="14"/>
      <c r="X1088" s="14"/>
      <c r="Y1088" s="14" t="s">
        <v>2068</v>
      </c>
      <c r="Z1088" s="14"/>
      <c r="AA1088" s="2">
        <f t="shared" ca="1" si="167"/>
        <v>1</v>
      </c>
      <c r="AB1088" s="153"/>
      <c r="AC1088" s="454" t="str">
        <f t="shared" si="169"/>
        <v>2</v>
      </c>
    </row>
    <row r="1089" spans="1:29" ht="43.5" x14ac:dyDescent="0.35">
      <c r="A1089" s="111" t="str">
        <f t="shared" si="164"/>
        <v>Closed</v>
      </c>
      <c r="B1089" s="226">
        <v>45784</v>
      </c>
      <c r="C1089" s="14">
        <v>2502</v>
      </c>
      <c r="D1089" s="14" t="s">
        <v>5050</v>
      </c>
      <c r="E1089" s="14" t="s">
        <v>8</v>
      </c>
      <c r="F1089" s="14" t="s">
        <v>5051</v>
      </c>
      <c r="G1089" s="14" t="s">
        <v>1911</v>
      </c>
      <c r="H1089" s="14"/>
      <c r="I1089" s="176" t="s">
        <v>140</v>
      </c>
      <c r="K1089" s="87"/>
      <c r="L1089" s="14" t="s">
        <v>5052</v>
      </c>
      <c r="M1089" s="324">
        <f t="shared" si="170"/>
        <v>0</v>
      </c>
      <c r="N1089" s="14" t="s">
        <v>1879</v>
      </c>
      <c r="O1089" s="14" t="s">
        <v>1879</v>
      </c>
      <c r="P1089" s="167" t="s">
        <v>143</v>
      </c>
      <c r="Q1089" s="14"/>
      <c r="R1089" s="170">
        <v>0</v>
      </c>
      <c r="S1089" s="108">
        <f t="shared" si="168"/>
        <v>45812</v>
      </c>
      <c r="T1089" s="79">
        <v>45784</v>
      </c>
      <c r="U1089" s="14"/>
      <c r="V1089" s="14"/>
      <c r="W1089" s="14"/>
      <c r="X1089" s="14"/>
      <c r="Y1089" s="14" t="s">
        <v>2084</v>
      </c>
      <c r="Z1089" s="14"/>
      <c r="AA1089" s="2">
        <f t="shared" ca="1" si="167"/>
        <v>1</v>
      </c>
      <c r="AB1089" s="153"/>
      <c r="AC1089" s="454" t="str">
        <f t="shared" si="169"/>
        <v/>
      </c>
    </row>
    <row r="1090" spans="1:29" ht="43.5" x14ac:dyDescent="0.35">
      <c r="A1090" s="111" t="str">
        <f t="shared" si="164"/>
        <v>Closed</v>
      </c>
      <c r="B1090" s="226">
        <v>45784</v>
      </c>
      <c r="C1090" s="14">
        <v>2502</v>
      </c>
      <c r="D1090" s="14" t="s">
        <v>5053</v>
      </c>
      <c r="E1090" s="14" t="s">
        <v>76</v>
      </c>
      <c r="F1090" s="14" t="s">
        <v>2187</v>
      </c>
      <c r="G1090" s="14"/>
      <c r="H1090" s="14">
        <v>121</v>
      </c>
      <c r="I1090" s="176" t="s">
        <v>140</v>
      </c>
      <c r="K1090" s="87"/>
      <c r="L1090" s="14" t="s">
        <v>5054</v>
      </c>
      <c r="M1090" s="324">
        <f t="shared" si="170"/>
        <v>0</v>
      </c>
      <c r="N1090" s="14" t="s">
        <v>1879</v>
      </c>
      <c r="O1090" s="14" t="s">
        <v>1879</v>
      </c>
      <c r="P1090" s="167" t="s">
        <v>143</v>
      </c>
      <c r="Q1090" s="14"/>
      <c r="R1090" s="170">
        <v>0</v>
      </c>
      <c r="S1090" s="108">
        <f t="shared" si="168"/>
        <v>45812</v>
      </c>
      <c r="T1090" s="79">
        <v>45784</v>
      </c>
      <c r="U1090" s="14"/>
      <c r="V1090" s="14"/>
      <c r="W1090" s="14"/>
      <c r="X1090" s="14"/>
      <c r="Y1090" s="14" t="s">
        <v>2023</v>
      </c>
      <c r="Z1090" s="14"/>
      <c r="AA1090" s="2">
        <f t="shared" ca="1" si="167"/>
        <v>1</v>
      </c>
      <c r="AB1090" s="153"/>
      <c r="AC1090" s="454" t="str">
        <f t="shared" si="169"/>
        <v>1</v>
      </c>
    </row>
    <row r="1091" spans="1:29" ht="29" x14ac:dyDescent="0.35">
      <c r="A1091" s="111" t="str">
        <f t="shared" si="164"/>
        <v>Closed</v>
      </c>
      <c r="B1091" s="226">
        <v>45784</v>
      </c>
      <c r="C1091" s="14">
        <v>2502</v>
      </c>
      <c r="D1091" s="14" t="s">
        <v>5055</v>
      </c>
      <c r="E1091" s="14" t="s">
        <v>219</v>
      </c>
      <c r="F1091" s="14" t="s">
        <v>2349</v>
      </c>
      <c r="G1091" s="14" t="s">
        <v>1900</v>
      </c>
      <c r="H1091" s="14">
        <v>105</v>
      </c>
      <c r="I1091" s="176" t="s">
        <v>140</v>
      </c>
      <c r="K1091" s="87"/>
      <c r="L1091" s="14" t="s">
        <v>5056</v>
      </c>
      <c r="M1091" s="324">
        <f t="shared" si="170"/>
        <v>0</v>
      </c>
      <c r="N1091" s="14" t="s">
        <v>1879</v>
      </c>
      <c r="O1091" s="14" t="s">
        <v>1879</v>
      </c>
      <c r="P1091" s="167" t="s">
        <v>143</v>
      </c>
      <c r="Q1091" s="14"/>
      <c r="R1091" s="170">
        <v>0</v>
      </c>
      <c r="S1091" s="108">
        <f t="shared" si="168"/>
        <v>45812</v>
      </c>
      <c r="T1091" s="79">
        <v>45784</v>
      </c>
      <c r="U1091" s="14"/>
      <c r="V1091" s="14"/>
      <c r="W1091" s="14"/>
      <c r="X1091" s="14"/>
      <c r="Y1091" s="14" t="s">
        <v>2351</v>
      </c>
      <c r="Z1091" s="14"/>
      <c r="AA1091" s="2">
        <f t="shared" ca="1" si="167"/>
        <v>1</v>
      </c>
      <c r="AB1091" s="153"/>
      <c r="AC1091" s="454" t="str">
        <f t="shared" si="169"/>
        <v>1</v>
      </c>
    </row>
    <row r="1092" spans="1:29" ht="72.5" x14ac:dyDescent="0.35">
      <c r="A1092" s="111" t="str">
        <f t="shared" si="164"/>
        <v>Closed</v>
      </c>
      <c r="B1092" s="226">
        <v>45784</v>
      </c>
      <c r="C1092" s="14">
        <v>2502</v>
      </c>
      <c r="D1092" s="14" t="s">
        <v>5057</v>
      </c>
      <c r="E1092" s="14" t="s">
        <v>52</v>
      </c>
      <c r="F1092" s="14" t="s">
        <v>3086</v>
      </c>
      <c r="G1092" s="14"/>
      <c r="H1092" s="14"/>
      <c r="I1092" s="176" t="s">
        <v>140</v>
      </c>
      <c r="K1092" s="87"/>
      <c r="L1092" s="14" t="s">
        <v>5058</v>
      </c>
      <c r="M1092" s="324">
        <f t="shared" si="170"/>
        <v>0</v>
      </c>
      <c r="N1092" s="14" t="s">
        <v>1879</v>
      </c>
      <c r="O1092" s="14" t="s">
        <v>1879</v>
      </c>
      <c r="P1092" s="167" t="s">
        <v>143</v>
      </c>
      <c r="Q1092" s="14"/>
      <c r="R1092" s="170">
        <v>0</v>
      </c>
      <c r="S1092" s="108">
        <f t="shared" si="168"/>
        <v>45812</v>
      </c>
      <c r="T1092" s="79">
        <v>45784</v>
      </c>
      <c r="U1092" s="14"/>
      <c r="V1092" s="14"/>
      <c r="W1092" s="14"/>
      <c r="X1092" s="14"/>
      <c r="Y1092" s="14" t="s">
        <v>3088</v>
      </c>
      <c r="Z1092" s="14"/>
      <c r="AA1092" s="2">
        <f t="shared" ca="1" si="167"/>
        <v>1</v>
      </c>
      <c r="AB1092" s="153"/>
      <c r="AC1092" s="454" t="str">
        <f t="shared" si="169"/>
        <v/>
      </c>
    </row>
    <row r="1093" spans="1:29" ht="43.5" x14ac:dyDescent="0.35">
      <c r="A1093" s="111" t="str">
        <f t="shared" si="164"/>
        <v>Closed</v>
      </c>
      <c r="B1093" s="226">
        <v>45784</v>
      </c>
      <c r="C1093" s="14">
        <v>2502</v>
      </c>
      <c r="D1093" s="14" t="s">
        <v>5059</v>
      </c>
      <c r="E1093" s="14" t="s">
        <v>64</v>
      </c>
      <c r="F1093" s="14" t="s">
        <v>2255</v>
      </c>
      <c r="G1093" s="14" t="s">
        <v>1900</v>
      </c>
      <c r="H1093" s="14">
        <v>111</v>
      </c>
      <c r="I1093" s="176" t="s">
        <v>140</v>
      </c>
      <c r="K1093" s="87"/>
      <c r="L1093" s="14" t="s">
        <v>5060</v>
      </c>
      <c r="M1093" s="324">
        <f t="shared" si="170"/>
        <v>0</v>
      </c>
      <c r="N1093" s="14" t="s">
        <v>1879</v>
      </c>
      <c r="O1093" s="14" t="s">
        <v>1879</v>
      </c>
      <c r="P1093" s="167" t="s">
        <v>143</v>
      </c>
      <c r="Q1093" s="14"/>
      <c r="R1093" s="170">
        <v>0</v>
      </c>
      <c r="S1093" s="108">
        <f t="shared" si="168"/>
        <v>45812</v>
      </c>
      <c r="T1093" s="79">
        <v>45784</v>
      </c>
      <c r="U1093" s="14"/>
      <c r="V1093" s="14"/>
      <c r="W1093" s="14"/>
      <c r="X1093" s="14"/>
      <c r="Y1093" s="14" t="s">
        <v>2259</v>
      </c>
      <c r="Z1093" s="14"/>
      <c r="AA1093" s="2">
        <f t="shared" ca="1" si="167"/>
        <v>1</v>
      </c>
      <c r="AB1093" s="153"/>
      <c r="AC1093" s="454" t="str">
        <f t="shared" si="169"/>
        <v>1</v>
      </c>
    </row>
    <row r="1094" spans="1:29" ht="29" x14ac:dyDescent="0.35">
      <c r="A1094" s="111" t="str">
        <f t="shared" si="164"/>
        <v>Closed</v>
      </c>
      <c r="B1094" s="226">
        <v>45785</v>
      </c>
      <c r="C1094" s="14">
        <v>2502</v>
      </c>
      <c r="D1094" s="14" t="s">
        <v>5061</v>
      </c>
      <c r="E1094" s="14" t="s">
        <v>192</v>
      </c>
      <c r="F1094" s="14" t="s">
        <v>2119</v>
      </c>
      <c r="G1094" s="14" t="s">
        <v>1911</v>
      </c>
      <c r="H1094" s="14">
        <v>119</v>
      </c>
      <c r="I1094" s="176" t="s">
        <v>140</v>
      </c>
      <c r="K1094" s="87"/>
      <c r="L1094" s="14" t="s">
        <v>5062</v>
      </c>
      <c r="M1094" s="324">
        <f t="shared" si="170"/>
        <v>0</v>
      </c>
      <c r="N1094" s="14" t="s">
        <v>1879</v>
      </c>
      <c r="O1094" s="14" t="s">
        <v>1879</v>
      </c>
      <c r="P1094" s="167" t="s">
        <v>143</v>
      </c>
      <c r="Q1094" s="14"/>
      <c r="R1094" s="170">
        <v>0</v>
      </c>
      <c r="S1094" s="108">
        <f t="shared" si="168"/>
        <v>45813</v>
      </c>
      <c r="T1094" s="79">
        <v>45785</v>
      </c>
      <c r="U1094" s="14"/>
      <c r="V1094" s="14"/>
      <c r="W1094" s="14"/>
      <c r="X1094" s="14"/>
      <c r="Y1094" s="14" t="s">
        <v>2093</v>
      </c>
      <c r="Z1094" s="14"/>
      <c r="AA1094" s="2">
        <f t="shared" ca="1" si="167"/>
        <v>1</v>
      </c>
      <c r="AB1094" s="153"/>
      <c r="AC1094" s="454" t="str">
        <f t="shared" si="169"/>
        <v>1</v>
      </c>
    </row>
    <row r="1095" spans="1:29" ht="29" x14ac:dyDescent="0.35">
      <c r="A1095" s="111" t="str">
        <f t="shared" si="164"/>
        <v>Closed</v>
      </c>
      <c r="B1095" s="226">
        <v>45786</v>
      </c>
      <c r="C1095" s="14">
        <v>2502</v>
      </c>
      <c r="D1095" s="14" t="s">
        <v>5063</v>
      </c>
      <c r="E1095" s="14" t="s">
        <v>219</v>
      </c>
      <c r="F1095" s="14" t="s">
        <v>2212</v>
      </c>
      <c r="G1095" s="14" t="s">
        <v>1911</v>
      </c>
      <c r="H1095" s="14">
        <v>201</v>
      </c>
      <c r="I1095" s="176" t="s">
        <v>140</v>
      </c>
      <c r="K1095" s="87"/>
      <c r="L1095" s="14" t="s">
        <v>5064</v>
      </c>
      <c r="M1095" s="324">
        <f t="shared" si="170"/>
        <v>0</v>
      </c>
      <c r="N1095" s="14" t="s">
        <v>1879</v>
      </c>
      <c r="O1095" s="14" t="s">
        <v>1879</v>
      </c>
      <c r="P1095" s="167" t="s">
        <v>143</v>
      </c>
      <c r="Q1095" s="14"/>
      <c r="R1095" s="170">
        <v>0</v>
      </c>
      <c r="S1095" s="108">
        <f t="shared" si="168"/>
        <v>45814</v>
      </c>
      <c r="T1095" s="79">
        <v>45786</v>
      </c>
      <c r="U1095" s="14"/>
      <c r="V1095" s="14"/>
      <c r="W1095" s="14"/>
      <c r="X1095" s="14"/>
      <c r="Y1095" s="14" t="s">
        <v>2216</v>
      </c>
      <c r="Z1095" s="14"/>
      <c r="AA1095" s="2">
        <f t="shared" ca="1" si="167"/>
        <v>1</v>
      </c>
      <c r="AB1095" s="153"/>
      <c r="AC1095" s="454" t="str">
        <f t="shared" si="169"/>
        <v>2</v>
      </c>
    </row>
    <row r="1096" spans="1:29" ht="43.5" x14ac:dyDescent="0.35">
      <c r="A1096" s="89" t="str">
        <f t="shared" si="164"/>
        <v>Closed</v>
      </c>
      <c r="B1096" s="222">
        <v>45787</v>
      </c>
      <c r="C1096" s="14">
        <v>2502</v>
      </c>
      <c r="D1096" s="14" t="s">
        <v>5065</v>
      </c>
      <c r="E1096" s="14" t="s">
        <v>27</v>
      </c>
      <c r="F1096" s="14" t="s">
        <v>3086</v>
      </c>
      <c r="G1096" s="14" t="s">
        <v>1911</v>
      </c>
      <c r="H1096" s="14">
        <v>106</v>
      </c>
      <c r="I1096" s="176" t="s">
        <v>140</v>
      </c>
      <c r="J1096" s="14">
        <v>95</v>
      </c>
      <c r="K1096" s="87"/>
      <c r="L1096" s="14" t="s">
        <v>5066</v>
      </c>
      <c r="M1096" s="324">
        <f t="shared" si="170"/>
        <v>0</v>
      </c>
      <c r="N1096" s="14" t="s">
        <v>1879</v>
      </c>
      <c r="O1096" s="14" t="s">
        <v>1880</v>
      </c>
      <c r="P1096" s="167" t="s">
        <v>143</v>
      </c>
      <c r="Q1096" s="14"/>
      <c r="R1096" s="223">
        <v>0</v>
      </c>
      <c r="S1096" s="224">
        <f t="shared" si="168"/>
        <v>45815</v>
      </c>
      <c r="T1096" s="79">
        <v>45787</v>
      </c>
      <c r="U1096" s="14"/>
      <c r="V1096" s="14"/>
      <c r="W1096" s="14"/>
      <c r="X1096" s="14"/>
      <c r="Y1096" s="14" t="s">
        <v>3088</v>
      </c>
      <c r="Z1096" s="14"/>
      <c r="AA1096" s="2">
        <f t="shared" ca="1" si="167"/>
        <v>1</v>
      </c>
      <c r="AB1096" s="153"/>
      <c r="AC1096" s="454" t="str">
        <f t="shared" si="169"/>
        <v>1</v>
      </c>
    </row>
    <row r="1097" spans="1:29" ht="29" x14ac:dyDescent="0.35">
      <c r="A1097" s="89" t="str">
        <f t="shared" si="164"/>
        <v>Closed</v>
      </c>
      <c r="B1097" s="222">
        <v>45787</v>
      </c>
      <c r="C1097" s="14">
        <v>2502</v>
      </c>
      <c r="D1097" s="14" t="s">
        <v>5067</v>
      </c>
      <c r="E1097" s="14" t="s">
        <v>219</v>
      </c>
      <c r="F1097" s="14" t="s">
        <v>1968</v>
      </c>
      <c r="G1097" s="14" t="s">
        <v>1911</v>
      </c>
      <c r="H1097" s="14">
        <v>121</v>
      </c>
      <c r="I1097" s="176" t="s">
        <v>140</v>
      </c>
      <c r="K1097" s="87"/>
      <c r="L1097" s="14" t="s">
        <v>5068</v>
      </c>
      <c r="M1097" s="324">
        <f t="shared" si="170"/>
        <v>0</v>
      </c>
      <c r="N1097" s="14" t="s">
        <v>1879</v>
      </c>
      <c r="O1097" s="14" t="s">
        <v>1879</v>
      </c>
      <c r="P1097" s="167" t="s">
        <v>143</v>
      </c>
      <c r="Q1097" s="14"/>
      <c r="R1097" s="223">
        <v>0</v>
      </c>
      <c r="S1097" s="224">
        <f t="shared" si="168"/>
        <v>45815</v>
      </c>
      <c r="T1097" s="79">
        <v>45787</v>
      </c>
      <c r="U1097" s="14"/>
      <c r="V1097" s="14"/>
      <c r="W1097" s="14"/>
      <c r="X1097" s="14"/>
      <c r="Y1097" s="14" t="s">
        <v>1970</v>
      </c>
      <c r="Z1097" s="14"/>
      <c r="AA1097" s="2">
        <f t="shared" ca="1" si="167"/>
        <v>1</v>
      </c>
      <c r="AB1097" s="153"/>
      <c r="AC1097" s="454" t="str">
        <f t="shared" si="169"/>
        <v>1</v>
      </c>
    </row>
    <row r="1098" spans="1:29" ht="43.5" x14ac:dyDescent="0.35">
      <c r="A1098" s="89" t="str">
        <f t="shared" si="164"/>
        <v>Closed</v>
      </c>
      <c r="B1098" s="222">
        <v>45788</v>
      </c>
      <c r="C1098" s="14">
        <v>2502</v>
      </c>
      <c r="D1098" s="14" t="s">
        <v>5069</v>
      </c>
      <c r="E1098" s="14" t="s">
        <v>42</v>
      </c>
      <c r="F1098" s="14" t="s">
        <v>5070</v>
      </c>
      <c r="G1098" s="14" t="s">
        <v>1911</v>
      </c>
      <c r="H1098" s="14"/>
      <c r="I1098" s="176" t="s">
        <v>4</v>
      </c>
      <c r="J1098" s="14">
        <v>685</v>
      </c>
      <c r="K1098" s="14" t="s">
        <v>137</v>
      </c>
      <c r="L1098" s="14" t="s">
        <v>5071</v>
      </c>
      <c r="M1098" s="324">
        <v>0</v>
      </c>
      <c r="N1098" s="14" t="s">
        <v>1879</v>
      </c>
      <c r="O1098" s="14" t="s">
        <v>1880</v>
      </c>
      <c r="P1098" s="167" t="s">
        <v>139</v>
      </c>
      <c r="Q1098" s="14" t="s">
        <v>153</v>
      </c>
      <c r="R1098" s="223" t="s">
        <v>234</v>
      </c>
      <c r="S1098" s="224">
        <f t="shared" si="168"/>
        <v>45816</v>
      </c>
      <c r="T1098" s="79">
        <v>45902</v>
      </c>
      <c r="U1098" s="14"/>
      <c r="V1098" s="14"/>
      <c r="W1098" s="14"/>
      <c r="X1098" s="14"/>
      <c r="Y1098" s="14" t="s">
        <v>1982</v>
      </c>
      <c r="Z1098" s="14" t="s">
        <v>5072</v>
      </c>
      <c r="AA1098" s="2">
        <f t="shared" ca="1" si="167"/>
        <v>1</v>
      </c>
      <c r="AB1098" s="153"/>
      <c r="AC1098" s="454" t="str">
        <f t="shared" si="169"/>
        <v/>
      </c>
    </row>
    <row r="1099" spans="1:29" ht="43.5" x14ac:dyDescent="0.35">
      <c r="A1099" s="111" t="str">
        <f t="shared" si="164"/>
        <v>Closed</v>
      </c>
      <c r="B1099" s="226">
        <v>45788</v>
      </c>
      <c r="C1099" s="14">
        <v>2502</v>
      </c>
      <c r="D1099" s="14" t="s">
        <v>5073</v>
      </c>
      <c r="E1099" s="14" t="s">
        <v>8</v>
      </c>
      <c r="F1099" s="14" t="s">
        <v>5074</v>
      </c>
      <c r="G1099" s="14" t="s">
        <v>1911</v>
      </c>
      <c r="H1099" s="14"/>
      <c r="I1099" s="176" t="s">
        <v>140</v>
      </c>
      <c r="J1099" s="14">
        <v>8503165</v>
      </c>
      <c r="K1099" s="87"/>
      <c r="L1099" s="14" t="s">
        <v>5075</v>
      </c>
      <c r="M1099" s="324">
        <f t="shared" ref="M1099:M1117" si="171">IF(I1099="Staff Accident","Entry Required",IF(I1099="Assaults","Entry Required",0))</f>
        <v>0</v>
      </c>
      <c r="N1099" s="14" t="s">
        <v>1879</v>
      </c>
      <c r="O1099" s="14" t="s">
        <v>1879</v>
      </c>
      <c r="P1099" s="167" t="s">
        <v>143</v>
      </c>
      <c r="Q1099" s="14"/>
      <c r="R1099" s="170">
        <v>0</v>
      </c>
      <c r="S1099" s="108">
        <f t="shared" si="168"/>
        <v>45816</v>
      </c>
      <c r="T1099" s="79">
        <v>45788</v>
      </c>
      <c r="U1099" s="14"/>
      <c r="V1099" s="14"/>
      <c r="W1099" s="14"/>
      <c r="X1099" s="14"/>
      <c r="Y1099" s="14" t="s">
        <v>1970</v>
      </c>
      <c r="Z1099" s="14"/>
      <c r="AA1099" s="2">
        <f t="shared" ca="1" si="167"/>
        <v>1</v>
      </c>
      <c r="AB1099" s="153"/>
      <c r="AC1099" s="454" t="str">
        <f t="shared" si="169"/>
        <v/>
      </c>
    </row>
    <row r="1100" spans="1:29" ht="29" x14ac:dyDescent="0.35">
      <c r="A1100" s="111" t="str">
        <f t="shared" si="164"/>
        <v>Closed</v>
      </c>
      <c r="B1100" s="226">
        <v>45789</v>
      </c>
      <c r="C1100" s="14">
        <v>2502</v>
      </c>
      <c r="D1100" s="14" t="s">
        <v>5076</v>
      </c>
      <c r="E1100" s="14" t="s">
        <v>187</v>
      </c>
      <c r="F1100" s="14" t="s">
        <v>2196</v>
      </c>
      <c r="G1100" s="14" t="s">
        <v>1900</v>
      </c>
      <c r="H1100" s="14"/>
      <c r="I1100" s="176" t="s">
        <v>140</v>
      </c>
      <c r="K1100" s="87"/>
      <c r="L1100" s="328" t="s">
        <v>5077</v>
      </c>
      <c r="M1100" s="324">
        <f t="shared" si="171"/>
        <v>0</v>
      </c>
      <c r="N1100" s="14" t="s">
        <v>1879</v>
      </c>
      <c r="O1100" s="14" t="s">
        <v>1879</v>
      </c>
      <c r="P1100" s="167" t="s">
        <v>143</v>
      </c>
      <c r="Q1100" s="14"/>
      <c r="R1100" s="170">
        <v>0</v>
      </c>
      <c r="S1100" s="108">
        <f t="shared" si="168"/>
        <v>45817</v>
      </c>
      <c r="T1100" s="79">
        <v>45789</v>
      </c>
      <c r="U1100" s="14"/>
      <c r="V1100" s="14"/>
      <c r="W1100" s="14"/>
      <c r="X1100" s="14"/>
      <c r="Y1100" s="14" t="s">
        <v>2198</v>
      </c>
      <c r="Z1100" s="14"/>
      <c r="AA1100" s="2">
        <f t="shared" ca="1" si="167"/>
        <v>1</v>
      </c>
      <c r="AB1100" s="153"/>
      <c r="AC1100" s="454" t="str">
        <f t="shared" si="169"/>
        <v/>
      </c>
    </row>
    <row r="1101" spans="1:29" ht="29" x14ac:dyDescent="0.35">
      <c r="A1101" s="111" t="str">
        <f t="shared" si="164"/>
        <v>Closed</v>
      </c>
      <c r="B1101" s="226">
        <v>45789</v>
      </c>
      <c r="C1101" s="14">
        <v>2502</v>
      </c>
      <c r="D1101" s="14" t="s">
        <v>5078</v>
      </c>
      <c r="E1101" s="14" t="s">
        <v>219</v>
      </c>
      <c r="F1101" s="14" t="s">
        <v>1968</v>
      </c>
      <c r="G1101" s="14" t="s">
        <v>1911</v>
      </c>
      <c r="H1101" s="14">
        <v>108</v>
      </c>
      <c r="I1101" s="176" t="s">
        <v>140</v>
      </c>
      <c r="K1101" s="87"/>
      <c r="L1101" s="14" t="s">
        <v>5079</v>
      </c>
      <c r="M1101" s="324">
        <f t="shared" si="171"/>
        <v>0</v>
      </c>
      <c r="N1101" s="14" t="s">
        <v>1879</v>
      </c>
      <c r="O1101" s="14" t="s">
        <v>1879</v>
      </c>
      <c r="P1101" s="167" t="s">
        <v>143</v>
      </c>
      <c r="Q1101" s="14"/>
      <c r="R1101" s="170">
        <v>0</v>
      </c>
      <c r="S1101" s="108">
        <f t="shared" si="168"/>
        <v>45817</v>
      </c>
      <c r="T1101" s="79">
        <v>45789</v>
      </c>
      <c r="U1101" s="14"/>
      <c r="V1101" s="14"/>
      <c r="W1101" s="14"/>
      <c r="X1101" s="14"/>
      <c r="Y1101" s="14" t="s">
        <v>1970</v>
      </c>
      <c r="Z1101" s="14"/>
      <c r="AA1101" s="2">
        <f t="shared" ca="1" si="167"/>
        <v>1</v>
      </c>
      <c r="AB1101" s="153"/>
      <c r="AC1101" s="454" t="str">
        <f t="shared" si="169"/>
        <v>1</v>
      </c>
    </row>
    <row r="1102" spans="1:29" ht="43.5" x14ac:dyDescent="0.35">
      <c r="A1102" s="111" t="str">
        <f t="shared" si="164"/>
        <v>Closed</v>
      </c>
      <c r="B1102" s="226">
        <v>45789</v>
      </c>
      <c r="C1102" s="14">
        <v>2502</v>
      </c>
      <c r="D1102" s="14" t="s">
        <v>1349</v>
      </c>
      <c r="E1102" s="14" t="s">
        <v>31</v>
      </c>
      <c r="F1102" s="14" t="s">
        <v>2774</v>
      </c>
      <c r="G1102" s="14"/>
      <c r="H1102" s="14">
        <v>105</v>
      </c>
      <c r="I1102" s="176" t="s">
        <v>155</v>
      </c>
      <c r="J1102" s="14">
        <v>8506252</v>
      </c>
      <c r="K1102" s="87"/>
      <c r="L1102" s="14" t="s">
        <v>5080</v>
      </c>
      <c r="M1102" s="324">
        <f t="shared" si="171"/>
        <v>0</v>
      </c>
      <c r="N1102" s="14" t="s">
        <v>1879</v>
      </c>
      <c r="O1102" s="14"/>
      <c r="P1102" s="167" t="s">
        <v>147</v>
      </c>
      <c r="Q1102" s="14" t="s">
        <v>175</v>
      </c>
      <c r="R1102" s="170" t="s">
        <v>234</v>
      </c>
      <c r="S1102" s="108">
        <f t="shared" si="168"/>
        <v>45817</v>
      </c>
      <c r="T1102" s="79">
        <v>45804</v>
      </c>
      <c r="U1102" s="14" t="s">
        <v>5081</v>
      </c>
      <c r="V1102" s="14" t="s">
        <v>3185</v>
      </c>
      <c r="W1102" s="14" t="s">
        <v>1880</v>
      </c>
      <c r="Z1102" s="14" t="s">
        <v>5082</v>
      </c>
      <c r="AA1102" s="2">
        <f t="shared" ca="1" si="167"/>
        <v>1</v>
      </c>
      <c r="AB1102" s="153"/>
      <c r="AC1102" s="454" t="str">
        <f t="shared" si="169"/>
        <v>1</v>
      </c>
    </row>
    <row r="1103" spans="1:29" ht="87" x14ac:dyDescent="0.35">
      <c r="A1103" s="89" t="str">
        <f t="shared" si="164"/>
        <v>Closed</v>
      </c>
      <c r="B1103" s="222">
        <v>45790</v>
      </c>
      <c r="C1103" s="14">
        <v>2502</v>
      </c>
      <c r="D1103" s="14" t="s">
        <v>5083</v>
      </c>
      <c r="E1103" s="14" t="s">
        <v>31</v>
      </c>
      <c r="F1103" s="14" t="s">
        <v>2196</v>
      </c>
      <c r="G1103" s="14" t="s">
        <v>1911</v>
      </c>
      <c r="H1103" s="14">
        <v>104</v>
      </c>
      <c r="I1103" s="176" t="s">
        <v>140</v>
      </c>
      <c r="K1103" s="87"/>
      <c r="L1103" s="14" t="s">
        <v>5084</v>
      </c>
      <c r="M1103" s="324">
        <f t="shared" si="171"/>
        <v>0</v>
      </c>
      <c r="N1103" s="14" t="s">
        <v>1879</v>
      </c>
      <c r="O1103" s="14" t="s">
        <v>1879</v>
      </c>
      <c r="P1103" s="167" t="s">
        <v>143</v>
      </c>
      <c r="Q1103" s="14"/>
      <c r="R1103" s="223">
        <v>0</v>
      </c>
      <c r="S1103" s="224">
        <f t="shared" si="168"/>
        <v>45818</v>
      </c>
      <c r="T1103" s="79">
        <v>45790</v>
      </c>
      <c r="U1103" s="14"/>
      <c r="V1103" s="14"/>
      <c r="W1103" s="14"/>
      <c r="X1103" s="14"/>
      <c r="Y1103" s="14" t="s">
        <v>2224</v>
      </c>
      <c r="Z1103" s="14"/>
      <c r="AA1103" s="2">
        <f t="shared" ca="1" si="167"/>
        <v>1</v>
      </c>
      <c r="AB1103" s="153"/>
      <c r="AC1103" s="454" t="str">
        <f t="shared" si="169"/>
        <v>1</v>
      </c>
    </row>
    <row r="1104" spans="1:29" ht="58" x14ac:dyDescent="0.35">
      <c r="A1104" s="111" t="str">
        <f t="shared" si="164"/>
        <v>Closed</v>
      </c>
      <c r="B1104" s="226">
        <v>45791</v>
      </c>
      <c r="C1104" s="14">
        <v>2502</v>
      </c>
      <c r="D1104" s="14" t="s">
        <v>5085</v>
      </c>
      <c r="E1104" s="14" t="s">
        <v>219</v>
      </c>
      <c r="F1104" s="14" t="s">
        <v>2091</v>
      </c>
      <c r="G1104" s="14" t="s">
        <v>1911</v>
      </c>
      <c r="H1104" s="14">
        <v>111</v>
      </c>
      <c r="I1104" s="176" t="s">
        <v>140</v>
      </c>
      <c r="K1104" s="87"/>
      <c r="L1104" s="328" t="s">
        <v>5086</v>
      </c>
      <c r="M1104" s="324">
        <f t="shared" si="171"/>
        <v>0</v>
      </c>
      <c r="N1104" s="14" t="s">
        <v>1879</v>
      </c>
      <c r="O1104" s="14" t="s">
        <v>1879</v>
      </c>
      <c r="P1104" s="167" t="s">
        <v>143</v>
      </c>
      <c r="Q1104" s="14"/>
      <c r="R1104" s="170">
        <v>0</v>
      </c>
      <c r="S1104" s="108">
        <f t="shared" si="168"/>
        <v>45819</v>
      </c>
      <c r="T1104" s="79">
        <v>45791</v>
      </c>
      <c r="U1104" s="14"/>
      <c r="V1104" s="14"/>
      <c r="W1104" s="14"/>
      <c r="X1104" s="14"/>
      <c r="Y1104" s="14" t="s">
        <v>3856</v>
      </c>
      <c r="Z1104" s="14"/>
      <c r="AA1104" s="2">
        <f t="shared" ca="1" si="167"/>
        <v>1</v>
      </c>
      <c r="AB1104" s="153"/>
      <c r="AC1104" s="454" t="str">
        <f t="shared" si="169"/>
        <v>1</v>
      </c>
    </row>
    <row r="1105" spans="1:29" ht="58" x14ac:dyDescent="0.35">
      <c r="A1105" s="111" t="str">
        <f t="shared" si="164"/>
        <v>Closed</v>
      </c>
      <c r="B1105" s="226">
        <v>45793</v>
      </c>
      <c r="C1105" s="14">
        <v>2502</v>
      </c>
      <c r="D1105" s="14" t="s">
        <v>5087</v>
      </c>
      <c r="E1105" s="14" t="s">
        <v>31</v>
      </c>
      <c r="F1105" s="14" t="s">
        <v>1899</v>
      </c>
      <c r="G1105" s="30" t="s">
        <v>1900</v>
      </c>
      <c r="H1105" s="14">
        <v>101</v>
      </c>
      <c r="I1105" s="176" t="s">
        <v>140</v>
      </c>
      <c r="K1105" s="87"/>
      <c r="L1105" s="14" t="s">
        <v>5088</v>
      </c>
      <c r="M1105" s="324">
        <f t="shared" si="171"/>
        <v>0</v>
      </c>
      <c r="N1105" s="14" t="s">
        <v>1879</v>
      </c>
      <c r="O1105" s="14" t="s">
        <v>1879</v>
      </c>
      <c r="P1105" s="167" t="s">
        <v>143</v>
      </c>
      <c r="Q1105" s="14"/>
      <c r="R1105" s="170">
        <v>0</v>
      </c>
      <c r="S1105" s="108">
        <f t="shared" si="168"/>
        <v>45821</v>
      </c>
      <c r="T1105" s="79">
        <v>45832</v>
      </c>
      <c r="U1105" s="14"/>
      <c r="V1105" s="14"/>
      <c r="W1105" s="14"/>
      <c r="X1105" s="14"/>
      <c r="Y1105" s="14" t="s">
        <v>1904</v>
      </c>
      <c r="Z1105" s="14" t="s">
        <v>5089</v>
      </c>
      <c r="AA1105" s="2">
        <f t="shared" ca="1" si="167"/>
        <v>1</v>
      </c>
      <c r="AB1105" s="153"/>
      <c r="AC1105" s="454" t="str">
        <f t="shared" si="169"/>
        <v>1</v>
      </c>
    </row>
    <row r="1106" spans="1:29" ht="29" x14ac:dyDescent="0.35">
      <c r="A1106" s="111" t="str">
        <f t="shared" si="164"/>
        <v>Closed</v>
      </c>
      <c r="B1106" s="226">
        <v>45794</v>
      </c>
      <c r="C1106" s="14">
        <v>2502</v>
      </c>
      <c r="D1106" s="14" t="s">
        <v>5090</v>
      </c>
      <c r="E1106" s="14" t="s">
        <v>8</v>
      </c>
      <c r="F1106" s="14" t="s">
        <v>2099</v>
      </c>
      <c r="G1106" s="14" t="s">
        <v>1911</v>
      </c>
      <c r="H1106" s="14"/>
      <c r="I1106" s="176" t="s">
        <v>140</v>
      </c>
      <c r="K1106" s="87"/>
      <c r="L1106" s="14" t="s">
        <v>5091</v>
      </c>
      <c r="M1106" s="324">
        <f t="shared" si="171"/>
        <v>0</v>
      </c>
      <c r="N1106" s="14" t="s">
        <v>1879</v>
      </c>
      <c r="O1106" s="14" t="s">
        <v>1879</v>
      </c>
      <c r="P1106" s="167" t="s">
        <v>143</v>
      </c>
      <c r="Q1106" s="14"/>
      <c r="R1106" s="170">
        <v>0</v>
      </c>
      <c r="S1106" s="108">
        <f t="shared" si="168"/>
        <v>45822</v>
      </c>
      <c r="T1106" s="79">
        <v>45794</v>
      </c>
      <c r="U1106" s="14"/>
      <c r="V1106" s="14"/>
      <c r="W1106" s="14"/>
      <c r="X1106" s="14"/>
      <c r="Y1106" s="14" t="s">
        <v>2103</v>
      </c>
      <c r="Z1106" s="14"/>
      <c r="AA1106" s="2">
        <f t="shared" ca="1" si="167"/>
        <v>1</v>
      </c>
      <c r="AB1106" s="153"/>
      <c r="AC1106" s="454" t="str">
        <f t="shared" si="169"/>
        <v/>
      </c>
    </row>
    <row r="1107" spans="1:29" ht="43.5" x14ac:dyDescent="0.35">
      <c r="A1107" s="89" t="str">
        <f t="shared" si="164"/>
        <v>Closed</v>
      </c>
      <c r="B1107" s="222">
        <v>45794</v>
      </c>
      <c r="C1107" s="14">
        <v>2502</v>
      </c>
      <c r="D1107" s="14" t="s">
        <v>5092</v>
      </c>
      <c r="E1107" s="14" t="s">
        <v>31</v>
      </c>
      <c r="F1107" s="30" t="s">
        <v>2432</v>
      </c>
      <c r="G1107" s="14"/>
      <c r="H1107" s="14">
        <v>121</v>
      </c>
      <c r="I1107" s="176" t="s">
        <v>140</v>
      </c>
      <c r="K1107" s="87"/>
      <c r="L1107" s="14" t="s">
        <v>5093</v>
      </c>
      <c r="M1107" s="324">
        <f t="shared" si="171"/>
        <v>0</v>
      </c>
      <c r="N1107" s="14" t="s">
        <v>1879</v>
      </c>
      <c r="O1107" s="14" t="s">
        <v>1879</v>
      </c>
      <c r="P1107" s="167" t="s">
        <v>143</v>
      </c>
      <c r="Q1107" s="14"/>
      <c r="R1107" s="223">
        <v>0</v>
      </c>
      <c r="S1107" s="224">
        <f t="shared" si="168"/>
        <v>45822</v>
      </c>
      <c r="T1107" s="79">
        <v>45794</v>
      </c>
      <c r="U1107" s="14"/>
      <c r="V1107" s="14"/>
      <c r="W1107" s="14"/>
      <c r="X1107" s="14"/>
      <c r="Y1107" s="14" t="s">
        <v>2436</v>
      </c>
      <c r="Z1107" s="14"/>
      <c r="AA1107" s="2">
        <f t="shared" ca="1" si="167"/>
        <v>1</v>
      </c>
      <c r="AB1107" s="153"/>
      <c r="AC1107" s="454" t="str">
        <f t="shared" si="169"/>
        <v>1</v>
      </c>
    </row>
    <row r="1108" spans="1:29" ht="43.5" x14ac:dyDescent="0.35">
      <c r="A1108" s="111" t="str">
        <f t="shared" si="164"/>
        <v>Closed</v>
      </c>
      <c r="B1108" s="226">
        <v>45794</v>
      </c>
      <c r="C1108" s="14">
        <v>2502</v>
      </c>
      <c r="D1108" s="14" t="s">
        <v>5094</v>
      </c>
      <c r="E1108" s="14" t="s">
        <v>180</v>
      </c>
      <c r="F1108" s="14" t="s">
        <v>2130</v>
      </c>
      <c r="G1108" s="14" t="s">
        <v>1900</v>
      </c>
      <c r="H1108" s="14">
        <v>103</v>
      </c>
      <c r="I1108" s="176" t="s">
        <v>140</v>
      </c>
      <c r="K1108" s="87"/>
      <c r="L1108" s="14" t="s">
        <v>5095</v>
      </c>
      <c r="M1108" s="324">
        <f t="shared" si="171"/>
        <v>0</v>
      </c>
      <c r="N1108" s="14" t="s">
        <v>1879</v>
      </c>
      <c r="O1108" s="14" t="s">
        <v>1879</v>
      </c>
      <c r="P1108" s="167" t="s">
        <v>143</v>
      </c>
      <c r="Q1108" s="14"/>
      <c r="R1108" s="170">
        <v>0</v>
      </c>
      <c r="S1108" s="108">
        <f t="shared" si="168"/>
        <v>45822</v>
      </c>
      <c r="T1108" s="79">
        <v>45794</v>
      </c>
      <c r="U1108" s="14"/>
      <c r="V1108" s="14"/>
      <c r="W1108" s="14"/>
      <c r="X1108" s="14"/>
      <c r="Y1108" s="14" t="s">
        <v>2134</v>
      </c>
      <c r="Z1108" s="14"/>
      <c r="AA1108" s="2">
        <f t="shared" ca="1" si="167"/>
        <v>1</v>
      </c>
      <c r="AB1108" s="153"/>
      <c r="AC1108" s="454" t="str">
        <f t="shared" si="169"/>
        <v>1</v>
      </c>
    </row>
    <row r="1109" spans="1:29" ht="58" x14ac:dyDescent="0.35">
      <c r="A1109" s="111" t="str">
        <f t="shared" si="164"/>
        <v>Closed</v>
      </c>
      <c r="B1109" s="226">
        <v>45794</v>
      </c>
      <c r="C1109" s="14">
        <v>2502</v>
      </c>
      <c r="D1109" s="14" t="s">
        <v>5096</v>
      </c>
      <c r="E1109" s="14" t="s">
        <v>8</v>
      </c>
      <c r="F1109" s="14" t="s">
        <v>2099</v>
      </c>
      <c r="G1109" s="14" t="s">
        <v>1911</v>
      </c>
      <c r="H1109" s="14">
        <v>117</v>
      </c>
      <c r="I1109" s="176" t="s">
        <v>140</v>
      </c>
      <c r="K1109" s="87"/>
      <c r="L1109" s="14" t="s">
        <v>5097</v>
      </c>
      <c r="M1109" s="324">
        <f t="shared" si="171"/>
        <v>0</v>
      </c>
      <c r="N1109" s="14" t="s">
        <v>1879</v>
      </c>
      <c r="O1109" s="14" t="s">
        <v>1879</v>
      </c>
      <c r="P1109" s="167" t="s">
        <v>143</v>
      </c>
      <c r="Q1109" s="14"/>
      <c r="R1109" s="170">
        <v>0</v>
      </c>
      <c r="S1109" s="108">
        <f t="shared" si="168"/>
        <v>45822</v>
      </c>
      <c r="T1109" s="79">
        <v>45794</v>
      </c>
      <c r="U1109" s="14"/>
      <c r="V1109" s="14"/>
      <c r="W1109" s="14"/>
      <c r="X1109" s="14"/>
      <c r="Y1109" s="14" t="s">
        <v>2103</v>
      </c>
      <c r="Z1109" s="14"/>
      <c r="AA1109" s="2">
        <f t="shared" ca="1" si="167"/>
        <v>1</v>
      </c>
      <c r="AB1109" s="153"/>
      <c r="AC1109" s="454" t="str">
        <f t="shared" si="169"/>
        <v>1</v>
      </c>
    </row>
    <row r="1110" spans="1:29" ht="29" x14ac:dyDescent="0.35">
      <c r="A1110" s="111" t="str">
        <f t="shared" si="164"/>
        <v>Closed</v>
      </c>
      <c r="B1110" s="226">
        <v>45795</v>
      </c>
      <c r="C1110" s="14">
        <v>2502</v>
      </c>
      <c r="D1110" s="14" t="s">
        <v>5098</v>
      </c>
      <c r="E1110" s="14" t="s">
        <v>8</v>
      </c>
      <c r="F1110" s="14" t="s">
        <v>3040</v>
      </c>
      <c r="G1110" s="14" t="s">
        <v>1900</v>
      </c>
      <c r="H1110" s="14">
        <v>109</v>
      </c>
      <c r="I1110" s="176" t="s">
        <v>140</v>
      </c>
      <c r="K1110" s="87"/>
      <c r="L1110" s="14" t="s">
        <v>5099</v>
      </c>
      <c r="M1110" s="324">
        <f t="shared" si="171"/>
        <v>0</v>
      </c>
      <c r="N1110" s="14" t="s">
        <v>1879</v>
      </c>
      <c r="O1110" s="14" t="s">
        <v>1879</v>
      </c>
      <c r="P1110" s="167" t="s">
        <v>143</v>
      </c>
      <c r="Q1110" s="14"/>
      <c r="R1110" s="170">
        <v>0</v>
      </c>
      <c r="S1110" s="108">
        <f t="shared" si="168"/>
        <v>45823</v>
      </c>
      <c r="T1110" s="79">
        <v>45795</v>
      </c>
      <c r="U1110" s="14"/>
      <c r="V1110" s="14"/>
      <c r="W1110" s="14"/>
      <c r="X1110" s="14"/>
      <c r="Y1110" s="14" t="s">
        <v>3044</v>
      </c>
      <c r="Z1110" s="14"/>
      <c r="AA1110" s="2">
        <f t="shared" ca="1" si="167"/>
        <v>1</v>
      </c>
      <c r="AB1110" s="153"/>
      <c r="AC1110" s="454" t="str">
        <f t="shared" si="169"/>
        <v>1</v>
      </c>
    </row>
    <row r="1111" spans="1:29" ht="29" x14ac:dyDescent="0.35">
      <c r="A1111" s="111" t="str">
        <f t="shared" si="164"/>
        <v>Closed</v>
      </c>
      <c r="B1111" s="226">
        <v>45796</v>
      </c>
      <c r="C1111" s="14">
        <v>2502</v>
      </c>
      <c r="D1111" s="14" t="s">
        <v>5100</v>
      </c>
      <c r="E1111" s="14" t="s">
        <v>8</v>
      </c>
      <c r="F1111" s="14" t="s">
        <v>4931</v>
      </c>
      <c r="G1111" s="14"/>
      <c r="H1111" s="14">
        <v>117</v>
      </c>
      <c r="I1111" s="176" t="s">
        <v>140</v>
      </c>
      <c r="K1111" s="87"/>
      <c r="L1111" s="14" t="s">
        <v>5101</v>
      </c>
      <c r="M1111" s="324">
        <f t="shared" si="171"/>
        <v>0</v>
      </c>
      <c r="N1111" s="14" t="s">
        <v>1879</v>
      </c>
      <c r="O1111" s="14" t="s">
        <v>1879</v>
      </c>
      <c r="P1111" s="167" t="s">
        <v>143</v>
      </c>
      <c r="Q1111" s="14"/>
      <c r="R1111" s="170">
        <v>0</v>
      </c>
      <c r="S1111" s="108">
        <f t="shared" si="168"/>
        <v>45824</v>
      </c>
      <c r="T1111" s="79">
        <v>45796</v>
      </c>
      <c r="U1111" s="14"/>
      <c r="V1111" s="14"/>
      <c r="W1111" s="14"/>
      <c r="X1111" s="14"/>
      <c r="Y1111" s="14" t="s">
        <v>2012</v>
      </c>
      <c r="Z1111" s="14"/>
      <c r="AA1111" s="2">
        <f t="shared" ca="1" si="167"/>
        <v>1</v>
      </c>
      <c r="AB1111" s="153"/>
      <c r="AC1111" s="454" t="str">
        <f t="shared" si="169"/>
        <v>1</v>
      </c>
    </row>
    <row r="1112" spans="1:29" ht="29" x14ac:dyDescent="0.35">
      <c r="A1112" s="111" t="str">
        <f t="shared" si="164"/>
        <v>Closed</v>
      </c>
      <c r="B1112" s="226">
        <v>45796</v>
      </c>
      <c r="C1112" s="14">
        <v>2502</v>
      </c>
      <c r="D1112" s="14" t="s">
        <v>5102</v>
      </c>
      <c r="E1112" s="14" t="s">
        <v>31</v>
      </c>
      <c r="F1112" s="14" t="s">
        <v>2774</v>
      </c>
      <c r="G1112" s="14" t="s">
        <v>1911</v>
      </c>
      <c r="H1112" s="14">
        <v>104</v>
      </c>
      <c r="I1112" s="176" t="s">
        <v>140</v>
      </c>
      <c r="K1112" s="87"/>
      <c r="L1112" s="14" t="s">
        <v>5103</v>
      </c>
      <c r="M1112" s="324">
        <f t="shared" si="171"/>
        <v>0</v>
      </c>
      <c r="N1112" s="14" t="s">
        <v>1879</v>
      </c>
      <c r="O1112" s="14" t="s">
        <v>1879</v>
      </c>
      <c r="P1112" s="167" t="s">
        <v>143</v>
      </c>
      <c r="Q1112" s="14"/>
      <c r="R1112" s="170">
        <v>0</v>
      </c>
      <c r="S1112" s="108">
        <f t="shared" si="168"/>
        <v>45824</v>
      </c>
      <c r="T1112" s="79">
        <v>45796</v>
      </c>
      <c r="U1112" s="14"/>
      <c r="V1112" s="14"/>
      <c r="W1112" s="14"/>
      <c r="X1112" s="14"/>
      <c r="Z1112" s="14"/>
      <c r="AA1112" s="2">
        <f t="shared" ca="1" si="167"/>
        <v>1</v>
      </c>
      <c r="AB1112" s="153"/>
      <c r="AC1112" s="454" t="str">
        <f t="shared" si="169"/>
        <v>1</v>
      </c>
    </row>
    <row r="1113" spans="1:29" ht="72.5" x14ac:dyDescent="0.35">
      <c r="A1113" s="111" t="str">
        <f t="shared" si="164"/>
        <v>Closed</v>
      </c>
      <c r="B1113" s="226">
        <v>45797</v>
      </c>
      <c r="C1113" s="14">
        <v>2502</v>
      </c>
      <c r="D1113" s="14" t="s">
        <v>5104</v>
      </c>
      <c r="E1113" s="14" t="s">
        <v>192</v>
      </c>
      <c r="F1113" s="14" t="s">
        <v>4828</v>
      </c>
      <c r="G1113" s="14" t="s">
        <v>1911</v>
      </c>
      <c r="H1113" s="14">
        <v>106</v>
      </c>
      <c r="I1113" s="176" t="s">
        <v>140</v>
      </c>
      <c r="J1113" s="14">
        <v>8500446</v>
      </c>
      <c r="K1113" s="87"/>
      <c r="L1113" s="14" t="s">
        <v>5105</v>
      </c>
      <c r="M1113" s="324">
        <f t="shared" si="171"/>
        <v>0</v>
      </c>
      <c r="N1113" s="14" t="s">
        <v>1879</v>
      </c>
      <c r="O1113" s="14" t="s">
        <v>1879</v>
      </c>
      <c r="P1113" s="167" t="s">
        <v>143</v>
      </c>
      <c r="Q1113" s="14"/>
      <c r="R1113" s="170">
        <v>0</v>
      </c>
      <c r="S1113" s="108">
        <f t="shared" si="168"/>
        <v>45825</v>
      </c>
      <c r="T1113" s="79">
        <v>45796</v>
      </c>
      <c r="U1113" s="14"/>
      <c r="V1113" s="14"/>
      <c r="W1113" s="14"/>
      <c r="X1113" s="14"/>
      <c r="Y1113" s="14" t="s">
        <v>2050</v>
      </c>
      <c r="Z1113" s="14"/>
      <c r="AA1113" s="2">
        <f t="shared" ca="1" si="167"/>
        <v>1</v>
      </c>
      <c r="AB1113" s="153"/>
      <c r="AC1113" s="454" t="str">
        <f t="shared" si="169"/>
        <v>1</v>
      </c>
    </row>
    <row r="1114" spans="1:29" ht="43.5" x14ac:dyDescent="0.35">
      <c r="A1114" s="111" t="str">
        <f t="shared" si="164"/>
        <v>Closed</v>
      </c>
      <c r="B1114" s="226">
        <v>45798</v>
      </c>
      <c r="C1114" s="14">
        <v>2502</v>
      </c>
      <c r="D1114" s="14" t="s">
        <v>5106</v>
      </c>
      <c r="E1114" s="14" t="s">
        <v>8</v>
      </c>
      <c r="F1114" s="14" t="s">
        <v>3040</v>
      </c>
      <c r="G1114" s="14" t="s">
        <v>1900</v>
      </c>
      <c r="H1114" s="14">
        <v>123</v>
      </c>
      <c r="I1114" s="176" t="s">
        <v>140</v>
      </c>
      <c r="J1114" s="14">
        <v>74928</v>
      </c>
      <c r="K1114" s="87"/>
      <c r="L1114" s="14" t="s">
        <v>5107</v>
      </c>
      <c r="M1114" s="324">
        <f t="shared" si="171"/>
        <v>0</v>
      </c>
      <c r="N1114" s="14" t="s">
        <v>1879</v>
      </c>
      <c r="O1114" s="14" t="s">
        <v>1879</v>
      </c>
      <c r="P1114" s="167" t="s">
        <v>143</v>
      </c>
      <c r="Q1114" s="14"/>
      <c r="R1114" s="170">
        <v>0</v>
      </c>
      <c r="S1114" s="108">
        <f t="shared" si="168"/>
        <v>45826</v>
      </c>
      <c r="T1114" s="79">
        <v>45798</v>
      </c>
      <c r="U1114" s="14"/>
      <c r="V1114" s="14"/>
      <c r="W1114" s="14"/>
      <c r="X1114" s="14"/>
      <c r="Y1114" s="14" t="s">
        <v>3044</v>
      </c>
      <c r="Z1114" s="14"/>
      <c r="AA1114" s="2">
        <f t="shared" ca="1" si="167"/>
        <v>1</v>
      </c>
      <c r="AB1114" s="153"/>
      <c r="AC1114" s="454" t="str">
        <f t="shared" si="169"/>
        <v>1</v>
      </c>
    </row>
    <row r="1115" spans="1:29" ht="101.5" x14ac:dyDescent="0.35">
      <c r="A1115" s="89" t="str">
        <f t="shared" si="164"/>
        <v>Closed</v>
      </c>
      <c r="B1115" s="222">
        <v>45799</v>
      </c>
      <c r="C1115" s="14">
        <v>2502</v>
      </c>
      <c r="D1115" s="14" t="s">
        <v>1614</v>
      </c>
      <c r="E1115" s="14" t="s">
        <v>165</v>
      </c>
      <c r="F1115" s="14" t="s">
        <v>2864</v>
      </c>
      <c r="G1115" s="14"/>
      <c r="H1115" s="14"/>
      <c r="I1115" s="176" t="s">
        <v>144</v>
      </c>
      <c r="K1115" s="87"/>
      <c r="L1115" s="14" t="s">
        <v>5108</v>
      </c>
      <c r="M1115" s="324">
        <f t="shared" si="171"/>
        <v>0</v>
      </c>
      <c r="N1115" s="14" t="s">
        <v>1879</v>
      </c>
      <c r="O1115" s="14" t="s">
        <v>1879</v>
      </c>
      <c r="P1115" s="167" t="s">
        <v>151</v>
      </c>
      <c r="Q1115" s="14" t="s">
        <v>184</v>
      </c>
      <c r="R1115" s="223" t="s">
        <v>234</v>
      </c>
      <c r="S1115" s="224">
        <f t="shared" si="168"/>
        <v>45827</v>
      </c>
      <c r="T1115" s="79">
        <v>45883</v>
      </c>
      <c r="U1115" s="14"/>
      <c r="V1115" s="14"/>
      <c r="W1115" s="14"/>
      <c r="X1115" s="14"/>
      <c r="Z1115" s="14" t="s">
        <v>5109</v>
      </c>
      <c r="AA1115" s="2">
        <f t="shared" ca="1" si="167"/>
        <v>1</v>
      </c>
      <c r="AB1115" s="153"/>
      <c r="AC1115" s="454" t="str">
        <f t="shared" si="169"/>
        <v/>
      </c>
    </row>
    <row r="1116" spans="1:29" ht="43.5" x14ac:dyDescent="0.35">
      <c r="A1116" s="89" t="str">
        <f t="shared" si="164"/>
        <v>Closed</v>
      </c>
      <c r="B1116" s="222">
        <v>45799</v>
      </c>
      <c r="C1116" s="14">
        <v>2502</v>
      </c>
      <c r="D1116" s="14" t="s">
        <v>5110</v>
      </c>
      <c r="E1116" s="14" t="s">
        <v>31</v>
      </c>
      <c r="F1116" s="14" t="s">
        <v>3245</v>
      </c>
      <c r="G1116" s="14"/>
      <c r="H1116" s="14">
        <v>106</v>
      </c>
      <c r="I1116" s="176" t="s">
        <v>155</v>
      </c>
      <c r="J1116" s="14">
        <v>58402</v>
      </c>
      <c r="K1116" s="87"/>
      <c r="L1116" s="14" t="s">
        <v>5111</v>
      </c>
      <c r="M1116" s="324">
        <f t="shared" si="171"/>
        <v>0</v>
      </c>
      <c r="N1116" s="14" t="s">
        <v>1879</v>
      </c>
      <c r="O1116" s="14" t="s">
        <v>1879</v>
      </c>
      <c r="P1116" s="167" t="s">
        <v>143</v>
      </c>
      <c r="Q1116" s="14"/>
      <c r="R1116" s="223">
        <v>0</v>
      </c>
      <c r="S1116" s="224">
        <f t="shared" ref="S1116:S1122" si="172">IF(B1116="","",B1116+28)</f>
        <v>45827</v>
      </c>
      <c r="T1116" s="79">
        <v>45799</v>
      </c>
      <c r="U1116" s="14"/>
      <c r="V1116" s="14"/>
      <c r="W1116" s="14"/>
      <c r="X1116" s="14"/>
      <c r="Z1116" s="14" t="s">
        <v>4777</v>
      </c>
      <c r="AA1116" s="2">
        <f t="shared" ca="1" si="167"/>
        <v>1</v>
      </c>
      <c r="AB1116" s="153"/>
      <c r="AC1116" s="454" t="str">
        <f t="shared" si="169"/>
        <v>1</v>
      </c>
    </row>
    <row r="1117" spans="1:29" ht="29" x14ac:dyDescent="0.35">
      <c r="A1117" s="89" t="str">
        <f t="shared" si="164"/>
        <v>Closed</v>
      </c>
      <c r="B1117" s="222">
        <v>45799</v>
      </c>
      <c r="C1117" s="14">
        <v>2502</v>
      </c>
      <c r="D1117" s="14" t="s">
        <v>5112</v>
      </c>
      <c r="E1117" s="14" t="s">
        <v>8</v>
      </c>
      <c r="F1117" s="14" t="s">
        <v>1910</v>
      </c>
      <c r="G1117" s="14" t="s">
        <v>1900</v>
      </c>
      <c r="H1117" s="14">
        <v>113</v>
      </c>
      <c r="I1117" s="176" t="s">
        <v>140</v>
      </c>
      <c r="J1117" s="14">
        <v>1365</v>
      </c>
      <c r="K1117" s="87"/>
      <c r="L1117" s="14" t="s">
        <v>5113</v>
      </c>
      <c r="M1117" s="324">
        <f t="shared" si="171"/>
        <v>0</v>
      </c>
      <c r="N1117" s="14" t="s">
        <v>1879</v>
      </c>
      <c r="O1117" s="14" t="s">
        <v>1879</v>
      </c>
      <c r="P1117" s="167" t="s">
        <v>143</v>
      </c>
      <c r="Q1117" s="14"/>
      <c r="R1117" s="223">
        <v>0</v>
      </c>
      <c r="S1117" s="224">
        <f t="shared" si="172"/>
        <v>45827</v>
      </c>
      <c r="T1117" s="79">
        <v>45799</v>
      </c>
      <c r="U1117" s="14"/>
      <c r="V1117" s="14"/>
      <c r="W1117" s="14"/>
      <c r="X1117" s="14"/>
      <c r="Y1117" s="23" t="s">
        <v>1915</v>
      </c>
      <c r="Z1117" s="14"/>
      <c r="AA1117" s="2">
        <f t="shared" ca="1" si="167"/>
        <v>1</v>
      </c>
      <c r="AB1117" s="153"/>
      <c r="AC1117" s="454" t="str">
        <f t="shared" si="169"/>
        <v>1</v>
      </c>
    </row>
    <row r="1118" spans="1:29" ht="145" x14ac:dyDescent="0.35">
      <c r="A1118" s="89" t="str">
        <f t="shared" si="164"/>
        <v>Closed</v>
      </c>
      <c r="B1118" s="222">
        <v>45800</v>
      </c>
      <c r="C1118" s="14">
        <v>2502</v>
      </c>
      <c r="D1118" s="14" t="s">
        <v>5114</v>
      </c>
      <c r="E1118" s="14" t="s">
        <v>42</v>
      </c>
      <c r="F1118" s="14" t="s">
        <v>5115</v>
      </c>
      <c r="G1118" s="14"/>
      <c r="H1118" s="14">
        <v>107</v>
      </c>
      <c r="I1118" s="176" t="s">
        <v>140</v>
      </c>
      <c r="J1118" s="14">
        <v>1365</v>
      </c>
      <c r="K1118" s="14" t="s">
        <v>137</v>
      </c>
      <c r="L1118" s="14" t="s">
        <v>5116</v>
      </c>
      <c r="M1118" s="324">
        <v>0</v>
      </c>
      <c r="N1118" s="14" t="s">
        <v>1879</v>
      </c>
      <c r="O1118" s="14" t="s">
        <v>1880</v>
      </c>
      <c r="P1118" s="167" t="s">
        <v>143</v>
      </c>
      <c r="Q1118" s="14"/>
      <c r="R1118" s="223">
        <v>0</v>
      </c>
      <c r="S1118" s="224">
        <f t="shared" si="172"/>
        <v>45828</v>
      </c>
      <c r="T1118" s="79">
        <v>45800</v>
      </c>
      <c r="U1118" s="14"/>
      <c r="V1118" s="14"/>
      <c r="W1118" s="14"/>
      <c r="X1118" s="14"/>
      <c r="Y1118" s="14" t="s">
        <v>1923</v>
      </c>
      <c r="Z1118" s="14"/>
      <c r="AA1118" s="2">
        <f t="shared" ca="1" si="167"/>
        <v>1</v>
      </c>
      <c r="AB1118" s="153"/>
      <c r="AC1118" s="454" t="str">
        <f t="shared" si="169"/>
        <v>1</v>
      </c>
    </row>
    <row r="1119" spans="1:29" ht="43.5" x14ac:dyDescent="0.35">
      <c r="A1119" s="111" t="str">
        <f t="shared" si="164"/>
        <v>Closed</v>
      </c>
      <c r="B1119" s="226">
        <v>45800</v>
      </c>
      <c r="C1119" s="14">
        <v>2502</v>
      </c>
      <c r="D1119" s="14" t="s">
        <v>5117</v>
      </c>
      <c r="E1119" s="14" t="s">
        <v>180</v>
      </c>
      <c r="F1119" s="14" t="s">
        <v>2041</v>
      </c>
      <c r="G1119" s="14" t="s">
        <v>1900</v>
      </c>
      <c r="H1119" s="14">
        <v>108</v>
      </c>
      <c r="I1119" s="176" t="s">
        <v>140</v>
      </c>
      <c r="J1119" s="14">
        <v>63</v>
      </c>
      <c r="K1119" s="87"/>
      <c r="L1119" s="14" t="s">
        <v>5118</v>
      </c>
      <c r="M1119" s="324">
        <f>IF(I1119="Staff Accident","Entry Required",IF(I1119="Assaults","Entry Required",0))</f>
        <v>0</v>
      </c>
      <c r="N1119" s="14" t="s">
        <v>1879</v>
      </c>
      <c r="O1119" s="14" t="s">
        <v>1879</v>
      </c>
      <c r="P1119" s="167" t="s">
        <v>143</v>
      </c>
      <c r="Q1119" s="14"/>
      <c r="R1119" s="170">
        <v>0</v>
      </c>
      <c r="S1119" s="108">
        <f t="shared" si="172"/>
        <v>45828</v>
      </c>
      <c r="T1119" s="79">
        <v>45800</v>
      </c>
      <c r="U1119" s="14"/>
      <c r="V1119" s="14"/>
      <c r="W1119" s="14"/>
      <c r="X1119" s="14"/>
      <c r="Y1119" s="2" t="s">
        <v>2045</v>
      </c>
      <c r="Z1119" s="14"/>
      <c r="AA1119" s="2">
        <f t="shared" ca="1" si="167"/>
        <v>1</v>
      </c>
      <c r="AB1119" s="153"/>
      <c r="AC1119" s="454" t="str">
        <f t="shared" si="169"/>
        <v>1</v>
      </c>
    </row>
    <row r="1120" spans="1:29" ht="43.5" x14ac:dyDescent="0.35">
      <c r="A1120" s="111" t="str">
        <f t="shared" si="164"/>
        <v>Closed</v>
      </c>
      <c r="B1120" s="226">
        <v>45801</v>
      </c>
      <c r="C1120" s="14">
        <v>2502</v>
      </c>
      <c r="D1120" s="14" t="s">
        <v>5119</v>
      </c>
      <c r="E1120" s="14" t="s">
        <v>8</v>
      </c>
      <c r="F1120" s="14" t="s">
        <v>2010</v>
      </c>
      <c r="G1120" s="14" t="s">
        <v>1900</v>
      </c>
      <c r="H1120" s="14">
        <v>109</v>
      </c>
      <c r="I1120" s="176" t="s">
        <v>140</v>
      </c>
      <c r="J1120" s="14">
        <v>391</v>
      </c>
      <c r="K1120" s="87"/>
      <c r="L1120" s="328" t="s">
        <v>5120</v>
      </c>
      <c r="M1120" s="324">
        <f>IF(I1120="Staff Accident","Entry Required",IF(I1120="Assaults","Entry Required",0))</f>
        <v>0</v>
      </c>
      <c r="N1120" s="14" t="s">
        <v>2034</v>
      </c>
      <c r="O1120" s="14" t="s">
        <v>1879</v>
      </c>
      <c r="P1120" s="167" t="s">
        <v>143</v>
      </c>
      <c r="Q1120" s="14"/>
      <c r="R1120" s="170">
        <v>0</v>
      </c>
      <c r="S1120" s="108">
        <f t="shared" si="172"/>
        <v>45829</v>
      </c>
      <c r="T1120" s="79">
        <v>45801</v>
      </c>
      <c r="U1120" s="14"/>
      <c r="V1120" s="14"/>
      <c r="W1120" s="14"/>
      <c r="X1120" s="14"/>
      <c r="Y1120" s="14" t="s">
        <v>2012</v>
      </c>
      <c r="Z1120" s="14"/>
      <c r="AA1120" s="2">
        <f t="shared" ca="1" si="167"/>
        <v>1</v>
      </c>
      <c r="AB1120" s="153"/>
      <c r="AC1120" s="454" t="str">
        <f t="shared" si="169"/>
        <v>1</v>
      </c>
    </row>
    <row r="1121" spans="1:29" ht="58" x14ac:dyDescent="0.35">
      <c r="A1121" s="111" t="str">
        <f t="shared" si="164"/>
        <v>Closed</v>
      </c>
      <c r="B1121" s="226">
        <v>45804</v>
      </c>
      <c r="C1121" s="14">
        <v>2503</v>
      </c>
      <c r="D1121" s="14" t="s">
        <v>5121</v>
      </c>
      <c r="E1121" s="14" t="s">
        <v>8</v>
      </c>
      <c r="F1121" s="14" t="s">
        <v>2212</v>
      </c>
      <c r="G1121" s="14" t="s">
        <v>1900</v>
      </c>
      <c r="H1121" s="14"/>
      <c r="I1121" s="176" t="s">
        <v>140</v>
      </c>
      <c r="K1121" s="87"/>
      <c r="L1121" s="14" t="s">
        <v>5122</v>
      </c>
      <c r="M1121" s="324">
        <f>IF(I1121="Staff Accident","Entry Required",IF(I1121="Assaults","Entry Required",0))</f>
        <v>0</v>
      </c>
      <c r="N1121" s="14" t="s">
        <v>1879</v>
      </c>
      <c r="O1121" s="14" t="s">
        <v>1879</v>
      </c>
      <c r="P1121" s="167" t="s">
        <v>143</v>
      </c>
      <c r="Q1121" s="14"/>
      <c r="R1121" s="170">
        <v>0</v>
      </c>
      <c r="S1121" s="108">
        <f t="shared" si="172"/>
        <v>45832</v>
      </c>
      <c r="T1121" s="79">
        <v>45804</v>
      </c>
      <c r="U1121" s="14"/>
      <c r="V1121" s="14"/>
      <c r="W1121" s="14"/>
      <c r="X1121" s="14"/>
      <c r="Y1121" s="14" t="s">
        <v>2216</v>
      </c>
      <c r="Z1121" s="14"/>
      <c r="AA1121" s="2">
        <f t="shared" ca="1" si="167"/>
        <v>1</v>
      </c>
      <c r="AB1121" s="153"/>
      <c r="AC1121" s="454" t="str">
        <f t="shared" si="169"/>
        <v/>
      </c>
    </row>
    <row r="1122" spans="1:29" ht="72.5" x14ac:dyDescent="0.35">
      <c r="A1122" s="111" t="str">
        <f t="shared" ref="A1122:A1186" si="173">IF(T1122&gt;1,"Closed",IF(AA1122=1,"Overdue",IF(AA1122=3,"","Open")))</f>
        <v>Closed</v>
      </c>
      <c r="B1122" s="293">
        <v>45804</v>
      </c>
      <c r="C1122" s="14">
        <v>2503</v>
      </c>
      <c r="D1122" s="14" t="s">
        <v>5123</v>
      </c>
      <c r="E1122" s="14" t="s">
        <v>42</v>
      </c>
      <c r="F1122" s="14" t="s">
        <v>3200</v>
      </c>
      <c r="G1122" s="14" t="s">
        <v>1900</v>
      </c>
      <c r="H1122" s="14">
        <v>109</v>
      </c>
      <c r="I1122" s="176" t="s">
        <v>140</v>
      </c>
      <c r="J1122" s="14">
        <v>1404</v>
      </c>
      <c r="K1122" s="14" t="s">
        <v>137</v>
      </c>
      <c r="L1122" s="14" t="s">
        <v>5124</v>
      </c>
      <c r="M1122" s="324">
        <v>0</v>
      </c>
      <c r="N1122" s="14" t="s">
        <v>1879</v>
      </c>
      <c r="O1122" s="14" t="s">
        <v>1879</v>
      </c>
      <c r="P1122" s="167" t="s">
        <v>143</v>
      </c>
      <c r="Q1122" s="14"/>
      <c r="R1122" s="170" t="s">
        <v>234</v>
      </c>
      <c r="S1122" s="108">
        <f t="shared" si="172"/>
        <v>45832</v>
      </c>
      <c r="T1122" s="79">
        <v>45804</v>
      </c>
      <c r="U1122" s="14"/>
      <c r="V1122" s="14"/>
      <c r="W1122" s="14"/>
      <c r="X1122" s="14"/>
      <c r="Z1122" s="14"/>
      <c r="AA1122" s="2">
        <v>0</v>
      </c>
      <c r="AB1122" s="153"/>
      <c r="AC1122" s="454" t="str">
        <f t="shared" si="169"/>
        <v>1</v>
      </c>
    </row>
    <row r="1123" spans="1:29" ht="72.5" x14ac:dyDescent="0.35">
      <c r="A1123" s="111" t="str">
        <f t="shared" si="173"/>
        <v>Closed</v>
      </c>
      <c r="B1123" s="226">
        <v>45804</v>
      </c>
      <c r="C1123" s="14">
        <v>2503</v>
      </c>
      <c r="D1123" s="14" t="s">
        <v>5125</v>
      </c>
      <c r="E1123" s="14" t="s">
        <v>1907</v>
      </c>
      <c r="F1123" s="14" t="s">
        <v>2130</v>
      </c>
      <c r="G1123" s="14" t="s">
        <v>1911</v>
      </c>
      <c r="H1123" s="14">
        <v>205</v>
      </c>
      <c r="I1123" s="176" t="s">
        <v>140</v>
      </c>
      <c r="J1123" s="14">
        <v>58403</v>
      </c>
      <c r="K1123" s="87"/>
      <c r="L1123" s="14" t="s">
        <v>5126</v>
      </c>
      <c r="M1123" s="324">
        <f>IF(I1123="Staff Accident","Entry Required",IF(I1123="Assaults","Entry Required",0))</f>
        <v>0</v>
      </c>
      <c r="N1123" s="14" t="s">
        <v>1879</v>
      </c>
      <c r="O1123" s="14" t="s">
        <v>1879</v>
      </c>
      <c r="P1123" s="167" t="s">
        <v>143</v>
      </c>
      <c r="Q1123" s="14"/>
      <c r="R1123" s="170">
        <v>0</v>
      </c>
      <c r="S1123" s="108">
        <v>45820</v>
      </c>
      <c r="T1123" s="79">
        <v>45804</v>
      </c>
      <c r="U1123" s="14"/>
      <c r="V1123" s="14"/>
      <c r="W1123" s="14"/>
      <c r="X1123" s="14"/>
      <c r="Z1123" s="14"/>
      <c r="AA1123" s="2">
        <f t="shared" ref="AA1123:AA1154" ca="1" si="174">IF(B1123="",3,IF(S1123&lt;$A$1,1,0))</f>
        <v>1</v>
      </c>
      <c r="AB1123" s="153"/>
      <c r="AC1123" s="454" t="str">
        <f t="shared" si="169"/>
        <v>2</v>
      </c>
    </row>
    <row r="1124" spans="1:29" ht="116" x14ac:dyDescent="0.35">
      <c r="A1124" s="89" t="str">
        <f t="shared" si="173"/>
        <v>Closed</v>
      </c>
      <c r="B1124" s="222">
        <v>45805</v>
      </c>
      <c r="C1124" s="14">
        <v>2503</v>
      </c>
      <c r="D1124" s="14" t="s">
        <v>5127</v>
      </c>
      <c r="E1124" s="14" t="s">
        <v>31</v>
      </c>
      <c r="F1124" s="14" t="s">
        <v>3861</v>
      </c>
      <c r="G1124" s="14" t="s">
        <v>1900</v>
      </c>
      <c r="H1124" s="14">
        <v>104</v>
      </c>
      <c r="I1124" s="176" t="s">
        <v>155</v>
      </c>
      <c r="J1124" s="14">
        <v>8506265</v>
      </c>
      <c r="K1124" s="87"/>
      <c r="L1124" s="14" t="s">
        <v>5128</v>
      </c>
      <c r="M1124" s="324">
        <f>IF(I1124="Staff Accident","Entry Required",IF(I1124="Assaults","Entry Required",0))</f>
        <v>0</v>
      </c>
      <c r="N1124" s="14" t="s">
        <v>1879</v>
      </c>
      <c r="O1124" s="14" t="s">
        <v>1879</v>
      </c>
      <c r="P1124" s="167" t="s">
        <v>147</v>
      </c>
      <c r="Q1124" s="14" t="s">
        <v>175</v>
      </c>
      <c r="R1124" s="223" t="s">
        <v>234</v>
      </c>
      <c r="S1124" s="224">
        <f t="shared" ref="S1124:S1155" si="175">IF(B1124="","",B1124+28)</f>
        <v>45833</v>
      </c>
      <c r="T1124" s="79">
        <v>45902</v>
      </c>
      <c r="U1124" s="14"/>
      <c r="V1124" s="14"/>
      <c r="W1124" s="14"/>
      <c r="X1124" s="14"/>
      <c r="Z1124" s="14" t="s">
        <v>5129</v>
      </c>
      <c r="AA1124" s="2">
        <f t="shared" ca="1" si="174"/>
        <v>1</v>
      </c>
      <c r="AB1124" s="153"/>
      <c r="AC1124" s="454" t="str">
        <f t="shared" si="169"/>
        <v>1</v>
      </c>
    </row>
    <row r="1125" spans="1:29" ht="116" x14ac:dyDescent="0.35">
      <c r="A1125" s="89" t="str">
        <f t="shared" si="173"/>
        <v>Closed</v>
      </c>
      <c r="B1125" s="222">
        <v>45805</v>
      </c>
      <c r="C1125" s="14">
        <v>2503</v>
      </c>
      <c r="D1125" s="14" t="s">
        <v>5130</v>
      </c>
      <c r="E1125" s="14" t="s">
        <v>38</v>
      </c>
      <c r="F1125" s="14" t="s">
        <v>5115</v>
      </c>
      <c r="G1125" s="14" t="s">
        <v>1900</v>
      </c>
      <c r="H1125" s="14">
        <v>104</v>
      </c>
      <c r="I1125" s="176" t="s">
        <v>2</v>
      </c>
      <c r="J1125" s="14">
        <v>324</v>
      </c>
      <c r="K1125" s="85" t="s">
        <v>137</v>
      </c>
      <c r="L1125" s="14" t="s">
        <v>5131</v>
      </c>
      <c r="M1125" s="324">
        <v>0</v>
      </c>
      <c r="N1125" s="14" t="s">
        <v>1879</v>
      </c>
      <c r="O1125" s="14" t="s">
        <v>1879</v>
      </c>
      <c r="P1125" s="167" t="s">
        <v>147</v>
      </c>
      <c r="Q1125" s="14" t="s">
        <v>138</v>
      </c>
      <c r="R1125" s="223" t="s">
        <v>234</v>
      </c>
      <c r="S1125" s="224">
        <f t="shared" si="175"/>
        <v>45833</v>
      </c>
      <c r="T1125" s="79">
        <v>45902</v>
      </c>
      <c r="U1125" s="14"/>
      <c r="V1125" s="14"/>
      <c r="W1125" s="14"/>
      <c r="X1125" s="14"/>
      <c r="Y1125" s="14" t="s">
        <v>1923</v>
      </c>
      <c r="Z1125" s="14" t="s">
        <v>3065</v>
      </c>
      <c r="AA1125" s="2">
        <f t="shared" ca="1" si="174"/>
        <v>1</v>
      </c>
      <c r="AB1125" s="153"/>
      <c r="AC1125" s="454" t="str">
        <f t="shared" si="169"/>
        <v>1</v>
      </c>
    </row>
    <row r="1126" spans="1:29" ht="58" x14ac:dyDescent="0.35">
      <c r="A1126" s="111" t="str">
        <f t="shared" si="173"/>
        <v>Closed</v>
      </c>
      <c r="B1126" s="226">
        <v>45805</v>
      </c>
      <c r="C1126" s="14">
        <v>2503</v>
      </c>
      <c r="D1126" s="14" t="s">
        <v>5132</v>
      </c>
      <c r="E1126" s="14" t="s">
        <v>8</v>
      </c>
      <c r="F1126" s="14" t="s">
        <v>5133</v>
      </c>
      <c r="G1126" s="14" t="s">
        <v>1911</v>
      </c>
      <c r="H1126" s="14">
        <v>123</v>
      </c>
      <c r="I1126" s="176" t="s">
        <v>140</v>
      </c>
      <c r="K1126" s="87"/>
      <c r="L1126" s="14" t="s">
        <v>5134</v>
      </c>
      <c r="M1126" s="324">
        <f>IF(I1126="Staff Accident","Entry Required",IF(I1126="Assaults","Entry Required",0))</f>
        <v>0</v>
      </c>
      <c r="N1126" s="14" t="s">
        <v>1879</v>
      </c>
      <c r="O1126" s="14" t="s">
        <v>1879</v>
      </c>
      <c r="P1126" s="167" t="s">
        <v>143</v>
      </c>
      <c r="Q1126" s="14"/>
      <c r="R1126" s="170">
        <v>0</v>
      </c>
      <c r="S1126" s="108">
        <f t="shared" si="175"/>
        <v>45833</v>
      </c>
      <c r="T1126" s="79">
        <v>45805</v>
      </c>
      <c r="U1126" s="14"/>
      <c r="V1126" s="14"/>
      <c r="W1126" s="14"/>
      <c r="X1126" s="14"/>
      <c r="Z1126" s="14"/>
      <c r="AA1126" s="2">
        <f t="shared" ca="1" si="174"/>
        <v>1</v>
      </c>
      <c r="AB1126" s="153"/>
      <c r="AC1126" s="454" t="str">
        <f t="shared" si="169"/>
        <v>1</v>
      </c>
    </row>
    <row r="1127" spans="1:29" ht="43.5" x14ac:dyDescent="0.35">
      <c r="A1127" s="111" t="str">
        <f t="shared" si="173"/>
        <v>Closed</v>
      </c>
      <c r="B1127" s="226">
        <v>45806</v>
      </c>
      <c r="C1127" s="14">
        <v>2503</v>
      </c>
      <c r="D1127" s="14" t="s">
        <v>5135</v>
      </c>
      <c r="E1127" s="14" t="s">
        <v>180</v>
      </c>
      <c r="F1127" s="14" t="s">
        <v>2432</v>
      </c>
      <c r="G1127" s="14"/>
      <c r="H1127" s="14"/>
      <c r="I1127" s="176" t="s">
        <v>140</v>
      </c>
      <c r="K1127" s="87"/>
      <c r="L1127" s="14" t="s">
        <v>5136</v>
      </c>
      <c r="M1127" s="324">
        <f>IF(I1127="Staff Accident","Entry Required",IF(I1127="Assaults","Entry Required",0))</f>
        <v>0</v>
      </c>
      <c r="N1127" s="14" t="s">
        <v>1879</v>
      </c>
      <c r="O1127" s="14" t="s">
        <v>1879</v>
      </c>
      <c r="P1127" s="167" t="s">
        <v>143</v>
      </c>
      <c r="Q1127" s="14"/>
      <c r="R1127" s="170">
        <v>0</v>
      </c>
      <c r="S1127" s="108">
        <f t="shared" si="175"/>
        <v>45834</v>
      </c>
      <c r="T1127" s="79">
        <v>45806</v>
      </c>
      <c r="U1127" s="14"/>
      <c r="V1127" s="14"/>
      <c r="W1127" s="14"/>
      <c r="X1127" s="14"/>
      <c r="Y1127" s="14" t="s">
        <v>2436</v>
      </c>
      <c r="Z1127" s="14"/>
      <c r="AA1127" s="2">
        <f t="shared" ca="1" si="174"/>
        <v>1</v>
      </c>
      <c r="AB1127" s="153"/>
      <c r="AC1127" s="454" t="str">
        <f t="shared" si="169"/>
        <v/>
      </c>
    </row>
    <row r="1128" spans="1:29" ht="72.5" x14ac:dyDescent="0.35">
      <c r="A1128" s="111" t="str">
        <f t="shared" si="173"/>
        <v>Closed</v>
      </c>
      <c r="B1128" s="226">
        <v>45808</v>
      </c>
      <c r="C1128" s="14">
        <v>2503</v>
      </c>
      <c r="D1128" s="14" t="s">
        <v>5137</v>
      </c>
      <c r="E1128" s="14" t="s">
        <v>8</v>
      </c>
      <c r="F1128" s="14" t="s">
        <v>2091</v>
      </c>
      <c r="G1128" s="14" t="s">
        <v>1911</v>
      </c>
      <c r="H1128" s="14">
        <v>106</v>
      </c>
      <c r="I1128" s="176" t="s">
        <v>140</v>
      </c>
      <c r="K1128" s="87"/>
      <c r="L1128" s="14" t="s">
        <v>5138</v>
      </c>
      <c r="M1128" s="324">
        <f>IF(I1128="Staff Accident","Entry Required",IF(I1128="Assaults","Entry Required",0))</f>
        <v>0</v>
      </c>
      <c r="N1128" s="14" t="s">
        <v>1879</v>
      </c>
      <c r="O1128" s="14" t="s">
        <v>1879</v>
      </c>
      <c r="P1128" s="167" t="s">
        <v>143</v>
      </c>
      <c r="Q1128" s="14"/>
      <c r="R1128" s="170">
        <v>0</v>
      </c>
      <c r="S1128" s="108">
        <f t="shared" si="175"/>
        <v>45836</v>
      </c>
      <c r="T1128" s="79">
        <v>45808</v>
      </c>
      <c r="U1128" s="14"/>
      <c r="V1128" s="14"/>
      <c r="W1128" s="14"/>
      <c r="X1128" s="14"/>
      <c r="Y1128" s="14" t="s">
        <v>2093</v>
      </c>
      <c r="Z1128" s="14"/>
      <c r="AA1128" s="2">
        <f t="shared" ca="1" si="174"/>
        <v>1</v>
      </c>
      <c r="AB1128" s="153"/>
      <c r="AC1128" s="454" t="str">
        <f t="shared" si="169"/>
        <v>1</v>
      </c>
    </row>
    <row r="1129" spans="1:29" ht="29" x14ac:dyDescent="0.35">
      <c r="A1129" s="89" t="str">
        <f t="shared" si="173"/>
        <v>Closed</v>
      </c>
      <c r="B1129" s="222">
        <v>45808</v>
      </c>
      <c r="C1129" s="14">
        <v>2503</v>
      </c>
      <c r="D1129" s="14" t="s">
        <v>5139</v>
      </c>
      <c r="E1129" s="14" t="s">
        <v>196</v>
      </c>
      <c r="F1129" s="14" t="s">
        <v>5140</v>
      </c>
      <c r="G1129" s="14" t="s">
        <v>1911</v>
      </c>
      <c r="H1129" s="14">
        <v>107</v>
      </c>
      <c r="I1129" s="176" t="s">
        <v>155</v>
      </c>
      <c r="K1129" s="87"/>
      <c r="L1129" s="14" t="s">
        <v>5141</v>
      </c>
      <c r="M1129" s="324">
        <f>IF(I1129="Staff Accident","Entry Required",IF(I1129="Assaults","Entry Required",0))</f>
        <v>0</v>
      </c>
      <c r="N1129" s="14" t="s">
        <v>1880</v>
      </c>
      <c r="O1129" s="14" t="s">
        <v>1880</v>
      </c>
      <c r="P1129" s="167" t="s">
        <v>147</v>
      </c>
      <c r="Q1129" s="14" t="s">
        <v>183</v>
      </c>
      <c r="R1129" s="223" t="s">
        <v>234</v>
      </c>
      <c r="S1129" s="224">
        <f t="shared" si="175"/>
        <v>45836</v>
      </c>
      <c r="T1129" s="79">
        <v>45814</v>
      </c>
      <c r="U1129" s="14" t="s">
        <v>5142</v>
      </c>
      <c r="V1129" s="14" t="s">
        <v>5143</v>
      </c>
      <c r="W1129" s="14" t="s">
        <v>1880</v>
      </c>
      <c r="X1129" s="14" t="s">
        <v>1883</v>
      </c>
      <c r="Z1129" s="14"/>
      <c r="AA1129" s="2">
        <f t="shared" ca="1" si="174"/>
        <v>1</v>
      </c>
      <c r="AB1129" s="153"/>
      <c r="AC1129" s="454" t="str">
        <f t="shared" si="169"/>
        <v>1</v>
      </c>
    </row>
    <row r="1130" spans="1:29" ht="87" x14ac:dyDescent="0.35">
      <c r="A1130" s="89" t="str">
        <f t="shared" si="173"/>
        <v>Closed</v>
      </c>
      <c r="B1130" s="222">
        <v>45808</v>
      </c>
      <c r="C1130" s="14">
        <v>2503</v>
      </c>
      <c r="D1130" s="14" t="s">
        <v>5144</v>
      </c>
      <c r="E1130" s="14" t="s">
        <v>40</v>
      </c>
      <c r="F1130" s="14" t="s">
        <v>4528</v>
      </c>
      <c r="G1130" s="14" t="s">
        <v>1911</v>
      </c>
      <c r="H1130" s="14">
        <v>125</v>
      </c>
      <c r="I1130" s="176" t="s">
        <v>4</v>
      </c>
      <c r="J1130" s="14">
        <v>86310</v>
      </c>
      <c r="K1130" s="14" t="s">
        <v>137</v>
      </c>
      <c r="L1130" s="14" t="s">
        <v>5145</v>
      </c>
      <c r="M1130" s="324">
        <v>0</v>
      </c>
      <c r="N1130" s="14" t="s">
        <v>1879</v>
      </c>
      <c r="O1130" s="14" t="s">
        <v>1880</v>
      </c>
      <c r="P1130" s="167" t="s">
        <v>139</v>
      </c>
      <c r="Q1130" s="14" t="s">
        <v>153</v>
      </c>
      <c r="R1130" s="223" t="s">
        <v>234</v>
      </c>
      <c r="S1130" s="224">
        <f t="shared" si="175"/>
        <v>45836</v>
      </c>
      <c r="T1130" s="79">
        <v>45902</v>
      </c>
      <c r="U1130" s="14"/>
      <c r="V1130" s="14"/>
      <c r="W1130" s="14"/>
      <c r="X1130" s="14"/>
      <c r="Z1130" s="14" t="s">
        <v>342</v>
      </c>
      <c r="AA1130" s="2">
        <f t="shared" ca="1" si="174"/>
        <v>1</v>
      </c>
      <c r="AB1130" s="153"/>
      <c r="AC1130" s="454" t="str">
        <f t="shared" si="169"/>
        <v>1</v>
      </c>
    </row>
    <row r="1131" spans="1:29" ht="29" x14ac:dyDescent="0.35">
      <c r="A1131" s="89" t="str">
        <f t="shared" si="173"/>
        <v>Closed</v>
      </c>
      <c r="B1131" s="222">
        <v>45808</v>
      </c>
      <c r="C1131" s="14">
        <v>2503</v>
      </c>
      <c r="D1131" s="14" t="s">
        <v>5146</v>
      </c>
      <c r="E1131" s="14" t="s">
        <v>42</v>
      </c>
      <c r="F1131" s="14" t="s">
        <v>1937</v>
      </c>
      <c r="G1131" s="14" t="s">
        <v>1911</v>
      </c>
      <c r="H1131" s="14">
        <v>109</v>
      </c>
      <c r="I1131" s="176" t="s">
        <v>140</v>
      </c>
      <c r="J1131" s="14">
        <v>75813</v>
      </c>
      <c r="K1131" s="14" t="s">
        <v>137</v>
      </c>
      <c r="L1131" s="14" t="s">
        <v>5147</v>
      </c>
      <c r="M1131" s="324">
        <v>0</v>
      </c>
      <c r="N1131" s="14" t="s">
        <v>1879</v>
      </c>
      <c r="O1131" s="14" t="s">
        <v>1880</v>
      </c>
      <c r="P1131" s="167" t="s">
        <v>143</v>
      </c>
      <c r="Q1131" s="14"/>
      <c r="R1131" s="223">
        <v>0</v>
      </c>
      <c r="S1131" s="224">
        <f t="shared" si="175"/>
        <v>45836</v>
      </c>
      <c r="T1131" s="79">
        <v>45808</v>
      </c>
      <c r="U1131" s="14"/>
      <c r="V1131" s="14"/>
      <c r="W1131" s="14"/>
      <c r="X1131" s="14"/>
      <c r="Z1131" s="14"/>
      <c r="AA1131" s="2">
        <f t="shared" ca="1" si="174"/>
        <v>1</v>
      </c>
      <c r="AB1131" s="153"/>
      <c r="AC1131" s="454" t="str">
        <f t="shared" si="169"/>
        <v>1</v>
      </c>
    </row>
    <row r="1132" spans="1:29" ht="87" x14ac:dyDescent="0.35">
      <c r="A1132" s="89" t="str">
        <f t="shared" si="173"/>
        <v>Closed</v>
      </c>
      <c r="B1132" s="222">
        <v>45798</v>
      </c>
      <c r="C1132" s="14">
        <v>2503</v>
      </c>
      <c r="D1132" s="14" t="s">
        <v>5148</v>
      </c>
      <c r="E1132" s="14" t="s">
        <v>38</v>
      </c>
      <c r="F1132" s="14" t="s">
        <v>1972</v>
      </c>
      <c r="G1132" s="14"/>
      <c r="H1132" s="14">
        <v>123</v>
      </c>
      <c r="I1132" s="176" t="s">
        <v>2</v>
      </c>
      <c r="K1132" s="85" t="s">
        <v>137</v>
      </c>
      <c r="L1132" s="14" t="s">
        <v>5149</v>
      </c>
      <c r="M1132" s="324" t="s">
        <v>3214</v>
      </c>
      <c r="N1132" s="14" t="s">
        <v>1880</v>
      </c>
      <c r="O1132" s="14" t="s">
        <v>1879</v>
      </c>
      <c r="P1132" s="167" t="s">
        <v>136</v>
      </c>
      <c r="Q1132" s="14" t="s">
        <v>175</v>
      </c>
      <c r="R1132" s="223" t="s">
        <v>234</v>
      </c>
      <c r="S1132" s="224">
        <f t="shared" si="175"/>
        <v>45826</v>
      </c>
      <c r="T1132" s="79">
        <v>46045</v>
      </c>
      <c r="U1132" s="14"/>
      <c r="V1132" s="14"/>
      <c r="W1132" s="14"/>
      <c r="X1132" s="14"/>
      <c r="Z1132" s="14" t="s">
        <v>5150</v>
      </c>
      <c r="AA1132" s="2">
        <f t="shared" ca="1" si="174"/>
        <v>1</v>
      </c>
      <c r="AB1132" s="153"/>
      <c r="AC1132" s="454" t="str">
        <f t="shared" si="169"/>
        <v>1</v>
      </c>
    </row>
    <row r="1133" spans="1:29" ht="188.5" x14ac:dyDescent="0.35">
      <c r="A1133" s="89" t="str">
        <f t="shared" si="173"/>
        <v>Closed</v>
      </c>
      <c r="B1133" s="222">
        <v>45811</v>
      </c>
      <c r="C1133" s="14">
        <v>2503</v>
      </c>
      <c r="D1133" s="14" t="s">
        <v>5151</v>
      </c>
      <c r="E1133" s="14" t="s">
        <v>192</v>
      </c>
      <c r="F1133" s="14" t="s">
        <v>5152</v>
      </c>
      <c r="G1133" s="14" t="s">
        <v>1911</v>
      </c>
      <c r="H1133" s="14">
        <v>102</v>
      </c>
      <c r="I1133" s="176" t="s">
        <v>140</v>
      </c>
      <c r="K1133" s="87"/>
      <c r="L1133" s="14" t="s">
        <v>5153</v>
      </c>
      <c r="M1133" s="324">
        <f t="shared" ref="M1133:M1148" si="176">IF(I1133="Staff Accident","Entry Required",IF(I1133="Assaults","Entry Required",0))</f>
        <v>0</v>
      </c>
      <c r="N1133" s="14" t="s">
        <v>1879</v>
      </c>
      <c r="O1133" s="14" t="s">
        <v>1879</v>
      </c>
      <c r="P1133" s="167" t="s">
        <v>143</v>
      </c>
      <c r="Q1133" s="14"/>
      <c r="R1133" s="223">
        <v>0</v>
      </c>
      <c r="S1133" s="224">
        <f t="shared" si="175"/>
        <v>45839</v>
      </c>
      <c r="T1133" s="79">
        <v>45811</v>
      </c>
      <c r="U1133" s="14"/>
      <c r="V1133" s="14"/>
      <c r="W1133" s="14"/>
      <c r="X1133" s="14"/>
      <c r="Y1133" s="14" t="s">
        <v>2185</v>
      </c>
      <c r="Z1133" s="14" t="s">
        <v>5154</v>
      </c>
      <c r="AA1133" s="2">
        <f t="shared" ca="1" si="174"/>
        <v>1</v>
      </c>
      <c r="AB1133" s="153"/>
      <c r="AC1133" s="454" t="str">
        <f t="shared" si="169"/>
        <v>1</v>
      </c>
    </row>
    <row r="1134" spans="1:29" ht="29" x14ac:dyDescent="0.35">
      <c r="A1134" s="111" t="str">
        <f t="shared" si="173"/>
        <v>Closed</v>
      </c>
      <c r="B1134" s="226">
        <v>45811</v>
      </c>
      <c r="C1134" s="14">
        <v>2503</v>
      </c>
      <c r="D1134" s="14" t="s">
        <v>5155</v>
      </c>
      <c r="E1134" s="14" t="s">
        <v>8</v>
      </c>
      <c r="F1134" s="14" t="s">
        <v>3040</v>
      </c>
      <c r="G1134" s="14" t="s">
        <v>1900</v>
      </c>
      <c r="H1134" s="14">
        <v>125</v>
      </c>
      <c r="I1134" s="176" t="s">
        <v>140</v>
      </c>
      <c r="K1134" s="87"/>
      <c r="L1134" s="14" t="s">
        <v>5156</v>
      </c>
      <c r="M1134" s="324">
        <f t="shared" si="176"/>
        <v>0</v>
      </c>
      <c r="N1134" s="14" t="s">
        <v>1879</v>
      </c>
      <c r="O1134" s="14" t="s">
        <v>1879</v>
      </c>
      <c r="P1134" s="167" t="s">
        <v>143</v>
      </c>
      <c r="Q1134" s="14"/>
      <c r="R1134" s="170">
        <v>0</v>
      </c>
      <c r="S1134" s="108">
        <f t="shared" si="175"/>
        <v>45839</v>
      </c>
      <c r="T1134" s="79">
        <v>45811</v>
      </c>
      <c r="U1134" s="14"/>
      <c r="V1134" s="14"/>
      <c r="W1134" s="14"/>
      <c r="X1134" s="14"/>
      <c r="Z1134" s="14"/>
      <c r="AA1134" s="2">
        <f t="shared" ca="1" si="174"/>
        <v>1</v>
      </c>
      <c r="AB1134" s="153"/>
      <c r="AC1134" s="454" t="str">
        <f t="shared" si="169"/>
        <v>1</v>
      </c>
    </row>
    <row r="1135" spans="1:29" ht="29" x14ac:dyDescent="0.35">
      <c r="A1135" s="89" t="str">
        <f t="shared" si="173"/>
        <v>Closed</v>
      </c>
      <c r="B1135" s="222">
        <v>45811</v>
      </c>
      <c r="C1135" s="14">
        <v>2503</v>
      </c>
      <c r="D1135" s="14" t="s">
        <v>5157</v>
      </c>
      <c r="E1135" s="14" t="s">
        <v>27</v>
      </c>
      <c r="F1135" s="14" t="s">
        <v>2010</v>
      </c>
      <c r="G1135" s="14" t="s">
        <v>1900</v>
      </c>
      <c r="H1135" s="14">
        <v>104</v>
      </c>
      <c r="I1135" s="176" t="s">
        <v>5</v>
      </c>
      <c r="K1135" s="87"/>
      <c r="L1135" s="14" t="s">
        <v>5158</v>
      </c>
      <c r="M1135" s="324">
        <f t="shared" si="176"/>
        <v>0</v>
      </c>
      <c r="N1135" s="14" t="s">
        <v>1879</v>
      </c>
      <c r="O1135" s="14" t="s">
        <v>1880</v>
      </c>
      <c r="P1135" s="167" t="s">
        <v>143</v>
      </c>
      <c r="Q1135" s="14"/>
      <c r="R1135" s="223">
        <v>0</v>
      </c>
      <c r="S1135" s="224">
        <f t="shared" si="175"/>
        <v>45839</v>
      </c>
      <c r="T1135" s="79">
        <v>45811</v>
      </c>
      <c r="U1135" s="14"/>
      <c r="V1135" s="14"/>
      <c r="W1135" s="14"/>
      <c r="X1135" s="14"/>
      <c r="Y1135" s="14" t="s">
        <v>2012</v>
      </c>
      <c r="Z1135" s="14"/>
      <c r="AA1135" s="2">
        <f t="shared" ca="1" si="174"/>
        <v>1</v>
      </c>
      <c r="AB1135" s="153"/>
      <c r="AC1135" s="454" t="str">
        <f t="shared" si="169"/>
        <v>1</v>
      </c>
    </row>
    <row r="1136" spans="1:29" ht="29" x14ac:dyDescent="0.35">
      <c r="A1136" s="111" t="str">
        <f t="shared" si="173"/>
        <v>Closed</v>
      </c>
      <c r="B1136" s="226">
        <v>45811</v>
      </c>
      <c r="C1136" s="14">
        <v>2503</v>
      </c>
      <c r="D1136" s="14" t="s">
        <v>5159</v>
      </c>
      <c r="E1136" s="14" t="s">
        <v>8</v>
      </c>
      <c r="F1136" s="14" t="s">
        <v>2099</v>
      </c>
      <c r="G1136" s="14" t="s">
        <v>1900</v>
      </c>
      <c r="H1136" s="14"/>
      <c r="I1136" s="176" t="s">
        <v>140</v>
      </c>
      <c r="J1136" s="14">
        <v>541</v>
      </c>
      <c r="K1136" s="87"/>
      <c r="L1136" s="14" t="s">
        <v>5160</v>
      </c>
      <c r="M1136" s="324">
        <f t="shared" si="176"/>
        <v>0</v>
      </c>
      <c r="N1136" s="14" t="s">
        <v>1879</v>
      </c>
      <c r="O1136" s="14" t="s">
        <v>1879</v>
      </c>
      <c r="P1136" s="167" t="s">
        <v>143</v>
      </c>
      <c r="Q1136" s="14"/>
      <c r="R1136" s="170">
        <v>0</v>
      </c>
      <c r="S1136" s="108">
        <f t="shared" si="175"/>
        <v>45839</v>
      </c>
      <c r="T1136" s="79">
        <v>45811</v>
      </c>
      <c r="U1136" s="14"/>
      <c r="V1136" s="14"/>
      <c r="W1136" s="14"/>
      <c r="X1136" s="14"/>
      <c r="Z1136" s="14"/>
      <c r="AA1136" s="2">
        <f t="shared" ca="1" si="174"/>
        <v>1</v>
      </c>
      <c r="AB1136" s="153"/>
      <c r="AC1136" s="454" t="str">
        <f t="shared" si="169"/>
        <v/>
      </c>
    </row>
    <row r="1137" spans="1:29" ht="116" x14ac:dyDescent="0.35">
      <c r="A1137" s="111" t="str">
        <f t="shared" si="173"/>
        <v>Closed</v>
      </c>
      <c r="B1137" s="226">
        <v>45812</v>
      </c>
      <c r="C1137" s="14">
        <v>2503</v>
      </c>
      <c r="D1137" s="14" t="s">
        <v>5161</v>
      </c>
      <c r="E1137" s="14" t="s">
        <v>76</v>
      </c>
      <c r="F1137" s="14" t="s">
        <v>2010</v>
      </c>
      <c r="G1137" s="14" t="s">
        <v>1911</v>
      </c>
      <c r="H1137" s="14">
        <v>117</v>
      </c>
      <c r="I1137" s="176" t="s">
        <v>140</v>
      </c>
      <c r="J1137" s="14">
        <v>61202</v>
      </c>
      <c r="K1137" s="87"/>
      <c r="L1137" s="14" t="s">
        <v>5162</v>
      </c>
      <c r="M1137" s="324">
        <f t="shared" si="176"/>
        <v>0</v>
      </c>
      <c r="N1137" s="14" t="s">
        <v>1879</v>
      </c>
      <c r="O1137" s="14" t="s">
        <v>1879</v>
      </c>
      <c r="P1137" s="167" t="s">
        <v>143</v>
      </c>
      <c r="Q1137" s="14"/>
      <c r="R1137" s="170">
        <v>0</v>
      </c>
      <c r="S1137" s="108">
        <f t="shared" si="175"/>
        <v>45840</v>
      </c>
      <c r="T1137" s="79">
        <v>45812</v>
      </c>
      <c r="U1137" s="14"/>
      <c r="V1137" s="14"/>
      <c r="W1137" s="14"/>
      <c r="X1137" s="14"/>
      <c r="Y1137" s="14" t="s">
        <v>2012</v>
      </c>
      <c r="Z1137" s="14"/>
      <c r="AA1137" s="2">
        <f t="shared" ca="1" si="174"/>
        <v>1</v>
      </c>
      <c r="AB1137" s="153"/>
      <c r="AC1137" s="454" t="str">
        <f t="shared" si="169"/>
        <v>1</v>
      </c>
    </row>
    <row r="1138" spans="1:29" ht="116" x14ac:dyDescent="0.35">
      <c r="A1138" s="111" t="str">
        <f t="shared" si="173"/>
        <v>Closed</v>
      </c>
      <c r="B1138" s="226">
        <v>45812</v>
      </c>
      <c r="C1138" s="14">
        <v>2503</v>
      </c>
      <c r="D1138" s="14" t="s">
        <v>5163</v>
      </c>
      <c r="E1138" s="14" t="s">
        <v>26</v>
      </c>
      <c r="F1138" s="14" t="s">
        <v>2573</v>
      </c>
      <c r="G1138" s="14"/>
      <c r="H1138" s="14">
        <v>125</v>
      </c>
      <c r="I1138" s="176" t="s">
        <v>140</v>
      </c>
      <c r="J1138" s="14">
        <v>134</v>
      </c>
      <c r="K1138" s="87"/>
      <c r="L1138" s="14" t="s">
        <v>5164</v>
      </c>
      <c r="M1138" s="324">
        <f t="shared" si="176"/>
        <v>0</v>
      </c>
      <c r="N1138" s="14" t="s">
        <v>1879</v>
      </c>
      <c r="O1138" s="14" t="s">
        <v>1879</v>
      </c>
      <c r="P1138" s="167" t="s">
        <v>143</v>
      </c>
      <c r="Q1138" s="14"/>
      <c r="R1138" s="170">
        <v>0</v>
      </c>
      <c r="S1138" s="108">
        <f t="shared" si="175"/>
        <v>45840</v>
      </c>
      <c r="T1138" s="79">
        <v>45812</v>
      </c>
      <c r="U1138" s="14"/>
      <c r="V1138" s="14"/>
      <c r="W1138" s="14"/>
      <c r="X1138" s="14"/>
      <c r="Z1138" s="14"/>
      <c r="AA1138" s="2">
        <f t="shared" ca="1" si="174"/>
        <v>1</v>
      </c>
      <c r="AB1138" s="153"/>
      <c r="AC1138" s="454" t="str">
        <f t="shared" si="169"/>
        <v>1</v>
      </c>
    </row>
    <row r="1139" spans="1:29" ht="87" x14ac:dyDescent="0.35">
      <c r="A1139" s="111" t="str">
        <f t="shared" si="173"/>
        <v>Closed</v>
      </c>
      <c r="B1139" s="226">
        <v>45813</v>
      </c>
      <c r="C1139" s="14">
        <v>2503</v>
      </c>
      <c r="D1139" s="14" t="s">
        <v>5165</v>
      </c>
      <c r="E1139" s="14" t="s">
        <v>61</v>
      </c>
      <c r="F1139" s="14" t="s">
        <v>2064</v>
      </c>
      <c r="G1139" s="14" t="s">
        <v>1900</v>
      </c>
      <c r="H1139" s="14">
        <v>105</v>
      </c>
      <c r="I1139" s="176" t="s">
        <v>140</v>
      </c>
      <c r="J1139" s="14">
        <v>567</v>
      </c>
      <c r="K1139" s="87"/>
      <c r="L1139" s="14" t="s">
        <v>5166</v>
      </c>
      <c r="M1139" s="324">
        <f t="shared" si="176"/>
        <v>0</v>
      </c>
      <c r="N1139" s="14" t="s">
        <v>1879</v>
      </c>
      <c r="O1139" s="14" t="s">
        <v>1880</v>
      </c>
      <c r="P1139" s="167" t="s">
        <v>143</v>
      </c>
      <c r="Q1139" s="14"/>
      <c r="R1139" s="170">
        <v>0</v>
      </c>
      <c r="S1139" s="108">
        <f t="shared" si="175"/>
        <v>45841</v>
      </c>
      <c r="T1139" s="79">
        <v>45813</v>
      </c>
      <c r="U1139" s="14"/>
      <c r="V1139" s="14"/>
      <c r="W1139" s="14"/>
      <c r="X1139" s="14"/>
      <c r="Z1139" s="14" t="s">
        <v>5167</v>
      </c>
      <c r="AA1139" s="2">
        <f t="shared" ca="1" si="174"/>
        <v>1</v>
      </c>
      <c r="AB1139" s="153"/>
      <c r="AC1139" s="454" t="str">
        <f t="shared" si="169"/>
        <v>1</v>
      </c>
    </row>
    <row r="1140" spans="1:29" ht="58" x14ac:dyDescent="0.35">
      <c r="A1140" s="111" t="str">
        <f t="shared" si="173"/>
        <v>Closed</v>
      </c>
      <c r="B1140" s="226">
        <v>45813</v>
      </c>
      <c r="C1140" s="14">
        <v>2503</v>
      </c>
      <c r="D1140" s="14" t="s">
        <v>5168</v>
      </c>
      <c r="E1140" s="14" t="s">
        <v>8</v>
      </c>
      <c r="F1140" s="14" t="s">
        <v>1899</v>
      </c>
      <c r="G1140" s="14" t="s">
        <v>1900</v>
      </c>
      <c r="H1140" s="14">
        <v>125</v>
      </c>
      <c r="I1140" s="176" t="s">
        <v>140</v>
      </c>
      <c r="J1140" s="14">
        <v>1365</v>
      </c>
      <c r="K1140" s="87"/>
      <c r="L1140" s="14" t="s">
        <v>5169</v>
      </c>
      <c r="M1140" s="324">
        <f t="shared" si="176"/>
        <v>0</v>
      </c>
      <c r="N1140" s="14" t="s">
        <v>1879</v>
      </c>
      <c r="O1140" s="14" t="s">
        <v>1879</v>
      </c>
      <c r="P1140" s="167" t="s">
        <v>143</v>
      </c>
      <c r="Q1140" s="14"/>
      <c r="R1140" s="170">
        <v>0</v>
      </c>
      <c r="S1140" s="108">
        <f t="shared" si="175"/>
        <v>45841</v>
      </c>
      <c r="T1140" s="79">
        <v>45813</v>
      </c>
      <c r="U1140" s="14"/>
      <c r="V1140" s="14"/>
      <c r="W1140" s="14"/>
      <c r="X1140" s="14"/>
      <c r="Z1140" s="14"/>
      <c r="AA1140" s="2">
        <f t="shared" ca="1" si="174"/>
        <v>1</v>
      </c>
      <c r="AB1140" s="153"/>
      <c r="AC1140" s="454" t="str">
        <f t="shared" si="169"/>
        <v>1</v>
      </c>
    </row>
    <row r="1141" spans="1:29" ht="43.5" x14ac:dyDescent="0.35">
      <c r="A1141" s="111" t="str">
        <f t="shared" si="173"/>
        <v>Closed</v>
      </c>
      <c r="B1141" s="226">
        <v>45813</v>
      </c>
      <c r="C1141" s="14">
        <v>2503</v>
      </c>
      <c r="D1141" s="14" t="s">
        <v>5170</v>
      </c>
      <c r="E1141" s="14" t="s">
        <v>8</v>
      </c>
      <c r="F1141" s="14" t="s">
        <v>3040</v>
      </c>
      <c r="G1141" s="14" t="s">
        <v>1911</v>
      </c>
      <c r="H1141" s="14">
        <v>108</v>
      </c>
      <c r="I1141" s="176" t="s">
        <v>140</v>
      </c>
      <c r="J1141" s="14">
        <v>87</v>
      </c>
      <c r="K1141" s="87"/>
      <c r="L1141" s="14" t="s">
        <v>5171</v>
      </c>
      <c r="M1141" s="324">
        <f t="shared" si="176"/>
        <v>0</v>
      </c>
      <c r="N1141" s="14" t="s">
        <v>1879</v>
      </c>
      <c r="O1141" s="14" t="s">
        <v>1879</v>
      </c>
      <c r="P1141" s="167" t="s">
        <v>143</v>
      </c>
      <c r="Q1141" s="14"/>
      <c r="R1141" s="170">
        <v>0</v>
      </c>
      <c r="S1141" s="108">
        <f t="shared" si="175"/>
        <v>45841</v>
      </c>
      <c r="T1141" s="79">
        <v>45813</v>
      </c>
      <c r="U1141" s="14"/>
      <c r="V1141" s="14"/>
      <c r="W1141" s="14"/>
      <c r="X1141" s="14"/>
      <c r="Z1141" s="14"/>
      <c r="AA1141" s="2">
        <f t="shared" ca="1" si="174"/>
        <v>1</v>
      </c>
      <c r="AB1141" s="153"/>
      <c r="AC1141" s="454" t="str">
        <f t="shared" si="169"/>
        <v>1</v>
      </c>
    </row>
    <row r="1142" spans="1:29" ht="29.5" thickBot="1" x14ac:dyDescent="0.4">
      <c r="A1142" s="111" t="str">
        <f t="shared" si="173"/>
        <v>Closed</v>
      </c>
      <c r="B1142" s="226">
        <v>45814</v>
      </c>
      <c r="C1142" s="14">
        <v>2503</v>
      </c>
      <c r="D1142" s="14" t="s">
        <v>5172</v>
      </c>
      <c r="E1142" s="14" t="s">
        <v>219</v>
      </c>
      <c r="F1142" s="14" t="s">
        <v>2119</v>
      </c>
      <c r="G1142" s="14" t="s">
        <v>1911</v>
      </c>
      <c r="H1142" s="14"/>
      <c r="I1142" s="176" t="s">
        <v>140</v>
      </c>
      <c r="K1142" s="87"/>
      <c r="L1142" s="14" t="s">
        <v>5173</v>
      </c>
      <c r="M1142" s="324">
        <f t="shared" si="176"/>
        <v>0</v>
      </c>
      <c r="N1142" s="14" t="s">
        <v>1879</v>
      </c>
      <c r="O1142" s="14" t="s">
        <v>1879</v>
      </c>
      <c r="P1142" s="167" t="s">
        <v>143</v>
      </c>
      <c r="Q1142" s="14"/>
      <c r="R1142" s="170">
        <v>0</v>
      </c>
      <c r="S1142" s="108">
        <f t="shared" si="175"/>
        <v>45842</v>
      </c>
      <c r="T1142" s="79">
        <v>45814</v>
      </c>
      <c r="U1142" s="14"/>
      <c r="V1142" s="14"/>
      <c r="W1142" s="14"/>
      <c r="X1142" s="14"/>
      <c r="Y1142" s="14" t="s">
        <v>2093</v>
      </c>
      <c r="Z1142" s="14"/>
      <c r="AA1142" s="2">
        <f t="shared" ca="1" si="174"/>
        <v>1</v>
      </c>
      <c r="AB1142" s="153"/>
      <c r="AC1142" s="454" t="str">
        <f t="shared" si="169"/>
        <v/>
      </c>
    </row>
    <row r="1143" spans="1:29" ht="29.5" thickBot="1" x14ac:dyDescent="0.4">
      <c r="A1143" s="111" t="str">
        <f t="shared" si="173"/>
        <v>Closed</v>
      </c>
      <c r="B1143" s="226">
        <v>45814</v>
      </c>
      <c r="C1143" s="14">
        <v>2503</v>
      </c>
      <c r="D1143" s="14" t="s">
        <v>5174</v>
      </c>
      <c r="E1143" s="14" t="s">
        <v>152</v>
      </c>
      <c r="F1143" s="14" t="s">
        <v>2196</v>
      </c>
      <c r="G1143" s="14" t="s">
        <v>1911</v>
      </c>
      <c r="H1143" s="14">
        <v>109</v>
      </c>
      <c r="I1143" s="176" t="s">
        <v>140</v>
      </c>
      <c r="J1143" s="14">
        <v>625</v>
      </c>
      <c r="K1143" s="87"/>
      <c r="L1143" s="14" t="s">
        <v>5175</v>
      </c>
      <c r="M1143" s="324">
        <f t="shared" si="176"/>
        <v>0</v>
      </c>
      <c r="N1143" s="14" t="s">
        <v>1879</v>
      </c>
      <c r="O1143" s="14" t="s">
        <v>1879</v>
      </c>
      <c r="P1143" s="167" t="s">
        <v>143</v>
      </c>
      <c r="Q1143" s="14"/>
      <c r="R1143" s="170">
        <v>0</v>
      </c>
      <c r="S1143" s="108">
        <f t="shared" si="175"/>
        <v>45842</v>
      </c>
      <c r="T1143" s="79">
        <v>45814</v>
      </c>
      <c r="U1143" s="14"/>
      <c r="V1143" s="14"/>
      <c r="W1143" s="14"/>
      <c r="X1143" s="14"/>
      <c r="Y1143" s="464" t="s">
        <v>2164</v>
      </c>
      <c r="Z1143" s="14"/>
      <c r="AA1143" s="2">
        <f t="shared" ca="1" si="174"/>
        <v>1</v>
      </c>
      <c r="AB1143" s="153"/>
      <c r="AC1143" s="454" t="str">
        <f t="shared" si="169"/>
        <v>1</v>
      </c>
    </row>
    <row r="1144" spans="1:29" s="318" customFormat="1" ht="58.5" thickBot="1" x14ac:dyDescent="0.4">
      <c r="A1144" s="313" t="str">
        <f t="shared" si="173"/>
        <v>Closed</v>
      </c>
      <c r="B1144" s="314">
        <v>45814</v>
      </c>
      <c r="C1144" s="217">
        <v>2503</v>
      </c>
      <c r="D1144" s="217" t="s">
        <v>5176</v>
      </c>
      <c r="E1144" s="217" t="s">
        <v>41</v>
      </c>
      <c r="F1144" s="217" t="s">
        <v>1968</v>
      </c>
      <c r="G1144" s="14" t="s">
        <v>1900</v>
      </c>
      <c r="H1144" s="14">
        <v>106</v>
      </c>
      <c r="I1144" s="322" t="s">
        <v>4</v>
      </c>
      <c r="J1144" s="217">
        <v>58402</v>
      </c>
      <c r="K1144" s="217" t="s">
        <v>137</v>
      </c>
      <c r="L1144" s="217" t="s">
        <v>5177</v>
      </c>
      <c r="M1144" s="341">
        <v>0</v>
      </c>
      <c r="N1144" s="217" t="s">
        <v>1879</v>
      </c>
      <c r="O1144" s="217" t="s">
        <v>1879</v>
      </c>
      <c r="P1144" s="315" t="s">
        <v>143</v>
      </c>
      <c r="Q1144" s="217"/>
      <c r="R1144" s="170">
        <v>0</v>
      </c>
      <c r="S1144" s="321">
        <f t="shared" si="175"/>
        <v>45842</v>
      </c>
      <c r="T1144" s="319">
        <v>45814</v>
      </c>
      <c r="U1144" s="217"/>
      <c r="V1144" s="217"/>
      <c r="W1144" s="217"/>
      <c r="X1144" s="217"/>
      <c r="Y1144" s="217"/>
      <c r="Z1144" s="217"/>
      <c r="AA1144" s="316">
        <f t="shared" ca="1" si="174"/>
        <v>1</v>
      </c>
      <c r="AB1144" s="317"/>
      <c r="AC1144" s="455" t="str">
        <f t="shared" si="169"/>
        <v>1</v>
      </c>
    </row>
    <row r="1145" spans="1:29" ht="44" thickBot="1" x14ac:dyDescent="0.4">
      <c r="A1145" s="111" t="str">
        <f t="shared" si="173"/>
        <v>Closed</v>
      </c>
      <c r="B1145" s="226">
        <v>45814</v>
      </c>
      <c r="C1145" s="14">
        <v>2503</v>
      </c>
      <c r="D1145" s="14" t="s">
        <v>5178</v>
      </c>
      <c r="E1145" s="14" t="s">
        <v>85</v>
      </c>
      <c r="F1145" s="14" t="s">
        <v>2162</v>
      </c>
      <c r="G1145" s="14" t="s">
        <v>1911</v>
      </c>
      <c r="H1145" s="14">
        <v>111</v>
      </c>
      <c r="I1145" s="176" t="s">
        <v>140</v>
      </c>
      <c r="K1145" s="87"/>
      <c r="L1145" s="14" t="s">
        <v>5179</v>
      </c>
      <c r="M1145" s="324">
        <f t="shared" si="176"/>
        <v>0</v>
      </c>
      <c r="N1145" s="14" t="s">
        <v>1879</v>
      </c>
      <c r="O1145" s="14" t="s">
        <v>1879</v>
      </c>
      <c r="P1145" s="167" t="s">
        <v>143</v>
      </c>
      <c r="Q1145" s="14"/>
      <c r="R1145" s="170">
        <v>0</v>
      </c>
      <c r="S1145" s="108">
        <f t="shared" si="175"/>
        <v>45842</v>
      </c>
      <c r="T1145" s="79">
        <v>45814</v>
      </c>
      <c r="U1145" s="14"/>
      <c r="V1145" s="14"/>
      <c r="W1145" s="14"/>
      <c r="X1145" s="14"/>
      <c r="Y1145" s="464" t="s">
        <v>2164</v>
      </c>
      <c r="Z1145" s="14"/>
      <c r="AA1145" s="2">
        <f t="shared" ca="1" si="174"/>
        <v>1</v>
      </c>
      <c r="AB1145" s="153"/>
      <c r="AC1145" s="454" t="str">
        <f t="shared" si="169"/>
        <v>1</v>
      </c>
    </row>
    <row r="1146" spans="1:29" s="318" customFormat="1" ht="43.5" x14ac:dyDescent="0.35">
      <c r="A1146" s="313" t="str">
        <f t="shared" si="173"/>
        <v>Closed</v>
      </c>
      <c r="B1146" s="314">
        <v>45816</v>
      </c>
      <c r="C1146" s="217">
        <v>2503</v>
      </c>
      <c r="D1146" s="217" t="s">
        <v>5180</v>
      </c>
      <c r="E1146" s="217" t="s">
        <v>31</v>
      </c>
      <c r="F1146" s="217" t="s">
        <v>2037</v>
      </c>
      <c r="G1146" s="14"/>
      <c r="H1146" s="14">
        <v>117</v>
      </c>
      <c r="I1146" s="322" t="s">
        <v>140</v>
      </c>
      <c r="J1146" s="217"/>
      <c r="K1146" s="323"/>
      <c r="L1146" s="217" t="s">
        <v>5181</v>
      </c>
      <c r="M1146" s="341">
        <f t="shared" si="176"/>
        <v>0</v>
      </c>
      <c r="N1146" s="217" t="s">
        <v>1879</v>
      </c>
      <c r="O1146" s="217" t="s">
        <v>1879</v>
      </c>
      <c r="P1146" s="315" t="s">
        <v>143</v>
      </c>
      <c r="Q1146" s="217"/>
      <c r="R1146" s="170">
        <v>0</v>
      </c>
      <c r="S1146" s="321">
        <f t="shared" si="175"/>
        <v>45844</v>
      </c>
      <c r="T1146" s="319">
        <v>45816</v>
      </c>
      <c r="U1146" s="217"/>
      <c r="V1146" s="217"/>
      <c r="W1146" s="217"/>
      <c r="X1146" s="217"/>
      <c r="Y1146" s="217"/>
      <c r="Z1146" s="217"/>
      <c r="AA1146" s="316">
        <f t="shared" ca="1" si="174"/>
        <v>1</v>
      </c>
      <c r="AB1146" s="317"/>
      <c r="AC1146" s="455" t="str">
        <f t="shared" si="169"/>
        <v>1</v>
      </c>
    </row>
    <row r="1147" spans="1:29" ht="43.5" x14ac:dyDescent="0.35">
      <c r="A1147" s="111" t="str">
        <f t="shared" si="173"/>
        <v>Closed</v>
      </c>
      <c r="B1147" s="226">
        <v>45816</v>
      </c>
      <c r="C1147" s="14">
        <v>2503</v>
      </c>
      <c r="D1147" s="14" t="s">
        <v>5182</v>
      </c>
      <c r="E1147" s="14" t="s">
        <v>180</v>
      </c>
      <c r="F1147" s="14" t="s">
        <v>1947</v>
      </c>
      <c r="G1147" s="14" t="s">
        <v>1911</v>
      </c>
      <c r="H1147" s="14"/>
      <c r="I1147" s="176" t="s">
        <v>140</v>
      </c>
      <c r="K1147" s="87"/>
      <c r="L1147" s="14" t="s">
        <v>5183</v>
      </c>
      <c r="M1147" s="324">
        <f t="shared" si="176"/>
        <v>0</v>
      </c>
      <c r="N1147" s="14" t="s">
        <v>1879</v>
      </c>
      <c r="O1147" s="14" t="s">
        <v>1879</v>
      </c>
      <c r="P1147" s="167" t="s">
        <v>143</v>
      </c>
      <c r="Q1147" s="14"/>
      <c r="R1147" s="170">
        <v>0</v>
      </c>
      <c r="S1147" s="108">
        <f t="shared" si="175"/>
        <v>45844</v>
      </c>
      <c r="T1147" s="79">
        <v>45816</v>
      </c>
      <c r="U1147" s="14"/>
      <c r="V1147" s="14"/>
      <c r="W1147" s="14"/>
      <c r="X1147" s="14"/>
      <c r="Z1147" s="14"/>
      <c r="AA1147" s="2">
        <f t="shared" ca="1" si="174"/>
        <v>1</v>
      </c>
      <c r="AB1147" s="153"/>
      <c r="AC1147" s="454" t="str">
        <f t="shared" si="169"/>
        <v/>
      </c>
    </row>
    <row r="1148" spans="1:29" s="318" customFormat="1" ht="29" x14ac:dyDescent="0.35">
      <c r="A1148" s="313" t="str">
        <f t="shared" si="173"/>
        <v>Closed</v>
      </c>
      <c r="B1148" s="314">
        <v>45815</v>
      </c>
      <c r="C1148" s="217">
        <v>2503</v>
      </c>
      <c r="D1148" s="217" t="s">
        <v>5184</v>
      </c>
      <c r="E1148" s="217" t="s">
        <v>27</v>
      </c>
      <c r="F1148" s="217" t="s">
        <v>2262</v>
      </c>
      <c r="G1148" s="14" t="s">
        <v>1911</v>
      </c>
      <c r="H1148" s="14">
        <v>115</v>
      </c>
      <c r="I1148" s="322" t="s">
        <v>5</v>
      </c>
      <c r="J1148" s="217">
        <v>64986</v>
      </c>
      <c r="K1148" s="323"/>
      <c r="L1148" s="217" t="s">
        <v>5185</v>
      </c>
      <c r="M1148" s="341">
        <f t="shared" si="176"/>
        <v>0</v>
      </c>
      <c r="N1148" s="217" t="s">
        <v>1879</v>
      </c>
      <c r="O1148" s="217" t="s">
        <v>1880</v>
      </c>
      <c r="P1148" s="315" t="s">
        <v>147</v>
      </c>
      <c r="Q1148" s="217" t="s">
        <v>175</v>
      </c>
      <c r="R1148" s="320" t="s">
        <v>234</v>
      </c>
      <c r="S1148" s="321">
        <f t="shared" si="175"/>
        <v>45843</v>
      </c>
      <c r="T1148" s="319">
        <v>45902</v>
      </c>
      <c r="U1148" s="217"/>
      <c r="V1148" s="217"/>
      <c r="W1148" s="217"/>
      <c r="X1148" s="217"/>
      <c r="Y1148" s="217"/>
      <c r="Z1148" s="217" t="s">
        <v>5186</v>
      </c>
      <c r="AA1148" s="316">
        <f t="shared" ca="1" si="174"/>
        <v>1</v>
      </c>
      <c r="AB1148" s="317"/>
      <c r="AC1148" s="455" t="str">
        <f t="shared" si="169"/>
        <v>1</v>
      </c>
    </row>
    <row r="1149" spans="1:29" ht="29" x14ac:dyDescent="0.35">
      <c r="A1149" s="111" t="str">
        <f t="shared" si="173"/>
        <v>Closed</v>
      </c>
      <c r="B1149" s="226">
        <v>45817</v>
      </c>
      <c r="C1149" s="14">
        <v>2503</v>
      </c>
      <c r="D1149" s="14" t="s">
        <v>5187</v>
      </c>
      <c r="E1149" s="14" t="s">
        <v>40</v>
      </c>
      <c r="F1149" s="14" t="s">
        <v>3081</v>
      </c>
      <c r="G1149" s="14" t="s">
        <v>5188</v>
      </c>
      <c r="H1149" s="14">
        <v>105</v>
      </c>
      <c r="I1149" s="176" t="s">
        <v>4</v>
      </c>
      <c r="J1149" s="14">
        <v>58277</v>
      </c>
      <c r="K1149" s="14" t="s">
        <v>137</v>
      </c>
      <c r="L1149" s="14" t="s">
        <v>5189</v>
      </c>
      <c r="M1149" s="324">
        <v>0</v>
      </c>
      <c r="N1149" s="14" t="s">
        <v>1879</v>
      </c>
      <c r="O1149" s="14" t="s">
        <v>1880</v>
      </c>
      <c r="P1149" s="167" t="s">
        <v>143</v>
      </c>
      <c r="Q1149" s="14"/>
      <c r="R1149" s="170">
        <v>0</v>
      </c>
      <c r="S1149" s="108">
        <f t="shared" si="175"/>
        <v>45845</v>
      </c>
      <c r="T1149" s="79">
        <v>45817</v>
      </c>
      <c r="U1149" s="14"/>
      <c r="V1149" s="14"/>
      <c r="W1149" s="14"/>
      <c r="X1149" s="14"/>
      <c r="Z1149" s="14" t="s">
        <v>5190</v>
      </c>
      <c r="AA1149" s="2">
        <f t="shared" ca="1" si="174"/>
        <v>1</v>
      </c>
      <c r="AB1149" s="153"/>
      <c r="AC1149" s="454" t="str">
        <f t="shared" ref="AC1149:AC1213" si="177">LEFT(H1149,1)</f>
        <v>1</v>
      </c>
    </row>
    <row r="1150" spans="1:29" ht="58" x14ac:dyDescent="0.35">
      <c r="A1150" s="111" t="str">
        <f t="shared" si="173"/>
        <v>Closed</v>
      </c>
      <c r="B1150" s="226">
        <v>45817</v>
      </c>
      <c r="C1150" s="14">
        <v>2503</v>
      </c>
      <c r="D1150" s="14" t="s">
        <v>5191</v>
      </c>
      <c r="E1150" s="14" t="s">
        <v>38</v>
      </c>
      <c r="F1150" s="14" t="s">
        <v>1972</v>
      </c>
      <c r="G1150" s="14"/>
      <c r="H1150" s="14"/>
      <c r="I1150" s="176" t="s">
        <v>2</v>
      </c>
      <c r="J1150" s="14">
        <v>1004</v>
      </c>
      <c r="K1150" s="85" t="s">
        <v>137</v>
      </c>
      <c r="L1150" s="14" t="s">
        <v>5192</v>
      </c>
      <c r="M1150" s="324">
        <v>0</v>
      </c>
      <c r="N1150" s="14" t="s">
        <v>1879</v>
      </c>
      <c r="O1150" s="14" t="s">
        <v>1880</v>
      </c>
      <c r="P1150" s="167" t="s">
        <v>136</v>
      </c>
      <c r="Q1150" s="14" t="s">
        <v>160</v>
      </c>
      <c r="R1150" s="170" t="s">
        <v>236</v>
      </c>
      <c r="S1150" s="108">
        <f t="shared" si="175"/>
        <v>45845</v>
      </c>
      <c r="T1150" s="79">
        <v>45827</v>
      </c>
      <c r="U1150" s="14" t="s">
        <v>5193</v>
      </c>
      <c r="V1150" s="14" t="s">
        <v>5194</v>
      </c>
      <c r="W1150" s="14" t="s">
        <v>1879</v>
      </c>
      <c r="X1150" s="14" t="s">
        <v>1883</v>
      </c>
      <c r="Z1150" s="14" t="s">
        <v>5195</v>
      </c>
      <c r="AA1150" s="2">
        <f t="shared" ca="1" si="174"/>
        <v>1</v>
      </c>
      <c r="AB1150" s="153"/>
      <c r="AC1150" s="454" t="str">
        <f t="shared" si="177"/>
        <v/>
      </c>
    </row>
    <row r="1151" spans="1:29" ht="29" x14ac:dyDescent="0.35">
      <c r="A1151" s="111" t="str">
        <f t="shared" si="173"/>
        <v>Closed</v>
      </c>
      <c r="B1151" s="226">
        <v>45817</v>
      </c>
      <c r="C1151" s="14">
        <v>2503</v>
      </c>
      <c r="D1151" s="14" t="s">
        <v>5196</v>
      </c>
      <c r="E1151" s="14" t="s">
        <v>31</v>
      </c>
      <c r="F1151" s="14" t="s">
        <v>2205</v>
      </c>
      <c r="G1151" s="14" t="s">
        <v>1900</v>
      </c>
      <c r="H1151" s="14">
        <v>120</v>
      </c>
      <c r="I1151" s="176" t="s">
        <v>140</v>
      </c>
      <c r="J1151" s="14">
        <v>8506252</v>
      </c>
      <c r="K1151" s="87"/>
      <c r="L1151" s="14" t="s">
        <v>5197</v>
      </c>
      <c r="M1151" s="324">
        <f t="shared" ref="M1151:M1160" si="178">IF(I1151="Staff Accident","Entry Required",IF(I1151="Assaults","Entry Required",0))</f>
        <v>0</v>
      </c>
      <c r="N1151" s="14" t="s">
        <v>1879</v>
      </c>
      <c r="O1151" s="14" t="s">
        <v>1880</v>
      </c>
      <c r="P1151" s="167" t="s">
        <v>143</v>
      </c>
      <c r="Q1151" s="14"/>
      <c r="R1151" s="170">
        <v>0</v>
      </c>
      <c r="S1151" s="108">
        <f t="shared" si="175"/>
        <v>45845</v>
      </c>
      <c r="T1151" s="79">
        <v>45817</v>
      </c>
      <c r="U1151" s="14"/>
      <c r="V1151" s="14"/>
      <c r="W1151" s="14"/>
      <c r="X1151" s="14"/>
      <c r="Z1151" s="14"/>
      <c r="AA1151" s="2">
        <f t="shared" ca="1" si="174"/>
        <v>1</v>
      </c>
      <c r="AB1151" s="153"/>
      <c r="AC1151" s="454" t="str">
        <f t="shared" si="177"/>
        <v>1</v>
      </c>
    </row>
    <row r="1152" spans="1:29" ht="43.5" x14ac:dyDescent="0.35">
      <c r="A1152" s="111" t="str">
        <f t="shared" si="173"/>
        <v>Closed</v>
      </c>
      <c r="B1152" s="226">
        <v>45817</v>
      </c>
      <c r="C1152" s="14">
        <v>2503</v>
      </c>
      <c r="D1152" s="14" t="s">
        <v>5198</v>
      </c>
      <c r="E1152" s="14" t="s">
        <v>8</v>
      </c>
      <c r="F1152" s="14" t="s">
        <v>2136</v>
      </c>
      <c r="G1152" s="14" t="s">
        <v>1911</v>
      </c>
      <c r="H1152" s="14">
        <v>123</v>
      </c>
      <c r="I1152" s="176" t="s">
        <v>140</v>
      </c>
      <c r="J1152" s="14">
        <v>391</v>
      </c>
      <c r="K1152" s="87"/>
      <c r="L1152" s="14" t="s">
        <v>5199</v>
      </c>
      <c r="M1152" s="324">
        <f t="shared" si="178"/>
        <v>0</v>
      </c>
      <c r="N1152" s="14" t="s">
        <v>1879</v>
      </c>
      <c r="O1152" s="14" t="s">
        <v>1879</v>
      </c>
      <c r="P1152" s="167" t="s">
        <v>143</v>
      </c>
      <c r="Q1152" s="14"/>
      <c r="R1152" s="170">
        <v>0</v>
      </c>
      <c r="S1152" s="108">
        <f t="shared" si="175"/>
        <v>45845</v>
      </c>
      <c r="T1152" s="79">
        <v>45817</v>
      </c>
      <c r="U1152" s="14"/>
      <c r="V1152" s="14"/>
      <c r="W1152" s="14"/>
      <c r="X1152" s="14"/>
      <c r="Z1152" s="14"/>
      <c r="AA1152" s="2">
        <f t="shared" ca="1" si="174"/>
        <v>1</v>
      </c>
      <c r="AB1152" s="153"/>
      <c r="AC1152" s="454" t="str">
        <f t="shared" si="177"/>
        <v>1</v>
      </c>
    </row>
    <row r="1153" spans="1:29" ht="43.5" x14ac:dyDescent="0.35">
      <c r="A1153" s="111" t="str">
        <f t="shared" si="173"/>
        <v>Closed</v>
      </c>
      <c r="B1153" s="226">
        <v>45818</v>
      </c>
      <c r="C1153" s="14">
        <v>2503</v>
      </c>
      <c r="D1153" s="14" t="s">
        <v>5200</v>
      </c>
      <c r="E1153" s="14" t="s">
        <v>38</v>
      </c>
      <c r="F1153" s="14" t="s">
        <v>2299</v>
      </c>
      <c r="G1153" s="14"/>
      <c r="H1153" s="14">
        <v>109</v>
      </c>
      <c r="I1153" s="176" t="s">
        <v>140</v>
      </c>
      <c r="J1153" s="14">
        <v>8508846</v>
      </c>
      <c r="K1153" s="87"/>
      <c r="L1153" s="14" t="s">
        <v>5201</v>
      </c>
      <c r="M1153" s="324">
        <f t="shared" si="178"/>
        <v>0</v>
      </c>
      <c r="N1153" s="14" t="s">
        <v>1879</v>
      </c>
      <c r="O1153" s="14" t="s">
        <v>1880</v>
      </c>
      <c r="P1153" s="167" t="s">
        <v>143</v>
      </c>
      <c r="Q1153" s="14"/>
      <c r="R1153" s="170">
        <v>0</v>
      </c>
      <c r="S1153" s="108">
        <f t="shared" si="175"/>
        <v>45846</v>
      </c>
      <c r="T1153" s="79">
        <v>45818</v>
      </c>
      <c r="U1153" s="14"/>
      <c r="V1153" s="14"/>
      <c r="W1153" s="14"/>
      <c r="X1153" s="14"/>
      <c r="Z1153" s="14"/>
      <c r="AA1153" s="2">
        <f t="shared" ca="1" si="174"/>
        <v>1</v>
      </c>
      <c r="AB1153" s="153"/>
      <c r="AC1153" s="454" t="str">
        <f t="shared" si="177"/>
        <v>1</v>
      </c>
    </row>
    <row r="1154" spans="1:29" ht="29" x14ac:dyDescent="0.35">
      <c r="A1154" s="111" t="str">
        <f t="shared" si="173"/>
        <v>Closed</v>
      </c>
      <c r="B1154" s="226">
        <v>45818</v>
      </c>
      <c r="C1154" s="14">
        <v>2503</v>
      </c>
      <c r="D1154" s="14" t="s">
        <v>5202</v>
      </c>
      <c r="E1154" s="14" t="s">
        <v>8</v>
      </c>
      <c r="F1154" s="14" t="s">
        <v>1899</v>
      </c>
      <c r="G1154" s="14"/>
      <c r="H1154" s="14">
        <v>120</v>
      </c>
      <c r="I1154" s="176" t="s">
        <v>140</v>
      </c>
      <c r="J1154" s="14">
        <v>1367</v>
      </c>
      <c r="K1154" s="87"/>
      <c r="L1154" s="14" t="s">
        <v>5203</v>
      </c>
      <c r="M1154" s="324">
        <f t="shared" si="178"/>
        <v>0</v>
      </c>
      <c r="N1154" s="14" t="s">
        <v>1879</v>
      </c>
      <c r="O1154" s="14" t="s">
        <v>1879</v>
      </c>
      <c r="P1154" s="167" t="s">
        <v>143</v>
      </c>
      <c r="Q1154" s="14"/>
      <c r="R1154" s="170">
        <v>0</v>
      </c>
      <c r="S1154" s="108">
        <f t="shared" si="175"/>
        <v>45846</v>
      </c>
      <c r="T1154" s="79">
        <v>45818</v>
      </c>
      <c r="U1154" s="14"/>
      <c r="V1154" s="14"/>
      <c r="W1154" s="14"/>
      <c r="X1154" s="14"/>
      <c r="Z1154" s="14"/>
      <c r="AA1154" s="2">
        <f t="shared" ca="1" si="174"/>
        <v>1</v>
      </c>
      <c r="AB1154" s="153"/>
      <c r="AC1154" s="454" t="str">
        <f t="shared" si="177"/>
        <v>1</v>
      </c>
    </row>
    <row r="1155" spans="1:29" ht="29" x14ac:dyDescent="0.35">
      <c r="A1155" s="111" t="str">
        <f t="shared" si="173"/>
        <v>Closed</v>
      </c>
      <c r="B1155" s="226">
        <v>45818</v>
      </c>
      <c r="C1155" s="14">
        <v>2503</v>
      </c>
      <c r="D1155" s="14" t="s">
        <v>5204</v>
      </c>
      <c r="E1155" s="14" t="s">
        <v>27</v>
      </c>
      <c r="F1155" s="14" t="s">
        <v>2095</v>
      </c>
      <c r="G1155" s="14" t="s">
        <v>1911</v>
      </c>
      <c r="H1155" s="14">
        <v>110</v>
      </c>
      <c r="I1155" s="176" t="s">
        <v>140</v>
      </c>
      <c r="J1155" s="14">
        <v>74928</v>
      </c>
      <c r="K1155" s="87"/>
      <c r="L1155" s="14" t="s">
        <v>5205</v>
      </c>
      <c r="M1155" s="324">
        <f t="shared" si="178"/>
        <v>0</v>
      </c>
      <c r="N1155" s="14" t="s">
        <v>1879</v>
      </c>
      <c r="O1155" s="14" t="s">
        <v>2034</v>
      </c>
      <c r="P1155" s="167" t="s">
        <v>143</v>
      </c>
      <c r="Q1155" s="14"/>
      <c r="R1155" s="170">
        <v>0</v>
      </c>
      <c r="S1155" s="108">
        <f t="shared" si="175"/>
        <v>45846</v>
      </c>
      <c r="T1155" s="79">
        <v>45818</v>
      </c>
      <c r="U1155" s="14"/>
      <c r="V1155" s="14"/>
      <c r="W1155" s="14"/>
      <c r="X1155" s="14"/>
      <c r="Y1155" s="23" t="s">
        <v>1915</v>
      </c>
      <c r="Z1155" s="14"/>
      <c r="AA1155" s="2">
        <f t="shared" ref="AA1155:AA1172" ca="1" si="179">IF(B1155="",3,IF(S1155&lt;$A$1,1,0))</f>
        <v>1</v>
      </c>
      <c r="AB1155" s="153"/>
      <c r="AC1155" s="454" t="str">
        <f t="shared" si="177"/>
        <v>1</v>
      </c>
    </row>
    <row r="1156" spans="1:29" s="318" customFormat="1" ht="43.5" x14ac:dyDescent="0.35">
      <c r="A1156" s="313" t="str">
        <f t="shared" si="173"/>
        <v>Closed</v>
      </c>
      <c r="B1156" s="314">
        <v>45819</v>
      </c>
      <c r="C1156" s="217">
        <v>2503</v>
      </c>
      <c r="D1156" s="217" t="s">
        <v>5206</v>
      </c>
      <c r="E1156" s="217" t="s">
        <v>31</v>
      </c>
      <c r="F1156" s="217" t="s">
        <v>5207</v>
      </c>
      <c r="G1156" s="14" t="s">
        <v>1900</v>
      </c>
      <c r="H1156" s="14">
        <v>111</v>
      </c>
      <c r="I1156" s="322" t="s">
        <v>155</v>
      </c>
      <c r="J1156" s="217">
        <v>89116</v>
      </c>
      <c r="K1156" s="323"/>
      <c r="L1156" s="217" t="s">
        <v>5208</v>
      </c>
      <c r="M1156" s="341">
        <f t="shared" si="178"/>
        <v>0</v>
      </c>
      <c r="N1156" s="217" t="s">
        <v>1879</v>
      </c>
      <c r="O1156" s="217" t="s">
        <v>1879</v>
      </c>
      <c r="P1156" s="315" t="s">
        <v>143</v>
      </c>
      <c r="Q1156" s="217"/>
      <c r="R1156" s="170">
        <v>0</v>
      </c>
      <c r="S1156" s="321">
        <f t="shared" ref="S1156:S1188" si="180">IF(B1156="","",B1156+28)</f>
        <v>45847</v>
      </c>
      <c r="T1156" s="319">
        <v>45819</v>
      </c>
      <c r="U1156" s="217"/>
      <c r="V1156" s="217"/>
      <c r="W1156" s="217"/>
      <c r="X1156" s="217"/>
      <c r="Y1156" s="466" t="s">
        <v>5209</v>
      </c>
      <c r="Z1156" s="217"/>
      <c r="AA1156" s="316">
        <f t="shared" ca="1" si="179"/>
        <v>1</v>
      </c>
      <c r="AB1156" s="317"/>
      <c r="AC1156" s="455" t="str">
        <f t="shared" si="177"/>
        <v>1</v>
      </c>
    </row>
    <row r="1157" spans="1:29" s="318" customFormat="1" ht="43.5" x14ac:dyDescent="0.35">
      <c r="A1157" s="313" t="str">
        <f t="shared" si="173"/>
        <v>Closed</v>
      </c>
      <c r="B1157" s="314">
        <v>45819</v>
      </c>
      <c r="C1157" s="217">
        <v>2503</v>
      </c>
      <c r="D1157" s="217" t="s">
        <v>5210</v>
      </c>
      <c r="E1157" s="217" t="s">
        <v>27</v>
      </c>
      <c r="F1157" s="217" t="s">
        <v>1910</v>
      </c>
      <c r="G1157" s="14"/>
      <c r="H1157" s="14">
        <v>201</v>
      </c>
      <c r="I1157" s="322" t="s">
        <v>5</v>
      </c>
      <c r="J1157" s="217">
        <v>64124</v>
      </c>
      <c r="K1157" s="323"/>
      <c r="L1157" s="217" t="s">
        <v>5211</v>
      </c>
      <c r="M1157" s="341">
        <f t="shared" si="178"/>
        <v>0</v>
      </c>
      <c r="N1157" s="217" t="s">
        <v>1879</v>
      </c>
      <c r="O1157" s="217" t="s">
        <v>1880</v>
      </c>
      <c r="P1157" s="315" t="s">
        <v>143</v>
      </c>
      <c r="Q1157" s="217"/>
      <c r="R1157" s="170">
        <v>0</v>
      </c>
      <c r="S1157" s="321">
        <f t="shared" si="180"/>
        <v>45847</v>
      </c>
      <c r="T1157" s="319">
        <v>45819</v>
      </c>
      <c r="U1157" s="217"/>
      <c r="V1157" s="217"/>
      <c r="W1157" s="217"/>
      <c r="X1157" s="217"/>
      <c r="Y1157" s="23" t="s">
        <v>1915</v>
      </c>
      <c r="Z1157" s="217"/>
      <c r="AA1157" s="316">
        <f t="shared" ca="1" si="179"/>
        <v>1</v>
      </c>
      <c r="AB1157" s="317"/>
      <c r="AC1157" s="455" t="str">
        <f t="shared" si="177"/>
        <v>2</v>
      </c>
    </row>
    <row r="1158" spans="1:29" ht="58" x14ac:dyDescent="0.35">
      <c r="A1158" s="111" t="str">
        <f t="shared" si="173"/>
        <v>Closed</v>
      </c>
      <c r="B1158" s="226">
        <v>45820</v>
      </c>
      <c r="C1158" s="14">
        <v>2503</v>
      </c>
      <c r="D1158" s="14" t="s">
        <v>5212</v>
      </c>
      <c r="E1158" s="14" t="s">
        <v>219</v>
      </c>
      <c r="F1158" s="14" t="s">
        <v>1925</v>
      </c>
      <c r="G1158" s="14" t="s">
        <v>1900</v>
      </c>
      <c r="H1158" s="14">
        <v>109</v>
      </c>
      <c r="I1158" s="176" t="s">
        <v>140</v>
      </c>
      <c r="K1158" s="87"/>
      <c r="L1158" s="14" t="s">
        <v>5213</v>
      </c>
      <c r="M1158" s="324">
        <f t="shared" si="178"/>
        <v>0</v>
      </c>
      <c r="N1158" s="14" t="s">
        <v>1879</v>
      </c>
      <c r="O1158" s="14" t="s">
        <v>1879</v>
      </c>
      <c r="P1158" s="167" t="s">
        <v>143</v>
      </c>
      <c r="Q1158" s="14"/>
      <c r="R1158" s="170">
        <v>0</v>
      </c>
      <c r="S1158" s="108">
        <f t="shared" si="180"/>
        <v>45848</v>
      </c>
      <c r="T1158" s="79">
        <v>45820</v>
      </c>
      <c r="U1158" s="14"/>
      <c r="V1158" s="14"/>
      <c r="W1158" s="14"/>
      <c r="X1158" s="14"/>
      <c r="Y1158" s="14" t="s">
        <v>1929</v>
      </c>
      <c r="Z1158" s="14"/>
      <c r="AA1158" s="2">
        <f t="shared" ca="1" si="179"/>
        <v>1</v>
      </c>
      <c r="AB1158" s="153"/>
      <c r="AC1158" s="454" t="str">
        <f t="shared" si="177"/>
        <v>1</v>
      </c>
    </row>
    <row r="1159" spans="1:29" ht="58" x14ac:dyDescent="0.35">
      <c r="A1159" s="111" t="str">
        <f t="shared" si="173"/>
        <v>Closed</v>
      </c>
      <c r="B1159" s="226">
        <v>45820</v>
      </c>
      <c r="C1159" s="14">
        <v>2503</v>
      </c>
      <c r="D1159" s="14" t="s">
        <v>5214</v>
      </c>
      <c r="E1159" s="14" t="s">
        <v>1997</v>
      </c>
      <c r="F1159" s="14" t="s">
        <v>2052</v>
      </c>
      <c r="G1159" s="14" t="s">
        <v>1911</v>
      </c>
      <c r="H1159" s="14">
        <v>101</v>
      </c>
      <c r="I1159" s="176" t="s">
        <v>140</v>
      </c>
      <c r="J1159" s="14">
        <v>1275</v>
      </c>
      <c r="K1159" s="87"/>
      <c r="L1159" s="14" t="s">
        <v>5215</v>
      </c>
      <c r="M1159" s="324">
        <f t="shared" si="178"/>
        <v>0</v>
      </c>
      <c r="N1159" s="14" t="s">
        <v>1879</v>
      </c>
      <c r="O1159" s="14" t="s">
        <v>1879</v>
      </c>
      <c r="P1159" s="167" t="s">
        <v>143</v>
      </c>
      <c r="Q1159" s="14"/>
      <c r="R1159" s="170">
        <v>0</v>
      </c>
      <c r="S1159" s="108">
        <f t="shared" si="180"/>
        <v>45848</v>
      </c>
      <c r="T1159" s="79">
        <v>45820</v>
      </c>
      <c r="U1159" s="14"/>
      <c r="V1159" s="14"/>
      <c r="W1159" s="14"/>
      <c r="X1159" s="14"/>
      <c r="Z1159" s="14"/>
      <c r="AA1159" s="2">
        <f t="shared" ca="1" si="179"/>
        <v>1</v>
      </c>
      <c r="AB1159" s="153"/>
      <c r="AC1159" s="454" t="str">
        <f t="shared" si="177"/>
        <v>1</v>
      </c>
    </row>
    <row r="1160" spans="1:29" s="318" customFormat="1" ht="44" thickBot="1" x14ac:dyDescent="0.4">
      <c r="A1160" s="313" t="str">
        <f t="shared" si="173"/>
        <v>Closed</v>
      </c>
      <c r="B1160" s="314">
        <v>45821</v>
      </c>
      <c r="C1160" s="217">
        <v>2503</v>
      </c>
      <c r="D1160" s="217" t="s">
        <v>5216</v>
      </c>
      <c r="E1160" s="217" t="s">
        <v>27</v>
      </c>
      <c r="F1160" s="217" t="s">
        <v>1910</v>
      </c>
      <c r="G1160" s="14"/>
      <c r="H1160" s="14">
        <v>202</v>
      </c>
      <c r="I1160" s="322" t="s">
        <v>5</v>
      </c>
      <c r="J1160" s="217">
        <v>567</v>
      </c>
      <c r="K1160" s="323"/>
      <c r="L1160" s="217" t="s">
        <v>5217</v>
      </c>
      <c r="M1160" s="341">
        <f t="shared" si="178"/>
        <v>0</v>
      </c>
      <c r="N1160" s="217" t="s">
        <v>1879</v>
      </c>
      <c r="O1160" s="217" t="s">
        <v>1880</v>
      </c>
      <c r="P1160" s="315" t="s">
        <v>143</v>
      </c>
      <c r="Q1160" s="217"/>
      <c r="R1160" s="170">
        <v>0</v>
      </c>
      <c r="S1160" s="321">
        <f t="shared" si="180"/>
        <v>45849</v>
      </c>
      <c r="T1160" s="319">
        <v>45821</v>
      </c>
      <c r="U1160" s="217"/>
      <c r="V1160" s="217"/>
      <c r="W1160" s="217"/>
      <c r="X1160" s="217"/>
      <c r="Y1160" s="23" t="s">
        <v>1915</v>
      </c>
      <c r="Z1160" s="217"/>
      <c r="AA1160" s="316">
        <f t="shared" ca="1" si="179"/>
        <v>1</v>
      </c>
      <c r="AB1160" s="317"/>
      <c r="AC1160" s="455" t="str">
        <f t="shared" si="177"/>
        <v>2</v>
      </c>
    </row>
    <row r="1161" spans="1:29" s="318" customFormat="1" ht="44" thickBot="1" x14ac:dyDescent="0.4">
      <c r="A1161" s="313" t="str">
        <f t="shared" si="173"/>
        <v>Closed</v>
      </c>
      <c r="B1161" s="314">
        <v>45822</v>
      </c>
      <c r="C1161" s="217">
        <v>2503</v>
      </c>
      <c r="D1161" s="217" t="s">
        <v>5218</v>
      </c>
      <c r="E1161" s="217" t="s">
        <v>40</v>
      </c>
      <c r="F1161" s="217" t="s">
        <v>2974</v>
      </c>
      <c r="G1161" s="14" t="s">
        <v>1911</v>
      </c>
      <c r="H1161" s="14"/>
      <c r="I1161" s="322" t="s">
        <v>4</v>
      </c>
      <c r="J1161" s="217">
        <v>79797</v>
      </c>
      <c r="K1161" s="217" t="s">
        <v>137</v>
      </c>
      <c r="L1161" s="217" t="s">
        <v>5219</v>
      </c>
      <c r="M1161" s="341">
        <v>0</v>
      </c>
      <c r="N1161" s="217" t="s">
        <v>1879</v>
      </c>
      <c r="O1161" s="217" t="s">
        <v>1880</v>
      </c>
      <c r="P1161" s="315" t="s">
        <v>143</v>
      </c>
      <c r="Q1161" s="217"/>
      <c r="R1161" s="170">
        <v>0</v>
      </c>
      <c r="S1161" s="321">
        <f t="shared" si="180"/>
        <v>45850</v>
      </c>
      <c r="T1161" s="319">
        <v>45822</v>
      </c>
      <c r="U1161" s="217"/>
      <c r="V1161" s="217"/>
      <c r="W1161" s="217"/>
      <c r="X1161" s="217"/>
      <c r="Y1161" s="464" t="s">
        <v>2164</v>
      </c>
      <c r="Z1161" s="217"/>
      <c r="AA1161" s="316">
        <f t="shared" ca="1" si="179"/>
        <v>1</v>
      </c>
      <c r="AB1161" s="317"/>
      <c r="AC1161" s="455" t="str">
        <f t="shared" si="177"/>
        <v/>
      </c>
    </row>
    <row r="1162" spans="1:29" s="318" customFormat="1" ht="43.5" x14ac:dyDescent="0.35">
      <c r="A1162" s="313" t="str">
        <f t="shared" si="173"/>
        <v>Closed</v>
      </c>
      <c r="B1162" s="314">
        <v>45822</v>
      </c>
      <c r="C1162" s="217">
        <v>2503</v>
      </c>
      <c r="D1162" s="217" t="s">
        <v>5220</v>
      </c>
      <c r="E1162" s="217" t="s">
        <v>72</v>
      </c>
      <c r="F1162" s="217" t="s">
        <v>1910</v>
      </c>
      <c r="G1162" s="14"/>
      <c r="H1162" s="14">
        <v>125</v>
      </c>
      <c r="I1162" s="322" t="s">
        <v>155</v>
      </c>
      <c r="J1162" s="217">
        <v>8508846</v>
      </c>
      <c r="K1162" s="323"/>
      <c r="L1162" s="217" t="s">
        <v>5221</v>
      </c>
      <c r="M1162" s="341">
        <f>IF(I1162="Staff Accident","Entry Required",IF(I1162="Assaults","Entry Required",0))</f>
        <v>0</v>
      </c>
      <c r="N1162" s="217" t="s">
        <v>1879</v>
      </c>
      <c r="O1162" s="217"/>
      <c r="P1162" s="315" t="s">
        <v>147</v>
      </c>
      <c r="Q1162" s="217" t="s">
        <v>177</v>
      </c>
      <c r="R1162" s="320" t="s">
        <v>234</v>
      </c>
      <c r="S1162" s="321">
        <f t="shared" si="180"/>
        <v>45850</v>
      </c>
      <c r="T1162" s="319">
        <v>45902</v>
      </c>
      <c r="U1162" s="217"/>
      <c r="V1162" s="217"/>
      <c r="W1162" s="217"/>
      <c r="X1162" s="217"/>
      <c r="Y1162" s="23" t="s">
        <v>1915</v>
      </c>
      <c r="Z1162" s="217" t="s">
        <v>5222</v>
      </c>
      <c r="AA1162" s="316">
        <f t="shared" ca="1" si="179"/>
        <v>1</v>
      </c>
      <c r="AB1162" s="317"/>
      <c r="AC1162" s="455" t="str">
        <f t="shared" si="177"/>
        <v>1</v>
      </c>
    </row>
    <row r="1163" spans="1:29" s="318" customFormat="1" ht="58" x14ac:dyDescent="0.35">
      <c r="A1163" s="313" t="str">
        <f t="shared" si="173"/>
        <v>Closed</v>
      </c>
      <c r="B1163" s="314">
        <v>45823</v>
      </c>
      <c r="C1163" s="217">
        <v>2503</v>
      </c>
      <c r="D1163" s="217" t="s">
        <v>5223</v>
      </c>
      <c r="E1163" s="217" t="s">
        <v>192</v>
      </c>
      <c r="F1163" s="217" t="s">
        <v>2299</v>
      </c>
      <c r="G1163" s="14"/>
      <c r="H1163" s="14">
        <v>123</v>
      </c>
      <c r="I1163" s="322" t="s">
        <v>155</v>
      </c>
      <c r="J1163" s="217">
        <v>8506552</v>
      </c>
      <c r="K1163" s="323"/>
      <c r="L1163" s="217" t="s">
        <v>5224</v>
      </c>
      <c r="M1163" s="341">
        <f>IF(I1163="Staff Accident","Entry Required",IF(I1163="Assaults","Entry Required",0))</f>
        <v>0</v>
      </c>
      <c r="N1163" s="217" t="s">
        <v>1879</v>
      </c>
      <c r="O1163" s="217" t="s">
        <v>1879</v>
      </c>
      <c r="P1163" s="315" t="s">
        <v>147</v>
      </c>
      <c r="Q1163" s="217" t="s">
        <v>175</v>
      </c>
      <c r="R1163" s="320" t="s">
        <v>234</v>
      </c>
      <c r="S1163" s="321">
        <f t="shared" si="180"/>
        <v>45851</v>
      </c>
      <c r="T1163" s="319">
        <v>45902</v>
      </c>
      <c r="U1163" s="217"/>
      <c r="V1163" s="217"/>
      <c r="W1163" s="217"/>
      <c r="X1163" s="217"/>
      <c r="Y1163" s="217"/>
      <c r="Z1163" s="217" t="s">
        <v>5225</v>
      </c>
      <c r="AA1163" s="316">
        <f t="shared" ca="1" si="179"/>
        <v>1</v>
      </c>
      <c r="AB1163" s="317"/>
      <c r="AC1163" s="455" t="str">
        <f t="shared" si="177"/>
        <v>1</v>
      </c>
    </row>
    <row r="1164" spans="1:29" s="318" customFormat="1" ht="29" x14ac:dyDescent="0.35">
      <c r="A1164" s="313" t="str">
        <f t="shared" si="173"/>
        <v>Closed</v>
      </c>
      <c r="B1164" s="314">
        <v>45823</v>
      </c>
      <c r="C1164" s="217">
        <v>2503</v>
      </c>
      <c r="D1164" s="217" t="s">
        <v>5226</v>
      </c>
      <c r="E1164" s="217" t="s">
        <v>78</v>
      </c>
      <c r="F1164" s="217" t="s">
        <v>2052</v>
      </c>
      <c r="G1164" s="14"/>
      <c r="H1164" s="14">
        <v>125</v>
      </c>
      <c r="I1164" s="322" t="s">
        <v>155</v>
      </c>
      <c r="J1164" s="217">
        <v>8506434</v>
      </c>
      <c r="K1164" s="323"/>
      <c r="L1164" s="217" t="s">
        <v>5227</v>
      </c>
      <c r="M1164" s="341">
        <f>IF(I1164="Staff Accident","Entry Required",IF(I1164="Assaults","Entry Required",0))</f>
        <v>0</v>
      </c>
      <c r="N1164" s="217" t="s">
        <v>1879</v>
      </c>
      <c r="O1164" s="217" t="s">
        <v>1880</v>
      </c>
      <c r="P1164" s="315" t="s">
        <v>143</v>
      </c>
      <c r="Q1164" s="217"/>
      <c r="R1164" s="170">
        <v>0</v>
      </c>
      <c r="S1164" s="321">
        <f t="shared" si="180"/>
        <v>45851</v>
      </c>
      <c r="T1164" s="319">
        <v>45823</v>
      </c>
      <c r="U1164" s="217"/>
      <c r="V1164" s="217"/>
      <c r="W1164" s="217"/>
      <c r="X1164" s="217"/>
      <c r="Y1164" s="217"/>
      <c r="Z1164" s="217"/>
      <c r="AA1164" s="316">
        <f t="shared" ca="1" si="179"/>
        <v>1</v>
      </c>
      <c r="AB1164" s="317"/>
      <c r="AC1164" s="455" t="str">
        <f t="shared" si="177"/>
        <v>1</v>
      </c>
    </row>
    <row r="1165" spans="1:29" s="318" customFormat="1" ht="29" x14ac:dyDescent="0.35">
      <c r="A1165" s="313" t="str">
        <f t="shared" si="173"/>
        <v>Closed</v>
      </c>
      <c r="B1165" s="314">
        <v>45823</v>
      </c>
      <c r="C1165" s="217">
        <v>2503</v>
      </c>
      <c r="D1165" s="217" t="s">
        <v>5228</v>
      </c>
      <c r="E1165" s="217" t="s">
        <v>42</v>
      </c>
      <c r="F1165" s="217" t="s">
        <v>2052</v>
      </c>
      <c r="G1165" s="14"/>
      <c r="H1165" s="14"/>
      <c r="I1165" s="322" t="s">
        <v>4</v>
      </c>
      <c r="J1165" s="217">
        <v>8506434</v>
      </c>
      <c r="K1165" s="217" t="s">
        <v>137</v>
      </c>
      <c r="L1165" s="217" t="s">
        <v>5229</v>
      </c>
      <c r="M1165" s="341">
        <v>0</v>
      </c>
      <c r="N1165" s="217" t="s">
        <v>1879</v>
      </c>
      <c r="O1165" s="217" t="s">
        <v>1880</v>
      </c>
      <c r="P1165" s="315" t="s">
        <v>143</v>
      </c>
      <c r="Q1165" s="217"/>
      <c r="R1165" s="170">
        <v>0</v>
      </c>
      <c r="S1165" s="321">
        <f t="shared" si="180"/>
        <v>45851</v>
      </c>
      <c r="T1165" s="319">
        <v>45902</v>
      </c>
      <c r="U1165" s="217"/>
      <c r="V1165" s="217"/>
      <c r="W1165" s="217"/>
      <c r="X1165" s="217"/>
      <c r="Y1165" s="217"/>
      <c r="Z1165" s="217"/>
      <c r="AA1165" s="316">
        <f t="shared" ca="1" si="179"/>
        <v>1</v>
      </c>
      <c r="AB1165" s="317"/>
      <c r="AC1165" s="455" t="str">
        <f t="shared" si="177"/>
        <v/>
      </c>
    </row>
    <row r="1166" spans="1:29" ht="43.5" x14ac:dyDescent="0.35">
      <c r="A1166" s="111" t="str">
        <f t="shared" si="173"/>
        <v>Closed</v>
      </c>
      <c r="B1166" s="226">
        <v>45825</v>
      </c>
      <c r="C1166" s="14">
        <v>2503</v>
      </c>
      <c r="D1166" s="14" t="s">
        <v>5230</v>
      </c>
      <c r="E1166" s="14" t="s">
        <v>219</v>
      </c>
      <c r="F1166" s="14" t="s">
        <v>2245</v>
      </c>
      <c r="G1166" s="14" t="s">
        <v>1900</v>
      </c>
      <c r="H1166" s="14">
        <v>108</v>
      </c>
      <c r="I1166" s="176" t="s">
        <v>140</v>
      </c>
      <c r="J1166" s="14">
        <v>8504626</v>
      </c>
      <c r="K1166" s="87"/>
      <c r="L1166" s="14" t="s">
        <v>5231</v>
      </c>
      <c r="M1166" s="324">
        <f>IF(I1166="Staff Accident","Entry Required",IF(I1166="Assaults","Entry Required",0))</f>
        <v>0</v>
      </c>
      <c r="N1166" s="14" t="s">
        <v>1879</v>
      </c>
      <c r="O1166" s="14" t="s">
        <v>1879</v>
      </c>
      <c r="P1166" s="167" t="s">
        <v>143</v>
      </c>
      <c r="Q1166" s="14"/>
      <c r="R1166" s="170">
        <v>0</v>
      </c>
      <c r="S1166" s="108">
        <f t="shared" si="180"/>
        <v>45853</v>
      </c>
      <c r="T1166" s="79">
        <v>45825</v>
      </c>
      <c r="U1166" s="14"/>
      <c r="V1166" s="14"/>
      <c r="W1166" s="14"/>
      <c r="X1166" s="14"/>
      <c r="Z1166" s="14"/>
      <c r="AA1166" s="2">
        <f t="shared" ca="1" si="179"/>
        <v>1</v>
      </c>
      <c r="AB1166" s="153"/>
      <c r="AC1166" s="454" t="str">
        <f t="shared" si="177"/>
        <v>1</v>
      </c>
    </row>
    <row r="1167" spans="1:29" ht="43.5" x14ac:dyDescent="0.35">
      <c r="A1167" s="111" t="str">
        <f t="shared" si="173"/>
        <v>Closed</v>
      </c>
      <c r="B1167" s="226">
        <v>45825</v>
      </c>
      <c r="C1167" s="14">
        <v>2503</v>
      </c>
      <c r="D1167" s="14" t="s">
        <v>5232</v>
      </c>
      <c r="E1167" s="14" t="s">
        <v>78</v>
      </c>
      <c r="F1167" s="14" t="s">
        <v>2091</v>
      </c>
      <c r="G1167" s="14"/>
      <c r="H1167" s="14"/>
      <c r="I1167" s="30" t="s">
        <v>140</v>
      </c>
      <c r="K1167" s="87"/>
      <c r="L1167" s="14" t="s">
        <v>5233</v>
      </c>
      <c r="M1167" s="324">
        <f>IF(I1168="Staff Accident","Entry Required",IF(I1168="Assaults","Entry Required",0))</f>
        <v>0</v>
      </c>
      <c r="N1167" s="14" t="s">
        <v>1879</v>
      </c>
      <c r="O1167" s="14" t="s">
        <v>1879</v>
      </c>
      <c r="P1167" s="167" t="s">
        <v>143</v>
      </c>
      <c r="Q1167" s="14"/>
      <c r="R1167" s="170">
        <v>0</v>
      </c>
      <c r="S1167" s="108">
        <f t="shared" si="180"/>
        <v>45853</v>
      </c>
      <c r="T1167" s="79">
        <v>45825</v>
      </c>
      <c r="U1167" s="14"/>
      <c r="V1167" s="14"/>
      <c r="W1167" s="14"/>
      <c r="X1167" s="14"/>
      <c r="Y1167" s="14" t="s">
        <v>2093</v>
      </c>
      <c r="Z1167" s="14"/>
      <c r="AA1167" s="2">
        <f t="shared" ca="1" si="179"/>
        <v>1</v>
      </c>
      <c r="AB1167" s="153"/>
      <c r="AC1167" s="454" t="str">
        <f t="shared" si="177"/>
        <v/>
      </c>
    </row>
    <row r="1168" spans="1:29" ht="29" x14ac:dyDescent="0.35">
      <c r="A1168" s="111" t="str">
        <f t="shared" si="173"/>
        <v>Closed</v>
      </c>
      <c r="B1168" s="226">
        <v>45825</v>
      </c>
      <c r="C1168" s="14">
        <v>2503</v>
      </c>
      <c r="D1168" s="14" t="s">
        <v>5234</v>
      </c>
      <c r="E1168" s="14" t="s">
        <v>219</v>
      </c>
      <c r="F1168" s="14" t="s">
        <v>2212</v>
      </c>
      <c r="G1168" s="14" t="s">
        <v>1900</v>
      </c>
      <c r="H1168" s="14">
        <v>203</v>
      </c>
      <c r="I1168" s="176" t="s">
        <v>140</v>
      </c>
      <c r="J1168" s="14">
        <v>54567</v>
      </c>
      <c r="K1168" s="87"/>
      <c r="L1168" s="14" t="s">
        <v>5235</v>
      </c>
      <c r="M1168" s="324">
        <f>IF(I1169="Staff Accident","Entry Required",IF(I1169="Assaults","Entry Required",0))</f>
        <v>0</v>
      </c>
      <c r="N1168" s="14" t="s">
        <v>1879</v>
      </c>
      <c r="O1168" s="14" t="s">
        <v>1879</v>
      </c>
      <c r="P1168" s="167" t="s">
        <v>143</v>
      </c>
      <c r="Q1168" s="14"/>
      <c r="R1168" s="170">
        <v>0</v>
      </c>
      <c r="S1168" s="108">
        <f t="shared" si="180"/>
        <v>45853</v>
      </c>
      <c r="T1168" s="79">
        <v>45825</v>
      </c>
      <c r="U1168" s="14"/>
      <c r="V1168" s="14"/>
      <c r="W1168" s="14"/>
      <c r="X1168" s="14"/>
      <c r="Y1168" s="14" t="s">
        <v>2216</v>
      </c>
      <c r="Z1168" s="14"/>
      <c r="AA1168" s="2">
        <f t="shared" ca="1" si="179"/>
        <v>1</v>
      </c>
      <c r="AB1168" s="153"/>
      <c r="AC1168" s="454" t="str">
        <f t="shared" si="177"/>
        <v>2</v>
      </c>
    </row>
    <row r="1169" spans="1:29" ht="130.5" x14ac:dyDescent="0.35">
      <c r="A1169" s="111" t="str">
        <f t="shared" si="173"/>
        <v>Closed</v>
      </c>
      <c r="B1169" s="226">
        <v>45826</v>
      </c>
      <c r="C1169" s="14">
        <v>2503</v>
      </c>
      <c r="D1169" s="14" t="s">
        <v>5236</v>
      </c>
      <c r="E1169" s="14" t="s">
        <v>192</v>
      </c>
      <c r="F1169" s="14" t="s">
        <v>3917</v>
      </c>
      <c r="G1169" s="14" t="s">
        <v>1911</v>
      </c>
      <c r="H1169" s="14">
        <v>125</v>
      </c>
      <c r="I1169" s="176" t="s">
        <v>140</v>
      </c>
      <c r="J1169" s="14">
        <v>89116</v>
      </c>
      <c r="K1169" s="87"/>
      <c r="L1169" s="14" t="s">
        <v>5237</v>
      </c>
      <c r="M1169" s="324">
        <f t="shared" ref="M1169:M1182" si="181">IF(I1169="Staff Accident","Entry Required",IF(I1169="Assaults","Entry Required",0))</f>
        <v>0</v>
      </c>
      <c r="N1169" s="14" t="s">
        <v>1879</v>
      </c>
      <c r="O1169" s="14" t="s">
        <v>1879</v>
      </c>
      <c r="P1169" s="167" t="s">
        <v>143</v>
      </c>
      <c r="Q1169" s="14"/>
      <c r="R1169" s="170">
        <v>0</v>
      </c>
      <c r="S1169" s="108">
        <f t="shared" si="180"/>
        <v>45854</v>
      </c>
      <c r="T1169" s="79">
        <v>45826</v>
      </c>
      <c r="U1169" s="14"/>
      <c r="V1169" s="14"/>
      <c r="W1169" s="14"/>
      <c r="X1169" s="14"/>
      <c r="Y1169" s="14" t="s">
        <v>2093</v>
      </c>
      <c r="Z1169" s="14"/>
      <c r="AA1169" s="2">
        <f t="shared" ca="1" si="179"/>
        <v>1</v>
      </c>
      <c r="AB1169" s="153"/>
      <c r="AC1169" s="454" t="str">
        <f t="shared" si="177"/>
        <v>1</v>
      </c>
    </row>
    <row r="1170" spans="1:29" ht="43.5" x14ac:dyDescent="0.35">
      <c r="A1170" s="111" t="str">
        <f t="shared" si="173"/>
        <v>Closed</v>
      </c>
      <c r="B1170" s="226">
        <v>45826</v>
      </c>
      <c r="C1170" s="14">
        <v>2503</v>
      </c>
      <c r="D1170" s="14" t="s">
        <v>5238</v>
      </c>
      <c r="E1170" s="14" t="s">
        <v>8</v>
      </c>
      <c r="F1170" s="14" t="s">
        <v>2091</v>
      </c>
      <c r="G1170" s="14" t="s">
        <v>1900</v>
      </c>
      <c r="H1170" s="14">
        <v>101</v>
      </c>
      <c r="I1170" s="176" t="s">
        <v>140</v>
      </c>
      <c r="J1170" s="14">
        <v>58403</v>
      </c>
      <c r="K1170" s="87"/>
      <c r="L1170" s="14" t="s">
        <v>5239</v>
      </c>
      <c r="M1170" s="324">
        <f t="shared" si="181"/>
        <v>0</v>
      </c>
      <c r="N1170" s="14" t="s">
        <v>1879</v>
      </c>
      <c r="O1170" s="14" t="s">
        <v>1879</v>
      </c>
      <c r="P1170" s="167" t="s">
        <v>143</v>
      </c>
      <c r="Q1170" s="14"/>
      <c r="R1170" s="170">
        <v>0</v>
      </c>
      <c r="S1170" s="108">
        <f t="shared" si="180"/>
        <v>45854</v>
      </c>
      <c r="T1170" s="79">
        <v>45826</v>
      </c>
      <c r="U1170" s="14"/>
      <c r="V1170" s="14"/>
      <c r="W1170" s="14"/>
      <c r="X1170" s="14"/>
      <c r="Y1170" s="14" t="s">
        <v>2093</v>
      </c>
      <c r="Z1170" s="14"/>
      <c r="AA1170" s="2">
        <f t="shared" ca="1" si="179"/>
        <v>1</v>
      </c>
      <c r="AB1170" s="153"/>
      <c r="AC1170" s="454" t="str">
        <f t="shared" si="177"/>
        <v>1</v>
      </c>
    </row>
    <row r="1171" spans="1:29" ht="43.5" x14ac:dyDescent="0.35">
      <c r="A1171" s="111" t="str">
        <f t="shared" si="173"/>
        <v>Closed</v>
      </c>
      <c r="B1171" s="226">
        <v>45826</v>
      </c>
      <c r="C1171" s="14">
        <v>2503</v>
      </c>
      <c r="D1171" s="14" t="s">
        <v>5240</v>
      </c>
      <c r="E1171" s="14" t="s">
        <v>8</v>
      </c>
      <c r="F1171" s="14" t="s">
        <v>2119</v>
      </c>
      <c r="G1171" s="14" t="s">
        <v>1911</v>
      </c>
      <c r="H1171" s="14"/>
      <c r="I1171" s="176" t="s">
        <v>140</v>
      </c>
      <c r="J1171" s="14">
        <v>86110</v>
      </c>
      <c r="K1171" s="87"/>
      <c r="L1171" s="14" t="s">
        <v>5241</v>
      </c>
      <c r="M1171" s="324">
        <f t="shared" si="181"/>
        <v>0</v>
      </c>
      <c r="N1171" s="14" t="s">
        <v>1879</v>
      </c>
      <c r="O1171" s="14" t="s">
        <v>1879</v>
      </c>
      <c r="P1171" s="167" t="s">
        <v>143</v>
      </c>
      <c r="Q1171" s="14"/>
      <c r="R1171" s="170">
        <v>0</v>
      </c>
      <c r="S1171" s="108">
        <f t="shared" si="180"/>
        <v>45854</v>
      </c>
      <c r="T1171" s="79">
        <v>45826</v>
      </c>
      <c r="U1171" s="14"/>
      <c r="V1171" s="14"/>
      <c r="W1171" s="14"/>
      <c r="X1171" s="14"/>
      <c r="Y1171" s="14" t="s">
        <v>2093</v>
      </c>
      <c r="Z1171" s="14"/>
      <c r="AA1171" s="2">
        <f t="shared" ca="1" si="179"/>
        <v>1</v>
      </c>
      <c r="AB1171" s="153"/>
      <c r="AC1171" s="454" t="str">
        <f t="shared" si="177"/>
        <v/>
      </c>
    </row>
    <row r="1172" spans="1:29" x14ac:dyDescent="0.35">
      <c r="A1172" s="111" t="str">
        <f t="shared" si="173"/>
        <v>Closed</v>
      </c>
      <c r="B1172" s="226">
        <v>45827</v>
      </c>
      <c r="C1172" s="14">
        <v>2503</v>
      </c>
      <c r="D1172" s="14" t="s">
        <v>5242</v>
      </c>
      <c r="E1172" s="14" t="s">
        <v>8</v>
      </c>
      <c r="F1172" s="14" t="s">
        <v>2010</v>
      </c>
      <c r="G1172" s="14" t="s">
        <v>1900</v>
      </c>
      <c r="H1172" s="14"/>
      <c r="I1172" s="176" t="s">
        <v>140</v>
      </c>
      <c r="K1172" s="87"/>
      <c r="L1172" s="14" t="s">
        <v>5243</v>
      </c>
      <c r="M1172" s="324">
        <f t="shared" si="181"/>
        <v>0</v>
      </c>
      <c r="N1172" s="14" t="s">
        <v>1879</v>
      </c>
      <c r="O1172" s="14" t="s">
        <v>1879</v>
      </c>
      <c r="P1172" s="167" t="s">
        <v>143</v>
      </c>
      <c r="Q1172" s="14"/>
      <c r="R1172" s="170">
        <v>0</v>
      </c>
      <c r="S1172" s="108">
        <f t="shared" si="180"/>
        <v>45855</v>
      </c>
      <c r="T1172" s="79">
        <v>45837</v>
      </c>
      <c r="U1172" s="14"/>
      <c r="V1172" s="14"/>
      <c r="W1172" s="14"/>
      <c r="X1172" s="14"/>
      <c r="Y1172" s="14" t="s">
        <v>2012</v>
      </c>
      <c r="Z1172" s="14"/>
      <c r="AA1172" s="2">
        <f t="shared" ca="1" si="179"/>
        <v>1</v>
      </c>
      <c r="AB1172" s="153"/>
      <c r="AC1172" s="454" t="str">
        <f t="shared" si="177"/>
        <v/>
      </c>
    </row>
    <row r="1173" spans="1:29" ht="58" x14ac:dyDescent="0.35">
      <c r="A1173" s="111" t="s">
        <v>104</v>
      </c>
      <c r="B1173" s="226">
        <v>45827</v>
      </c>
      <c r="C1173" s="14">
        <v>2503</v>
      </c>
      <c r="D1173" s="14"/>
      <c r="E1173" s="15" t="s">
        <v>209</v>
      </c>
      <c r="F1173" s="14" t="s">
        <v>4645</v>
      </c>
      <c r="G1173" s="14" t="s">
        <v>1911</v>
      </c>
      <c r="H1173" s="14">
        <v>205</v>
      </c>
      <c r="I1173" s="176" t="s">
        <v>155</v>
      </c>
      <c r="J1173" s="14">
        <v>77027</v>
      </c>
      <c r="K1173" s="87"/>
      <c r="L1173" s="14" t="s">
        <v>5244</v>
      </c>
      <c r="M1173" s="324">
        <f t="shared" si="181"/>
        <v>0</v>
      </c>
      <c r="N1173" s="14" t="s">
        <v>1880</v>
      </c>
      <c r="O1173" s="14" t="s">
        <v>1880</v>
      </c>
      <c r="P1173" s="167" t="s">
        <v>151</v>
      </c>
      <c r="Q1173" s="14" t="s">
        <v>170</v>
      </c>
      <c r="R1173" s="170" t="s">
        <v>241</v>
      </c>
      <c r="S1173" s="108">
        <f t="shared" si="180"/>
        <v>45855</v>
      </c>
      <c r="T1173" s="79">
        <v>45902</v>
      </c>
      <c r="U1173" s="14"/>
      <c r="V1173" s="14"/>
      <c r="W1173" s="14"/>
      <c r="X1173" s="14"/>
      <c r="Z1173" s="14" t="s">
        <v>5245</v>
      </c>
      <c r="AA1173" s="2"/>
      <c r="AB1173" s="153"/>
      <c r="AC1173" s="454"/>
    </row>
    <row r="1174" spans="1:29" ht="72.5" x14ac:dyDescent="0.35">
      <c r="A1174" s="111" t="str">
        <f t="shared" si="173"/>
        <v>Closed</v>
      </c>
      <c r="B1174" s="226">
        <v>45827</v>
      </c>
      <c r="C1174" s="14">
        <v>2503</v>
      </c>
      <c r="D1174" s="14" t="s">
        <v>1392</v>
      </c>
      <c r="E1174" s="14" t="s">
        <v>80</v>
      </c>
      <c r="F1174" s="14" t="s">
        <v>2032</v>
      </c>
      <c r="G1174" s="14" t="s">
        <v>1900</v>
      </c>
      <c r="H1174" s="14">
        <v>105</v>
      </c>
      <c r="I1174" s="176" t="s">
        <v>155</v>
      </c>
      <c r="J1174" s="14">
        <v>74332</v>
      </c>
      <c r="K1174" s="87" t="s">
        <v>137</v>
      </c>
      <c r="L1174" s="14" t="s">
        <v>5246</v>
      </c>
      <c r="M1174" s="324">
        <f t="shared" si="181"/>
        <v>0</v>
      </c>
      <c r="N1174" s="14" t="s">
        <v>1880</v>
      </c>
      <c r="O1174" s="14" t="s">
        <v>1880</v>
      </c>
      <c r="P1174" s="167" t="s">
        <v>151</v>
      </c>
      <c r="Q1174" s="14" t="s">
        <v>184</v>
      </c>
      <c r="R1174" s="170" t="s">
        <v>241</v>
      </c>
      <c r="S1174" s="108">
        <f t="shared" si="180"/>
        <v>45855</v>
      </c>
      <c r="T1174" s="79">
        <v>45887</v>
      </c>
      <c r="U1174" s="14"/>
      <c r="V1174" s="14"/>
      <c r="W1174" s="14"/>
      <c r="X1174" s="14"/>
      <c r="Z1174" s="14"/>
      <c r="AA1174" s="2">
        <f t="shared" ref="AA1174:AA1237" ca="1" si="182">IF(B1174="",3,IF(S1174&lt;$A$1,1,0))</f>
        <v>1</v>
      </c>
      <c r="AB1174" s="153"/>
      <c r="AC1174" s="454" t="str">
        <f t="shared" si="177"/>
        <v>1</v>
      </c>
    </row>
    <row r="1175" spans="1:29" ht="43.5" x14ac:dyDescent="0.35">
      <c r="A1175" s="111" t="str">
        <f t="shared" si="173"/>
        <v>Closed</v>
      </c>
      <c r="B1175" s="226">
        <v>45827</v>
      </c>
      <c r="C1175" s="14">
        <v>2503</v>
      </c>
      <c r="D1175" s="14" t="s">
        <v>5247</v>
      </c>
      <c r="E1175" s="14" t="s">
        <v>8</v>
      </c>
      <c r="F1175" s="14" t="s">
        <v>1899</v>
      </c>
      <c r="G1175" s="14" t="s">
        <v>1900</v>
      </c>
      <c r="H1175" s="14">
        <v>125</v>
      </c>
      <c r="I1175" s="176" t="s">
        <v>140</v>
      </c>
      <c r="J1175" s="14">
        <v>567</v>
      </c>
      <c r="K1175" s="87"/>
      <c r="L1175" s="14" t="s">
        <v>5248</v>
      </c>
      <c r="M1175" s="324">
        <f t="shared" si="181"/>
        <v>0</v>
      </c>
      <c r="N1175" s="14" t="s">
        <v>1879</v>
      </c>
      <c r="O1175" s="14" t="s">
        <v>1879</v>
      </c>
      <c r="P1175" s="167" t="s">
        <v>143</v>
      </c>
      <c r="Q1175" s="14"/>
      <c r="R1175" s="170">
        <v>0</v>
      </c>
      <c r="S1175" s="108">
        <f t="shared" si="180"/>
        <v>45855</v>
      </c>
      <c r="T1175" s="79">
        <v>45827</v>
      </c>
      <c r="U1175" s="14"/>
      <c r="V1175" s="14"/>
      <c r="W1175" s="14"/>
      <c r="X1175" s="14"/>
      <c r="Z1175" s="14"/>
      <c r="AA1175" s="2">
        <f t="shared" ca="1" si="182"/>
        <v>1</v>
      </c>
      <c r="AB1175" s="153"/>
      <c r="AC1175" s="454" t="str">
        <f t="shared" si="177"/>
        <v>1</v>
      </c>
    </row>
    <row r="1176" spans="1:29" ht="29" x14ac:dyDescent="0.35">
      <c r="A1176" s="111" t="str">
        <f t="shared" si="173"/>
        <v>Closed</v>
      </c>
      <c r="B1176" s="226">
        <v>45828</v>
      </c>
      <c r="C1176" s="14">
        <v>2503</v>
      </c>
      <c r="D1176" s="14" t="s">
        <v>5249</v>
      </c>
      <c r="E1176" s="14" t="s">
        <v>219</v>
      </c>
      <c r="F1176" s="14" t="s">
        <v>2212</v>
      </c>
      <c r="G1176" s="14" t="s">
        <v>1911</v>
      </c>
      <c r="H1176" s="14">
        <v>121</v>
      </c>
      <c r="I1176" s="176" t="s">
        <v>140</v>
      </c>
      <c r="J1176" s="14">
        <v>41867</v>
      </c>
      <c r="K1176" s="87"/>
      <c r="L1176" s="14" t="s">
        <v>5250</v>
      </c>
      <c r="M1176" s="324">
        <f t="shared" si="181"/>
        <v>0</v>
      </c>
      <c r="N1176" s="14" t="s">
        <v>1879</v>
      </c>
      <c r="O1176" s="14" t="s">
        <v>1879</v>
      </c>
      <c r="P1176" s="167" t="s">
        <v>143</v>
      </c>
      <c r="Q1176" s="14"/>
      <c r="R1176" s="170">
        <v>0</v>
      </c>
      <c r="S1176" s="108">
        <f t="shared" si="180"/>
        <v>45856</v>
      </c>
      <c r="T1176" s="79">
        <v>45828</v>
      </c>
      <c r="U1176" s="14"/>
      <c r="V1176" s="14"/>
      <c r="W1176" s="14"/>
      <c r="X1176" s="14"/>
      <c r="Y1176" s="14" t="s">
        <v>2216</v>
      </c>
      <c r="Z1176" s="14"/>
      <c r="AA1176" s="2">
        <f t="shared" ca="1" si="182"/>
        <v>1</v>
      </c>
      <c r="AB1176" s="153"/>
      <c r="AC1176" s="454" t="str">
        <f t="shared" si="177"/>
        <v>1</v>
      </c>
    </row>
    <row r="1177" spans="1:29" s="318" customFormat="1" ht="58" x14ac:dyDescent="0.35">
      <c r="A1177" s="313" t="str">
        <f t="shared" si="173"/>
        <v>Closed</v>
      </c>
      <c r="B1177" s="314">
        <v>45829</v>
      </c>
      <c r="C1177" s="217">
        <v>2503</v>
      </c>
      <c r="D1177" s="217" t="s">
        <v>5251</v>
      </c>
      <c r="E1177" s="217" t="s">
        <v>42</v>
      </c>
      <c r="F1177" s="217" t="s">
        <v>2255</v>
      </c>
      <c r="G1177" s="14" t="s">
        <v>1911</v>
      </c>
      <c r="H1177" s="14">
        <v>110</v>
      </c>
      <c r="I1177" s="322" t="s">
        <v>4</v>
      </c>
      <c r="J1177" s="217">
        <v>8512790</v>
      </c>
      <c r="K1177" s="217" t="s">
        <v>137</v>
      </c>
      <c r="L1177" s="217" t="s">
        <v>5252</v>
      </c>
      <c r="M1177" s="341">
        <v>0</v>
      </c>
      <c r="N1177" s="217" t="s">
        <v>1879</v>
      </c>
      <c r="O1177" s="217" t="s">
        <v>1879</v>
      </c>
      <c r="P1177" s="315" t="s">
        <v>143</v>
      </c>
      <c r="Q1177" s="217"/>
      <c r="R1177" s="170">
        <v>0</v>
      </c>
      <c r="S1177" s="321">
        <f t="shared" si="180"/>
        <v>45857</v>
      </c>
      <c r="T1177" s="319">
        <v>45829</v>
      </c>
      <c r="U1177" s="217"/>
      <c r="V1177" s="217"/>
      <c r="W1177" s="217"/>
      <c r="X1177" s="217"/>
      <c r="Y1177" s="217"/>
      <c r="Z1177" s="217"/>
      <c r="AA1177" s="316">
        <f t="shared" ca="1" si="182"/>
        <v>1</v>
      </c>
      <c r="AB1177" s="317"/>
      <c r="AC1177" s="455" t="str">
        <f t="shared" si="177"/>
        <v>1</v>
      </c>
    </row>
    <row r="1178" spans="1:29" ht="29" x14ac:dyDescent="0.35">
      <c r="A1178" s="111" t="str">
        <f t="shared" si="173"/>
        <v>Closed</v>
      </c>
      <c r="B1178" s="226">
        <v>45829</v>
      </c>
      <c r="C1178" s="14">
        <v>2503</v>
      </c>
      <c r="D1178" s="14" t="s">
        <v>5253</v>
      </c>
      <c r="E1178" s="14" t="s">
        <v>8</v>
      </c>
      <c r="F1178" s="14" t="s">
        <v>3993</v>
      </c>
      <c r="G1178" s="14" t="s">
        <v>1900</v>
      </c>
      <c r="H1178" s="14">
        <v>113</v>
      </c>
      <c r="I1178" s="176" t="s">
        <v>140</v>
      </c>
      <c r="K1178" s="87"/>
      <c r="L1178" s="14" t="s">
        <v>5254</v>
      </c>
      <c r="M1178" s="324">
        <f t="shared" si="181"/>
        <v>0</v>
      </c>
      <c r="N1178" s="14" t="s">
        <v>1879</v>
      </c>
      <c r="O1178" s="14" t="s">
        <v>1879</v>
      </c>
      <c r="P1178" s="167" t="s">
        <v>143</v>
      </c>
      <c r="Q1178" s="14"/>
      <c r="R1178" s="170">
        <v>0</v>
      </c>
      <c r="S1178" s="108">
        <f t="shared" si="180"/>
        <v>45857</v>
      </c>
      <c r="T1178" s="79">
        <v>45829</v>
      </c>
      <c r="U1178" s="14"/>
      <c r="V1178" s="14"/>
      <c r="W1178" s="14"/>
      <c r="X1178" s="14"/>
      <c r="Z1178" s="14"/>
      <c r="AA1178" s="2">
        <f t="shared" ca="1" si="182"/>
        <v>1</v>
      </c>
      <c r="AB1178" s="153"/>
      <c r="AC1178" s="454" t="str">
        <f t="shared" si="177"/>
        <v>1</v>
      </c>
    </row>
    <row r="1179" spans="1:29" s="318" customFormat="1" ht="43.5" x14ac:dyDescent="0.35">
      <c r="A1179" s="313" t="str">
        <f t="shared" si="173"/>
        <v>Closed</v>
      </c>
      <c r="B1179" s="314">
        <v>45830</v>
      </c>
      <c r="C1179" s="217">
        <v>2504</v>
      </c>
      <c r="D1179" s="217" t="s">
        <v>1462</v>
      </c>
      <c r="E1179" s="217" t="s">
        <v>195</v>
      </c>
      <c r="F1179" s="217" t="s">
        <v>3142</v>
      </c>
      <c r="G1179" s="14" t="s">
        <v>1911</v>
      </c>
      <c r="H1179" s="14">
        <v>101</v>
      </c>
      <c r="I1179" s="322" t="s">
        <v>155</v>
      </c>
      <c r="J1179" s="217">
        <v>625</v>
      </c>
      <c r="K1179" s="323"/>
      <c r="L1179" s="343" t="s">
        <v>5255</v>
      </c>
      <c r="M1179" s="341">
        <f t="shared" si="181"/>
        <v>0</v>
      </c>
      <c r="N1179" s="217" t="s">
        <v>1880</v>
      </c>
      <c r="O1179" s="217" t="s">
        <v>1880</v>
      </c>
      <c r="P1179" s="315" t="s">
        <v>151</v>
      </c>
      <c r="Q1179" s="217" t="s">
        <v>186</v>
      </c>
      <c r="R1179" s="320" t="s">
        <v>241</v>
      </c>
      <c r="S1179" s="321">
        <f t="shared" si="180"/>
        <v>45858</v>
      </c>
      <c r="T1179" s="319">
        <v>45912</v>
      </c>
      <c r="U1179" s="217"/>
      <c r="V1179" s="217"/>
      <c r="W1179" s="217"/>
      <c r="X1179" s="217"/>
      <c r="Y1179" s="217"/>
      <c r="Z1179" s="217" t="s">
        <v>5256</v>
      </c>
      <c r="AA1179" s="316">
        <f t="shared" ca="1" si="182"/>
        <v>1</v>
      </c>
      <c r="AB1179" s="317"/>
      <c r="AC1179" s="455" t="str">
        <f t="shared" si="177"/>
        <v>1</v>
      </c>
    </row>
    <row r="1180" spans="1:29" ht="29" x14ac:dyDescent="0.35">
      <c r="A1180" s="111" t="str">
        <f t="shared" si="173"/>
        <v>Closed</v>
      </c>
      <c r="B1180" s="226">
        <v>45830</v>
      </c>
      <c r="C1180" s="14">
        <v>2504</v>
      </c>
      <c r="D1180" s="14" t="s">
        <v>5257</v>
      </c>
      <c r="E1180" s="14" t="s">
        <v>219</v>
      </c>
      <c r="F1180" s="14" t="s">
        <v>1899</v>
      </c>
      <c r="G1180" s="14" t="s">
        <v>1911</v>
      </c>
      <c r="H1180" s="14">
        <v>117</v>
      </c>
      <c r="I1180" s="176" t="s">
        <v>140</v>
      </c>
      <c r="K1180" s="87"/>
      <c r="L1180" s="328" t="s">
        <v>5258</v>
      </c>
      <c r="M1180" s="324">
        <f t="shared" si="181"/>
        <v>0</v>
      </c>
      <c r="N1180" s="14" t="s">
        <v>1879</v>
      </c>
      <c r="O1180" s="14" t="s">
        <v>1879</v>
      </c>
      <c r="P1180" s="167" t="s">
        <v>143</v>
      </c>
      <c r="Q1180" s="14"/>
      <c r="R1180" s="170">
        <v>0</v>
      </c>
      <c r="S1180" s="108">
        <f t="shared" si="180"/>
        <v>45858</v>
      </c>
      <c r="T1180" s="79">
        <v>45830</v>
      </c>
      <c r="U1180" s="14"/>
      <c r="V1180" s="14"/>
      <c r="W1180" s="14"/>
      <c r="X1180" s="14"/>
      <c r="Z1180" s="14"/>
      <c r="AA1180" s="2">
        <f t="shared" ca="1" si="182"/>
        <v>1</v>
      </c>
      <c r="AB1180" s="153"/>
      <c r="AC1180" s="454" t="str">
        <f t="shared" si="177"/>
        <v>1</v>
      </c>
    </row>
    <row r="1181" spans="1:29" s="318" customFormat="1" ht="44" thickBot="1" x14ac:dyDescent="0.4">
      <c r="A1181" s="313" t="str">
        <f t="shared" si="173"/>
        <v>Closed</v>
      </c>
      <c r="B1181" s="314">
        <v>45831</v>
      </c>
      <c r="C1181" s="217">
        <v>2504</v>
      </c>
      <c r="D1181" s="217" t="s">
        <v>5259</v>
      </c>
      <c r="E1181" s="217" t="s">
        <v>42</v>
      </c>
      <c r="F1181" s="217" t="s">
        <v>2962</v>
      </c>
      <c r="G1181" s="14"/>
      <c r="H1181" s="14"/>
      <c r="I1181" s="322" t="s">
        <v>4</v>
      </c>
      <c r="J1181" s="217">
        <v>8506979</v>
      </c>
      <c r="K1181" s="217" t="s">
        <v>137</v>
      </c>
      <c r="L1181" s="217" t="s">
        <v>5260</v>
      </c>
      <c r="M1181" s="341">
        <v>0</v>
      </c>
      <c r="N1181" s="217" t="s">
        <v>1879</v>
      </c>
      <c r="O1181" s="217" t="s">
        <v>1880</v>
      </c>
      <c r="P1181" s="315" t="s">
        <v>143</v>
      </c>
      <c r="Q1181" s="217"/>
      <c r="R1181" s="170">
        <v>0</v>
      </c>
      <c r="S1181" s="321">
        <f t="shared" si="180"/>
        <v>45859</v>
      </c>
      <c r="T1181" s="319">
        <v>45831</v>
      </c>
      <c r="U1181" s="217"/>
      <c r="V1181" s="217"/>
      <c r="W1181" s="217"/>
      <c r="X1181" s="217"/>
      <c r="Y1181" s="217"/>
      <c r="Z1181" s="217"/>
      <c r="AA1181" s="316">
        <f t="shared" ca="1" si="182"/>
        <v>1</v>
      </c>
      <c r="AB1181" s="317"/>
      <c r="AC1181" s="455" t="str">
        <f t="shared" si="177"/>
        <v/>
      </c>
    </row>
    <row r="1182" spans="1:29" s="318" customFormat="1" ht="116.5" thickBot="1" x14ac:dyDescent="0.4">
      <c r="A1182" s="313" t="str">
        <f t="shared" si="173"/>
        <v>Closed</v>
      </c>
      <c r="B1182" s="314">
        <v>45832</v>
      </c>
      <c r="C1182" s="217">
        <v>2504</v>
      </c>
      <c r="D1182" s="217" t="s">
        <v>5261</v>
      </c>
      <c r="E1182" s="217" t="s">
        <v>37</v>
      </c>
      <c r="F1182" s="217" t="s">
        <v>2974</v>
      </c>
      <c r="G1182" s="14" t="s">
        <v>1900</v>
      </c>
      <c r="H1182" s="14">
        <v>122</v>
      </c>
      <c r="I1182" s="322" t="s">
        <v>5</v>
      </c>
      <c r="J1182" s="217">
        <v>81332</v>
      </c>
      <c r="K1182" s="323"/>
      <c r="L1182" s="217" t="s">
        <v>5262</v>
      </c>
      <c r="M1182" s="341">
        <f t="shared" si="181"/>
        <v>0</v>
      </c>
      <c r="N1182" s="217" t="s">
        <v>1879</v>
      </c>
      <c r="O1182" s="217" t="s">
        <v>1880</v>
      </c>
      <c r="P1182" s="315" t="s">
        <v>147</v>
      </c>
      <c r="Q1182" s="217" t="s">
        <v>168</v>
      </c>
      <c r="R1182" s="320" t="s">
        <v>234</v>
      </c>
      <c r="S1182" s="321">
        <f t="shared" si="180"/>
        <v>45860</v>
      </c>
      <c r="T1182" s="319">
        <v>45902</v>
      </c>
      <c r="U1182" s="217"/>
      <c r="V1182" s="217"/>
      <c r="W1182" s="217"/>
      <c r="X1182" s="217"/>
      <c r="Y1182" s="464" t="s">
        <v>2164</v>
      </c>
      <c r="Z1182" s="217" t="s">
        <v>5263</v>
      </c>
      <c r="AA1182" s="316">
        <f t="shared" ca="1" si="182"/>
        <v>1</v>
      </c>
      <c r="AB1182" s="317"/>
      <c r="AC1182" s="455" t="str">
        <f t="shared" si="177"/>
        <v>1</v>
      </c>
    </row>
    <row r="1183" spans="1:29" ht="43.5" x14ac:dyDescent="0.35">
      <c r="A1183" s="111" t="str">
        <f t="shared" si="173"/>
        <v>Closed</v>
      </c>
      <c r="B1183" s="226">
        <v>45833</v>
      </c>
      <c r="C1183" s="14">
        <v>2504</v>
      </c>
      <c r="D1183" s="14" t="s">
        <v>5264</v>
      </c>
      <c r="E1183" s="14" t="s">
        <v>8</v>
      </c>
      <c r="F1183" s="14" t="s">
        <v>3993</v>
      </c>
      <c r="G1183" s="14" t="s">
        <v>1900</v>
      </c>
      <c r="H1183" s="14">
        <v>118</v>
      </c>
      <c r="I1183" s="176"/>
      <c r="K1183" s="87"/>
      <c r="L1183" s="14" t="s">
        <v>5265</v>
      </c>
      <c r="M1183" s="324">
        <f>IF(I1184="Staff Accident","Entry Required",IF(I1184="Assaults","Entry Required",0))</f>
        <v>0</v>
      </c>
      <c r="N1183" s="14" t="s">
        <v>1879</v>
      </c>
      <c r="O1183" s="14" t="s">
        <v>1879</v>
      </c>
      <c r="P1183" s="167" t="s">
        <v>143</v>
      </c>
      <c r="Q1183" s="14"/>
      <c r="R1183" s="170">
        <v>0</v>
      </c>
      <c r="S1183" s="108">
        <f t="shared" si="180"/>
        <v>45861</v>
      </c>
      <c r="T1183" s="79">
        <v>45834</v>
      </c>
      <c r="U1183" s="14"/>
      <c r="V1183" s="14"/>
      <c r="W1183" s="14"/>
      <c r="X1183" s="14"/>
      <c r="Z1183" s="14"/>
      <c r="AA1183" s="2">
        <f t="shared" ca="1" si="182"/>
        <v>1</v>
      </c>
      <c r="AB1183" s="153"/>
      <c r="AC1183" s="454" t="str">
        <f t="shared" si="177"/>
        <v>1</v>
      </c>
    </row>
    <row r="1184" spans="1:29" ht="43.5" x14ac:dyDescent="0.35">
      <c r="A1184" s="111" t="str">
        <f t="shared" si="173"/>
        <v>Closed</v>
      </c>
      <c r="B1184" s="226">
        <v>45833</v>
      </c>
      <c r="C1184" s="14">
        <v>2504</v>
      </c>
      <c r="D1184" s="14" t="s">
        <v>5266</v>
      </c>
      <c r="E1184" s="14" t="s">
        <v>76</v>
      </c>
      <c r="F1184" s="14" t="s">
        <v>1947</v>
      </c>
      <c r="G1184" s="14" t="s">
        <v>1911</v>
      </c>
      <c r="H1184" s="14">
        <v>112</v>
      </c>
      <c r="I1184" s="176" t="s">
        <v>140</v>
      </c>
      <c r="K1184" s="87"/>
      <c r="L1184" s="14" t="s">
        <v>5267</v>
      </c>
      <c r="M1184" s="324">
        <f>IF(I1185="Staff Accident","Entry Required",IF(I1185="Assaults","Entry Required",0))</f>
        <v>0</v>
      </c>
      <c r="N1184" s="14" t="s">
        <v>1879</v>
      </c>
      <c r="O1184" s="14" t="s">
        <v>1879</v>
      </c>
      <c r="P1184" s="167" t="s">
        <v>143</v>
      </c>
      <c r="Q1184" s="14"/>
      <c r="R1184" s="170">
        <v>0</v>
      </c>
      <c r="S1184" s="108">
        <f t="shared" si="180"/>
        <v>45861</v>
      </c>
      <c r="T1184" s="79">
        <v>45834</v>
      </c>
      <c r="U1184" s="14"/>
      <c r="V1184" s="14"/>
      <c r="W1184" s="14"/>
      <c r="X1184" s="14"/>
      <c r="Z1184" s="14"/>
      <c r="AA1184" s="2">
        <f t="shared" ca="1" si="182"/>
        <v>1</v>
      </c>
      <c r="AB1184" s="153"/>
      <c r="AC1184" s="454" t="str">
        <f t="shared" si="177"/>
        <v>1</v>
      </c>
    </row>
    <row r="1185" spans="1:29" ht="43.5" x14ac:dyDescent="0.35">
      <c r="A1185" s="111" t="str">
        <f t="shared" si="173"/>
        <v>Closed</v>
      </c>
      <c r="B1185" s="226">
        <v>45833</v>
      </c>
      <c r="C1185" s="14">
        <v>2504</v>
      </c>
      <c r="D1185" s="14" t="s">
        <v>5268</v>
      </c>
      <c r="E1185" s="14" t="s">
        <v>152</v>
      </c>
      <c r="F1185" s="14" t="s">
        <v>2048</v>
      </c>
      <c r="G1185" s="14"/>
      <c r="H1185" s="14">
        <v>125</v>
      </c>
      <c r="I1185" s="30" t="s">
        <v>140</v>
      </c>
      <c r="K1185" s="87"/>
      <c r="L1185" s="14" t="s">
        <v>5269</v>
      </c>
      <c r="M1185" s="324">
        <f>IF(I1186="Staff Accident","Entry Required",IF(I1186="Assaults","Entry Required",0))</f>
        <v>0</v>
      </c>
      <c r="N1185" s="14" t="s">
        <v>1879</v>
      </c>
      <c r="O1185" s="14" t="s">
        <v>1879</v>
      </c>
      <c r="P1185" s="167" t="s">
        <v>143</v>
      </c>
      <c r="Q1185" s="14"/>
      <c r="R1185" s="170">
        <v>0</v>
      </c>
      <c r="S1185" s="108">
        <f t="shared" si="180"/>
        <v>45861</v>
      </c>
      <c r="T1185" s="79">
        <v>45834</v>
      </c>
      <c r="U1185" s="14"/>
      <c r="V1185" s="14"/>
      <c r="W1185" s="14"/>
      <c r="X1185" s="14"/>
      <c r="Z1185" s="14"/>
      <c r="AA1185" s="2">
        <f t="shared" ca="1" si="182"/>
        <v>1</v>
      </c>
      <c r="AB1185" s="153"/>
      <c r="AC1185" s="454" t="str">
        <f t="shared" si="177"/>
        <v>1</v>
      </c>
    </row>
    <row r="1186" spans="1:29" s="318" customFormat="1" ht="43.5" x14ac:dyDescent="0.35">
      <c r="A1186" s="313" t="str">
        <f t="shared" si="173"/>
        <v>Closed</v>
      </c>
      <c r="B1186" s="314">
        <v>45834</v>
      </c>
      <c r="C1186" s="217">
        <v>2504</v>
      </c>
      <c r="D1186" s="217" t="s">
        <v>5270</v>
      </c>
      <c r="E1186" s="217" t="s">
        <v>31</v>
      </c>
      <c r="F1186" s="217" t="s">
        <v>3861</v>
      </c>
      <c r="G1186" s="14" t="s">
        <v>1911</v>
      </c>
      <c r="H1186" s="14">
        <v>202</v>
      </c>
      <c r="I1186" s="322" t="s">
        <v>155</v>
      </c>
      <c r="J1186" s="217">
        <v>86110</v>
      </c>
      <c r="K1186" s="323"/>
      <c r="L1186" s="217" t="s">
        <v>5271</v>
      </c>
      <c r="M1186" s="341">
        <f>IF(I1187="Staff Accident","Entry Required",IF(I1187="Assaults","Entry Required",0))</f>
        <v>0</v>
      </c>
      <c r="N1186" s="217" t="s">
        <v>1879</v>
      </c>
      <c r="O1186" s="217" t="s">
        <v>1879</v>
      </c>
      <c r="P1186" s="315" t="s">
        <v>143</v>
      </c>
      <c r="Q1186" s="217"/>
      <c r="R1186" s="170">
        <v>0</v>
      </c>
      <c r="S1186" s="321">
        <f t="shared" si="180"/>
        <v>45862</v>
      </c>
      <c r="T1186" s="319">
        <v>45834</v>
      </c>
      <c r="U1186" s="217"/>
      <c r="V1186" s="217"/>
      <c r="W1186" s="217"/>
      <c r="X1186" s="217"/>
      <c r="Y1186" s="217"/>
      <c r="Z1186" s="217"/>
      <c r="AA1186" s="316">
        <f t="shared" ca="1" si="182"/>
        <v>1</v>
      </c>
      <c r="AB1186" s="317"/>
      <c r="AC1186" s="455" t="str">
        <f t="shared" si="177"/>
        <v>2</v>
      </c>
    </row>
    <row r="1187" spans="1:29" ht="29" x14ac:dyDescent="0.35">
      <c r="A1187" s="111" t="str">
        <f t="shared" ref="A1187:A1249" si="183">IF(T1187&gt;1,"Closed",IF(AA1187=1,"Overdue",IF(AA1187=3,"","Open")))</f>
        <v>Closed</v>
      </c>
      <c r="B1187" s="226">
        <v>45835</v>
      </c>
      <c r="C1187" s="14">
        <v>2504</v>
      </c>
      <c r="D1187" s="14" t="s">
        <v>5272</v>
      </c>
      <c r="E1187" s="14" t="s">
        <v>219</v>
      </c>
      <c r="F1187" s="14" t="s">
        <v>1968</v>
      </c>
      <c r="G1187" s="14"/>
      <c r="H1187" s="14">
        <v>120</v>
      </c>
      <c r="I1187" s="176" t="s">
        <v>140</v>
      </c>
      <c r="K1187" s="87"/>
      <c r="L1187" s="14" t="s">
        <v>5273</v>
      </c>
      <c r="M1187" s="324">
        <f t="shared" ref="M1187:M1194" si="184">IF(I1187="Staff Accident","Entry Required",IF(I1187="Assaults","Entry Required",0))</f>
        <v>0</v>
      </c>
      <c r="N1187" s="14" t="s">
        <v>1879</v>
      </c>
      <c r="O1187" s="14" t="s">
        <v>1879</v>
      </c>
      <c r="P1187" s="167" t="s">
        <v>143</v>
      </c>
      <c r="Q1187" s="14"/>
      <c r="R1187" s="170">
        <v>0</v>
      </c>
      <c r="S1187" s="108">
        <f t="shared" si="180"/>
        <v>45863</v>
      </c>
      <c r="T1187" s="79">
        <v>45835</v>
      </c>
      <c r="U1187" s="14"/>
      <c r="V1187" s="14"/>
      <c r="W1187" s="14"/>
      <c r="X1187" s="14"/>
      <c r="Z1187" s="14"/>
      <c r="AA1187" s="2">
        <f t="shared" ca="1" si="182"/>
        <v>1</v>
      </c>
      <c r="AB1187" s="153"/>
      <c r="AC1187" s="454" t="str">
        <f t="shared" si="177"/>
        <v>1</v>
      </c>
    </row>
    <row r="1188" spans="1:29" s="318" customFormat="1" ht="43.5" x14ac:dyDescent="0.35">
      <c r="A1188" s="313" t="str">
        <f t="shared" si="183"/>
        <v>Closed</v>
      </c>
      <c r="B1188" s="314">
        <v>45835</v>
      </c>
      <c r="C1188" s="217">
        <v>2504</v>
      </c>
      <c r="D1188" s="217" t="s">
        <v>5274</v>
      </c>
      <c r="E1188" s="217" t="s">
        <v>27</v>
      </c>
      <c r="F1188" s="217" t="s">
        <v>1958</v>
      </c>
      <c r="G1188" s="14" t="s">
        <v>1911</v>
      </c>
      <c r="H1188" s="14"/>
      <c r="I1188" s="322" t="s">
        <v>5</v>
      </c>
      <c r="J1188" s="217"/>
      <c r="K1188" s="323"/>
      <c r="L1188" s="217" t="s">
        <v>5275</v>
      </c>
      <c r="M1188" s="341">
        <f t="shared" si="184"/>
        <v>0</v>
      </c>
      <c r="N1188" s="217" t="s">
        <v>1879</v>
      </c>
      <c r="O1188" s="217" t="s">
        <v>1880</v>
      </c>
      <c r="P1188" s="315" t="s">
        <v>147</v>
      </c>
      <c r="Q1188" s="217" t="s">
        <v>135</v>
      </c>
      <c r="R1188" s="320" t="s">
        <v>234</v>
      </c>
      <c r="S1188" s="321">
        <f t="shared" si="180"/>
        <v>45863</v>
      </c>
      <c r="T1188" s="319">
        <v>45848</v>
      </c>
      <c r="U1188" s="217" t="s">
        <v>5276</v>
      </c>
      <c r="V1188" s="217" t="s">
        <v>2527</v>
      </c>
      <c r="W1188" s="217" t="s">
        <v>1879</v>
      </c>
      <c r="X1188" s="217" t="s">
        <v>1880</v>
      </c>
      <c r="Y1188" s="217"/>
      <c r="Z1188" s="217" t="s">
        <v>5277</v>
      </c>
      <c r="AA1188" s="316">
        <f t="shared" ca="1" si="182"/>
        <v>1</v>
      </c>
      <c r="AB1188" s="317"/>
      <c r="AC1188" s="455" t="str">
        <f t="shared" si="177"/>
        <v/>
      </c>
    </row>
    <row r="1189" spans="1:29" s="318" customFormat="1" ht="58" x14ac:dyDescent="0.35">
      <c r="A1189" s="313" t="str">
        <f t="shared" si="183"/>
        <v>Closed</v>
      </c>
      <c r="B1189" s="314">
        <v>45836</v>
      </c>
      <c r="C1189" s="217">
        <v>2504</v>
      </c>
      <c r="D1189" s="217" t="s">
        <v>5278</v>
      </c>
      <c r="E1189" s="217" t="s">
        <v>38</v>
      </c>
      <c r="F1189" s="217" t="s">
        <v>1985</v>
      </c>
      <c r="G1189" s="14" t="s">
        <v>1911</v>
      </c>
      <c r="H1189" s="14">
        <v>120</v>
      </c>
      <c r="I1189" s="322" t="s">
        <v>6</v>
      </c>
      <c r="J1189" s="217">
        <v>8511211</v>
      </c>
      <c r="K1189" s="323"/>
      <c r="L1189" s="217" t="s">
        <v>5279</v>
      </c>
      <c r="M1189" s="341">
        <f t="shared" si="184"/>
        <v>0</v>
      </c>
      <c r="N1189" s="217" t="s">
        <v>1879</v>
      </c>
      <c r="O1189" s="217" t="s">
        <v>1880</v>
      </c>
      <c r="P1189" s="315" t="s">
        <v>143</v>
      </c>
      <c r="Q1189" s="217"/>
      <c r="R1189" s="170">
        <v>0</v>
      </c>
      <c r="S1189" s="321">
        <f t="shared" ref="S1189:S1196" si="185">IF(B1189="","",B1189+28)</f>
        <v>45864</v>
      </c>
      <c r="T1189" s="319">
        <v>45836</v>
      </c>
      <c r="U1189" s="217"/>
      <c r="V1189" s="217"/>
      <c r="W1189" s="217"/>
      <c r="X1189" s="217"/>
      <c r="Y1189" s="217"/>
      <c r="Z1189" s="217"/>
      <c r="AA1189" s="316">
        <f t="shared" ca="1" si="182"/>
        <v>1</v>
      </c>
      <c r="AB1189" s="317"/>
      <c r="AC1189" s="455" t="str">
        <f t="shared" si="177"/>
        <v>1</v>
      </c>
    </row>
    <row r="1190" spans="1:29" ht="29" x14ac:dyDescent="0.35">
      <c r="A1190" s="111" t="str">
        <f t="shared" si="183"/>
        <v>Closed</v>
      </c>
      <c r="B1190" s="226">
        <v>45836</v>
      </c>
      <c r="C1190" s="14">
        <v>2504</v>
      </c>
      <c r="D1190" s="14" t="s">
        <v>5280</v>
      </c>
      <c r="E1190" s="14" t="s">
        <v>219</v>
      </c>
      <c r="F1190" s="14" t="s">
        <v>2119</v>
      </c>
      <c r="G1190" s="14" t="s">
        <v>1911</v>
      </c>
      <c r="H1190" s="14">
        <v>118</v>
      </c>
      <c r="I1190" s="176" t="s">
        <v>140</v>
      </c>
      <c r="K1190" s="87"/>
      <c r="L1190" s="14" t="s">
        <v>5281</v>
      </c>
      <c r="M1190" s="324">
        <f t="shared" si="184"/>
        <v>0</v>
      </c>
      <c r="N1190" s="14" t="s">
        <v>1879</v>
      </c>
      <c r="O1190" s="14" t="s">
        <v>1879</v>
      </c>
      <c r="P1190" s="167" t="s">
        <v>143</v>
      </c>
      <c r="Q1190" s="14"/>
      <c r="R1190" s="170">
        <v>0</v>
      </c>
      <c r="S1190" s="108">
        <f t="shared" si="185"/>
        <v>45864</v>
      </c>
      <c r="T1190" s="79">
        <v>45836</v>
      </c>
      <c r="U1190" s="14"/>
      <c r="V1190" s="14"/>
      <c r="W1190" s="14"/>
      <c r="X1190" s="14"/>
      <c r="Y1190" s="14" t="s">
        <v>2093</v>
      </c>
      <c r="Z1190" s="14"/>
      <c r="AA1190" s="2">
        <f t="shared" ca="1" si="182"/>
        <v>1</v>
      </c>
      <c r="AB1190" s="153"/>
      <c r="AC1190" s="454" t="str">
        <f t="shared" si="177"/>
        <v>1</v>
      </c>
    </row>
    <row r="1191" spans="1:29" ht="29" x14ac:dyDescent="0.35">
      <c r="A1191" s="111" t="str">
        <f t="shared" si="183"/>
        <v>Closed</v>
      </c>
      <c r="B1191" s="226">
        <v>45837</v>
      </c>
      <c r="C1191" s="14">
        <v>2504</v>
      </c>
      <c r="D1191" s="14" t="s">
        <v>5282</v>
      </c>
      <c r="E1191" s="14" t="s">
        <v>31</v>
      </c>
      <c r="F1191" s="14" t="s">
        <v>1910</v>
      </c>
      <c r="G1191" s="14" t="s">
        <v>1911</v>
      </c>
      <c r="H1191" s="14">
        <v>121</v>
      </c>
      <c r="I1191" s="176" t="s">
        <v>140</v>
      </c>
      <c r="J1191" s="14">
        <v>8508846</v>
      </c>
      <c r="K1191" s="87"/>
      <c r="L1191" s="14" t="s">
        <v>5283</v>
      </c>
      <c r="M1191" s="324">
        <f t="shared" si="184"/>
        <v>0</v>
      </c>
      <c r="N1191" s="14" t="s">
        <v>1879</v>
      </c>
      <c r="O1191" s="14" t="s">
        <v>1879</v>
      </c>
      <c r="P1191" s="167" t="s">
        <v>143</v>
      </c>
      <c r="Q1191" s="14"/>
      <c r="R1191" s="170">
        <v>0</v>
      </c>
      <c r="S1191" s="108">
        <f t="shared" si="185"/>
        <v>45865</v>
      </c>
      <c r="T1191" s="79">
        <v>45837</v>
      </c>
      <c r="U1191" s="14"/>
      <c r="V1191" s="14"/>
      <c r="W1191" s="14"/>
      <c r="X1191" s="14"/>
      <c r="Y1191" s="23" t="s">
        <v>1915</v>
      </c>
      <c r="Z1191" s="14"/>
      <c r="AA1191" s="2">
        <f t="shared" ca="1" si="182"/>
        <v>1</v>
      </c>
      <c r="AB1191" s="153"/>
      <c r="AC1191" s="454" t="str">
        <f t="shared" si="177"/>
        <v>1</v>
      </c>
    </row>
    <row r="1192" spans="1:29" ht="29" x14ac:dyDescent="0.35">
      <c r="A1192" s="111" t="str">
        <f t="shared" si="183"/>
        <v>Closed</v>
      </c>
      <c r="B1192" s="226">
        <v>45837</v>
      </c>
      <c r="C1192" s="14">
        <v>2504</v>
      </c>
      <c r="D1192" s="14" t="s">
        <v>5284</v>
      </c>
      <c r="E1192" s="14" t="s">
        <v>8</v>
      </c>
      <c r="F1192" s="14" t="s">
        <v>3993</v>
      </c>
      <c r="G1192" s="14" t="s">
        <v>1911</v>
      </c>
      <c r="H1192" s="14"/>
      <c r="I1192" s="176" t="s">
        <v>140</v>
      </c>
      <c r="K1192" s="87"/>
      <c r="L1192" s="14" t="s">
        <v>5285</v>
      </c>
      <c r="M1192" s="324">
        <f t="shared" si="184"/>
        <v>0</v>
      </c>
      <c r="N1192" s="14" t="s">
        <v>1879</v>
      </c>
      <c r="O1192" s="14" t="s">
        <v>1879</v>
      </c>
      <c r="P1192" s="167" t="s">
        <v>143</v>
      </c>
      <c r="Q1192" s="14"/>
      <c r="R1192" s="170">
        <v>0</v>
      </c>
      <c r="S1192" s="108">
        <f t="shared" si="185"/>
        <v>45865</v>
      </c>
      <c r="T1192" s="79">
        <v>45837</v>
      </c>
      <c r="U1192" s="14"/>
      <c r="V1192" s="14"/>
      <c r="W1192" s="14"/>
      <c r="X1192" s="14"/>
      <c r="Z1192" s="14"/>
      <c r="AA1192" s="2">
        <f t="shared" ca="1" si="182"/>
        <v>1</v>
      </c>
      <c r="AB1192" s="153"/>
      <c r="AC1192" s="454" t="str">
        <f t="shared" si="177"/>
        <v/>
      </c>
    </row>
    <row r="1193" spans="1:29" ht="29" x14ac:dyDescent="0.35">
      <c r="A1193" s="111" t="str">
        <f t="shared" si="183"/>
        <v>Closed</v>
      </c>
      <c r="B1193" s="226">
        <v>45837</v>
      </c>
      <c r="C1193" s="14">
        <v>2504</v>
      </c>
      <c r="D1193" s="14" t="s">
        <v>5286</v>
      </c>
      <c r="E1193" s="14" t="s">
        <v>85</v>
      </c>
      <c r="F1193" s="14" t="s">
        <v>1937</v>
      </c>
      <c r="G1193" s="14"/>
      <c r="H1193" s="14">
        <v>103</v>
      </c>
      <c r="I1193" s="176" t="s">
        <v>140</v>
      </c>
      <c r="J1193" s="14">
        <v>8508846</v>
      </c>
      <c r="K1193" s="87"/>
      <c r="L1193" s="14" t="s">
        <v>5287</v>
      </c>
      <c r="M1193" s="324">
        <f t="shared" si="184"/>
        <v>0</v>
      </c>
      <c r="N1193" s="14" t="s">
        <v>1879</v>
      </c>
      <c r="O1193" s="14" t="s">
        <v>1879</v>
      </c>
      <c r="P1193" s="167" t="s">
        <v>143</v>
      </c>
      <c r="Q1193" s="14"/>
      <c r="R1193" s="170">
        <v>0</v>
      </c>
      <c r="S1193" s="108">
        <f t="shared" si="185"/>
        <v>45865</v>
      </c>
      <c r="T1193" s="79">
        <v>45837</v>
      </c>
      <c r="U1193" s="14"/>
      <c r="V1193" s="14"/>
      <c r="W1193" s="14"/>
      <c r="X1193" s="14"/>
      <c r="Z1193" s="14"/>
      <c r="AA1193" s="2">
        <f t="shared" ca="1" si="182"/>
        <v>1</v>
      </c>
      <c r="AB1193" s="153"/>
      <c r="AC1193" s="454" t="str">
        <f t="shared" si="177"/>
        <v>1</v>
      </c>
    </row>
    <row r="1194" spans="1:29" ht="29" x14ac:dyDescent="0.35">
      <c r="A1194" s="111" t="str">
        <f t="shared" si="183"/>
        <v>Closed</v>
      </c>
      <c r="B1194" s="226">
        <v>45838</v>
      </c>
      <c r="C1194" s="14">
        <v>2504</v>
      </c>
      <c r="D1194" s="14" t="s">
        <v>5288</v>
      </c>
      <c r="E1194" s="14" t="s">
        <v>180</v>
      </c>
      <c r="F1194" s="14" t="s">
        <v>2060</v>
      </c>
      <c r="G1194" s="14" t="s">
        <v>1911</v>
      </c>
      <c r="H1194" s="14">
        <v>106</v>
      </c>
      <c r="I1194" s="176" t="s">
        <v>140</v>
      </c>
      <c r="J1194" s="14">
        <v>89116</v>
      </c>
      <c r="K1194" s="87"/>
      <c r="L1194" s="14" t="s">
        <v>5289</v>
      </c>
      <c r="M1194" s="324">
        <f t="shared" si="184"/>
        <v>0</v>
      </c>
      <c r="N1194" s="14" t="s">
        <v>1879</v>
      </c>
      <c r="O1194" s="14" t="s">
        <v>1879</v>
      </c>
      <c r="P1194" s="167" t="s">
        <v>143</v>
      </c>
      <c r="Q1194" s="14"/>
      <c r="R1194" s="170">
        <v>0</v>
      </c>
      <c r="S1194" s="108">
        <f t="shared" si="185"/>
        <v>45866</v>
      </c>
      <c r="T1194" s="79">
        <v>45838</v>
      </c>
      <c r="U1194" s="14"/>
      <c r="V1194" s="14"/>
      <c r="W1194" s="14"/>
      <c r="X1194" s="14"/>
      <c r="Y1194" s="466" t="s">
        <v>2062</v>
      </c>
      <c r="Z1194" s="14"/>
      <c r="AA1194" s="2">
        <f t="shared" ca="1" si="182"/>
        <v>1</v>
      </c>
      <c r="AB1194" s="153"/>
      <c r="AC1194" s="454" t="str">
        <f t="shared" si="177"/>
        <v>1</v>
      </c>
    </row>
    <row r="1195" spans="1:29" s="367" customFormat="1" ht="29" x14ac:dyDescent="0.35">
      <c r="A1195" s="360" t="str">
        <f t="shared" si="183"/>
        <v>Closed</v>
      </c>
      <c r="B1195" s="225">
        <v>45839</v>
      </c>
      <c r="C1195" s="86">
        <v>2504</v>
      </c>
      <c r="D1195" s="14" t="s">
        <v>5290</v>
      </c>
      <c r="E1195" s="86" t="s">
        <v>38</v>
      </c>
      <c r="F1195" s="86" t="s">
        <v>1972</v>
      </c>
      <c r="G1195" s="14"/>
      <c r="H1195" s="14"/>
      <c r="I1195" s="361" t="s">
        <v>2</v>
      </c>
      <c r="J1195" s="86"/>
      <c r="K1195" s="368" t="s">
        <v>137</v>
      </c>
      <c r="L1195" s="86" t="s">
        <v>5291</v>
      </c>
      <c r="M1195" s="362">
        <v>0</v>
      </c>
      <c r="N1195" s="86" t="s">
        <v>1879</v>
      </c>
      <c r="O1195" s="86" t="s">
        <v>1880</v>
      </c>
      <c r="P1195" s="363" t="s">
        <v>143</v>
      </c>
      <c r="Q1195" s="86"/>
      <c r="R1195" s="170">
        <v>0</v>
      </c>
      <c r="S1195" s="364">
        <f t="shared" si="185"/>
        <v>45867</v>
      </c>
      <c r="T1195" s="306">
        <v>45839</v>
      </c>
      <c r="U1195" s="86"/>
      <c r="V1195" s="86"/>
      <c r="W1195" s="86"/>
      <c r="X1195" s="86"/>
      <c r="Y1195" s="86"/>
      <c r="Z1195" s="86"/>
      <c r="AA1195" s="365">
        <f t="shared" ca="1" si="182"/>
        <v>1</v>
      </c>
      <c r="AB1195" s="366"/>
      <c r="AC1195" s="456" t="str">
        <f t="shared" si="177"/>
        <v/>
      </c>
    </row>
    <row r="1196" spans="1:29" s="318" customFormat="1" ht="58" x14ac:dyDescent="0.35">
      <c r="A1196" s="313" t="str">
        <f t="shared" si="183"/>
        <v>Closed</v>
      </c>
      <c r="B1196" s="314">
        <v>45842</v>
      </c>
      <c r="C1196" s="217">
        <v>2504</v>
      </c>
      <c r="D1196" s="217" t="s">
        <v>5292</v>
      </c>
      <c r="E1196" s="217" t="s">
        <v>209</v>
      </c>
      <c r="F1196" s="217" t="s">
        <v>1877</v>
      </c>
      <c r="G1196" s="14"/>
      <c r="H1196" s="14">
        <v>203</v>
      </c>
      <c r="I1196" s="322" t="s">
        <v>155</v>
      </c>
      <c r="J1196" s="217">
        <v>78670</v>
      </c>
      <c r="K1196" s="323"/>
      <c r="L1196" s="217" t="s">
        <v>5293</v>
      </c>
      <c r="M1196" s="341">
        <f t="shared" ref="M1196:M1226" si="186">IF(I1196="Staff Accident","Entry Required",IF(I1196="Assaults","Entry Required",0))</f>
        <v>0</v>
      </c>
      <c r="N1196" s="217"/>
      <c r="O1196" s="217" t="s">
        <v>1880</v>
      </c>
      <c r="P1196" s="315" t="s">
        <v>147</v>
      </c>
      <c r="Q1196" s="217" t="s">
        <v>168</v>
      </c>
      <c r="R1196" s="320">
        <f>IF(I1196="Staff Accident","Entry Required",IF(I1196="Assaults","Entry Required",0))</f>
        <v>0</v>
      </c>
      <c r="S1196" s="321">
        <f t="shared" si="185"/>
        <v>45870</v>
      </c>
      <c r="T1196" s="319">
        <v>45904</v>
      </c>
      <c r="U1196" s="217" t="s">
        <v>5294</v>
      </c>
      <c r="V1196" s="217" t="s">
        <v>5143</v>
      </c>
      <c r="W1196" s="217" t="s">
        <v>1880</v>
      </c>
      <c r="X1196" s="217" t="s">
        <v>1880</v>
      </c>
      <c r="Y1196" s="217"/>
      <c r="Z1196" s="217" t="s">
        <v>5295</v>
      </c>
      <c r="AA1196" s="316">
        <f t="shared" ca="1" si="182"/>
        <v>1</v>
      </c>
      <c r="AB1196" s="317"/>
      <c r="AC1196" s="455" t="str">
        <f t="shared" si="177"/>
        <v>2</v>
      </c>
    </row>
    <row r="1197" spans="1:29" s="318" customFormat="1" ht="43.5" x14ac:dyDescent="0.35">
      <c r="A1197" s="313" t="str">
        <f t="shared" si="183"/>
        <v>Closed</v>
      </c>
      <c r="B1197" s="314">
        <v>45842</v>
      </c>
      <c r="C1197" s="217">
        <v>2504</v>
      </c>
      <c r="D1197" s="217" t="s">
        <v>1625</v>
      </c>
      <c r="E1197" s="217" t="s">
        <v>42</v>
      </c>
      <c r="F1197" s="217" t="s">
        <v>2255</v>
      </c>
      <c r="G1197" s="14" t="s">
        <v>1911</v>
      </c>
      <c r="H1197" s="14"/>
      <c r="I1197" s="322" t="s">
        <v>4</v>
      </c>
      <c r="J1197" s="217">
        <v>1389</v>
      </c>
      <c r="K1197" s="217" t="s">
        <v>137</v>
      </c>
      <c r="L1197" s="217" t="s">
        <v>5296</v>
      </c>
      <c r="M1197" s="341">
        <v>0</v>
      </c>
      <c r="N1197" s="217" t="s">
        <v>1879</v>
      </c>
      <c r="O1197" s="217" t="s">
        <v>1880</v>
      </c>
      <c r="P1197" s="315" t="s">
        <v>139</v>
      </c>
      <c r="Q1197" s="217" t="s">
        <v>135</v>
      </c>
      <c r="R1197" s="320" t="s">
        <v>234</v>
      </c>
      <c r="S1197" s="321">
        <v>45889</v>
      </c>
      <c r="T1197" s="319">
        <v>45902</v>
      </c>
      <c r="U1197" s="217" t="s">
        <v>5297</v>
      </c>
      <c r="V1197" s="217" t="s">
        <v>2451</v>
      </c>
      <c r="W1197" s="217" t="s">
        <v>1879</v>
      </c>
      <c r="X1197" s="217" t="s">
        <v>1880</v>
      </c>
      <c r="Y1197" s="217"/>
      <c r="Z1197" s="217" t="s">
        <v>5298</v>
      </c>
      <c r="AA1197" s="316">
        <f t="shared" ca="1" si="182"/>
        <v>1</v>
      </c>
      <c r="AB1197" s="317"/>
      <c r="AC1197" s="455" t="str">
        <f t="shared" si="177"/>
        <v/>
      </c>
    </row>
    <row r="1198" spans="1:29" ht="58" x14ac:dyDescent="0.35">
      <c r="A1198" s="89" t="str">
        <f t="shared" ca="1" si="183"/>
        <v>Overdue</v>
      </c>
      <c r="B1198" s="222">
        <v>45843</v>
      </c>
      <c r="C1198" s="14">
        <v>2504</v>
      </c>
      <c r="D1198" s="14" t="s">
        <v>5299</v>
      </c>
      <c r="E1198" s="14" t="s">
        <v>65</v>
      </c>
      <c r="F1198" s="14" t="s">
        <v>1980</v>
      </c>
      <c r="G1198" s="14"/>
      <c r="H1198" s="14">
        <v>112</v>
      </c>
      <c r="I1198" s="176" t="s">
        <v>11</v>
      </c>
      <c r="K1198" s="87"/>
      <c r="L1198" s="14" t="s">
        <v>5300</v>
      </c>
      <c r="M1198" s="324">
        <f t="shared" si="186"/>
        <v>0</v>
      </c>
      <c r="N1198" s="14" t="s">
        <v>1879</v>
      </c>
      <c r="O1198" s="14" t="s">
        <v>1879</v>
      </c>
      <c r="P1198" s="167" t="s">
        <v>151</v>
      </c>
      <c r="Q1198" s="14" t="s">
        <v>190</v>
      </c>
      <c r="R1198" s="223" t="s">
        <v>234</v>
      </c>
      <c r="S1198" s="224">
        <f t="shared" ref="S1198:S1228" si="187">IF(B1198="","",B1198+28)</f>
        <v>45871</v>
      </c>
      <c r="T1198" s="14"/>
      <c r="U1198" s="14"/>
      <c r="V1198" s="14"/>
      <c r="W1198" s="14"/>
      <c r="X1198" s="14"/>
      <c r="Z1198" s="14" t="s">
        <v>5301</v>
      </c>
      <c r="AA1198" s="2">
        <f t="shared" ca="1" si="182"/>
        <v>1</v>
      </c>
      <c r="AB1198" s="153"/>
      <c r="AC1198" s="454" t="str">
        <f t="shared" si="177"/>
        <v>1</v>
      </c>
    </row>
    <row r="1199" spans="1:29" ht="43.5" x14ac:dyDescent="0.35">
      <c r="A1199" s="111" t="str">
        <f t="shared" si="183"/>
        <v>Closed</v>
      </c>
      <c r="B1199" s="226">
        <v>45843</v>
      </c>
      <c r="C1199" s="14">
        <v>2504</v>
      </c>
      <c r="D1199" s="14" t="s">
        <v>5302</v>
      </c>
      <c r="E1199" s="14" t="s">
        <v>8</v>
      </c>
      <c r="F1199" s="14" t="s">
        <v>2048</v>
      </c>
      <c r="G1199" s="14"/>
      <c r="H1199" s="14">
        <v>103</v>
      </c>
      <c r="I1199" s="176" t="s">
        <v>140</v>
      </c>
      <c r="J1199" s="14">
        <v>8504143</v>
      </c>
      <c r="K1199" s="87"/>
      <c r="L1199" s="14" t="s">
        <v>5303</v>
      </c>
      <c r="M1199" s="324">
        <f t="shared" si="186"/>
        <v>0</v>
      </c>
      <c r="N1199" s="14" t="s">
        <v>1879</v>
      </c>
      <c r="O1199" s="14" t="s">
        <v>1879</v>
      </c>
      <c r="P1199" s="167" t="s">
        <v>143</v>
      </c>
      <c r="Q1199" s="14"/>
      <c r="R1199" s="170">
        <v>0</v>
      </c>
      <c r="S1199" s="108">
        <f t="shared" si="187"/>
        <v>45871</v>
      </c>
      <c r="T1199" s="79">
        <v>45843</v>
      </c>
      <c r="U1199" s="14"/>
      <c r="V1199" s="14"/>
      <c r="W1199" s="14"/>
      <c r="X1199" s="14"/>
      <c r="Z1199" s="14"/>
      <c r="AA1199" s="2">
        <f t="shared" ca="1" si="182"/>
        <v>1</v>
      </c>
      <c r="AB1199" s="153"/>
      <c r="AC1199" s="454" t="str">
        <f t="shared" si="177"/>
        <v>1</v>
      </c>
    </row>
    <row r="1200" spans="1:29" s="318" customFormat="1" ht="43.5" x14ac:dyDescent="0.35">
      <c r="A1200" s="313" t="str">
        <f t="shared" si="183"/>
        <v>Closed</v>
      </c>
      <c r="B1200" s="314">
        <v>45836</v>
      </c>
      <c r="C1200" s="217">
        <v>2504</v>
      </c>
      <c r="D1200" s="217" t="s">
        <v>5304</v>
      </c>
      <c r="E1200" s="217" t="s">
        <v>28</v>
      </c>
      <c r="F1200" s="217" t="s">
        <v>5305</v>
      </c>
      <c r="G1200" s="14"/>
      <c r="H1200" s="14">
        <v>105</v>
      </c>
      <c r="I1200" s="322" t="s">
        <v>2</v>
      </c>
      <c r="J1200" s="217"/>
      <c r="K1200" s="342" t="s">
        <v>137</v>
      </c>
      <c r="L1200" s="217" t="s">
        <v>5306</v>
      </c>
      <c r="M1200" s="341">
        <v>0</v>
      </c>
      <c r="N1200" s="217" t="s">
        <v>1879</v>
      </c>
      <c r="O1200" s="217" t="s">
        <v>1880</v>
      </c>
      <c r="P1200" s="315" t="s">
        <v>143</v>
      </c>
      <c r="Q1200" s="217"/>
      <c r="R1200" s="170">
        <v>0</v>
      </c>
      <c r="S1200" s="321">
        <f t="shared" si="187"/>
        <v>45864</v>
      </c>
      <c r="T1200" s="319">
        <v>45836</v>
      </c>
      <c r="U1200" s="217"/>
      <c r="V1200" s="217"/>
      <c r="W1200" s="217"/>
      <c r="X1200" s="217"/>
      <c r="Y1200" s="217"/>
      <c r="Z1200" s="217" t="s">
        <v>5307</v>
      </c>
      <c r="AA1200" s="316">
        <f t="shared" ca="1" si="182"/>
        <v>1</v>
      </c>
      <c r="AB1200" s="317"/>
      <c r="AC1200" s="455" t="str">
        <f t="shared" si="177"/>
        <v>1</v>
      </c>
    </row>
    <row r="1201" spans="1:29" s="311" customFormat="1" ht="43.5" x14ac:dyDescent="0.35">
      <c r="A1201" s="292" t="str">
        <f t="shared" si="183"/>
        <v>Closed</v>
      </c>
      <c r="B1201" s="290">
        <v>45846</v>
      </c>
      <c r="C1201" s="14">
        <v>2504</v>
      </c>
      <c r="D1201" s="14" t="s">
        <v>5308</v>
      </c>
      <c r="E1201" s="14" t="s">
        <v>72</v>
      </c>
      <c r="F1201" s="14" t="s">
        <v>3119</v>
      </c>
      <c r="G1201" s="14"/>
      <c r="H1201" s="14">
        <v>116</v>
      </c>
      <c r="I1201" s="176" t="s">
        <v>155</v>
      </c>
      <c r="J1201" s="14"/>
      <c r="K1201" s="87"/>
      <c r="L1201" s="14" t="s">
        <v>5309</v>
      </c>
      <c r="M1201" s="324">
        <f t="shared" si="186"/>
        <v>0</v>
      </c>
      <c r="N1201" s="14" t="s">
        <v>1879</v>
      </c>
      <c r="O1201" s="14" t="s">
        <v>1879</v>
      </c>
      <c r="P1201" s="167" t="s">
        <v>143</v>
      </c>
      <c r="Q1201" s="291"/>
      <c r="R1201" s="170">
        <f t="shared" ref="R1201" si="188">IF(I1201="Staff Accident","Entry Required",IF(I1201="Assaults","Entry Required",0))</f>
        <v>0</v>
      </c>
      <c r="S1201" s="307">
        <f t="shared" si="187"/>
        <v>45874</v>
      </c>
      <c r="T1201" s="308">
        <v>45902</v>
      </c>
      <c r="U1201" s="291"/>
      <c r="V1201" s="291"/>
      <c r="W1201" s="291"/>
      <c r="X1201" s="291"/>
      <c r="Y1201" s="291"/>
      <c r="Z1201" s="291" t="s">
        <v>5310</v>
      </c>
      <c r="AA1201" s="309">
        <f t="shared" ca="1" si="182"/>
        <v>1</v>
      </c>
      <c r="AB1201" s="310"/>
      <c r="AC1201" s="457" t="str">
        <f t="shared" si="177"/>
        <v>1</v>
      </c>
    </row>
    <row r="1202" spans="1:29" ht="29" x14ac:dyDescent="0.35">
      <c r="A1202" s="111" t="str">
        <f t="shared" si="183"/>
        <v>Closed</v>
      </c>
      <c r="B1202" s="226">
        <v>45846</v>
      </c>
      <c r="C1202" s="14">
        <v>2504</v>
      </c>
      <c r="D1202" s="14" t="s">
        <v>5311</v>
      </c>
      <c r="E1202" s="14" t="s">
        <v>219</v>
      </c>
      <c r="F1202" s="14" t="s">
        <v>2119</v>
      </c>
      <c r="G1202" s="14" t="s">
        <v>1911</v>
      </c>
      <c r="H1202" s="14">
        <v>205</v>
      </c>
      <c r="I1202" s="176" t="s">
        <v>140</v>
      </c>
      <c r="K1202" s="87"/>
      <c r="L1202" s="14" t="s">
        <v>5312</v>
      </c>
      <c r="M1202" s="324">
        <f t="shared" si="186"/>
        <v>0</v>
      </c>
      <c r="N1202" s="14" t="s">
        <v>1879</v>
      </c>
      <c r="O1202" s="14" t="s">
        <v>1879</v>
      </c>
      <c r="P1202" s="167" t="s">
        <v>143</v>
      </c>
      <c r="Q1202" s="14"/>
      <c r="R1202" s="170">
        <v>0</v>
      </c>
      <c r="S1202" s="108">
        <f t="shared" si="187"/>
        <v>45874</v>
      </c>
      <c r="T1202" s="79">
        <v>45846</v>
      </c>
      <c r="U1202" s="14"/>
      <c r="V1202" s="14"/>
      <c r="W1202" s="14"/>
      <c r="X1202" s="14"/>
      <c r="Y1202" s="14" t="s">
        <v>2093</v>
      </c>
      <c r="Z1202" s="14"/>
      <c r="AA1202" s="2">
        <f t="shared" ca="1" si="182"/>
        <v>1</v>
      </c>
      <c r="AB1202" s="153"/>
      <c r="AC1202" s="454" t="str">
        <f t="shared" si="177"/>
        <v>2</v>
      </c>
    </row>
    <row r="1203" spans="1:29" ht="116" x14ac:dyDescent="0.35">
      <c r="A1203" s="89" t="str">
        <f t="shared" ca="1" si="183"/>
        <v>Overdue</v>
      </c>
      <c r="B1203" s="222">
        <v>45846</v>
      </c>
      <c r="C1203" s="14">
        <v>2504</v>
      </c>
      <c r="D1203" s="14" t="s">
        <v>5313</v>
      </c>
      <c r="E1203" s="14" t="s">
        <v>78</v>
      </c>
      <c r="F1203" s="14" t="s">
        <v>4196</v>
      </c>
      <c r="G1203" s="14" t="s">
        <v>1900</v>
      </c>
      <c r="H1203" s="14">
        <v>102</v>
      </c>
      <c r="I1203" s="176" t="s">
        <v>155</v>
      </c>
      <c r="K1203" s="87"/>
      <c r="L1203" s="14" t="s">
        <v>5314</v>
      </c>
      <c r="M1203" s="324">
        <f t="shared" si="186"/>
        <v>0</v>
      </c>
      <c r="N1203" s="14" t="s">
        <v>1879</v>
      </c>
      <c r="O1203" s="14" t="s">
        <v>1880</v>
      </c>
      <c r="P1203" s="167" t="s">
        <v>147</v>
      </c>
      <c r="Q1203" s="14" t="s">
        <v>177</v>
      </c>
      <c r="R1203" s="223" t="s">
        <v>234</v>
      </c>
      <c r="S1203" s="224">
        <f t="shared" si="187"/>
        <v>45874</v>
      </c>
      <c r="T1203" s="14"/>
      <c r="U1203" s="14"/>
      <c r="V1203" s="14"/>
      <c r="W1203" s="14"/>
      <c r="X1203" s="14"/>
      <c r="Z1203" s="112" t="s">
        <v>5315</v>
      </c>
      <c r="AA1203" s="2">
        <f t="shared" ca="1" si="182"/>
        <v>1</v>
      </c>
      <c r="AB1203" s="153"/>
      <c r="AC1203" s="454" t="str">
        <f t="shared" si="177"/>
        <v>1</v>
      </c>
    </row>
    <row r="1204" spans="1:29" ht="44" thickBot="1" x14ac:dyDescent="0.4">
      <c r="A1204" s="111" t="str">
        <f t="shared" si="183"/>
        <v>Closed</v>
      </c>
      <c r="B1204" s="226">
        <v>45846</v>
      </c>
      <c r="C1204" s="14">
        <v>2504</v>
      </c>
      <c r="D1204" s="14" t="s">
        <v>5316</v>
      </c>
      <c r="E1204" s="14" t="s">
        <v>8</v>
      </c>
      <c r="F1204" s="14" t="s">
        <v>1954</v>
      </c>
      <c r="G1204" s="14" t="s">
        <v>1911</v>
      </c>
      <c r="H1204" s="14">
        <v>123</v>
      </c>
      <c r="I1204" s="176" t="s">
        <v>140</v>
      </c>
      <c r="K1204" s="87"/>
      <c r="L1204" s="14" t="s">
        <v>5317</v>
      </c>
      <c r="M1204" s="324">
        <f t="shared" si="186"/>
        <v>0</v>
      </c>
      <c r="N1204" s="14" t="s">
        <v>1879</v>
      </c>
      <c r="O1204" s="14" t="s">
        <v>1879</v>
      </c>
      <c r="P1204" s="167" t="s">
        <v>143</v>
      </c>
      <c r="Q1204" s="14"/>
      <c r="R1204" s="170">
        <v>0</v>
      </c>
      <c r="S1204" s="108">
        <f t="shared" si="187"/>
        <v>45874</v>
      </c>
      <c r="T1204" s="79">
        <v>45846</v>
      </c>
      <c r="U1204" s="14"/>
      <c r="V1204" s="14"/>
      <c r="W1204" s="14"/>
      <c r="X1204" s="14"/>
      <c r="Z1204" s="14"/>
      <c r="AA1204" s="2">
        <f t="shared" ca="1" si="182"/>
        <v>1</v>
      </c>
      <c r="AB1204" s="153"/>
      <c r="AC1204" s="454" t="str">
        <f t="shared" si="177"/>
        <v>1</v>
      </c>
    </row>
    <row r="1205" spans="1:29" s="318" customFormat="1" ht="58.5" thickBot="1" x14ac:dyDescent="0.4">
      <c r="A1205" s="313" t="str">
        <f t="shared" si="183"/>
        <v>Closed</v>
      </c>
      <c r="B1205" s="314">
        <v>45847</v>
      </c>
      <c r="C1205" s="217">
        <v>2504</v>
      </c>
      <c r="D1205" s="217" t="s">
        <v>5318</v>
      </c>
      <c r="E1205" s="217" t="s">
        <v>27</v>
      </c>
      <c r="F1205" s="217" t="s">
        <v>2974</v>
      </c>
      <c r="G1205" s="14" t="s">
        <v>1911</v>
      </c>
      <c r="H1205" s="14">
        <v>121</v>
      </c>
      <c r="I1205" s="322" t="s">
        <v>5</v>
      </c>
      <c r="J1205" s="217"/>
      <c r="K1205" s="323"/>
      <c r="L1205" s="217" t="s">
        <v>5319</v>
      </c>
      <c r="M1205" s="341">
        <f t="shared" si="186"/>
        <v>0</v>
      </c>
      <c r="N1205" s="217" t="s">
        <v>1879</v>
      </c>
      <c r="O1205" s="217" t="s">
        <v>1880</v>
      </c>
      <c r="P1205" s="315" t="s">
        <v>147</v>
      </c>
      <c r="Q1205" s="217" t="s">
        <v>175</v>
      </c>
      <c r="R1205" s="320" t="s">
        <v>234</v>
      </c>
      <c r="S1205" s="321">
        <f t="shared" si="187"/>
        <v>45875</v>
      </c>
      <c r="T1205" s="319">
        <v>45902</v>
      </c>
      <c r="U1205" s="217"/>
      <c r="V1205" s="217"/>
      <c r="W1205" s="217"/>
      <c r="X1205" s="217"/>
      <c r="Y1205" s="464" t="s">
        <v>2164</v>
      </c>
      <c r="Z1205" s="217" t="s">
        <v>5320</v>
      </c>
      <c r="AA1205" s="316">
        <f t="shared" ca="1" si="182"/>
        <v>1</v>
      </c>
      <c r="AB1205" s="317"/>
      <c r="AC1205" s="455" t="str">
        <f t="shared" si="177"/>
        <v>1</v>
      </c>
    </row>
    <row r="1206" spans="1:29" ht="29" x14ac:dyDescent="0.35">
      <c r="A1206" s="111" t="str">
        <f t="shared" si="183"/>
        <v>Closed</v>
      </c>
      <c r="B1206" s="226">
        <v>45847</v>
      </c>
      <c r="C1206" s="14">
        <v>2504</v>
      </c>
      <c r="D1206" s="14" t="s">
        <v>5321</v>
      </c>
      <c r="E1206" s="14" t="s">
        <v>219</v>
      </c>
      <c r="F1206" s="14" t="s">
        <v>2765</v>
      </c>
      <c r="G1206" s="14" t="s">
        <v>1911</v>
      </c>
      <c r="H1206" s="14">
        <v>113</v>
      </c>
      <c r="I1206" s="176" t="s">
        <v>140</v>
      </c>
      <c r="K1206" s="87"/>
      <c r="L1206" s="14" t="s">
        <v>5322</v>
      </c>
      <c r="M1206" s="324">
        <f t="shared" si="186"/>
        <v>0</v>
      </c>
      <c r="N1206" s="14" t="s">
        <v>1879</v>
      </c>
      <c r="O1206" s="14" t="s">
        <v>1879</v>
      </c>
      <c r="P1206" s="167" t="s">
        <v>143</v>
      </c>
      <c r="Q1206" s="112"/>
      <c r="R1206" s="170">
        <v>0</v>
      </c>
      <c r="S1206" s="108">
        <f t="shared" si="187"/>
        <v>45875</v>
      </c>
      <c r="T1206" s="79">
        <v>45847</v>
      </c>
      <c r="U1206" s="14"/>
      <c r="V1206" s="14"/>
      <c r="W1206" s="14"/>
      <c r="X1206" s="14"/>
      <c r="Z1206" s="14"/>
      <c r="AA1206" s="2">
        <f t="shared" ca="1" si="182"/>
        <v>1</v>
      </c>
      <c r="AB1206" s="153"/>
      <c r="AC1206" s="454" t="str">
        <f t="shared" si="177"/>
        <v>1</v>
      </c>
    </row>
    <row r="1207" spans="1:29" s="318" customFormat="1" ht="58" x14ac:dyDescent="0.35">
      <c r="A1207" s="313" t="str">
        <f t="shared" si="183"/>
        <v>Closed</v>
      </c>
      <c r="B1207" s="314">
        <v>45849</v>
      </c>
      <c r="C1207" s="217">
        <v>2504</v>
      </c>
      <c r="D1207" s="217" t="s">
        <v>5323</v>
      </c>
      <c r="E1207" s="217" t="s">
        <v>78</v>
      </c>
      <c r="F1207" s="217" t="s">
        <v>2048</v>
      </c>
      <c r="G1207" s="14" t="s">
        <v>1911</v>
      </c>
      <c r="H1207" s="14">
        <v>102</v>
      </c>
      <c r="I1207" s="322" t="s">
        <v>155</v>
      </c>
      <c r="J1207" s="217"/>
      <c r="K1207" s="323"/>
      <c r="L1207" s="217" t="s">
        <v>5324</v>
      </c>
      <c r="M1207" s="341">
        <f t="shared" si="186"/>
        <v>0</v>
      </c>
      <c r="N1207" s="217" t="s">
        <v>1879</v>
      </c>
      <c r="O1207" s="217" t="s">
        <v>1880</v>
      </c>
      <c r="P1207" s="315" t="s">
        <v>147</v>
      </c>
      <c r="Q1207" s="217" t="s">
        <v>177</v>
      </c>
      <c r="R1207" s="320" t="s">
        <v>234</v>
      </c>
      <c r="S1207" s="321">
        <f t="shared" si="187"/>
        <v>45877</v>
      </c>
      <c r="T1207" s="319">
        <v>45902</v>
      </c>
      <c r="U1207" s="217"/>
      <c r="V1207" s="217"/>
      <c r="W1207" s="217"/>
      <c r="X1207" s="217"/>
      <c r="Y1207" s="217"/>
      <c r="Z1207" s="217" t="s">
        <v>5325</v>
      </c>
      <c r="AA1207" s="316">
        <f t="shared" ca="1" si="182"/>
        <v>1</v>
      </c>
      <c r="AB1207" s="317"/>
      <c r="AC1207" s="455" t="str">
        <f t="shared" si="177"/>
        <v>1</v>
      </c>
    </row>
    <row r="1208" spans="1:29" ht="43.5" x14ac:dyDescent="0.35">
      <c r="A1208" s="111" t="str">
        <f t="shared" si="183"/>
        <v>Closed</v>
      </c>
      <c r="B1208" s="226">
        <v>45850</v>
      </c>
      <c r="C1208" s="14">
        <v>2504</v>
      </c>
      <c r="D1208" s="14" t="s">
        <v>5323</v>
      </c>
      <c r="E1208" s="14" t="s">
        <v>38</v>
      </c>
      <c r="F1208" s="14" t="s">
        <v>1937</v>
      </c>
      <c r="G1208" s="14" t="s">
        <v>1900</v>
      </c>
      <c r="H1208" s="14">
        <v>102</v>
      </c>
      <c r="I1208" s="176" t="s">
        <v>6</v>
      </c>
      <c r="K1208" s="87"/>
      <c r="L1208" s="14" t="s">
        <v>5326</v>
      </c>
      <c r="M1208" s="324">
        <f t="shared" si="186"/>
        <v>0</v>
      </c>
      <c r="N1208" s="14" t="s">
        <v>1879</v>
      </c>
      <c r="O1208" s="14" t="s">
        <v>1879</v>
      </c>
      <c r="P1208" s="167" t="s">
        <v>143</v>
      </c>
      <c r="Q1208" s="112"/>
      <c r="R1208" s="170">
        <v>0</v>
      </c>
      <c r="S1208" s="108">
        <f t="shared" si="187"/>
        <v>45878</v>
      </c>
      <c r="T1208" s="79">
        <v>45850</v>
      </c>
      <c r="U1208" s="14"/>
      <c r="V1208" s="14"/>
      <c r="W1208" s="14"/>
      <c r="X1208" s="14"/>
      <c r="Z1208" s="14"/>
      <c r="AA1208" s="2">
        <f t="shared" ca="1" si="182"/>
        <v>1</v>
      </c>
      <c r="AB1208" s="153"/>
      <c r="AC1208" s="454" t="str">
        <f t="shared" si="177"/>
        <v>1</v>
      </c>
    </row>
    <row r="1209" spans="1:29" s="318" customFormat="1" ht="29" x14ac:dyDescent="0.35">
      <c r="A1209" s="313" t="str">
        <f t="shared" si="183"/>
        <v>Closed</v>
      </c>
      <c r="B1209" s="314">
        <v>45849</v>
      </c>
      <c r="C1209" s="217">
        <v>2504</v>
      </c>
      <c r="D1209" s="217" t="s">
        <v>5327</v>
      </c>
      <c r="E1209" s="217" t="s">
        <v>37</v>
      </c>
      <c r="F1209" s="217" t="s">
        <v>2037</v>
      </c>
      <c r="G1209" s="14" t="s">
        <v>5188</v>
      </c>
      <c r="H1209" s="14">
        <v>121</v>
      </c>
      <c r="I1209" s="322" t="s">
        <v>5</v>
      </c>
      <c r="J1209" s="217"/>
      <c r="K1209" s="323"/>
      <c r="L1209" s="217" t="s">
        <v>5328</v>
      </c>
      <c r="M1209" s="341">
        <f t="shared" si="186"/>
        <v>0</v>
      </c>
      <c r="N1209" s="217" t="s">
        <v>1879</v>
      </c>
      <c r="O1209" s="217" t="s">
        <v>1879</v>
      </c>
      <c r="P1209" s="315" t="s">
        <v>147</v>
      </c>
      <c r="Q1209" s="217" t="s">
        <v>153</v>
      </c>
      <c r="R1209" s="320" t="s">
        <v>234</v>
      </c>
      <c r="S1209" s="321">
        <f t="shared" si="187"/>
        <v>45877</v>
      </c>
      <c r="T1209" s="319">
        <v>45902</v>
      </c>
      <c r="U1209" s="217"/>
      <c r="V1209" s="217"/>
      <c r="W1209" s="217"/>
      <c r="X1209" s="217"/>
      <c r="Y1209" s="217"/>
      <c r="Z1209" s="217" t="s">
        <v>5329</v>
      </c>
      <c r="AA1209" s="316">
        <f t="shared" ca="1" si="182"/>
        <v>1</v>
      </c>
      <c r="AB1209" s="317"/>
      <c r="AC1209" s="455" t="str">
        <f t="shared" si="177"/>
        <v>1</v>
      </c>
    </row>
    <row r="1210" spans="1:29" ht="29" x14ac:dyDescent="0.35">
      <c r="A1210" s="111" t="str">
        <f t="shared" si="183"/>
        <v>Closed</v>
      </c>
      <c r="B1210" s="226">
        <v>45854</v>
      </c>
      <c r="C1210" s="14">
        <v>2504</v>
      </c>
      <c r="D1210" s="14" t="s">
        <v>5327</v>
      </c>
      <c r="E1210" s="14" t="s">
        <v>85</v>
      </c>
      <c r="F1210" s="14" t="s">
        <v>2212</v>
      </c>
      <c r="G1210" s="14" t="s">
        <v>1911</v>
      </c>
      <c r="H1210" s="14"/>
      <c r="I1210" s="176" t="s">
        <v>140</v>
      </c>
      <c r="K1210" s="87"/>
      <c r="L1210" s="14" t="s">
        <v>5330</v>
      </c>
      <c r="M1210" s="324">
        <f t="shared" si="186"/>
        <v>0</v>
      </c>
      <c r="N1210" s="14" t="s">
        <v>1879</v>
      </c>
      <c r="O1210" s="14" t="s">
        <v>1879</v>
      </c>
      <c r="P1210" s="167" t="s">
        <v>143</v>
      </c>
      <c r="Q1210" s="14"/>
      <c r="R1210" s="170">
        <v>0</v>
      </c>
      <c r="S1210" s="108">
        <f t="shared" si="187"/>
        <v>45882</v>
      </c>
      <c r="T1210" s="79">
        <v>45854</v>
      </c>
      <c r="U1210" s="14"/>
      <c r="V1210" s="14"/>
      <c r="W1210" s="14"/>
      <c r="X1210" s="14"/>
      <c r="Y1210" s="14" t="s">
        <v>2216</v>
      </c>
      <c r="Z1210" s="14"/>
      <c r="AA1210" s="2">
        <f t="shared" ca="1" si="182"/>
        <v>1</v>
      </c>
      <c r="AB1210" s="153"/>
      <c r="AC1210" s="454" t="str">
        <f t="shared" si="177"/>
        <v/>
      </c>
    </row>
    <row r="1211" spans="1:29" ht="87" x14ac:dyDescent="0.35">
      <c r="A1211" s="111" t="str">
        <f t="shared" si="183"/>
        <v>Closed</v>
      </c>
      <c r="B1211" s="226">
        <v>45849</v>
      </c>
      <c r="C1211" s="14">
        <v>2504</v>
      </c>
      <c r="D1211" s="14" t="s">
        <v>1630</v>
      </c>
      <c r="E1211" s="14" t="s">
        <v>196</v>
      </c>
      <c r="F1211" s="14" t="s">
        <v>1910</v>
      </c>
      <c r="G1211" s="14" t="s">
        <v>1911</v>
      </c>
      <c r="H1211" s="14">
        <v>111</v>
      </c>
      <c r="I1211" s="176" t="s">
        <v>155</v>
      </c>
      <c r="J1211" s="14">
        <v>86735</v>
      </c>
      <c r="K1211" s="87"/>
      <c r="L1211" s="14" t="s">
        <v>5331</v>
      </c>
      <c r="M1211" s="324">
        <f t="shared" si="186"/>
        <v>0</v>
      </c>
      <c r="N1211" s="14" t="s">
        <v>1880</v>
      </c>
      <c r="O1211" s="14" t="s">
        <v>1880</v>
      </c>
      <c r="P1211" s="167" t="s">
        <v>147</v>
      </c>
      <c r="Q1211" s="112" t="s">
        <v>153</v>
      </c>
      <c r="R1211" s="170" t="s">
        <v>234</v>
      </c>
      <c r="S1211" s="108">
        <f t="shared" si="187"/>
        <v>45877</v>
      </c>
      <c r="T1211" s="79">
        <v>45898</v>
      </c>
      <c r="U1211" s="14" t="s">
        <v>2102</v>
      </c>
      <c r="V1211" s="14" t="s">
        <v>5332</v>
      </c>
      <c r="W1211" s="14" t="s">
        <v>1880</v>
      </c>
      <c r="X1211" s="14" t="s">
        <v>1880</v>
      </c>
      <c r="Y1211" s="23" t="s">
        <v>1915</v>
      </c>
      <c r="Z1211" s="14" t="s">
        <v>5333</v>
      </c>
      <c r="AA1211" s="2">
        <f t="shared" ca="1" si="182"/>
        <v>1</v>
      </c>
      <c r="AB1211" s="153"/>
      <c r="AC1211" s="454" t="str">
        <f t="shared" si="177"/>
        <v>1</v>
      </c>
    </row>
    <row r="1212" spans="1:29" s="318" customFormat="1" ht="29" x14ac:dyDescent="0.35">
      <c r="A1212" s="313" t="str">
        <f t="shared" si="183"/>
        <v>Closed</v>
      </c>
      <c r="B1212" s="314">
        <v>45855</v>
      </c>
      <c r="C1212" s="217">
        <v>2504</v>
      </c>
      <c r="D1212" s="217" t="s">
        <v>1630</v>
      </c>
      <c r="E1212" s="217" t="s">
        <v>72</v>
      </c>
      <c r="F1212" s="217" t="s">
        <v>2037</v>
      </c>
      <c r="G1212" s="14" t="s">
        <v>1911</v>
      </c>
      <c r="H1212" s="14">
        <v>118</v>
      </c>
      <c r="I1212" s="322" t="s">
        <v>155</v>
      </c>
      <c r="J1212" s="217">
        <v>87</v>
      </c>
      <c r="K1212" s="323"/>
      <c r="L1212" s="217" t="s">
        <v>5334</v>
      </c>
      <c r="M1212" s="341">
        <f t="shared" si="186"/>
        <v>0</v>
      </c>
      <c r="N1212" s="217" t="s">
        <v>1879</v>
      </c>
      <c r="O1212" s="217" t="s">
        <v>1879</v>
      </c>
      <c r="P1212" s="315" t="s">
        <v>143</v>
      </c>
      <c r="Q1212" s="217"/>
      <c r="R1212" s="170">
        <v>0</v>
      </c>
      <c r="S1212" s="321">
        <f t="shared" si="187"/>
        <v>45883</v>
      </c>
      <c r="T1212" s="319">
        <v>45855</v>
      </c>
      <c r="U1212" s="217"/>
      <c r="V1212" s="217"/>
      <c r="W1212" s="217"/>
      <c r="X1212" s="217"/>
      <c r="Y1212" s="217"/>
      <c r="Z1212" s="217" t="s">
        <v>5335</v>
      </c>
      <c r="AA1212" s="316">
        <f t="shared" ca="1" si="182"/>
        <v>1</v>
      </c>
      <c r="AB1212" s="317"/>
      <c r="AC1212" s="455" t="str">
        <f t="shared" si="177"/>
        <v>1</v>
      </c>
    </row>
    <row r="1213" spans="1:29" s="318" customFormat="1" ht="101.5" x14ac:dyDescent="0.35">
      <c r="A1213" s="313" t="str">
        <f t="shared" si="183"/>
        <v>Closed</v>
      </c>
      <c r="B1213" s="314">
        <v>45849</v>
      </c>
      <c r="C1213" s="217">
        <v>2504</v>
      </c>
      <c r="D1213" s="217" t="s">
        <v>5336</v>
      </c>
      <c r="E1213" s="217" t="s">
        <v>37</v>
      </c>
      <c r="F1213" s="217" t="s">
        <v>2969</v>
      </c>
      <c r="G1213" s="14" t="s">
        <v>1911</v>
      </c>
      <c r="H1213" s="14">
        <v>203</v>
      </c>
      <c r="I1213" s="322" t="s">
        <v>5</v>
      </c>
      <c r="J1213" s="217">
        <v>85223</v>
      </c>
      <c r="K1213" s="323"/>
      <c r="L1213" s="217" t="s">
        <v>5337</v>
      </c>
      <c r="M1213" s="341">
        <f t="shared" si="186"/>
        <v>0</v>
      </c>
      <c r="N1213" s="217" t="s">
        <v>1879</v>
      </c>
      <c r="O1213" s="217" t="s">
        <v>1879</v>
      </c>
      <c r="P1213" s="315" t="s">
        <v>143</v>
      </c>
      <c r="Q1213" s="217"/>
      <c r="R1213" s="170">
        <v>0</v>
      </c>
      <c r="S1213" s="321">
        <f t="shared" si="187"/>
        <v>45877</v>
      </c>
      <c r="T1213" s="319">
        <v>45917</v>
      </c>
      <c r="U1213" s="217"/>
      <c r="V1213" s="217"/>
      <c r="W1213" s="217"/>
      <c r="X1213" s="217"/>
      <c r="Y1213" s="217"/>
      <c r="Z1213" s="217" t="s">
        <v>5338</v>
      </c>
      <c r="AA1213" s="316">
        <f t="shared" ca="1" si="182"/>
        <v>1</v>
      </c>
      <c r="AB1213" s="317"/>
      <c r="AC1213" s="455" t="str">
        <f t="shared" si="177"/>
        <v>2</v>
      </c>
    </row>
    <row r="1214" spans="1:29" ht="43.5" x14ac:dyDescent="0.35">
      <c r="A1214" s="111" t="str">
        <f t="shared" si="183"/>
        <v>Closed</v>
      </c>
      <c r="B1214" s="226">
        <v>45850</v>
      </c>
      <c r="C1214" s="14">
        <v>2504</v>
      </c>
      <c r="D1214" s="14" t="s">
        <v>5339</v>
      </c>
      <c r="E1214" s="14" t="s">
        <v>38</v>
      </c>
      <c r="F1214" s="14" t="s">
        <v>1925</v>
      </c>
      <c r="G1214" s="14"/>
      <c r="H1214" s="14"/>
      <c r="I1214" s="176" t="s">
        <v>6</v>
      </c>
      <c r="K1214" s="87"/>
      <c r="L1214" s="14" t="s">
        <v>5340</v>
      </c>
      <c r="M1214" s="324">
        <f t="shared" si="186"/>
        <v>0</v>
      </c>
      <c r="N1214" s="14" t="s">
        <v>1879</v>
      </c>
      <c r="O1214" s="14" t="s">
        <v>1879</v>
      </c>
      <c r="P1214" s="167" t="s">
        <v>143</v>
      </c>
      <c r="Q1214" s="112"/>
      <c r="R1214" s="170">
        <v>0</v>
      </c>
      <c r="S1214" s="108">
        <f t="shared" si="187"/>
        <v>45878</v>
      </c>
      <c r="T1214" s="79">
        <v>46037</v>
      </c>
      <c r="U1214" s="14"/>
      <c r="V1214" s="14"/>
      <c r="W1214" s="14"/>
      <c r="X1214" s="14"/>
      <c r="Y1214" s="14" t="s">
        <v>1929</v>
      </c>
      <c r="Z1214" s="14" t="s">
        <v>5341</v>
      </c>
      <c r="AA1214" s="2">
        <f t="shared" ca="1" si="182"/>
        <v>1</v>
      </c>
      <c r="AB1214" s="153"/>
      <c r="AC1214" s="454" t="str">
        <f t="shared" ref="AC1214:AC1276" si="189">LEFT(H1214,1)</f>
        <v/>
      </c>
    </row>
    <row r="1215" spans="1:29" ht="58" x14ac:dyDescent="0.35">
      <c r="A1215" s="89" t="str">
        <f t="shared" ca="1" si="183"/>
        <v>Overdue</v>
      </c>
      <c r="B1215" s="222">
        <v>45856</v>
      </c>
      <c r="C1215" s="14">
        <v>2504</v>
      </c>
      <c r="D1215" s="14" t="s">
        <v>5339</v>
      </c>
      <c r="E1215" s="14" t="s">
        <v>27</v>
      </c>
      <c r="F1215" s="14" t="s">
        <v>2187</v>
      </c>
      <c r="G1215" s="14" t="s">
        <v>1900</v>
      </c>
      <c r="H1215" s="14">
        <v>110</v>
      </c>
      <c r="I1215" s="176" t="s">
        <v>5</v>
      </c>
      <c r="J1215" s="14">
        <v>58402</v>
      </c>
      <c r="K1215" s="87"/>
      <c r="L1215" s="14" t="s">
        <v>5342</v>
      </c>
      <c r="M1215" s="324">
        <f t="shared" si="186"/>
        <v>0</v>
      </c>
      <c r="N1215" s="14" t="s">
        <v>1879</v>
      </c>
      <c r="O1215" s="14" t="s">
        <v>1880</v>
      </c>
      <c r="P1215" s="167" t="s">
        <v>147</v>
      </c>
      <c r="Q1215" s="14" t="s">
        <v>157</v>
      </c>
      <c r="R1215" s="223" t="s">
        <v>234</v>
      </c>
      <c r="S1215" s="224">
        <f t="shared" si="187"/>
        <v>45884</v>
      </c>
      <c r="T1215" s="14"/>
      <c r="U1215" s="14"/>
      <c r="V1215" s="14"/>
      <c r="W1215" s="14"/>
      <c r="X1215" s="14"/>
      <c r="Z1215" s="14" t="s">
        <v>5343</v>
      </c>
      <c r="AA1215" s="2">
        <f t="shared" ca="1" si="182"/>
        <v>1</v>
      </c>
      <c r="AB1215" s="153"/>
      <c r="AC1215" s="454" t="str">
        <f t="shared" si="189"/>
        <v>1</v>
      </c>
    </row>
    <row r="1216" spans="1:29" ht="43.5" x14ac:dyDescent="0.35">
      <c r="A1216" s="111" t="str">
        <f t="shared" si="183"/>
        <v>Closed</v>
      </c>
      <c r="B1216" s="226">
        <v>45851</v>
      </c>
      <c r="C1216" s="14">
        <v>2504</v>
      </c>
      <c r="D1216" s="14" t="s">
        <v>5344</v>
      </c>
      <c r="E1216" s="14" t="s">
        <v>8</v>
      </c>
      <c r="F1216" s="14" t="s">
        <v>2205</v>
      </c>
      <c r="G1216" s="14" t="s">
        <v>1911</v>
      </c>
      <c r="H1216" s="14">
        <v>104</v>
      </c>
      <c r="I1216" s="176" t="s">
        <v>140</v>
      </c>
      <c r="K1216" s="87"/>
      <c r="L1216" s="14" t="s">
        <v>5345</v>
      </c>
      <c r="M1216" s="324">
        <f t="shared" si="186"/>
        <v>0</v>
      </c>
      <c r="N1216" s="14" t="s">
        <v>1879</v>
      </c>
      <c r="O1216" s="14" t="s">
        <v>1879</v>
      </c>
      <c r="P1216" s="167" t="s">
        <v>143</v>
      </c>
      <c r="Q1216" s="112"/>
      <c r="R1216" s="170">
        <v>0</v>
      </c>
      <c r="S1216" s="108">
        <f t="shared" si="187"/>
        <v>45879</v>
      </c>
      <c r="T1216" s="79">
        <v>45851</v>
      </c>
      <c r="U1216" s="14"/>
      <c r="V1216" s="14"/>
      <c r="W1216" s="14"/>
      <c r="X1216" s="14"/>
      <c r="Z1216" s="14"/>
      <c r="AA1216" s="2">
        <f t="shared" ca="1" si="182"/>
        <v>1</v>
      </c>
      <c r="AB1216" s="153"/>
      <c r="AC1216" s="454" t="str">
        <f t="shared" si="189"/>
        <v>1</v>
      </c>
    </row>
    <row r="1217" spans="1:29" ht="145" x14ac:dyDescent="0.35">
      <c r="A1217" s="111" t="str">
        <f t="shared" si="183"/>
        <v>Closed</v>
      </c>
      <c r="B1217" s="222">
        <v>45857</v>
      </c>
      <c r="C1217" s="14">
        <v>2504</v>
      </c>
      <c r="D1217" s="14" t="s">
        <v>5344</v>
      </c>
      <c r="E1217" s="14" t="s">
        <v>206</v>
      </c>
      <c r="F1217" s="14" t="s">
        <v>2245</v>
      </c>
      <c r="G1217" s="14" t="s">
        <v>1900</v>
      </c>
      <c r="H1217" s="14">
        <v>125</v>
      </c>
      <c r="I1217" s="176" t="s">
        <v>140</v>
      </c>
      <c r="J1217" s="14">
        <v>568</v>
      </c>
      <c r="K1217" s="87"/>
      <c r="L1217" s="14" t="s">
        <v>5346</v>
      </c>
      <c r="M1217" s="324">
        <f t="shared" si="186"/>
        <v>0</v>
      </c>
      <c r="N1217" s="14" t="s">
        <v>1879</v>
      </c>
      <c r="O1217" s="14" t="s">
        <v>1879</v>
      </c>
      <c r="P1217" s="167" t="s">
        <v>143</v>
      </c>
      <c r="Q1217" s="14"/>
      <c r="R1217" s="170">
        <v>0</v>
      </c>
      <c r="S1217" s="108">
        <f t="shared" si="187"/>
        <v>45885</v>
      </c>
      <c r="T1217" s="79">
        <v>45857</v>
      </c>
      <c r="U1217" s="14"/>
      <c r="V1217" s="14"/>
      <c r="W1217" s="14"/>
      <c r="X1217" s="14"/>
      <c r="Z1217" s="14"/>
      <c r="AA1217" s="2">
        <f t="shared" ca="1" si="182"/>
        <v>1</v>
      </c>
      <c r="AB1217" s="153"/>
      <c r="AC1217" s="454" t="str">
        <f t="shared" si="189"/>
        <v>1</v>
      </c>
    </row>
    <row r="1218" spans="1:29" s="318" customFormat="1" ht="58" x14ac:dyDescent="0.35">
      <c r="A1218" s="313" t="str">
        <f t="shared" si="183"/>
        <v>Closed</v>
      </c>
      <c r="B1218" s="314">
        <v>45851</v>
      </c>
      <c r="C1218" s="217">
        <v>2504</v>
      </c>
      <c r="D1218" s="217" t="s">
        <v>1637</v>
      </c>
      <c r="E1218" s="217" t="s">
        <v>204</v>
      </c>
      <c r="F1218" s="217" t="s">
        <v>2052</v>
      </c>
      <c r="G1218" s="14" t="s">
        <v>1911</v>
      </c>
      <c r="H1218" s="14">
        <v>113</v>
      </c>
      <c r="I1218" s="322" t="s">
        <v>155</v>
      </c>
      <c r="J1218" s="217"/>
      <c r="K1218" s="323"/>
      <c r="L1218" s="217" t="s">
        <v>5347</v>
      </c>
      <c r="M1218" s="341">
        <f t="shared" si="186"/>
        <v>0</v>
      </c>
      <c r="N1218" s="217" t="s">
        <v>1879</v>
      </c>
      <c r="O1218" s="217" t="s">
        <v>1880</v>
      </c>
      <c r="P1218" s="315" t="s">
        <v>147</v>
      </c>
      <c r="Q1218" s="217" t="s">
        <v>153</v>
      </c>
      <c r="R1218" s="320" t="s">
        <v>234</v>
      </c>
      <c r="S1218" s="321">
        <f t="shared" si="187"/>
        <v>45879</v>
      </c>
      <c r="T1218" s="319">
        <v>45876</v>
      </c>
      <c r="U1218" s="217" t="s">
        <v>2102</v>
      </c>
      <c r="V1218" s="217" t="s">
        <v>5332</v>
      </c>
      <c r="W1218" s="217"/>
      <c r="X1218" s="217"/>
      <c r="Y1218" s="217"/>
      <c r="Z1218" s="217" t="s">
        <v>5348</v>
      </c>
      <c r="AA1218" s="316">
        <f t="shared" ca="1" si="182"/>
        <v>1</v>
      </c>
      <c r="AB1218" s="317"/>
      <c r="AC1218" s="455" t="str">
        <f t="shared" si="189"/>
        <v>1</v>
      </c>
    </row>
    <row r="1219" spans="1:29" ht="87" x14ac:dyDescent="0.35">
      <c r="A1219" s="89" t="str">
        <f t="shared" ca="1" si="183"/>
        <v>Overdue</v>
      </c>
      <c r="B1219" s="222">
        <v>45857</v>
      </c>
      <c r="C1219" s="14">
        <v>2504</v>
      </c>
      <c r="D1219" s="14" t="s">
        <v>1637</v>
      </c>
      <c r="E1219" s="14" t="s">
        <v>72</v>
      </c>
      <c r="F1219" s="14" t="s">
        <v>2533</v>
      </c>
      <c r="G1219" s="14" t="s">
        <v>1911</v>
      </c>
      <c r="H1219" s="14">
        <v>201</v>
      </c>
      <c r="I1219" s="176" t="s">
        <v>155</v>
      </c>
      <c r="J1219" s="14">
        <v>77027</v>
      </c>
      <c r="K1219" s="87"/>
      <c r="L1219" s="14" t="s">
        <v>5349</v>
      </c>
      <c r="M1219" s="324">
        <f t="shared" si="186"/>
        <v>0</v>
      </c>
      <c r="N1219" s="14" t="s">
        <v>1879</v>
      </c>
      <c r="O1219" s="14" t="s">
        <v>1880</v>
      </c>
      <c r="P1219" s="167" t="s">
        <v>147</v>
      </c>
      <c r="Q1219" s="14" t="s">
        <v>153</v>
      </c>
      <c r="R1219" s="223" t="s">
        <v>234</v>
      </c>
      <c r="S1219" s="224">
        <f t="shared" si="187"/>
        <v>45885</v>
      </c>
      <c r="T1219" s="14"/>
      <c r="U1219" s="14"/>
      <c r="V1219" s="14"/>
      <c r="W1219" s="14"/>
      <c r="X1219" s="14"/>
      <c r="Z1219" s="14" t="s">
        <v>5350</v>
      </c>
      <c r="AA1219" s="2">
        <f t="shared" ca="1" si="182"/>
        <v>1</v>
      </c>
      <c r="AB1219" s="153"/>
      <c r="AC1219" s="454" t="str">
        <f t="shared" si="189"/>
        <v>2</v>
      </c>
    </row>
    <row r="1220" spans="1:29" ht="58" x14ac:dyDescent="0.35">
      <c r="A1220" s="111" t="str">
        <f t="shared" si="183"/>
        <v>Closed</v>
      </c>
      <c r="B1220" s="226">
        <v>45851</v>
      </c>
      <c r="C1220" s="14">
        <v>2504</v>
      </c>
      <c r="D1220" s="14" t="s">
        <v>5351</v>
      </c>
      <c r="E1220" s="14" t="s">
        <v>65</v>
      </c>
      <c r="F1220" s="14"/>
      <c r="G1220" s="14"/>
      <c r="H1220" s="14">
        <v>108</v>
      </c>
      <c r="I1220" s="176" t="s">
        <v>140</v>
      </c>
      <c r="J1220" s="14">
        <v>86110</v>
      </c>
      <c r="K1220" s="87"/>
      <c r="L1220" s="14" t="s">
        <v>5352</v>
      </c>
      <c r="M1220" s="324">
        <f t="shared" si="186"/>
        <v>0</v>
      </c>
      <c r="N1220" s="14" t="s">
        <v>1879</v>
      </c>
      <c r="O1220" s="14" t="s">
        <v>1879</v>
      </c>
      <c r="P1220" s="167" t="s">
        <v>143</v>
      </c>
      <c r="Q1220" s="112"/>
      <c r="R1220" s="170">
        <v>0</v>
      </c>
      <c r="S1220" s="108">
        <f t="shared" si="187"/>
        <v>45879</v>
      </c>
      <c r="T1220" s="79">
        <v>45851</v>
      </c>
      <c r="U1220" s="14"/>
      <c r="V1220" s="14"/>
      <c r="W1220" s="14"/>
      <c r="X1220" s="14"/>
      <c r="Z1220" s="14"/>
      <c r="AA1220" s="2">
        <f t="shared" ca="1" si="182"/>
        <v>1</v>
      </c>
      <c r="AB1220" s="153"/>
      <c r="AC1220" s="454" t="str">
        <f t="shared" si="189"/>
        <v>1</v>
      </c>
    </row>
    <row r="1221" spans="1:29" ht="58" x14ac:dyDescent="0.35">
      <c r="A1221" s="111" t="str">
        <f t="shared" si="183"/>
        <v>Closed</v>
      </c>
      <c r="B1221" s="226">
        <v>45851</v>
      </c>
      <c r="C1221" s="14">
        <v>2504</v>
      </c>
      <c r="D1221" s="14" t="s">
        <v>5353</v>
      </c>
      <c r="E1221" s="14" t="s">
        <v>192</v>
      </c>
      <c r="F1221" s="14" t="s">
        <v>2064</v>
      </c>
      <c r="G1221" s="14" t="s">
        <v>1911</v>
      </c>
      <c r="H1221" s="14">
        <v>122</v>
      </c>
      <c r="I1221" s="176" t="s">
        <v>140</v>
      </c>
      <c r="J1221" s="14">
        <v>254</v>
      </c>
      <c r="K1221" s="87"/>
      <c r="L1221" s="14" t="s">
        <v>5354</v>
      </c>
      <c r="M1221" s="324">
        <f t="shared" si="186"/>
        <v>0</v>
      </c>
      <c r="N1221" s="14" t="s">
        <v>2034</v>
      </c>
      <c r="O1221" s="14" t="s">
        <v>1880</v>
      </c>
      <c r="P1221" s="167" t="s">
        <v>143</v>
      </c>
      <c r="Q1221" s="112"/>
      <c r="R1221" s="170">
        <v>0</v>
      </c>
      <c r="S1221" s="108">
        <f t="shared" si="187"/>
        <v>45879</v>
      </c>
      <c r="T1221" s="79">
        <v>45851</v>
      </c>
      <c r="U1221" s="14"/>
      <c r="V1221" s="14"/>
      <c r="W1221" s="14"/>
      <c r="X1221" s="14"/>
      <c r="Z1221" s="14"/>
      <c r="AA1221" s="2">
        <f t="shared" ca="1" si="182"/>
        <v>1</v>
      </c>
      <c r="AB1221" s="153"/>
      <c r="AC1221" s="454" t="str">
        <f t="shared" si="189"/>
        <v>1</v>
      </c>
    </row>
    <row r="1222" spans="1:29" ht="58" x14ac:dyDescent="0.35">
      <c r="A1222" s="111" t="str">
        <f t="shared" si="183"/>
        <v>Closed</v>
      </c>
      <c r="B1222" s="222">
        <v>45858</v>
      </c>
      <c r="C1222" s="14">
        <v>2505</v>
      </c>
      <c r="D1222" s="14" t="s">
        <v>5355</v>
      </c>
      <c r="E1222" s="14" t="s">
        <v>192</v>
      </c>
      <c r="F1222" s="14" t="s">
        <v>5356</v>
      </c>
      <c r="G1222" s="14" t="s">
        <v>1911</v>
      </c>
      <c r="H1222" s="14">
        <v>108</v>
      </c>
      <c r="I1222" s="176" t="s">
        <v>140</v>
      </c>
      <c r="K1222" s="87"/>
      <c r="L1222" s="340" t="s">
        <v>5357</v>
      </c>
      <c r="M1222" s="324">
        <f t="shared" si="186"/>
        <v>0</v>
      </c>
      <c r="N1222" s="14" t="s">
        <v>1879</v>
      </c>
      <c r="O1222" s="14" t="s">
        <v>1880</v>
      </c>
      <c r="P1222" s="167" t="s">
        <v>143</v>
      </c>
      <c r="Q1222" s="14"/>
      <c r="R1222" s="170">
        <v>0</v>
      </c>
      <c r="S1222" s="108">
        <f t="shared" si="187"/>
        <v>45886</v>
      </c>
      <c r="T1222" s="79">
        <v>45858</v>
      </c>
      <c r="U1222" s="14"/>
      <c r="V1222" s="14"/>
      <c r="W1222" s="14"/>
      <c r="X1222" s="14"/>
      <c r="Z1222" s="14"/>
      <c r="AA1222" s="2">
        <f t="shared" ca="1" si="182"/>
        <v>1</v>
      </c>
      <c r="AB1222" s="153"/>
      <c r="AC1222" s="454" t="str">
        <f t="shared" si="189"/>
        <v>1</v>
      </c>
    </row>
    <row r="1223" spans="1:29" ht="130.5" x14ac:dyDescent="0.35">
      <c r="A1223" s="111" t="str">
        <f t="shared" si="183"/>
        <v>Closed</v>
      </c>
      <c r="B1223" s="222">
        <v>45858</v>
      </c>
      <c r="C1223" s="14">
        <v>2505</v>
      </c>
      <c r="D1223" s="14" t="s">
        <v>5358</v>
      </c>
      <c r="E1223" s="14" t="s">
        <v>180</v>
      </c>
      <c r="F1223" s="14" t="s">
        <v>2130</v>
      </c>
      <c r="G1223" s="14"/>
      <c r="H1223" s="14">
        <v>121</v>
      </c>
      <c r="I1223" s="176" t="s">
        <v>140</v>
      </c>
      <c r="K1223" s="87"/>
      <c r="L1223" s="14" t="s">
        <v>5359</v>
      </c>
      <c r="M1223" s="324">
        <f t="shared" si="186"/>
        <v>0</v>
      </c>
      <c r="N1223" s="14" t="s">
        <v>1879</v>
      </c>
      <c r="O1223" s="14" t="s">
        <v>1879</v>
      </c>
      <c r="P1223" s="167" t="s">
        <v>143</v>
      </c>
      <c r="Q1223" s="14"/>
      <c r="R1223" s="170">
        <v>0</v>
      </c>
      <c r="S1223" s="108">
        <f t="shared" si="187"/>
        <v>45886</v>
      </c>
      <c r="T1223" s="79">
        <v>45858</v>
      </c>
      <c r="U1223" s="14"/>
      <c r="V1223" s="14"/>
      <c r="W1223" s="14"/>
      <c r="X1223" s="14"/>
      <c r="Z1223" s="14"/>
      <c r="AA1223" s="2">
        <f t="shared" ca="1" si="182"/>
        <v>1</v>
      </c>
      <c r="AB1223" s="153"/>
      <c r="AC1223" s="454" t="str">
        <f t="shared" si="189"/>
        <v>1</v>
      </c>
    </row>
    <row r="1224" spans="1:29" s="318" customFormat="1" ht="29" x14ac:dyDescent="0.35">
      <c r="A1224" s="313" t="str">
        <f t="shared" si="183"/>
        <v>Closed</v>
      </c>
      <c r="B1224" s="314">
        <v>45859</v>
      </c>
      <c r="C1224" s="217">
        <v>2505</v>
      </c>
      <c r="D1224" s="217" t="s">
        <v>5360</v>
      </c>
      <c r="E1224" s="217" t="s">
        <v>78</v>
      </c>
      <c r="F1224" s="217" t="s">
        <v>2037</v>
      </c>
      <c r="G1224" s="14" t="s">
        <v>1911</v>
      </c>
      <c r="H1224" s="14">
        <v>118</v>
      </c>
      <c r="I1224" s="322" t="s">
        <v>155</v>
      </c>
      <c r="J1224" s="217"/>
      <c r="K1224" s="323"/>
      <c r="L1224" s="217" t="s">
        <v>5361</v>
      </c>
      <c r="M1224" s="341">
        <f t="shared" si="186"/>
        <v>0</v>
      </c>
      <c r="N1224" s="217" t="s">
        <v>1879</v>
      </c>
      <c r="O1224" s="217" t="s">
        <v>1880</v>
      </c>
      <c r="P1224" s="315" t="s">
        <v>143</v>
      </c>
      <c r="Q1224" s="217"/>
      <c r="R1224" s="170">
        <v>0</v>
      </c>
      <c r="S1224" s="321">
        <f t="shared" si="187"/>
        <v>45887</v>
      </c>
      <c r="T1224" s="319">
        <v>45859</v>
      </c>
      <c r="U1224" s="217"/>
      <c r="V1224" s="217"/>
      <c r="W1224" s="217"/>
      <c r="X1224" s="217"/>
      <c r="Y1224" s="217"/>
      <c r="Z1224" s="217"/>
      <c r="AA1224" s="316">
        <f t="shared" ca="1" si="182"/>
        <v>1</v>
      </c>
      <c r="AB1224" s="317"/>
      <c r="AC1224" s="455" t="str">
        <f t="shared" si="189"/>
        <v>1</v>
      </c>
    </row>
    <row r="1225" spans="1:29" ht="101.5" x14ac:dyDescent="0.35">
      <c r="A1225" s="111" t="str">
        <f t="shared" si="183"/>
        <v>Closed</v>
      </c>
      <c r="B1225" s="222">
        <v>45859</v>
      </c>
      <c r="C1225" s="14">
        <v>2505</v>
      </c>
      <c r="D1225" s="14" t="s">
        <v>5362</v>
      </c>
      <c r="E1225" s="14" t="s">
        <v>8</v>
      </c>
      <c r="F1225" s="14" t="s">
        <v>3993</v>
      </c>
      <c r="G1225" s="14" t="s">
        <v>1911</v>
      </c>
      <c r="H1225" s="14">
        <v>108</v>
      </c>
      <c r="I1225" s="176" t="s">
        <v>140</v>
      </c>
      <c r="J1225" s="14">
        <v>41867</v>
      </c>
      <c r="K1225" s="87"/>
      <c r="L1225" s="14" t="s">
        <v>5363</v>
      </c>
      <c r="M1225" s="324">
        <f t="shared" si="186"/>
        <v>0</v>
      </c>
      <c r="N1225" s="14" t="s">
        <v>1879</v>
      </c>
      <c r="O1225" s="14" t="s">
        <v>1879</v>
      </c>
      <c r="P1225" s="167" t="s">
        <v>143</v>
      </c>
      <c r="Q1225" s="14"/>
      <c r="R1225" s="170">
        <v>0</v>
      </c>
      <c r="S1225" s="108">
        <f t="shared" si="187"/>
        <v>45887</v>
      </c>
      <c r="T1225" s="14" t="s">
        <v>5364</v>
      </c>
      <c r="U1225" s="14"/>
      <c r="V1225" s="14"/>
      <c r="W1225" s="14"/>
      <c r="X1225" s="14"/>
      <c r="Z1225" s="14"/>
      <c r="AA1225" s="2">
        <f t="shared" ca="1" si="182"/>
        <v>1</v>
      </c>
      <c r="AB1225" s="153"/>
      <c r="AC1225" s="454" t="str">
        <f t="shared" si="189"/>
        <v>1</v>
      </c>
    </row>
    <row r="1226" spans="1:29" ht="29" x14ac:dyDescent="0.35">
      <c r="A1226" s="111" t="str">
        <f t="shared" si="183"/>
        <v>Closed</v>
      </c>
      <c r="B1226" s="222">
        <v>45860</v>
      </c>
      <c r="C1226" s="14">
        <v>2505</v>
      </c>
      <c r="D1226" s="14" t="s">
        <v>5365</v>
      </c>
      <c r="E1226" s="14" t="s">
        <v>8</v>
      </c>
      <c r="F1226" s="14"/>
      <c r="G1226" s="14"/>
      <c r="H1226" s="14"/>
      <c r="I1226" s="176" t="s">
        <v>140</v>
      </c>
      <c r="K1226" s="87"/>
      <c r="L1226" s="340" t="s">
        <v>5366</v>
      </c>
      <c r="M1226" s="324">
        <f t="shared" si="186"/>
        <v>0</v>
      </c>
      <c r="N1226" s="14" t="s">
        <v>1879</v>
      </c>
      <c r="O1226" s="14" t="s">
        <v>1879</v>
      </c>
      <c r="P1226" s="167" t="s">
        <v>143</v>
      </c>
      <c r="Q1226" s="14"/>
      <c r="R1226" s="170">
        <v>0</v>
      </c>
      <c r="S1226" s="108">
        <f t="shared" si="187"/>
        <v>45888</v>
      </c>
      <c r="T1226" s="14" t="s">
        <v>5367</v>
      </c>
      <c r="U1226" s="14"/>
      <c r="V1226" s="14"/>
      <c r="W1226" s="14"/>
      <c r="X1226" s="14"/>
      <c r="Z1226" s="14"/>
      <c r="AA1226" s="2">
        <f t="shared" ca="1" si="182"/>
        <v>1</v>
      </c>
      <c r="AB1226" s="153"/>
      <c r="AC1226" s="454" t="str">
        <f t="shared" si="189"/>
        <v/>
      </c>
    </row>
    <row r="1227" spans="1:29" ht="29" x14ac:dyDescent="0.35">
      <c r="A1227" s="111" t="str">
        <f t="shared" si="183"/>
        <v>Closed</v>
      </c>
      <c r="B1227" s="222">
        <v>45860</v>
      </c>
      <c r="C1227" s="14">
        <v>2505</v>
      </c>
      <c r="D1227" s="14" t="s">
        <v>5368</v>
      </c>
      <c r="E1227" s="14" t="s">
        <v>206</v>
      </c>
      <c r="F1227" s="14" t="s">
        <v>2037</v>
      </c>
      <c r="G1227" s="14" t="s">
        <v>1900</v>
      </c>
      <c r="H1227" s="14">
        <v>119</v>
      </c>
      <c r="I1227" s="176" t="s">
        <v>140</v>
      </c>
      <c r="K1227" s="87"/>
      <c r="L1227" s="14" t="s">
        <v>5369</v>
      </c>
      <c r="M1227" s="324">
        <f t="shared" ref="M1227:M1249" si="190">IF(I1227="Staff Accident","Entry Required",IF(I1227="Assaults","Entry Required",0))</f>
        <v>0</v>
      </c>
      <c r="N1227" s="14" t="s">
        <v>1879</v>
      </c>
      <c r="O1227" s="14" t="s">
        <v>1879</v>
      </c>
      <c r="P1227" s="167" t="s">
        <v>143</v>
      </c>
      <c r="Q1227" s="14"/>
      <c r="R1227" s="170">
        <v>0</v>
      </c>
      <c r="S1227" s="108">
        <f t="shared" si="187"/>
        <v>45888</v>
      </c>
      <c r="T1227" s="14" t="s">
        <v>5367</v>
      </c>
      <c r="U1227" s="14"/>
      <c r="V1227" s="14"/>
      <c r="W1227" s="14"/>
      <c r="X1227" s="14"/>
      <c r="Z1227" s="14"/>
      <c r="AA1227" s="2">
        <f t="shared" ca="1" si="182"/>
        <v>1</v>
      </c>
      <c r="AB1227" s="153"/>
      <c r="AC1227" s="454" t="str">
        <f t="shared" si="189"/>
        <v>1</v>
      </c>
    </row>
    <row r="1228" spans="1:29" ht="72.5" x14ac:dyDescent="0.35">
      <c r="A1228" s="111" t="str">
        <f t="shared" si="183"/>
        <v>Closed</v>
      </c>
      <c r="B1228" s="222">
        <v>45860</v>
      </c>
      <c r="C1228" s="14">
        <v>2505</v>
      </c>
      <c r="D1228" s="14" t="s">
        <v>5370</v>
      </c>
      <c r="E1228" s="14" t="s">
        <v>192</v>
      </c>
      <c r="F1228" s="14" t="s">
        <v>2099</v>
      </c>
      <c r="G1228" s="14"/>
      <c r="H1228" s="14"/>
      <c r="I1228" s="176" t="s">
        <v>140</v>
      </c>
      <c r="K1228" s="87"/>
      <c r="L1228" s="14" t="s">
        <v>5371</v>
      </c>
      <c r="M1228" s="324">
        <f t="shared" si="190"/>
        <v>0</v>
      </c>
      <c r="N1228" s="14" t="s">
        <v>1879</v>
      </c>
      <c r="O1228" s="14" t="s">
        <v>1879</v>
      </c>
      <c r="P1228" s="167" t="s">
        <v>143</v>
      </c>
      <c r="Q1228" s="14"/>
      <c r="R1228" s="170">
        <v>0</v>
      </c>
      <c r="S1228" s="108">
        <f t="shared" si="187"/>
        <v>45888</v>
      </c>
      <c r="T1228" s="14" t="s">
        <v>5367</v>
      </c>
      <c r="U1228" s="14"/>
      <c r="V1228" s="14"/>
      <c r="W1228" s="14"/>
      <c r="X1228" s="14"/>
      <c r="Z1228" s="14"/>
      <c r="AA1228" s="2">
        <f t="shared" ca="1" si="182"/>
        <v>1</v>
      </c>
      <c r="AB1228" s="153"/>
      <c r="AC1228" s="454" t="str">
        <f t="shared" si="189"/>
        <v/>
      </c>
    </row>
    <row r="1229" spans="1:29" s="318" customFormat="1" ht="43.5" x14ac:dyDescent="0.35">
      <c r="A1229" s="313" t="str">
        <f t="shared" si="183"/>
        <v>Closed</v>
      </c>
      <c r="B1229" s="314">
        <v>45860</v>
      </c>
      <c r="C1229" s="217">
        <v>2505</v>
      </c>
      <c r="D1229" s="217" t="s">
        <v>5372</v>
      </c>
      <c r="E1229" s="217" t="s">
        <v>72</v>
      </c>
      <c r="F1229" s="217" t="s">
        <v>1910</v>
      </c>
      <c r="G1229" s="14" t="s">
        <v>1911</v>
      </c>
      <c r="H1229" s="14">
        <v>202</v>
      </c>
      <c r="I1229" s="322" t="s">
        <v>155</v>
      </c>
      <c r="J1229" s="217"/>
      <c r="K1229" s="323"/>
      <c r="L1229" s="217" t="s">
        <v>5373</v>
      </c>
      <c r="M1229" s="341">
        <f t="shared" si="190"/>
        <v>0</v>
      </c>
      <c r="N1229" s="217" t="s">
        <v>1879</v>
      </c>
      <c r="O1229" s="217" t="s">
        <v>1879</v>
      </c>
      <c r="P1229" s="315" t="s">
        <v>143</v>
      </c>
      <c r="Q1229" s="217"/>
      <c r="R1229" s="170">
        <v>0</v>
      </c>
      <c r="S1229" s="321">
        <f t="shared" ref="S1229:S1264" si="191">IF(B1229="","",B1229+28)</f>
        <v>45888</v>
      </c>
      <c r="T1229" s="319">
        <v>45860</v>
      </c>
      <c r="U1229" s="217"/>
      <c r="V1229" s="217"/>
      <c r="W1229" s="217"/>
      <c r="X1229" s="217"/>
      <c r="Y1229" s="23" t="s">
        <v>1915</v>
      </c>
      <c r="Z1229" s="217" t="s">
        <v>5374</v>
      </c>
      <c r="AA1229" s="316">
        <f t="shared" ca="1" si="182"/>
        <v>1</v>
      </c>
      <c r="AB1229" s="317"/>
      <c r="AC1229" s="455" t="str">
        <f t="shared" si="189"/>
        <v>2</v>
      </c>
    </row>
    <row r="1230" spans="1:29" s="318" customFormat="1" ht="87" x14ac:dyDescent="0.35">
      <c r="A1230" s="313" t="str">
        <f t="shared" si="183"/>
        <v>Closed</v>
      </c>
      <c r="B1230" s="314">
        <v>45861</v>
      </c>
      <c r="C1230" s="217">
        <v>2505</v>
      </c>
      <c r="D1230" s="217" t="s">
        <v>5375</v>
      </c>
      <c r="E1230" s="217" t="s">
        <v>72</v>
      </c>
      <c r="F1230" s="217" t="s">
        <v>1910</v>
      </c>
      <c r="G1230" s="14" t="s">
        <v>1911</v>
      </c>
      <c r="H1230" s="14">
        <v>205</v>
      </c>
      <c r="I1230" s="322" t="s">
        <v>155</v>
      </c>
      <c r="J1230" s="217"/>
      <c r="K1230" s="323"/>
      <c r="L1230" s="217" t="s">
        <v>5376</v>
      </c>
      <c r="M1230" s="341">
        <f t="shared" si="190"/>
        <v>0</v>
      </c>
      <c r="N1230" s="217" t="s">
        <v>1879</v>
      </c>
      <c r="O1230" s="217" t="s">
        <v>1879</v>
      </c>
      <c r="P1230" s="315" t="s">
        <v>143</v>
      </c>
      <c r="Q1230" s="217"/>
      <c r="R1230" s="170">
        <v>0</v>
      </c>
      <c r="S1230" s="321">
        <f t="shared" si="191"/>
        <v>45889</v>
      </c>
      <c r="T1230" s="319">
        <v>45861</v>
      </c>
      <c r="U1230" s="217"/>
      <c r="V1230" s="217"/>
      <c r="W1230" s="217"/>
      <c r="X1230" s="217"/>
      <c r="Y1230" s="23" t="s">
        <v>1915</v>
      </c>
      <c r="Z1230" s="217" t="s">
        <v>5374</v>
      </c>
      <c r="AA1230" s="316">
        <f t="shared" ca="1" si="182"/>
        <v>1</v>
      </c>
      <c r="AB1230" s="317"/>
      <c r="AC1230" s="455" t="str">
        <f t="shared" si="189"/>
        <v>2</v>
      </c>
    </row>
    <row r="1231" spans="1:29" ht="72.5" x14ac:dyDescent="0.45">
      <c r="A1231" s="111" t="str">
        <f t="shared" si="183"/>
        <v>Closed</v>
      </c>
      <c r="B1231" s="222">
        <v>45862</v>
      </c>
      <c r="C1231" s="14">
        <v>2505</v>
      </c>
      <c r="D1231" s="14" t="s">
        <v>5377</v>
      </c>
      <c r="E1231" s="14" t="s">
        <v>192</v>
      </c>
      <c r="F1231" s="14" t="s">
        <v>2338</v>
      </c>
      <c r="G1231" s="14"/>
      <c r="H1231" s="14">
        <v>113</v>
      </c>
      <c r="I1231" s="176" t="s">
        <v>140</v>
      </c>
      <c r="J1231" s="14">
        <v>8502599</v>
      </c>
      <c r="K1231" s="87"/>
      <c r="L1231" s="14" t="s">
        <v>5378</v>
      </c>
      <c r="M1231" s="324">
        <f t="shared" si="190"/>
        <v>0</v>
      </c>
      <c r="N1231" s="14" t="s">
        <v>1879</v>
      </c>
      <c r="O1231" s="14" t="s">
        <v>1879</v>
      </c>
      <c r="P1231" s="167" t="s">
        <v>143</v>
      </c>
      <c r="Q1231" s="14"/>
      <c r="R1231" s="170">
        <v>0</v>
      </c>
      <c r="S1231" s="108">
        <f t="shared" si="191"/>
        <v>45890</v>
      </c>
      <c r="T1231" s="14" t="s">
        <v>5379</v>
      </c>
      <c r="U1231" s="14"/>
      <c r="V1231" s="14"/>
      <c r="W1231" s="14"/>
      <c r="X1231" s="14"/>
      <c r="Y1231" s="463" t="s">
        <v>2340</v>
      </c>
      <c r="Z1231" s="14"/>
      <c r="AA1231" s="2">
        <f t="shared" ca="1" si="182"/>
        <v>1</v>
      </c>
      <c r="AB1231" s="153"/>
      <c r="AC1231" s="454" t="str">
        <f t="shared" si="189"/>
        <v>1</v>
      </c>
    </row>
    <row r="1232" spans="1:29" ht="116" x14ac:dyDescent="0.35">
      <c r="A1232" s="89" t="str">
        <f t="shared" si="183"/>
        <v>Closed</v>
      </c>
      <c r="B1232" s="222">
        <v>45863</v>
      </c>
      <c r="C1232" s="14">
        <v>2505</v>
      </c>
      <c r="D1232" s="14" t="s">
        <v>5380</v>
      </c>
      <c r="E1232" s="14" t="s">
        <v>40</v>
      </c>
      <c r="F1232" s="14" t="s">
        <v>2048</v>
      </c>
      <c r="G1232" s="14"/>
      <c r="H1232" s="14"/>
      <c r="I1232" s="176" t="s">
        <v>4</v>
      </c>
      <c r="J1232" s="14">
        <v>379</v>
      </c>
      <c r="K1232" s="14" t="s">
        <v>137</v>
      </c>
      <c r="L1232" s="14" t="s">
        <v>5381</v>
      </c>
      <c r="M1232" s="324">
        <v>0</v>
      </c>
      <c r="N1232" s="14" t="s">
        <v>1879</v>
      </c>
      <c r="O1232" s="14" t="s">
        <v>1879</v>
      </c>
      <c r="P1232" s="167" t="s">
        <v>143</v>
      </c>
      <c r="Q1232" s="14" t="s">
        <v>157</v>
      </c>
      <c r="R1232" s="223" t="s">
        <v>234</v>
      </c>
      <c r="S1232" s="224">
        <f t="shared" si="191"/>
        <v>45891</v>
      </c>
      <c r="T1232" s="79">
        <v>45863</v>
      </c>
      <c r="U1232" s="14"/>
      <c r="V1232" s="14"/>
      <c r="W1232" s="14"/>
      <c r="X1232" s="14"/>
      <c r="Z1232" s="14" t="s">
        <v>5382</v>
      </c>
      <c r="AA1232" s="2">
        <f t="shared" ca="1" si="182"/>
        <v>1</v>
      </c>
      <c r="AB1232" s="153"/>
      <c r="AC1232" s="454" t="str">
        <f t="shared" si="189"/>
        <v/>
      </c>
    </row>
    <row r="1233" spans="1:29" ht="116" x14ac:dyDescent="0.35">
      <c r="A1233" s="89" t="str">
        <f t="shared" ca="1" si="183"/>
        <v>Overdue</v>
      </c>
      <c r="B1233" s="222">
        <v>45863</v>
      </c>
      <c r="C1233" s="14">
        <v>2505</v>
      </c>
      <c r="D1233" s="14" t="s">
        <v>5383</v>
      </c>
      <c r="E1233" s="14" t="s">
        <v>61</v>
      </c>
      <c r="F1233" s="14" t="s">
        <v>2048</v>
      </c>
      <c r="G1233" s="14" t="s">
        <v>1900</v>
      </c>
      <c r="H1233" s="14">
        <v>120</v>
      </c>
      <c r="I1233" s="176" t="s">
        <v>155</v>
      </c>
      <c r="J1233" s="14">
        <v>8502559</v>
      </c>
      <c r="K1233" s="87"/>
      <c r="L1233" s="14" t="s">
        <v>5384</v>
      </c>
      <c r="M1233" s="324">
        <f t="shared" si="190"/>
        <v>0</v>
      </c>
      <c r="N1233" s="14" t="s">
        <v>1879</v>
      </c>
      <c r="O1233" s="14" t="s">
        <v>1880</v>
      </c>
      <c r="P1233" s="167" t="s">
        <v>147</v>
      </c>
      <c r="Q1233" s="14" t="s">
        <v>135</v>
      </c>
      <c r="R1233" s="223" t="s">
        <v>234</v>
      </c>
      <c r="S1233" s="224">
        <f t="shared" si="191"/>
        <v>45891</v>
      </c>
      <c r="T1233" s="14"/>
      <c r="U1233" s="14"/>
      <c r="V1233" s="14"/>
      <c r="W1233" s="14"/>
      <c r="X1233" s="14"/>
      <c r="Z1233" s="14" t="s">
        <v>5385</v>
      </c>
      <c r="AA1233" s="2">
        <f t="shared" ca="1" si="182"/>
        <v>1</v>
      </c>
      <c r="AB1233" s="153"/>
      <c r="AC1233" s="454" t="str">
        <f t="shared" si="189"/>
        <v>1</v>
      </c>
    </row>
    <row r="1234" spans="1:29" s="318" customFormat="1" ht="130.5" x14ac:dyDescent="0.35">
      <c r="A1234" s="313" t="str">
        <f t="shared" si="183"/>
        <v>Closed</v>
      </c>
      <c r="B1234" s="314">
        <v>45864</v>
      </c>
      <c r="C1234" s="217">
        <v>2505</v>
      </c>
      <c r="D1234" s="217" t="s">
        <v>1633</v>
      </c>
      <c r="E1234" s="217" t="s">
        <v>78</v>
      </c>
      <c r="F1234" s="217" t="s">
        <v>2048</v>
      </c>
      <c r="G1234" s="14" t="s">
        <v>1911</v>
      </c>
      <c r="H1234" s="14">
        <v>116</v>
      </c>
      <c r="I1234" s="322" t="s">
        <v>155</v>
      </c>
      <c r="J1234" s="217">
        <v>788</v>
      </c>
      <c r="K1234" s="323"/>
      <c r="L1234" s="217" t="s">
        <v>5386</v>
      </c>
      <c r="M1234" s="341">
        <f t="shared" si="190"/>
        <v>0</v>
      </c>
      <c r="N1234" s="217" t="s">
        <v>1879</v>
      </c>
      <c r="O1234" s="217" t="s">
        <v>1880</v>
      </c>
      <c r="P1234" s="315" t="s">
        <v>147</v>
      </c>
      <c r="Q1234" s="217" t="s">
        <v>135</v>
      </c>
      <c r="R1234" s="320" t="s">
        <v>234</v>
      </c>
      <c r="S1234" s="321">
        <f t="shared" si="191"/>
        <v>45892</v>
      </c>
      <c r="T1234" s="319">
        <v>45883</v>
      </c>
      <c r="U1234" s="217" t="s">
        <v>5387</v>
      </c>
      <c r="V1234" s="217" t="s">
        <v>5388</v>
      </c>
      <c r="W1234" s="217" t="s">
        <v>1880</v>
      </c>
      <c r="X1234" s="217" t="s">
        <v>1880</v>
      </c>
      <c r="Y1234" s="217"/>
      <c r="Z1234" s="217" t="s">
        <v>5389</v>
      </c>
      <c r="AA1234" s="316">
        <f t="shared" ca="1" si="182"/>
        <v>1</v>
      </c>
      <c r="AB1234" s="317"/>
      <c r="AC1234" s="455" t="str">
        <f t="shared" si="189"/>
        <v>1</v>
      </c>
    </row>
    <row r="1235" spans="1:29" ht="58" x14ac:dyDescent="0.35">
      <c r="A1235" s="111" t="str">
        <f t="shared" si="183"/>
        <v>Closed</v>
      </c>
      <c r="B1235" s="222">
        <v>45865</v>
      </c>
      <c r="C1235" s="14">
        <v>2505</v>
      </c>
      <c r="D1235" s="14" t="s">
        <v>5390</v>
      </c>
      <c r="E1235" s="14" t="s">
        <v>8</v>
      </c>
      <c r="F1235" s="14" t="s">
        <v>1968</v>
      </c>
      <c r="G1235" s="14"/>
      <c r="H1235" s="14">
        <v>109</v>
      </c>
      <c r="I1235" s="176" t="s">
        <v>140</v>
      </c>
      <c r="K1235" s="87"/>
      <c r="L1235" s="14" t="s">
        <v>5391</v>
      </c>
      <c r="M1235" s="324">
        <f t="shared" si="190"/>
        <v>0</v>
      </c>
      <c r="N1235" s="14" t="s">
        <v>1879</v>
      </c>
      <c r="O1235" s="14" t="s">
        <v>1879</v>
      </c>
      <c r="P1235" s="167" t="s">
        <v>143</v>
      </c>
      <c r="Q1235" s="14"/>
      <c r="R1235" s="170">
        <v>0</v>
      </c>
      <c r="S1235" s="108">
        <f t="shared" si="191"/>
        <v>45893</v>
      </c>
      <c r="T1235" s="14" t="s">
        <v>5392</v>
      </c>
      <c r="U1235" s="14"/>
      <c r="V1235" s="14"/>
      <c r="W1235" s="14"/>
      <c r="X1235" s="14"/>
      <c r="Z1235" s="14"/>
      <c r="AA1235" s="2">
        <f t="shared" ca="1" si="182"/>
        <v>1</v>
      </c>
      <c r="AB1235" s="153"/>
      <c r="AC1235" s="454" t="str">
        <f t="shared" si="189"/>
        <v>1</v>
      </c>
    </row>
    <row r="1236" spans="1:29" ht="101.5" x14ac:dyDescent="0.35">
      <c r="A1236" s="111" t="str">
        <f t="shared" ca="1" si="183"/>
        <v>Overdue</v>
      </c>
      <c r="B1236" s="222">
        <v>45863</v>
      </c>
      <c r="C1236" s="14">
        <v>2505</v>
      </c>
      <c r="D1236" s="14" t="s">
        <v>5393</v>
      </c>
      <c r="E1236" s="14" t="s">
        <v>192</v>
      </c>
      <c r="F1236" s="14" t="s">
        <v>2147</v>
      </c>
      <c r="G1236" s="14" t="s">
        <v>1911</v>
      </c>
      <c r="H1236" s="14" t="s">
        <v>118</v>
      </c>
      <c r="I1236" s="176" t="s">
        <v>144</v>
      </c>
      <c r="K1236" s="87" t="s">
        <v>134</v>
      </c>
      <c r="L1236" s="14" t="s">
        <v>5394</v>
      </c>
      <c r="M1236" s="324">
        <f t="shared" si="190"/>
        <v>0</v>
      </c>
      <c r="N1236" s="14" t="s">
        <v>5395</v>
      </c>
      <c r="O1236" s="14" t="s">
        <v>1880</v>
      </c>
      <c r="P1236" s="167" t="s">
        <v>151</v>
      </c>
      <c r="Q1236" s="14" t="s">
        <v>184</v>
      </c>
      <c r="R1236" s="170" t="s">
        <v>241</v>
      </c>
      <c r="S1236" s="108">
        <v>45959</v>
      </c>
      <c r="T1236" s="14"/>
      <c r="U1236" s="14"/>
      <c r="V1236" s="14"/>
      <c r="W1236" s="14"/>
      <c r="X1236" s="14"/>
      <c r="Z1236" s="14" t="s">
        <v>5396</v>
      </c>
      <c r="AA1236" s="2">
        <f t="shared" ca="1" si="182"/>
        <v>1</v>
      </c>
      <c r="AB1236" s="153"/>
      <c r="AC1236" s="454" t="str">
        <f t="shared" si="189"/>
        <v>T</v>
      </c>
    </row>
    <row r="1237" spans="1:29" ht="58" x14ac:dyDescent="0.35">
      <c r="A1237" s="111" t="str">
        <f t="shared" si="183"/>
        <v>Closed</v>
      </c>
      <c r="B1237" s="222">
        <v>45861</v>
      </c>
      <c r="C1237" s="14">
        <v>2505</v>
      </c>
      <c r="D1237" s="14" t="s">
        <v>5397</v>
      </c>
      <c r="E1237" s="14" t="s">
        <v>192</v>
      </c>
      <c r="F1237" s="14" t="s">
        <v>2147</v>
      </c>
      <c r="G1237" s="14" t="s">
        <v>1911</v>
      </c>
      <c r="H1237" s="14"/>
      <c r="I1237" s="176" t="s">
        <v>140</v>
      </c>
      <c r="K1237" s="87"/>
      <c r="L1237" s="14" t="s">
        <v>5398</v>
      </c>
      <c r="M1237" s="324">
        <f t="shared" si="190"/>
        <v>0</v>
      </c>
      <c r="N1237" s="14" t="s">
        <v>1879</v>
      </c>
      <c r="O1237" s="14" t="s">
        <v>1879</v>
      </c>
      <c r="P1237" s="167" t="s">
        <v>143</v>
      </c>
      <c r="Q1237" s="14"/>
      <c r="R1237" s="170">
        <v>0</v>
      </c>
      <c r="S1237" s="108">
        <f t="shared" si="191"/>
        <v>45889</v>
      </c>
      <c r="T1237" s="14" t="s">
        <v>5399</v>
      </c>
      <c r="U1237" s="14"/>
      <c r="V1237" s="14"/>
      <c r="W1237" s="14"/>
      <c r="X1237" s="14"/>
      <c r="Z1237" s="14"/>
      <c r="AA1237" s="2">
        <f t="shared" ca="1" si="182"/>
        <v>1</v>
      </c>
      <c r="AB1237" s="153"/>
      <c r="AC1237" s="454" t="str">
        <f t="shared" si="189"/>
        <v/>
      </c>
    </row>
    <row r="1238" spans="1:29" ht="43.5" x14ac:dyDescent="0.35">
      <c r="A1238" s="89" t="str">
        <f t="shared" ca="1" si="183"/>
        <v>Overdue</v>
      </c>
      <c r="B1238" s="222">
        <v>45866</v>
      </c>
      <c r="C1238" s="14">
        <v>2505</v>
      </c>
      <c r="D1238" s="14" t="s">
        <v>5400</v>
      </c>
      <c r="E1238" s="14" t="s">
        <v>72</v>
      </c>
      <c r="F1238" s="14" t="s">
        <v>2557</v>
      </c>
      <c r="G1238" s="14"/>
      <c r="H1238" s="14"/>
      <c r="I1238" s="176" t="s">
        <v>155</v>
      </c>
      <c r="K1238" s="87"/>
      <c r="L1238" s="14" t="s">
        <v>5401</v>
      </c>
      <c r="M1238" s="324">
        <f t="shared" si="190"/>
        <v>0</v>
      </c>
      <c r="N1238" s="14" t="s">
        <v>1879</v>
      </c>
      <c r="O1238" s="14" t="s">
        <v>1879</v>
      </c>
      <c r="P1238" s="167" t="s">
        <v>147</v>
      </c>
      <c r="Q1238" s="14" t="s">
        <v>168</v>
      </c>
      <c r="R1238" s="223" t="s">
        <v>234</v>
      </c>
      <c r="S1238" s="224">
        <f t="shared" si="191"/>
        <v>45894</v>
      </c>
      <c r="T1238" s="14"/>
      <c r="U1238" s="14"/>
      <c r="V1238" s="14"/>
      <c r="W1238" s="14"/>
      <c r="X1238" s="14"/>
      <c r="Z1238" s="14" t="s">
        <v>5402</v>
      </c>
      <c r="AA1238" s="2">
        <f t="shared" ref="AA1238:AA1301" ca="1" si="192">IF(B1238="",3,IF(S1238&lt;$A$1,1,0))</f>
        <v>1</v>
      </c>
      <c r="AB1238" s="153"/>
      <c r="AC1238" s="454" t="str">
        <f t="shared" si="189"/>
        <v/>
      </c>
    </row>
    <row r="1239" spans="1:29" ht="72.5" x14ac:dyDescent="0.35">
      <c r="A1239" s="111" t="str">
        <f t="shared" si="183"/>
        <v>Closed</v>
      </c>
      <c r="B1239" s="222">
        <v>45866</v>
      </c>
      <c r="C1239" s="14">
        <v>2505</v>
      </c>
      <c r="D1239" s="14" t="s">
        <v>5403</v>
      </c>
      <c r="E1239" s="14" t="s">
        <v>8</v>
      </c>
      <c r="F1239" s="14" t="s">
        <v>2073</v>
      </c>
      <c r="G1239" s="14" t="s">
        <v>1911</v>
      </c>
      <c r="H1239" s="14">
        <v>202</v>
      </c>
      <c r="I1239" s="176" t="s">
        <v>140</v>
      </c>
      <c r="J1239" s="14">
        <v>85223</v>
      </c>
      <c r="K1239" s="87"/>
      <c r="L1239" s="14" t="s">
        <v>5404</v>
      </c>
      <c r="M1239" s="324">
        <f t="shared" si="190"/>
        <v>0</v>
      </c>
      <c r="N1239" s="14" t="s">
        <v>1879</v>
      </c>
      <c r="O1239" s="14" t="s">
        <v>1879</v>
      </c>
      <c r="P1239" s="167" t="s">
        <v>143</v>
      </c>
      <c r="Q1239" s="14"/>
      <c r="R1239" s="170">
        <v>0</v>
      </c>
      <c r="S1239" s="108">
        <f t="shared" si="191"/>
        <v>45894</v>
      </c>
      <c r="T1239" s="14" t="s">
        <v>5405</v>
      </c>
      <c r="U1239" s="14"/>
      <c r="V1239" s="14"/>
      <c r="W1239" s="14"/>
      <c r="X1239" s="14"/>
      <c r="Z1239" s="14"/>
      <c r="AA1239" s="2">
        <f t="shared" ca="1" si="192"/>
        <v>1</v>
      </c>
      <c r="AB1239" s="153"/>
      <c r="AC1239" s="454" t="str">
        <f t="shared" si="189"/>
        <v>2</v>
      </c>
    </row>
    <row r="1240" spans="1:29" ht="101.5" x14ac:dyDescent="0.35">
      <c r="A1240" s="111" t="str">
        <f t="shared" si="183"/>
        <v>Closed</v>
      </c>
      <c r="B1240" s="222">
        <v>45866</v>
      </c>
      <c r="C1240" s="14">
        <v>2505</v>
      </c>
      <c r="D1240" s="14" t="s">
        <v>5406</v>
      </c>
      <c r="E1240" s="14" t="s">
        <v>8</v>
      </c>
      <c r="F1240" s="14" t="s">
        <v>2073</v>
      </c>
      <c r="G1240" s="14" t="s">
        <v>1911</v>
      </c>
      <c r="H1240" s="14"/>
      <c r="I1240" s="176" t="s">
        <v>140</v>
      </c>
      <c r="K1240" s="87"/>
      <c r="L1240" s="14" t="s">
        <v>5407</v>
      </c>
      <c r="M1240" s="324">
        <f t="shared" si="190"/>
        <v>0</v>
      </c>
      <c r="N1240" s="14" t="s">
        <v>1879</v>
      </c>
      <c r="O1240" s="14" t="s">
        <v>1879</v>
      </c>
      <c r="P1240" s="167" t="s">
        <v>143</v>
      </c>
      <c r="Q1240" s="14"/>
      <c r="R1240" s="170">
        <v>0</v>
      </c>
      <c r="S1240" s="108">
        <f t="shared" si="191"/>
        <v>45894</v>
      </c>
      <c r="T1240" s="14" t="s">
        <v>5405</v>
      </c>
      <c r="U1240" s="14"/>
      <c r="V1240" s="14"/>
      <c r="W1240" s="14"/>
      <c r="X1240" s="14"/>
      <c r="Z1240" s="14"/>
      <c r="AA1240" s="2">
        <f t="shared" ca="1" si="192"/>
        <v>1</v>
      </c>
      <c r="AB1240" s="153"/>
      <c r="AC1240" s="454" t="str">
        <f t="shared" si="189"/>
        <v/>
      </c>
    </row>
    <row r="1241" spans="1:29" ht="29" x14ac:dyDescent="0.35">
      <c r="A1241" s="111" t="str">
        <f t="shared" si="183"/>
        <v>Closed</v>
      </c>
      <c r="B1241" s="222">
        <v>45866</v>
      </c>
      <c r="C1241" s="14">
        <v>2505</v>
      </c>
      <c r="D1241" s="14" t="s">
        <v>5408</v>
      </c>
      <c r="E1241" s="14" t="s">
        <v>219</v>
      </c>
      <c r="F1241" s="14" t="s">
        <v>2245</v>
      </c>
      <c r="G1241" s="14" t="s">
        <v>1911</v>
      </c>
      <c r="H1241" s="14">
        <v>111</v>
      </c>
      <c r="I1241" s="176" t="s">
        <v>140</v>
      </c>
      <c r="K1241" s="87"/>
      <c r="L1241" s="14" t="s">
        <v>5409</v>
      </c>
      <c r="M1241" s="324">
        <f t="shared" si="190"/>
        <v>0</v>
      </c>
      <c r="N1241" s="14" t="s">
        <v>1879</v>
      </c>
      <c r="O1241" s="14" t="s">
        <v>1879</v>
      </c>
      <c r="P1241" s="167" t="s">
        <v>143</v>
      </c>
      <c r="Q1241" s="14"/>
      <c r="R1241" s="170">
        <v>0</v>
      </c>
      <c r="S1241" s="108">
        <f t="shared" si="191"/>
        <v>45894</v>
      </c>
      <c r="T1241" s="14" t="s">
        <v>5405</v>
      </c>
      <c r="U1241" s="14"/>
      <c r="V1241" s="14"/>
      <c r="W1241" s="14"/>
      <c r="X1241" s="14"/>
      <c r="Z1241" s="14"/>
      <c r="AA1241" s="2">
        <f t="shared" ca="1" si="192"/>
        <v>1</v>
      </c>
      <c r="AB1241" s="153"/>
      <c r="AC1241" s="454" t="str">
        <f t="shared" si="189"/>
        <v>1</v>
      </c>
    </row>
    <row r="1242" spans="1:29" ht="29" x14ac:dyDescent="0.35">
      <c r="A1242" s="111" t="str">
        <f t="shared" si="183"/>
        <v>Closed</v>
      </c>
      <c r="B1242" s="222">
        <v>45867</v>
      </c>
      <c r="C1242" s="14">
        <v>2505</v>
      </c>
      <c r="D1242" s="14" t="s">
        <v>5410</v>
      </c>
      <c r="E1242" s="14" t="s">
        <v>76</v>
      </c>
      <c r="F1242" s="14" t="s">
        <v>1947</v>
      </c>
      <c r="G1242" s="14"/>
      <c r="H1242" s="14">
        <v>110</v>
      </c>
      <c r="I1242" s="176" t="s">
        <v>140</v>
      </c>
      <c r="K1242" s="87"/>
      <c r="L1242" s="14" t="s">
        <v>5411</v>
      </c>
      <c r="M1242" s="324">
        <f t="shared" si="190"/>
        <v>0</v>
      </c>
      <c r="N1242" s="14" t="s">
        <v>1879</v>
      </c>
      <c r="O1242" s="14" t="s">
        <v>1879</v>
      </c>
      <c r="P1242" s="167" t="s">
        <v>143</v>
      </c>
      <c r="Q1242" s="14"/>
      <c r="R1242" s="170">
        <v>0</v>
      </c>
      <c r="S1242" s="108">
        <f t="shared" si="191"/>
        <v>45895</v>
      </c>
      <c r="T1242" s="14" t="s">
        <v>5412</v>
      </c>
      <c r="U1242" s="14"/>
      <c r="V1242" s="14"/>
      <c r="W1242" s="14"/>
      <c r="X1242" s="14"/>
      <c r="Z1242" s="14"/>
      <c r="AA1242" s="2">
        <f t="shared" ca="1" si="192"/>
        <v>1</v>
      </c>
      <c r="AB1242" s="153"/>
      <c r="AC1242" s="454" t="str">
        <f t="shared" si="189"/>
        <v>1</v>
      </c>
    </row>
    <row r="1243" spans="1:29" ht="29" x14ac:dyDescent="0.35">
      <c r="A1243" s="111" t="str">
        <f t="shared" si="183"/>
        <v>Closed</v>
      </c>
      <c r="B1243" s="222">
        <v>45867</v>
      </c>
      <c r="C1243" s="14">
        <v>2505</v>
      </c>
      <c r="D1243" s="14" t="s">
        <v>5413</v>
      </c>
      <c r="E1243" s="14" t="s">
        <v>8</v>
      </c>
      <c r="F1243" s="14" t="s">
        <v>1954</v>
      </c>
      <c r="G1243" s="14" t="s">
        <v>1900</v>
      </c>
      <c r="H1243" s="14">
        <v>201</v>
      </c>
      <c r="I1243" s="176" t="s">
        <v>140</v>
      </c>
      <c r="K1243" s="87"/>
      <c r="L1243" s="14" t="s">
        <v>5414</v>
      </c>
      <c r="M1243" s="324">
        <f t="shared" si="190"/>
        <v>0</v>
      </c>
      <c r="N1243" s="14" t="s">
        <v>1879</v>
      </c>
      <c r="O1243" s="14" t="s">
        <v>1879</v>
      </c>
      <c r="P1243" s="167" t="s">
        <v>143</v>
      </c>
      <c r="Q1243" s="14"/>
      <c r="R1243" s="170">
        <v>0</v>
      </c>
      <c r="S1243" s="108">
        <f t="shared" si="191"/>
        <v>45895</v>
      </c>
      <c r="T1243" s="14" t="s">
        <v>5412</v>
      </c>
      <c r="U1243" s="14"/>
      <c r="V1243" s="14"/>
      <c r="W1243" s="14"/>
      <c r="X1243" s="14"/>
      <c r="Z1243" s="14"/>
      <c r="AA1243" s="2">
        <f t="shared" ca="1" si="192"/>
        <v>1</v>
      </c>
      <c r="AB1243" s="153"/>
      <c r="AC1243" s="454" t="str">
        <f t="shared" si="189"/>
        <v>2</v>
      </c>
    </row>
    <row r="1244" spans="1:29" ht="43.5" x14ac:dyDescent="0.35">
      <c r="A1244" s="111" t="str">
        <f t="shared" si="183"/>
        <v>Closed</v>
      </c>
      <c r="B1244" s="222">
        <v>45867</v>
      </c>
      <c r="C1244" s="14">
        <v>2505</v>
      </c>
      <c r="D1244" s="14" t="s">
        <v>5415</v>
      </c>
      <c r="E1244" s="14" t="s">
        <v>180</v>
      </c>
      <c r="F1244" s="14" t="s">
        <v>3021</v>
      </c>
      <c r="G1244" s="14" t="s">
        <v>1900</v>
      </c>
      <c r="H1244" s="14"/>
      <c r="I1244" s="176" t="s">
        <v>140</v>
      </c>
      <c r="K1244" s="87"/>
      <c r="L1244" s="14" t="s">
        <v>5416</v>
      </c>
      <c r="M1244" s="324">
        <f t="shared" si="190"/>
        <v>0</v>
      </c>
      <c r="N1244" s="14" t="s">
        <v>1879</v>
      </c>
      <c r="O1244" s="14" t="s">
        <v>1879</v>
      </c>
      <c r="P1244" s="167" t="s">
        <v>143</v>
      </c>
      <c r="Q1244" s="14"/>
      <c r="R1244" s="170">
        <v>0</v>
      </c>
      <c r="S1244" s="108">
        <f t="shared" si="191"/>
        <v>45895</v>
      </c>
      <c r="T1244" s="14" t="s">
        <v>5412</v>
      </c>
      <c r="U1244" s="14"/>
      <c r="V1244" s="14"/>
      <c r="W1244" s="14"/>
      <c r="X1244" s="14"/>
      <c r="Y1244" s="466" t="s">
        <v>2062</v>
      </c>
      <c r="Z1244" s="14"/>
      <c r="AA1244" s="2">
        <f t="shared" ca="1" si="192"/>
        <v>1</v>
      </c>
      <c r="AB1244" s="153"/>
      <c r="AC1244" s="454" t="str">
        <f t="shared" si="189"/>
        <v/>
      </c>
    </row>
    <row r="1245" spans="1:29" ht="159.5" x14ac:dyDescent="0.35">
      <c r="A1245" s="111" t="str">
        <f t="shared" si="183"/>
        <v>Closed</v>
      </c>
      <c r="B1245" s="222">
        <v>45868</v>
      </c>
      <c r="C1245" s="14">
        <v>2505</v>
      </c>
      <c r="D1245" s="14" t="s">
        <v>5417</v>
      </c>
      <c r="E1245" s="14" t="s">
        <v>192</v>
      </c>
      <c r="F1245" s="14" t="s">
        <v>5418</v>
      </c>
      <c r="G1245" s="14"/>
      <c r="H1245" s="14">
        <v>113</v>
      </c>
      <c r="I1245" s="176" t="s">
        <v>140</v>
      </c>
      <c r="J1245" s="14">
        <v>254</v>
      </c>
      <c r="K1245" s="87"/>
      <c r="L1245" s="14" t="s">
        <v>5419</v>
      </c>
      <c r="M1245" s="324">
        <f t="shared" si="190"/>
        <v>0</v>
      </c>
      <c r="N1245" s="14" t="s">
        <v>1879</v>
      </c>
      <c r="O1245" s="14" t="s">
        <v>1879</v>
      </c>
      <c r="P1245" s="167" t="s">
        <v>143</v>
      </c>
      <c r="Q1245" s="14"/>
      <c r="R1245" s="170">
        <v>0</v>
      </c>
      <c r="S1245" s="108">
        <f t="shared" si="191"/>
        <v>45896</v>
      </c>
      <c r="T1245" s="79">
        <v>45868</v>
      </c>
      <c r="U1245" s="14"/>
      <c r="V1245" s="14"/>
      <c r="W1245" s="14"/>
      <c r="X1245" s="14"/>
      <c r="Z1245" s="14"/>
      <c r="AA1245" s="2">
        <f t="shared" ca="1" si="192"/>
        <v>1</v>
      </c>
      <c r="AB1245" s="153"/>
      <c r="AC1245" s="454" t="str">
        <f t="shared" si="189"/>
        <v>1</v>
      </c>
    </row>
    <row r="1246" spans="1:29" ht="43.5" x14ac:dyDescent="0.35">
      <c r="A1246" s="89" t="str">
        <f t="shared" si="183"/>
        <v>Closed</v>
      </c>
      <c r="B1246" s="222">
        <v>45869</v>
      </c>
      <c r="C1246" s="14">
        <v>2505</v>
      </c>
      <c r="D1246" s="14" t="s">
        <v>5420</v>
      </c>
      <c r="E1246" s="14" t="s">
        <v>27</v>
      </c>
      <c r="F1246" s="14" t="s">
        <v>2003</v>
      </c>
      <c r="G1246" s="14" t="s">
        <v>1900</v>
      </c>
      <c r="H1246" s="14">
        <v>110</v>
      </c>
      <c r="I1246" s="176" t="s">
        <v>5</v>
      </c>
      <c r="J1246" s="14">
        <v>8504629</v>
      </c>
      <c r="K1246" s="87"/>
      <c r="L1246" s="14" t="s">
        <v>5421</v>
      </c>
      <c r="M1246" s="324">
        <f t="shared" si="190"/>
        <v>0</v>
      </c>
      <c r="N1246" s="14" t="s">
        <v>1879</v>
      </c>
      <c r="O1246" s="14" t="s">
        <v>1879</v>
      </c>
      <c r="P1246" s="167" t="s">
        <v>147</v>
      </c>
      <c r="Q1246" s="14" t="s">
        <v>185</v>
      </c>
      <c r="R1246" s="223" t="s">
        <v>234</v>
      </c>
      <c r="S1246" s="224">
        <f t="shared" si="191"/>
        <v>45897</v>
      </c>
      <c r="T1246" s="79">
        <v>46037</v>
      </c>
      <c r="U1246" s="14"/>
      <c r="V1246" s="14"/>
      <c r="W1246" s="14"/>
      <c r="X1246" s="14"/>
      <c r="Z1246" s="14" t="s">
        <v>5341</v>
      </c>
      <c r="AA1246" s="2">
        <f t="shared" ca="1" si="192"/>
        <v>1</v>
      </c>
      <c r="AB1246" s="153"/>
      <c r="AC1246" s="454" t="str">
        <f t="shared" si="189"/>
        <v>1</v>
      </c>
    </row>
    <row r="1247" spans="1:29" ht="72.5" x14ac:dyDescent="0.35">
      <c r="A1247" s="111" t="str">
        <f t="shared" si="183"/>
        <v>Closed</v>
      </c>
      <c r="B1247" s="222">
        <v>45870</v>
      </c>
      <c r="C1247" s="14">
        <v>2505</v>
      </c>
      <c r="D1247" s="14" t="s">
        <v>5422</v>
      </c>
      <c r="E1247" s="14" t="s">
        <v>192</v>
      </c>
      <c r="F1247" s="14" t="s">
        <v>2052</v>
      </c>
      <c r="G1247" s="14"/>
      <c r="H1247" s="14"/>
      <c r="I1247" s="176" t="s">
        <v>140</v>
      </c>
      <c r="K1247" s="87"/>
      <c r="L1247" s="14" t="s">
        <v>5423</v>
      </c>
      <c r="M1247" s="324">
        <f t="shared" si="190"/>
        <v>0</v>
      </c>
      <c r="N1247" s="14" t="s">
        <v>1879</v>
      </c>
      <c r="O1247" s="14" t="s">
        <v>1879</v>
      </c>
      <c r="P1247" s="167" t="s">
        <v>143</v>
      </c>
      <c r="Q1247" s="14"/>
      <c r="R1247" s="170">
        <v>0</v>
      </c>
      <c r="S1247" s="108">
        <f t="shared" si="191"/>
        <v>45898</v>
      </c>
      <c r="T1247" s="79">
        <v>45665</v>
      </c>
      <c r="U1247" s="14"/>
      <c r="V1247" s="14"/>
      <c r="W1247" s="14"/>
      <c r="X1247" s="14"/>
      <c r="Z1247" s="14"/>
      <c r="AA1247" s="2">
        <f t="shared" ca="1" si="192"/>
        <v>1</v>
      </c>
      <c r="AB1247" s="153"/>
      <c r="AC1247" s="454" t="str">
        <f t="shared" si="189"/>
        <v/>
      </c>
    </row>
    <row r="1248" spans="1:29" ht="145" x14ac:dyDescent="0.35">
      <c r="A1248" s="111" t="str">
        <f t="shared" si="183"/>
        <v>Closed</v>
      </c>
      <c r="B1248" s="222">
        <v>45870</v>
      </c>
      <c r="C1248" s="14">
        <v>2505</v>
      </c>
      <c r="D1248" s="14" t="s">
        <v>5424</v>
      </c>
      <c r="E1248" s="14" t="s">
        <v>31</v>
      </c>
      <c r="F1248" s="14" t="s">
        <v>2056</v>
      </c>
      <c r="G1248" s="14" t="s">
        <v>1911</v>
      </c>
      <c r="H1248" s="14">
        <v>104</v>
      </c>
      <c r="I1248" s="176" t="s">
        <v>140</v>
      </c>
      <c r="K1248" s="87"/>
      <c r="L1248" s="14" t="s">
        <v>5425</v>
      </c>
      <c r="M1248" s="324">
        <f t="shared" si="190"/>
        <v>0</v>
      </c>
      <c r="N1248" s="14" t="s">
        <v>1879</v>
      </c>
      <c r="O1248" s="14" t="s">
        <v>1879</v>
      </c>
      <c r="P1248" s="167" t="s">
        <v>143</v>
      </c>
      <c r="Q1248" s="14"/>
      <c r="R1248" s="170">
        <v>0</v>
      </c>
      <c r="S1248" s="108">
        <f t="shared" si="191"/>
        <v>45898</v>
      </c>
      <c r="T1248" s="79">
        <v>45917</v>
      </c>
      <c r="U1248" s="14"/>
      <c r="V1248" s="14"/>
      <c r="W1248" s="14"/>
      <c r="X1248" s="14"/>
      <c r="Z1248" s="14" t="s">
        <v>5426</v>
      </c>
      <c r="AA1248" s="2">
        <f t="shared" ca="1" si="192"/>
        <v>1</v>
      </c>
      <c r="AB1248" s="153"/>
      <c r="AC1248" s="454" t="str">
        <f t="shared" si="189"/>
        <v>1</v>
      </c>
    </row>
    <row r="1249" spans="1:29" ht="43.5" x14ac:dyDescent="0.35">
      <c r="A1249" s="111" t="str">
        <f t="shared" si="183"/>
        <v>Closed</v>
      </c>
      <c r="B1249" s="222">
        <v>45871</v>
      </c>
      <c r="C1249" s="14">
        <v>2505</v>
      </c>
      <c r="D1249" s="14" t="s">
        <v>5427</v>
      </c>
      <c r="E1249" s="14" t="s">
        <v>8</v>
      </c>
      <c r="F1249" s="14" t="s">
        <v>5428</v>
      </c>
      <c r="G1249" s="14" t="s">
        <v>1900</v>
      </c>
      <c r="H1249" s="14">
        <v>120</v>
      </c>
      <c r="I1249" s="176" t="s">
        <v>140</v>
      </c>
      <c r="K1249" s="87"/>
      <c r="L1249" s="14" t="s">
        <v>5429</v>
      </c>
      <c r="M1249" s="324">
        <f t="shared" si="190"/>
        <v>0</v>
      </c>
      <c r="N1249" s="14" t="s">
        <v>1879</v>
      </c>
      <c r="O1249" s="14" t="s">
        <v>1879</v>
      </c>
      <c r="P1249" s="167" t="s">
        <v>143</v>
      </c>
      <c r="Q1249" s="14"/>
      <c r="R1249" s="170">
        <v>0</v>
      </c>
      <c r="S1249" s="108">
        <f t="shared" si="191"/>
        <v>45899</v>
      </c>
      <c r="T1249" s="79">
        <v>45696</v>
      </c>
      <c r="U1249" s="14"/>
      <c r="V1249" s="14"/>
      <c r="W1249" s="14"/>
      <c r="X1249" s="14"/>
      <c r="Y1249" s="14" t="s">
        <v>2185</v>
      </c>
      <c r="Z1249" s="14"/>
      <c r="AA1249" s="2">
        <f t="shared" ca="1" si="192"/>
        <v>1</v>
      </c>
      <c r="AB1249" s="153"/>
      <c r="AC1249" s="454" t="str">
        <f t="shared" si="189"/>
        <v>1</v>
      </c>
    </row>
    <row r="1250" spans="1:29" ht="43.5" x14ac:dyDescent="0.35">
      <c r="A1250" s="111" t="str">
        <f t="shared" ref="A1250:A1306" si="193">IF(T1250&gt;1,"Closed",IF(AA1250=1,"Overdue",IF(AA1250=3,"","Open")))</f>
        <v>Closed</v>
      </c>
      <c r="B1250" s="222">
        <v>45871</v>
      </c>
      <c r="C1250" s="14">
        <v>2505</v>
      </c>
      <c r="D1250" s="14" t="s">
        <v>5430</v>
      </c>
      <c r="E1250" s="14" t="s">
        <v>8</v>
      </c>
      <c r="F1250" s="14" t="s">
        <v>1968</v>
      </c>
      <c r="G1250" s="14" t="s">
        <v>1911</v>
      </c>
      <c r="H1250" s="14">
        <v>205</v>
      </c>
      <c r="I1250" s="331" t="s">
        <v>140</v>
      </c>
      <c r="K1250" s="87"/>
      <c r="L1250" s="14" t="s">
        <v>5431</v>
      </c>
      <c r="M1250" s="324">
        <v>0</v>
      </c>
      <c r="N1250" s="14" t="s">
        <v>1879</v>
      </c>
      <c r="O1250" s="14" t="s">
        <v>1879</v>
      </c>
      <c r="P1250" s="167" t="s">
        <v>143</v>
      </c>
      <c r="Q1250" s="14"/>
      <c r="R1250" s="170">
        <v>0</v>
      </c>
      <c r="S1250" s="108">
        <f t="shared" si="191"/>
        <v>45899</v>
      </c>
      <c r="T1250" s="79">
        <v>45755</v>
      </c>
      <c r="U1250" s="14"/>
      <c r="V1250" s="14"/>
      <c r="W1250" s="14"/>
      <c r="X1250" s="14"/>
      <c r="Z1250" s="14"/>
      <c r="AA1250" s="2">
        <f t="shared" ca="1" si="192"/>
        <v>1</v>
      </c>
      <c r="AB1250" s="153"/>
      <c r="AC1250" s="454" t="str">
        <f t="shared" si="189"/>
        <v>2</v>
      </c>
    </row>
    <row r="1251" spans="1:29" ht="29" x14ac:dyDescent="0.35">
      <c r="A1251" s="111" t="str">
        <f t="shared" si="193"/>
        <v>Closed</v>
      </c>
      <c r="B1251" s="222">
        <v>45755</v>
      </c>
      <c r="C1251" s="14">
        <v>2505</v>
      </c>
      <c r="D1251" s="14" t="s">
        <v>5432</v>
      </c>
      <c r="E1251" s="14" t="s">
        <v>180</v>
      </c>
      <c r="F1251" s="14" t="s">
        <v>3086</v>
      </c>
      <c r="G1251" s="14"/>
      <c r="H1251" s="176"/>
      <c r="I1251" s="332" t="s">
        <v>140</v>
      </c>
      <c r="J1251" s="87"/>
      <c r="K1251" s="87"/>
      <c r="L1251" s="14" t="s">
        <v>5433</v>
      </c>
      <c r="M1251" s="324">
        <f t="shared" ref="M1251:M1263" si="194">IF(I1251="Staff Accident","Entry Required",IF(I1251="Assaults","Entry Required",0))</f>
        <v>0</v>
      </c>
      <c r="N1251" s="14" t="s">
        <v>1879</v>
      </c>
      <c r="O1251" s="14" t="s">
        <v>1879</v>
      </c>
      <c r="P1251" s="167" t="s">
        <v>143</v>
      </c>
      <c r="Q1251" s="14"/>
      <c r="R1251" s="170">
        <v>0</v>
      </c>
      <c r="S1251" s="108">
        <f t="shared" si="191"/>
        <v>45783</v>
      </c>
      <c r="T1251" s="79">
        <v>45755</v>
      </c>
      <c r="U1251" s="14"/>
      <c r="V1251" s="14"/>
      <c r="W1251" s="14"/>
      <c r="X1251" s="14"/>
      <c r="Z1251" s="14"/>
      <c r="AA1251" s="2">
        <f t="shared" ca="1" si="192"/>
        <v>1</v>
      </c>
      <c r="AB1251" s="153"/>
      <c r="AC1251" s="454" t="str">
        <f t="shared" si="189"/>
        <v/>
      </c>
    </row>
    <row r="1252" spans="1:29" ht="87" x14ac:dyDescent="0.35">
      <c r="A1252" s="89" t="str">
        <f t="shared" ca="1" si="193"/>
        <v>Overdue</v>
      </c>
      <c r="B1252" s="222">
        <v>45874</v>
      </c>
      <c r="C1252" s="14">
        <v>2505</v>
      </c>
      <c r="D1252" s="14" t="s">
        <v>5434</v>
      </c>
      <c r="E1252" s="14" t="s">
        <v>37</v>
      </c>
      <c r="F1252" s="14" t="s">
        <v>1910</v>
      </c>
      <c r="G1252" s="14" t="s">
        <v>1900</v>
      </c>
      <c r="H1252" s="176">
        <v>114</v>
      </c>
      <c r="I1252" s="332" t="s">
        <v>140</v>
      </c>
      <c r="J1252" s="87">
        <v>61202</v>
      </c>
      <c r="K1252" s="87"/>
      <c r="L1252" s="14" t="s">
        <v>5435</v>
      </c>
      <c r="M1252" s="324">
        <f t="shared" si="194"/>
        <v>0</v>
      </c>
      <c r="N1252" s="14" t="s">
        <v>1879</v>
      </c>
      <c r="O1252" s="14" t="s">
        <v>1879</v>
      </c>
      <c r="P1252" s="167" t="s">
        <v>147</v>
      </c>
      <c r="Q1252" s="14" t="s">
        <v>153</v>
      </c>
      <c r="R1252" s="223" t="s">
        <v>234</v>
      </c>
      <c r="S1252" s="224">
        <f t="shared" si="191"/>
        <v>45902</v>
      </c>
      <c r="T1252" s="14"/>
      <c r="U1252" s="14"/>
      <c r="V1252" s="14"/>
      <c r="W1252" s="14"/>
      <c r="X1252" s="14"/>
      <c r="Y1252" s="23" t="s">
        <v>1915</v>
      </c>
      <c r="Z1252" s="14" t="s">
        <v>5350</v>
      </c>
      <c r="AA1252" s="2">
        <f t="shared" ca="1" si="192"/>
        <v>1</v>
      </c>
      <c r="AB1252" s="153"/>
      <c r="AC1252" s="454" t="str">
        <f t="shared" si="189"/>
        <v>1</v>
      </c>
    </row>
    <row r="1253" spans="1:29" ht="55.5" customHeight="1" x14ac:dyDescent="0.35">
      <c r="A1253" s="111" t="str">
        <f t="shared" si="193"/>
        <v>Closed</v>
      </c>
      <c r="B1253" s="222">
        <v>45880</v>
      </c>
      <c r="C1253" s="14">
        <v>2505</v>
      </c>
      <c r="D1253" s="14" t="s">
        <v>5436</v>
      </c>
      <c r="E1253" s="14" t="s">
        <v>180</v>
      </c>
      <c r="F1253" s="14" t="s">
        <v>2019</v>
      </c>
      <c r="G1253" s="14"/>
      <c r="H1253" s="176"/>
      <c r="I1253" s="332" t="s">
        <v>140</v>
      </c>
      <c r="J1253" s="87"/>
      <c r="K1253" s="87"/>
      <c r="L1253" s="14" t="s">
        <v>5437</v>
      </c>
      <c r="M1253" s="324">
        <f t="shared" si="194"/>
        <v>0</v>
      </c>
      <c r="N1253" s="14" t="s">
        <v>1879</v>
      </c>
      <c r="O1253" s="14" t="s">
        <v>1879</v>
      </c>
      <c r="P1253" s="167" t="s">
        <v>143</v>
      </c>
      <c r="Q1253" s="14"/>
      <c r="R1253" s="170">
        <v>0</v>
      </c>
      <c r="S1253" s="108">
        <f t="shared" si="191"/>
        <v>45908</v>
      </c>
      <c r="T1253" s="79">
        <v>45880</v>
      </c>
      <c r="U1253" s="14"/>
      <c r="V1253" s="14"/>
      <c r="W1253" s="14"/>
      <c r="X1253" s="14"/>
      <c r="Z1253" s="14"/>
      <c r="AA1253" s="2">
        <f t="shared" ca="1" si="192"/>
        <v>1</v>
      </c>
      <c r="AB1253" s="153"/>
      <c r="AC1253" s="454" t="str">
        <f t="shared" si="189"/>
        <v/>
      </c>
    </row>
    <row r="1254" spans="1:29" ht="43.5" x14ac:dyDescent="0.35">
      <c r="A1254" s="111" t="str">
        <f t="shared" si="193"/>
        <v>Closed</v>
      </c>
      <c r="B1254" s="222">
        <v>45880</v>
      </c>
      <c r="C1254" s="14">
        <v>2505</v>
      </c>
      <c r="D1254" s="14" t="s">
        <v>5438</v>
      </c>
      <c r="E1254" s="14" t="s">
        <v>8</v>
      </c>
      <c r="F1254" s="14" t="s">
        <v>2073</v>
      </c>
      <c r="G1254" s="14" t="s">
        <v>1911</v>
      </c>
      <c r="H1254" s="176">
        <v>104</v>
      </c>
      <c r="I1254" s="332" t="s">
        <v>140</v>
      </c>
      <c r="J1254" s="87"/>
      <c r="K1254" s="87"/>
      <c r="L1254" s="14" t="s">
        <v>5439</v>
      </c>
      <c r="M1254" s="324">
        <f t="shared" si="194"/>
        <v>0</v>
      </c>
      <c r="N1254" s="14" t="s">
        <v>1879</v>
      </c>
      <c r="O1254" s="14" t="s">
        <v>1879</v>
      </c>
      <c r="P1254" s="167" t="s">
        <v>143</v>
      </c>
      <c r="Q1254" s="14"/>
      <c r="R1254" s="170">
        <v>0</v>
      </c>
      <c r="S1254" s="108">
        <f t="shared" si="191"/>
        <v>45908</v>
      </c>
      <c r="T1254" s="79">
        <v>45880</v>
      </c>
      <c r="U1254" s="14"/>
      <c r="V1254" s="14"/>
      <c r="W1254" s="14"/>
      <c r="X1254" s="14"/>
      <c r="Z1254" s="14"/>
      <c r="AA1254" s="2">
        <f t="shared" ca="1" si="192"/>
        <v>1</v>
      </c>
      <c r="AB1254" s="153"/>
      <c r="AC1254" s="454" t="str">
        <f t="shared" si="189"/>
        <v>1</v>
      </c>
    </row>
    <row r="1255" spans="1:29" ht="58" x14ac:dyDescent="0.35">
      <c r="A1255" s="111" t="str">
        <f t="shared" si="193"/>
        <v>Closed</v>
      </c>
      <c r="B1255" s="222">
        <v>45881</v>
      </c>
      <c r="C1255" s="14">
        <v>2505</v>
      </c>
      <c r="D1255" s="14" t="s">
        <v>5440</v>
      </c>
      <c r="E1255" s="14" t="s">
        <v>192</v>
      </c>
      <c r="F1255" s="14" t="s">
        <v>3086</v>
      </c>
      <c r="G1255" s="14" t="s">
        <v>1911</v>
      </c>
      <c r="H1255" s="14">
        <v>118</v>
      </c>
      <c r="I1255" s="332" t="s">
        <v>140</v>
      </c>
      <c r="K1255" s="87"/>
      <c r="L1255" s="14" t="s">
        <v>5441</v>
      </c>
      <c r="M1255" s="324">
        <f t="shared" si="194"/>
        <v>0</v>
      </c>
      <c r="N1255" s="14" t="s">
        <v>1879</v>
      </c>
      <c r="O1255" s="14" t="s">
        <v>1879</v>
      </c>
      <c r="P1255" s="167" t="s">
        <v>143</v>
      </c>
      <c r="Q1255" s="14"/>
      <c r="R1255" s="170">
        <v>0</v>
      </c>
      <c r="S1255" s="108">
        <f t="shared" si="191"/>
        <v>45909</v>
      </c>
      <c r="T1255" s="79">
        <v>45881</v>
      </c>
      <c r="U1255" s="14"/>
      <c r="V1255" s="14"/>
      <c r="W1255" s="14"/>
      <c r="X1255" s="14"/>
      <c r="Z1255" s="14"/>
      <c r="AA1255" s="2">
        <f t="shared" ca="1" si="192"/>
        <v>1</v>
      </c>
      <c r="AB1255" s="153"/>
      <c r="AC1255" s="454" t="str">
        <f t="shared" si="189"/>
        <v>1</v>
      </c>
    </row>
    <row r="1256" spans="1:29" ht="29" x14ac:dyDescent="0.35">
      <c r="A1256" s="111" t="str">
        <f t="shared" si="193"/>
        <v>Closed</v>
      </c>
      <c r="B1256" s="222">
        <v>45881</v>
      </c>
      <c r="C1256" s="14">
        <v>2505</v>
      </c>
      <c r="D1256" s="14" t="s">
        <v>5442</v>
      </c>
      <c r="E1256" s="14" t="s">
        <v>192</v>
      </c>
      <c r="F1256" s="14" t="s">
        <v>2299</v>
      </c>
      <c r="G1256" s="14" t="s">
        <v>1911</v>
      </c>
      <c r="H1256" s="14">
        <v>111</v>
      </c>
      <c r="I1256" s="332" t="s">
        <v>140</v>
      </c>
      <c r="K1256" s="87"/>
      <c r="L1256" s="14" t="s">
        <v>5443</v>
      </c>
      <c r="M1256" s="324">
        <f t="shared" si="194"/>
        <v>0</v>
      </c>
      <c r="N1256" s="14" t="s">
        <v>1879</v>
      </c>
      <c r="O1256" s="14" t="s">
        <v>1879</v>
      </c>
      <c r="P1256" s="167" t="s">
        <v>143</v>
      </c>
      <c r="Q1256" s="14"/>
      <c r="R1256" s="170">
        <v>0</v>
      </c>
      <c r="S1256" s="108">
        <f t="shared" si="191"/>
        <v>45909</v>
      </c>
      <c r="T1256" s="79">
        <v>45881</v>
      </c>
      <c r="U1256" s="14"/>
      <c r="V1256" s="14"/>
      <c r="W1256" s="14"/>
      <c r="X1256" s="14"/>
      <c r="Z1256" s="14"/>
      <c r="AA1256" s="2">
        <f t="shared" ca="1" si="192"/>
        <v>1</v>
      </c>
      <c r="AB1256" s="153"/>
      <c r="AC1256" s="454" t="str">
        <f t="shared" si="189"/>
        <v>1</v>
      </c>
    </row>
    <row r="1257" spans="1:29" ht="101.5" x14ac:dyDescent="0.35">
      <c r="A1257" s="111" t="str">
        <f t="shared" si="193"/>
        <v>Closed</v>
      </c>
      <c r="B1257" s="222">
        <v>45881</v>
      </c>
      <c r="C1257" s="14">
        <v>2505</v>
      </c>
      <c r="D1257" s="14" t="s">
        <v>5444</v>
      </c>
      <c r="E1257" s="14" t="s">
        <v>61</v>
      </c>
      <c r="F1257" s="14" t="s">
        <v>1985</v>
      </c>
      <c r="G1257" s="14" t="s">
        <v>1900</v>
      </c>
      <c r="H1257" s="14">
        <v>113</v>
      </c>
      <c r="I1257" s="332" t="s">
        <v>140</v>
      </c>
      <c r="K1257" s="87"/>
      <c r="L1257" s="14" t="s">
        <v>5445</v>
      </c>
      <c r="M1257" s="324">
        <f t="shared" si="194"/>
        <v>0</v>
      </c>
      <c r="N1257" s="14" t="s">
        <v>1879</v>
      </c>
      <c r="O1257" s="14" t="s">
        <v>1879</v>
      </c>
      <c r="P1257" s="167" t="s">
        <v>143</v>
      </c>
      <c r="Q1257" s="14"/>
      <c r="R1257" s="170">
        <v>0</v>
      </c>
      <c r="S1257" s="108">
        <f t="shared" si="191"/>
        <v>45909</v>
      </c>
      <c r="T1257" s="79">
        <v>45885</v>
      </c>
      <c r="U1257" s="14"/>
      <c r="V1257" s="14"/>
      <c r="W1257" s="14"/>
      <c r="X1257" s="14"/>
      <c r="Z1257" s="14"/>
      <c r="AA1257" s="2">
        <f t="shared" ca="1" si="192"/>
        <v>1</v>
      </c>
      <c r="AB1257" s="153"/>
      <c r="AC1257" s="454" t="str">
        <f t="shared" si="189"/>
        <v>1</v>
      </c>
    </row>
    <row r="1258" spans="1:29" ht="43.5" x14ac:dyDescent="0.35">
      <c r="A1258" s="111" t="str">
        <f t="shared" si="193"/>
        <v>Closed</v>
      </c>
      <c r="B1258" s="222">
        <v>45881</v>
      </c>
      <c r="C1258" s="14">
        <v>2505</v>
      </c>
      <c r="D1258" s="14" t="s">
        <v>5446</v>
      </c>
      <c r="E1258" s="14" t="s">
        <v>8</v>
      </c>
      <c r="F1258" s="14" t="s">
        <v>2073</v>
      </c>
      <c r="G1258" s="14" t="s">
        <v>1911</v>
      </c>
      <c r="H1258" s="14">
        <v>119</v>
      </c>
      <c r="I1258" s="332" t="s">
        <v>140</v>
      </c>
      <c r="K1258" s="87"/>
      <c r="L1258" s="14" t="s">
        <v>5447</v>
      </c>
      <c r="M1258" s="324">
        <f t="shared" si="194"/>
        <v>0</v>
      </c>
      <c r="N1258" s="14" t="s">
        <v>1879</v>
      </c>
      <c r="O1258" s="14" t="s">
        <v>1879</v>
      </c>
      <c r="P1258" s="167" t="s">
        <v>143</v>
      </c>
      <c r="Q1258" s="14"/>
      <c r="R1258" s="170">
        <v>0</v>
      </c>
      <c r="S1258" s="108">
        <f t="shared" si="191"/>
        <v>45909</v>
      </c>
      <c r="T1258" s="79">
        <v>45881</v>
      </c>
      <c r="U1258" s="14"/>
      <c r="V1258" s="14"/>
      <c r="W1258" s="14"/>
      <c r="X1258" s="14"/>
      <c r="Z1258" s="14"/>
      <c r="AA1258" s="2">
        <f t="shared" ca="1" si="192"/>
        <v>1</v>
      </c>
      <c r="AB1258" s="153"/>
      <c r="AC1258" s="454" t="str">
        <f t="shared" si="189"/>
        <v>1</v>
      </c>
    </row>
    <row r="1259" spans="1:29" ht="145" x14ac:dyDescent="0.35">
      <c r="A1259" s="111" t="str">
        <f t="shared" si="193"/>
        <v>Closed</v>
      </c>
      <c r="B1259" s="222">
        <v>45881</v>
      </c>
      <c r="C1259" s="14">
        <v>2505</v>
      </c>
      <c r="D1259" s="14" t="s">
        <v>5448</v>
      </c>
      <c r="E1259" s="14" t="s">
        <v>8</v>
      </c>
      <c r="F1259" s="14" t="s">
        <v>1925</v>
      </c>
      <c r="G1259" s="14" t="s">
        <v>1911</v>
      </c>
      <c r="H1259" s="14"/>
      <c r="I1259" s="332" t="s">
        <v>140</v>
      </c>
      <c r="K1259" s="87"/>
      <c r="L1259" s="14" t="s">
        <v>5449</v>
      </c>
      <c r="M1259" s="324">
        <f t="shared" si="194"/>
        <v>0</v>
      </c>
      <c r="N1259" s="14" t="s">
        <v>1879</v>
      </c>
      <c r="O1259" s="14" t="s">
        <v>1879</v>
      </c>
      <c r="P1259" s="167" t="s">
        <v>143</v>
      </c>
      <c r="Q1259" s="14"/>
      <c r="R1259" s="170">
        <v>0</v>
      </c>
      <c r="S1259" s="108">
        <f t="shared" si="191"/>
        <v>45909</v>
      </c>
      <c r="T1259" s="79">
        <v>45881</v>
      </c>
      <c r="U1259" s="14"/>
      <c r="V1259" s="14"/>
      <c r="W1259" s="14"/>
      <c r="X1259" s="14"/>
      <c r="Y1259" s="14" t="s">
        <v>1929</v>
      </c>
      <c r="Z1259" s="14"/>
      <c r="AA1259" s="2">
        <f t="shared" ca="1" si="192"/>
        <v>1</v>
      </c>
      <c r="AB1259" s="153"/>
      <c r="AC1259" s="454" t="str">
        <f t="shared" si="189"/>
        <v/>
      </c>
    </row>
    <row r="1260" spans="1:29" ht="101.5" x14ac:dyDescent="0.35">
      <c r="A1260" s="89" t="str">
        <f t="shared" ca="1" si="193"/>
        <v>Overdue</v>
      </c>
      <c r="B1260" s="222">
        <v>45882</v>
      </c>
      <c r="C1260" s="14">
        <v>2505</v>
      </c>
      <c r="D1260" s="14" t="s">
        <v>5450</v>
      </c>
      <c r="E1260" s="14" t="s">
        <v>31</v>
      </c>
      <c r="F1260" s="14" t="s">
        <v>3119</v>
      </c>
      <c r="G1260" s="14" t="s">
        <v>1900</v>
      </c>
      <c r="H1260" s="14">
        <v>106</v>
      </c>
      <c r="I1260" s="332" t="s">
        <v>155</v>
      </c>
      <c r="K1260" s="87"/>
      <c r="L1260" s="14" t="s">
        <v>5451</v>
      </c>
      <c r="M1260" s="324">
        <f t="shared" si="194"/>
        <v>0</v>
      </c>
      <c r="N1260" s="14" t="s">
        <v>1879</v>
      </c>
      <c r="O1260" s="14" t="s">
        <v>1879</v>
      </c>
      <c r="P1260" s="167" t="s">
        <v>151</v>
      </c>
      <c r="Q1260" s="14" t="s">
        <v>173</v>
      </c>
      <c r="R1260" s="223" t="s">
        <v>236</v>
      </c>
      <c r="S1260" s="224">
        <f t="shared" si="191"/>
        <v>45910</v>
      </c>
      <c r="T1260" s="79"/>
      <c r="U1260" s="14"/>
      <c r="V1260" s="14"/>
      <c r="W1260" s="14"/>
      <c r="X1260" s="14"/>
      <c r="Z1260" s="14" t="s">
        <v>5315</v>
      </c>
      <c r="AA1260" s="2">
        <f t="shared" ca="1" si="192"/>
        <v>1</v>
      </c>
      <c r="AB1260" s="153"/>
      <c r="AC1260" s="454" t="str">
        <f t="shared" si="189"/>
        <v>1</v>
      </c>
    </row>
    <row r="1261" spans="1:29" ht="29" x14ac:dyDescent="0.35">
      <c r="A1261" s="89" t="str">
        <f t="shared" ca="1" si="193"/>
        <v>Overdue</v>
      </c>
      <c r="B1261" s="222">
        <v>45885</v>
      </c>
      <c r="C1261" s="14">
        <v>2505</v>
      </c>
      <c r="D1261" s="14" t="s">
        <v>5452</v>
      </c>
      <c r="E1261" s="14" t="s">
        <v>72</v>
      </c>
      <c r="F1261" s="14" t="s">
        <v>2299</v>
      </c>
      <c r="G1261" s="14" t="s">
        <v>1911</v>
      </c>
      <c r="H1261" s="14">
        <v>112</v>
      </c>
      <c r="I1261" s="332" t="s">
        <v>155</v>
      </c>
      <c r="J1261" s="14">
        <v>8500445</v>
      </c>
      <c r="K1261" s="87"/>
      <c r="L1261" s="14" t="s">
        <v>5453</v>
      </c>
      <c r="M1261" s="324">
        <f t="shared" si="194"/>
        <v>0</v>
      </c>
      <c r="N1261" s="14" t="s">
        <v>1879</v>
      </c>
      <c r="O1261" s="14" t="s">
        <v>1880</v>
      </c>
      <c r="P1261" s="167" t="s">
        <v>147</v>
      </c>
      <c r="Q1261" s="14" t="s">
        <v>188</v>
      </c>
      <c r="R1261" s="223" t="s">
        <v>234</v>
      </c>
      <c r="S1261" s="224">
        <f t="shared" si="191"/>
        <v>45913</v>
      </c>
      <c r="T1261" s="14"/>
      <c r="U1261" s="14"/>
      <c r="V1261" s="14"/>
      <c r="W1261" s="14"/>
      <c r="X1261" s="14"/>
      <c r="Z1261" s="14" t="s">
        <v>5454</v>
      </c>
      <c r="AA1261" s="2">
        <f t="shared" ca="1" si="192"/>
        <v>1</v>
      </c>
      <c r="AB1261" s="153"/>
      <c r="AC1261" s="454" t="str">
        <f t="shared" si="189"/>
        <v>1</v>
      </c>
    </row>
    <row r="1262" spans="1:29" ht="58" x14ac:dyDescent="0.35">
      <c r="A1262" s="89" t="str">
        <f t="shared" ca="1" si="193"/>
        <v>Overdue</v>
      </c>
      <c r="B1262" s="222">
        <v>45886</v>
      </c>
      <c r="C1262" s="14">
        <v>2506</v>
      </c>
      <c r="D1262" s="14" t="s">
        <v>5455</v>
      </c>
      <c r="E1262" s="14" t="s">
        <v>209</v>
      </c>
      <c r="F1262" s="14" t="s">
        <v>2969</v>
      </c>
      <c r="G1262" s="14" t="s">
        <v>1911</v>
      </c>
      <c r="H1262" s="14">
        <v>205</v>
      </c>
      <c r="I1262" s="332" t="s">
        <v>155</v>
      </c>
      <c r="K1262" s="87"/>
      <c r="L1262" s="14" t="s">
        <v>5456</v>
      </c>
      <c r="M1262" s="324">
        <f t="shared" si="194"/>
        <v>0</v>
      </c>
      <c r="N1262" s="14" t="s">
        <v>1880</v>
      </c>
      <c r="O1262" s="14" t="s">
        <v>1880</v>
      </c>
      <c r="P1262" s="167" t="s">
        <v>147</v>
      </c>
      <c r="Q1262" s="14" t="s">
        <v>188</v>
      </c>
      <c r="R1262" s="223" t="s">
        <v>234</v>
      </c>
      <c r="S1262" s="224">
        <f t="shared" si="191"/>
        <v>45914</v>
      </c>
      <c r="T1262" s="14"/>
      <c r="U1262" s="14"/>
      <c r="V1262" s="14"/>
      <c r="W1262" s="14"/>
      <c r="X1262" s="14"/>
      <c r="Z1262" s="14" t="s">
        <v>5454</v>
      </c>
      <c r="AA1262" s="2">
        <f t="shared" ca="1" si="192"/>
        <v>1</v>
      </c>
      <c r="AB1262" s="153"/>
      <c r="AC1262" s="454" t="str">
        <f t="shared" si="189"/>
        <v>2</v>
      </c>
    </row>
    <row r="1263" spans="1:29" ht="43.5" x14ac:dyDescent="0.35">
      <c r="A1263" s="89" t="str">
        <f t="shared" si="193"/>
        <v>Closed</v>
      </c>
      <c r="B1263" s="222">
        <v>45887</v>
      </c>
      <c r="C1263" s="14">
        <v>2506</v>
      </c>
      <c r="D1263" s="14" t="s">
        <v>5457</v>
      </c>
      <c r="E1263" s="14" t="s">
        <v>27</v>
      </c>
      <c r="F1263" s="14" t="s">
        <v>1910</v>
      </c>
      <c r="G1263" s="14"/>
      <c r="H1263" s="14">
        <v>109</v>
      </c>
      <c r="I1263" s="332" t="s">
        <v>5</v>
      </c>
      <c r="K1263" s="87"/>
      <c r="L1263" s="14" t="s">
        <v>5458</v>
      </c>
      <c r="M1263" s="324">
        <f t="shared" si="194"/>
        <v>0</v>
      </c>
      <c r="N1263" s="14" t="s">
        <v>1879</v>
      </c>
      <c r="O1263" s="14" t="s">
        <v>1879</v>
      </c>
      <c r="P1263" s="167" t="s">
        <v>147</v>
      </c>
      <c r="Q1263" s="14" t="s">
        <v>177</v>
      </c>
      <c r="R1263" s="223" t="s">
        <v>234</v>
      </c>
      <c r="S1263" s="224">
        <f t="shared" si="191"/>
        <v>45915</v>
      </c>
      <c r="T1263" s="79">
        <v>45953</v>
      </c>
      <c r="U1263" s="14" t="s">
        <v>5459</v>
      </c>
      <c r="V1263" s="14" t="s">
        <v>5460</v>
      </c>
      <c r="W1263" s="14" t="s">
        <v>1879</v>
      </c>
      <c r="X1263" s="14" t="s">
        <v>1883</v>
      </c>
      <c r="Y1263" s="23" t="s">
        <v>1915</v>
      </c>
      <c r="Z1263" s="14" t="s">
        <v>4174</v>
      </c>
      <c r="AA1263" s="2">
        <f t="shared" ca="1" si="192"/>
        <v>1</v>
      </c>
      <c r="AB1263" s="153"/>
      <c r="AC1263" s="454" t="str">
        <f t="shared" si="189"/>
        <v>1</v>
      </c>
    </row>
    <row r="1264" spans="1:29" s="318" customFormat="1" ht="72.5" x14ac:dyDescent="0.35">
      <c r="A1264" s="313" t="str">
        <f t="shared" si="193"/>
        <v>Closed</v>
      </c>
      <c r="B1264" s="314">
        <v>45888</v>
      </c>
      <c r="C1264" s="217">
        <v>2506</v>
      </c>
      <c r="D1264" s="217" t="s">
        <v>1707</v>
      </c>
      <c r="E1264" s="217" t="s">
        <v>38</v>
      </c>
      <c r="F1264" s="217" t="s">
        <v>1972</v>
      </c>
      <c r="G1264" s="217"/>
      <c r="H1264" s="217"/>
      <c r="I1264" s="349" t="s">
        <v>2</v>
      </c>
      <c r="J1264" s="217"/>
      <c r="K1264" s="342" t="s">
        <v>137</v>
      </c>
      <c r="L1264" s="217" t="s">
        <v>5461</v>
      </c>
      <c r="M1264" s="341">
        <v>0</v>
      </c>
      <c r="N1264" s="217" t="s">
        <v>1879</v>
      </c>
      <c r="O1264" s="217" t="s">
        <v>1880</v>
      </c>
      <c r="P1264" s="315" t="s">
        <v>147</v>
      </c>
      <c r="Q1264" s="217" t="s">
        <v>160</v>
      </c>
      <c r="R1264" s="320" t="s">
        <v>236</v>
      </c>
      <c r="S1264" s="321">
        <f t="shared" si="191"/>
        <v>45916</v>
      </c>
      <c r="T1264" s="319">
        <v>45947</v>
      </c>
      <c r="U1264" s="217" t="s">
        <v>5462</v>
      </c>
      <c r="V1264" s="217" t="s">
        <v>5463</v>
      </c>
      <c r="W1264" s="217" t="s">
        <v>1879</v>
      </c>
      <c r="X1264" s="217" t="s">
        <v>1880</v>
      </c>
      <c r="Y1264" s="217"/>
      <c r="Z1264" s="217" t="s">
        <v>5464</v>
      </c>
      <c r="AA1264" s="316">
        <f t="shared" ca="1" si="192"/>
        <v>1</v>
      </c>
      <c r="AB1264" s="317"/>
      <c r="AC1264" s="455" t="str">
        <f t="shared" si="189"/>
        <v/>
      </c>
    </row>
    <row r="1265" spans="1:29" x14ac:dyDescent="0.35">
      <c r="A1265" s="111" t="str">
        <f t="shared" si="193"/>
        <v>Closed</v>
      </c>
      <c r="B1265" s="222">
        <v>45889</v>
      </c>
      <c r="C1265" s="14">
        <v>2506</v>
      </c>
      <c r="D1265" s="14" t="s">
        <v>5465</v>
      </c>
      <c r="E1265" s="14" t="s">
        <v>31</v>
      </c>
      <c r="F1265" s="14" t="s">
        <v>1947</v>
      </c>
      <c r="G1265" s="14" t="s">
        <v>1911</v>
      </c>
      <c r="H1265" s="14">
        <v>119</v>
      </c>
      <c r="I1265" s="332" t="s">
        <v>140</v>
      </c>
      <c r="J1265" s="14">
        <v>58403</v>
      </c>
      <c r="K1265" s="87"/>
      <c r="L1265" s="14" t="s">
        <v>5466</v>
      </c>
      <c r="M1265" s="324">
        <f>IF(I1265="Staff Accident","Entry Required",IF(I1265="Assaults","Entry Required",0))</f>
        <v>0</v>
      </c>
      <c r="N1265" s="14" t="s">
        <v>1879</v>
      </c>
      <c r="O1265" s="14" t="s">
        <v>1880</v>
      </c>
      <c r="P1265" s="167" t="s">
        <v>143</v>
      </c>
      <c r="Q1265" s="14"/>
      <c r="R1265" s="170">
        <v>0</v>
      </c>
      <c r="S1265" s="108">
        <v>45897</v>
      </c>
      <c r="T1265" s="79">
        <v>45897</v>
      </c>
      <c r="U1265" s="14"/>
      <c r="V1265" s="14"/>
      <c r="W1265" s="14"/>
      <c r="X1265" s="14"/>
      <c r="Z1265" s="14"/>
      <c r="AA1265" s="2">
        <f t="shared" ca="1" si="192"/>
        <v>1</v>
      </c>
      <c r="AB1265" s="153"/>
      <c r="AC1265" s="454" t="str">
        <f t="shared" si="189"/>
        <v>1</v>
      </c>
    </row>
    <row r="1266" spans="1:29" ht="43.5" x14ac:dyDescent="0.35">
      <c r="A1266" s="89" t="str">
        <f t="shared" si="193"/>
        <v>Closed</v>
      </c>
      <c r="B1266" s="222">
        <v>45891</v>
      </c>
      <c r="C1266" s="14">
        <v>2506</v>
      </c>
      <c r="D1266" s="14" t="s">
        <v>5467</v>
      </c>
      <c r="E1266" s="14" t="s">
        <v>37</v>
      </c>
      <c r="F1266" s="14" t="s">
        <v>2212</v>
      </c>
      <c r="G1266" s="14" t="s">
        <v>1900</v>
      </c>
      <c r="H1266" s="14">
        <v>203</v>
      </c>
      <c r="I1266" s="332" t="s">
        <v>5</v>
      </c>
      <c r="J1266" s="14">
        <v>58403</v>
      </c>
      <c r="K1266" s="87"/>
      <c r="L1266" s="14" t="s">
        <v>5468</v>
      </c>
      <c r="M1266" s="324">
        <f>IF(I1266="Staff Accident","Entry Required",IF(I1266="Assaults","Entry Required",0))</f>
        <v>0</v>
      </c>
      <c r="N1266" s="14" t="s">
        <v>1879</v>
      </c>
      <c r="O1266" s="14" t="s">
        <v>1880</v>
      </c>
      <c r="P1266" s="167" t="s">
        <v>147</v>
      </c>
      <c r="Q1266" s="14" t="s">
        <v>174</v>
      </c>
      <c r="R1266" s="223" t="s">
        <v>234</v>
      </c>
      <c r="S1266" s="224">
        <f t="shared" ref="S1266:S1306" si="195">IF(B1266="","",B1266+28)</f>
        <v>45919</v>
      </c>
      <c r="T1266" s="79">
        <v>46037</v>
      </c>
      <c r="U1266" s="14"/>
      <c r="V1266" s="14"/>
      <c r="W1266" s="14"/>
      <c r="X1266" s="14"/>
      <c r="Y1266" s="14" t="s">
        <v>2216</v>
      </c>
      <c r="Z1266" s="14" t="s">
        <v>5341</v>
      </c>
      <c r="AA1266" s="2">
        <f t="shared" ca="1" si="192"/>
        <v>1</v>
      </c>
      <c r="AB1266" s="153"/>
      <c r="AC1266" s="454" t="str">
        <f t="shared" si="189"/>
        <v>2</v>
      </c>
    </row>
    <row r="1267" spans="1:29" ht="87" x14ac:dyDescent="0.35">
      <c r="A1267" s="89" t="str">
        <f t="shared" ca="1" si="193"/>
        <v>Overdue</v>
      </c>
      <c r="B1267" s="222">
        <v>45893</v>
      </c>
      <c r="C1267" s="14">
        <v>2506</v>
      </c>
      <c r="D1267" s="14" t="s">
        <v>5469</v>
      </c>
      <c r="E1267" s="14" t="s">
        <v>40</v>
      </c>
      <c r="F1267" s="14" t="s">
        <v>1937</v>
      </c>
      <c r="G1267" s="14" t="s">
        <v>1900</v>
      </c>
      <c r="H1267" s="14"/>
      <c r="I1267" s="332" t="s">
        <v>4</v>
      </c>
      <c r="K1267" s="14" t="s">
        <v>137</v>
      </c>
      <c r="L1267" s="14" t="s">
        <v>5470</v>
      </c>
      <c r="M1267" s="324">
        <v>0</v>
      </c>
      <c r="N1267" s="14" t="s">
        <v>1879</v>
      </c>
      <c r="O1267" s="14" t="s">
        <v>1880</v>
      </c>
      <c r="P1267" s="167" t="s">
        <v>147</v>
      </c>
      <c r="Q1267" s="14" t="s">
        <v>153</v>
      </c>
      <c r="R1267" s="223" t="s">
        <v>234</v>
      </c>
      <c r="S1267" s="224">
        <f t="shared" si="195"/>
        <v>45921</v>
      </c>
      <c r="T1267" s="14"/>
      <c r="U1267" s="14"/>
      <c r="V1267" s="14"/>
      <c r="W1267" s="14"/>
      <c r="X1267" s="14"/>
      <c r="Z1267" s="14" t="s">
        <v>5350</v>
      </c>
      <c r="AA1267" s="2">
        <f t="shared" ca="1" si="192"/>
        <v>1</v>
      </c>
      <c r="AB1267" s="153"/>
      <c r="AC1267" s="454" t="str">
        <f t="shared" si="189"/>
        <v/>
      </c>
    </row>
    <row r="1268" spans="1:29" ht="87" x14ac:dyDescent="0.35">
      <c r="A1268" s="89" t="str">
        <f t="shared" ca="1" si="193"/>
        <v>Overdue</v>
      </c>
      <c r="B1268" s="222">
        <v>45896</v>
      </c>
      <c r="C1268" s="14">
        <v>2506</v>
      </c>
      <c r="D1268" s="14" t="s">
        <v>5471</v>
      </c>
      <c r="E1268" s="14" t="s">
        <v>64</v>
      </c>
      <c r="F1268" s="14" t="s">
        <v>5472</v>
      </c>
      <c r="G1268" s="14" t="s">
        <v>1911</v>
      </c>
      <c r="H1268" s="14">
        <v>107</v>
      </c>
      <c r="I1268" s="332" t="s">
        <v>144</v>
      </c>
      <c r="K1268" s="87"/>
      <c r="L1268" s="14" t="s">
        <v>5473</v>
      </c>
      <c r="M1268" s="324">
        <f t="shared" ref="M1268:M1305" si="196">IF(I1268="Staff Accident","Entry Required",IF(I1268="Assaults","Entry Required",0))</f>
        <v>0</v>
      </c>
      <c r="N1268" s="14" t="s">
        <v>1880</v>
      </c>
      <c r="O1268" s="14" t="s">
        <v>1879</v>
      </c>
      <c r="P1268" s="167" t="s">
        <v>147</v>
      </c>
      <c r="Q1268" s="14" t="s">
        <v>191</v>
      </c>
      <c r="R1268" s="223" t="s">
        <v>236</v>
      </c>
      <c r="S1268" s="224">
        <f t="shared" si="195"/>
        <v>45924</v>
      </c>
      <c r="T1268" s="14"/>
      <c r="U1268" s="14"/>
      <c r="V1268" s="14"/>
      <c r="W1268" s="14"/>
      <c r="X1268" s="14"/>
      <c r="Z1268" s="14" t="s">
        <v>5315</v>
      </c>
      <c r="AA1268" s="2">
        <f t="shared" ca="1" si="192"/>
        <v>1</v>
      </c>
      <c r="AB1268" s="153"/>
      <c r="AC1268" s="454" t="str">
        <f t="shared" si="189"/>
        <v>1</v>
      </c>
    </row>
    <row r="1269" spans="1:29" ht="43.5" x14ac:dyDescent="0.35">
      <c r="A1269" s="89" t="str">
        <f t="shared" ca="1" si="193"/>
        <v>Overdue</v>
      </c>
      <c r="B1269" s="222">
        <v>45889</v>
      </c>
      <c r="C1269" s="14">
        <v>2506</v>
      </c>
      <c r="D1269" s="14" t="s">
        <v>5474</v>
      </c>
      <c r="E1269" s="14" t="s">
        <v>31</v>
      </c>
      <c r="F1269" s="14" t="s">
        <v>2962</v>
      </c>
      <c r="G1269" s="14"/>
      <c r="H1269" s="14">
        <v>119</v>
      </c>
      <c r="I1269" s="332" t="s">
        <v>155</v>
      </c>
      <c r="K1269" s="87"/>
      <c r="L1269" s="14" t="s">
        <v>5475</v>
      </c>
      <c r="M1269" s="324">
        <f t="shared" si="196"/>
        <v>0</v>
      </c>
      <c r="N1269" s="14" t="s">
        <v>1879</v>
      </c>
      <c r="O1269" s="14" t="s">
        <v>1880</v>
      </c>
      <c r="P1269" s="167" t="s">
        <v>147</v>
      </c>
      <c r="Q1269" s="14" t="s">
        <v>174</v>
      </c>
      <c r="R1269" s="223" t="s">
        <v>234</v>
      </c>
      <c r="S1269" s="224">
        <f t="shared" si="195"/>
        <v>45917</v>
      </c>
      <c r="T1269" s="14"/>
      <c r="U1269" s="14"/>
      <c r="V1269" s="14"/>
      <c r="W1269" s="14"/>
      <c r="X1269" s="14"/>
      <c r="Z1269" s="14" t="s">
        <v>5476</v>
      </c>
      <c r="AA1269" s="2">
        <f t="shared" ca="1" si="192"/>
        <v>1</v>
      </c>
      <c r="AB1269" s="153"/>
      <c r="AC1269" s="454" t="str">
        <f t="shared" si="189"/>
        <v>1</v>
      </c>
    </row>
    <row r="1270" spans="1:29" ht="29" x14ac:dyDescent="0.35">
      <c r="A1270" s="169" t="str">
        <f t="shared" si="193"/>
        <v>Closed</v>
      </c>
      <c r="B1270" s="226">
        <v>45889</v>
      </c>
      <c r="C1270" s="14">
        <v>2506</v>
      </c>
      <c r="D1270" s="14" t="s">
        <v>5477</v>
      </c>
      <c r="E1270" s="14" t="s">
        <v>192</v>
      </c>
      <c r="F1270" s="14" t="s">
        <v>1910</v>
      </c>
      <c r="G1270" s="14" t="s">
        <v>1900</v>
      </c>
      <c r="H1270" s="14">
        <v>119</v>
      </c>
      <c r="I1270" s="332" t="s">
        <v>140</v>
      </c>
      <c r="K1270" s="87"/>
      <c r="L1270" s="14" t="s">
        <v>5478</v>
      </c>
      <c r="M1270" s="324">
        <f t="shared" si="196"/>
        <v>0</v>
      </c>
      <c r="N1270" s="14" t="s">
        <v>1879</v>
      </c>
      <c r="O1270" s="14" t="s">
        <v>1879</v>
      </c>
      <c r="P1270" s="167" t="s">
        <v>143</v>
      </c>
      <c r="Q1270" s="14"/>
      <c r="R1270" s="170">
        <v>0</v>
      </c>
      <c r="S1270" s="108">
        <f t="shared" si="195"/>
        <v>45917</v>
      </c>
      <c r="T1270" s="79">
        <v>45889</v>
      </c>
      <c r="U1270" s="14"/>
      <c r="V1270" s="14"/>
      <c r="W1270" s="14"/>
      <c r="X1270" s="14"/>
      <c r="Y1270" s="23" t="s">
        <v>1915</v>
      </c>
      <c r="Z1270" s="14"/>
      <c r="AA1270" s="2">
        <f t="shared" ca="1" si="192"/>
        <v>1</v>
      </c>
      <c r="AB1270" s="153"/>
      <c r="AC1270" s="454" t="str">
        <f t="shared" si="189"/>
        <v>1</v>
      </c>
    </row>
    <row r="1271" spans="1:29" ht="29" x14ac:dyDescent="0.45">
      <c r="A1271" s="169" t="str">
        <f t="shared" si="193"/>
        <v>Closed</v>
      </c>
      <c r="B1271" s="226">
        <v>45890</v>
      </c>
      <c r="C1271" s="14">
        <v>2506</v>
      </c>
      <c r="D1271" s="14" t="s">
        <v>5479</v>
      </c>
      <c r="E1271" s="14" t="s">
        <v>192</v>
      </c>
      <c r="F1271" s="14" t="s">
        <v>2338</v>
      </c>
      <c r="G1271" s="14"/>
      <c r="H1271" s="30"/>
      <c r="I1271" s="332" t="s">
        <v>140</v>
      </c>
      <c r="K1271" s="87"/>
      <c r="L1271" s="14" t="s">
        <v>5480</v>
      </c>
      <c r="M1271" s="324">
        <f t="shared" si="196"/>
        <v>0</v>
      </c>
      <c r="N1271" s="14" t="s">
        <v>1879</v>
      </c>
      <c r="O1271" s="14" t="s">
        <v>1879</v>
      </c>
      <c r="P1271" s="167" t="s">
        <v>143</v>
      </c>
      <c r="Q1271" s="14"/>
      <c r="R1271" s="170">
        <v>0</v>
      </c>
      <c r="S1271" s="108">
        <f t="shared" si="195"/>
        <v>45918</v>
      </c>
      <c r="T1271" s="79">
        <v>45890</v>
      </c>
      <c r="U1271" s="14"/>
      <c r="V1271" s="14"/>
      <c r="W1271" s="14"/>
      <c r="X1271" s="14"/>
      <c r="Y1271" s="463" t="s">
        <v>2340</v>
      </c>
      <c r="Z1271" s="14"/>
      <c r="AA1271" s="2">
        <f t="shared" ca="1" si="192"/>
        <v>1</v>
      </c>
      <c r="AB1271" s="153"/>
      <c r="AC1271" s="454" t="str">
        <f t="shared" si="189"/>
        <v/>
      </c>
    </row>
    <row r="1272" spans="1:29" ht="29" x14ac:dyDescent="0.35">
      <c r="A1272" s="169" t="str">
        <f t="shared" ca="1" si="193"/>
        <v>Overdue</v>
      </c>
      <c r="B1272" s="222">
        <v>45891</v>
      </c>
      <c r="C1272" s="14">
        <v>2506</v>
      </c>
      <c r="D1272" s="14" t="s">
        <v>5481</v>
      </c>
      <c r="E1272" s="14" t="s">
        <v>72</v>
      </c>
      <c r="F1272" s="14" t="s">
        <v>2533</v>
      </c>
      <c r="G1272" s="14" t="s">
        <v>1911</v>
      </c>
      <c r="H1272" s="14">
        <v>123</v>
      </c>
      <c r="I1272" s="176" t="s">
        <v>155</v>
      </c>
      <c r="K1272" s="87"/>
      <c r="L1272" s="14" t="s">
        <v>5482</v>
      </c>
      <c r="M1272" s="324">
        <f t="shared" si="196"/>
        <v>0</v>
      </c>
      <c r="N1272" s="14" t="s">
        <v>1879</v>
      </c>
      <c r="O1272" s="14" t="s">
        <v>1879</v>
      </c>
      <c r="P1272" s="167" t="s">
        <v>147</v>
      </c>
      <c r="Q1272" s="14" t="s">
        <v>168</v>
      </c>
      <c r="R1272" s="170" t="s">
        <v>234</v>
      </c>
      <c r="S1272" s="108">
        <f t="shared" si="195"/>
        <v>45919</v>
      </c>
      <c r="T1272" s="14"/>
      <c r="U1272" s="14"/>
      <c r="V1272" s="14"/>
      <c r="W1272" s="14"/>
      <c r="X1272" s="14"/>
      <c r="Z1272" s="14" t="s">
        <v>5483</v>
      </c>
      <c r="AA1272" s="2">
        <f t="shared" ca="1" si="192"/>
        <v>1</v>
      </c>
      <c r="AB1272" s="153"/>
      <c r="AC1272" s="454" t="str">
        <f t="shared" si="189"/>
        <v>1</v>
      </c>
    </row>
    <row r="1273" spans="1:29" ht="29" x14ac:dyDescent="0.35">
      <c r="A1273" s="169" t="str">
        <f t="shared" si="193"/>
        <v>Closed</v>
      </c>
      <c r="B1273" s="222">
        <v>45891</v>
      </c>
      <c r="C1273" s="14">
        <v>2506</v>
      </c>
      <c r="D1273" s="14" t="s">
        <v>5484</v>
      </c>
      <c r="E1273" s="14" t="s">
        <v>219</v>
      </c>
      <c r="F1273" s="14" t="s">
        <v>2119</v>
      </c>
      <c r="G1273" s="14" t="s">
        <v>1911</v>
      </c>
      <c r="H1273" s="14">
        <v>102</v>
      </c>
      <c r="I1273" s="176" t="s">
        <v>140</v>
      </c>
      <c r="K1273" s="87"/>
      <c r="L1273" s="14" t="s">
        <v>5485</v>
      </c>
      <c r="M1273" s="324">
        <f t="shared" si="196"/>
        <v>0</v>
      </c>
      <c r="N1273" s="14" t="s">
        <v>1879</v>
      </c>
      <c r="O1273" s="14" t="s">
        <v>1879</v>
      </c>
      <c r="P1273" s="167" t="s">
        <v>143</v>
      </c>
      <c r="Q1273" s="14"/>
      <c r="R1273" s="170">
        <v>0</v>
      </c>
      <c r="S1273" s="108">
        <f t="shared" si="195"/>
        <v>45919</v>
      </c>
      <c r="T1273" s="79">
        <v>45891</v>
      </c>
      <c r="U1273" s="14"/>
      <c r="V1273" s="14"/>
      <c r="W1273" s="14"/>
      <c r="X1273" s="14"/>
      <c r="Y1273" s="14" t="s">
        <v>2093</v>
      </c>
      <c r="Z1273" s="14"/>
      <c r="AA1273" s="2">
        <f t="shared" ca="1" si="192"/>
        <v>1</v>
      </c>
      <c r="AB1273" s="153"/>
      <c r="AC1273" s="454" t="str">
        <f t="shared" si="189"/>
        <v>1</v>
      </c>
    </row>
    <row r="1274" spans="1:29" ht="43.5" x14ac:dyDescent="0.35">
      <c r="A1274" s="169" t="str">
        <f t="shared" si="193"/>
        <v>Closed</v>
      </c>
      <c r="B1274" s="226">
        <v>45891</v>
      </c>
      <c r="C1274" s="14">
        <v>2506</v>
      </c>
      <c r="D1274" s="14" t="s">
        <v>5486</v>
      </c>
      <c r="E1274" s="14" t="s">
        <v>1907</v>
      </c>
      <c r="F1274" s="14" t="s">
        <v>2245</v>
      </c>
      <c r="G1274" s="14"/>
      <c r="H1274" s="14">
        <v>102</v>
      </c>
      <c r="I1274" s="176" t="s">
        <v>140</v>
      </c>
      <c r="K1274" s="87"/>
      <c r="L1274" s="14" t="s">
        <v>5487</v>
      </c>
      <c r="M1274" s="324">
        <f t="shared" si="196"/>
        <v>0</v>
      </c>
      <c r="N1274" s="14" t="s">
        <v>1879</v>
      </c>
      <c r="O1274" s="14" t="s">
        <v>1879</v>
      </c>
      <c r="P1274" s="167" t="s">
        <v>143</v>
      </c>
      <c r="Q1274" s="14"/>
      <c r="R1274" s="170">
        <v>0</v>
      </c>
      <c r="S1274" s="108">
        <f t="shared" si="195"/>
        <v>45919</v>
      </c>
      <c r="T1274" s="79">
        <v>45891</v>
      </c>
      <c r="U1274" s="14"/>
      <c r="V1274" s="14"/>
      <c r="W1274" s="14"/>
      <c r="X1274" s="14"/>
      <c r="Z1274" s="14"/>
      <c r="AA1274" s="2">
        <f t="shared" ca="1" si="192"/>
        <v>1</v>
      </c>
      <c r="AB1274" s="153"/>
      <c r="AC1274" s="454" t="str">
        <f t="shared" si="189"/>
        <v>1</v>
      </c>
    </row>
    <row r="1275" spans="1:29" ht="29" x14ac:dyDescent="0.35">
      <c r="A1275" s="169" t="str">
        <f t="shared" si="193"/>
        <v>Closed</v>
      </c>
      <c r="B1275" s="226">
        <v>45892</v>
      </c>
      <c r="C1275" s="14">
        <v>2506</v>
      </c>
      <c r="D1275" s="14" t="s">
        <v>5488</v>
      </c>
      <c r="E1275" s="14" t="s">
        <v>187</v>
      </c>
      <c r="F1275" s="14" t="s">
        <v>1899</v>
      </c>
      <c r="G1275" s="14" t="s">
        <v>1900</v>
      </c>
      <c r="H1275" s="14">
        <v>101</v>
      </c>
      <c r="I1275" s="176" t="s">
        <v>140</v>
      </c>
      <c r="K1275" s="87"/>
      <c r="L1275" s="14" t="s">
        <v>5489</v>
      </c>
      <c r="M1275" s="324">
        <f t="shared" si="196"/>
        <v>0</v>
      </c>
      <c r="N1275" s="14" t="s">
        <v>1879</v>
      </c>
      <c r="O1275" s="14" t="s">
        <v>1879</v>
      </c>
      <c r="P1275" s="167" t="s">
        <v>143</v>
      </c>
      <c r="Q1275" s="14"/>
      <c r="R1275" s="170">
        <v>0</v>
      </c>
      <c r="S1275" s="108">
        <f t="shared" si="195"/>
        <v>45920</v>
      </c>
      <c r="T1275" s="79">
        <v>45892</v>
      </c>
      <c r="U1275" s="14"/>
      <c r="V1275" s="14"/>
      <c r="W1275" s="14"/>
      <c r="X1275" s="14"/>
      <c r="Z1275" s="14"/>
      <c r="AA1275" s="2">
        <f t="shared" ca="1" si="192"/>
        <v>1</v>
      </c>
      <c r="AB1275" s="153"/>
      <c r="AC1275" s="454" t="str">
        <f t="shared" si="189"/>
        <v>1</v>
      </c>
    </row>
    <row r="1276" spans="1:29" ht="29" x14ac:dyDescent="0.35">
      <c r="A1276" s="169" t="str">
        <f t="shared" si="193"/>
        <v>Closed</v>
      </c>
      <c r="B1276" s="226">
        <v>45892</v>
      </c>
      <c r="C1276" s="14">
        <v>2506</v>
      </c>
      <c r="D1276" s="14" t="s">
        <v>5490</v>
      </c>
      <c r="E1276" s="14" t="s">
        <v>192</v>
      </c>
      <c r="F1276" s="14" t="s">
        <v>2048</v>
      </c>
      <c r="G1276" s="14" t="s">
        <v>1911</v>
      </c>
      <c r="H1276" s="14">
        <v>117</v>
      </c>
      <c r="I1276" s="176" t="s">
        <v>140</v>
      </c>
      <c r="K1276" s="87"/>
      <c r="L1276" s="14" t="s">
        <v>5491</v>
      </c>
      <c r="M1276" s="324">
        <f t="shared" si="196"/>
        <v>0</v>
      </c>
      <c r="N1276" s="14" t="s">
        <v>1879</v>
      </c>
      <c r="O1276" s="14" t="s">
        <v>1879</v>
      </c>
      <c r="P1276" s="167" t="s">
        <v>143</v>
      </c>
      <c r="Q1276" s="14"/>
      <c r="R1276" s="170">
        <v>0</v>
      </c>
      <c r="S1276" s="108">
        <f t="shared" si="195"/>
        <v>45920</v>
      </c>
      <c r="T1276" s="79">
        <v>45892</v>
      </c>
      <c r="U1276" s="14"/>
      <c r="V1276" s="14"/>
      <c r="W1276" s="14"/>
      <c r="X1276" s="14"/>
      <c r="Z1276" s="14"/>
      <c r="AA1276" s="2">
        <f t="shared" ca="1" si="192"/>
        <v>1</v>
      </c>
      <c r="AB1276" s="153"/>
      <c r="AC1276" s="454" t="str">
        <f t="shared" si="189"/>
        <v>1</v>
      </c>
    </row>
    <row r="1277" spans="1:29" ht="43.5" x14ac:dyDescent="0.35">
      <c r="A1277" s="169" t="str">
        <f t="shared" si="193"/>
        <v>Closed</v>
      </c>
      <c r="B1277" s="222">
        <v>45894</v>
      </c>
      <c r="C1277" s="14">
        <v>2506</v>
      </c>
      <c r="D1277" s="14" t="s">
        <v>5492</v>
      </c>
      <c r="E1277" s="14" t="s">
        <v>8</v>
      </c>
      <c r="F1277" s="14" t="s">
        <v>2262</v>
      </c>
      <c r="G1277" s="14" t="s">
        <v>1900</v>
      </c>
      <c r="H1277" s="14">
        <v>202</v>
      </c>
      <c r="I1277" s="176" t="s">
        <v>140</v>
      </c>
      <c r="K1277" s="87"/>
      <c r="L1277" s="14" t="s">
        <v>5493</v>
      </c>
      <c r="M1277" s="324">
        <f t="shared" si="196"/>
        <v>0</v>
      </c>
      <c r="N1277" s="14" t="s">
        <v>1879</v>
      </c>
      <c r="O1277" s="14" t="s">
        <v>1879</v>
      </c>
      <c r="P1277" s="167" t="s">
        <v>143</v>
      </c>
      <c r="Q1277" s="14"/>
      <c r="R1277" s="170">
        <v>0</v>
      </c>
      <c r="S1277" s="108">
        <f t="shared" si="195"/>
        <v>45922</v>
      </c>
      <c r="T1277" s="79">
        <v>45894</v>
      </c>
      <c r="U1277" s="14"/>
      <c r="V1277" s="14"/>
      <c r="W1277" s="14"/>
      <c r="X1277" s="14"/>
      <c r="Z1277" s="14"/>
      <c r="AA1277" s="2">
        <f t="shared" ca="1" si="192"/>
        <v>1</v>
      </c>
      <c r="AB1277" s="153"/>
      <c r="AC1277" s="454" t="str">
        <f t="shared" ref="AC1277:AC1304" si="197">LEFT(H1277,1)</f>
        <v>2</v>
      </c>
    </row>
    <row r="1278" spans="1:29" ht="43.5" x14ac:dyDescent="0.35">
      <c r="A1278" s="169" t="str">
        <f t="shared" ca="1" si="193"/>
        <v>Overdue</v>
      </c>
      <c r="B1278" s="222">
        <v>45895</v>
      </c>
      <c r="C1278" s="14">
        <v>2506</v>
      </c>
      <c r="D1278" s="14" t="s">
        <v>5494</v>
      </c>
      <c r="E1278" s="14" t="s">
        <v>72</v>
      </c>
      <c r="F1278" s="14" t="s">
        <v>2533</v>
      </c>
      <c r="G1278" s="14" t="s">
        <v>1911</v>
      </c>
      <c r="H1278" s="14">
        <v>111</v>
      </c>
      <c r="I1278" s="176" t="s">
        <v>155</v>
      </c>
      <c r="K1278" s="87"/>
      <c r="L1278" s="14" t="s">
        <v>5495</v>
      </c>
      <c r="M1278" s="324">
        <f t="shared" si="196"/>
        <v>0</v>
      </c>
      <c r="N1278" s="14" t="s">
        <v>1879</v>
      </c>
      <c r="O1278" s="14" t="s">
        <v>1879</v>
      </c>
      <c r="P1278" s="167" t="s">
        <v>147</v>
      </c>
      <c r="Q1278" s="14" t="s">
        <v>185</v>
      </c>
      <c r="R1278" s="170" t="s">
        <v>234</v>
      </c>
      <c r="S1278" s="108">
        <f t="shared" si="195"/>
        <v>45923</v>
      </c>
      <c r="T1278" s="14"/>
      <c r="U1278" s="14"/>
      <c r="V1278" s="14"/>
      <c r="W1278" s="14"/>
      <c r="X1278" s="14"/>
      <c r="Z1278" s="14" t="s">
        <v>5315</v>
      </c>
      <c r="AA1278" s="2">
        <f t="shared" ca="1" si="192"/>
        <v>1</v>
      </c>
      <c r="AB1278" s="153"/>
      <c r="AC1278" s="454" t="str">
        <f t="shared" si="197"/>
        <v>1</v>
      </c>
    </row>
    <row r="1279" spans="1:29" ht="29" x14ac:dyDescent="0.35">
      <c r="A1279" s="169" t="str">
        <f t="shared" si="193"/>
        <v>Closed</v>
      </c>
      <c r="B1279" s="222">
        <v>45895</v>
      </c>
      <c r="C1279" s="14">
        <v>2506</v>
      </c>
      <c r="D1279" s="14" t="s">
        <v>5496</v>
      </c>
      <c r="E1279" s="14" t="s">
        <v>8</v>
      </c>
      <c r="F1279" s="14" t="s">
        <v>2073</v>
      </c>
      <c r="G1279" s="14"/>
      <c r="H1279" s="14"/>
      <c r="I1279" s="176" t="s">
        <v>140</v>
      </c>
      <c r="K1279" s="87"/>
      <c r="L1279" s="14" t="s">
        <v>5497</v>
      </c>
      <c r="M1279" s="324">
        <f t="shared" si="196"/>
        <v>0</v>
      </c>
      <c r="N1279" s="14" t="s">
        <v>1879</v>
      </c>
      <c r="O1279" s="14" t="s">
        <v>1879</v>
      </c>
      <c r="P1279" s="167" t="s">
        <v>143</v>
      </c>
      <c r="Q1279" s="14"/>
      <c r="R1279" s="170">
        <v>0</v>
      </c>
      <c r="S1279" s="108">
        <f t="shared" si="195"/>
        <v>45923</v>
      </c>
      <c r="T1279" s="79">
        <v>45895</v>
      </c>
      <c r="U1279" s="14"/>
      <c r="V1279" s="14"/>
      <c r="W1279" s="14"/>
      <c r="X1279" s="14"/>
      <c r="Z1279" s="14"/>
      <c r="AA1279" s="2">
        <f t="shared" ca="1" si="192"/>
        <v>1</v>
      </c>
      <c r="AB1279" s="153"/>
      <c r="AC1279" s="454" t="str">
        <f t="shared" si="197"/>
        <v/>
      </c>
    </row>
    <row r="1280" spans="1:29" ht="43.5" x14ac:dyDescent="0.35">
      <c r="A1280" s="169" t="str">
        <f t="shared" si="193"/>
        <v>Closed</v>
      </c>
      <c r="B1280" s="222">
        <v>45895</v>
      </c>
      <c r="C1280" s="14">
        <v>2506</v>
      </c>
      <c r="D1280" s="14" t="s">
        <v>5498</v>
      </c>
      <c r="E1280" s="14" t="s">
        <v>8</v>
      </c>
      <c r="F1280" s="14" t="s">
        <v>1925</v>
      </c>
      <c r="G1280" s="14" t="s">
        <v>1911</v>
      </c>
      <c r="H1280" s="14"/>
      <c r="I1280" s="176" t="s">
        <v>140</v>
      </c>
      <c r="K1280" s="87"/>
      <c r="L1280" s="14" t="s">
        <v>5499</v>
      </c>
      <c r="M1280" s="324">
        <f t="shared" si="196"/>
        <v>0</v>
      </c>
      <c r="N1280" s="14" t="s">
        <v>1879</v>
      </c>
      <c r="O1280" s="14" t="s">
        <v>1879</v>
      </c>
      <c r="P1280" s="167" t="s">
        <v>143</v>
      </c>
      <c r="Q1280" s="14"/>
      <c r="R1280" s="170">
        <v>0</v>
      </c>
      <c r="S1280" s="108">
        <f t="shared" si="195"/>
        <v>45923</v>
      </c>
      <c r="T1280" s="79">
        <v>45895</v>
      </c>
      <c r="U1280" s="14"/>
      <c r="V1280" s="14"/>
      <c r="W1280" s="14"/>
      <c r="X1280" s="14"/>
      <c r="Y1280" s="14" t="s">
        <v>1929</v>
      </c>
      <c r="Z1280" s="14"/>
      <c r="AA1280" s="2">
        <f t="shared" ca="1" si="192"/>
        <v>1</v>
      </c>
      <c r="AB1280" s="153"/>
      <c r="AC1280" s="454" t="str">
        <f t="shared" si="197"/>
        <v/>
      </c>
    </row>
    <row r="1281" spans="1:29" ht="72.5" x14ac:dyDescent="0.35">
      <c r="A1281" s="169" t="str">
        <f t="shared" si="193"/>
        <v>Closed</v>
      </c>
      <c r="B1281" s="222">
        <v>45895</v>
      </c>
      <c r="C1281" s="14">
        <v>2506</v>
      </c>
      <c r="D1281" s="14" t="s">
        <v>5500</v>
      </c>
      <c r="E1281" s="14" t="s">
        <v>1907</v>
      </c>
      <c r="F1281" s="14" t="s">
        <v>5115</v>
      </c>
      <c r="G1281" s="14" t="s">
        <v>1911</v>
      </c>
      <c r="H1281" s="14">
        <v>201</v>
      </c>
      <c r="I1281" s="176" t="s">
        <v>140</v>
      </c>
      <c r="K1281" s="87" t="s">
        <v>137</v>
      </c>
      <c r="L1281" s="14" t="s">
        <v>5501</v>
      </c>
      <c r="M1281" s="324">
        <v>0</v>
      </c>
      <c r="N1281" s="14" t="s">
        <v>1879</v>
      </c>
      <c r="O1281" s="14" t="s">
        <v>1880</v>
      </c>
      <c r="P1281" s="167" t="s">
        <v>139</v>
      </c>
      <c r="Q1281" s="14" t="s">
        <v>177</v>
      </c>
      <c r="R1281" s="170" t="s">
        <v>234</v>
      </c>
      <c r="S1281" s="108">
        <f t="shared" si="195"/>
        <v>45923</v>
      </c>
      <c r="T1281" s="79">
        <v>45895</v>
      </c>
      <c r="U1281" s="14"/>
      <c r="V1281" s="14"/>
      <c r="W1281" s="14"/>
      <c r="X1281" s="14"/>
      <c r="Y1281" s="14" t="s">
        <v>1923</v>
      </c>
      <c r="Z1281" s="14"/>
      <c r="AA1281" s="2">
        <f t="shared" ca="1" si="192"/>
        <v>1</v>
      </c>
      <c r="AB1281" s="153"/>
      <c r="AC1281" s="454" t="str">
        <f t="shared" si="197"/>
        <v>2</v>
      </c>
    </row>
    <row r="1282" spans="1:29" ht="43.5" x14ac:dyDescent="0.35">
      <c r="A1282" s="169" t="str">
        <f t="shared" si="193"/>
        <v>Closed</v>
      </c>
      <c r="B1282" s="222">
        <v>45895</v>
      </c>
      <c r="C1282" s="14">
        <v>2506</v>
      </c>
      <c r="D1282" s="14" t="s">
        <v>5502</v>
      </c>
      <c r="E1282" s="14" t="s">
        <v>8</v>
      </c>
      <c r="F1282" s="14" t="s">
        <v>2119</v>
      </c>
      <c r="G1282" s="14" t="s">
        <v>1900</v>
      </c>
      <c r="H1282" s="14"/>
      <c r="I1282" s="176" t="s">
        <v>140</v>
      </c>
      <c r="K1282" s="87"/>
      <c r="L1282" s="14" t="s">
        <v>5503</v>
      </c>
      <c r="M1282" s="324">
        <f t="shared" si="196"/>
        <v>0</v>
      </c>
      <c r="N1282" s="14" t="s">
        <v>1879</v>
      </c>
      <c r="O1282" s="14" t="s">
        <v>1879</v>
      </c>
      <c r="P1282" s="167" t="s">
        <v>143</v>
      </c>
      <c r="Q1282" s="14"/>
      <c r="R1282" s="170">
        <v>0</v>
      </c>
      <c r="S1282" s="108">
        <f t="shared" si="195"/>
        <v>45923</v>
      </c>
      <c r="T1282" s="79">
        <v>45895</v>
      </c>
      <c r="U1282" s="14"/>
      <c r="V1282" s="14"/>
      <c r="W1282" s="14"/>
      <c r="X1282" s="14"/>
      <c r="Y1282" s="14" t="s">
        <v>2093</v>
      </c>
      <c r="Z1282" s="14"/>
      <c r="AA1282" s="2">
        <f t="shared" ca="1" si="192"/>
        <v>1</v>
      </c>
      <c r="AB1282" s="153"/>
      <c r="AC1282" s="454" t="str">
        <f t="shared" si="197"/>
        <v/>
      </c>
    </row>
    <row r="1283" spans="1:29" ht="145" x14ac:dyDescent="0.35">
      <c r="A1283" s="169" t="str">
        <f t="shared" si="193"/>
        <v>Closed</v>
      </c>
      <c r="B1283" s="222">
        <v>45896</v>
      </c>
      <c r="C1283" s="14">
        <v>2506</v>
      </c>
      <c r="D1283" s="14" t="s">
        <v>5504</v>
      </c>
      <c r="E1283" s="14" t="s">
        <v>65</v>
      </c>
      <c r="F1283" s="14" t="s">
        <v>2027</v>
      </c>
      <c r="G1283" s="14" t="s">
        <v>1900</v>
      </c>
      <c r="H1283" s="14">
        <v>114</v>
      </c>
      <c r="I1283" s="176" t="s">
        <v>140</v>
      </c>
      <c r="K1283" s="87"/>
      <c r="L1283" s="14" t="s">
        <v>5505</v>
      </c>
      <c r="M1283" s="324">
        <f t="shared" si="196"/>
        <v>0</v>
      </c>
      <c r="N1283" s="14" t="s">
        <v>1879</v>
      </c>
      <c r="O1283" s="14" t="s">
        <v>1879</v>
      </c>
      <c r="P1283" s="167" t="s">
        <v>143</v>
      </c>
      <c r="Q1283" s="14"/>
      <c r="R1283" s="170">
        <v>0</v>
      </c>
      <c r="S1283" s="108">
        <f t="shared" si="195"/>
        <v>45924</v>
      </c>
      <c r="T1283" s="79">
        <v>45896</v>
      </c>
      <c r="U1283" s="14"/>
      <c r="V1283" s="14"/>
      <c r="W1283" s="14"/>
      <c r="X1283" s="14"/>
      <c r="Z1283" s="14" t="s">
        <v>5506</v>
      </c>
      <c r="AA1283" s="2">
        <f t="shared" ca="1" si="192"/>
        <v>1</v>
      </c>
      <c r="AB1283" s="153"/>
      <c r="AC1283" s="454" t="str">
        <f t="shared" si="197"/>
        <v>1</v>
      </c>
    </row>
    <row r="1284" spans="1:29" ht="29" x14ac:dyDescent="0.35">
      <c r="A1284" s="169" t="str">
        <f t="shared" si="193"/>
        <v>Closed</v>
      </c>
      <c r="B1284" s="222">
        <v>45896</v>
      </c>
      <c r="C1284" s="14">
        <v>2506</v>
      </c>
      <c r="D1284" s="14" t="s">
        <v>5507</v>
      </c>
      <c r="E1284" s="14" t="s">
        <v>8</v>
      </c>
      <c r="F1284" s="14" t="s">
        <v>2091</v>
      </c>
      <c r="G1284" s="14" t="s">
        <v>1911</v>
      </c>
      <c r="H1284" s="14">
        <v>112</v>
      </c>
      <c r="I1284" s="176" t="s">
        <v>140</v>
      </c>
      <c r="K1284" s="87"/>
      <c r="L1284" s="14" t="s">
        <v>5508</v>
      </c>
      <c r="M1284" s="324">
        <f t="shared" si="196"/>
        <v>0</v>
      </c>
      <c r="N1284" s="14" t="s">
        <v>1879</v>
      </c>
      <c r="O1284" s="14" t="s">
        <v>1879</v>
      </c>
      <c r="P1284" s="167" t="s">
        <v>143</v>
      </c>
      <c r="Q1284" s="14"/>
      <c r="R1284" s="170">
        <v>0</v>
      </c>
      <c r="S1284" s="108">
        <f t="shared" si="195"/>
        <v>45924</v>
      </c>
      <c r="T1284" s="79">
        <v>45896</v>
      </c>
      <c r="U1284" s="14"/>
      <c r="V1284" s="14"/>
      <c r="W1284" s="14"/>
      <c r="X1284" s="14"/>
      <c r="Y1284" s="14" t="s">
        <v>2093</v>
      </c>
      <c r="Z1284" s="14"/>
      <c r="AA1284" s="2">
        <f t="shared" ca="1" si="192"/>
        <v>1</v>
      </c>
      <c r="AB1284" s="153"/>
      <c r="AC1284" s="454" t="str">
        <f t="shared" si="197"/>
        <v>1</v>
      </c>
    </row>
    <row r="1285" spans="1:29" ht="43.5" x14ac:dyDescent="0.35">
      <c r="A1285" s="169" t="str">
        <f t="shared" si="193"/>
        <v>Closed</v>
      </c>
      <c r="B1285" s="222">
        <v>45897</v>
      </c>
      <c r="C1285" s="14">
        <v>2506</v>
      </c>
      <c r="D1285" s="14" t="s">
        <v>5509</v>
      </c>
      <c r="E1285" s="14" t="s">
        <v>8</v>
      </c>
      <c r="F1285" s="14" t="s">
        <v>2099</v>
      </c>
      <c r="G1285" s="14" t="s">
        <v>1911</v>
      </c>
      <c r="H1285" s="14">
        <v>103</v>
      </c>
      <c r="I1285" s="176" t="s">
        <v>140</v>
      </c>
      <c r="K1285" s="87"/>
      <c r="L1285" s="14" t="s">
        <v>5510</v>
      </c>
      <c r="M1285" s="324">
        <f t="shared" si="196"/>
        <v>0</v>
      </c>
      <c r="N1285" s="14" t="s">
        <v>1879</v>
      </c>
      <c r="O1285" s="14" t="s">
        <v>1879</v>
      </c>
      <c r="P1285" s="167" t="s">
        <v>143</v>
      </c>
      <c r="Q1285" s="14"/>
      <c r="R1285" s="170">
        <v>0</v>
      </c>
      <c r="S1285" s="108">
        <f t="shared" si="195"/>
        <v>45925</v>
      </c>
      <c r="T1285" s="79">
        <v>45897</v>
      </c>
      <c r="U1285" s="14"/>
      <c r="V1285" s="14"/>
      <c r="W1285" s="14"/>
      <c r="X1285" s="14"/>
      <c r="Z1285" s="14"/>
      <c r="AA1285" s="2">
        <f t="shared" ca="1" si="192"/>
        <v>1</v>
      </c>
      <c r="AB1285" s="153"/>
      <c r="AC1285" s="454" t="str">
        <f t="shared" si="197"/>
        <v>1</v>
      </c>
    </row>
    <row r="1286" spans="1:29" ht="275.5" x14ac:dyDescent="0.35">
      <c r="A1286" s="169" t="str">
        <f t="shared" si="193"/>
        <v>Closed</v>
      </c>
      <c r="B1286" s="222">
        <v>45898</v>
      </c>
      <c r="C1286" s="14">
        <v>2506</v>
      </c>
      <c r="D1286" s="14" t="s">
        <v>5511</v>
      </c>
      <c r="E1286" s="14" t="s">
        <v>65</v>
      </c>
      <c r="F1286" s="14" t="s">
        <v>2056</v>
      </c>
      <c r="G1286" s="14" t="s">
        <v>1911</v>
      </c>
      <c r="H1286" s="14">
        <v>114</v>
      </c>
      <c r="I1286" s="176" t="s">
        <v>140</v>
      </c>
      <c r="K1286" s="87"/>
      <c r="L1286" s="14" t="s">
        <v>5512</v>
      </c>
      <c r="M1286" s="324">
        <f t="shared" si="196"/>
        <v>0</v>
      </c>
      <c r="N1286" s="14" t="s">
        <v>1879</v>
      </c>
      <c r="O1286" s="14" t="s">
        <v>1879</v>
      </c>
      <c r="P1286" s="167" t="s">
        <v>143</v>
      </c>
      <c r="Q1286" s="14"/>
      <c r="R1286" s="170">
        <v>0</v>
      </c>
      <c r="S1286" s="108">
        <f t="shared" si="195"/>
        <v>45926</v>
      </c>
      <c r="T1286" s="79">
        <v>45898</v>
      </c>
      <c r="U1286" s="14"/>
      <c r="V1286" s="14"/>
      <c r="W1286" s="14"/>
      <c r="X1286" s="14"/>
      <c r="Z1286" s="14" t="s">
        <v>5513</v>
      </c>
      <c r="AA1286" s="2">
        <f t="shared" ca="1" si="192"/>
        <v>1</v>
      </c>
      <c r="AB1286" s="153"/>
      <c r="AC1286" s="454" t="str">
        <f t="shared" si="197"/>
        <v>1</v>
      </c>
    </row>
    <row r="1287" spans="1:29" ht="72.5" x14ac:dyDescent="0.35">
      <c r="A1287" s="169" t="str">
        <f t="shared" si="193"/>
        <v>Closed</v>
      </c>
      <c r="B1287" s="222">
        <v>45898</v>
      </c>
      <c r="C1287" s="14">
        <v>2506</v>
      </c>
      <c r="D1287" s="14" t="s">
        <v>5514</v>
      </c>
      <c r="E1287" s="14" t="s">
        <v>1907</v>
      </c>
      <c r="F1287" s="14" t="s">
        <v>3040</v>
      </c>
      <c r="G1287" s="14" t="s">
        <v>1900</v>
      </c>
      <c r="H1287" s="14">
        <v>115</v>
      </c>
      <c r="I1287" s="176" t="s">
        <v>140</v>
      </c>
      <c r="K1287" s="87"/>
      <c r="L1287" s="14" t="s">
        <v>5515</v>
      </c>
      <c r="M1287" s="324">
        <f t="shared" si="196"/>
        <v>0</v>
      </c>
      <c r="N1287" s="14" t="s">
        <v>1879</v>
      </c>
      <c r="O1287" s="14" t="s">
        <v>1879</v>
      </c>
      <c r="P1287" s="167" t="s">
        <v>143</v>
      </c>
      <c r="Q1287" s="14"/>
      <c r="R1287" s="170">
        <v>0</v>
      </c>
      <c r="S1287" s="108">
        <f t="shared" si="195"/>
        <v>45926</v>
      </c>
      <c r="T1287" s="79">
        <v>45898</v>
      </c>
      <c r="U1287" s="14"/>
      <c r="V1287" s="14"/>
      <c r="W1287" s="14"/>
      <c r="X1287" s="14"/>
      <c r="Z1287" s="14"/>
      <c r="AA1287" s="2">
        <f t="shared" ca="1" si="192"/>
        <v>1</v>
      </c>
      <c r="AB1287" s="153"/>
      <c r="AC1287" s="454" t="str">
        <f t="shared" si="197"/>
        <v>1</v>
      </c>
    </row>
    <row r="1288" spans="1:29" ht="29" x14ac:dyDescent="0.35">
      <c r="A1288" s="169" t="str">
        <f t="shared" si="193"/>
        <v>Closed</v>
      </c>
      <c r="B1288" s="222">
        <v>45898</v>
      </c>
      <c r="C1288" s="14">
        <v>2506</v>
      </c>
      <c r="D1288" s="14" t="s">
        <v>5516</v>
      </c>
      <c r="E1288" s="14" t="s">
        <v>8</v>
      </c>
      <c r="F1288" s="14" t="s">
        <v>3040</v>
      </c>
      <c r="G1288" s="14" t="s">
        <v>1900</v>
      </c>
      <c r="H1288" s="14"/>
      <c r="I1288" s="176" t="s">
        <v>140</v>
      </c>
      <c r="K1288" s="87"/>
      <c r="L1288" s="14" t="s">
        <v>5517</v>
      </c>
      <c r="M1288" s="324">
        <f t="shared" si="196"/>
        <v>0</v>
      </c>
      <c r="N1288" s="14" t="s">
        <v>1879</v>
      </c>
      <c r="O1288" s="14" t="s">
        <v>1879</v>
      </c>
      <c r="P1288" s="167" t="s">
        <v>143</v>
      </c>
      <c r="Q1288" s="14"/>
      <c r="R1288" s="170">
        <v>0</v>
      </c>
      <c r="S1288" s="108">
        <f t="shared" si="195"/>
        <v>45926</v>
      </c>
      <c r="T1288" s="79">
        <v>45898</v>
      </c>
      <c r="U1288" s="14"/>
      <c r="V1288" s="14"/>
      <c r="W1288" s="14"/>
      <c r="X1288" s="14"/>
      <c r="Z1288" s="14"/>
      <c r="AA1288" s="2">
        <f t="shared" ca="1" si="192"/>
        <v>1</v>
      </c>
      <c r="AB1288" s="153"/>
      <c r="AC1288" s="454" t="str">
        <f t="shared" si="197"/>
        <v/>
      </c>
    </row>
    <row r="1289" spans="1:29" ht="43.5" x14ac:dyDescent="0.35">
      <c r="A1289" s="169" t="str">
        <f t="shared" si="193"/>
        <v>Closed</v>
      </c>
      <c r="B1289" s="222">
        <v>45899</v>
      </c>
      <c r="C1289" s="14">
        <v>2506</v>
      </c>
      <c r="D1289" s="14" t="s">
        <v>5518</v>
      </c>
      <c r="E1289" s="14" t="s">
        <v>8</v>
      </c>
      <c r="F1289" s="14" t="s">
        <v>1899</v>
      </c>
      <c r="G1289" s="14" t="s">
        <v>1911</v>
      </c>
      <c r="H1289" s="14">
        <v>103</v>
      </c>
      <c r="I1289" s="176" t="s">
        <v>140</v>
      </c>
      <c r="K1289" s="87"/>
      <c r="L1289" s="14" t="s">
        <v>5519</v>
      </c>
      <c r="M1289" s="324">
        <f t="shared" si="196"/>
        <v>0</v>
      </c>
      <c r="N1289" s="14" t="s">
        <v>1879</v>
      </c>
      <c r="O1289" s="14" t="s">
        <v>1879</v>
      </c>
      <c r="P1289" s="167" t="s">
        <v>143</v>
      </c>
      <c r="Q1289" s="14"/>
      <c r="R1289" s="170">
        <v>0</v>
      </c>
      <c r="S1289" s="108">
        <f t="shared" si="195"/>
        <v>45927</v>
      </c>
      <c r="T1289" s="79">
        <v>45899</v>
      </c>
      <c r="U1289" s="14"/>
      <c r="V1289" s="14"/>
      <c r="W1289" s="14"/>
      <c r="X1289" s="14"/>
      <c r="Z1289" s="14"/>
      <c r="AA1289" s="2">
        <f t="shared" ca="1" si="192"/>
        <v>1</v>
      </c>
      <c r="AB1289" s="153"/>
      <c r="AC1289" s="454" t="str">
        <f t="shared" si="197"/>
        <v>1</v>
      </c>
    </row>
    <row r="1290" spans="1:29" ht="43.5" x14ac:dyDescent="0.35">
      <c r="A1290" s="169" t="str">
        <f t="shared" si="193"/>
        <v>Closed</v>
      </c>
      <c r="B1290" s="222">
        <v>45899</v>
      </c>
      <c r="C1290" s="14">
        <v>2506</v>
      </c>
      <c r="D1290" s="14" t="s">
        <v>5520</v>
      </c>
      <c r="E1290" s="14" t="s">
        <v>78</v>
      </c>
      <c r="F1290" s="14" t="s">
        <v>2048</v>
      </c>
      <c r="G1290" s="14" t="s">
        <v>1911</v>
      </c>
      <c r="H1290" s="14">
        <v>109</v>
      </c>
      <c r="I1290" s="176" t="s">
        <v>155</v>
      </c>
      <c r="K1290" s="87"/>
      <c r="L1290" s="14" t="s">
        <v>5521</v>
      </c>
      <c r="M1290" s="324">
        <f t="shared" si="196"/>
        <v>0</v>
      </c>
      <c r="N1290" s="14" t="s">
        <v>1879</v>
      </c>
      <c r="O1290" s="14" t="s">
        <v>1879</v>
      </c>
      <c r="P1290" s="167" t="s">
        <v>147</v>
      </c>
      <c r="Q1290" s="14" t="s">
        <v>177</v>
      </c>
      <c r="R1290" s="170" t="s">
        <v>234</v>
      </c>
      <c r="S1290" s="108">
        <f t="shared" si="195"/>
        <v>45927</v>
      </c>
      <c r="T1290" s="79">
        <v>45953</v>
      </c>
      <c r="U1290" s="14" t="s">
        <v>5522</v>
      </c>
      <c r="V1290" s="14" t="s">
        <v>5523</v>
      </c>
      <c r="W1290" s="14" t="s">
        <v>1879</v>
      </c>
      <c r="X1290" s="14" t="s">
        <v>1883</v>
      </c>
      <c r="Z1290" s="14" t="s">
        <v>5524</v>
      </c>
      <c r="AA1290" s="2">
        <f t="shared" ca="1" si="192"/>
        <v>1</v>
      </c>
      <c r="AB1290" s="153"/>
      <c r="AC1290" s="454" t="str">
        <f t="shared" si="197"/>
        <v>1</v>
      </c>
    </row>
    <row r="1291" spans="1:29" ht="29" x14ac:dyDescent="0.45">
      <c r="A1291" s="169" t="str">
        <f t="shared" si="193"/>
        <v>Closed</v>
      </c>
      <c r="B1291" s="222">
        <v>45900</v>
      </c>
      <c r="C1291" s="14">
        <v>2506</v>
      </c>
      <c r="D1291" s="14" t="s">
        <v>5525</v>
      </c>
      <c r="E1291" s="14" t="s">
        <v>187</v>
      </c>
      <c r="F1291" s="14" t="s">
        <v>5526</v>
      </c>
      <c r="G1291" s="14" t="s">
        <v>1900</v>
      </c>
      <c r="H1291" s="14">
        <v>201</v>
      </c>
      <c r="I1291" s="176" t="s">
        <v>140</v>
      </c>
      <c r="K1291" s="87"/>
      <c r="L1291" s="14" t="s">
        <v>5527</v>
      </c>
      <c r="M1291" s="324">
        <f t="shared" si="196"/>
        <v>0</v>
      </c>
      <c r="N1291" s="14" t="s">
        <v>1879</v>
      </c>
      <c r="O1291" s="14" t="s">
        <v>1879</v>
      </c>
      <c r="P1291" s="167" t="s">
        <v>143</v>
      </c>
      <c r="Q1291" s="14"/>
      <c r="R1291" s="170">
        <v>0</v>
      </c>
      <c r="S1291" s="108">
        <f t="shared" si="195"/>
        <v>45928</v>
      </c>
      <c r="T1291" s="79">
        <v>45899</v>
      </c>
      <c r="U1291" s="14"/>
      <c r="V1291" s="14"/>
      <c r="W1291" s="14"/>
      <c r="X1291" s="14"/>
      <c r="Y1291" s="463" t="s">
        <v>5528</v>
      </c>
      <c r="Z1291" s="14"/>
      <c r="AA1291" s="2">
        <f t="shared" ca="1" si="192"/>
        <v>1</v>
      </c>
      <c r="AB1291" s="153"/>
      <c r="AC1291" s="454" t="str">
        <f t="shared" si="197"/>
        <v>2</v>
      </c>
    </row>
    <row r="1292" spans="1:29" ht="29" x14ac:dyDescent="0.35">
      <c r="A1292" s="169" t="str">
        <f t="shared" si="193"/>
        <v>Closed</v>
      </c>
      <c r="B1292" s="222">
        <v>45900</v>
      </c>
      <c r="C1292" s="14">
        <v>2506</v>
      </c>
      <c r="D1292" s="14" t="s">
        <v>5529</v>
      </c>
      <c r="E1292" s="14" t="s">
        <v>27</v>
      </c>
      <c r="F1292" s="14" t="s">
        <v>1937</v>
      </c>
      <c r="G1292" s="14" t="s">
        <v>1911</v>
      </c>
      <c r="H1292" s="14">
        <v>107</v>
      </c>
      <c r="I1292" s="176" t="s">
        <v>5</v>
      </c>
      <c r="K1292" s="87"/>
      <c r="L1292" s="14" t="s">
        <v>5530</v>
      </c>
      <c r="M1292" s="324">
        <f t="shared" si="196"/>
        <v>0</v>
      </c>
      <c r="N1292" s="14" t="s">
        <v>1879</v>
      </c>
      <c r="O1292" s="14" t="s">
        <v>1879</v>
      </c>
      <c r="P1292" s="167" t="s">
        <v>147</v>
      </c>
      <c r="Q1292" s="14" t="s">
        <v>185</v>
      </c>
      <c r="R1292" s="170" t="s">
        <v>234</v>
      </c>
      <c r="S1292" s="108">
        <f t="shared" si="195"/>
        <v>45928</v>
      </c>
      <c r="T1292" s="79">
        <v>46037</v>
      </c>
      <c r="U1292" s="14"/>
      <c r="V1292" s="14"/>
      <c r="W1292" s="14"/>
      <c r="X1292" s="14"/>
      <c r="Z1292" s="14" t="s">
        <v>5341</v>
      </c>
      <c r="AA1292" s="2">
        <f t="shared" ca="1" si="192"/>
        <v>1</v>
      </c>
      <c r="AB1292" s="153"/>
      <c r="AC1292" s="454" t="str">
        <f t="shared" si="197"/>
        <v>1</v>
      </c>
    </row>
    <row r="1293" spans="1:29" ht="43.5" x14ac:dyDescent="0.35">
      <c r="A1293" s="111" t="str">
        <f t="shared" si="193"/>
        <v>Closed</v>
      </c>
      <c r="B1293" s="222">
        <v>45901</v>
      </c>
      <c r="C1293" s="14">
        <v>2506</v>
      </c>
      <c r="D1293" s="14" t="s">
        <v>5531</v>
      </c>
      <c r="E1293" s="14" t="s">
        <v>8</v>
      </c>
      <c r="F1293" s="14" t="s">
        <v>2349</v>
      </c>
      <c r="G1293" s="14"/>
      <c r="H1293" s="14">
        <v>115</v>
      </c>
      <c r="I1293" s="176" t="s">
        <v>140</v>
      </c>
      <c r="K1293" s="87"/>
      <c r="L1293" s="14" t="s">
        <v>5532</v>
      </c>
      <c r="M1293" s="324">
        <f t="shared" si="196"/>
        <v>0</v>
      </c>
      <c r="N1293" s="14" t="s">
        <v>1879</v>
      </c>
      <c r="O1293" s="14" t="s">
        <v>1879</v>
      </c>
      <c r="P1293" s="167" t="s">
        <v>143</v>
      </c>
      <c r="Q1293" s="14"/>
      <c r="R1293" s="170">
        <v>0</v>
      </c>
      <c r="S1293" s="108">
        <f t="shared" si="195"/>
        <v>45929</v>
      </c>
      <c r="T1293" s="79">
        <v>45901</v>
      </c>
      <c r="U1293" s="14"/>
      <c r="V1293" s="14"/>
      <c r="W1293" s="14"/>
      <c r="X1293" s="14"/>
      <c r="Y1293" s="14" t="s">
        <v>2351</v>
      </c>
      <c r="Z1293" s="14"/>
      <c r="AA1293" s="2">
        <f t="shared" ca="1" si="192"/>
        <v>1</v>
      </c>
      <c r="AB1293" s="153"/>
      <c r="AC1293" s="454" t="str">
        <f t="shared" si="197"/>
        <v>1</v>
      </c>
    </row>
    <row r="1294" spans="1:29" ht="58" x14ac:dyDescent="0.35">
      <c r="A1294" s="111" t="str">
        <f t="shared" si="193"/>
        <v>Closed</v>
      </c>
      <c r="B1294" s="222">
        <v>45901</v>
      </c>
      <c r="C1294" s="14">
        <v>2506</v>
      </c>
      <c r="D1294" s="14" t="s">
        <v>5533</v>
      </c>
      <c r="E1294" s="14" t="s">
        <v>1907</v>
      </c>
      <c r="F1294" s="14" t="s">
        <v>1910</v>
      </c>
      <c r="G1294" s="14"/>
      <c r="H1294" s="14">
        <v>121</v>
      </c>
      <c r="I1294" s="176" t="s">
        <v>140</v>
      </c>
      <c r="K1294" s="87"/>
      <c r="L1294" s="14" t="s">
        <v>5534</v>
      </c>
      <c r="M1294" s="324">
        <f t="shared" si="196"/>
        <v>0</v>
      </c>
      <c r="N1294" s="14" t="s">
        <v>1879</v>
      </c>
      <c r="O1294" s="14" t="s">
        <v>1879</v>
      </c>
      <c r="P1294" s="167" t="s">
        <v>143</v>
      </c>
      <c r="Q1294" s="14"/>
      <c r="R1294" s="170">
        <v>0</v>
      </c>
      <c r="S1294" s="108">
        <f t="shared" si="195"/>
        <v>45929</v>
      </c>
      <c r="T1294" s="79">
        <v>45901</v>
      </c>
      <c r="U1294" s="14"/>
      <c r="V1294" s="14"/>
      <c r="W1294" s="14"/>
      <c r="X1294" s="14"/>
      <c r="Y1294" s="23" t="s">
        <v>1915</v>
      </c>
      <c r="Z1294" s="14"/>
      <c r="AA1294" s="2">
        <f t="shared" ca="1" si="192"/>
        <v>1</v>
      </c>
      <c r="AB1294" s="153"/>
      <c r="AC1294" s="454" t="str">
        <f t="shared" si="197"/>
        <v>1</v>
      </c>
    </row>
    <row r="1295" spans="1:29" ht="29" x14ac:dyDescent="0.35">
      <c r="A1295" s="111" t="str">
        <f t="shared" si="193"/>
        <v>Closed</v>
      </c>
      <c r="B1295" s="222">
        <v>45902</v>
      </c>
      <c r="C1295" s="14">
        <v>2506</v>
      </c>
      <c r="D1295" s="14" t="s">
        <v>5535</v>
      </c>
      <c r="E1295" s="14" t="s">
        <v>192</v>
      </c>
      <c r="F1295" s="14" t="s">
        <v>2136</v>
      </c>
      <c r="G1295" s="14"/>
      <c r="H1295" s="14"/>
      <c r="I1295" s="176" t="s">
        <v>140</v>
      </c>
      <c r="K1295" s="87"/>
      <c r="L1295" s="14" t="s">
        <v>5536</v>
      </c>
      <c r="M1295" s="324">
        <f t="shared" si="196"/>
        <v>0</v>
      </c>
      <c r="N1295" s="14" t="s">
        <v>1879</v>
      </c>
      <c r="O1295" s="14" t="s">
        <v>1879</v>
      </c>
      <c r="P1295" s="167" t="s">
        <v>143</v>
      </c>
      <c r="Q1295" s="14"/>
      <c r="R1295" s="170">
        <v>0</v>
      </c>
      <c r="S1295" s="108">
        <f t="shared" si="195"/>
        <v>45930</v>
      </c>
      <c r="T1295" s="79">
        <v>45902</v>
      </c>
      <c r="U1295" s="14"/>
      <c r="V1295" s="14"/>
      <c r="W1295" s="14"/>
      <c r="X1295" s="14"/>
      <c r="Z1295" s="14"/>
      <c r="AA1295" s="2">
        <f t="shared" ca="1" si="192"/>
        <v>1</v>
      </c>
      <c r="AB1295" s="153"/>
      <c r="AC1295" s="454" t="str">
        <f t="shared" si="197"/>
        <v/>
      </c>
    </row>
    <row r="1296" spans="1:29" ht="29" x14ac:dyDescent="0.35">
      <c r="A1296" s="111" t="str">
        <f t="shared" si="193"/>
        <v>Closed</v>
      </c>
      <c r="B1296" s="222">
        <v>45902</v>
      </c>
      <c r="C1296" s="14">
        <v>2506</v>
      </c>
      <c r="D1296" s="14" t="s">
        <v>5537</v>
      </c>
      <c r="E1296" s="14" t="s">
        <v>219</v>
      </c>
      <c r="F1296" s="14" t="s">
        <v>2027</v>
      </c>
      <c r="G1296" s="14"/>
      <c r="H1296" s="14">
        <v>112</v>
      </c>
      <c r="I1296" s="176" t="s">
        <v>140</v>
      </c>
      <c r="K1296" s="87"/>
      <c r="L1296" s="14" t="s">
        <v>5538</v>
      </c>
      <c r="M1296" s="324">
        <f t="shared" si="196"/>
        <v>0</v>
      </c>
      <c r="N1296" s="14" t="s">
        <v>1879</v>
      </c>
      <c r="O1296" s="14" t="s">
        <v>1879</v>
      </c>
      <c r="P1296" s="167" t="s">
        <v>143</v>
      </c>
      <c r="Q1296" s="14"/>
      <c r="R1296" s="170">
        <v>0</v>
      </c>
      <c r="S1296" s="108">
        <f t="shared" si="195"/>
        <v>45930</v>
      </c>
      <c r="T1296" s="79">
        <v>45902</v>
      </c>
      <c r="U1296" s="14"/>
      <c r="V1296" s="14"/>
      <c r="W1296" s="14"/>
      <c r="X1296" s="14"/>
      <c r="Z1296" s="14"/>
      <c r="AA1296" s="2">
        <f t="shared" ca="1" si="192"/>
        <v>1</v>
      </c>
      <c r="AB1296" s="153"/>
      <c r="AC1296" s="454" t="str">
        <f t="shared" si="197"/>
        <v>1</v>
      </c>
    </row>
    <row r="1297" spans="1:29" ht="43.5" x14ac:dyDescent="0.35">
      <c r="A1297" s="111" t="str">
        <f t="shared" si="193"/>
        <v>Closed</v>
      </c>
      <c r="B1297" s="222">
        <v>45902</v>
      </c>
      <c r="C1297" s="14">
        <v>2506</v>
      </c>
      <c r="D1297" s="14" t="s">
        <v>5539</v>
      </c>
      <c r="E1297" s="14" t="s">
        <v>27</v>
      </c>
      <c r="F1297" s="14" t="s">
        <v>2969</v>
      </c>
      <c r="G1297" s="14" t="s">
        <v>1900</v>
      </c>
      <c r="H1297" s="14">
        <v>202</v>
      </c>
      <c r="I1297" s="176" t="s">
        <v>5</v>
      </c>
      <c r="J1297" s="14">
        <v>1263</v>
      </c>
      <c r="K1297" s="87"/>
      <c r="L1297" s="14" t="s">
        <v>5540</v>
      </c>
      <c r="M1297" s="324">
        <f t="shared" si="196"/>
        <v>0</v>
      </c>
      <c r="N1297" s="14" t="s">
        <v>1879</v>
      </c>
      <c r="O1297" s="14" t="s">
        <v>1879</v>
      </c>
      <c r="P1297" s="167" t="s">
        <v>147</v>
      </c>
      <c r="Q1297" s="14" t="s">
        <v>174</v>
      </c>
      <c r="R1297" s="170" t="s">
        <v>234</v>
      </c>
      <c r="S1297" s="108">
        <f t="shared" si="195"/>
        <v>45930</v>
      </c>
      <c r="T1297" s="79">
        <v>46037</v>
      </c>
      <c r="U1297" s="14"/>
      <c r="V1297" s="14"/>
      <c r="W1297" s="14"/>
      <c r="X1297" s="14"/>
      <c r="Z1297" s="14" t="s">
        <v>5341</v>
      </c>
      <c r="AA1297" s="2">
        <f t="shared" ca="1" si="192"/>
        <v>1</v>
      </c>
      <c r="AB1297" s="153"/>
      <c r="AC1297" s="454" t="str">
        <f t="shared" si="197"/>
        <v>2</v>
      </c>
    </row>
    <row r="1298" spans="1:29" ht="58" x14ac:dyDescent="0.35">
      <c r="A1298" s="111" t="str">
        <f t="shared" si="193"/>
        <v>Closed</v>
      </c>
      <c r="B1298" s="222">
        <v>45902</v>
      </c>
      <c r="C1298" s="14">
        <v>2506</v>
      </c>
      <c r="D1298" s="14" t="s">
        <v>5541</v>
      </c>
      <c r="E1298" s="14" t="s">
        <v>219</v>
      </c>
      <c r="F1298" s="14" t="s">
        <v>2262</v>
      </c>
      <c r="G1298" s="14"/>
      <c r="H1298" s="14">
        <v>117</v>
      </c>
      <c r="I1298" s="176" t="s">
        <v>140</v>
      </c>
      <c r="J1298" s="14">
        <v>1016</v>
      </c>
      <c r="K1298" s="87"/>
      <c r="L1298" s="14" t="s">
        <v>5542</v>
      </c>
      <c r="M1298" s="324">
        <f t="shared" si="196"/>
        <v>0</v>
      </c>
      <c r="N1298" s="14" t="s">
        <v>1879</v>
      </c>
      <c r="O1298" s="14" t="s">
        <v>1879</v>
      </c>
      <c r="P1298" s="167" t="s">
        <v>143</v>
      </c>
      <c r="Q1298" s="14"/>
      <c r="R1298" s="170">
        <v>0</v>
      </c>
      <c r="S1298" s="108">
        <f t="shared" si="195"/>
        <v>45930</v>
      </c>
      <c r="T1298" s="79">
        <v>45902</v>
      </c>
      <c r="U1298" s="14"/>
      <c r="V1298" s="14"/>
      <c r="W1298" s="14"/>
      <c r="X1298" s="14"/>
      <c r="Z1298" s="14"/>
      <c r="AA1298" s="2">
        <f t="shared" ca="1" si="192"/>
        <v>1</v>
      </c>
      <c r="AB1298" s="153"/>
      <c r="AC1298" s="454" t="str">
        <f t="shared" si="197"/>
        <v>1</v>
      </c>
    </row>
    <row r="1299" spans="1:29" ht="43.5" x14ac:dyDescent="0.35">
      <c r="A1299" s="111" t="str">
        <f t="shared" si="193"/>
        <v>Closed</v>
      </c>
      <c r="B1299" s="222">
        <v>45902</v>
      </c>
      <c r="C1299" s="14">
        <v>2506</v>
      </c>
      <c r="D1299" s="14" t="s">
        <v>5543</v>
      </c>
      <c r="E1299" s="14" t="s">
        <v>27</v>
      </c>
      <c r="F1299" s="14" t="s">
        <v>2080</v>
      </c>
      <c r="G1299" s="14"/>
      <c r="H1299" s="14">
        <v>107</v>
      </c>
      <c r="I1299" s="176" t="s">
        <v>5</v>
      </c>
      <c r="J1299" s="14">
        <v>8506845</v>
      </c>
      <c r="K1299" s="87"/>
      <c r="L1299" s="14" t="s">
        <v>5544</v>
      </c>
      <c r="M1299" s="324">
        <f t="shared" si="196"/>
        <v>0</v>
      </c>
      <c r="N1299" s="14" t="s">
        <v>1879</v>
      </c>
      <c r="O1299" s="14" t="s">
        <v>1880</v>
      </c>
      <c r="P1299" s="167" t="s">
        <v>147</v>
      </c>
      <c r="Q1299" s="14" t="s">
        <v>174</v>
      </c>
      <c r="R1299" s="170" t="s">
        <v>234</v>
      </c>
      <c r="S1299" s="108">
        <f t="shared" si="195"/>
        <v>45930</v>
      </c>
      <c r="T1299" s="79">
        <v>46037</v>
      </c>
      <c r="U1299" s="14"/>
      <c r="V1299" s="14"/>
      <c r="W1299" s="14"/>
      <c r="X1299" s="14"/>
      <c r="Y1299" s="14" t="s">
        <v>2084</v>
      </c>
      <c r="Z1299" s="14" t="s">
        <v>5341</v>
      </c>
      <c r="AA1299" s="2">
        <f t="shared" ca="1" si="192"/>
        <v>1</v>
      </c>
      <c r="AB1299" s="153"/>
      <c r="AC1299" s="454" t="str">
        <f t="shared" si="197"/>
        <v>1</v>
      </c>
    </row>
    <row r="1300" spans="1:29" ht="29" x14ac:dyDescent="0.35">
      <c r="A1300" s="111" t="str">
        <f t="shared" si="193"/>
        <v>Closed</v>
      </c>
      <c r="B1300" s="222">
        <v>45903</v>
      </c>
      <c r="C1300" s="14">
        <v>2506</v>
      </c>
      <c r="D1300" s="14" t="s">
        <v>5545</v>
      </c>
      <c r="E1300" s="15" t="s">
        <v>219</v>
      </c>
      <c r="F1300" s="14" t="s">
        <v>1968</v>
      </c>
      <c r="G1300" s="14"/>
      <c r="H1300" s="14">
        <v>105</v>
      </c>
      <c r="I1300" s="176" t="s">
        <v>140</v>
      </c>
      <c r="K1300" s="87"/>
      <c r="L1300" s="14" t="s">
        <v>5546</v>
      </c>
      <c r="M1300" s="324">
        <f t="shared" si="196"/>
        <v>0</v>
      </c>
      <c r="N1300" s="14" t="s">
        <v>1879</v>
      </c>
      <c r="O1300" s="14" t="s">
        <v>1879</v>
      </c>
      <c r="P1300" s="167" t="s">
        <v>143</v>
      </c>
      <c r="Q1300" s="14"/>
      <c r="R1300" s="170">
        <v>0</v>
      </c>
      <c r="S1300" s="108">
        <f t="shared" si="195"/>
        <v>45931</v>
      </c>
      <c r="T1300" s="79">
        <v>45903</v>
      </c>
      <c r="U1300" s="14"/>
      <c r="V1300" s="14"/>
      <c r="W1300" s="14"/>
      <c r="X1300" s="14"/>
      <c r="Z1300" s="14"/>
      <c r="AA1300" s="2">
        <f t="shared" ca="1" si="192"/>
        <v>1</v>
      </c>
      <c r="AB1300" s="153"/>
      <c r="AC1300" s="454" t="str">
        <f t="shared" si="197"/>
        <v>1</v>
      </c>
    </row>
    <row r="1301" spans="1:29" ht="29" x14ac:dyDescent="0.35">
      <c r="A1301" s="111" t="str">
        <f t="shared" si="193"/>
        <v>Closed</v>
      </c>
      <c r="B1301" s="222">
        <v>45903</v>
      </c>
      <c r="C1301" s="14">
        <v>2506</v>
      </c>
      <c r="D1301" s="14" t="s">
        <v>5547</v>
      </c>
      <c r="E1301" s="14" t="s">
        <v>219</v>
      </c>
      <c r="F1301" s="14" t="s">
        <v>2187</v>
      </c>
      <c r="G1301" s="14" t="s">
        <v>1900</v>
      </c>
      <c r="H1301" s="14">
        <v>103</v>
      </c>
      <c r="I1301" s="176" t="s">
        <v>140</v>
      </c>
      <c r="K1301" s="87"/>
      <c r="L1301" s="14" t="s">
        <v>5548</v>
      </c>
      <c r="M1301" s="324">
        <f t="shared" si="196"/>
        <v>0</v>
      </c>
      <c r="N1301" s="14" t="s">
        <v>1879</v>
      </c>
      <c r="O1301" s="14" t="s">
        <v>1879</v>
      </c>
      <c r="P1301" s="167" t="s">
        <v>143</v>
      </c>
      <c r="Q1301" s="14"/>
      <c r="R1301" s="170">
        <v>0</v>
      </c>
      <c r="S1301" s="108">
        <f t="shared" si="195"/>
        <v>45931</v>
      </c>
      <c r="T1301" s="79">
        <v>45903</v>
      </c>
      <c r="U1301" s="14"/>
      <c r="V1301" s="14"/>
      <c r="W1301" s="14"/>
      <c r="X1301" s="14"/>
      <c r="Z1301" s="14"/>
      <c r="AA1301" s="2">
        <f t="shared" ca="1" si="192"/>
        <v>1</v>
      </c>
      <c r="AB1301" s="153"/>
      <c r="AC1301" s="454" t="str">
        <f t="shared" si="197"/>
        <v>1</v>
      </c>
    </row>
    <row r="1302" spans="1:29" ht="43.5" x14ac:dyDescent="0.35">
      <c r="A1302" s="111" t="str">
        <f t="shared" si="193"/>
        <v>Closed</v>
      </c>
      <c r="B1302" s="222">
        <v>45903</v>
      </c>
      <c r="C1302" s="14">
        <v>2506</v>
      </c>
      <c r="D1302" s="14" t="s">
        <v>5549</v>
      </c>
      <c r="E1302" s="14" t="s">
        <v>51</v>
      </c>
      <c r="F1302" s="14" t="s">
        <v>5550</v>
      </c>
      <c r="G1302" s="14" t="s">
        <v>1900</v>
      </c>
      <c r="H1302" s="14">
        <v>114</v>
      </c>
      <c r="I1302" s="176" t="s">
        <v>140</v>
      </c>
      <c r="K1302" s="87"/>
      <c r="L1302" s="14" t="s">
        <v>5551</v>
      </c>
      <c r="M1302" s="324">
        <f t="shared" si="196"/>
        <v>0</v>
      </c>
      <c r="N1302" s="14" t="s">
        <v>1879</v>
      </c>
      <c r="O1302" s="14" t="s">
        <v>1879</v>
      </c>
      <c r="P1302" s="167" t="s">
        <v>143</v>
      </c>
      <c r="Q1302" s="14"/>
      <c r="R1302" s="170">
        <v>0</v>
      </c>
      <c r="S1302" s="108">
        <f t="shared" si="195"/>
        <v>45931</v>
      </c>
      <c r="T1302" s="79">
        <v>45903</v>
      </c>
      <c r="U1302" s="14"/>
      <c r="V1302" s="14"/>
      <c r="W1302" s="14"/>
      <c r="X1302" s="14"/>
      <c r="Z1302" s="14"/>
      <c r="AA1302" s="2">
        <f t="shared" ref="AA1302:AA1365" ca="1" si="198">IF(B1302="",3,IF(S1302&lt;$A$1,1,0))</f>
        <v>1</v>
      </c>
      <c r="AB1302" s="153"/>
      <c r="AC1302" s="454" t="str">
        <f t="shared" si="197"/>
        <v>1</v>
      </c>
    </row>
    <row r="1303" spans="1:29" ht="58" x14ac:dyDescent="0.35">
      <c r="A1303" s="111" t="str">
        <f t="shared" si="193"/>
        <v>Closed</v>
      </c>
      <c r="B1303" s="222">
        <v>45903</v>
      </c>
      <c r="C1303" s="14">
        <v>2506</v>
      </c>
      <c r="D1303" s="14" t="s">
        <v>5552</v>
      </c>
      <c r="E1303" s="14" t="s">
        <v>219</v>
      </c>
      <c r="F1303" s="14" t="s">
        <v>2299</v>
      </c>
      <c r="G1303" s="14"/>
      <c r="H1303" s="14">
        <v>110</v>
      </c>
      <c r="I1303" s="176" t="s">
        <v>140</v>
      </c>
      <c r="K1303" s="87"/>
      <c r="L1303" s="14" t="s">
        <v>5553</v>
      </c>
      <c r="M1303" s="324">
        <f t="shared" si="196"/>
        <v>0</v>
      </c>
      <c r="N1303" s="14" t="s">
        <v>1879</v>
      </c>
      <c r="O1303" s="14" t="s">
        <v>1879</v>
      </c>
      <c r="P1303" s="167" t="s">
        <v>143</v>
      </c>
      <c r="Q1303" s="14"/>
      <c r="R1303" s="170">
        <v>0</v>
      </c>
      <c r="S1303" s="108">
        <f t="shared" si="195"/>
        <v>45931</v>
      </c>
      <c r="T1303" s="79">
        <v>45903</v>
      </c>
      <c r="U1303" s="14"/>
      <c r="V1303" s="14"/>
      <c r="W1303" s="14"/>
      <c r="X1303" s="14"/>
      <c r="Z1303" s="14"/>
      <c r="AA1303" s="2">
        <f t="shared" ca="1" si="198"/>
        <v>1</v>
      </c>
      <c r="AB1303" s="153"/>
      <c r="AC1303" s="454" t="str">
        <f t="shared" si="197"/>
        <v>1</v>
      </c>
    </row>
    <row r="1304" spans="1:29" ht="44" thickBot="1" x14ac:dyDescent="0.4">
      <c r="A1304" s="111" t="str">
        <f t="shared" ca="1" si="193"/>
        <v>Overdue</v>
      </c>
      <c r="B1304" s="222">
        <v>45903</v>
      </c>
      <c r="C1304" s="14">
        <v>2506</v>
      </c>
      <c r="D1304" s="14" t="s">
        <v>5554</v>
      </c>
      <c r="E1304" s="14" t="s">
        <v>31</v>
      </c>
      <c r="F1304" s="14" t="s">
        <v>2245</v>
      </c>
      <c r="G1304" s="14"/>
      <c r="H1304" s="14"/>
      <c r="I1304" s="176" t="s">
        <v>155</v>
      </c>
      <c r="K1304" s="87"/>
      <c r="L1304" s="14" t="s">
        <v>5555</v>
      </c>
      <c r="M1304" s="324">
        <f t="shared" si="196"/>
        <v>0</v>
      </c>
      <c r="N1304" s="14" t="s">
        <v>1879</v>
      </c>
      <c r="O1304" s="14" t="s">
        <v>1879</v>
      </c>
      <c r="P1304" s="167" t="s">
        <v>147</v>
      </c>
      <c r="Q1304" s="14" t="s">
        <v>185</v>
      </c>
      <c r="R1304" s="170" t="s">
        <v>234</v>
      </c>
      <c r="S1304" s="108">
        <f t="shared" si="195"/>
        <v>45931</v>
      </c>
      <c r="T1304" s="14"/>
      <c r="U1304" s="14"/>
      <c r="V1304" s="14"/>
      <c r="W1304" s="14"/>
      <c r="X1304" s="14"/>
      <c r="Z1304" s="14" t="s">
        <v>5315</v>
      </c>
      <c r="AA1304" s="2">
        <f t="shared" ca="1" si="198"/>
        <v>1</v>
      </c>
      <c r="AB1304" s="153"/>
      <c r="AC1304" s="454" t="str">
        <f t="shared" si="197"/>
        <v/>
      </c>
    </row>
    <row r="1305" spans="1:29" ht="29.5" thickBot="1" x14ac:dyDescent="0.4">
      <c r="A1305" s="111" t="str">
        <f t="shared" si="193"/>
        <v>Closed</v>
      </c>
      <c r="B1305" s="222">
        <v>45905</v>
      </c>
      <c r="C1305" s="14">
        <v>2506</v>
      </c>
      <c r="D1305" s="14" t="s">
        <v>5556</v>
      </c>
      <c r="E1305" s="15" t="s">
        <v>8</v>
      </c>
      <c r="F1305" s="14" t="s">
        <v>2974</v>
      </c>
      <c r="G1305" s="14" t="s">
        <v>1900</v>
      </c>
      <c r="H1305" s="14">
        <v>111</v>
      </c>
      <c r="I1305" s="176" t="s">
        <v>140</v>
      </c>
      <c r="J1305" s="14">
        <v>1293</v>
      </c>
      <c r="K1305" s="87"/>
      <c r="L1305" s="14" t="s">
        <v>5557</v>
      </c>
      <c r="M1305" s="324">
        <f t="shared" si="196"/>
        <v>0</v>
      </c>
      <c r="N1305" s="14" t="s">
        <v>1879</v>
      </c>
      <c r="O1305" s="14" t="s">
        <v>1879</v>
      </c>
      <c r="P1305" s="167" t="s">
        <v>143</v>
      </c>
      <c r="Q1305" s="14"/>
      <c r="R1305" s="170">
        <v>0</v>
      </c>
      <c r="S1305" s="108">
        <f t="shared" si="195"/>
        <v>45933</v>
      </c>
      <c r="T1305" s="79">
        <v>45905</v>
      </c>
      <c r="U1305" s="14"/>
      <c r="V1305" s="14"/>
      <c r="W1305" s="14"/>
      <c r="X1305" s="14"/>
      <c r="Y1305" s="464" t="s">
        <v>2164</v>
      </c>
      <c r="Z1305" s="14"/>
      <c r="AA1305" s="2">
        <f t="shared" ca="1" si="198"/>
        <v>1</v>
      </c>
      <c r="AB1305" s="153"/>
      <c r="AC1305" s="454"/>
    </row>
    <row r="1306" spans="1:29" ht="43.5" x14ac:dyDescent="0.35">
      <c r="A1306" s="111" t="str">
        <f t="shared" ca="1" si="193"/>
        <v>Overdue</v>
      </c>
      <c r="B1306" s="222">
        <v>45905</v>
      </c>
      <c r="C1306" s="14">
        <v>2506</v>
      </c>
      <c r="D1306" s="14" t="s">
        <v>5558</v>
      </c>
      <c r="E1306" s="15" t="s">
        <v>78</v>
      </c>
      <c r="F1306" s="14" t="s">
        <v>2060</v>
      </c>
      <c r="G1306" s="14" t="s">
        <v>1911</v>
      </c>
      <c r="H1306" s="14">
        <v>117</v>
      </c>
      <c r="I1306" s="176" t="s">
        <v>155</v>
      </c>
      <c r="K1306" s="87"/>
      <c r="L1306" s="14" t="s">
        <v>5559</v>
      </c>
      <c r="M1306" s="324"/>
      <c r="N1306" s="14" t="s">
        <v>2034</v>
      </c>
      <c r="O1306" s="14" t="s">
        <v>1880</v>
      </c>
      <c r="P1306" s="167" t="s">
        <v>147</v>
      </c>
      <c r="Q1306" s="14" t="s">
        <v>135</v>
      </c>
      <c r="R1306" s="170" t="s">
        <v>234</v>
      </c>
      <c r="S1306" s="108">
        <f t="shared" si="195"/>
        <v>45933</v>
      </c>
      <c r="T1306" s="79"/>
      <c r="U1306" s="14"/>
      <c r="V1306" s="14"/>
      <c r="W1306" s="14"/>
      <c r="X1306" s="14"/>
      <c r="Y1306" s="466" t="s">
        <v>2062</v>
      </c>
      <c r="Z1306" s="14" t="s">
        <v>5560</v>
      </c>
      <c r="AA1306" s="2">
        <f t="shared" ca="1" si="198"/>
        <v>1</v>
      </c>
      <c r="AB1306" s="153"/>
      <c r="AC1306" s="454"/>
    </row>
    <row r="1307" spans="1:29" ht="43.5" x14ac:dyDescent="0.35">
      <c r="A1307" s="111" t="str">
        <f>IF(T1307&gt;1,"Closed",IF(AA1307=1,"Overdue",IF(AA1307=3,"","Open")))</f>
        <v>Closed</v>
      </c>
      <c r="B1307" s="222">
        <v>45906</v>
      </c>
      <c r="C1307" s="14">
        <v>2506</v>
      </c>
      <c r="D1307" s="14" t="s">
        <v>5561</v>
      </c>
      <c r="E1307" s="14" t="s">
        <v>219</v>
      </c>
      <c r="F1307" s="14" t="s">
        <v>2765</v>
      </c>
      <c r="G1307" s="14"/>
      <c r="H1307" s="14">
        <v>107</v>
      </c>
      <c r="I1307" s="176" t="s">
        <v>140</v>
      </c>
      <c r="K1307" s="87"/>
      <c r="L1307" s="14" t="s">
        <v>5562</v>
      </c>
      <c r="M1307" s="324">
        <f t="shared" ref="M1307:M1363" si="199">IF(I1307="Staff Accident","Entry Required",IF(I1307="Assaults","Entry Required",0))</f>
        <v>0</v>
      </c>
      <c r="N1307" s="14" t="s">
        <v>1879</v>
      </c>
      <c r="O1307" s="14" t="s">
        <v>1879</v>
      </c>
      <c r="P1307" s="167" t="s">
        <v>143</v>
      </c>
      <c r="Q1307" s="14"/>
      <c r="R1307" s="170">
        <v>0</v>
      </c>
      <c r="S1307" s="108">
        <f t="shared" ref="S1307:S1348" si="200">IF(B1307="","",B1307+28)</f>
        <v>45934</v>
      </c>
      <c r="T1307" s="79">
        <v>45906</v>
      </c>
      <c r="U1307" s="14"/>
      <c r="V1307" s="14"/>
      <c r="W1307" s="14"/>
      <c r="X1307" s="14"/>
      <c r="Z1307" s="14"/>
      <c r="AA1307" s="2">
        <f t="shared" ca="1" si="198"/>
        <v>1</v>
      </c>
      <c r="AB1307" s="153"/>
      <c r="AC1307" s="454" t="str">
        <f t="shared" ref="AC1307:AC1369" si="201">LEFT(H1307,1)</f>
        <v>1</v>
      </c>
    </row>
    <row r="1308" spans="1:29" ht="29" x14ac:dyDescent="0.35">
      <c r="A1308" s="111" t="str">
        <f>IF(T1308&gt;1,"Closed",IF(AA1308=1,"Overdue",IF(AA1308=3,"","Open")))</f>
        <v>Closed</v>
      </c>
      <c r="B1308" s="222">
        <v>45906</v>
      </c>
      <c r="C1308" s="14">
        <v>2506</v>
      </c>
      <c r="D1308" s="14" t="s">
        <v>5563</v>
      </c>
      <c r="E1308" s="14" t="s">
        <v>8</v>
      </c>
      <c r="F1308" s="14" t="s">
        <v>1899</v>
      </c>
      <c r="G1308" s="14" t="s">
        <v>1911</v>
      </c>
      <c r="H1308" s="14">
        <v>117</v>
      </c>
      <c r="I1308" s="176" t="s">
        <v>140</v>
      </c>
      <c r="K1308" s="87"/>
      <c r="L1308" s="14" t="s">
        <v>5564</v>
      </c>
      <c r="M1308" s="324">
        <f t="shared" si="199"/>
        <v>0</v>
      </c>
      <c r="N1308" s="14" t="s">
        <v>1879</v>
      </c>
      <c r="O1308" s="14" t="s">
        <v>1879</v>
      </c>
      <c r="P1308" s="167" t="s">
        <v>143</v>
      </c>
      <c r="Q1308" s="14"/>
      <c r="R1308" s="170">
        <v>0</v>
      </c>
      <c r="S1308" s="108">
        <f t="shared" si="200"/>
        <v>45934</v>
      </c>
      <c r="T1308" s="79">
        <v>45906</v>
      </c>
      <c r="U1308" s="14"/>
      <c r="V1308" s="14"/>
      <c r="W1308" s="14"/>
      <c r="X1308" s="14"/>
      <c r="Z1308" s="14"/>
      <c r="AA1308" s="2">
        <f t="shared" ca="1" si="198"/>
        <v>1</v>
      </c>
      <c r="AB1308" s="153"/>
      <c r="AC1308" s="454" t="str">
        <f t="shared" si="201"/>
        <v>1</v>
      </c>
    </row>
    <row r="1309" spans="1:29" ht="58" x14ac:dyDescent="0.35">
      <c r="A1309" s="111" t="str">
        <f>IF(T1309&gt;1,"Closed",IF(AA1309=1,"Overdue",IF(AA1309=3,"","Open")))</f>
        <v>Closed</v>
      </c>
      <c r="B1309" s="222">
        <v>45906</v>
      </c>
      <c r="C1309" s="14">
        <v>2506</v>
      </c>
      <c r="D1309" s="14" t="s">
        <v>5565</v>
      </c>
      <c r="E1309" s="14" t="s">
        <v>1907</v>
      </c>
      <c r="F1309" s="14" t="s">
        <v>2080</v>
      </c>
      <c r="G1309" s="14" t="s">
        <v>1900</v>
      </c>
      <c r="H1309" s="14">
        <v>111</v>
      </c>
      <c r="I1309" s="176" t="s">
        <v>140</v>
      </c>
      <c r="K1309" s="87"/>
      <c r="L1309" s="14" t="s">
        <v>5566</v>
      </c>
      <c r="M1309" s="324">
        <f t="shared" si="199"/>
        <v>0</v>
      </c>
      <c r="N1309" s="14" t="s">
        <v>1879</v>
      </c>
      <c r="O1309" s="14" t="s">
        <v>1879</v>
      </c>
      <c r="P1309" s="167" t="s">
        <v>143</v>
      </c>
      <c r="Q1309" s="14"/>
      <c r="R1309" s="170">
        <v>0</v>
      </c>
      <c r="S1309" s="108">
        <f t="shared" si="200"/>
        <v>45934</v>
      </c>
      <c r="T1309" s="79">
        <v>45906</v>
      </c>
      <c r="U1309" s="14"/>
      <c r="V1309" s="14"/>
      <c r="W1309" s="14"/>
      <c r="X1309" s="14"/>
      <c r="Y1309" s="14" t="s">
        <v>2084</v>
      </c>
      <c r="Z1309" s="14"/>
      <c r="AA1309" s="2">
        <f t="shared" ca="1" si="198"/>
        <v>1</v>
      </c>
      <c r="AB1309" s="153"/>
      <c r="AC1309" s="454" t="str">
        <f t="shared" si="201"/>
        <v>1</v>
      </c>
    </row>
    <row r="1310" spans="1:29" ht="58" x14ac:dyDescent="0.35">
      <c r="A1310" s="111" t="str">
        <f>IF(T1310&gt;1,"Closed",IF(AA1310=1,"Overdue",IF(AA1310=3,"","Open")))</f>
        <v>Closed</v>
      </c>
      <c r="B1310" s="222">
        <v>45906</v>
      </c>
      <c r="C1310" s="14">
        <v>2506</v>
      </c>
      <c r="D1310" s="14" t="s">
        <v>5567</v>
      </c>
      <c r="E1310" s="14" t="s">
        <v>27</v>
      </c>
      <c r="F1310" s="14" t="s">
        <v>2019</v>
      </c>
      <c r="G1310" s="14" t="s">
        <v>1911</v>
      </c>
      <c r="H1310" s="14">
        <v>109</v>
      </c>
      <c r="I1310" s="176" t="s">
        <v>5</v>
      </c>
      <c r="K1310" s="87"/>
      <c r="L1310" s="14" t="s">
        <v>5568</v>
      </c>
      <c r="M1310" s="324">
        <f t="shared" si="199"/>
        <v>0</v>
      </c>
      <c r="N1310" s="14" t="s">
        <v>1879</v>
      </c>
      <c r="O1310" s="14" t="s">
        <v>1880</v>
      </c>
      <c r="P1310" s="167" t="s">
        <v>147</v>
      </c>
      <c r="Q1310" s="14" t="s">
        <v>177</v>
      </c>
      <c r="R1310" s="170" t="s">
        <v>234</v>
      </c>
      <c r="S1310" s="108">
        <f t="shared" si="200"/>
        <v>45934</v>
      </c>
      <c r="T1310" s="79">
        <v>46037</v>
      </c>
      <c r="U1310" s="14"/>
      <c r="V1310" s="14"/>
      <c r="W1310" s="14"/>
      <c r="X1310" s="14"/>
      <c r="Z1310" s="14" t="s">
        <v>5341</v>
      </c>
      <c r="AA1310" s="2">
        <f t="shared" ca="1" si="198"/>
        <v>1</v>
      </c>
      <c r="AB1310" s="153"/>
      <c r="AC1310" s="454" t="str">
        <f t="shared" si="201"/>
        <v>1</v>
      </c>
    </row>
    <row r="1311" spans="1:29" ht="58" x14ac:dyDescent="0.35">
      <c r="A1311" s="111" t="str">
        <f t="shared" ref="A1311:A1374" si="202">IF(T1311&gt;1,"Closed",IF(AA1311=1,"Overdue",IF(AA1311=3,"","Open")))</f>
        <v>Closed</v>
      </c>
      <c r="B1311" s="222">
        <v>45907</v>
      </c>
      <c r="C1311" s="14">
        <v>2506</v>
      </c>
      <c r="D1311" s="14" t="s">
        <v>5569</v>
      </c>
      <c r="E1311" s="14" t="s">
        <v>8</v>
      </c>
      <c r="F1311" s="14" t="s">
        <v>2155</v>
      </c>
      <c r="G1311" s="14"/>
      <c r="H1311" s="14">
        <v>113</v>
      </c>
      <c r="I1311" s="176" t="s">
        <v>140</v>
      </c>
      <c r="K1311" s="87"/>
      <c r="L1311" s="14" t="s">
        <v>5570</v>
      </c>
      <c r="M1311" s="324">
        <f t="shared" si="199"/>
        <v>0</v>
      </c>
      <c r="N1311" s="14" t="s">
        <v>1879</v>
      </c>
      <c r="O1311" s="14" t="s">
        <v>1879</v>
      </c>
      <c r="P1311" s="167" t="s">
        <v>143</v>
      </c>
      <c r="Q1311" s="14"/>
      <c r="R1311" s="170">
        <v>0</v>
      </c>
      <c r="S1311" s="108">
        <f t="shared" si="200"/>
        <v>45935</v>
      </c>
      <c r="T1311" s="79">
        <v>45907</v>
      </c>
      <c r="U1311" s="14"/>
      <c r="V1311" s="14"/>
      <c r="W1311" s="14"/>
      <c r="X1311" s="14"/>
      <c r="Z1311" s="14"/>
      <c r="AA1311" s="2">
        <f t="shared" ca="1" si="198"/>
        <v>1</v>
      </c>
      <c r="AB1311" s="153"/>
      <c r="AC1311" s="454" t="str">
        <f t="shared" si="201"/>
        <v>1</v>
      </c>
    </row>
    <row r="1312" spans="1:29" ht="29" x14ac:dyDescent="0.35">
      <c r="A1312" s="111" t="str">
        <f t="shared" si="202"/>
        <v>Closed</v>
      </c>
      <c r="B1312" s="222">
        <v>45907</v>
      </c>
      <c r="C1312" s="14">
        <v>2506</v>
      </c>
      <c r="D1312" s="14" t="s">
        <v>5571</v>
      </c>
      <c r="E1312" s="14" t="s">
        <v>8</v>
      </c>
      <c r="F1312" s="14" t="s">
        <v>3917</v>
      </c>
      <c r="G1312" s="14" t="s">
        <v>1911</v>
      </c>
      <c r="H1312" s="14">
        <v>113</v>
      </c>
      <c r="I1312" s="176" t="s">
        <v>140</v>
      </c>
      <c r="K1312" s="87"/>
      <c r="L1312" s="14" t="s">
        <v>5572</v>
      </c>
      <c r="M1312" s="324">
        <f t="shared" si="199"/>
        <v>0</v>
      </c>
      <c r="N1312" s="14" t="s">
        <v>1879</v>
      </c>
      <c r="O1312" s="14" t="s">
        <v>1879</v>
      </c>
      <c r="P1312" s="167" t="s">
        <v>143</v>
      </c>
      <c r="Q1312" s="14"/>
      <c r="R1312" s="170">
        <v>0</v>
      </c>
      <c r="S1312" s="108">
        <f t="shared" si="200"/>
        <v>45935</v>
      </c>
      <c r="T1312" s="79">
        <v>45907</v>
      </c>
      <c r="U1312" s="14"/>
      <c r="V1312" s="14"/>
      <c r="W1312" s="14"/>
      <c r="X1312" s="14"/>
      <c r="Y1312" s="14" t="s">
        <v>2093</v>
      </c>
      <c r="Z1312" s="14"/>
      <c r="AA1312" s="2">
        <f t="shared" ca="1" si="198"/>
        <v>1</v>
      </c>
      <c r="AB1312" s="153"/>
      <c r="AC1312" s="454" t="str">
        <f t="shared" si="201"/>
        <v>1</v>
      </c>
    </row>
    <row r="1313" spans="1:29" ht="43.5" x14ac:dyDescent="0.35">
      <c r="A1313" s="111" t="str">
        <f t="shared" si="202"/>
        <v>Closed</v>
      </c>
      <c r="B1313" s="222">
        <v>45907</v>
      </c>
      <c r="C1313" s="14">
        <v>2506</v>
      </c>
      <c r="D1313" s="14" t="s">
        <v>5573</v>
      </c>
      <c r="E1313" s="14" t="s">
        <v>209</v>
      </c>
      <c r="F1313" s="14" t="s">
        <v>3462</v>
      </c>
      <c r="G1313" s="14" t="s">
        <v>1911</v>
      </c>
      <c r="H1313" s="14">
        <v>205</v>
      </c>
      <c r="I1313" s="176" t="s">
        <v>155</v>
      </c>
      <c r="K1313" s="87"/>
      <c r="L1313" s="14" t="s">
        <v>5574</v>
      </c>
      <c r="M1313" s="324">
        <f t="shared" si="199"/>
        <v>0</v>
      </c>
      <c r="N1313" s="14" t="s">
        <v>1880</v>
      </c>
      <c r="O1313" s="14" t="s">
        <v>1880</v>
      </c>
      <c r="P1313" s="167" t="s">
        <v>147</v>
      </c>
      <c r="Q1313" s="14" t="s">
        <v>183</v>
      </c>
      <c r="R1313" s="170" t="s">
        <v>234</v>
      </c>
      <c r="S1313" s="108">
        <f t="shared" si="200"/>
        <v>45935</v>
      </c>
      <c r="T1313" s="79">
        <v>46045</v>
      </c>
      <c r="U1313" s="14"/>
      <c r="V1313" s="14"/>
      <c r="W1313" s="14"/>
      <c r="X1313" s="14"/>
      <c r="Z1313" s="14" t="s">
        <v>5575</v>
      </c>
      <c r="AA1313" s="2">
        <f t="shared" ca="1" si="198"/>
        <v>1</v>
      </c>
      <c r="AB1313" s="153"/>
      <c r="AC1313" s="454" t="str">
        <f t="shared" si="201"/>
        <v>2</v>
      </c>
    </row>
    <row r="1314" spans="1:29" ht="58" x14ac:dyDescent="0.35">
      <c r="A1314" s="111" t="str">
        <f t="shared" si="202"/>
        <v>Closed</v>
      </c>
      <c r="B1314" s="222">
        <v>45907</v>
      </c>
      <c r="C1314" s="14">
        <v>2506</v>
      </c>
      <c r="D1314" s="14" t="s">
        <v>5576</v>
      </c>
      <c r="E1314" s="14" t="s">
        <v>219</v>
      </c>
      <c r="F1314" s="14" t="s">
        <v>2155</v>
      </c>
      <c r="G1314" s="14"/>
      <c r="H1314" s="14">
        <v>125</v>
      </c>
      <c r="I1314" s="176" t="s">
        <v>140</v>
      </c>
      <c r="K1314" s="87"/>
      <c r="L1314" s="14" t="s">
        <v>5577</v>
      </c>
      <c r="M1314" s="324">
        <f t="shared" si="199"/>
        <v>0</v>
      </c>
      <c r="N1314" s="14" t="s">
        <v>1879</v>
      </c>
      <c r="O1314" s="14" t="s">
        <v>1879</v>
      </c>
      <c r="P1314" s="167" t="s">
        <v>143</v>
      </c>
      <c r="Q1314" s="14"/>
      <c r="R1314" s="170">
        <v>0</v>
      </c>
      <c r="S1314" s="108">
        <f t="shared" si="200"/>
        <v>45935</v>
      </c>
      <c r="T1314" s="79">
        <v>45907</v>
      </c>
      <c r="U1314" s="14"/>
      <c r="V1314" s="14"/>
      <c r="W1314" s="14"/>
      <c r="X1314" s="14"/>
      <c r="Z1314" s="14"/>
      <c r="AA1314" s="2">
        <f t="shared" ca="1" si="198"/>
        <v>1</v>
      </c>
      <c r="AB1314" s="153"/>
      <c r="AC1314" s="454" t="str">
        <f t="shared" si="201"/>
        <v>1</v>
      </c>
    </row>
    <row r="1315" spans="1:29" ht="29" x14ac:dyDescent="0.35">
      <c r="A1315" s="111" t="str">
        <f t="shared" si="202"/>
        <v>Closed</v>
      </c>
      <c r="B1315" s="222">
        <v>45908</v>
      </c>
      <c r="C1315" s="14">
        <v>2506</v>
      </c>
      <c r="D1315" s="14" t="s">
        <v>5578</v>
      </c>
      <c r="E1315" s="14" t="s">
        <v>8</v>
      </c>
      <c r="F1315" s="14" t="s">
        <v>2091</v>
      </c>
      <c r="G1315" s="14" t="s">
        <v>1900</v>
      </c>
      <c r="H1315" s="14"/>
      <c r="I1315" s="176" t="s">
        <v>140</v>
      </c>
      <c r="K1315" s="87"/>
      <c r="L1315" s="14" t="s">
        <v>5579</v>
      </c>
      <c r="M1315" s="324">
        <f t="shared" si="199"/>
        <v>0</v>
      </c>
      <c r="N1315" s="14" t="s">
        <v>1879</v>
      </c>
      <c r="O1315" s="14" t="s">
        <v>1879</v>
      </c>
      <c r="P1315" s="167" t="s">
        <v>143</v>
      </c>
      <c r="Q1315" s="14"/>
      <c r="R1315" s="170">
        <v>0</v>
      </c>
      <c r="S1315" s="108">
        <f t="shared" si="200"/>
        <v>45936</v>
      </c>
      <c r="T1315" s="79">
        <v>45908</v>
      </c>
      <c r="U1315" s="14"/>
      <c r="V1315" s="14"/>
      <c r="W1315" s="14"/>
      <c r="X1315" s="14"/>
      <c r="Y1315" s="14" t="s">
        <v>2093</v>
      </c>
      <c r="Z1315" s="14"/>
      <c r="AA1315" s="2">
        <f t="shared" ca="1" si="198"/>
        <v>1</v>
      </c>
      <c r="AB1315" s="153"/>
      <c r="AC1315" s="454" t="str">
        <f t="shared" si="201"/>
        <v/>
      </c>
    </row>
    <row r="1316" spans="1:29" ht="29" x14ac:dyDescent="0.35">
      <c r="A1316" s="111" t="str">
        <f t="shared" si="202"/>
        <v>Closed</v>
      </c>
      <c r="B1316" s="222">
        <v>45908</v>
      </c>
      <c r="C1316" s="14">
        <v>2506</v>
      </c>
      <c r="D1316" s="14" t="s">
        <v>5580</v>
      </c>
      <c r="E1316" s="14" t="s">
        <v>8</v>
      </c>
      <c r="F1316" s="14" t="s">
        <v>1899</v>
      </c>
      <c r="G1316" s="14" t="s">
        <v>1911</v>
      </c>
      <c r="H1316" s="14"/>
      <c r="I1316" s="176" t="s">
        <v>140</v>
      </c>
      <c r="K1316" s="87"/>
      <c r="L1316" s="14" t="s">
        <v>5581</v>
      </c>
      <c r="M1316" s="324">
        <f t="shared" si="199"/>
        <v>0</v>
      </c>
      <c r="N1316" s="14" t="s">
        <v>1879</v>
      </c>
      <c r="O1316" s="14" t="s">
        <v>1879</v>
      </c>
      <c r="P1316" s="167" t="s">
        <v>143</v>
      </c>
      <c r="Q1316" s="14"/>
      <c r="R1316" s="170">
        <v>0</v>
      </c>
      <c r="S1316" s="108">
        <f t="shared" si="200"/>
        <v>45936</v>
      </c>
      <c r="T1316" s="79">
        <v>45908</v>
      </c>
      <c r="U1316" s="14"/>
      <c r="V1316" s="14"/>
      <c r="W1316" s="14"/>
      <c r="X1316" s="14"/>
      <c r="Z1316" s="14"/>
      <c r="AA1316" s="2">
        <f t="shared" ca="1" si="198"/>
        <v>1</v>
      </c>
      <c r="AB1316" s="153"/>
      <c r="AC1316" s="454" t="str">
        <f t="shared" si="201"/>
        <v/>
      </c>
    </row>
    <row r="1317" spans="1:29" ht="29" x14ac:dyDescent="0.35">
      <c r="A1317" s="111" t="str">
        <f t="shared" si="202"/>
        <v>Closed</v>
      </c>
      <c r="B1317" s="222">
        <v>45908</v>
      </c>
      <c r="C1317" s="14">
        <v>2506</v>
      </c>
      <c r="D1317" s="14" t="s">
        <v>5582</v>
      </c>
      <c r="E1317" s="14" t="s">
        <v>8</v>
      </c>
      <c r="F1317" s="14" t="s">
        <v>2091</v>
      </c>
      <c r="G1317" s="14" t="s">
        <v>1911</v>
      </c>
      <c r="H1317" s="14"/>
      <c r="I1317" s="176" t="s">
        <v>140</v>
      </c>
      <c r="K1317" s="87"/>
      <c r="L1317" s="14" t="s">
        <v>5583</v>
      </c>
      <c r="M1317" s="324">
        <f t="shared" si="199"/>
        <v>0</v>
      </c>
      <c r="N1317" s="14" t="s">
        <v>1879</v>
      </c>
      <c r="O1317" s="14" t="s">
        <v>1879</v>
      </c>
      <c r="P1317" s="167" t="s">
        <v>143</v>
      </c>
      <c r="Q1317" s="14"/>
      <c r="R1317" s="170">
        <v>0</v>
      </c>
      <c r="S1317" s="108">
        <f t="shared" si="200"/>
        <v>45936</v>
      </c>
      <c r="T1317" s="79">
        <v>45908</v>
      </c>
      <c r="U1317" s="14"/>
      <c r="V1317" s="14"/>
      <c r="W1317" s="14"/>
      <c r="X1317" s="14"/>
      <c r="Y1317" s="14" t="s">
        <v>2093</v>
      </c>
      <c r="Z1317" s="14"/>
      <c r="AA1317" s="2">
        <f t="shared" ca="1" si="198"/>
        <v>1</v>
      </c>
      <c r="AB1317" s="153"/>
      <c r="AC1317" s="454" t="str">
        <f t="shared" si="201"/>
        <v/>
      </c>
    </row>
    <row r="1318" spans="1:29" ht="29" x14ac:dyDescent="0.35">
      <c r="A1318" s="111" t="str">
        <f t="shared" si="202"/>
        <v>Closed</v>
      </c>
      <c r="B1318" s="222">
        <v>45909</v>
      </c>
      <c r="C1318" s="14">
        <v>2506</v>
      </c>
      <c r="D1318" s="14" t="s">
        <v>5584</v>
      </c>
      <c r="E1318" s="14" t="s">
        <v>85</v>
      </c>
      <c r="F1318" s="14" t="s">
        <v>1910</v>
      </c>
      <c r="G1318" s="14" t="s">
        <v>1900</v>
      </c>
      <c r="H1318" s="14">
        <v>116</v>
      </c>
      <c r="I1318" s="176" t="s">
        <v>140</v>
      </c>
      <c r="K1318" s="87"/>
      <c r="L1318" s="14" t="s">
        <v>5585</v>
      </c>
      <c r="M1318" s="324">
        <f t="shared" si="199"/>
        <v>0</v>
      </c>
      <c r="N1318" s="14" t="s">
        <v>1879</v>
      </c>
      <c r="O1318" s="14" t="s">
        <v>1879</v>
      </c>
      <c r="P1318" s="167" t="s">
        <v>143</v>
      </c>
      <c r="Q1318" s="14"/>
      <c r="R1318" s="170">
        <v>0</v>
      </c>
      <c r="S1318" s="108">
        <f t="shared" si="200"/>
        <v>45937</v>
      </c>
      <c r="T1318" s="79">
        <v>45909</v>
      </c>
      <c r="U1318" s="14"/>
      <c r="V1318" s="14"/>
      <c r="W1318" s="14"/>
      <c r="X1318" s="14"/>
      <c r="Y1318" s="23" t="s">
        <v>1915</v>
      </c>
      <c r="Z1318" s="14"/>
      <c r="AA1318" s="2">
        <f t="shared" ca="1" si="198"/>
        <v>1</v>
      </c>
      <c r="AB1318" s="153"/>
      <c r="AC1318" s="454" t="str">
        <f t="shared" si="201"/>
        <v>1</v>
      </c>
    </row>
    <row r="1319" spans="1:29" ht="29" x14ac:dyDescent="0.35">
      <c r="A1319" s="111" t="str">
        <f t="shared" si="202"/>
        <v>Closed</v>
      </c>
      <c r="B1319" s="222">
        <v>45909</v>
      </c>
      <c r="C1319" s="14">
        <v>2506</v>
      </c>
      <c r="D1319" s="14" t="s">
        <v>5586</v>
      </c>
      <c r="E1319" s="14" t="s">
        <v>8</v>
      </c>
      <c r="F1319" s="14" t="s">
        <v>1899</v>
      </c>
      <c r="G1319" s="14" t="s">
        <v>1911</v>
      </c>
      <c r="H1319" s="14">
        <v>107</v>
      </c>
      <c r="I1319" s="176" t="s">
        <v>140</v>
      </c>
      <c r="K1319" s="87"/>
      <c r="L1319" s="14" t="s">
        <v>5587</v>
      </c>
      <c r="M1319" s="324">
        <f t="shared" si="199"/>
        <v>0</v>
      </c>
      <c r="N1319" s="14" t="s">
        <v>1879</v>
      </c>
      <c r="O1319" s="14" t="s">
        <v>1879</v>
      </c>
      <c r="P1319" s="167" t="s">
        <v>143</v>
      </c>
      <c r="Q1319" s="14"/>
      <c r="R1319" s="170">
        <v>0</v>
      </c>
      <c r="S1319" s="108">
        <f t="shared" si="200"/>
        <v>45937</v>
      </c>
      <c r="T1319" s="79">
        <v>45909</v>
      </c>
      <c r="U1319" s="14"/>
      <c r="V1319" s="14"/>
      <c r="W1319" s="14"/>
      <c r="X1319" s="14"/>
      <c r="Z1319" s="14"/>
      <c r="AA1319" s="2">
        <f t="shared" ca="1" si="198"/>
        <v>1</v>
      </c>
      <c r="AB1319" s="153"/>
      <c r="AC1319" s="454" t="str">
        <f t="shared" si="201"/>
        <v>1</v>
      </c>
    </row>
    <row r="1320" spans="1:29" ht="58" x14ac:dyDescent="0.35">
      <c r="A1320" s="111" t="str">
        <f t="shared" si="202"/>
        <v>Closed</v>
      </c>
      <c r="B1320" s="222">
        <v>45910</v>
      </c>
      <c r="C1320" s="14">
        <v>2506</v>
      </c>
      <c r="D1320" s="14" t="s">
        <v>5588</v>
      </c>
      <c r="E1320" s="14" t="s">
        <v>219</v>
      </c>
      <c r="F1320" s="14" t="s">
        <v>2299</v>
      </c>
      <c r="G1320" s="14"/>
      <c r="H1320" s="14"/>
      <c r="I1320" s="176" t="s">
        <v>140</v>
      </c>
      <c r="K1320" s="87"/>
      <c r="L1320" s="14" t="s">
        <v>5589</v>
      </c>
      <c r="M1320" s="324">
        <f t="shared" si="199"/>
        <v>0</v>
      </c>
      <c r="N1320" s="14" t="s">
        <v>1879</v>
      </c>
      <c r="O1320" s="14" t="s">
        <v>1879</v>
      </c>
      <c r="P1320" s="167" t="s">
        <v>143</v>
      </c>
      <c r="Q1320" s="14"/>
      <c r="R1320" s="170">
        <v>0</v>
      </c>
      <c r="S1320" s="108">
        <f t="shared" si="200"/>
        <v>45938</v>
      </c>
      <c r="T1320" s="79">
        <v>45910</v>
      </c>
      <c r="U1320" s="14"/>
      <c r="V1320" s="14"/>
      <c r="W1320" s="14"/>
      <c r="X1320" s="14"/>
      <c r="Z1320" s="14"/>
      <c r="AA1320" s="2">
        <f t="shared" ca="1" si="198"/>
        <v>1</v>
      </c>
      <c r="AB1320" s="153"/>
      <c r="AC1320" s="454" t="str">
        <f t="shared" si="201"/>
        <v/>
      </c>
    </row>
    <row r="1321" spans="1:29" ht="72.5" x14ac:dyDescent="0.45">
      <c r="A1321" s="111" t="str">
        <f t="shared" si="202"/>
        <v>Closed</v>
      </c>
      <c r="B1321" s="222">
        <v>45910</v>
      </c>
      <c r="C1321" s="14">
        <v>2506</v>
      </c>
      <c r="D1321" s="14" t="s">
        <v>5590</v>
      </c>
      <c r="E1321" s="14" t="s">
        <v>219</v>
      </c>
      <c r="F1321" s="14" t="s">
        <v>2338</v>
      </c>
      <c r="G1321" s="14"/>
      <c r="H1321" s="14">
        <v>203</v>
      </c>
      <c r="I1321" s="176" t="s">
        <v>140</v>
      </c>
      <c r="K1321" s="87"/>
      <c r="L1321" s="14" t="s">
        <v>5591</v>
      </c>
      <c r="M1321" s="324">
        <f t="shared" si="199"/>
        <v>0</v>
      </c>
      <c r="N1321" s="14" t="s">
        <v>1879</v>
      </c>
      <c r="O1321" s="14" t="s">
        <v>1879</v>
      </c>
      <c r="P1321" s="167" t="s">
        <v>143</v>
      </c>
      <c r="Q1321" s="14"/>
      <c r="R1321" s="170">
        <v>0</v>
      </c>
      <c r="S1321" s="108">
        <f t="shared" si="200"/>
        <v>45938</v>
      </c>
      <c r="T1321" s="79">
        <v>45910</v>
      </c>
      <c r="U1321" s="14"/>
      <c r="V1321" s="14"/>
      <c r="W1321" s="14"/>
      <c r="X1321" s="14"/>
      <c r="Y1321" s="463" t="s">
        <v>2340</v>
      </c>
      <c r="Z1321" s="14"/>
      <c r="AA1321" s="2">
        <f t="shared" ca="1" si="198"/>
        <v>1</v>
      </c>
      <c r="AB1321" s="153"/>
      <c r="AC1321" s="454" t="str">
        <f t="shared" si="201"/>
        <v>2</v>
      </c>
    </row>
    <row r="1322" spans="1:29" ht="58" x14ac:dyDescent="0.35">
      <c r="A1322" s="111" t="str">
        <f t="shared" si="202"/>
        <v>Closed</v>
      </c>
      <c r="B1322" s="222">
        <v>45912</v>
      </c>
      <c r="C1322" s="14">
        <v>2506</v>
      </c>
      <c r="D1322" s="14" t="s">
        <v>5592</v>
      </c>
      <c r="E1322" s="14" t="s">
        <v>38</v>
      </c>
      <c r="F1322" s="14" t="s">
        <v>1947</v>
      </c>
      <c r="G1322" s="14" t="s">
        <v>1911</v>
      </c>
      <c r="H1322" s="14">
        <v>102</v>
      </c>
      <c r="I1322" s="176" t="s">
        <v>140</v>
      </c>
      <c r="K1322" s="87"/>
      <c r="L1322" s="14" t="s">
        <v>5593</v>
      </c>
      <c r="M1322" s="324">
        <f t="shared" si="199"/>
        <v>0</v>
      </c>
      <c r="N1322" s="14" t="s">
        <v>1879</v>
      </c>
      <c r="O1322" s="14" t="s">
        <v>1879</v>
      </c>
      <c r="P1322" s="167" t="s">
        <v>143</v>
      </c>
      <c r="Q1322" s="14"/>
      <c r="R1322" s="170">
        <v>0</v>
      </c>
      <c r="S1322" s="108">
        <f t="shared" si="200"/>
        <v>45940</v>
      </c>
      <c r="T1322" s="79">
        <v>45912</v>
      </c>
      <c r="U1322" s="14"/>
      <c r="V1322" s="14"/>
      <c r="W1322" s="14"/>
      <c r="X1322" s="14"/>
      <c r="Z1322" s="14"/>
      <c r="AA1322" s="2">
        <f t="shared" ca="1" si="198"/>
        <v>1</v>
      </c>
      <c r="AB1322" s="153"/>
      <c r="AC1322" s="454" t="str">
        <f t="shared" si="201"/>
        <v>1</v>
      </c>
    </row>
    <row r="1323" spans="1:29" ht="72.5" x14ac:dyDescent="0.35">
      <c r="A1323" s="111" t="str">
        <f t="shared" si="202"/>
        <v>Closed</v>
      </c>
      <c r="B1323" s="222">
        <v>45912</v>
      </c>
      <c r="C1323" s="14">
        <v>2506</v>
      </c>
      <c r="D1323" s="14" t="s">
        <v>5594</v>
      </c>
      <c r="E1323" s="14" t="s">
        <v>8</v>
      </c>
      <c r="F1323" s="14" t="s">
        <v>3917</v>
      </c>
      <c r="G1323" s="14" t="s">
        <v>1911</v>
      </c>
      <c r="H1323" s="14">
        <v>110</v>
      </c>
      <c r="I1323" s="176" t="s">
        <v>140</v>
      </c>
      <c r="K1323" s="87"/>
      <c r="L1323" s="14" t="s">
        <v>5595</v>
      </c>
      <c r="M1323" s="324">
        <f t="shared" si="199"/>
        <v>0</v>
      </c>
      <c r="N1323" s="14" t="s">
        <v>1879</v>
      </c>
      <c r="O1323" s="14" t="s">
        <v>1879</v>
      </c>
      <c r="P1323" s="167" t="s">
        <v>143</v>
      </c>
      <c r="Q1323" s="14"/>
      <c r="R1323" s="170">
        <v>0</v>
      </c>
      <c r="S1323" s="108">
        <f t="shared" si="200"/>
        <v>45940</v>
      </c>
      <c r="T1323" s="79">
        <v>45912</v>
      </c>
      <c r="U1323" s="14"/>
      <c r="V1323" s="14"/>
      <c r="W1323" s="14"/>
      <c r="X1323" s="14"/>
      <c r="Y1323" s="14" t="s">
        <v>2093</v>
      </c>
      <c r="Z1323" s="14"/>
      <c r="AA1323" s="2">
        <f t="shared" ca="1" si="198"/>
        <v>1</v>
      </c>
      <c r="AB1323" s="153"/>
      <c r="AC1323" s="454" t="str">
        <f t="shared" si="201"/>
        <v>1</v>
      </c>
    </row>
    <row r="1324" spans="1:29" ht="72.5" x14ac:dyDescent="0.35">
      <c r="A1324" s="111" t="str">
        <f t="shared" si="202"/>
        <v>Closed</v>
      </c>
      <c r="B1324" s="222">
        <v>45912</v>
      </c>
      <c r="C1324" s="14">
        <v>2506</v>
      </c>
      <c r="D1324" s="14" t="s">
        <v>5596</v>
      </c>
      <c r="E1324" s="14" t="s">
        <v>192</v>
      </c>
      <c r="F1324" s="217" t="s">
        <v>1980</v>
      </c>
      <c r="G1324" s="14"/>
      <c r="H1324" s="14"/>
      <c r="I1324" s="176" t="s">
        <v>140</v>
      </c>
      <c r="K1324" s="87"/>
      <c r="L1324" s="14" t="s">
        <v>5597</v>
      </c>
      <c r="M1324" s="324">
        <f t="shared" si="199"/>
        <v>0</v>
      </c>
      <c r="N1324" s="14" t="s">
        <v>1879</v>
      </c>
      <c r="O1324" s="14" t="s">
        <v>1879</v>
      </c>
      <c r="P1324" s="167" t="s">
        <v>143</v>
      </c>
      <c r="Q1324" s="14"/>
      <c r="R1324" s="170">
        <v>0</v>
      </c>
      <c r="S1324" s="108">
        <f t="shared" si="200"/>
        <v>45940</v>
      </c>
      <c r="T1324" s="79">
        <v>45912</v>
      </c>
      <c r="U1324" s="14"/>
      <c r="V1324" s="14"/>
      <c r="W1324" s="14"/>
      <c r="X1324" s="14"/>
      <c r="Z1324" s="14"/>
      <c r="AA1324" s="2">
        <f t="shared" ca="1" si="198"/>
        <v>1</v>
      </c>
      <c r="AB1324" s="153"/>
      <c r="AC1324" s="454" t="str">
        <f t="shared" si="201"/>
        <v/>
      </c>
    </row>
    <row r="1325" spans="1:29" ht="29" x14ac:dyDescent="0.35">
      <c r="A1325" s="111" t="str">
        <f t="shared" si="202"/>
        <v>Closed</v>
      </c>
      <c r="B1325" s="222">
        <v>45912</v>
      </c>
      <c r="C1325" s="14">
        <v>2506</v>
      </c>
      <c r="D1325" s="14" t="s">
        <v>5598</v>
      </c>
      <c r="E1325" s="14" t="s">
        <v>219</v>
      </c>
      <c r="F1325" s="14" t="s">
        <v>1968</v>
      </c>
      <c r="G1325" s="14" t="s">
        <v>1911</v>
      </c>
      <c r="H1325" s="14">
        <v>201</v>
      </c>
      <c r="I1325" s="176" t="s">
        <v>140</v>
      </c>
      <c r="K1325" s="87"/>
      <c r="L1325" s="14" t="s">
        <v>5599</v>
      </c>
      <c r="M1325" s="324">
        <f t="shared" si="199"/>
        <v>0</v>
      </c>
      <c r="N1325" s="14" t="s">
        <v>1879</v>
      </c>
      <c r="O1325" s="14" t="s">
        <v>1879</v>
      </c>
      <c r="P1325" s="167" t="s">
        <v>143</v>
      </c>
      <c r="Q1325" s="14"/>
      <c r="R1325" s="170">
        <v>0</v>
      </c>
      <c r="S1325" s="108">
        <f t="shared" si="200"/>
        <v>45940</v>
      </c>
      <c r="T1325" s="79">
        <v>45912</v>
      </c>
      <c r="U1325" s="14"/>
      <c r="V1325" s="14"/>
      <c r="W1325" s="14"/>
      <c r="X1325" s="14"/>
      <c r="Z1325" s="14"/>
      <c r="AA1325" s="2">
        <f t="shared" ca="1" si="198"/>
        <v>1</v>
      </c>
      <c r="AB1325" s="153"/>
      <c r="AC1325" s="454" t="str">
        <f t="shared" si="201"/>
        <v>2</v>
      </c>
    </row>
    <row r="1326" spans="1:29" ht="43.5" x14ac:dyDescent="0.35">
      <c r="A1326" s="111" t="str">
        <f t="shared" si="202"/>
        <v>Closed</v>
      </c>
      <c r="B1326" s="222">
        <v>45912</v>
      </c>
      <c r="C1326" s="14">
        <v>2506</v>
      </c>
      <c r="D1326" s="14" t="s">
        <v>5600</v>
      </c>
      <c r="E1326" s="14" t="s">
        <v>8</v>
      </c>
      <c r="F1326" s="14" t="s">
        <v>2299</v>
      </c>
      <c r="G1326" s="14"/>
      <c r="H1326" s="14">
        <v>105</v>
      </c>
      <c r="I1326" s="176" t="s">
        <v>140</v>
      </c>
      <c r="K1326" s="87"/>
      <c r="L1326" s="14" t="s">
        <v>5601</v>
      </c>
      <c r="M1326" s="324">
        <f t="shared" si="199"/>
        <v>0</v>
      </c>
      <c r="N1326" s="14" t="s">
        <v>1879</v>
      </c>
      <c r="O1326" s="14" t="s">
        <v>1879</v>
      </c>
      <c r="P1326" s="167" t="s">
        <v>143</v>
      </c>
      <c r="Q1326" s="14"/>
      <c r="R1326" s="170">
        <v>0</v>
      </c>
      <c r="S1326" s="108">
        <f t="shared" si="200"/>
        <v>45940</v>
      </c>
      <c r="T1326" s="79">
        <v>45912</v>
      </c>
      <c r="U1326" s="14"/>
      <c r="V1326" s="14"/>
      <c r="W1326" s="14"/>
      <c r="X1326" s="14"/>
      <c r="Z1326" s="14"/>
      <c r="AA1326" s="2">
        <f t="shared" ca="1" si="198"/>
        <v>1</v>
      </c>
      <c r="AB1326" s="153"/>
      <c r="AC1326" s="454" t="str">
        <f t="shared" si="201"/>
        <v>1</v>
      </c>
    </row>
    <row r="1327" spans="1:29" ht="58" x14ac:dyDescent="0.45">
      <c r="A1327" s="111" t="str">
        <f t="shared" si="202"/>
        <v>Closed</v>
      </c>
      <c r="B1327" s="222">
        <v>45913</v>
      </c>
      <c r="C1327" s="14">
        <v>2506</v>
      </c>
      <c r="D1327" s="14" t="s">
        <v>5602</v>
      </c>
      <c r="E1327" s="14" t="s">
        <v>192</v>
      </c>
      <c r="F1327" s="14" t="s">
        <v>2338</v>
      </c>
      <c r="G1327" s="14"/>
      <c r="H1327" s="14"/>
      <c r="I1327" s="176" t="s">
        <v>140</v>
      </c>
      <c r="K1327" s="87"/>
      <c r="L1327" s="14" t="s">
        <v>5603</v>
      </c>
      <c r="M1327" s="324">
        <f t="shared" si="199"/>
        <v>0</v>
      </c>
      <c r="N1327" s="14" t="s">
        <v>1879</v>
      </c>
      <c r="O1327" s="14" t="s">
        <v>1879</v>
      </c>
      <c r="P1327" s="167" t="s">
        <v>143</v>
      </c>
      <c r="Q1327" s="14"/>
      <c r="R1327" s="170">
        <v>0</v>
      </c>
      <c r="S1327" s="108">
        <f t="shared" si="200"/>
        <v>45941</v>
      </c>
      <c r="T1327" s="79">
        <v>45913</v>
      </c>
      <c r="U1327" s="14"/>
      <c r="V1327" s="14"/>
      <c r="W1327" s="14"/>
      <c r="X1327" s="14"/>
      <c r="Y1327" s="463" t="s">
        <v>2340</v>
      </c>
      <c r="Z1327" s="14"/>
      <c r="AA1327" s="2">
        <f t="shared" ca="1" si="198"/>
        <v>1</v>
      </c>
      <c r="AB1327" s="153"/>
      <c r="AC1327" s="454" t="str">
        <f t="shared" si="201"/>
        <v/>
      </c>
    </row>
    <row r="1328" spans="1:29" ht="29" x14ac:dyDescent="0.35">
      <c r="A1328" s="111" t="str">
        <f t="shared" si="202"/>
        <v>Closed</v>
      </c>
      <c r="B1328" s="222">
        <v>45913</v>
      </c>
      <c r="C1328" s="14">
        <v>2506</v>
      </c>
      <c r="D1328" s="14" t="s">
        <v>5604</v>
      </c>
      <c r="E1328" s="14" t="s">
        <v>1997</v>
      </c>
      <c r="F1328" s="14" t="s">
        <v>2037</v>
      </c>
      <c r="G1328" s="14"/>
      <c r="H1328" s="14">
        <v>111</v>
      </c>
      <c r="I1328" s="176" t="s">
        <v>140</v>
      </c>
      <c r="K1328" s="87"/>
      <c r="L1328" s="14" t="s">
        <v>5605</v>
      </c>
      <c r="M1328" s="324">
        <f t="shared" si="199"/>
        <v>0</v>
      </c>
      <c r="N1328" s="14" t="s">
        <v>1879</v>
      </c>
      <c r="O1328" s="14" t="s">
        <v>1879</v>
      </c>
      <c r="P1328" s="167" t="s">
        <v>143</v>
      </c>
      <c r="Q1328" s="14"/>
      <c r="R1328" s="170">
        <v>0</v>
      </c>
      <c r="S1328" s="108">
        <f t="shared" si="200"/>
        <v>45941</v>
      </c>
      <c r="T1328" s="79">
        <v>45913</v>
      </c>
      <c r="U1328" s="14"/>
      <c r="V1328" s="14"/>
      <c r="W1328" s="14"/>
      <c r="X1328" s="14"/>
      <c r="Z1328" s="14"/>
      <c r="AA1328" s="2">
        <f t="shared" ca="1" si="198"/>
        <v>1</v>
      </c>
      <c r="AB1328" s="153"/>
      <c r="AC1328" s="454" t="str">
        <f t="shared" si="201"/>
        <v>1</v>
      </c>
    </row>
    <row r="1329" spans="1:29" ht="29" x14ac:dyDescent="0.35">
      <c r="A1329" s="111" t="str">
        <f t="shared" si="202"/>
        <v>Closed</v>
      </c>
      <c r="B1329" s="222">
        <v>45913</v>
      </c>
      <c r="C1329" s="14">
        <v>2506</v>
      </c>
      <c r="D1329" s="14" t="s">
        <v>5606</v>
      </c>
      <c r="E1329" s="14" t="s">
        <v>1907</v>
      </c>
      <c r="F1329" s="14" t="s">
        <v>3917</v>
      </c>
      <c r="G1329" s="14"/>
      <c r="H1329" s="14"/>
      <c r="I1329" s="176" t="s">
        <v>140</v>
      </c>
      <c r="K1329" s="87"/>
      <c r="L1329" s="14" t="s">
        <v>5607</v>
      </c>
      <c r="M1329" s="324">
        <f t="shared" si="199"/>
        <v>0</v>
      </c>
      <c r="N1329" s="14" t="s">
        <v>1879</v>
      </c>
      <c r="O1329" s="14" t="s">
        <v>1879</v>
      </c>
      <c r="P1329" s="167" t="s">
        <v>143</v>
      </c>
      <c r="Q1329" s="14"/>
      <c r="R1329" s="170">
        <v>0</v>
      </c>
      <c r="S1329" s="108">
        <f t="shared" si="200"/>
        <v>45941</v>
      </c>
      <c r="T1329" s="79">
        <v>45913</v>
      </c>
      <c r="U1329" s="14"/>
      <c r="V1329" s="14"/>
      <c r="W1329" s="14"/>
      <c r="X1329" s="14"/>
      <c r="Y1329" s="14" t="s">
        <v>2093</v>
      </c>
      <c r="Z1329" s="14"/>
      <c r="AA1329" s="2">
        <f t="shared" ca="1" si="198"/>
        <v>1</v>
      </c>
      <c r="AB1329" s="153"/>
      <c r="AC1329" s="454" t="str">
        <f t="shared" si="201"/>
        <v/>
      </c>
    </row>
    <row r="1330" spans="1:29" ht="58" x14ac:dyDescent="0.35">
      <c r="A1330" s="111" t="str">
        <f t="shared" si="202"/>
        <v>Closed</v>
      </c>
      <c r="B1330" s="222">
        <v>45913</v>
      </c>
      <c r="C1330" s="14">
        <v>2506</v>
      </c>
      <c r="D1330" s="14" t="s">
        <v>5608</v>
      </c>
      <c r="E1330" s="14" t="s">
        <v>8</v>
      </c>
      <c r="F1330" s="14" t="s">
        <v>2091</v>
      </c>
      <c r="G1330" s="14"/>
      <c r="H1330" s="14"/>
      <c r="I1330" s="176" t="s">
        <v>140</v>
      </c>
      <c r="K1330" s="87"/>
      <c r="L1330" s="14" t="s">
        <v>5609</v>
      </c>
      <c r="M1330" s="324">
        <f t="shared" si="199"/>
        <v>0</v>
      </c>
      <c r="N1330" s="14" t="s">
        <v>1879</v>
      </c>
      <c r="O1330" s="14" t="s">
        <v>1879</v>
      </c>
      <c r="P1330" s="167" t="s">
        <v>143</v>
      </c>
      <c r="Q1330" s="14"/>
      <c r="R1330" s="170">
        <v>0</v>
      </c>
      <c r="S1330" s="108">
        <f t="shared" si="200"/>
        <v>45941</v>
      </c>
      <c r="T1330" s="79">
        <v>45913</v>
      </c>
      <c r="U1330" s="14"/>
      <c r="V1330" s="14"/>
      <c r="W1330" s="14"/>
      <c r="X1330" s="14"/>
      <c r="Y1330" s="14" t="s">
        <v>2093</v>
      </c>
      <c r="Z1330" s="14"/>
      <c r="AA1330" s="2">
        <f t="shared" ca="1" si="198"/>
        <v>1</v>
      </c>
      <c r="AB1330" s="153"/>
      <c r="AC1330" s="454" t="str">
        <f t="shared" si="201"/>
        <v/>
      </c>
    </row>
    <row r="1331" spans="1:29" ht="43.5" x14ac:dyDescent="0.35">
      <c r="A1331" s="111" t="str">
        <f t="shared" si="202"/>
        <v>Closed</v>
      </c>
      <c r="B1331" s="222">
        <v>45914</v>
      </c>
      <c r="C1331" s="14">
        <v>2507</v>
      </c>
      <c r="D1331" s="14" t="s">
        <v>5610</v>
      </c>
      <c r="E1331" s="14" t="s">
        <v>1907</v>
      </c>
      <c r="F1331" s="14" t="s">
        <v>2091</v>
      </c>
      <c r="G1331" s="14"/>
      <c r="H1331" s="14">
        <v>105</v>
      </c>
      <c r="I1331" s="176" t="s">
        <v>140</v>
      </c>
      <c r="K1331" s="87"/>
      <c r="L1331" s="14" t="s">
        <v>5611</v>
      </c>
      <c r="M1331" s="324">
        <f t="shared" si="199"/>
        <v>0</v>
      </c>
      <c r="N1331" s="14" t="s">
        <v>1879</v>
      </c>
      <c r="O1331" s="14" t="s">
        <v>1879</v>
      </c>
      <c r="P1331" s="167" t="s">
        <v>143</v>
      </c>
      <c r="Q1331" s="14"/>
      <c r="R1331" s="170">
        <v>0</v>
      </c>
      <c r="S1331" s="108">
        <f t="shared" si="200"/>
        <v>45942</v>
      </c>
      <c r="T1331" s="79">
        <v>45914</v>
      </c>
      <c r="U1331" s="14"/>
      <c r="V1331" s="14"/>
      <c r="W1331" s="14"/>
      <c r="X1331" s="14"/>
      <c r="Y1331" s="14" t="s">
        <v>2093</v>
      </c>
      <c r="Z1331" s="14"/>
      <c r="AA1331" s="2">
        <f t="shared" ca="1" si="198"/>
        <v>1</v>
      </c>
      <c r="AB1331" s="153"/>
      <c r="AC1331" s="454" t="str">
        <f t="shared" si="201"/>
        <v>1</v>
      </c>
    </row>
    <row r="1332" spans="1:29" ht="43.5" x14ac:dyDescent="0.35">
      <c r="A1332" s="111" t="str">
        <f t="shared" si="202"/>
        <v>Closed</v>
      </c>
      <c r="B1332" s="222">
        <v>45914</v>
      </c>
      <c r="C1332" s="14">
        <v>2507</v>
      </c>
      <c r="D1332" s="14" t="s">
        <v>5612</v>
      </c>
      <c r="E1332" s="14" t="s">
        <v>42</v>
      </c>
      <c r="F1332" s="14" t="s">
        <v>5613</v>
      </c>
      <c r="G1332" s="14" t="s">
        <v>1911</v>
      </c>
      <c r="H1332" s="14">
        <v>103</v>
      </c>
      <c r="I1332" s="176"/>
      <c r="K1332" s="87"/>
      <c r="L1332" s="14" t="s">
        <v>5614</v>
      </c>
      <c r="M1332" s="324">
        <f t="shared" si="199"/>
        <v>0</v>
      </c>
      <c r="N1332" s="14" t="s">
        <v>1879</v>
      </c>
      <c r="O1332" s="14" t="s">
        <v>1879</v>
      </c>
      <c r="P1332" s="167" t="s">
        <v>143</v>
      </c>
      <c r="Q1332" s="14"/>
      <c r="R1332" s="170">
        <v>0</v>
      </c>
      <c r="S1332" s="108">
        <f t="shared" si="200"/>
        <v>45942</v>
      </c>
      <c r="T1332" s="79">
        <v>45914</v>
      </c>
      <c r="U1332" s="14"/>
      <c r="V1332" s="14"/>
      <c r="W1332" s="14"/>
      <c r="X1332" s="14"/>
      <c r="Z1332" s="14"/>
      <c r="AA1332" s="2">
        <f t="shared" ca="1" si="198"/>
        <v>1</v>
      </c>
      <c r="AB1332" s="153"/>
      <c r="AC1332" s="454" t="str">
        <f t="shared" si="201"/>
        <v>1</v>
      </c>
    </row>
    <row r="1333" spans="1:29" ht="29" x14ac:dyDescent="0.35">
      <c r="A1333" s="111" t="str">
        <f t="shared" si="202"/>
        <v>Closed</v>
      </c>
      <c r="B1333" s="222">
        <v>45914</v>
      </c>
      <c r="C1333" s="14">
        <v>2507</v>
      </c>
      <c r="D1333" s="14" t="s">
        <v>5615</v>
      </c>
      <c r="E1333" s="14" t="s">
        <v>180</v>
      </c>
      <c r="F1333" s="14" t="s">
        <v>5616</v>
      </c>
      <c r="G1333" s="14" t="s">
        <v>1911</v>
      </c>
      <c r="H1333" s="14">
        <v>102</v>
      </c>
      <c r="I1333" s="176" t="s">
        <v>140</v>
      </c>
      <c r="K1333" s="87"/>
      <c r="L1333" s="14" t="s">
        <v>5617</v>
      </c>
      <c r="M1333" s="324">
        <f t="shared" si="199"/>
        <v>0</v>
      </c>
      <c r="N1333" s="14" t="s">
        <v>1879</v>
      </c>
      <c r="O1333" s="14" t="s">
        <v>1879</v>
      </c>
      <c r="P1333" s="167" t="s">
        <v>143</v>
      </c>
      <c r="Q1333" s="14"/>
      <c r="R1333" s="170">
        <v>0</v>
      </c>
      <c r="S1333" s="108">
        <f t="shared" si="200"/>
        <v>45942</v>
      </c>
      <c r="T1333" s="79">
        <v>45914</v>
      </c>
      <c r="U1333" s="14"/>
      <c r="V1333" s="14"/>
      <c r="W1333" s="14"/>
      <c r="X1333" s="14"/>
      <c r="Z1333" s="14"/>
      <c r="AA1333" s="2">
        <f t="shared" ca="1" si="198"/>
        <v>1</v>
      </c>
      <c r="AB1333" s="153"/>
      <c r="AC1333" s="454" t="str">
        <f t="shared" si="201"/>
        <v>1</v>
      </c>
    </row>
    <row r="1334" spans="1:29" ht="101.5" x14ac:dyDescent="0.35">
      <c r="A1334" s="111" t="str">
        <f t="shared" si="202"/>
        <v>Closed</v>
      </c>
      <c r="B1334" s="222">
        <v>45915</v>
      </c>
      <c r="C1334" s="14">
        <v>2507</v>
      </c>
      <c r="D1334" s="14" t="s">
        <v>5618</v>
      </c>
      <c r="E1334" s="14" t="s">
        <v>8</v>
      </c>
      <c r="F1334" s="14" t="s">
        <v>1954</v>
      </c>
      <c r="G1334" s="14" t="s">
        <v>1911</v>
      </c>
      <c r="I1334" s="176" t="s">
        <v>140</v>
      </c>
      <c r="K1334" s="87"/>
      <c r="L1334" s="14" t="s">
        <v>5619</v>
      </c>
      <c r="M1334" s="324">
        <f t="shared" si="199"/>
        <v>0</v>
      </c>
      <c r="N1334" s="14" t="s">
        <v>1879</v>
      </c>
      <c r="O1334" s="14" t="s">
        <v>1879</v>
      </c>
      <c r="P1334" s="167" t="s">
        <v>143</v>
      </c>
      <c r="Q1334" s="14"/>
      <c r="R1334" s="170">
        <v>0</v>
      </c>
      <c r="S1334" s="108">
        <f t="shared" si="200"/>
        <v>45943</v>
      </c>
      <c r="T1334" s="79">
        <v>45915</v>
      </c>
      <c r="U1334" s="14"/>
      <c r="V1334" s="14"/>
      <c r="W1334" s="14"/>
      <c r="X1334" s="14"/>
      <c r="Z1334" s="14"/>
      <c r="AA1334" s="2">
        <f t="shared" ca="1" si="198"/>
        <v>1</v>
      </c>
      <c r="AB1334" s="153"/>
      <c r="AC1334" s="454" t="str">
        <f>LEFT(H1335,1)</f>
        <v>1</v>
      </c>
    </row>
    <row r="1335" spans="1:29" ht="43.5" x14ac:dyDescent="0.35">
      <c r="A1335" s="111" t="str">
        <f t="shared" ca="1" si="202"/>
        <v>Overdue</v>
      </c>
      <c r="B1335" s="222">
        <v>45915</v>
      </c>
      <c r="C1335" s="14">
        <v>2507</v>
      </c>
      <c r="D1335" s="14" t="s">
        <v>5620</v>
      </c>
      <c r="E1335" s="14" t="s">
        <v>196</v>
      </c>
      <c r="F1335" s="14" t="s">
        <v>2052</v>
      </c>
      <c r="G1335" s="14" t="s">
        <v>1900</v>
      </c>
      <c r="H1335" s="14">
        <v>101</v>
      </c>
      <c r="I1335" s="176" t="s">
        <v>155</v>
      </c>
      <c r="J1335" s="14">
        <v>1077</v>
      </c>
      <c r="K1335" s="87" t="s">
        <v>134</v>
      </c>
      <c r="L1335" s="14" t="s">
        <v>5621</v>
      </c>
      <c r="M1335" s="324">
        <f t="shared" si="199"/>
        <v>0</v>
      </c>
      <c r="N1335" s="14" t="s">
        <v>1880</v>
      </c>
      <c r="O1335" s="14" t="s">
        <v>1879</v>
      </c>
      <c r="P1335" s="167" t="s">
        <v>147</v>
      </c>
      <c r="Q1335" s="14" t="s">
        <v>174</v>
      </c>
      <c r="R1335" s="170" t="s">
        <v>234</v>
      </c>
      <c r="S1335" s="108">
        <f t="shared" si="200"/>
        <v>45943</v>
      </c>
      <c r="T1335" s="14"/>
      <c r="U1335" s="14"/>
      <c r="V1335" s="14"/>
      <c r="W1335" s="14"/>
      <c r="X1335" s="14"/>
      <c r="Z1335" s="14" t="s">
        <v>5622</v>
      </c>
      <c r="AA1335" s="2">
        <f t="shared" ca="1" si="198"/>
        <v>1</v>
      </c>
      <c r="AB1335" s="153"/>
      <c r="AC1335" s="454" t="e">
        <f>LEFT(#REF!,1)</f>
        <v>#REF!</v>
      </c>
    </row>
    <row r="1336" spans="1:29" ht="159.5" x14ac:dyDescent="0.35">
      <c r="A1336" s="111" t="str">
        <f t="shared" si="202"/>
        <v>Closed</v>
      </c>
      <c r="B1336" s="222">
        <v>45915</v>
      </c>
      <c r="C1336" s="14">
        <v>2507</v>
      </c>
      <c r="D1336" s="14" t="s">
        <v>5623</v>
      </c>
      <c r="E1336" s="14" t="s">
        <v>192</v>
      </c>
      <c r="F1336" s="14" t="s">
        <v>1925</v>
      </c>
      <c r="G1336" s="14" t="s">
        <v>1911</v>
      </c>
      <c r="H1336" s="14"/>
      <c r="I1336" s="176" t="s">
        <v>140</v>
      </c>
      <c r="K1336" s="87"/>
      <c r="L1336" s="14" t="s">
        <v>5624</v>
      </c>
      <c r="M1336" s="324">
        <f t="shared" si="199"/>
        <v>0</v>
      </c>
      <c r="N1336" s="14" t="s">
        <v>1879</v>
      </c>
      <c r="O1336" s="14" t="s">
        <v>1879</v>
      </c>
      <c r="P1336" s="167" t="s">
        <v>143</v>
      </c>
      <c r="Q1336" s="14"/>
      <c r="R1336" s="170">
        <v>0</v>
      </c>
      <c r="S1336" s="108">
        <f t="shared" si="200"/>
        <v>45943</v>
      </c>
      <c r="T1336" s="79">
        <v>45915</v>
      </c>
      <c r="U1336" s="14"/>
      <c r="V1336" s="14"/>
      <c r="W1336" s="14"/>
      <c r="X1336" s="14"/>
      <c r="Y1336" s="14" t="s">
        <v>1929</v>
      </c>
      <c r="Z1336" s="14"/>
      <c r="AA1336" s="2">
        <f t="shared" ca="1" si="198"/>
        <v>1</v>
      </c>
      <c r="AB1336" s="153"/>
      <c r="AC1336" s="454" t="str">
        <f t="shared" si="201"/>
        <v/>
      </c>
    </row>
    <row r="1337" spans="1:29" ht="83.5" customHeight="1" x14ac:dyDescent="0.35">
      <c r="A1337" s="111" t="str">
        <f t="shared" si="202"/>
        <v>Closed</v>
      </c>
      <c r="B1337" s="222">
        <v>45915</v>
      </c>
      <c r="C1337" s="14">
        <v>2507</v>
      </c>
      <c r="D1337" s="14" t="s">
        <v>5625</v>
      </c>
      <c r="E1337" s="14" t="s">
        <v>27</v>
      </c>
      <c r="F1337" s="14" t="s">
        <v>2864</v>
      </c>
      <c r="G1337" s="14"/>
      <c r="H1337" s="14">
        <v>105</v>
      </c>
      <c r="I1337" s="176" t="s">
        <v>5</v>
      </c>
      <c r="J1337" s="14">
        <v>1307</v>
      </c>
      <c r="K1337" s="87"/>
      <c r="L1337" s="14" t="s">
        <v>5626</v>
      </c>
      <c r="M1337" s="324">
        <f t="shared" si="199"/>
        <v>0</v>
      </c>
      <c r="N1337" s="14" t="s">
        <v>1879</v>
      </c>
      <c r="O1337" s="14" t="s">
        <v>5627</v>
      </c>
      <c r="P1337" s="167" t="s">
        <v>147</v>
      </c>
      <c r="Q1337" s="14" t="s">
        <v>177</v>
      </c>
      <c r="R1337" s="170" t="s">
        <v>234</v>
      </c>
      <c r="S1337" s="108">
        <f t="shared" si="200"/>
        <v>45943</v>
      </c>
      <c r="T1337" s="79">
        <v>46037</v>
      </c>
      <c r="U1337" s="14"/>
      <c r="V1337" s="14"/>
      <c r="W1337" s="14"/>
      <c r="X1337" s="14"/>
      <c r="Z1337" s="14" t="s">
        <v>5341</v>
      </c>
      <c r="AA1337" s="2">
        <f t="shared" ca="1" si="198"/>
        <v>1</v>
      </c>
      <c r="AB1337" s="153"/>
      <c r="AC1337" s="454" t="str">
        <f t="shared" si="201"/>
        <v>1</v>
      </c>
    </row>
    <row r="1338" spans="1:29" ht="29" x14ac:dyDescent="0.35">
      <c r="A1338" s="111" t="str">
        <f t="shared" si="202"/>
        <v>Closed</v>
      </c>
      <c r="B1338" s="222">
        <v>45915</v>
      </c>
      <c r="C1338" s="14">
        <v>2507</v>
      </c>
      <c r="D1338" s="14" t="s">
        <v>5628</v>
      </c>
      <c r="E1338" s="14" t="s">
        <v>8</v>
      </c>
      <c r="F1338" s="14" t="s">
        <v>1899</v>
      </c>
      <c r="G1338" s="14" t="s">
        <v>1911</v>
      </c>
      <c r="H1338" s="14"/>
      <c r="I1338" s="176" t="s">
        <v>140</v>
      </c>
      <c r="K1338" s="87"/>
      <c r="L1338" s="14" t="s">
        <v>5629</v>
      </c>
      <c r="M1338" s="324">
        <f t="shared" si="199"/>
        <v>0</v>
      </c>
      <c r="N1338" s="14" t="s">
        <v>1879</v>
      </c>
      <c r="O1338" s="14" t="s">
        <v>1879</v>
      </c>
      <c r="P1338" s="167" t="s">
        <v>143</v>
      </c>
      <c r="Q1338" s="14"/>
      <c r="R1338" s="170">
        <v>0</v>
      </c>
      <c r="S1338" s="108">
        <f t="shared" si="200"/>
        <v>45943</v>
      </c>
      <c r="T1338" s="79">
        <v>45915</v>
      </c>
      <c r="U1338" s="14"/>
      <c r="V1338" s="14"/>
      <c r="W1338" s="14"/>
      <c r="X1338" s="14"/>
      <c r="Z1338" s="14"/>
      <c r="AA1338" s="2">
        <f t="shared" ca="1" si="198"/>
        <v>1</v>
      </c>
      <c r="AB1338" s="153"/>
      <c r="AC1338" s="454" t="str">
        <f t="shared" si="201"/>
        <v/>
      </c>
    </row>
    <row r="1339" spans="1:29" ht="39" customHeight="1" x14ac:dyDescent="0.35">
      <c r="A1339" s="89" t="str">
        <f t="shared" si="202"/>
        <v>Closed</v>
      </c>
      <c r="B1339" s="222">
        <v>45916</v>
      </c>
      <c r="C1339" s="14">
        <v>2507</v>
      </c>
      <c r="D1339" s="14" t="s">
        <v>5630</v>
      </c>
      <c r="E1339" s="14" t="s">
        <v>72</v>
      </c>
      <c r="F1339" s="14" t="s">
        <v>2533</v>
      </c>
      <c r="G1339" s="14" t="s">
        <v>1911</v>
      </c>
      <c r="H1339" s="14">
        <v>106</v>
      </c>
      <c r="I1339" s="176" t="s">
        <v>155</v>
      </c>
      <c r="K1339" s="87"/>
      <c r="L1339" s="14" t="s">
        <v>5631</v>
      </c>
      <c r="M1339" s="324">
        <f t="shared" si="199"/>
        <v>0</v>
      </c>
      <c r="N1339" s="14" t="s">
        <v>1879</v>
      </c>
      <c r="O1339" s="14" t="s">
        <v>1879</v>
      </c>
      <c r="P1339" s="167" t="s">
        <v>154</v>
      </c>
      <c r="Q1339" s="14" t="s">
        <v>177</v>
      </c>
      <c r="R1339" s="223">
        <f t="shared" ref="R1339" si="203">IF(I1339="Staff Accident","Entry Required",IF(I1339="Assaults","Entry Required",0))</f>
        <v>0</v>
      </c>
      <c r="S1339" s="224">
        <f t="shared" si="200"/>
        <v>45944</v>
      </c>
      <c r="T1339" s="79">
        <v>46055</v>
      </c>
      <c r="U1339" s="14" t="s">
        <v>134</v>
      </c>
      <c r="V1339" s="14" t="s">
        <v>134</v>
      </c>
      <c r="W1339" s="14" t="s">
        <v>134</v>
      </c>
      <c r="X1339" s="14" t="s">
        <v>5632</v>
      </c>
      <c r="Z1339" s="14" t="s">
        <v>5633</v>
      </c>
      <c r="AA1339" s="2">
        <f t="shared" ca="1" si="198"/>
        <v>1</v>
      </c>
      <c r="AB1339" s="153" t="s">
        <v>5634</v>
      </c>
      <c r="AC1339" s="454" t="str">
        <f t="shared" si="201"/>
        <v>1</v>
      </c>
    </row>
    <row r="1340" spans="1:29" ht="87" x14ac:dyDescent="0.35">
      <c r="A1340" s="111" t="str">
        <f t="shared" si="202"/>
        <v>Closed</v>
      </c>
      <c r="B1340" s="222">
        <v>45918</v>
      </c>
      <c r="C1340" s="14">
        <v>2507</v>
      </c>
      <c r="D1340" s="14" t="s">
        <v>5635</v>
      </c>
      <c r="E1340" s="14" t="s">
        <v>31</v>
      </c>
      <c r="F1340" s="14" t="s">
        <v>5636</v>
      </c>
      <c r="G1340" s="14" t="s">
        <v>134</v>
      </c>
      <c r="H1340" s="14"/>
      <c r="I1340" s="176" t="s">
        <v>144</v>
      </c>
      <c r="J1340" s="14" t="s">
        <v>134</v>
      </c>
      <c r="K1340" s="87" t="s">
        <v>134</v>
      </c>
      <c r="L1340" s="14" t="s">
        <v>5637</v>
      </c>
      <c r="M1340" s="324">
        <f t="shared" si="199"/>
        <v>0</v>
      </c>
      <c r="N1340" s="14" t="s">
        <v>1879</v>
      </c>
      <c r="O1340" s="14" t="s">
        <v>1879</v>
      </c>
      <c r="P1340" s="167" t="s">
        <v>147</v>
      </c>
      <c r="Q1340" s="14" t="s">
        <v>160</v>
      </c>
      <c r="R1340" s="170" t="s">
        <v>236</v>
      </c>
      <c r="S1340" s="108">
        <f t="shared" si="200"/>
        <v>45946</v>
      </c>
      <c r="T1340" s="79">
        <v>46045</v>
      </c>
      <c r="U1340" s="14"/>
      <c r="V1340" s="14"/>
      <c r="W1340" s="14"/>
      <c r="X1340" s="14"/>
      <c r="Z1340" s="14" t="s">
        <v>5638</v>
      </c>
      <c r="AA1340" s="2">
        <f t="shared" ca="1" si="198"/>
        <v>1</v>
      </c>
      <c r="AB1340" s="153"/>
      <c r="AC1340" s="454" t="str">
        <f t="shared" si="201"/>
        <v/>
      </c>
    </row>
    <row r="1341" spans="1:29" ht="72.5" x14ac:dyDescent="0.35">
      <c r="A1341" s="111" t="str">
        <f t="shared" ca="1" si="202"/>
        <v>Open</v>
      </c>
      <c r="B1341" s="222">
        <v>46055</v>
      </c>
      <c r="C1341" s="14">
        <v>2507</v>
      </c>
      <c r="D1341" s="14" t="s">
        <v>1458</v>
      </c>
      <c r="E1341" s="14" t="s">
        <v>38</v>
      </c>
      <c r="F1341" s="14" t="s">
        <v>5639</v>
      </c>
      <c r="G1341" s="14" t="s">
        <v>134</v>
      </c>
      <c r="H1341" s="14"/>
      <c r="I1341" s="176" t="s">
        <v>2</v>
      </c>
      <c r="J1341" s="14">
        <v>1003</v>
      </c>
      <c r="K1341" s="87" t="s">
        <v>137</v>
      </c>
      <c r="L1341" s="14" t="s">
        <v>5640</v>
      </c>
      <c r="M1341" s="324">
        <v>0</v>
      </c>
      <c r="N1341" s="14" t="s">
        <v>1879</v>
      </c>
      <c r="O1341" s="14" t="s">
        <v>1880</v>
      </c>
      <c r="P1341" s="167" t="s">
        <v>147</v>
      </c>
      <c r="Q1341" s="14" t="s">
        <v>173</v>
      </c>
      <c r="R1341" s="170" t="s">
        <v>236</v>
      </c>
      <c r="S1341" s="108">
        <f t="shared" si="200"/>
        <v>46083</v>
      </c>
      <c r="T1341" s="14"/>
      <c r="U1341" s="14"/>
      <c r="V1341" s="14"/>
      <c r="W1341" s="14"/>
      <c r="X1341" s="14"/>
      <c r="Z1341" s="14" t="s">
        <v>5641</v>
      </c>
      <c r="AA1341" s="2">
        <f t="shared" ca="1" si="198"/>
        <v>0</v>
      </c>
      <c r="AB1341" s="153"/>
      <c r="AC1341" s="454" t="str">
        <f t="shared" si="201"/>
        <v/>
      </c>
    </row>
    <row r="1342" spans="1:29" ht="43.5" x14ac:dyDescent="0.35">
      <c r="A1342" s="89" t="str">
        <f t="shared" si="202"/>
        <v>Closed</v>
      </c>
      <c r="B1342" s="222">
        <v>45917</v>
      </c>
      <c r="C1342" s="14">
        <v>2507</v>
      </c>
      <c r="D1342" s="14" t="s">
        <v>5642</v>
      </c>
      <c r="E1342" s="14" t="s">
        <v>38</v>
      </c>
      <c r="F1342" s="14" t="s">
        <v>2052</v>
      </c>
      <c r="G1342" s="14" t="s">
        <v>1900</v>
      </c>
      <c r="H1342" s="14"/>
      <c r="I1342" s="176" t="s">
        <v>6</v>
      </c>
      <c r="J1342" s="14">
        <v>1098</v>
      </c>
      <c r="K1342" s="87"/>
      <c r="L1342" s="14" t="s">
        <v>5643</v>
      </c>
      <c r="M1342" s="324">
        <f t="shared" si="199"/>
        <v>0</v>
      </c>
      <c r="N1342" s="14" t="s">
        <v>1879</v>
      </c>
      <c r="O1342" s="14" t="s">
        <v>1879</v>
      </c>
      <c r="P1342" s="167" t="s">
        <v>143</v>
      </c>
      <c r="Q1342" s="14"/>
      <c r="R1342" s="170">
        <v>0</v>
      </c>
      <c r="S1342" s="224">
        <f t="shared" si="200"/>
        <v>45945</v>
      </c>
      <c r="T1342" s="79">
        <v>45917</v>
      </c>
      <c r="U1342" s="14"/>
      <c r="V1342" s="14"/>
      <c r="W1342" s="14"/>
      <c r="X1342" s="14"/>
      <c r="Z1342" s="14"/>
      <c r="AA1342" s="2">
        <f t="shared" ca="1" si="198"/>
        <v>1</v>
      </c>
      <c r="AB1342" s="153"/>
      <c r="AC1342" s="454" t="str">
        <f t="shared" si="201"/>
        <v/>
      </c>
    </row>
    <row r="1343" spans="1:29" ht="43.5" x14ac:dyDescent="0.45">
      <c r="A1343" s="89" t="str">
        <f t="shared" si="202"/>
        <v>Closed</v>
      </c>
      <c r="B1343" s="222">
        <v>45918</v>
      </c>
      <c r="C1343" s="14">
        <v>2507</v>
      </c>
      <c r="D1343" s="14" t="s">
        <v>5644</v>
      </c>
      <c r="E1343" s="14" t="s">
        <v>192</v>
      </c>
      <c r="F1343" s="14" t="s">
        <v>5645</v>
      </c>
      <c r="G1343" s="14"/>
      <c r="H1343" s="14"/>
      <c r="I1343" s="176" t="s">
        <v>140</v>
      </c>
      <c r="K1343" s="87"/>
      <c r="L1343" s="14" t="s">
        <v>5646</v>
      </c>
      <c r="M1343" s="324">
        <f t="shared" si="199"/>
        <v>0</v>
      </c>
      <c r="N1343" s="14" t="s">
        <v>1879</v>
      </c>
      <c r="O1343" s="14" t="s">
        <v>1879</v>
      </c>
      <c r="P1343" s="167" t="s">
        <v>143</v>
      </c>
      <c r="Q1343" s="14"/>
      <c r="R1343" s="170">
        <v>0</v>
      </c>
      <c r="S1343" s="224">
        <f t="shared" si="200"/>
        <v>45946</v>
      </c>
      <c r="T1343" s="79">
        <v>45918</v>
      </c>
      <c r="U1343" s="14"/>
      <c r="V1343" s="14"/>
      <c r="W1343" s="14"/>
      <c r="X1343" s="14"/>
      <c r="Y1343" s="463" t="s">
        <v>2340</v>
      </c>
      <c r="Z1343" s="14"/>
      <c r="AA1343" s="2">
        <f t="shared" ca="1" si="198"/>
        <v>1</v>
      </c>
      <c r="AB1343" s="153"/>
      <c r="AC1343" s="454" t="str">
        <f t="shared" si="201"/>
        <v/>
      </c>
    </row>
    <row r="1344" spans="1:29" ht="43.5" x14ac:dyDescent="0.35">
      <c r="A1344" s="89" t="str">
        <f t="shared" si="202"/>
        <v>Closed</v>
      </c>
      <c r="B1344" s="222">
        <v>45918</v>
      </c>
      <c r="C1344" s="14">
        <v>2507</v>
      </c>
      <c r="D1344" s="14" t="s">
        <v>5647</v>
      </c>
      <c r="E1344" s="14" t="s">
        <v>1907</v>
      </c>
      <c r="F1344" s="14" t="s">
        <v>1899</v>
      </c>
      <c r="G1344" s="14" t="s">
        <v>1911</v>
      </c>
      <c r="H1344" s="14">
        <v>118</v>
      </c>
      <c r="I1344" s="176" t="s">
        <v>140</v>
      </c>
      <c r="J1344" s="14">
        <v>1073</v>
      </c>
      <c r="K1344" s="87"/>
      <c r="L1344" s="14" t="s">
        <v>5648</v>
      </c>
      <c r="M1344" s="324">
        <f t="shared" si="199"/>
        <v>0</v>
      </c>
      <c r="N1344" s="14" t="s">
        <v>1879</v>
      </c>
      <c r="O1344" s="14" t="s">
        <v>1879</v>
      </c>
      <c r="P1344" s="167" t="s">
        <v>143</v>
      </c>
      <c r="Q1344" s="14"/>
      <c r="R1344" s="170">
        <v>0</v>
      </c>
      <c r="S1344" s="224">
        <f t="shared" si="200"/>
        <v>45946</v>
      </c>
      <c r="T1344" s="79">
        <v>45918</v>
      </c>
      <c r="U1344" s="14"/>
      <c r="V1344" s="14"/>
      <c r="W1344" s="14"/>
      <c r="X1344" s="14"/>
      <c r="Z1344" s="14"/>
      <c r="AA1344" s="2">
        <f t="shared" ca="1" si="198"/>
        <v>1</v>
      </c>
      <c r="AB1344" s="153"/>
      <c r="AC1344" s="454" t="str">
        <f t="shared" si="201"/>
        <v>1</v>
      </c>
    </row>
    <row r="1345" spans="1:29" ht="58" x14ac:dyDescent="0.35">
      <c r="A1345" s="89" t="str">
        <f t="shared" si="202"/>
        <v>Closed</v>
      </c>
      <c r="B1345" s="222">
        <v>45919</v>
      </c>
      <c r="C1345" s="14">
        <v>2507</v>
      </c>
      <c r="D1345" s="14" t="s">
        <v>5649</v>
      </c>
      <c r="E1345" s="14" t="s">
        <v>8</v>
      </c>
      <c r="F1345" s="14" t="s">
        <v>5650</v>
      </c>
      <c r="G1345" s="14" t="s">
        <v>1900</v>
      </c>
      <c r="H1345" s="14">
        <v>119</v>
      </c>
      <c r="I1345" s="176" t="s">
        <v>140</v>
      </c>
      <c r="K1345" s="87"/>
      <c r="L1345" s="14" t="s">
        <v>5651</v>
      </c>
      <c r="M1345" s="324">
        <f t="shared" si="199"/>
        <v>0</v>
      </c>
      <c r="N1345" s="14" t="s">
        <v>1879</v>
      </c>
      <c r="O1345" s="14" t="s">
        <v>1879</v>
      </c>
      <c r="P1345" s="167" t="s">
        <v>143</v>
      </c>
      <c r="Q1345" s="14"/>
      <c r="R1345" s="170">
        <v>0</v>
      </c>
      <c r="S1345" s="224">
        <f t="shared" si="200"/>
        <v>45947</v>
      </c>
      <c r="T1345" s="79">
        <v>45919</v>
      </c>
      <c r="U1345" s="14"/>
      <c r="V1345" s="14"/>
      <c r="W1345" s="14"/>
      <c r="X1345" s="14"/>
      <c r="Z1345" s="14"/>
      <c r="AA1345" s="2">
        <f t="shared" ca="1" si="198"/>
        <v>1</v>
      </c>
      <c r="AB1345" s="153"/>
      <c r="AC1345" s="454" t="str">
        <f t="shared" si="201"/>
        <v>1</v>
      </c>
    </row>
    <row r="1346" spans="1:29" ht="116.5" thickBot="1" x14ac:dyDescent="0.4">
      <c r="A1346" s="89" t="str">
        <f t="shared" si="202"/>
        <v>Closed</v>
      </c>
      <c r="B1346" s="222">
        <v>45919</v>
      </c>
      <c r="C1346" s="14">
        <v>2507</v>
      </c>
      <c r="D1346" s="14" t="s">
        <v>5652</v>
      </c>
      <c r="E1346" s="14" t="s">
        <v>192</v>
      </c>
      <c r="F1346" s="14" t="s">
        <v>3902</v>
      </c>
      <c r="G1346" s="14" t="s">
        <v>1911</v>
      </c>
      <c r="H1346" s="14"/>
      <c r="I1346" s="176" t="s">
        <v>140</v>
      </c>
      <c r="K1346" s="87"/>
      <c r="L1346" s="14" t="s">
        <v>5653</v>
      </c>
      <c r="M1346" s="324">
        <f t="shared" si="199"/>
        <v>0</v>
      </c>
      <c r="N1346" s="14" t="s">
        <v>1879</v>
      </c>
      <c r="O1346" s="14" t="s">
        <v>1879</v>
      </c>
      <c r="P1346" s="167" t="s">
        <v>143</v>
      </c>
      <c r="Q1346" s="14"/>
      <c r="R1346" s="170">
        <v>0</v>
      </c>
      <c r="S1346" s="224">
        <f t="shared" si="200"/>
        <v>45947</v>
      </c>
      <c r="T1346" s="79">
        <v>45919</v>
      </c>
      <c r="U1346" s="14"/>
      <c r="V1346" s="14"/>
      <c r="W1346" s="14"/>
      <c r="X1346" s="14"/>
      <c r="Y1346" s="14" t="s">
        <v>1929</v>
      </c>
      <c r="Z1346" s="14"/>
      <c r="AA1346" s="2">
        <f t="shared" ca="1" si="198"/>
        <v>1</v>
      </c>
      <c r="AB1346" s="153"/>
      <c r="AC1346" s="454" t="str">
        <f t="shared" si="201"/>
        <v/>
      </c>
    </row>
    <row r="1347" spans="1:29" ht="58.5" thickBot="1" x14ac:dyDescent="0.4">
      <c r="A1347" s="89" t="str">
        <f t="shared" ca="1" si="202"/>
        <v>Overdue</v>
      </c>
      <c r="B1347" s="222">
        <v>45919</v>
      </c>
      <c r="C1347" s="14">
        <v>2507</v>
      </c>
      <c r="D1347" s="14" t="s">
        <v>5654</v>
      </c>
      <c r="E1347" s="14" t="s">
        <v>61</v>
      </c>
      <c r="F1347" s="14" t="s">
        <v>2095</v>
      </c>
      <c r="G1347" s="14" t="s">
        <v>1900</v>
      </c>
      <c r="H1347" s="14">
        <v>104</v>
      </c>
      <c r="I1347" s="176" t="s">
        <v>155</v>
      </c>
      <c r="J1347" s="14">
        <v>1420</v>
      </c>
      <c r="K1347" s="87"/>
      <c r="L1347" s="14" t="s">
        <v>5655</v>
      </c>
      <c r="M1347" s="324">
        <f t="shared" si="199"/>
        <v>0</v>
      </c>
      <c r="N1347" s="14" t="s">
        <v>1879</v>
      </c>
      <c r="O1347" s="14" t="s">
        <v>1880</v>
      </c>
      <c r="P1347" s="167" t="s">
        <v>147</v>
      </c>
      <c r="Q1347" s="14" t="s">
        <v>188</v>
      </c>
      <c r="R1347" s="223" t="s">
        <v>234</v>
      </c>
      <c r="S1347" s="224">
        <f t="shared" si="200"/>
        <v>45947</v>
      </c>
      <c r="T1347" s="14"/>
      <c r="U1347" s="14"/>
      <c r="V1347" s="14"/>
      <c r="W1347" s="14"/>
      <c r="X1347" s="14"/>
      <c r="Y1347" s="23" t="s">
        <v>1915</v>
      </c>
      <c r="Z1347" s="464" t="s">
        <v>5454</v>
      </c>
      <c r="AA1347" s="2">
        <f t="shared" ca="1" si="198"/>
        <v>1</v>
      </c>
      <c r="AB1347" s="153"/>
      <c r="AC1347" s="454" t="str">
        <f t="shared" si="201"/>
        <v>1</v>
      </c>
    </row>
    <row r="1348" spans="1:29" ht="43.5" x14ac:dyDescent="0.35">
      <c r="A1348" s="89" t="str">
        <f t="shared" si="202"/>
        <v>Closed</v>
      </c>
      <c r="B1348" s="222">
        <v>45919</v>
      </c>
      <c r="C1348" s="14">
        <v>2507</v>
      </c>
      <c r="D1348" s="14" t="s">
        <v>5656</v>
      </c>
      <c r="E1348" s="14" t="s">
        <v>27</v>
      </c>
      <c r="F1348" s="14" t="s">
        <v>1947</v>
      </c>
      <c r="G1348" s="14" t="s">
        <v>1911</v>
      </c>
      <c r="H1348" s="14">
        <v>104</v>
      </c>
      <c r="I1348" s="176" t="s">
        <v>5</v>
      </c>
      <c r="J1348" s="14">
        <v>1130</v>
      </c>
      <c r="K1348" s="87"/>
      <c r="L1348" s="14" t="s">
        <v>5657</v>
      </c>
      <c r="M1348" s="324">
        <f t="shared" si="199"/>
        <v>0</v>
      </c>
      <c r="N1348" s="14" t="s">
        <v>1879</v>
      </c>
      <c r="O1348" s="14" t="s">
        <v>1880</v>
      </c>
      <c r="P1348" s="167" t="s">
        <v>147</v>
      </c>
      <c r="Q1348" s="14" t="s">
        <v>174</v>
      </c>
      <c r="R1348" s="223" t="s">
        <v>234</v>
      </c>
      <c r="S1348" s="224">
        <f t="shared" si="200"/>
        <v>45947</v>
      </c>
      <c r="T1348" s="79">
        <v>46037</v>
      </c>
      <c r="U1348" s="14"/>
      <c r="V1348" s="14"/>
      <c r="W1348" s="14"/>
      <c r="X1348" s="14"/>
      <c r="Z1348" s="14" t="s">
        <v>5341</v>
      </c>
      <c r="AA1348" s="2">
        <f t="shared" ca="1" si="198"/>
        <v>1</v>
      </c>
      <c r="AB1348" s="153"/>
      <c r="AC1348" s="454" t="str">
        <f t="shared" si="201"/>
        <v>1</v>
      </c>
    </row>
    <row r="1349" spans="1:29" ht="43.5" x14ac:dyDescent="0.35">
      <c r="A1349" s="89" t="str">
        <f t="shared" si="202"/>
        <v>Closed</v>
      </c>
      <c r="B1349" s="222">
        <v>45920</v>
      </c>
      <c r="C1349" s="14">
        <v>2507</v>
      </c>
      <c r="D1349" s="14" t="s">
        <v>5658</v>
      </c>
      <c r="E1349" s="14" t="s">
        <v>8</v>
      </c>
      <c r="F1349" s="14" t="s">
        <v>5616</v>
      </c>
      <c r="G1349" s="14" t="s">
        <v>1900</v>
      </c>
      <c r="H1349" s="14">
        <v>123</v>
      </c>
      <c r="I1349" s="176" t="s">
        <v>140</v>
      </c>
      <c r="J1349" s="14">
        <v>1270</v>
      </c>
      <c r="K1349" s="87"/>
      <c r="L1349" s="14" t="s">
        <v>5659</v>
      </c>
      <c r="M1349" s="324">
        <f t="shared" si="199"/>
        <v>0</v>
      </c>
      <c r="N1349" s="14" t="s">
        <v>1879</v>
      </c>
      <c r="O1349" s="14" t="s">
        <v>1879</v>
      </c>
      <c r="P1349" s="167" t="s">
        <v>143</v>
      </c>
      <c r="Q1349" s="14"/>
      <c r="R1349" s="170">
        <v>0</v>
      </c>
      <c r="S1349" s="224">
        <f t="shared" ref="S1349:S1412" si="204">IF(B1349="","",B1349+28)</f>
        <v>45948</v>
      </c>
      <c r="T1349" s="79">
        <v>45920</v>
      </c>
      <c r="U1349" s="14"/>
      <c r="V1349" s="14"/>
      <c r="W1349" s="14"/>
      <c r="X1349" s="14"/>
      <c r="Z1349" s="14"/>
      <c r="AA1349" s="2">
        <f t="shared" ca="1" si="198"/>
        <v>1</v>
      </c>
      <c r="AB1349" s="153"/>
      <c r="AC1349" s="454" t="str">
        <f t="shared" si="201"/>
        <v>1</v>
      </c>
    </row>
    <row r="1350" spans="1:29" ht="102" thickBot="1" x14ac:dyDescent="0.4">
      <c r="A1350" s="89" t="str">
        <f t="shared" ca="1" si="202"/>
        <v>Overdue</v>
      </c>
      <c r="B1350" s="222">
        <v>45920</v>
      </c>
      <c r="C1350" s="14">
        <v>2507</v>
      </c>
      <c r="D1350" s="14" t="s">
        <v>5660</v>
      </c>
      <c r="E1350" s="14" t="s">
        <v>61</v>
      </c>
      <c r="F1350" s="14" t="s">
        <v>3142</v>
      </c>
      <c r="G1350" s="14" t="s">
        <v>1900</v>
      </c>
      <c r="H1350" s="14">
        <v>102</v>
      </c>
      <c r="I1350" s="176" t="s">
        <v>155</v>
      </c>
      <c r="J1350" s="14">
        <v>1102</v>
      </c>
      <c r="K1350" s="87"/>
      <c r="L1350" s="14" t="s">
        <v>5661</v>
      </c>
      <c r="M1350" s="324">
        <f t="shared" si="199"/>
        <v>0</v>
      </c>
      <c r="N1350" s="14" t="s">
        <v>1879</v>
      </c>
      <c r="O1350" s="14" t="s">
        <v>1880</v>
      </c>
      <c r="P1350" s="167" t="s">
        <v>147</v>
      </c>
      <c r="Q1350" s="14" t="s">
        <v>174</v>
      </c>
      <c r="R1350" s="223" t="s">
        <v>234</v>
      </c>
      <c r="S1350" s="224">
        <f t="shared" si="204"/>
        <v>45948</v>
      </c>
      <c r="T1350" s="14"/>
      <c r="U1350" s="14"/>
      <c r="V1350" s="14"/>
      <c r="W1350" s="14"/>
      <c r="X1350" s="14"/>
      <c r="Z1350" s="14" t="s">
        <v>5622</v>
      </c>
      <c r="AA1350" s="2">
        <f t="shared" ca="1" si="198"/>
        <v>1</v>
      </c>
      <c r="AB1350" s="153"/>
      <c r="AC1350" s="454" t="str">
        <f t="shared" si="201"/>
        <v>1</v>
      </c>
    </row>
    <row r="1351" spans="1:29" ht="44" thickBot="1" x14ac:dyDescent="0.4">
      <c r="A1351" s="89" t="str">
        <f t="shared" si="202"/>
        <v>Closed</v>
      </c>
      <c r="B1351" s="222">
        <v>45920</v>
      </c>
      <c r="C1351" s="14">
        <v>2507</v>
      </c>
      <c r="D1351" s="14" t="s">
        <v>5662</v>
      </c>
      <c r="E1351" s="14" t="s">
        <v>85</v>
      </c>
      <c r="F1351" s="14" t="s">
        <v>2162</v>
      </c>
      <c r="G1351" s="14" t="s">
        <v>1911</v>
      </c>
      <c r="H1351" s="14"/>
      <c r="I1351" s="176" t="s">
        <v>140</v>
      </c>
      <c r="K1351" s="87"/>
      <c r="L1351" s="14" t="s">
        <v>5663</v>
      </c>
      <c r="M1351" s="324">
        <f t="shared" si="199"/>
        <v>0</v>
      </c>
      <c r="N1351" s="14" t="s">
        <v>1879</v>
      </c>
      <c r="O1351" s="14" t="s">
        <v>1879</v>
      </c>
      <c r="P1351" s="167" t="s">
        <v>143</v>
      </c>
      <c r="Q1351" s="14"/>
      <c r="R1351" s="170">
        <v>0</v>
      </c>
      <c r="S1351" s="224">
        <f t="shared" si="204"/>
        <v>45948</v>
      </c>
      <c r="T1351" s="79">
        <v>45920</v>
      </c>
      <c r="U1351" s="14"/>
      <c r="V1351" s="14"/>
      <c r="W1351" s="14"/>
      <c r="X1351" s="14"/>
      <c r="Y1351" s="464" t="s">
        <v>2164</v>
      </c>
      <c r="Z1351" s="14"/>
      <c r="AA1351" s="2">
        <f t="shared" ca="1" si="198"/>
        <v>1</v>
      </c>
      <c r="AB1351" s="153"/>
      <c r="AC1351" s="454" t="str">
        <f t="shared" si="201"/>
        <v/>
      </c>
    </row>
    <row r="1352" spans="1:29" ht="58" x14ac:dyDescent="0.35">
      <c r="A1352" s="89" t="str">
        <f t="shared" si="202"/>
        <v>Closed</v>
      </c>
      <c r="B1352" s="222">
        <v>45921</v>
      </c>
      <c r="C1352" s="14">
        <v>2507</v>
      </c>
      <c r="D1352" s="14" t="s">
        <v>5664</v>
      </c>
      <c r="E1352" s="14" t="s">
        <v>27</v>
      </c>
      <c r="F1352" s="14" t="s">
        <v>1910</v>
      </c>
      <c r="G1352" s="14" t="s">
        <v>1900</v>
      </c>
      <c r="H1352" s="14">
        <v>125</v>
      </c>
      <c r="I1352" s="176" t="s">
        <v>5</v>
      </c>
      <c r="J1352" s="14">
        <v>1422</v>
      </c>
      <c r="K1352" s="87"/>
      <c r="L1352" s="14" t="s">
        <v>5665</v>
      </c>
      <c r="M1352" s="324">
        <f t="shared" si="199"/>
        <v>0</v>
      </c>
      <c r="N1352" s="14" t="s">
        <v>1879</v>
      </c>
      <c r="O1352" s="14" t="s">
        <v>1880</v>
      </c>
      <c r="P1352" s="167" t="s">
        <v>147</v>
      </c>
      <c r="Q1352" s="14" t="s">
        <v>168</v>
      </c>
      <c r="R1352" s="223" t="s">
        <v>234</v>
      </c>
      <c r="S1352" s="224">
        <f t="shared" si="204"/>
        <v>45949</v>
      </c>
      <c r="T1352" s="79">
        <v>46037</v>
      </c>
      <c r="U1352" s="14"/>
      <c r="V1352" s="14"/>
      <c r="W1352" s="14"/>
      <c r="X1352" s="14"/>
      <c r="Y1352" s="23" t="s">
        <v>1915</v>
      </c>
      <c r="Z1352" s="14" t="s">
        <v>5341</v>
      </c>
      <c r="AA1352" s="2">
        <f t="shared" ca="1" si="198"/>
        <v>1</v>
      </c>
      <c r="AB1352" s="153"/>
      <c r="AC1352" s="454" t="str">
        <f t="shared" si="201"/>
        <v>1</v>
      </c>
    </row>
    <row r="1353" spans="1:29" ht="101.5" x14ac:dyDescent="0.35">
      <c r="A1353" s="89" t="str">
        <f t="shared" si="202"/>
        <v>Closed</v>
      </c>
      <c r="B1353" s="222">
        <v>45921</v>
      </c>
      <c r="C1353" s="14">
        <v>2507</v>
      </c>
      <c r="D1353" s="14" t="s">
        <v>5666</v>
      </c>
      <c r="E1353" s="14" t="s">
        <v>42</v>
      </c>
      <c r="F1353" s="14" t="s">
        <v>1910</v>
      </c>
      <c r="G1353" s="14" t="s">
        <v>1911</v>
      </c>
      <c r="H1353" s="14">
        <v>113</v>
      </c>
      <c r="I1353" s="176" t="s">
        <v>140</v>
      </c>
      <c r="J1353" s="14">
        <v>1393</v>
      </c>
      <c r="K1353" s="87" t="s">
        <v>137</v>
      </c>
      <c r="L1353" s="14" t="s">
        <v>5667</v>
      </c>
      <c r="M1353" s="324">
        <v>0</v>
      </c>
      <c r="N1353" s="14" t="s">
        <v>1879</v>
      </c>
      <c r="O1353" s="14" t="s">
        <v>1880</v>
      </c>
      <c r="P1353" s="167" t="s">
        <v>143</v>
      </c>
      <c r="Q1353" s="14"/>
      <c r="R1353" s="170">
        <v>0</v>
      </c>
      <c r="S1353" s="224">
        <f t="shared" si="204"/>
        <v>45949</v>
      </c>
      <c r="T1353" s="79">
        <v>46000</v>
      </c>
      <c r="U1353" s="14"/>
      <c r="V1353" s="14"/>
      <c r="W1353" s="14"/>
      <c r="X1353" s="14"/>
      <c r="Y1353" s="23" t="s">
        <v>1915</v>
      </c>
      <c r="Z1353" s="14" t="s">
        <v>5668</v>
      </c>
      <c r="AA1353" s="2">
        <f t="shared" ca="1" si="198"/>
        <v>1</v>
      </c>
      <c r="AB1353" s="153"/>
      <c r="AC1353" s="454" t="str">
        <f t="shared" si="201"/>
        <v>1</v>
      </c>
    </row>
    <row r="1354" spans="1:29" ht="43.5" x14ac:dyDescent="0.35">
      <c r="A1354" s="89" t="str">
        <f t="shared" si="202"/>
        <v>Closed</v>
      </c>
      <c r="B1354" s="222">
        <v>45921</v>
      </c>
      <c r="C1354" s="14">
        <v>2507</v>
      </c>
      <c r="D1354" s="14" t="s">
        <v>5669</v>
      </c>
      <c r="E1354" s="14" t="s">
        <v>8</v>
      </c>
      <c r="F1354" s="14" t="s">
        <v>3040</v>
      </c>
      <c r="G1354" s="14" t="s">
        <v>1900</v>
      </c>
      <c r="H1354" s="14">
        <v>123</v>
      </c>
      <c r="I1354" s="176" t="s">
        <v>140</v>
      </c>
      <c r="K1354" s="87"/>
      <c r="L1354" s="14" t="s">
        <v>5670</v>
      </c>
      <c r="M1354" s="324">
        <f t="shared" si="199"/>
        <v>0</v>
      </c>
      <c r="N1354" s="14" t="s">
        <v>1879</v>
      </c>
      <c r="O1354" s="14" t="s">
        <v>1879</v>
      </c>
      <c r="P1354" s="167" t="s">
        <v>143</v>
      </c>
      <c r="Q1354" s="14"/>
      <c r="R1354" s="170">
        <v>0</v>
      </c>
      <c r="S1354" s="224">
        <f t="shared" si="204"/>
        <v>45949</v>
      </c>
      <c r="T1354" s="79">
        <v>45921</v>
      </c>
      <c r="U1354" s="14"/>
      <c r="V1354" s="14"/>
      <c r="W1354" s="14"/>
      <c r="X1354" s="14"/>
      <c r="Z1354" s="14"/>
      <c r="AA1354" s="2">
        <f t="shared" ca="1" si="198"/>
        <v>1</v>
      </c>
      <c r="AB1354" s="153"/>
      <c r="AC1354" s="454" t="str">
        <f t="shared" si="201"/>
        <v>1</v>
      </c>
    </row>
    <row r="1355" spans="1:29" ht="87" x14ac:dyDescent="0.35">
      <c r="A1355" s="111" t="str">
        <f t="shared" ca="1" si="202"/>
        <v>Overdue</v>
      </c>
      <c r="B1355" s="222">
        <v>45918</v>
      </c>
      <c r="C1355" s="14">
        <v>2507</v>
      </c>
      <c r="D1355" s="14" t="s">
        <v>5671</v>
      </c>
      <c r="E1355" s="14" t="s">
        <v>38</v>
      </c>
      <c r="F1355" s="14" t="s">
        <v>2205</v>
      </c>
      <c r="G1355" s="14" t="s">
        <v>1911</v>
      </c>
      <c r="H1355" s="14">
        <v>104</v>
      </c>
      <c r="I1355" s="176" t="s">
        <v>2</v>
      </c>
      <c r="J1355" s="14">
        <v>1417</v>
      </c>
      <c r="K1355" s="87" t="s">
        <v>137</v>
      </c>
      <c r="L1355" s="328" t="s">
        <v>5672</v>
      </c>
      <c r="M1355" s="324">
        <v>0</v>
      </c>
      <c r="N1355" s="14" t="s">
        <v>1879</v>
      </c>
      <c r="O1355" s="14" t="s">
        <v>3640</v>
      </c>
      <c r="P1355" s="167" t="s">
        <v>136</v>
      </c>
      <c r="Q1355" s="14" t="s">
        <v>153</v>
      </c>
      <c r="R1355" s="170" t="s">
        <v>234</v>
      </c>
      <c r="S1355" s="108">
        <f t="shared" si="204"/>
        <v>45946</v>
      </c>
      <c r="T1355" s="14"/>
      <c r="U1355" s="14"/>
      <c r="V1355" s="14"/>
      <c r="W1355" s="14"/>
      <c r="X1355" s="14"/>
      <c r="Z1355" s="14" t="s">
        <v>5350</v>
      </c>
      <c r="AA1355" s="2">
        <f t="shared" ca="1" si="198"/>
        <v>1</v>
      </c>
      <c r="AB1355" s="153"/>
      <c r="AC1355" s="454" t="str">
        <f t="shared" si="201"/>
        <v>1</v>
      </c>
    </row>
    <row r="1356" spans="1:29" ht="101.5" x14ac:dyDescent="0.35">
      <c r="A1356" s="111" t="str">
        <f t="shared" si="202"/>
        <v>Closed</v>
      </c>
      <c r="B1356" s="222">
        <v>45924</v>
      </c>
      <c r="C1356" s="14">
        <v>2507</v>
      </c>
      <c r="D1356" s="14" t="s">
        <v>5673</v>
      </c>
      <c r="E1356" s="14" t="s">
        <v>180</v>
      </c>
      <c r="F1356" s="14" t="s">
        <v>2037</v>
      </c>
      <c r="G1356" s="14" t="s">
        <v>1911</v>
      </c>
      <c r="H1356" s="14">
        <v>121</v>
      </c>
      <c r="I1356" s="176" t="s">
        <v>140</v>
      </c>
      <c r="J1356" s="14">
        <v>1293</v>
      </c>
      <c r="K1356" s="87"/>
      <c r="L1356" s="14" t="s">
        <v>5674</v>
      </c>
      <c r="M1356" s="324">
        <f t="shared" si="199"/>
        <v>0</v>
      </c>
      <c r="N1356" s="14" t="s">
        <v>1879</v>
      </c>
      <c r="O1356" s="14" t="s">
        <v>1879</v>
      </c>
      <c r="P1356" s="167" t="s">
        <v>143</v>
      </c>
      <c r="Q1356" s="14"/>
      <c r="R1356" s="170">
        <v>0</v>
      </c>
      <c r="S1356" s="108">
        <f t="shared" si="204"/>
        <v>45952</v>
      </c>
      <c r="T1356" s="79">
        <v>45924</v>
      </c>
      <c r="U1356" s="14"/>
      <c r="V1356" s="14"/>
      <c r="W1356" s="14"/>
      <c r="X1356" s="14"/>
      <c r="Z1356" s="14"/>
      <c r="AA1356" s="2">
        <f t="shared" ca="1" si="198"/>
        <v>1</v>
      </c>
      <c r="AB1356" s="153"/>
      <c r="AC1356" s="454" t="str">
        <f t="shared" si="201"/>
        <v>1</v>
      </c>
    </row>
    <row r="1357" spans="1:29" ht="145" x14ac:dyDescent="0.35">
      <c r="A1357" s="111" t="str">
        <f t="shared" ca="1" si="202"/>
        <v>Overdue</v>
      </c>
      <c r="B1357" s="222">
        <v>45924</v>
      </c>
      <c r="C1357" s="14">
        <v>2507</v>
      </c>
      <c r="D1357" s="14" t="s">
        <v>5675</v>
      </c>
      <c r="E1357" s="14" t="s">
        <v>78</v>
      </c>
      <c r="F1357" s="14" t="s">
        <v>2432</v>
      </c>
      <c r="G1357" s="14" t="s">
        <v>1911</v>
      </c>
      <c r="H1357" s="14">
        <v>103</v>
      </c>
      <c r="I1357" s="176" t="s">
        <v>155</v>
      </c>
      <c r="J1357" s="14">
        <v>1197</v>
      </c>
      <c r="K1357" s="87"/>
      <c r="L1357" s="14" t="s">
        <v>5676</v>
      </c>
      <c r="M1357" s="324">
        <f t="shared" si="199"/>
        <v>0</v>
      </c>
      <c r="N1357" s="14" t="s">
        <v>1880</v>
      </c>
      <c r="O1357" s="14" t="s">
        <v>1880</v>
      </c>
      <c r="P1357" s="167" t="s">
        <v>147</v>
      </c>
      <c r="Q1357" s="14" t="s">
        <v>185</v>
      </c>
      <c r="R1357" s="170" t="s">
        <v>234</v>
      </c>
      <c r="S1357" s="108">
        <f t="shared" si="204"/>
        <v>45952</v>
      </c>
      <c r="T1357" s="14"/>
      <c r="U1357" s="14"/>
      <c r="V1357" s="14"/>
      <c r="W1357" s="14"/>
      <c r="X1357" s="14"/>
      <c r="Y1357" s="14" t="s">
        <v>2436</v>
      </c>
      <c r="Z1357" s="14" t="s">
        <v>5315</v>
      </c>
      <c r="AA1357" s="2">
        <f t="shared" ca="1" si="198"/>
        <v>1</v>
      </c>
      <c r="AB1357" s="153"/>
      <c r="AC1357" s="454" t="str">
        <f t="shared" si="201"/>
        <v>1</v>
      </c>
    </row>
    <row r="1358" spans="1:29" ht="43.5" x14ac:dyDescent="0.35">
      <c r="A1358" s="111" t="str">
        <f t="shared" ca="1" si="202"/>
        <v>Overdue</v>
      </c>
      <c r="B1358" s="222">
        <v>45925</v>
      </c>
      <c r="C1358" s="14">
        <v>2507</v>
      </c>
      <c r="D1358" s="14" t="s">
        <v>5677</v>
      </c>
      <c r="E1358" s="14" t="s">
        <v>78</v>
      </c>
      <c r="F1358" s="14" t="s">
        <v>5356</v>
      </c>
      <c r="G1358" s="14" t="s">
        <v>1900</v>
      </c>
      <c r="H1358" s="14">
        <v>105</v>
      </c>
      <c r="I1358" s="176" t="s">
        <v>155</v>
      </c>
      <c r="J1358" s="14">
        <v>1070</v>
      </c>
      <c r="K1358" s="87"/>
      <c r="L1358" s="14" t="s">
        <v>5678</v>
      </c>
      <c r="M1358" s="324">
        <f t="shared" si="199"/>
        <v>0</v>
      </c>
      <c r="N1358" s="14" t="s">
        <v>1879</v>
      </c>
      <c r="O1358" s="14" t="s">
        <v>1879</v>
      </c>
      <c r="P1358" s="167" t="s">
        <v>147</v>
      </c>
      <c r="Q1358" s="14" t="s">
        <v>177</v>
      </c>
      <c r="R1358" s="170" t="s">
        <v>234</v>
      </c>
      <c r="S1358" s="108">
        <f t="shared" si="204"/>
        <v>45953</v>
      </c>
      <c r="T1358" s="14"/>
      <c r="U1358" s="14"/>
      <c r="V1358" s="14"/>
      <c r="W1358" s="14"/>
      <c r="X1358" s="14"/>
      <c r="Z1358" s="14" t="s">
        <v>5315</v>
      </c>
      <c r="AA1358" s="2">
        <f t="shared" ca="1" si="198"/>
        <v>1</v>
      </c>
      <c r="AB1358" s="153"/>
      <c r="AC1358" s="454" t="str">
        <f t="shared" si="201"/>
        <v>1</v>
      </c>
    </row>
    <row r="1359" spans="1:29" ht="43.5" x14ac:dyDescent="0.35">
      <c r="A1359" s="111" t="str">
        <f t="shared" si="202"/>
        <v>Closed</v>
      </c>
      <c r="B1359" s="222">
        <v>45926</v>
      </c>
      <c r="C1359" s="14">
        <v>2507</v>
      </c>
      <c r="D1359" s="14" t="s">
        <v>5679</v>
      </c>
      <c r="E1359" s="14" t="s">
        <v>219</v>
      </c>
      <c r="F1359" s="14" t="s">
        <v>5680</v>
      </c>
      <c r="G1359" s="14"/>
      <c r="H1359" s="14">
        <v>110</v>
      </c>
      <c r="I1359" s="176" t="s">
        <v>140</v>
      </c>
      <c r="J1359" s="14">
        <v>1169</v>
      </c>
      <c r="K1359" s="87"/>
      <c r="L1359" s="14" t="s">
        <v>5681</v>
      </c>
      <c r="M1359" s="324">
        <f t="shared" si="199"/>
        <v>0</v>
      </c>
      <c r="N1359" s="14" t="s">
        <v>1879</v>
      </c>
      <c r="O1359" s="14" t="s">
        <v>1879</v>
      </c>
      <c r="P1359" s="167" t="s">
        <v>143</v>
      </c>
      <c r="Q1359" s="14"/>
      <c r="R1359" s="170">
        <v>0</v>
      </c>
      <c r="S1359" s="108">
        <f t="shared" si="204"/>
        <v>45954</v>
      </c>
      <c r="T1359" s="79">
        <v>45926</v>
      </c>
      <c r="U1359" s="14"/>
      <c r="V1359" s="14"/>
      <c r="W1359" s="14"/>
      <c r="X1359" s="14"/>
      <c r="Z1359" s="14"/>
      <c r="AA1359" s="2">
        <f t="shared" ca="1" si="198"/>
        <v>1</v>
      </c>
      <c r="AB1359" s="153"/>
      <c r="AC1359" s="454" t="str">
        <f t="shared" si="201"/>
        <v>1</v>
      </c>
    </row>
    <row r="1360" spans="1:29" ht="58" x14ac:dyDescent="0.35">
      <c r="A1360" s="111" t="str">
        <f t="shared" si="202"/>
        <v>Closed</v>
      </c>
      <c r="B1360" s="222">
        <v>45927</v>
      </c>
      <c r="C1360" s="14">
        <v>2507</v>
      </c>
      <c r="D1360" s="14" t="s">
        <v>5682</v>
      </c>
      <c r="E1360" s="14" t="s">
        <v>8</v>
      </c>
      <c r="F1360" s="14" t="s">
        <v>2245</v>
      </c>
      <c r="G1360" s="14"/>
      <c r="H1360" s="14">
        <v>105</v>
      </c>
      <c r="I1360" s="176" t="s">
        <v>140</v>
      </c>
      <c r="J1360" s="14">
        <v>1197</v>
      </c>
      <c r="K1360" s="87"/>
      <c r="L1360" s="14" t="s">
        <v>5683</v>
      </c>
      <c r="M1360" s="324">
        <f t="shared" si="199"/>
        <v>0</v>
      </c>
      <c r="N1360" s="14" t="s">
        <v>1879</v>
      </c>
      <c r="O1360" s="14" t="s">
        <v>1879</v>
      </c>
      <c r="P1360" s="167" t="s">
        <v>143</v>
      </c>
      <c r="Q1360" s="14"/>
      <c r="R1360" s="170">
        <v>0</v>
      </c>
      <c r="S1360" s="108">
        <f t="shared" si="204"/>
        <v>45955</v>
      </c>
      <c r="T1360" s="79">
        <v>45926</v>
      </c>
      <c r="U1360" s="14"/>
      <c r="V1360" s="14"/>
      <c r="W1360" s="14"/>
      <c r="X1360" s="14"/>
      <c r="Z1360" s="14"/>
      <c r="AA1360" s="2">
        <f t="shared" ca="1" si="198"/>
        <v>1</v>
      </c>
      <c r="AB1360" s="153"/>
      <c r="AC1360" s="454" t="str">
        <f t="shared" si="201"/>
        <v>1</v>
      </c>
    </row>
    <row r="1361" spans="1:29" ht="43.5" x14ac:dyDescent="0.35">
      <c r="A1361" s="111" t="str">
        <f t="shared" si="202"/>
        <v>Closed</v>
      </c>
      <c r="B1361" s="222">
        <v>45927</v>
      </c>
      <c r="C1361" s="14">
        <v>2507</v>
      </c>
      <c r="D1361" s="14" t="s">
        <v>5684</v>
      </c>
      <c r="E1361" s="14" t="s">
        <v>8</v>
      </c>
      <c r="F1361" s="14" t="s">
        <v>5685</v>
      </c>
      <c r="G1361" s="14"/>
      <c r="H1361" s="14"/>
      <c r="I1361" s="176" t="s">
        <v>140</v>
      </c>
      <c r="K1361" s="87"/>
      <c r="L1361" s="14" t="s">
        <v>5686</v>
      </c>
      <c r="M1361" s="324">
        <f t="shared" si="199"/>
        <v>0</v>
      </c>
      <c r="N1361" s="14" t="s">
        <v>1879</v>
      </c>
      <c r="O1361" s="14" t="s">
        <v>1879</v>
      </c>
      <c r="P1361" s="167" t="s">
        <v>143</v>
      </c>
      <c r="Q1361" s="14"/>
      <c r="R1361" s="170">
        <v>0</v>
      </c>
      <c r="S1361" s="108">
        <f t="shared" si="204"/>
        <v>45955</v>
      </c>
      <c r="T1361" s="79">
        <v>45927</v>
      </c>
      <c r="U1361" s="14"/>
      <c r="V1361" s="14"/>
      <c r="W1361" s="14"/>
      <c r="X1361" s="14"/>
      <c r="Z1361" s="14"/>
      <c r="AA1361" s="2">
        <f t="shared" ca="1" si="198"/>
        <v>1</v>
      </c>
      <c r="AB1361" s="153"/>
      <c r="AC1361" s="454" t="str">
        <f t="shared" si="201"/>
        <v/>
      </c>
    </row>
    <row r="1362" spans="1:29" ht="29" x14ac:dyDescent="0.35">
      <c r="A1362" s="111" t="str">
        <f t="shared" si="202"/>
        <v>Closed</v>
      </c>
      <c r="B1362" s="222">
        <v>45928</v>
      </c>
      <c r="C1362" s="14">
        <v>2507</v>
      </c>
      <c r="D1362" s="14" t="s">
        <v>5687</v>
      </c>
      <c r="E1362" s="14" t="s">
        <v>8</v>
      </c>
      <c r="F1362" s="14" t="s">
        <v>3917</v>
      </c>
      <c r="G1362" s="14"/>
      <c r="H1362" s="14">
        <v>109</v>
      </c>
      <c r="I1362" s="176" t="s">
        <v>140</v>
      </c>
      <c r="J1362" s="14">
        <v>1143</v>
      </c>
      <c r="K1362" s="87"/>
      <c r="L1362" s="14" t="s">
        <v>5688</v>
      </c>
      <c r="M1362" s="324">
        <f t="shared" si="199"/>
        <v>0</v>
      </c>
      <c r="N1362" s="14" t="s">
        <v>1879</v>
      </c>
      <c r="O1362" s="14" t="s">
        <v>1879</v>
      </c>
      <c r="P1362" s="167" t="s">
        <v>143</v>
      </c>
      <c r="Q1362" s="14"/>
      <c r="R1362" s="170">
        <v>0</v>
      </c>
      <c r="S1362" s="108">
        <f t="shared" si="204"/>
        <v>45956</v>
      </c>
      <c r="T1362" s="79">
        <v>45928</v>
      </c>
      <c r="U1362" s="14"/>
      <c r="V1362" s="14"/>
      <c r="W1362" s="14"/>
      <c r="X1362" s="14"/>
      <c r="Y1362" s="14" t="s">
        <v>2093</v>
      </c>
      <c r="Z1362" s="14"/>
      <c r="AA1362" s="2">
        <f t="shared" ca="1" si="198"/>
        <v>1</v>
      </c>
      <c r="AB1362" s="153"/>
      <c r="AC1362" s="454" t="str">
        <f t="shared" si="201"/>
        <v>1</v>
      </c>
    </row>
    <row r="1363" spans="1:29" ht="29" x14ac:dyDescent="0.35">
      <c r="A1363" s="111" t="str">
        <f t="shared" si="202"/>
        <v>Closed</v>
      </c>
      <c r="B1363" s="222">
        <v>45929</v>
      </c>
      <c r="C1363" s="14">
        <v>2507</v>
      </c>
      <c r="D1363" s="14" t="s">
        <v>5689</v>
      </c>
      <c r="E1363" s="14" t="s">
        <v>219</v>
      </c>
      <c r="F1363" s="14" t="s">
        <v>1899</v>
      </c>
      <c r="G1363" s="14" t="s">
        <v>1911</v>
      </c>
      <c r="H1363" s="14">
        <v>123</v>
      </c>
      <c r="I1363" s="176" t="s">
        <v>140</v>
      </c>
      <c r="K1363" s="87"/>
      <c r="L1363" s="14" t="s">
        <v>5690</v>
      </c>
      <c r="M1363" s="324">
        <f t="shared" si="199"/>
        <v>0</v>
      </c>
      <c r="N1363" s="14" t="s">
        <v>1879</v>
      </c>
      <c r="O1363" s="14" t="s">
        <v>1879</v>
      </c>
      <c r="P1363" s="167" t="s">
        <v>143</v>
      </c>
      <c r="Q1363" s="14"/>
      <c r="R1363" s="170">
        <v>0</v>
      </c>
      <c r="S1363" s="108">
        <f t="shared" si="204"/>
        <v>45957</v>
      </c>
      <c r="T1363" s="79">
        <v>45929</v>
      </c>
      <c r="U1363" s="14"/>
      <c r="V1363" s="14"/>
      <c r="W1363" s="14"/>
      <c r="X1363" s="14"/>
      <c r="Z1363" s="14"/>
      <c r="AA1363" s="2">
        <f t="shared" ca="1" si="198"/>
        <v>1</v>
      </c>
      <c r="AB1363" s="153"/>
      <c r="AC1363" s="454" t="str">
        <f t="shared" si="201"/>
        <v>1</v>
      </c>
    </row>
    <row r="1364" spans="1:29" ht="58" x14ac:dyDescent="0.35">
      <c r="A1364" s="111" t="str">
        <f t="shared" ca="1" si="202"/>
        <v>Overdue</v>
      </c>
      <c r="B1364" s="222">
        <v>45930</v>
      </c>
      <c r="C1364" s="14">
        <v>2507</v>
      </c>
      <c r="D1364" s="14" t="s">
        <v>5691</v>
      </c>
      <c r="E1364" s="14" t="s">
        <v>31</v>
      </c>
      <c r="F1364" s="14" t="s">
        <v>1972</v>
      </c>
      <c r="G1364" s="14"/>
      <c r="H1364" s="14"/>
      <c r="I1364" s="176" t="s">
        <v>155</v>
      </c>
      <c r="K1364" s="87"/>
      <c r="L1364" s="14" t="s">
        <v>5692</v>
      </c>
      <c r="M1364" s="324">
        <f>IF(I1364="Staff Accident","Entry Required",IF(I1364="Assaults","Entry Required",0))</f>
        <v>0</v>
      </c>
      <c r="N1364" s="14" t="s">
        <v>1879</v>
      </c>
      <c r="O1364" s="14" t="s">
        <v>1880</v>
      </c>
      <c r="P1364" s="167" t="s">
        <v>147</v>
      </c>
      <c r="Q1364" s="14" t="s">
        <v>150</v>
      </c>
      <c r="R1364" s="170" t="s">
        <v>234</v>
      </c>
      <c r="S1364" s="108">
        <f t="shared" si="204"/>
        <v>45958</v>
      </c>
      <c r="T1364" s="14"/>
      <c r="U1364" s="14"/>
      <c r="V1364" s="14"/>
      <c r="W1364" s="14"/>
      <c r="X1364" s="14"/>
      <c r="Z1364" s="14" t="s">
        <v>5315</v>
      </c>
      <c r="AA1364" s="2">
        <f t="shared" ca="1" si="198"/>
        <v>1</v>
      </c>
      <c r="AB1364" s="153"/>
      <c r="AC1364" s="454" t="str">
        <f t="shared" si="201"/>
        <v/>
      </c>
    </row>
    <row r="1365" spans="1:29" s="380" customFormat="1" ht="58" x14ac:dyDescent="0.35">
      <c r="A1365" s="369" t="str">
        <f t="shared" si="202"/>
        <v>Closed</v>
      </c>
      <c r="B1365" s="370">
        <v>45931</v>
      </c>
      <c r="C1365" s="371">
        <v>2507</v>
      </c>
      <c r="D1365" s="371" t="s">
        <v>5693</v>
      </c>
      <c r="E1365" s="371" t="s">
        <v>8</v>
      </c>
      <c r="F1365" s="371" t="s">
        <v>2187</v>
      </c>
      <c r="G1365" s="371" t="s">
        <v>1900</v>
      </c>
      <c r="H1365" s="371">
        <v>118</v>
      </c>
      <c r="I1365" s="372" t="s">
        <v>140</v>
      </c>
      <c r="J1365" s="371"/>
      <c r="K1365" s="373"/>
      <c r="L1365" s="371" t="s">
        <v>5694</v>
      </c>
      <c r="M1365" s="374">
        <f t="shared" ref="M1365:M1427" si="205">IF(I1365="Staff Accident","Entry Required",IF(I1365="Assaults","Entry Required",0))</f>
        <v>0</v>
      </c>
      <c r="N1365" s="371" t="s">
        <v>1879</v>
      </c>
      <c r="O1365" s="371" t="s">
        <v>1879</v>
      </c>
      <c r="P1365" s="375" t="s">
        <v>143</v>
      </c>
      <c r="Q1365" s="371"/>
      <c r="R1365" s="170">
        <v>0</v>
      </c>
      <c r="S1365" s="377">
        <f t="shared" si="204"/>
        <v>45959</v>
      </c>
      <c r="T1365" s="382">
        <v>45931</v>
      </c>
      <c r="U1365" s="371"/>
      <c r="V1365" s="371"/>
      <c r="W1365" s="371"/>
      <c r="X1365" s="371"/>
      <c r="Y1365" s="371"/>
      <c r="Z1365" s="371"/>
      <c r="AA1365" s="378">
        <f t="shared" ca="1" si="198"/>
        <v>1</v>
      </c>
      <c r="AB1365" s="379"/>
      <c r="AC1365" s="458" t="str">
        <f t="shared" si="201"/>
        <v>1</v>
      </c>
    </row>
    <row r="1366" spans="1:29" s="203" customFormat="1" ht="102" thickBot="1" x14ac:dyDescent="0.4">
      <c r="A1366" s="169" t="str">
        <f t="shared" ca="1" si="202"/>
        <v>Overdue</v>
      </c>
      <c r="B1366" s="226">
        <v>45931</v>
      </c>
      <c r="C1366" s="112">
        <v>2507</v>
      </c>
      <c r="D1366" s="112" t="s">
        <v>5695</v>
      </c>
      <c r="E1366" s="112" t="s">
        <v>40</v>
      </c>
      <c r="F1366" s="112" t="s">
        <v>1980</v>
      </c>
      <c r="G1366" s="112" t="s">
        <v>1900</v>
      </c>
      <c r="H1366" s="112">
        <v>112</v>
      </c>
      <c r="I1366" s="350" t="s">
        <v>4</v>
      </c>
      <c r="J1366" s="112">
        <v>1293</v>
      </c>
      <c r="K1366" s="351" t="s">
        <v>137</v>
      </c>
      <c r="L1366" s="112" t="s">
        <v>5696</v>
      </c>
      <c r="M1366" s="352">
        <v>0</v>
      </c>
      <c r="N1366" s="112" t="s">
        <v>1879</v>
      </c>
      <c r="O1366" s="112" t="s">
        <v>1880</v>
      </c>
      <c r="P1366" s="353" t="s">
        <v>139</v>
      </c>
      <c r="Q1366" s="112" t="s">
        <v>138</v>
      </c>
      <c r="R1366" s="312" t="s">
        <v>234</v>
      </c>
      <c r="S1366" s="204">
        <f t="shared" si="204"/>
        <v>45959</v>
      </c>
      <c r="T1366" s="112"/>
      <c r="U1366" s="112"/>
      <c r="V1366" s="112"/>
      <c r="W1366" s="112"/>
      <c r="X1366" s="112"/>
      <c r="Y1366" s="112"/>
      <c r="Z1366" s="112" t="s">
        <v>5315</v>
      </c>
      <c r="AA1366" s="104">
        <f t="shared" ref="AA1366:AA1429" ca="1" si="206">IF(B1366="",3,IF(S1366&lt;$A$1,1,0))</f>
        <v>1</v>
      </c>
      <c r="AB1366" s="202"/>
      <c r="AC1366" s="459" t="str">
        <f t="shared" si="201"/>
        <v>1</v>
      </c>
    </row>
    <row r="1367" spans="1:29" s="203" customFormat="1" ht="73" thickBot="1" x14ac:dyDescent="0.4">
      <c r="A1367" s="169" t="str">
        <f t="shared" si="202"/>
        <v>Closed</v>
      </c>
      <c r="B1367" s="226">
        <v>45932</v>
      </c>
      <c r="C1367" s="112">
        <v>2507</v>
      </c>
      <c r="D1367" s="112" t="s">
        <v>5697</v>
      </c>
      <c r="E1367" s="112" t="s">
        <v>27</v>
      </c>
      <c r="F1367" s="112" t="s">
        <v>2974</v>
      </c>
      <c r="G1367" s="112" t="s">
        <v>5188</v>
      </c>
      <c r="H1367" s="112">
        <v>116</v>
      </c>
      <c r="I1367" s="350" t="s">
        <v>5</v>
      </c>
      <c r="J1367" s="112">
        <v>1307</v>
      </c>
      <c r="K1367" s="351"/>
      <c r="L1367" s="112" t="s">
        <v>5698</v>
      </c>
      <c r="M1367" s="352">
        <f t="shared" si="205"/>
        <v>0</v>
      </c>
      <c r="N1367" s="112" t="s">
        <v>1879</v>
      </c>
      <c r="O1367" s="112" t="s">
        <v>1880</v>
      </c>
      <c r="P1367" s="353" t="s">
        <v>147</v>
      </c>
      <c r="Q1367" s="112" t="s">
        <v>177</v>
      </c>
      <c r="R1367" s="312" t="s">
        <v>234</v>
      </c>
      <c r="S1367" s="204">
        <f t="shared" si="204"/>
        <v>45960</v>
      </c>
      <c r="T1367" s="168">
        <v>46037</v>
      </c>
      <c r="U1367" s="112"/>
      <c r="V1367" s="112"/>
      <c r="W1367" s="112"/>
      <c r="X1367" s="112"/>
      <c r="Y1367" s="464" t="s">
        <v>2164</v>
      </c>
      <c r="Z1367" s="112" t="s">
        <v>5341</v>
      </c>
      <c r="AA1367" s="104">
        <f t="shared" ca="1" si="206"/>
        <v>1</v>
      </c>
      <c r="AB1367" s="202"/>
      <c r="AC1367" s="459" t="str">
        <f t="shared" si="201"/>
        <v>1</v>
      </c>
    </row>
    <row r="1368" spans="1:29" s="203" customFormat="1" ht="72.5" x14ac:dyDescent="0.35">
      <c r="A1368" s="169" t="str">
        <f t="shared" si="202"/>
        <v>Closed</v>
      </c>
      <c r="B1368" s="226">
        <v>45932</v>
      </c>
      <c r="C1368" s="112">
        <v>2507</v>
      </c>
      <c r="D1368" s="112" t="s">
        <v>5699</v>
      </c>
      <c r="E1368" s="112" t="s">
        <v>27</v>
      </c>
      <c r="F1368" s="112" t="s">
        <v>27</v>
      </c>
      <c r="G1368" s="112" t="s">
        <v>1911</v>
      </c>
      <c r="H1368" s="112">
        <v>123</v>
      </c>
      <c r="I1368" s="350" t="s">
        <v>5</v>
      </c>
      <c r="J1368" s="112">
        <v>1256</v>
      </c>
      <c r="K1368" s="351"/>
      <c r="L1368" s="112" t="s">
        <v>5700</v>
      </c>
      <c r="M1368" s="352">
        <f t="shared" si="205"/>
        <v>0</v>
      </c>
      <c r="N1368" s="112" t="s">
        <v>1879</v>
      </c>
      <c r="O1368" s="112" t="s">
        <v>1879</v>
      </c>
      <c r="P1368" s="353" t="s">
        <v>147</v>
      </c>
      <c r="Q1368" s="112" t="s">
        <v>168</v>
      </c>
      <c r="R1368" s="312" t="s">
        <v>234</v>
      </c>
      <c r="S1368" s="204">
        <f t="shared" si="204"/>
        <v>45960</v>
      </c>
      <c r="T1368" s="168">
        <v>46037</v>
      </c>
      <c r="U1368" s="112"/>
      <c r="V1368" s="112"/>
      <c r="W1368" s="112"/>
      <c r="X1368" s="112"/>
      <c r="Y1368" s="112"/>
      <c r="Z1368" s="112" t="s">
        <v>5341</v>
      </c>
      <c r="AA1368" s="104">
        <f t="shared" ca="1" si="206"/>
        <v>1</v>
      </c>
      <c r="AB1368" s="202"/>
      <c r="AC1368" s="459" t="str">
        <f t="shared" si="201"/>
        <v>1</v>
      </c>
    </row>
    <row r="1369" spans="1:29" s="203" customFormat="1" ht="203" x14ac:dyDescent="0.35">
      <c r="A1369" s="169" t="str">
        <f t="shared" si="202"/>
        <v>Closed</v>
      </c>
      <c r="B1369" s="226">
        <v>45932</v>
      </c>
      <c r="C1369" s="112">
        <v>2507</v>
      </c>
      <c r="D1369" s="112" t="s">
        <v>5701</v>
      </c>
      <c r="E1369" s="112" t="s">
        <v>38</v>
      </c>
      <c r="F1369" s="112" t="s">
        <v>2095</v>
      </c>
      <c r="G1369" s="112"/>
      <c r="H1369" s="112">
        <v>116</v>
      </c>
      <c r="I1369" s="350" t="s">
        <v>2</v>
      </c>
      <c r="J1369" s="112">
        <v>1119</v>
      </c>
      <c r="K1369" s="351" t="s">
        <v>137</v>
      </c>
      <c r="L1369" s="112" t="s">
        <v>5702</v>
      </c>
      <c r="M1369" s="352">
        <v>0</v>
      </c>
      <c r="N1369" s="112" t="s">
        <v>1879</v>
      </c>
      <c r="O1369" s="112" t="s">
        <v>1880</v>
      </c>
      <c r="P1369" s="353" t="s">
        <v>143</v>
      </c>
      <c r="Q1369" s="112"/>
      <c r="R1369" s="170">
        <v>0</v>
      </c>
      <c r="S1369" s="204">
        <f t="shared" si="204"/>
        <v>45960</v>
      </c>
      <c r="T1369" s="168">
        <v>45932</v>
      </c>
      <c r="U1369" s="112"/>
      <c r="V1369" s="112"/>
      <c r="W1369" s="112"/>
      <c r="X1369" s="112"/>
      <c r="Y1369" s="23" t="s">
        <v>1915</v>
      </c>
      <c r="Z1369" s="112" t="s">
        <v>5703</v>
      </c>
      <c r="AA1369" s="104">
        <f t="shared" ca="1" si="206"/>
        <v>1</v>
      </c>
      <c r="AB1369" s="202"/>
      <c r="AC1369" s="459" t="str">
        <f t="shared" si="201"/>
        <v>1</v>
      </c>
    </row>
    <row r="1370" spans="1:29" s="203" customFormat="1" ht="72.5" x14ac:dyDescent="0.35">
      <c r="A1370" s="169" t="str">
        <f t="shared" si="202"/>
        <v>Closed</v>
      </c>
      <c r="B1370" s="226">
        <v>45932</v>
      </c>
      <c r="C1370" s="112">
        <v>2507</v>
      </c>
      <c r="D1370" s="112" t="s">
        <v>5704</v>
      </c>
      <c r="E1370" s="112" t="s">
        <v>192</v>
      </c>
      <c r="F1370" s="112" t="s">
        <v>1910</v>
      </c>
      <c r="G1370" s="112"/>
      <c r="H1370" s="112">
        <v>116</v>
      </c>
      <c r="I1370" s="350" t="s">
        <v>140</v>
      </c>
      <c r="J1370" s="112">
        <v>1293</v>
      </c>
      <c r="K1370" s="351"/>
      <c r="L1370" s="112" t="s">
        <v>5705</v>
      </c>
      <c r="M1370" s="352">
        <f t="shared" si="205"/>
        <v>0</v>
      </c>
      <c r="N1370" s="112" t="s">
        <v>1879</v>
      </c>
      <c r="O1370" s="112" t="s">
        <v>1879</v>
      </c>
      <c r="P1370" s="353" t="s">
        <v>143</v>
      </c>
      <c r="Q1370" s="112"/>
      <c r="R1370" s="170">
        <v>0</v>
      </c>
      <c r="S1370" s="204">
        <f t="shared" si="204"/>
        <v>45960</v>
      </c>
      <c r="T1370" s="168">
        <v>45932</v>
      </c>
      <c r="U1370" s="112"/>
      <c r="V1370" s="112"/>
      <c r="W1370" s="112"/>
      <c r="X1370" s="112"/>
      <c r="Y1370" s="23" t="s">
        <v>1915</v>
      </c>
      <c r="Z1370" s="112"/>
      <c r="AA1370" s="104">
        <f t="shared" ca="1" si="206"/>
        <v>1</v>
      </c>
      <c r="AB1370" s="202"/>
      <c r="AC1370" s="459" t="str">
        <f t="shared" ref="AC1370:AC1433" si="207">LEFT(H1370,1)</f>
        <v>1</v>
      </c>
    </row>
    <row r="1371" spans="1:29" s="203" customFormat="1" ht="43.5" x14ac:dyDescent="0.45">
      <c r="A1371" s="169" t="str">
        <f t="shared" si="202"/>
        <v>Closed</v>
      </c>
      <c r="B1371" s="226">
        <v>45932</v>
      </c>
      <c r="C1371" s="112">
        <v>2507</v>
      </c>
      <c r="D1371" s="112" t="s">
        <v>5706</v>
      </c>
      <c r="E1371" s="112" t="s">
        <v>192</v>
      </c>
      <c r="F1371" s="112" t="s">
        <v>2338</v>
      </c>
      <c r="G1371" s="112"/>
      <c r="H1371" s="112">
        <v>118</v>
      </c>
      <c r="I1371" s="350" t="s">
        <v>140</v>
      </c>
      <c r="J1371" s="112">
        <v>1102</v>
      </c>
      <c r="K1371" s="351"/>
      <c r="L1371" s="112" t="s">
        <v>5707</v>
      </c>
      <c r="M1371" s="352">
        <f t="shared" si="205"/>
        <v>0</v>
      </c>
      <c r="N1371" s="112" t="s">
        <v>1879</v>
      </c>
      <c r="O1371" s="112" t="s">
        <v>1879</v>
      </c>
      <c r="P1371" s="353" t="s">
        <v>143</v>
      </c>
      <c r="Q1371" s="112"/>
      <c r="R1371" s="170">
        <v>0</v>
      </c>
      <c r="S1371" s="204">
        <f t="shared" si="204"/>
        <v>45960</v>
      </c>
      <c r="T1371" s="168">
        <v>45932</v>
      </c>
      <c r="U1371" s="112"/>
      <c r="V1371" s="112"/>
      <c r="W1371" s="112"/>
      <c r="X1371" s="112"/>
      <c r="Y1371" s="463" t="s">
        <v>2340</v>
      </c>
      <c r="Z1371" s="112"/>
      <c r="AA1371" s="104">
        <f t="shared" ca="1" si="206"/>
        <v>1</v>
      </c>
      <c r="AB1371" s="202"/>
      <c r="AC1371" s="459" t="str">
        <f t="shared" si="207"/>
        <v>1</v>
      </c>
    </row>
    <row r="1372" spans="1:29" s="203" customFormat="1" ht="87" x14ac:dyDescent="0.35">
      <c r="A1372" s="169" t="str">
        <f t="shared" si="202"/>
        <v>Closed</v>
      </c>
      <c r="B1372" s="226">
        <v>45933</v>
      </c>
      <c r="C1372" s="112">
        <v>2507</v>
      </c>
      <c r="D1372" s="112" t="s">
        <v>5708</v>
      </c>
      <c r="E1372" s="112" t="s">
        <v>192</v>
      </c>
      <c r="F1372" s="112" t="s">
        <v>5709</v>
      </c>
      <c r="G1372" s="112" t="s">
        <v>1900</v>
      </c>
      <c r="H1372" s="112">
        <v>123</v>
      </c>
      <c r="I1372" s="350" t="s">
        <v>140</v>
      </c>
      <c r="J1372" s="112">
        <v>1055</v>
      </c>
      <c r="K1372" s="351"/>
      <c r="L1372" s="112" t="s">
        <v>5710</v>
      </c>
      <c r="M1372" s="352">
        <f t="shared" si="205"/>
        <v>0</v>
      </c>
      <c r="N1372" s="112" t="s">
        <v>1879</v>
      </c>
      <c r="O1372" s="112" t="s">
        <v>1879</v>
      </c>
      <c r="P1372" s="353" t="s">
        <v>143</v>
      </c>
      <c r="Q1372" s="112"/>
      <c r="R1372" s="170">
        <v>0</v>
      </c>
      <c r="S1372" s="204">
        <f t="shared" si="204"/>
        <v>45961</v>
      </c>
      <c r="T1372" s="168">
        <v>45933</v>
      </c>
      <c r="U1372" s="112"/>
      <c r="V1372" s="112"/>
      <c r="W1372" s="112"/>
      <c r="X1372" s="112"/>
      <c r="Y1372" s="112"/>
      <c r="Z1372" s="112"/>
      <c r="AA1372" s="104">
        <f t="shared" ca="1" si="206"/>
        <v>1</v>
      </c>
      <c r="AB1372" s="202"/>
      <c r="AC1372" s="459" t="str">
        <f t="shared" si="207"/>
        <v>1</v>
      </c>
    </row>
    <row r="1373" spans="1:29" s="203" customFormat="1" ht="58.5" thickBot="1" x14ac:dyDescent="0.4">
      <c r="A1373" s="169" t="str">
        <f t="shared" si="202"/>
        <v>Closed</v>
      </c>
      <c r="B1373" s="226">
        <v>45933</v>
      </c>
      <c r="C1373" s="112">
        <v>2507</v>
      </c>
      <c r="D1373" s="112" t="s">
        <v>5711</v>
      </c>
      <c r="E1373" s="112" t="s">
        <v>8</v>
      </c>
      <c r="F1373" s="112" t="s">
        <v>5712</v>
      </c>
      <c r="G1373" s="112" t="s">
        <v>1900</v>
      </c>
      <c r="H1373" s="112">
        <v>110</v>
      </c>
      <c r="I1373" s="350" t="s">
        <v>140</v>
      </c>
      <c r="J1373" s="112"/>
      <c r="K1373" s="351"/>
      <c r="L1373" s="112" t="s">
        <v>5713</v>
      </c>
      <c r="M1373" s="352">
        <f t="shared" si="205"/>
        <v>0</v>
      </c>
      <c r="N1373" s="112" t="s">
        <v>1879</v>
      </c>
      <c r="O1373" s="112" t="s">
        <v>1879</v>
      </c>
      <c r="P1373" s="353" t="s">
        <v>143</v>
      </c>
      <c r="Q1373" s="112"/>
      <c r="R1373" s="170">
        <v>0</v>
      </c>
      <c r="S1373" s="204">
        <f t="shared" si="204"/>
        <v>45961</v>
      </c>
      <c r="T1373" s="168">
        <v>45933</v>
      </c>
      <c r="U1373" s="112"/>
      <c r="V1373" s="112"/>
      <c r="W1373" s="112"/>
      <c r="X1373" s="112"/>
      <c r="Y1373" s="112"/>
      <c r="Z1373" s="112"/>
      <c r="AA1373" s="104">
        <f t="shared" ca="1" si="206"/>
        <v>1</v>
      </c>
      <c r="AB1373" s="202"/>
      <c r="AC1373" s="459" t="str">
        <f t="shared" si="207"/>
        <v>1</v>
      </c>
    </row>
    <row r="1374" spans="1:29" s="203" customFormat="1" ht="73" thickBot="1" x14ac:dyDescent="0.4">
      <c r="A1374" s="169" t="str">
        <f t="shared" ca="1" si="202"/>
        <v>Overdue</v>
      </c>
      <c r="B1374" s="226">
        <v>45933</v>
      </c>
      <c r="C1374" s="112">
        <v>2507</v>
      </c>
      <c r="D1374" s="112" t="s">
        <v>5714</v>
      </c>
      <c r="E1374" s="112" t="s">
        <v>42</v>
      </c>
      <c r="F1374" s="112" t="s">
        <v>2162</v>
      </c>
      <c r="G1374" s="112" t="s">
        <v>1911</v>
      </c>
      <c r="H1374" s="112">
        <v>105</v>
      </c>
      <c r="I1374" s="350" t="s">
        <v>4</v>
      </c>
      <c r="J1374" s="112">
        <v>1367</v>
      </c>
      <c r="K1374" s="351" t="s">
        <v>137</v>
      </c>
      <c r="L1374" s="112" t="s">
        <v>5715</v>
      </c>
      <c r="M1374" s="352">
        <v>0</v>
      </c>
      <c r="N1374" s="112" t="s">
        <v>1879</v>
      </c>
      <c r="O1374" s="112" t="s">
        <v>1879</v>
      </c>
      <c r="P1374" s="353" t="s">
        <v>139</v>
      </c>
      <c r="Q1374" s="112" t="s">
        <v>138</v>
      </c>
      <c r="R1374" s="312" t="s">
        <v>234</v>
      </c>
      <c r="S1374" s="204">
        <f t="shared" si="204"/>
        <v>45961</v>
      </c>
      <c r="T1374" s="112"/>
      <c r="U1374" s="112"/>
      <c r="V1374" s="112"/>
      <c r="W1374" s="112"/>
      <c r="X1374" s="112"/>
      <c r="Y1374" s="464" t="s">
        <v>2164</v>
      </c>
      <c r="Z1374" s="112" t="s">
        <v>5315</v>
      </c>
      <c r="AA1374" s="104">
        <f t="shared" ca="1" si="206"/>
        <v>1</v>
      </c>
      <c r="AB1374" s="202"/>
      <c r="AC1374" s="459" t="str">
        <f t="shared" si="207"/>
        <v>1</v>
      </c>
    </row>
    <row r="1375" spans="1:29" ht="73" thickBot="1" x14ac:dyDescent="0.4">
      <c r="A1375" s="89" t="str">
        <f t="shared" ref="A1375:A1438" ca="1" si="208">IF(T1375&gt;1,"Closed",IF(AA1375=1,"Overdue",IF(AA1375=3,"","Open")))</f>
        <v>Overdue</v>
      </c>
      <c r="B1375" s="222">
        <v>45934</v>
      </c>
      <c r="C1375" s="14">
        <v>2507</v>
      </c>
      <c r="D1375" s="14" t="s">
        <v>5716</v>
      </c>
      <c r="E1375" s="14" t="s">
        <v>72</v>
      </c>
      <c r="F1375" s="14" t="s">
        <v>5717</v>
      </c>
      <c r="G1375" s="14"/>
      <c r="H1375" s="14">
        <v>113</v>
      </c>
      <c r="I1375" s="176" t="s">
        <v>155</v>
      </c>
      <c r="J1375" s="14">
        <v>1304</v>
      </c>
      <c r="K1375" s="87"/>
      <c r="L1375" s="14" t="s">
        <v>5718</v>
      </c>
      <c r="M1375" s="324">
        <f t="shared" si="205"/>
        <v>0</v>
      </c>
      <c r="N1375" s="14" t="s">
        <v>1879</v>
      </c>
      <c r="O1375" s="14"/>
      <c r="P1375" s="167" t="s">
        <v>147</v>
      </c>
      <c r="Q1375" s="14" t="s">
        <v>188</v>
      </c>
      <c r="R1375" s="223" t="s">
        <v>234</v>
      </c>
      <c r="S1375" s="224">
        <f t="shared" si="204"/>
        <v>45962</v>
      </c>
      <c r="T1375" s="14"/>
      <c r="U1375" s="14"/>
      <c r="V1375" s="14"/>
      <c r="W1375" s="14"/>
      <c r="X1375" s="14"/>
      <c r="Z1375" s="464" t="s">
        <v>5454</v>
      </c>
      <c r="AA1375" s="2">
        <f t="shared" ca="1" si="206"/>
        <v>1</v>
      </c>
      <c r="AB1375" s="153"/>
      <c r="AC1375" s="454" t="str">
        <f t="shared" si="207"/>
        <v>1</v>
      </c>
    </row>
    <row r="1376" spans="1:29" s="380" customFormat="1" ht="58.5" thickBot="1" x14ac:dyDescent="0.4">
      <c r="A1376" s="369" t="str">
        <f t="shared" si="208"/>
        <v>Closed</v>
      </c>
      <c r="B1376" s="370">
        <v>45934</v>
      </c>
      <c r="C1376" s="371">
        <v>2507</v>
      </c>
      <c r="D1376" s="371" t="s">
        <v>5719</v>
      </c>
      <c r="E1376" s="371" t="s">
        <v>219</v>
      </c>
      <c r="F1376" s="371" t="s">
        <v>2245</v>
      </c>
      <c r="G1376" s="112"/>
      <c r="H1376" s="112">
        <v>123</v>
      </c>
      <c r="I1376" s="350" t="s">
        <v>140</v>
      </c>
      <c r="J1376" s="112"/>
      <c r="K1376" s="351"/>
      <c r="L1376" s="371" t="s">
        <v>5720</v>
      </c>
      <c r="M1376" s="374">
        <f t="shared" si="205"/>
        <v>0</v>
      </c>
      <c r="N1376" s="371" t="s">
        <v>1879</v>
      </c>
      <c r="O1376" s="371" t="s">
        <v>1879</v>
      </c>
      <c r="P1376" s="375" t="s">
        <v>143</v>
      </c>
      <c r="Q1376" s="371"/>
      <c r="R1376" s="376">
        <v>0</v>
      </c>
      <c r="S1376" s="377">
        <f t="shared" si="204"/>
        <v>45962</v>
      </c>
      <c r="T1376" s="382">
        <v>45934</v>
      </c>
      <c r="U1376" s="371"/>
      <c r="V1376" s="371"/>
      <c r="W1376" s="371"/>
      <c r="X1376" s="371"/>
      <c r="Y1376" s="371"/>
      <c r="Z1376" s="371"/>
      <c r="AA1376" s="378">
        <f t="shared" ca="1" si="206"/>
        <v>1</v>
      </c>
      <c r="AB1376" s="379"/>
      <c r="AC1376" s="458" t="str">
        <f t="shared" si="207"/>
        <v>1</v>
      </c>
    </row>
    <row r="1377" spans="1:29" s="380" customFormat="1" ht="44" thickBot="1" x14ac:dyDescent="0.4">
      <c r="A1377" s="369" t="str">
        <f t="shared" si="208"/>
        <v>Closed</v>
      </c>
      <c r="B1377" s="370">
        <v>45935</v>
      </c>
      <c r="C1377" s="371">
        <v>2507</v>
      </c>
      <c r="D1377" s="371" t="s">
        <v>5721</v>
      </c>
      <c r="E1377" s="371" t="s">
        <v>8</v>
      </c>
      <c r="F1377" s="371" t="s">
        <v>2196</v>
      </c>
      <c r="G1377" s="112" t="s">
        <v>1911</v>
      </c>
      <c r="H1377" s="112">
        <v>102</v>
      </c>
      <c r="I1377" s="350" t="s">
        <v>140</v>
      </c>
      <c r="J1377" s="112">
        <v>1007</v>
      </c>
      <c r="K1377" s="351"/>
      <c r="L1377" s="371" t="s">
        <v>5722</v>
      </c>
      <c r="M1377" s="374">
        <f t="shared" si="205"/>
        <v>0</v>
      </c>
      <c r="N1377" s="371" t="s">
        <v>1879</v>
      </c>
      <c r="O1377" s="371" t="s">
        <v>1879</v>
      </c>
      <c r="P1377" s="375" t="s">
        <v>143</v>
      </c>
      <c r="Q1377" s="371"/>
      <c r="R1377" s="376">
        <v>0</v>
      </c>
      <c r="S1377" s="377">
        <f t="shared" si="204"/>
        <v>45963</v>
      </c>
      <c r="T1377" s="382">
        <v>45935</v>
      </c>
      <c r="U1377" s="371"/>
      <c r="V1377" s="371"/>
      <c r="W1377" s="371"/>
      <c r="X1377" s="371"/>
      <c r="Y1377" s="464" t="s">
        <v>2164</v>
      </c>
      <c r="Z1377" s="371"/>
      <c r="AA1377" s="378">
        <f t="shared" ca="1" si="206"/>
        <v>1</v>
      </c>
      <c r="AB1377" s="379"/>
      <c r="AC1377" s="458" t="str">
        <f t="shared" si="207"/>
        <v>1</v>
      </c>
    </row>
    <row r="1378" spans="1:29" s="380" customFormat="1" ht="44" thickBot="1" x14ac:dyDescent="0.4">
      <c r="A1378" s="369" t="str">
        <f t="shared" si="208"/>
        <v>Closed</v>
      </c>
      <c r="B1378" s="370">
        <v>45935</v>
      </c>
      <c r="C1378" s="371">
        <v>2507</v>
      </c>
      <c r="D1378" s="371" t="s">
        <v>5723</v>
      </c>
      <c r="E1378" s="371" t="s">
        <v>8</v>
      </c>
      <c r="F1378" s="371" t="s">
        <v>2162</v>
      </c>
      <c r="G1378" s="112" t="s">
        <v>1911</v>
      </c>
      <c r="H1378" s="112">
        <v>106</v>
      </c>
      <c r="I1378" s="350" t="s">
        <v>140</v>
      </c>
      <c r="J1378" s="112">
        <v>1316</v>
      </c>
      <c r="K1378" s="351"/>
      <c r="L1378" s="371" t="s">
        <v>5724</v>
      </c>
      <c r="M1378" s="374">
        <f t="shared" si="205"/>
        <v>0</v>
      </c>
      <c r="N1378" s="371" t="s">
        <v>1879</v>
      </c>
      <c r="O1378" s="371" t="s">
        <v>1879</v>
      </c>
      <c r="P1378" s="375" t="s">
        <v>143</v>
      </c>
      <c r="Q1378" s="371"/>
      <c r="R1378" s="376">
        <v>0</v>
      </c>
      <c r="S1378" s="377">
        <f t="shared" si="204"/>
        <v>45963</v>
      </c>
      <c r="T1378" s="382">
        <v>45935</v>
      </c>
      <c r="U1378" s="371"/>
      <c r="V1378" s="371"/>
      <c r="W1378" s="371"/>
      <c r="X1378" s="371"/>
      <c r="Y1378" s="464" t="s">
        <v>2164</v>
      </c>
      <c r="Z1378" s="371"/>
      <c r="AA1378" s="378">
        <f t="shared" ca="1" si="206"/>
        <v>1</v>
      </c>
      <c r="AB1378" s="379"/>
      <c r="AC1378" s="458" t="str">
        <f t="shared" si="207"/>
        <v>1</v>
      </c>
    </row>
    <row r="1379" spans="1:29" s="203" customFormat="1" ht="43.5" x14ac:dyDescent="0.35">
      <c r="A1379" s="169" t="str">
        <f t="shared" ca="1" si="208"/>
        <v>Overdue</v>
      </c>
      <c r="B1379" s="226">
        <v>45935</v>
      </c>
      <c r="C1379" s="112">
        <v>2507</v>
      </c>
      <c r="D1379" s="112" t="s">
        <v>5725</v>
      </c>
      <c r="E1379" s="112" t="s">
        <v>31</v>
      </c>
      <c r="F1379" s="112" t="s">
        <v>2962</v>
      </c>
      <c r="G1379" s="112"/>
      <c r="H1379" s="112">
        <v>103</v>
      </c>
      <c r="I1379" s="350" t="s">
        <v>155</v>
      </c>
      <c r="J1379" s="112">
        <v>1098</v>
      </c>
      <c r="K1379" s="351"/>
      <c r="L1379" s="112" t="s">
        <v>5726</v>
      </c>
      <c r="M1379" s="352">
        <f t="shared" si="205"/>
        <v>0</v>
      </c>
      <c r="N1379" s="112" t="s">
        <v>1879</v>
      </c>
      <c r="O1379" s="112" t="s">
        <v>1880</v>
      </c>
      <c r="P1379" s="353" t="s">
        <v>147</v>
      </c>
      <c r="Q1379" s="112" t="s">
        <v>135</v>
      </c>
      <c r="R1379" s="312" t="s">
        <v>234</v>
      </c>
      <c r="S1379" s="204">
        <f t="shared" si="204"/>
        <v>45963</v>
      </c>
      <c r="T1379" s="112"/>
      <c r="U1379" s="112"/>
      <c r="V1379" s="112"/>
      <c r="W1379" s="112"/>
      <c r="X1379" s="112"/>
      <c r="Y1379" s="112"/>
      <c r="Z1379" s="112" t="s">
        <v>5315</v>
      </c>
      <c r="AA1379" s="104">
        <f t="shared" ca="1" si="206"/>
        <v>1</v>
      </c>
      <c r="AB1379" s="202"/>
      <c r="AC1379" s="459" t="str">
        <f t="shared" si="207"/>
        <v>1</v>
      </c>
    </row>
    <row r="1380" spans="1:29" s="380" customFormat="1" ht="72.5" x14ac:dyDescent="0.35">
      <c r="A1380" s="369" t="str">
        <f t="shared" si="208"/>
        <v>Closed</v>
      </c>
      <c r="B1380" s="370">
        <v>45935</v>
      </c>
      <c r="C1380" s="371">
        <v>2507</v>
      </c>
      <c r="D1380" s="371" t="s">
        <v>5727</v>
      </c>
      <c r="E1380" s="371" t="s">
        <v>8</v>
      </c>
      <c r="F1380" s="371" t="s">
        <v>3040</v>
      </c>
      <c r="G1380" s="112" t="s">
        <v>1911</v>
      </c>
      <c r="H1380" s="112"/>
      <c r="I1380" s="350" t="s">
        <v>140</v>
      </c>
      <c r="J1380" s="112"/>
      <c r="K1380" s="351"/>
      <c r="L1380" s="371" t="s">
        <v>5728</v>
      </c>
      <c r="M1380" s="374">
        <f t="shared" si="205"/>
        <v>0</v>
      </c>
      <c r="N1380" s="371" t="s">
        <v>1879</v>
      </c>
      <c r="O1380" s="371" t="s">
        <v>1879</v>
      </c>
      <c r="P1380" s="375" t="s">
        <v>143</v>
      </c>
      <c r="Q1380" s="371"/>
      <c r="R1380" s="376">
        <v>0</v>
      </c>
      <c r="S1380" s="377">
        <f t="shared" si="204"/>
        <v>45963</v>
      </c>
      <c r="T1380" s="382">
        <v>45935</v>
      </c>
      <c r="U1380" s="371"/>
      <c r="V1380" s="371"/>
      <c r="W1380" s="371"/>
      <c r="X1380" s="371"/>
      <c r="Y1380" s="371"/>
      <c r="Z1380" s="371"/>
      <c r="AA1380" s="378">
        <f t="shared" ca="1" si="206"/>
        <v>1</v>
      </c>
      <c r="AB1380" s="379"/>
      <c r="AC1380" s="458" t="str">
        <f t="shared" si="207"/>
        <v/>
      </c>
    </row>
    <row r="1381" spans="1:29" s="380" customFormat="1" ht="58" x14ac:dyDescent="0.35">
      <c r="A1381" s="369" t="str">
        <f t="shared" si="208"/>
        <v>Closed</v>
      </c>
      <c r="B1381" s="370">
        <v>45935</v>
      </c>
      <c r="C1381" s="371">
        <v>2507</v>
      </c>
      <c r="D1381" s="371" t="s">
        <v>5729</v>
      </c>
      <c r="E1381" s="371" t="s">
        <v>8</v>
      </c>
      <c r="F1381" s="371" t="s">
        <v>2091</v>
      </c>
      <c r="G1381" s="112" t="s">
        <v>1911</v>
      </c>
      <c r="H1381" s="112">
        <v>109</v>
      </c>
      <c r="I1381" s="350" t="s">
        <v>140</v>
      </c>
      <c r="J1381" s="112"/>
      <c r="K1381" s="351"/>
      <c r="L1381" s="371" t="s">
        <v>5730</v>
      </c>
      <c r="M1381" s="374">
        <f t="shared" si="205"/>
        <v>0</v>
      </c>
      <c r="N1381" s="371" t="s">
        <v>1879</v>
      </c>
      <c r="O1381" s="371" t="s">
        <v>1879</v>
      </c>
      <c r="P1381" s="375" t="s">
        <v>143</v>
      </c>
      <c r="Q1381" s="371"/>
      <c r="R1381" s="376">
        <v>0</v>
      </c>
      <c r="S1381" s="377">
        <f t="shared" si="204"/>
        <v>45963</v>
      </c>
      <c r="T1381" s="382">
        <v>45935</v>
      </c>
      <c r="U1381" s="371"/>
      <c r="V1381" s="371"/>
      <c r="W1381" s="371"/>
      <c r="X1381" s="371"/>
      <c r="Y1381" s="14" t="s">
        <v>2093</v>
      </c>
      <c r="Z1381" s="371"/>
      <c r="AA1381" s="378">
        <f t="shared" ca="1" si="206"/>
        <v>1</v>
      </c>
      <c r="AB1381" s="379"/>
      <c r="AC1381" s="458" t="str">
        <f t="shared" si="207"/>
        <v>1</v>
      </c>
    </row>
    <row r="1382" spans="1:29" s="380" customFormat="1" ht="58" x14ac:dyDescent="0.35">
      <c r="A1382" s="369" t="str">
        <f t="shared" si="208"/>
        <v>Closed</v>
      </c>
      <c r="B1382" s="370">
        <v>45935</v>
      </c>
      <c r="C1382" s="371">
        <v>2507</v>
      </c>
      <c r="D1382" s="371" t="s">
        <v>5731</v>
      </c>
      <c r="E1382" s="371" t="s">
        <v>8</v>
      </c>
      <c r="F1382" s="371" t="s">
        <v>2136</v>
      </c>
      <c r="G1382" s="112" t="s">
        <v>1900</v>
      </c>
      <c r="H1382" s="112">
        <v>109</v>
      </c>
      <c r="I1382" s="350" t="s">
        <v>140</v>
      </c>
      <c r="J1382" s="112"/>
      <c r="K1382" s="351"/>
      <c r="L1382" s="371" t="s">
        <v>5732</v>
      </c>
      <c r="M1382" s="374">
        <f t="shared" si="205"/>
        <v>0</v>
      </c>
      <c r="N1382" s="371" t="s">
        <v>1879</v>
      </c>
      <c r="O1382" s="371" t="s">
        <v>1879</v>
      </c>
      <c r="P1382" s="375" t="s">
        <v>143</v>
      </c>
      <c r="Q1382" s="371"/>
      <c r="R1382" s="376">
        <v>0</v>
      </c>
      <c r="S1382" s="377">
        <f t="shared" si="204"/>
        <v>45963</v>
      </c>
      <c r="T1382" s="382">
        <v>45935</v>
      </c>
      <c r="U1382" s="371"/>
      <c r="V1382" s="371"/>
      <c r="W1382" s="371"/>
      <c r="X1382" s="371"/>
      <c r="Y1382" s="371"/>
      <c r="Z1382" s="371"/>
      <c r="AA1382" s="378">
        <f t="shared" ca="1" si="206"/>
        <v>1</v>
      </c>
      <c r="AB1382" s="379"/>
      <c r="AC1382" s="458" t="str">
        <f t="shared" si="207"/>
        <v>1</v>
      </c>
    </row>
    <row r="1383" spans="1:29" ht="116" x14ac:dyDescent="0.35">
      <c r="A1383" s="89" t="str">
        <f t="shared" ca="1" si="208"/>
        <v>Overdue</v>
      </c>
      <c r="B1383" s="222">
        <v>45936</v>
      </c>
      <c r="C1383" s="14">
        <v>2507</v>
      </c>
      <c r="D1383" s="14" t="s">
        <v>5733</v>
      </c>
      <c r="E1383" s="14" t="s">
        <v>31</v>
      </c>
      <c r="F1383" s="14" t="s">
        <v>2349</v>
      </c>
      <c r="G1383" s="14" t="s">
        <v>1911</v>
      </c>
      <c r="H1383" s="14">
        <v>104</v>
      </c>
      <c r="I1383" s="176" t="s">
        <v>155</v>
      </c>
      <c r="J1383" s="14">
        <v>1304</v>
      </c>
      <c r="K1383" s="87"/>
      <c r="L1383" s="14" t="s">
        <v>5734</v>
      </c>
      <c r="M1383" s="324">
        <f t="shared" si="205"/>
        <v>0</v>
      </c>
      <c r="N1383" s="14" t="s">
        <v>1879</v>
      </c>
      <c r="O1383" s="14" t="s">
        <v>1880</v>
      </c>
      <c r="P1383" s="167" t="s">
        <v>147</v>
      </c>
      <c r="Q1383" s="14" t="s">
        <v>188</v>
      </c>
      <c r="R1383" s="223" t="s">
        <v>234</v>
      </c>
      <c r="S1383" s="224">
        <f t="shared" si="204"/>
        <v>45964</v>
      </c>
      <c r="T1383" s="14"/>
      <c r="U1383" s="14"/>
      <c r="V1383" s="14"/>
      <c r="W1383" s="14"/>
      <c r="X1383" s="14"/>
      <c r="Y1383" s="14" t="s">
        <v>2351</v>
      </c>
      <c r="Z1383" s="112" t="s">
        <v>5315</v>
      </c>
      <c r="AA1383" s="2">
        <f t="shared" ca="1" si="206"/>
        <v>1</v>
      </c>
      <c r="AB1383" s="153"/>
      <c r="AC1383" s="454" t="str">
        <f t="shared" si="207"/>
        <v>1</v>
      </c>
    </row>
    <row r="1384" spans="1:29" ht="72.5" x14ac:dyDescent="0.35">
      <c r="A1384" s="89" t="str">
        <f t="shared" ca="1" si="208"/>
        <v>Overdue</v>
      </c>
      <c r="B1384" s="222">
        <v>45937</v>
      </c>
      <c r="C1384" s="14">
        <v>2507</v>
      </c>
      <c r="D1384" s="14" t="s">
        <v>5735</v>
      </c>
      <c r="E1384" s="14" t="s">
        <v>27</v>
      </c>
      <c r="F1384" s="14" t="s">
        <v>5616</v>
      </c>
      <c r="G1384" s="14"/>
      <c r="H1384" s="14">
        <v>105</v>
      </c>
      <c r="I1384" s="176"/>
      <c r="J1384" s="14">
        <v>1278</v>
      </c>
      <c r="K1384" s="87"/>
      <c r="L1384" s="14" t="s">
        <v>5736</v>
      </c>
      <c r="M1384" s="324">
        <f t="shared" si="205"/>
        <v>0</v>
      </c>
      <c r="N1384" s="14" t="s">
        <v>1879</v>
      </c>
      <c r="O1384" s="14" t="s">
        <v>1879</v>
      </c>
      <c r="P1384" s="167" t="s">
        <v>147</v>
      </c>
      <c r="Q1384" s="14" t="s">
        <v>174</v>
      </c>
      <c r="R1384" s="223" t="s">
        <v>234</v>
      </c>
      <c r="S1384" s="224">
        <f t="shared" si="204"/>
        <v>45965</v>
      </c>
      <c r="T1384" s="14"/>
      <c r="U1384" s="14"/>
      <c r="V1384" s="14"/>
      <c r="W1384" s="14"/>
      <c r="X1384" s="14"/>
      <c r="Z1384" s="14" t="s">
        <v>5622</v>
      </c>
      <c r="AA1384" s="2">
        <f t="shared" ca="1" si="206"/>
        <v>1</v>
      </c>
      <c r="AB1384" s="153"/>
      <c r="AC1384" s="454" t="str">
        <f t="shared" si="207"/>
        <v>1</v>
      </c>
    </row>
    <row r="1385" spans="1:29" s="380" customFormat="1" ht="43.5" x14ac:dyDescent="0.35">
      <c r="A1385" s="369" t="str">
        <f t="shared" si="208"/>
        <v>Closed</v>
      </c>
      <c r="B1385" s="370">
        <v>45937</v>
      </c>
      <c r="C1385" s="371">
        <v>2507</v>
      </c>
      <c r="D1385" s="371" t="s">
        <v>5737</v>
      </c>
      <c r="E1385" s="371" t="s">
        <v>192</v>
      </c>
      <c r="F1385" s="371" t="s">
        <v>2019</v>
      </c>
      <c r="G1385" s="112" t="s">
        <v>1900</v>
      </c>
      <c r="H1385" s="112"/>
      <c r="I1385" s="350" t="s">
        <v>140</v>
      </c>
      <c r="J1385" s="112"/>
      <c r="K1385" s="351"/>
      <c r="L1385" s="371" t="s">
        <v>5738</v>
      </c>
      <c r="M1385" s="374">
        <f t="shared" si="205"/>
        <v>0</v>
      </c>
      <c r="N1385" s="371" t="s">
        <v>1879</v>
      </c>
      <c r="O1385" s="371" t="s">
        <v>1879</v>
      </c>
      <c r="P1385" s="375" t="s">
        <v>143</v>
      </c>
      <c r="Q1385" s="371"/>
      <c r="R1385" s="376">
        <v>0</v>
      </c>
      <c r="S1385" s="377">
        <f t="shared" si="204"/>
        <v>45965</v>
      </c>
      <c r="T1385" s="382">
        <v>45937</v>
      </c>
      <c r="U1385" s="371"/>
      <c r="V1385" s="371"/>
      <c r="W1385" s="371"/>
      <c r="X1385" s="371"/>
      <c r="Y1385" s="371"/>
      <c r="Z1385" s="371"/>
      <c r="AA1385" s="378">
        <f t="shared" ca="1" si="206"/>
        <v>1</v>
      </c>
      <c r="AB1385" s="379"/>
      <c r="AC1385" s="458" t="str">
        <f t="shared" si="207"/>
        <v/>
      </c>
    </row>
    <row r="1386" spans="1:29" s="380" customFormat="1" ht="58" x14ac:dyDescent="0.35">
      <c r="A1386" s="369" t="str">
        <f t="shared" si="208"/>
        <v>Closed</v>
      </c>
      <c r="B1386" s="370">
        <v>45937</v>
      </c>
      <c r="C1386" s="371">
        <v>2507</v>
      </c>
      <c r="D1386" s="371" t="s">
        <v>5739</v>
      </c>
      <c r="E1386" s="371" t="s">
        <v>8</v>
      </c>
      <c r="F1386" s="371" t="s">
        <v>5650</v>
      </c>
      <c r="G1386" s="112" t="s">
        <v>1900</v>
      </c>
      <c r="H1386" s="112">
        <v>105</v>
      </c>
      <c r="I1386" s="350" t="s">
        <v>140</v>
      </c>
      <c r="J1386" s="112"/>
      <c r="K1386" s="351"/>
      <c r="L1386" s="371" t="s">
        <v>5740</v>
      </c>
      <c r="M1386" s="374">
        <f t="shared" si="205"/>
        <v>0</v>
      </c>
      <c r="N1386" s="371" t="s">
        <v>1879</v>
      </c>
      <c r="O1386" s="371" t="s">
        <v>1879</v>
      </c>
      <c r="P1386" s="375" t="s">
        <v>143</v>
      </c>
      <c r="Q1386" s="371"/>
      <c r="R1386" s="376">
        <v>0</v>
      </c>
      <c r="S1386" s="377">
        <f t="shared" si="204"/>
        <v>45965</v>
      </c>
      <c r="T1386" s="382">
        <v>45937</v>
      </c>
      <c r="U1386" s="371"/>
      <c r="V1386" s="371"/>
      <c r="W1386" s="371"/>
      <c r="X1386" s="371"/>
      <c r="Y1386" s="371"/>
      <c r="Z1386" s="371"/>
      <c r="AA1386" s="378">
        <f t="shared" ca="1" si="206"/>
        <v>1</v>
      </c>
      <c r="AB1386" s="379"/>
      <c r="AC1386" s="458" t="str">
        <f t="shared" si="207"/>
        <v>1</v>
      </c>
    </row>
    <row r="1387" spans="1:29" s="380" customFormat="1" ht="44" thickBot="1" x14ac:dyDescent="0.4">
      <c r="A1387" s="369" t="str">
        <f t="shared" si="208"/>
        <v>Closed</v>
      </c>
      <c r="B1387" s="370">
        <v>45938</v>
      </c>
      <c r="C1387" s="371">
        <v>2507</v>
      </c>
      <c r="D1387" s="371" t="s">
        <v>5741</v>
      </c>
      <c r="E1387" s="371" t="s">
        <v>219</v>
      </c>
      <c r="F1387" s="371" t="s">
        <v>2119</v>
      </c>
      <c r="G1387" s="112" t="s">
        <v>1911</v>
      </c>
      <c r="H1387" s="112">
        <v>123</v>
      </c>
      <c r="I1387" s="350" t="s">
        <v>140</v>
      </c>
      <c r="J1387" s="112">
        <v>1272</v>
      </c>
      <c r="K1387" s="351"/>
      <c r="L1387" s="371" t="s">
        <v>5742</v>
      </c>
      <c r="M1387" s="374">
        <f t="shared" si="205"/>
        <v>0</v>
      </c>
      <c r="N1387" s="371" t="s">
        <v>1879</v>
      </c>
      <c r="O1387" s="371" t="s">
        <v>1879</v>
      </c>
      <c r="P1387" s="375" t="s">
        <v>143</v>
      </c>
      <c r="Q1387" s="371"/>
      <c r="R1387" s="376">
        <v>0</v>
      </c>
      <c r="S1387" s="377">
        <f t="shared" si="204"/>
        <v>45966</v>
      </c>
      <c r="T1387" s="370">
        <v>45938</v>
      </c>
      <c r="U1387" s="371"/>
      <c r="V1387" s="371"/>
      <c r="W1387" s="371"/>
      <c r="X1387" s="371"/>
      <c r="Y1387" s="14" t="s">
        <v>2093</v>
      </c>
      <c r="Z1387" s="371"/>
      <c r="AA1387" s="378">
        <f t="shared" ca="1" si="206"/>
        <v>1</v>
      </c>
      <c r="AB1387" s="379"/>
      <c r="AC1387" s="458" t="str">
        <f t="shared" si="207"/>
        <v>1</v>
      </c>
    </row>
    <row r="1388" spans="1:29" s="203" customFormat="1" ht="44" thickBot="1" x14ac:dyDescent="0.4">
      <c r="A1388" s="169" t="str">
        <f t="shared" si="208"/>
        <v>Closed</v>
      </c>
      <c r="B1388" s="226">
        <v>45938</v>
      </c>
      <c r="C1388" s="112">
        <v>2507</v>
      </c>
      <c r="D1388" s="112" t="s">
        <v>5743</v>
      </c>
      <c r="E1388" s="112" t="s">
        <v>41</v>
      </c>
      <c r="F1388" s="112" t="s">
        <v>2162</v>
      </c>
      <c r="G1388" s="112" t="s">
        <v>1900</v>
      </c>
      <c r="H1388" s="112">
        <v>105</v>
      </c>
      <c r="I1388" s="350" t="s">
        <v>140</v>
      </c>
      <c r="J1388" s="112">
        <v>1130</v>
      </c>
      <c r="K1388" s="351"/>
      <c r="L1388" s="112" t="s">
        <v>5744</v>
      </c>
      <c r="M1388" s="352">
        <f t="shared" si="205"/>
        <v>0</v>
      </c>
      <c r="N1388" s="112" t="s">
        <v>1879</v>
      </c>
      <c r="O1388" s="112" t="s">
        <v>1879</v>
      </c>
      <c r="P1388" s="353" t="s">
        <v>143</v>
      </c>
      <c r="Q1388" s="112"/>
      <c r="R1388" s="170">
        <v>0</v>
      </c>
      <c r="S1388" s="204">
        <f t="shared" si="204"/>
        <v>45966</v>
      </c>
      <c r="T1388" s="226">
        <v>45938</v>
      </c>
      <c r="U1388" s="112"/>
      <c r="V1388" s="112"/>
      <c r="W1388" s="112"/>
      <c r="X1388" s="112"/>
      <c r="Y1388" s="464" t="s">
        <v>2164</v>
      </c>
      <c r="Z1388" s="112"/>
      <c r="AA1388" s="104">
        <f t="shared" ca="1" si="206"/>
        <v>1</v>
      </c>
      <c r="AB1388" s="202"/>
      <c r="AC1388" s="459" t="str">
        <f t="shared" si="207"/>
        <v>1</v>
      </c>
    </row>
    <row r="1389" spans="1:29" s="203" customFormat="1" ht="44" thickBot="1" x14ac:dyDescent="0.4">
      <c r="A1389" s="169" t="str">
        <f t="shared" si="208"/>
        <v>Closed</v>
      </c>
      <c r="B1389" s="226">
        <v>45938</v>
      </c>
      <c r="C1389" s="112">
        <v>2507</v>
      </c>
      <c r="D1389" s="112" t="s">
        <v>5745</v>
      </c>
      <c r="E1389" s="112" t="s">
        <v>41</v>
      </c>
      <c r="F1389" s="112" t="s">
        <v>2162</v>
      </c>
      <c r="G1389" s="112" t="s">
        <v>1911</v>
      </c>
      <c r="H1389" s="112">
        <v>106</v>
      </c>
      <c r="I1389" s="350" t="s">
        <v>140</v>
      </c>
      <c r="J1389" s="112">
        <v>1278</v>
      </c>
      <c r="K1389" s="351"/>
      <c r="L1389" s="112" t="s">
        <v>5746</v>
      </c>
      <c r="M1389" s="352">
        <f t="shared" si="205"/>
        <v>0</v>
      </c>
      <c r="N1389" s="112" t="s">
        <v>1879</v>
      </c>
      <c r="O1389" s="112" t="s">
        <v>1880</v>
      </c>
      <c r="P1389" s="353" t="s">
        <v>139</v>
      </c>
      <c r="Q1389" s="112" t="s">
        <v>138</v>
      </c>
      <c r="R1389" s="312" t="s">
        <v>234</v>
      </c>
      <c r="S1389" s="204">
        <f t="shared" si="204"/>
        <v>45966</v>
      </c>
      <c r="T1389" s="226">
        <v>45938</v>
      </c>
      <c r="U1389" s="112"/>
      <c r="V1389" s="112"/>
      <c r="W1389" s="112"/>
      <c r="X1389" s="112"/>
      <c r="Y1389" s="464" t="s">
        <v>2164</v>
      </c>
      <c r="Z1389" s="112"/>
      <c r="AA1389" s="104">
        <f t="shared" ca="1" si="206"/>
        <v>1</v>
      </c>
      <c r="AB1389" s="202"/>
      <c r="AC1389" s="459" t="str">
        <f t="shared" si="207"/>
        <v>1</v>
      </c>
    </row>
    <row r="1390" spans="1:29" s="380" customFormat="1" ht="116" x14ac:dyDescent="0.35">
      <c r="A1390" s="369" t="str">
        <f t="shared" si="208"/>
        <v>Closed</v>
      </c>
      <c r="B1390" s="370">
        <v>45939</v>
      </c>
      <c r="C1390" s="371">
        <v>2507</v>
      </c>
      <c r="D1390" s="371" t="s">
        <v>1651</v>
      </c>
      <c r="E1390" s="371" t="s">
        <v>38</v>
      </c>
      <c r="F1390" s="371" t="s">
        <v>1972</v>
      </c>
      <c r="G1390" s="112"/>
      <c r="H1390" s="112"/>
      <c r="I1390" s="350" t="s">
        <v>2</v>
      </c>
      <c r="J1390" s="112"/>
      <c r="K1390" s="351" t="s">
        <v>137</v>
      </c>
      <c r="L1390" s="371" t="s">
        <v>5747</v>
      </c>
      <c r="M1390" s="374">
        <v>0</v>
      </c>
      <c r="N1390" s="371" t="s">
        <v>1879</v>
      </c>
      <c r="O1390" s="371" t="s">
        <v>1880</v>
      </c>
      <c r="P1390" s="375" t="s">
        <v>136</v>
      </c>
      <c r="Q1390" s="371" t="s">
        <v>160</v>
      </c>
      <c r="R1390" s="376" t="s">
        <v>236</v>
      </c>
      <c r="S1390" s="377">
        <f t="shared" si="204"/>
        <v>45967</v>
      </c>
      <c r="T1390" s="382">
        <v>45954</v>
      </c>
      <c r="U1390" s="371" t="s">
        <v>5748</v>
      </c>
      <c r="V1390" s="371" t="s">
        <v>5749</v>
      </c>
      <c r="W1390" s="371" t="s">
        <v>1879</v>
      </c>
      <c r="X1390" s="371" t="s">
        <v>1880</v>
      </c>
      <c r="Y1390" s="371"/>
      <c r="Z1390" s="371" t="s">
        <v>5750</v>
      </c>
      <c r="AA1390" s="378">
        <f t="shared" ca="1" si="206"/>
        <v>1</v>
      </c>
      <c r="AB1390" s="379"/>
      <c r="AC1390" s="458" t="str">
        <f t="shared" si="207"/>
        <v/>
      </c>
    </row>
    <row r="1391" spans="1:29" ht="29" x14ac:dyDescent="0.35">
      <c r="A1391" s="89" t="str">
        <f t="shared" ca="1" si="208"/>
        <v>Overdue</v>
      </c>
      <c r="B1391" s="222">
        <v>45940</v>
      </c>
      <c r="C1391" s="14">
        <v>2507</v>
      </c>
      <c r="D1391" s="14" t="s">
        <v>5751</v>
      </c>
      <c r="E1391" s="14" t="s">
        <v>42</v>
      </c>
      <c r="F1391" s="14"/>
      <c r="G1391" s="14"/>
      <c r="H1391" s="14">
        <v>114</v>
      </c>
      <c r="I1391" s="176" t="s">
        <v>4</v>
      </c>
      <c r="J1391" s="14">
        <v>1320</v>
      </c>
      <c r="K1391" s="87" t="s">
        <v>137</v>
      </c>
      <c r="L1391" s="14" t="s">
        <v>5752</v>
      </c>
      <c r="M1391" s="324">
        <v>0</v>
      </c>
      <c r="N1391" s="14" t="s">
        <v>1879</v>
      </c>
      <c r="O1391" s="14" t="s">
        <v>1879</v>
      </c>
      <c r="P1391" s="167" t="s">
        <v>139</v>
      </c>
      <c r="Q1391" s="14" t="s">
        <v>138</v>
      </c>
      <c r="R1391" s="223" t="s">
        <v>234</v>
      </c>
      <c r="S1391" s="224">
        <f t="shared" si="204"/>
        <v>45968</v>
      </c>
      <c r="T1391" s="14"/>
      <c r="U1391" s="14"/>
      <c r="V1391" s="14"/>
      <c r="W1391" s="14"/>
      <c r="X1391" s="14"/>
      <c r="Z1391" s="112" t="s">
        <v>5315</v>
      </c>
      <c r="AA1391" s="2">
        <f t="shared" ca="1" si="206"/>
        <v>1</v>
      </c>
      <c r="AB1391" s="153"/>
      <c r="AC1391" s="454" t="str">
        <f t="shared" si="207"/>
        <v>1</v>
      </c>
    </row>
    <row r="1392" spans="1:29" s="380" customFormat="1" ht="43.5" x14ac:dyDescent="0.45">
      <c r="A1392" s="369" t="str">
        <f t="shared" si="208"/>
        <v>Closed</v>
      </c>
      <c r="B1392" s="370">
        <v>45941</v>
      </c>
      <c r="C1392" s="371">
        <v>2507</v>
      </c>
      <c r="D1392" s="371" t="s">
        <v>5753</v>
      </c>
      <c r="E1392" s="371" t="s">
        <v>219</v>
      </c>
      <c r="F1392" s="371" t="s">
        <v>5754</v>
      </c>
      <c r="G1392" s="112"/>
      <c r="H1392" s="112">
        <v>107</v>
      </c>
      <c r="I1392" s="350" t="s">
        <v>140</v>
      </c>
      <c r="J1392" s="112">
        <v>1169</v>
      </c>
      <c r="K1392" s="351"/>
      <c r="L1392" s="371" t="s">
        <v>5755</v>
      </c>
      <c r="M1392" s="374">
        <f t="shared" si="205"/>
        <v>0</v>
      </c>
      <c r="N1392" s="371" t="s">
        <v>1879</v>
      </c>
      <c r="O1392" s="371" t="s">
        <v>1879</v>
      </c>
      <c r="P1392" s="375" t="s">
        <v>143</v>
      </c>
      <c r="Q1392" s="371"/>
      <c r="R1392" s="376">
        <v>0</v>
      </c>
      <c r="S1392" s="377">
        <f t="shared" si="204"/>
        <v>45969</v>
      </c>
      <c r="T1392" s="382">
        <v>45941</v>
      </c>
      <c r="U1392" s="371"/>
      <c r="V1392" s="371"/>
      <c r="W1392" s="371"/>
      <c r="X1392" s="371"/>
      <c r="Y1392" s="463" t="s">
        <v>5756</v>
      </c>
      <c r="Z1392" s="371"/>
      <c r="AA1392" s="378">
        <f t="shared" ca="1" si="206"/>
        <v>1</v>
      </c>
      <c r="AB1392" s="379"/>
      <c r="AC1392" s="458" t="str">
        <f t="shared" si="207"/>
        <v>1</v>
      </c>
    </row>
    <row r="1393" spans="1:29" s="380" customFormat="1" ht="72.5" x14ac:dyDescent="0.35">
      <c r="A1393" s="369" t="str">
        <f t="shared" si="208"/>
        <v>Closed</v>
      </c>
      <c r="B1393" s="370">
        <v>45942</v>
      </c>
      <c r="C1393" s="371">
        <v>2508</v>
      </c>
      <c r="D1393" s="371" t="s">
        <v>5757</v>
      </c>
      <c r="E1393" s="371" t="s">
        <v>8</v>
      </c>
      <c r="F1393" s="371" t="s">
        <v>2136</v>
      </c>
      <c r="G1393" s="112" t="s">
        <v>1900</v>
      </c>
      <c r="H1393" s="112">
        <v>122</v>
      </c>
      <c r="I1393" s="350" t="s">
        <v>140</v>
      </c>
      <c r="J1393" s="112">
        <v>1197</v>
      </c>
      <c r="K1393" s="351"/>
      <c r="L1393" s="371" t="s">
        <v>5758</v>
      </c>
      <c r="M1393" s="374">
        <f t="shared" si="205"/>
        <v>0</v>
      </c>
      <c r="N1393" s="371" t="s">
        <v>1879</v>
      </c>
      <c r="O1393" s="371" t="s">
        <v>1879</v>
      </c>
      <c r="P1393" s="375" t="s">
        <v>143</v>
      </c>
      <c r="Q1393" s="371"/>
      <c r="R1393" s="376">
        <v>0</v>
      </c>
      <c r="S1393" s="377">
        <f t="shared" si="204"/>
        <v>45970</v>
      </c>
      <c r="T1393" s="382">
        <v>45942</v>
      </c>
      <c r="U1393" s="371"/>
      <c r="V1393" s="371"/>
      <c r="W1393" s="371"/>
      <c r="X1393" s="371"/>
      <c r="Y1393" s="371"/>
      <c r="Z1393" s="371"/>
      <c r="AA1393" s="378">
        <f t="shared" ca="1" si="206"/>
        <v>1</v>
      </c>
      <c r="AB1393" s="379"/>
      <c r="AC1393" s="458" t="str">
        <f t="shared" si="207"/>
        <v>1</v>
      </c>
    </row>
    <row r="1394" spans="1:29" ht="43.5" x14ac:dyDescent="0.35">
      <c r="A1394" s="89" t="str">
        <f t="shared" si="208"/>
        <v>Closed</v>
      </c>
      <c r="B1394" s="222">
        <v>45942</v>
      </c>
      <c r="C1394" s="14">
        <v>2508</v>
      </c>
      <c r="D1394" s="14" t="s">
        <v>5759</v>
      </c>
      <c r="E1394" s="14" t="s">
        <v>42</v>
      </c>
      <c r="F1394" s="14" t="s">
        <v>1980</v>
      </c>
      <c r="G1394" s="14" t="s">
        <v>1911</v>
      </c>
      <c r="H1394" s="14">
        <v>122</v>
      </c>
      <c r="I1394" s="176" t="s">
        <v>140</v>
      </c>
      <c r="J1394" s="14">
        <v>1389</v>
      </c>
      <c r="K1394" s="87" t="s">
        <v>137</v>
      </c>
      <c r="L1394" s="14" t="s">
        <v>5760</v>
      </c>
      <c r="M1394" s="324">
        <v>0</v>
      </c>
      <c r="N1394" s="14" t="s">
        <v>1879</v>
      </c>
      <c r="O1394" s="14" t="s">
        <v>1880</v>
      </c>
      <c r="P1394" s="167" t="s">
        <v>143</v>
      </c>
      <c r="Q1394" s="14"/>
      <c r="R1394" s="223" t="s">
        <v>234</v>
      </c>
      <c r="S1394" s="224">
        <f t="shared" si="204"/>
        <v>45970</v>
      </c>
      <c r="T1394" s="79">
        <v>46056</v>
      </c>
      <c r="U1394" s="14"/>
      <c r="V1394" s="14"/>
      <c r="W1394" s="14"/>
      <c r="X1394" s="14"/>
      <c r="Z1394" s="112" t="s">
        <v>5761</v>
      </c>
      <c r="AA1394" s="2">
        <f t="shared" ca="1" si="206"/>
        <v>1</v>
      </c>
      <c r="AB1394" s="153"/>
      <c r="AC1394" s="454" t="str">
        <f t="shared" si="207"/>
        <v>1</v>
      </c>
    </row>
    <row r="1395" spans="1:29" ht="43.5" x14ac:dyDescent="0.35">
      <c r="A1395" s="89" t="str">
        <f t="shared" ca="1" si="208"/>
        <v>Overdue</v>
      </c>
      <c r="B1395" s="222">
        <v>45942</v>
      </c>
      <c r="C1395" s="14">
        <v>2508</v>
      </c>
      <c r="D1395" s="14" t="s">
        <v>5762</v>
      </c>
      <c r="E1395" s="14" t="s">
        <v>204</v>
      </c>
      <c r="F1395" s="14" t="s">
        <v>5763</v>
      </c>
      <c r="G1395" s="14"/>
      <c r="H1395" s="14">
        <v>119</v>
      </c>
      <c r="I1395" s="176" t="s">
        <v>155</v>
      </c>
      <c r="J1395" s="14">
        <v>1130</v>
      </c>
      <c r="K1395" s="87"/>
      <c r="L1395" s="14" t="s">
        <v>5764</v>
      </c>
      <c r="M1395" s="324">
        <v>0</v>
      </c>
      <c r="N1395" s="14" t="s">
        <v>1879</v>
      </c>
      <c r="O1395" s="14" t="s">
        <v>1880</v>
      </c>
      <c r="P1395" s="167" t="s">
        <v>147</v>
      </c>
      <c r="Q1395" s="14" t="s">
        <v>174</v>
      </c>
      <c r="R1395" s="223" t="s">
        <v>234</v>
      </c>
      <c r="S1395" s="224">
        <f t="shared" si="204"/>
        <v>45970</v>
      </c>
      <c r="T1395" s="14"/>
      <c r="U1395" s="14"/>
      <c r="V1395" s="14"/>
      <c r="W1395" s="14"/>
      <c r="X1395" s="14"/>
      <c r="Z1395" s="14" t="s">
        <v>5622</v>
      </c>
      <c r="AA1395" s="2">
        <f t="shared" ca="1" si="206"/>
        <v>1</v>
      </c>
      <c r="AB1395" s="153"/>
      <c r="AC1395" s="454" t="str">
        <f t="shared" si="207"/>
        <v>1</v>
      </c>
    </row>
    <row r="1396" spans="1:29" ht="29.5" thickBot="1" x14ac:dyDescent="0.4">
      <c r="A1396" s="89" t="str">
        <f t="shared" ca="1" si="208"/>
        <v>Overdue</v>
      </c>
      <c r="B1396" s="222">
        <v>45942</v>
      </c>
      <c r="C1396" s="14">
        <v>2508</v>
      </c>
      <c r="D1396" s="14" t="s">
        <v>5765</v>
      </c>
      <c r="E1396" s="14" t="s">
        <v>204</v>
      </c>
      <c r="F1396" s="14" t="s">
        <v>5763</v>
      </c>
      <c r="G1396" s="14"/>
      <c r="H1396" s="14">
        <v>103</v>
      </c>
      <c r="I1396" s="176" t="s">
        <v>155</v>
      </c>
      <c r="J1396" s="14">
        <v>1168</v>
      </c>
      <c r="K1396" s="87"/>
      <c r="L1396" s="14" t="s">
        <v>5766</v>
      </c>
      <c r="M1396" s="324">
        <f>IF(I1395="Staff Accident","Entry Required",IF(I1395="Assaults","Entry Required",0))</f>
        <v>0</v>
      </c>
      <c r="N1396" s="14" t="s">
        <v>1879</v>
      </c>
      <c r="O1396" s="14" t="s">
        <v>1880</v>
      </c>
      <c r="P1396" s="167" t="s">
        <v>147</v>
      </c>
      <c r="Q1396" s="14" t="s">
        <v>185</v>
      </c>
      <c r="R1396" s="223" t="s">
        <v>234</v>
      </c>
      <c r="S1396" s="224">
        <f t="shared" si="204"/>
        <v>45970</v>
      </c>
      <c r="T1396" s="14"/>
      <c r="U1396" s="14"/>
      <c r="V1396" s="14"/>
      <c r="W1396" s="14"/>
      <c r="X1396" s="14"/>
      <c r="Z1396" s="112" t="s">
        <v>5315</v>
      </c>
      <c r="AA1396" s="2">
        <f t="shared" ca="1" si="206"/>
        <v>1</v>
      </c>
      <c r="AB1396" s="153"/>
      <c r="AC1396" s="454" t="str">
        <f t="shared" si="207"/>
        <v>1</v>
      </c>
    </row>
    <row r="1397" spans="1:29" ht="58.5" thickBot="1" x14ac:dyDescent="0.4">
      <c r="A1397" s="89" t="str">
        <f t="shared" ca="1" si="208"/>
        <v>Overdue</v>
      </c>
      <c r="B1397" s="222">
        <v>45942</v>
      </c>
      <c r="C1397" s="14">
        <v>2508</v>
      </c>
      <c r="D1397" s="14" t="s">
        <v>5767</v>
      </c>
      <c r="E1397" s="14" t="s">
        <v>196</v>
      </c>
      <c r="F1397" s="14" t="s">
        <v>5768</v>
      </c>
      <c r="G1397" s="14" t="s">
        <v>1911</v>
      </c>
      <c r="H1397" s="14">
        <v>121</v>
      </c>
      <c r="I1397" s="176" t="s">
        <v>155</v>
      </c>
      <c r="J1397" s="14">
        <v>1420</v>
      </c>
      <c r="K1397" s="87"/>
      <c r="L1397" s="14" t="s">
        <v>5769</v>
      </c>
      <c r="M1397" s="324">
        <f>IF(I1396="Staff Accident","Entry Required",IF(I1396="Assaults","Entry Required",0))</f>
        <v>0</v>
      </c>
      <c r="N1397" s="14" t="s">
        <v>1880</v>
      </c>
      <c r="O1397" s="14" t="s">
        <v>1880</v>
      </c>
      <c r="P1397" s="167" t="s">
        <v>147</v>
      </c>
      <c r="Q1397" s="14" t="s">
        <v>188</v>
      </c>
      <c r="R1397" s="223" t="s">
        <v>234</v>
      </c>
      <c r="S1397" s="224">
        <f t="shared" si="204"/>
        <v>45970</v>
      </c>
      <c r="T1397" s="14"/>
      <c r="U1397" s="14"/>
      <c r="V1397" s="14"/>
      <c r="W1397" s="14"/>
      <c r="X1397" s="14"/>
      <c r="Z1397" s="464" t="s">
        <v>5454</v>
      </c>
      <c r="AA1397" s="2">
        <f t="shared" ca="1" si="206"/>
        <v>1</v>
      </c>
      <c r="AB1397" s="153"/>
      <c r="AC1397" s="454" t="str">
        <f t="shared" si="207"/>
        <v>1</v>
      </c>
    </row>
    <row r="1398" spans="1:29" s="203" customFormat="1" ht="29.5" thickBot="1" x14ac:dyDescent="0.4">
      <c r="A1398" s="169" t="str">
        <f t="shared" si="208"/>
        <v>Closed</v>
      </c>
      <c r="B1398" s="226">
        <v>45943</v>
      </c>
      <c r="C1398" s="112">
        <v>2508</v>
      </c>
      <c r="D1398" s="112" t="s">
        <v>5770</v>
      </c>
      <c r="E1398" s="112" t="s">
        <v>8</v>
      </c>
      <c r="F1398" s="112" t="s">
        <v>1899</v>
      </c>
      <c r="G1398" s="112" t="s">
        <v>1911</v>
      </c>
      <c r="H1398" s="112"/>
      <c r="I1398" s="350" t="s">
        <v>140</v>
      </c>
      <c r="J1398" s="112"/>
      <c r="K1398" s="351"/>
      <c r="L1398" s="112" t="s">
        <v>5771</v>
      </c>
      <c r="M1398" s="352">
        <f>IF(I1397="Staff Accident","Entry Required",IF(I1397="Assaults","Entry Required",0))</f>
        <v>0</v>
      </c>
      <c r="N1398" s="112" t="s">
        <v>1879</v>
      </c>
      <c r="O1398" s="112" t="s">
        <v>1879</v>
      </c>
      <c r="P1398" s="353" t="s">
        <v>143</v>
      </c>
      <c r="Q1398" s="112"/>
      <c r="R1398" s="170">
        <v>0</v>
      </c>
      <c r="S1398" s="204">
        <f t="shared" si="204"/>
        <v>45971</v>
      </c>
      <c r="T1398" s="168">
        <v>45943</v>
      </c>
      <c r="U1398" s="112"/>
      <c r="V1398" s="112"/>
      <c r="W1398" s="112"/>
      <c r="X1398" s="112"/>
      <c r="Y1398" s="112"/>
      <c r="Z1398" s="112"/>
      <c r="AA1398" s="104">
        <f t="shared" ca="1" si="206"/>
        <v>1</v>
      </c>
      <c r="AB1398" s="202"/>
      <c r="AC1398" s="459" t="str">
        <f t="shared" si="207"/>
        <v/>
      </c>
    </row>
    <row r="1399" spans="1:29" s="203" customFormat="1" ht="174.5" thickBot="1" x14ac:dyDescent="0.4">
      <c r="A1399" s="169" t="str">
        <f t="shared" ca="1" si="208"/>
        <v>Overdue</v>
      </c>
      <c r="B1399" s="226">
        <v>45943</v>
      </c>
      <c r="C1399" s="112">
        <v>2508</v>
      </c>
      <c r="D1399" s="112" t="s">
        <v>5772</v>
      </c>
      <c r="E1399" s="112" t="s">
        <v>27</v>
      </c>
      <c r="F1399" s="112" t="s">
        <v>1910</v>
      </c>
      <c r="G1399" s="112" t="s">
        <v>1900</v>
      </c>
      <c r="H1399" s="112">
        <v>105</v>
      </c>
      <c r="I1399" s="350" t="s">
        <v>5</v>
      </c>
      <c r="J1399" s="112">
        <v>1098</v>
      </c>
      <c r="K1399" s="351"/>
      <c r="L1399" s="112" t="s">
        <v>5773</v>
      </c>
      <c r="M1399" s="352"/>
      <c r="N1399" s="112" t="s">
        <v>1879</v>
      </c>
      <c r="O1399" s="112" t="s">
        <v>1880</v>
      </c>
      <c r="P1399" s="353" t="s">
        <v>147</v>
      </c>
      <c r="Q1399" s="112" t="s">
        <v>135</v>
      </c>
      <c r="R1399" s="312" t="s">
        <v>234</v>
      </c>
      <c r="S1399" s="204">
        <f t="shared" si="204"/>
        <v>45971</v>
      </c>
      <c r="T1399" s="112"/>
      <c r="U1399" s="112"/>
      <c r="V1399" s="112"/>
      <c r="W1399" s="112"/>
      <c r="X1399" s="112"/>
      <c r="Y1399" s="23" t="s">
        <v>1915</v>
      </c>
      <c r="Z1399" s="465" t="s">
        <v>5774</v>
      </c>
      <c r="AA1399" s="104">
        <f t="shared" ca="1" si="206"/>
        <v>1</v>
      </c>
      <c r="AB1399" s="202"/>
      <c r="AC1399" s="459" t="str">
        <f t="shared" si="207"/>
        <v>1</v>
      </c>
    </row>
    <row r="1400" spans="1:29" s="380" customFormat="1" ht="44" thickBot="1" x14ac:dyDescent="0.4">
      <c r="A1400" s="369" t="str">
        <f>IF(T1400&gt;1,"Closed",IF(AA1400=1,"Overdue",IF(AA1400=3,"","Open")))</f>
        <v>Closed</v>
      </c>
      <c r="B1400" s="370">
        <v>45943</v>
      </c>
      <c r="C1400" s="371">
        <v>2508</v>
      </c>
      <c r="D1400" s="371" t="s">
        <v>5775</v>
      </c>
      <c r="E1400" s="371" t="s">
        <v>27</v>
      </c>
      <c r="F1400" s="371" t="s">
        <v>2974</v>
      </c>
      <c r="G1400" s="112" t="s">
        <v>1911</v>
      </c>
      <c r="H1400" s="112">
        <v>101</v>
      </c>
      <c r="I1400" s="350" t="s">
        <v>5</v>
      </c>
      <c r="J1400" s="112">
        <v>1022</v>
      </c>
      <c r="K1400" s="351"/>
      <c r="L1400" s="371" t="s">
        <v>5776</v>
      </c>
      <c r="M1400" s="374">
        <f t="shared" si="205"/>
        <v>0</v>
      </c>
      <c r="N1400" s="371" t="s">
        <v>1879</v>
      </c>
      <c r="O1400" s="371" t="s">
        <v>1879</v>
      </c>
      <c r="P1400" s="375" t="s">
        <v>143</v>
      </c>
      <c r="Q1400" s="371"/>
      <c r="R1400" s="376">
        <v>0</v>
      </c>
      <c r="S1400" s="377">
        <f t="shared" si="204"/>
        <v>45971</v>
      </c>
      <c r="T1400" s="382">
        <v>45943</v>
      </c>
      <c r="U1400" s="371"/>
      <c r="V1400" s="371"/>
      <c r="W1400" s="371"/>
      <c r="X1400" s="371"/>
      <c r="Y1400" s="464" t="s">
        <v>2164</v>
      </c>
      <c r="Z1400" s="371" t="s">
        <v>5777</v>
      </c>
      <c r="AA1400" s="378">
        <f t="shared" ca="1" si="206"/>
        <v>1</v>
      </c>
      <c r="AB1400" s="379"/>
      <c r="AC1400" s="458" t="str">
        <f t="shared" si="207"/>
        <v>1</v>
      </c>
    </row>
    <row r="1401" spans="1:29" s="203" customFormat="1" ht="116" x14ac:dyDescent="0.35">
      <c r="A1401" s="169" t="str">
        <f t="shared" si="208"/>
        <v>Closed</v>
      </c>
      <c r="B1401" s="226">
        <v>45944</v>
      </c>
      <c r="C1401" s="112">
        <v>2508</v>
      </c>
      <c r="D1401" s="112" t="s">
        <v>5778</v>
      </c>
      <c r="E1401" s="112" t="s">
        <v>76</v>
      </c>
      <c r="F1401" s="112" t="s">
        <v>5472</v>
      </c>
      <c r="G1401" s="112"/>
      <c r="H1401" s="112">
        <v>121</v>
      </c>
      <c r="I1401" s="350" t="s">
        <v>140</v>
      </c>
      <c r="J1401" s="112">
        <v>1073</v>
      </c>
      <c r="K1401" s="351"/>
      <c r="L1401" s="112" t="s">
        <v>5779</v>
      </c>
      <c r="M1401" s="352">
        <f t="shared" si="205"/>
        <v>0</v>
      </c>
      <c r="N1401" s="112" t="s">
        <v>1879</v>
      </c>
      <c r="O1401" s="112" t="s">
        <v>1879</v>
      </c>
      <c r="P1401" s="353" t="s">
        <v>143</v>
      </c>
      <c r="Q1401" s="112"/>
      <c r="R1401" s="170">
        <v>0</v>
      </c>
      <c r="S1401" s="204">
        <f t="shared" si="204"/>
        <v>45972</v>
      </c>
      <c r="T1401" s="168">
        <v>45944</v>
      </c>
      <c r="U1401" s="112"/>
      <c r="V1401" s="112"/>
      <c r="W1401" s="112"/>
      <c r="X1401" s="112"/>
      <c r="Y1401" s="112"/>
      <c r="Z1401" s="112"/>
      <c r="AA1401" s="104">
        <f t="shared" ca="1" si="206"/>
        <v>1</v>
      </c>
      <c r="AB1401" s="202"/>
      <c r="AC1401" s="459" t="str">
        <f t="shared" si="207"/>
        <v>1</v>
      </c>
    </row>
    <row r="1402" spans="1:29" s="203" customFormat="1" ht="58" x14ac:dyDescent="0.35">
      <c r="A1402" s="169" t="str">
        <f t="shared" si="208"/>
        <v>Closed</v>
      </c>
      <c r="B1402" s="226">
        <v>45944</v>
      </c>
      <c r="C1402" s="112">
        <v>2508</v>
      </c>
      <c r="D1402" s="112" t="s">
        <v>5780</v>
      </c>
      <c r="E1402" s="112" t="s">
        <v>38</v>
      </c>
      <c r="F1402" s="112" t="s">
        <v>2060</v>
      </c>
      <c r="G1402" s="112" t="s">
        <v>1911</v>
      </c>
      <c r="H1402" s="112">
        <v>121</v>
      </c>
      <c r="I1402" s="350" t="s">
        <v>140</v>
      </c>
      <c r="J1402" s="112">
        <v>1073</v>
      </c>
      <c r="K1402" s="351"/>
      <c r="L1402" s="112" t="s">
        <v>5781</v>
      </c>
      <c r="M1402" s="352">
        <f t="shared" si="205"/>
        <v>0</v>
      </c>
      <c r="N1402" s="112" t="s">
        <v>1879</v>
      </c>
      <c r="O1402" s="112" t="s">
        <v>1879</v>
      </c>
      <c r="P1402" s="353" t="s">
        <v>143</v>
      </c>
      <c r="Q1402" s="112"/>
      <c r="R1402" s="170">
        <v>0</v>
      </c>
      <c r="S1402" s="204">
        <f t="shared" si="204"/>
        <v>45972</v>
      </c>
      <c r="T1402" s="168">
        <v>45944</v>
      </c>
      <c r="U1402" s="112"/>
      <c r="V1402" s="112"/>
      <c r="W1402" s="112"/>
      <c r="X1402" s="112"/>
      <c r="Y1402" s="466" t="s">
        <v>2062</v>
      </c>
      <c r="Z1402" s="112"/>
      <c r="AA1402" s="104">
        <f t="shared" ca="1" si="206"/>
        <v>1</v>
      </c>
      <c r="AB1402" s="202"/>
      <c r="AC1402" s="459" t="str">
        <f t="shared" si="207"/>
        <v>1</v>
      </c>
    </row>
    <row r="1403" spans="1:29" s="203" customFormat="1" ht="44" thickBot="1" x14ac:dyDescent="0.4">
      <c r="A1403" s="169" t="str">
        <f t="shared" si="208"/>
        <v>Closed</v>
      </c>
      <c r="B1403" s="226">
        <v>45944</v>
      </c>
      <c r="C1403" s="112">
        <v>2508</v>
      </c>
      <c r="D1403" s="112" t="s">
        <v>5782</v>
      </c>
      <c r="E1403" s="112" t="s">
        <v>1907</v>
      </c>
      <c r="F1403" s="112" t="s">
        <v>3086</v>
      </c>
      <c r="G1403" s="112"/>
      <c r="H1403" s="112">
        <v>107</v>
      </c>
      <c r="I1403" s="350" t="s">
        <v>140</v>
      </c>
      <c r="J1403" s="112">
        <v>1015</v>
      </c>
      <c r="K1403" s="351"/>
      <c r="L1403" s="112" t="s">
        <v>5783</v>
      </c>
      <c r="M1403" s="352">
        <f t="shared" si="205"/>
        <v>0</v>
      </c>
      <c r="N1403" s="112" t="s">
        <v>1879</v>
      </c>
      <c r="O1403" s="112" t="s">
        <v>1879</v>
      </c>
      <c r="P1403" s="353" t="s">
        <v>143</v>
      </c>
      <c r="Q1403" s="112"/>
      <c r="R1403" s="170">
        <v>0</v>
      </c>
      <c r="S1403" s="204">
        <f t="shared" si="204"/>
        <v>45972</v>
      </c>
      <c r="T1403" s="168">
        <v>45944</v>
      </c>
      <c r="U1403" s="112"/>
      <c r="V1403" s="112"/>
      <c r="W1403" s="112"/>
      <c r="X1403" s="112"/>
      <c r="Y1403" s="112"/>
      <c r="Z1403" s="112"/>
      <c r="AA1403" s="104">
        <f t="shared" ca="1" si="206"/>
        <v>1</v>
      </c>
      <c r="AB1403" s="202"/>
      <c r="AC1403" s="459" t="str">
        <f t="shared" si="207"/>
        <v>1</v>
      </c>
    </row>
    <row r="1404" spans="1:29" ht="87.5" thickBot="1" x14ac:dyDescent="0.4">
      <c r="A1404" s="89" t="str">
        <f t="shared" ca="1" si="208"/>
        <v>Overdue</v>
      </c>
      <c r="B1404" s="222">
        <v>45945</v>
      </c>
      <c r="C1404" s="14">
        <v>2508</v>
      </c>
      <c r="D1404" s="14" t="s">
        <v>5784</v>
      </c>
      <c r="E1404" s="14" t="s">
        <v>78</v>
      </c>
      <c r="F1404" s="14" t="s">
        <v>1975</v>
      </c>
      <c r="G1404" s="112"/>
      <c r="H1404" s="112">
        <v>123</v>
      </c>
      <c r="I1404" s="350" t="s">
        <v>155</v>
      </c>
      <c r="J1404" s="112">
        <v>1015</v>
      </c>
      <c r="K1404" s="351"/>
      <c r="L1404" s="328" t="s">
        <v>5785</v>
      </c>
      <c r="M1404" s="324">
        <f t="shared" si="205"/>
        <v>0</v>
      </c>
      <c r="N1404" s="14" t="s">
        <v>1879</v>
      </c>
      <c r="O1404" s="14" t="s">
        <v>1880</v>
      </c>
      <c r="P1404" s="167" t="s">
        <v>147</v>
      </c>
      <c r="Q1404" s="14" t="s">
        <v>135</v>
      </c>
      <c r="R1404" s="223" t="s">
        <v>234</v>
      </c>
      <c r="S1404" s="224">
        <f t="shared" si="204"/>
        <v>45973</v>
      </c>
      <c r="T1404" s="14"/>
      <c r="U1404" s="14"/>
      <c r="V1404" s="14"/>
      <c r="W1404" s="14"/>
      <c r="X1404" s="14"/>
      <c r="Z1404" s="465" t="s">
        <v>5786</v>
      </c>
      <c r="AA1404" s="2">
        <f t="shared" ca="1" si="206"/>
        <v>1</v>
      </c>
      <c r="AB1404" s="153"/>
      <c r="AC1404" s="454" t="str">
        <f t="shared" si="207"/>
        <v>1</v>
      </c>
    </row>
    <row r="1405" spans="1:29" ht="29" x14ac:dyDescent="0.45">
      <c r="A1405" s="89" t="str">
        <f t="shared" si="208"/>
        <v>Closed</v>
      </c>
      <c r="B1405" s="222">
        <v>45946</v>
      </c>
      <c r="C1405" s="14">
        <v>2508</v>
      </c>
      <c r="D1405" s="14" t="s">
        <v>5787</v>
      </c>
      <c r="E1405" s="14" t="s">
        <v>192</v>
      </c>
      <c r="F1405" s="14" t="s">
        <v>5645</v>
      </c>
      <c r="G1405" s="112"/>
      <c r="H1405" s="112"/>
      <c r="I1405" s="350" t="s">
        <v>140</v>
      </c>
      <c r="J1405" s="112"/>
      <c r="K1405" s="351"/>
      <c r="L1405" s="14" t="s">
        <v>5788</v>
      </c>
      <c r="M1405" s="324">
        <f t="shared" si="205"/>
        <v>0</v>
      </c>
      <c r="N1405" s="14" t="s">
        <v>1879</v>
      </c>
      <c r="O1405" s="14" t="s">
        <v>1879</v>
      </c>
      <c r="P1405" s="167" t="s">
        <v>143</v>
      </c>
      <c r="Q1405" s="14"/>
      <c r="R1405" s="223">
        <v>0</v>
      </c>
      <c r="S1405" s="224">
        <f t="shared" si="204"/>
        <v>45974</v>
      </c>
      <c r="T1405" s="79">
        <v>45946</v>
      </c>
      <c r="U1405" s="14"/>
      <c r="V1405" s="14"/>
      <c r="W1405" s="14"/>
      <c r="X1405" s="14"/>
      <c r="Y1405" s="463" t="s">
        <v>2340</v>
      </c>
      <c r="Z1405" s="14"/>
      <c r="AA1405" s="2">
        <f t="shared" ca="1" si="206"/>
        <v>1</v>
      </c>
      <c r="AB1405" s="153"/>
      <c r="AC1405" s="454" t="str">
        <f t="shared" si="207"/>
        <v/>
      </c>
    </row>
    <row r="1406" spans="1:29" ht="58" x14ac:dyDescent="0.35">
      <c r="A1406" s="89" t="str">
        <f t="shared" si="208"/>
        <v>Closed</v>
      </c>
      <c r="B1406" s="222">
        <v>45948</v>
      </c>
      <c r="C1406" s="14">
        <v>2508</v>
      </c>
      <c r="D1406" s="14" t="s">
        <v>5789</v>
      </c>
      <c r="E1406" s="14" t="s">
        <v>219</v>
      </c>
      <c r="F1406" s="14" t="s">
        <v>2056</v>
      </c>
      <c r="G1406" s="112" t="s">
        <v>1900</v>
      </c>
      <c r="H1406" s="112">
        <v>108</v>
      </c>
      <c r="I1406" s="350" t="s">
        <v>140</v>
      </c>
      <c r="J1406" s="112">
        <v>1018</v>
      </c>
      <c r="K1406" s="351"/>
      <c r="L1406" s="14" t="s">
        <v>5790</v>
      </c>
      <c r="M1406" s="324">
        <f t="shared" si="205"/>
        <v>0</v>
      </c>
      <c r="N1406" s="14" t="s">
        <v>1879</v>
      </c>
      <c r="O1406" s="14" t="s">
        <v>1879</v>
      </c>
      <c r="P1406" s="167" t="s">
        <v>143</v>
      </c>
      <c r="Q1406" s="14"/>
      <c r="R1406" s="223">
        <v>0</v>
      </c>
      <c r="S1406" s="224">
        <f t="shared" si="204"/>
        <v>45976</v>
      </c>
      <c r="T1406" s="79">
        <v>45948</v>
      </c>
      <c r="U1406" s="14"/>
      <c r="V1406" s="14"/>
      <c r="W1406" s="14"/>
      <c r="X1406" s="14"/>
      <c r="Z1406" s="14"/>
      <c r="AA1406" s="2">
        <f t="shared" ca="1" si="206"/>
        <v>1</v>
      </c>
      <c r="AB1406" s="153"/>
      <c r="AC1406" s="454" t="str">
        <f t="shared" si="207"/>
        <v>1</v>
      </c>
    </row>
    <row r="1407" spans="1:29" ht="43.5" x14ac:dyDescent="0.35">
      <c r="A1407" s="89" t="str">
        <f t="shared" si="208"/>
        <v>Closed</v>
      </c>
      <c r="B1407" s="222">
        <v>45948</v>
      </c>
      <c r="C1407" s="14">
        <v>2508</v>
      </c>
      <c r="D1407" s="14" t="s">
        <v>5791</v>
      </c>
      <c r="E1407" s="14" t="s">
        <v>219</v>
      </c>
      <c r="F1407" s="14" t="s">
        <v>2027</v>
      </c>
      <c r="G1407" s="112"/>
      <c r="H1407" s="112">
        <v>115</v>
      </c>
      <c r="I1407" s="350" t="s">
        <v>140</v>
      </c>
      <c r="J1407" s="112">
        <v>1142</v>
      </c>
      <c r="K1407" s="351"/>
      <c r="L1407" s="14" t="s">
        <v>5792</v>
      </c>
      <c r="M1407" s="324">
        <f t="shared" si="205"/>
        <v>0</v>
      </c>
      <c r="N1407" s="14" t="s">
        <v>1879</v>
      </c>
      <c r="O1407" s="14" t="s">
        <v>1879</v>
      </c>
      <c r="P1407" s="167" t="s">
        <v>143</v>
      </c>
      <c r="Q1407" s="14"/>
      <c r="R1407" s="223">
        <v>0</v>
      </c>
      <c r="S1407" s="224">
        <f t="shared" si="204"/>
        <v>45976</v>
      </c>
      <c r="T1407" s="79">
        <v>45948</v>
      </c>
      <c r="U1407" s="14"/>
      <c r="V1407" s="14"/>
      <c r="W1407" s="14"/>
      <c r="X1407" s="14"/>
      <c r="Z1407" s="14"/>
      <c r="AA1407" s="2">
        <f t="shared" ca="1" si="206"/>
        <v>1</v>
      </c>
      <c r="AB1407" s="153"/>
      <c r="AC1407" s="454" t="str">
        <f t="shared" si="207"/>
        <v>1</v>
      </c>
    </row>
    <row r="1408" spans="1:29" ht="58" x14ac:dyDescent="0.35">
      <c r="A1408" s="89" t="str">
        <f t="shared" ca="1" si="208"/>
        <v>Overdue</v>
      </c>
      <c r="B1408" s="222">
        <v>45948</v>
      </c>
      <c r="C1408" s="14">
        <v>2508</v>
      </c>
      <c r="D1408" s="14" t="s">
        <v>5793</v>
      </c>
      <c r="E1408" s="14" t="s">
        <v>204</v>
      </c>
      <c r="F1408" s="14" t="s">
        <v>5794</v>
      </c>
      <c r="G1408" s="112"/>
      <c r="H1408" s="112">
        <v>107</v>
      </c>
      <c r="I1408" s="350" t="s">
        <v>155</v>
      </c>
      <c r="J1408" s="112">
        <v>1318</v>
      </c>
      <c r="K1408" s="351"/>
      <c r="L1408" s="14" t="s">
        <v>5795</v>
      </c>
      <c r="M1408" s="324">
        <f t="shared" si="205"/>
        <v>0</v>
      </c>
      <c r="N1408" s="14" t="s">
        <v>1879</v>
      </c>
      <c r="O1408" s="14" t="s">
        <v>1880</v>
      </c>
      <c r="P1408" s="167" t="s">
        <v>147</v>
      </c>
      <c r="Q1408" s="14" t="s">
        <v>168</v>
      </c>
      <c r="R1408" s="223" t="s">
        <v>234</v>
      </c>
      <c r="S1408" s="224">
        <f t="shared" si="204"/>
        <v>45976</v>
      </c>
      <c r="T1408" s="14"/>
      <c r="U1408" s="14"/>
      <c r="V1408" s="14"/>
      <c r="W1408" s="14"/>
      <c r="X1408" s="14"/>
      <c r="Z1408" s="14" t="s">
        <v>5796</v>
      </c>
      <c r="AA1408" s="2">
        <f t="shared" ca="1" si="206"/>
        <v>1</v>
      </c>
      <c r="AB1408" s="153"/>
      <c r="AC1408" s="454" t="str">
        <f t="shared" si="207"/>
        <v>1</v>
      </c>
    </row>
    <row r="1409" spans="1:29" ht="29" x14ac:dyDescent="0.35">
      <c r="A1409" s="89" t="str">
        <f t="shared" si="208"/>
        <v>Closed</v>
      </c>
      <c r="B1409" s="222">
        <v>45949</v>
      </c>
      <c r="C1409" s="14">
        <v>2508</v>
      </c>
      <c r="D1409" s="14" t="s">
        <v>5797</v>
      </c>
      <c r="E1409" s="14" t="s">
        <v>192</v>
      </c>
      <c r="F1409" s="14" t="s">
        <v>3119</v>
      </c>
      <c r="G1409" s="112" t="s">
        <v>1911</v>
      </c>
      <c r="H1409" s="112">
        <v>120</v>
      </c>
      <c r="I1409" s="350" t="s">
        <v>140</v>
      </c>
      <c r="J1409" s="112">
        <v>1420</v>
      </c>
      <c r="K1409" s="351"/>
      <c r="L1409" s="14" t="s">
        <v>5798</v>
      </c>
      <c r="M1409" s="324">
        <f t="shared" si="205"/>
        <v>0</v>
      </c>
      <c r="N1409" s="14" t="s">
        <v>1879</v>
      </c>
      <c r="O1409" s="14" t="s">
        <v>1879</v>
      </c>
      <c r="P1409" s="167" t="s">
        <v>143</v>
      </c>
      <c r="Q1409" s="14"/>
      <c r="R1409" s="223">
        <v>0</v>
      </c>
      <c r="S1409" s="224">
        <f t="shared" si="204"/>
        <v>45977</v>
      </c>
      <c r="T1409" s="79">
        <v>45949</v>
      </c>
      <c r="U1409" s="14"/>
      <c r="V1409" s="14"/>
      <c r="W1409" s="14"/>
      <c r="X1409" s="14"/>
      <c r="Z1409" s="14"/>
      <c r="AA1409" s="2">
        <f t="shared" ca="1" si="206"/>
        <v>1</v>
      </c>
      <c r="AB1409" s="153"/>
      <c r="AC1409" s="454" t="str">
        <f t="shared" si="207"/>
        <v>1</v>
      </c>
    </row>
    <row r="1410" spans="1:29" ht="29" x14ac:dyDescent="0.35">
      <c r="A1410" s="89" t="str">
        <f t="shared" si="208"/>
        <v>Closed</v>
      </c>
      <c r="B1410" s="222">
        <v>45949</v>
      </c>
      <c r="C1410" s="14">
        <v>2508</v>
      </c>
      <c r="D1410" s="14" t="s">
        <v>5799</v>
      </c>
      <c r="E1410" s="14" t="s">
        <v>219</v>
      </c>
      <c r="F1410" s="14" t="s">
        <v>2765</v>
      </c>
      <c r="G1410" s="112"/>
      <c r="H1410" s="112">
        <v>203</v>
      </c>
      <c r="I1410" s="350" t="s">
        <v>140</v>
      </c>
      <c r="J1410" s="112"/>
      <c r="K1410" s="351"/>
      <c r="L1410" s="14" t="s">
        <v>5800</v>
      </c>
      <c r="M1410" s="324">
        <f t="shared" si="205"/>
        <v>0</v>
      </c>
      <c r="N1410" s="14" t="s">
        <v>1879</v>
      </c>
      <c r="O1410" s="14" t="s">
        <v>1879</v>
      </c>
      <c r="P1410" s="167" t="s">
        <v>143</v>
      </c>
      <c r="Q1410" s="14"/>
      <c r="R1410" s="223">
        <v>0</v>
      </c>
      <c r="S1410" s="224">
        <f t="shared" si="204"/>
        <v>45977</v>
      </c>
      <c r="T1410" s="79">
        <v>45949</v>
      </c>
      <c r="U1410" s="14"/>
      <c r="V1410" s="14"/>
      <c r="W1410" s="14"/>
      <c r="X1410" s="14"/>
      <c r="Z1410" s="14"/>
      <c r="AA1410" s="2">
        <f t="shared" ca="1" si="206"/>
        <v>1</v>
      </c>
      <c r="AB1410" s="153"/>
      <c r="AC1410" s="454" t="str">
        <f t="shared" si="207"/>
        <v>2</v>
      </c>
    </row>
    <row r="1411" spans="1:29" ht="72.5" x14ac:dyDescent="0.35">
      <c r="A1411" s="89" t="str">
        <f t="shared" si="208"/>
        <v>Closed</v>
      </c>
      <c r="B1411" s="222">
        <v>45942</v>
      </c>
      <c r="C1411" s="14">
        <v>2508</v>
      </c>
      <c r="D1411" s="14" t="s">
        <v>1648</v>
      </c>
      <c r="E1411" s="14" t="s">
        <v>27</v>
      </c>
      <c r="F1411" s="14" t="s">
        <v>1947</v>
      </c>
      <c r="G1411" s="112" t="s">
        <v>1900</v>
      </c>
      <c r="H1411" s="112">
        <v>113</v>
      </c>
      <c r="I1411" s="350" t="s">
        <v>5</v>
      </c>
      <c r="J1411" s="112"/>
      <c r="K1411" s="351"/>
      <c r="L1411" s="14" t="s">
        <v>5801</v>
      </c>
      <c r="M1411" s="324">
        <f t="shared" si="205"/>
        <v>0</v>
      </c>
      <c r="N1411" s="14" t="s">
        <v>1879</v>
      </c>
      <c r="O1411" s="14" t="s">
        <v>1880</v>
      </c>
      <c r="P1411" s="167" t="s">
        <v>147</v>
      </c>
      <c r="Q1411" s="14" t="s">
        <v>153</v>
      </c>
      <c r="R1411" s="223" t="s">
        <v>234</v>
      </c>
      <c r="S1411" s="224">
        <f t="shared" si="204"/>
        <v>45970</v>
      </c>
      <c r="T1411" s="79">
        <v>45967</v>
      </c>
      <c r="U1411" s="14" t="s">
        <v>5802</v>
      </c>
      <c r="V1411" s="14" t="s">
        <v>5803</v>
      </c>
      <c r="W1411" s="14" t="s">
        <v>1879</v>
      </c>
      <c r="X1411" s="14" t="s">
        <v>1880</v>
      </c>
      <c r="Z1411" s="14" t="s">
        <v>5804</v>
      </c>
      <c r="AA1411" s="2">
        <f t="shared" ca="1" si="206"/>
        <v>1</v>
      </c>
      <c r="AB1411" s="153"/>
      <c r="AC1411" s="454" t="str">
        <f t="shared" si="207"/>
        <v>1</v>
      </c>
    </row>
    <row r="1412" spans="1:29" ht="43.5" x14ac:dyDescent="0.35">
      <c r="A1412" s="89" t="str">
        <f t="shared" si="208"/>
        <v>Closed</v>
      </c>
      <c r="B1412" s="222">
        <v>45951</v>
      </c>
      <c r="C1412" s="14">
        <v>2508</v>
      </c>
      <c r="D1412" s="14" t="s">
        <v>5805</v>
      </c>
      <c r="E1412" s="14" t="s">
        <v>38</v>
      </c>
      <c r="F1412" s="14" t="s">
        <v>2037</v>
      </c>
      <c r="G1412" s="112" t="s">
        <v>1911</v>
      </c>
      <c r="H1412" s="112">
        <v>105</v>
      </c>
      <c r="I1412" s="350" t="s">
        <v>5</v>
      </c>
      <c r="J1412" s="112">
        <v>1197</v>
      </c>
      <c r="K1412" s="351"/>
      <c r="L1412" s="14" t="s">
        <v>5806</v>
      </c>
      <c r="M1412" s="324">
        <f t="shared" si="205"/>
        <v>0</v>
      </c>
      <c r="N1412" s="14" t="s">
        <v>1879</v>
      </c>
      <c r="O1412" s="14"/>
      <c r="P1412" s="167" t="s">
        <v>147</v>
      </c>
      <c r="Q1412" s="14" t="s">
        <v>185</v>
      </c>
      <c r="R1412" s="223" t="s">
        <v>234</v>
      </c>
      <c r="S1412" s="224">
        <f t="shared" si="204"/>
        <v>45979</v>
      </c>
      <c r="T1412" s="79">
        <v>46037</v>
      </c>
      <c r="U1412" s="14"/>
      <c r="V1412" s="14"/>
      <c r="W1412" s="14"/>
      <c r="X1412" s="14"/>
      <c r="Z1412" s="14" t="s">
        <v>5341</v>
      </c>
      <c r="AA1412" s="2">
        <f t="shared" ca="1" si="206"/>
        <v>1</v>
      </c>
      <c r="AB1412" s="153"/>
      <c r="AC1412" s="454" t="str">
        <f t="shared" si="207"/>
        <v>1</v>
      </c>
    </row>
    <row r="1413" spans="1:29" ht="58.5" thickBot="1" x14ac:dyDescent="0.4">
      <c r="A1413" s="89" t="str">
        <f t="shared" ca="1" si="208"/>
        <v>Overdue</v>
      </c>
      <c r="B1413" s="222">
        <v>45952</v>
      </c>
      <c r="C1413" s="14">
        <v>2508</v>
      </c>
      <c r="D1413" s="14" t="s">
        <v>5807</v>
      </c>
      <c r="E1413" s="14" t="s">
        <v>80</v>
      </c>
      <c r="F1413" s="14" t="s">
        <v>5808</v>
      </c>
      <c r="G1413" s="14"/>
      <c r="H1413" s="14">
        <v>114</v>
      </c>
      <c r="I1413" s="176" t="s">
        <v>155</v>
      </c>
      <c r="J1413" s="14">
        <v>1367</v>
      </c>
      <c r="K1413" s="87"/>
      <c r="L1413" s="14" t="s">
        <v>5809</v>
      </c>
      <c r="M1413" s="324">
        <f t="shared" si="205"/>
        <v>0</v>
      </c>
      <c r="N1413" s="14" t="s">
        <v>1879</v>
      </c>
      <c r="O1413" s="14" t="s">
        <v>1880</v>
      </c>
      <c r="P1413" s="167" t="s">
        <v>147</v>
      </c>
      <c r="Q1413" s="14" t="s">
        <v>190</v>
      </c>
      <c r="R1413" s="223" t="s">
        <v>236</v>
      </c>
      <c r="S1413" s="224">
        <f t="shared" ref="S1413:S1476" si="209">IF(B1413="","",B1413+28)</f>
        <v>45980</v>
      </c>
      <c r="T1413" s="14"/>
      <c r="U1413" s="14"/>
      <c r="V1413" s="14"/>
      <c r="W1413" s="14"/>
      <c r="X1413" s="14"/>
      <c r="Z1413" s="14" t="s">
        <v>5810</v>
      </c>
      <c r="AA1413" s="2">
        <f t="shared" ca="1" si="206"/>
        <v>1</v>
      </c>
      <c r="AB1413" s="153"/>
      <c r="AC1413" s="454" t="str">
        <f t="shared" si="207"/>
        <v>1</v>
      </c>
    </row>
    <row r="1414" spans="1:29" s="203" customFormat="1" ht="58.5" thickBot="1" x14ac:dyDescent="0.4">
      <c r="A1414" s="169" t="str">
        <f t="shared" ca="1" si="208"/>
        <v>Overdue</v>
      </c>
      <c r="B1414" s="226">
        <v>45952</v>
      </c>
      <c r="C1414" s="112">
        <v>2508</v>
      </c>
      <c r="D1414" s="112" t="s">
        <v>5811</v>
      </c>
      <c r="E1414" s="112" t="s">
        <v>78</v>
      </c>
      <c r="F1414" s="112" t="s">
        <v>2014</v>
      </c>
      <c r="G1414" s="112" t="s">
        <v>1911</v>
      </c>
      <c r="H1414" s="112">
        <v>118</v>
      </c>
      <c r="I1414" s="350" t="s">
        <v>155</v>
      </c>
      <c r="J1414" s="112">
        <v>1016</v>
      </c>
      <c r="K1414" s="351"/>
      <c r="L1414" s="112" t="s">
        <v>5812</v>
      </c>
      <c r="M1414" s="352">
        <f t="shared" si="205"/>
        <v>0</v>
      </c>
      <c r="N1414" s="112" t="s">
        <v>1880</v>
      </c>
      <c r="O1414" s="112" t="s">
        <v>1880</v>
      </c>
      <c r="P1414" s="353" t="s">
        <v>147</v>
      </c>
      <c r="Q1414" s="112" t="s">
        <v>177</v>
      </c>
      <c r="R1414" s="312" t="s">
        <v>234</v>
      </c>
      <c r="S1414" s="204">
        <f t="shared" si="209"/>
        <v>45980</v>
      </c>
      <c r="T1414" s="112"/>
      <c r="U1414" s="112"/>
      <c r="V1414" s="112"/>
      <c r="W1414" s="112"/>
      <c r="X1414" s="112"/>
      <c r="Y1414" s="112"/>
      <c r="Z1414" s="465" t="s">
        <v>5315</v>
      </c>
      <c r="AA1414" s="104">
        <f t="shared" ca="1" si="206"/>
        <v>1</v>
      </c>
      <c r="AB1414" s="202"/>
      <c r="AC1414" s="459" t="str">
        <f t="shared" si="207"/>
        <v>1</v>
      </c>
    </row>
    <row r="1415" spans="1:29" s="203" customFormat="1" ht="29.5" thickBot="1" x14ac:dyDescent="0.4">
      <c r="A1415" s="169" t="str">
        <f t="shared" ca="1" si="208"/>
        <v>Overdue</v>
      </c>
      <c r="B1415" s="226">
        <v>45952</v>
      </c>
      <c r="C1415" s="112">
        <v>2508</v>
      </c>
      <c r="D1415" s="112" t="s">
        <v>5813</v>
      </c>
      <c r="E1415" s="112" t="s">
        <v>31</v>
      </c>
      <c r="F1415" s="112" t="s">
        <v>2048</v>
      </c>
      <c r="G1415" s="112"/>
      <c r="H1415" s="112"/>
      <c r="I1415" s="350" t="s">
        <v>155</v>
      </c>
      <c r="J1415" s="112">
        <v>1420</v>
      </c>
      <c r="K1415" s="351"/>
      <c r="L1415" s="112" t="s">
        <v>5814</v>
      </c>
      <c r="M1415" s="352">
        <f t="shared" si="205"/>
        <v>0</v>
      </c>
      <c r="N1415" s="112" t="s">
        <v>1879</v>
      </c>
      <c r="O1415" s="112" t="s">
        <v>1879</v>
      </c>
      <c r="P1415" s="353" t="s">
        <v>147</v>
      </c>
      <c r="Q1415" s="112" t="s">
        <v>188</v>
      </c>
      <c r="R1415" s="312" t="s">
        <v>234</v>
      </c>
      <c r="S1415" s="204">
        <f t="shared" si="209"/>
        <v>45980</v>
      </c>
      <c r="T1415" s="112"/>
      <c r="U1415" s="112"/>
      <c r="V1415" s="112"/>
      <c r="W1415" s="112"/>
      <c r="X1415" s="112"/>
      <c r="Y1415" s="112"/>
      <c r="Z1415" s="465" t="s">
        <v>5315</v>
      </c>
      <c r="AA1415" s="104">
        <f t="shared" ca="1" si="206"/>
        <v>1</v>
      </c>
      <c r="AB1415" s="202"/>
      <c r="AC1415" s="459" t="str">
        <f t="shared" si="207"/>
        <v/>
      </c>
    </row>
    <row r="1416" spans="1:29" s="203" customFormat="1" ht="58.5" thickBot="1" x14ac:dyDescent="0.4">
      <c r="A1416" s="169" t="str">
        <f t="shared" ca="1" si="208"/>
        <v>Overdue</v>
      </c>
      <c r="B1416" s="226">
        <v>45954</v>
      </c>
      <c r="C1416" s="112">
        <v>2508</v>
      </c>
      <c r="D1416" s="112" t="s">
        <v>5815</v>
      </c>
      <c r="E1416" s="112" t="s">
        <v>78</v>
      </c>
      <c r="F1416" s="112" t="s">
        <v>2048</v>
      </c>
      <c r="G1416" s="112" t="s">
        <v>1911</v>
      </c>
      <c r="H1416" s="112">
        <v>102</v>
      </c>
      <c r="I1416" s="350" t="s">
        <v>155</v>
      </c>
      <c r="J1416" s="112">
        <v>1297</v>
      </c>
      <c r="K1416" s="351"/>
      <c r="L1416" s="381" t="s">
        <v>5816</v>
      </c>
      <c r="M1416" s="352">
        <f t="shared" si="205"/>
        <v>0</v>
      </c>
      <c r="N1416" s="112" t="s">
        <v>1880</v>
      </c>
      <c r="O1416" s="112" t="s">
        <v>1880</v>
      </c>
      <c r="P1416" s="353" t="s">
        <v>147</v>
      </c>
      <c r="Q1416" s="112" t="s">
        <v>185</v>
      </c>
      <c r="R1416" s="312" t="s">
        <v>234</v>
      </c>
      <c r="S1416" s="204">
        <f t="shared" si="209"/>
        <v>45982</v>
      </c>
      <c r="T1416" s="112"/>
      <c r="U1416" s="112"/>
      <c r="V1416" s="112"/>
      <c r="W1416" s="112"/>
      <c r="X1416" s="112"/>
      <c r="Y1416" s="112"/>
      <c r="Z1416" s="465" t="s">
        <v>5315</v>
      </c>
      <c r="AA1416" s="104">
        <f t="shared" ca="1" si="206"/>
        <v>1</v>
      </c>
      <c r="AB1416" s="202"/>
      <c r="AC1416" s="459" t="str">
        <f t="shared" si="207"/>
        <v>1</v>
      </c>
    </row>
    <row r="1417" spans="1:29" s="203" customFormat="1" ht="87.5" thickBot="1" x14ac:dyDescent="0.4">
      <c r="A1417" s="169" t="str">
        <f t="shared" ca="1" si="208"/>
        <v>Overdue</v>
      </c>
      <c r="B1417" s="226">
        <v>45954</v>
      </c>
      <c r="C1417" s="112">
        <v>2508</v>
      </c>
      <c r="D1417" s="112" t="s">
        <v>5817</v>
      </c>
      <c r="E1417" s="112" t="s">
        <v>40</v>
      </c>
      <c r="F1417" s="112" t="s">
        <v>2162</v>
      </c>
      <c r="G1417" s="112" t="s">
        <v>1900</v>
      </c>
      <c r="H1417" s="112">
        <v>112</v>
      </c>
      <c r="I1417" s="350" t="s">
        <v>4</v>
      </c>
      <c r="J1417" s="112">
        <v>1027</v>
      </c>
      <c r="K1417" s="351" t="s">
        <v>137</v>
      </c>
      <c r="L1417" s="112" t="s">
        <v>5818</v>
      </c>
      <c r="M1417" s="352">
        <v>0</v>
      </c>
      <c r="N1417" s="112" t="s">
        <v>1879</v>
      </c>
      <c r="O1417" s="112" t="s">
        <v>1880</v>
      </c>
      <c r="P1417" s="353" t="s">
        <v>139</v>
      </c>
      <c r="Q1417" s="112" t="s">
        <v>153</v>
      </c>
      <c r="R1417" s="312" t="s">
        <v>234</v>
      </c>
      <c r="S1417" s="204">
        <f t="shared" si="209"/>
        <v>45982</v>
      </c>
      <c r="T1417" s="112"/>
      <c r="U1417" s="112"/>
      <c r="V1417" s="112"/>
      <c r="W1417" s="112"/>
      <c r="X1417" s="112"/>
      <c r="Y1417" s="464" t="s">
        <v>2164</v>
      </c>
      <c r="Z1417" s="14" t="s">
        <v>5350</v>
      </c>
      <c r="AA1417" s="104">
        <f t="shared" ca="1" si="206"/>
        <v>1</v>
      </c>
      <c r="AB1417" s="202"/>
      <c r="AC1417" s="459" t="str">
        <f t="shared" si="207"/>
        <v>1</v>
      </c>
    </row>
    <row r="1418" spans="1:29" s="203" customFormat="1" ht="43.5" x14ac:dyDescent="0.35">
      <c r="A1418" s="169" t="str">
        <f t="shared" si="208"/>
        <v>Closed</v>
      </c>
      <c r="B1418" s="226">
        <v>45954</v>
      </c>
      <c r="C1418" s="112">
        <v>2508</v>
      </c>
      <c r="D1418" s="112" t="s">
        <v>5819</v>
      </c>
      <c r="E1418" s="112" t="s">
        <v>8</v>
      </c>
      <c r="F1418" s="112" t="s">
        <v>1985</v>
      </c>
      <c r="G1418" s="112" t="s">
        <v>1911</v>
      </c>
      <c r="H1418" s="112">
        <v>120</v>
      </c>
      <c r="I1418" s="350" t="s">
        <v>140</v>
      </c>
      <c r="J1418" s="112">
        <v>1279</v>
      </c>
      <c r="K1418" s="351"/>
      <c r="L1418" s="112" t="s">
        <v>5820</v>
      </c>
      <c r="M1418" s="352">
        <f t="shared" si="205"/>
        <v>0</v>
      </c>
      <c r="N1418" s="112" t="s">
        <v>1879</v>
      </c>
      <c r="O1418" s="112" t="s">
        <v>1879</v>
      </c>
      <c r="P1418" s="353" t="s">
        <v>143</v>
      </c>
      <c r="Q1418" s="112"/>
      <c r="R1418" s="170">
        <v>0</v>
      </c>
      <c r="S1418" s="204">
        <f t="shared" si="209"/>
        <v>45982</v>
      </c>
      <c r="T1418" s="168">
        <v>45954</v>
      </c>
      <c r="U1418" s="112"/>
      <c r="V1418" s="112"/>
      <c r="W1418" s="112"/>
      <c r="X1418" s="112"/>
      <c r="Y1418" s="112"/>
      <c r="Z1418" s="112"/>
      <c r="AA1418" s="104">
        <f t="shared" ca="1" si="206"/>
        <v>1</v>
      </c>
      <c r="AB1418" s="202"/>
      <c r="AC1418" s="459" t="str">
        <f t="shared" si="207"/>
        <v>1</v>
      </c>
    </row>
    <row r="1419" spans="1:29" s="203" customFormat="1" ht="73" thickBot="1" x14ac:dyDescent="0.5">
      <c r="A1419" s="169" t="str">
        <f t="shared" si="208"/>
        <v>Closed</v>
      </c>
      <c r="B1419" s="226">
        <v>45954</v>
      </c>
      <c r="C1419" s="112">
        <v>2508</v>
      </c>
      <c r="D1419" s="112" t="s">
        <v>5821</v>
      </c>
      <c r="E1419" s="112" t="s">
        <v>76</v>
      </c>
      <c r="F1419" s="112" t="s">
        <v>5645</v>
      </c>
      <c r="G1419" s="112"/>
      <c r="H1419" s="112">
        <v>201</v>
      </c>
      <c r="I1419" s="350" t="s">
        <v>140</v>
      </c>
      <c r="J1419" s="112"/>
      <c r="K1419" s="351"/>
      <c r="L1419" s="112" t="s">
        <v>5822</v>
      </c>
      <c r="M1419" s="352">
        <f t="shared" si="205"/>
        <v>0</v>
      </c>
      <c r="N1419" s="112" t="s">
        <v>1879</v>
      </c>
      <c r="O1419" s="112" t="s">
        <v>1879</v>
      </c>
      <c r="P1419" s="353" t="s">
        <v>143</v>
      </c>
      <c r="Q1419" s="112"/>
      <c r="R1419" s="170">
        <v>0</v>
      </c>
      <c r="S1419" s="204">
        <f t="shared" si="209"/>
        <v>45982</v>
      </c>
      <c r="T1419" s="168">
        <v>45954</v>
      </c>
      <c r="U1419" s="112"/>
      <c r="V1419" s="112"/>
      <c r="W1419" s="112"/>
      <c r="X1419" s="112"/>
      <c r="Y1419" s="463" t="s">
        <v>2340</v>
      </c>
      <c r="Z1419" s="112"/>
      <c r="AA1419" s="104">
        <f t="shared" ca="1" si="206"/>
        <v>1</v>
      </c>
      <c r="AB1419" s="202"/>
      <c r="AC1419" s="459" t="str">
        <f t="shared" si="207"/>
        <v>2</v>
      </c>
    </row>
    <row r="1420" spans="1:29" s="203" customFormat="1" ht="44" thickBot="1" x14ac:dyDescent="0.4">
      <c r="A1420" s="169" t="str">
        <f t="shared" si="208"/>
        <v>Closed</v>
      </c>
      <c r="B1420" s="226">
        <v>45954</v>
      </c>
      <c r="C1420" s="112">
        <v>2508</v>
      </c>
      <c r="D1420" s="112" t="s">
        <v>5823</v>
      </c>
      <c r="E1420" s="112" t="s">
        <v>1907</v>
      </c>
      <c r="F1420" s="112" t="s">
        <v>2162</v>
      </c>
      <c r="G1420" s="112" t="s">
        <v>1911</v>
      </c>
      <c r="H1420" s="112">
        <v>117</v>
      </c>
      <c r="I1420" s="350" t="s">
        <v>140</v>
      </c>
      <c r="J1420" s="112">
        <v>1101</v>
      </c>
      <c r="K1420" s="351"/>
      <c r="L1420" s="112" t="s">
        <v>5824</v>
      </c>
      <c r="M1420" s="352">
        <f t="shared" si="205"/>
        <v>0</v>
      </c>
      <c r="N1420" s="112" t="s">
        <v>1879</v>
      </c>
      <c r="O1420" s="112" t="s">
        <v>1879</v>
      </c>
      <c r="P1420" s="353" t="s">
        <v>143</v>
      </c>
      <c r="Q1420" s="112"/>
      <c r="R1420" s="170">
        <v>0</v>
      </c>
      <c r="S1420" s="204">
        <f t="shared" si="209"/>
        <v>45982</v>
      </c>
      <c r="T1420" s="168">
        <v>45954</v>
      </c>
      <c r="U1420" s="112"/>
      <c r="V1420" s="112"/>
      <c r="W1420" s="112"/>
      <c r="X1420" s="112"/>
      <c r="Y1420" s="464" t="s">
        <v>2164</v>
      </c>
      <c r="Z1420" s="112"/>
      <c r="AA1420" s="104">
        <f t="shared" ca="1" si="206"/>
        <v>1</v>
      </c>
      <c r="AB1420" s="202"/>
      <c r="AC1420" s="459" t="str">
        <f t="shared" si="207"/>
        <v>1</v>
      </c>
    </row>
    <row r="1421" spans="1:29" ht="159.5" x14ac:dyDescent="0.35">
      <c r="A1421" s="89" t="str">
        <f t="shared" ca="1" si="208"/>
        <v>Overdue</v>
      </c>
      <c r="B1421" s="222">
        <v>45955</v>
      </c>
      <c r="C1421" s="14">
        <v>2508</v>
      </c>
      <c r="D1421" s="14" t="s">
        <v>5825</v>
      </c>
      <c r="E1421" s="14" t="s">
        <v>80</v>
      </c>
      <c r="F1421" s="14" t="s">
        <v>5826</v>
      </c>
      <c r="G1421" s="14"/>
      <c r="H1421" s="14">
        <v>102</v>
      </c>
      <c r="I1421" s="176" t="s">
        <v>155</v>
      </c>
      <c r="J1421" s="14">
        <v>1316</v>
      </c>
      <c r="K1421" s="87"/>
      <c r="L1421" s="328" t="s">
        <v>5827</v>
      </c>
      <c r="M1421" s="324">
        <f t="shared" si="205"/>
        <v>0</v>
      </c>
      <c r="N1421" s="14" t="s">
        <v>1879</v>
      </c>
      <c r="O1421" s="14" t="s">
        <v>1880</v>
      </c>
      <c r="P1421" s="167" t="s">
        <v>151</v>
      </c>
      <c r="Q1421" s="14" t="s">
        <v>163</v>
      </c>
      <c r="R1421" s="223" t="s">
        <v>236</v>
      </c>
      <c r="S1421" s="224">
        <f t="shared" si="209"/>
        <v>45983</v>
      </c>
      <c r="T1421" s="14"/>
      <c r="U1421" s="14"/>
      <c r="V1421" s="14"/>
      <c r="W1421" s="14"/>
      <c r="X1421" s="14"/>
      <c r="Z1421" s="14" t="s">
        <v>5828</v>
      </c>
      <c r="AA1421" s="2">
        <f t="shared" ca="1" si="206"/>
        <v>1</v>
      </c>
      <c r="AB1421" s="153"/>
      <c r="AC1421" s="454" t="str">
        <f t="shared" si="207"/>
        <v>1</v>
      </c>
    </row>
    <row r="1422" spans="1:29" s="203" customFormat="1" ht="58" x14ac:dyDescent="0.35">
      <c r="A1422" s="169" t="str">
        <f t="shared" si="208"/>
        <v>Closed</v>
      </c>
      <c r="B1422" s="226">
        <v>45955</v>
      </c>
      <c r="C1422" s="112">
        <v>2508</v>
      </c>
      <c r="D1422" s="112" t="s">
        <v>5829</v>
      </c>
      <c r="E1422" s="112" t="s">
        <v>37</v>
      </c>
      <c r="F1422" s="112" t="s">
        <v>3086</v>
      </c>
      <c r="G1422" s="112" t="s">
        <v>1900</v>
      </c>
      <c r="H1422" s="112">
        <v>113</v>
      </c>
      <c r="I1422" s="350" t="s">
        <v>5</v>
      </c>
      <c r="J1422" s="112">
        <v>1419</v>
      </c>
      <c r="K1422" s="351"/>
      <c r="L1422" s="112" t="s">
        <v>5830</v>
      </c>
      <c r="M1422" s="352">
        <f t="shared" si="205"/>
        <v>0</v>
      </c>
      <c r="N1422" s="112" t="s">
        <v>1879</v>
      </c>
      <c r="O1422" s="112" t="s">
        <v>1880</v>
      </c>
      <c r="P1422" s="353" t="s">
        <v>147</v>
      </c>
      <c r="Q1422" s="112" t="s">
        <v>135</v>
      </c>
      <c r="R1422" s="312" t="s">
        <v>234</v>
      </c>
      <c r="S1422" s="204">
        <f t="shared" si="209"/>
        <v>45983</v>
      </c>
      <c r="T1422" s="168">
        <v>46037</v>
      </c>
      <c r="U1422" s="112"/>
      <c r="V1422" s="112"/>
      <c r="W1422" s="112"/>
      <c r="X1422" s="112"/>
      <c r="Y1422" s="112"/>
      <c r="Z1422" s="112" t="s">
        <v>5341</v>
      </c>
      <c r="AA1422" s="104">
        <f t="shared" ca="1" si="206"/>
        <v>1</v>
      </c>
      <c r="AB1422" s="202"/>
      <c r="AC1422" s="459" t="str">
        <f t="shared" si="207"/>
        <v>1</v>
      </c>
    </row>
    <row r="1423" spans="1:29" s="203" customFormat="1" ht="72.5" x14ac:dyDescent="0.35">
      <c r="A1423" s="169" t="str">
        <f t="shared" si="208"/>
        <v>Closed</v>
      </c>
      <c r="B1423" s="226">
        <v>45956</v>
      </c>
      <c r="C1423" s="112">
        <v>2508</v>
      </c>
      <c r="D1423" s="112" t="s">
        <v>5831</v>
      </c>
      <c r="E1423" s="112" t="s">
        <v>1907</v>
      </c>
      <c r="F1423" s="112" t="s">
        <v>1910</v>
      </c>
      <c r="G1423" s="112" t="s">
        <v>1900</v>
      </c>
      <c r="H1423" s="112">
        <v>101</v>
      </c>
      <c r="I1423" s="350" t="s">
        <v>140</v>
      </c>
      <c r="J1423" s="112">
        <v>1272</v>
      </c>
      <c r="K1423" s="351"/>
      <c r="L1423" s="112" t="s">
        <v>5832</v>
      </c>
      <c r="M1423" s="352">
        <f t="shared" si="205"/>
        <v>0</v>
      </c>
      <c r="N1423" s="112" t="s">
        <v>1879</v>
      </c>
      <c r="O1423" s="112" t="s">
        <v>1879</v>
      </c>
      <c r="P1423" s="353" t="s">
        <v>143</v>
      </c>
      <c r="Q1423" s="112"/>
      <c r="R1423" s="170">
        <v>0</v>
      </c>
      <c r="S1423" s="204">
        <f t="shared" si="209"/>
        <v>45984</v>
      </c>
      <c r="T1423" s="168">
        <v>45956</v>
      </c>
      <c r="U1423" s="112"/>
      <c r="V1423" s="112"/>
      <c r="W1423" s="112"/>
      <c r="X1423" s="112"/>
      <c r="Y1423" s="23" t="s">
        <v>1915</v>
      </c>
      <c r="Z1423" s="112"/>
      <c r="AA1423" s="104">
        <f t="shared" ca="1" si="206"/>
        <v>1</v>
      </c>
      <c r="AB1423" s="202"/>
      <c r="AC1423" s="459" t="str">
        <f t="shared" si="207"/>
        <v>1</v>
      </c>
    </row>
    <row r="1424" spans="1:29" s="203" customFormat="1" ht="43.5" x14ac:dyDescent="0.35">
      <c r="A1424" s="169" t="str">
        <f t="shared" si="208"/>
        <v>Closed</v>
      </c>
      <c r="B1424" s="226">
        <v>45956</v>
      </c>
      <c r="C1424" s="112">
        <v>2508</v>
      </c>
      <c r="D1424" s="112" t="s">
        <v>5833</v>
      </c>
      <c r="E1424" s="112" t="s">
        <v>27</v>
      </c>
      <c r="F1424" s="112" t="s">
        <v>2962</v>
      </c>
      <c r="G1424" s="112" t="s">
        <v>1911</v>
      </c>
      <c r="H1424" s="112">
        <v>122</v>
      </c>
      <c r="I1424" s="350" t="s">
        <v>5</v>
      </c>
      <c r="J1424" s="112">
        <v>1130</v>
      </c>
      <c r="K1424" s="351"/>
      <c r="L1424" s="112" t="s">
        <v>5834</v>
      </c>
      <c r="M1424" s="352">
        <f t="shared" si="205"/>
        <v>0</v>
      </c>
      <c r="N1424" s="112" t="s">
        <v>1879</v>
      </c>
      <c r="O1424" s="112" t="s">
        <v>1880</v>
      </c>
      <c r="P1424" s="353" t="s">
        <v>147</v>
      </c>
      <c r="Q1424" s="112" t="s">
        <v>174</v>
      </c>
      <c r="R1424" s="312" t="s">
        <v>234</v>
      </c>
      <c r="S1424" s="204">
        <f t="shared" si="209"/>
        <v>45984</v>
      </c>
      <c r="T1424" s="168">
        <v>46037</v>
      </c>
      <c r="U1424" s="112"/>
      <c r="V1424" s="112"/>
      <c r="W1424" s="112"/>
      <c r="X1424" s="112"/>
      <c r="Y1424" s="112"/>
      <c r="Z1424" s="112" t="s">
        <v>5341</v>
      </c>
      <c r="AA1424" s="104">
        <f t="shared" ca="1" si="206"/>
        <v>1</v>
      </c>
      <c r="AB1424" s="202"/>
      <c r="AC1424" s="459" t="str">
        <f t="shared" si="207"/>
        <v>1</v>
      </c>
    </row>
    <row r="1425" spans="1:29" s="203" customFormat="1" ht="29.5" thickBot="1" x14ac:dyDescent="0.4">
      <c r="A1425" s="169" t="str">
        <f t="shared" si="208"/>
        <v>Closed</v>
      </c>
      <c r="B1425" s="226">
        <v>45957</v>
      </c>
      <c r="C1425" s="112">
        <v>2508</v>
      </c>
      <c r="D1425" s="112" t="s">
        <v>5835</v>
      </c>
      <c r="E1425" s="112" t="s">
        <v>85</v>
      </c>
      <c r="F1425" s="112" t="s">
        <v>2064</v>
      </c>
      <c r="G1425" s="112" t="s">
        <v>1911</v>
      </c>
      <c r="H1425" s="112"/>
      <c r="I1425" s="350" t="s">
        <v>140</v>
      </c>
      <c r="J1425" s="112"/>
      <c r="K1425" s="351"/>
      <c r="L1425" s="381" t="s">
        <v>5836</v>
      </c>
      <c r="M1425" s="352">
        <f t="shared" si="205"/>
        <v>0</v>
      </c>
      <c r="N1425" s="112" t="s">
        <v>1879</v>
      </c>
      <c r="O1425" s="112" t="s">
        <v>1879</v>
      </c>
      <c r="P1425" s="353" t="s">
        <v>143</v>
      </c>
      <c r="Q1425" s="112"/>
      <c r="R1425" s="170">
        <v>0</v>
      </c>
      <c r="S1425" s="204">
        <f t="shared" si="209"/>
        <v>45985</v>
      </c>
      <c r="T1425" s="168">
        <v>45957</v>
      </c>
      <c r="U1425" s="112"/>
      <c r="V1425" s="112"/>
      <c r="W1425" s="112"/>
      <c r="X1425" s="112"/>
      <c r="Y1425" s="112"/>
      <c r="Z1425" s="112"/>
      <c r="AA1425" s="104">
        <f t="shared" ca="1" si="206"/>
        <v>1</v>
      </c>
      <c r="AB1425" s="202"/>
      <c r="AC1425" s="459" t="str">
        <f t="shared" si="207"/>
        <v/>
      </c>
    </row>
    <row r="1426" spans="1:29" ht="44" thickBot="1" x14ac:dyDescent="0.4">
      <c r="A1426" s="89" t="str">
        <f t="shared" ca="1" si="208"/>
        <v>Overdue</v>
      </c>
      <c r="B1426" s="222">
        <v>45957</v>
      </c>
      <c r="C1426" s="14">
        <v>2508</v>
      </c>
      <c r="D1426" s="14" t="s">
        <v>5837</v>
      </c>
      <c r="E1426" s="14" t="s">
        <v>31</v>
      </c>
      <c r="F1426" s="14" t="s">
        <v>1937</v>
      </c>
      <c r="G1426" s="14"/>
      <c r="H1426" s="14">
        <v>103</v>
      </c>
      <c r="I1426" s="176" t="s">
        <v>155</v>
      </c>
      <c r="J1426" s="14">
        <v>1140</v>
      </c>
      <c r="K1426" s="87"/>
      <c r="L1426" s="14" t="s">
        <v>5838</v>
      </c>
      <c r="M1426" s="324">
        <f t="shared" si="205"/>
        <v>0</v>
      </c>
      <c r="N1426" s="14" t="s">
        <v>1879</v>
      </c>
      <c r="O1426" s="14" t="s">
        <v>1879</v>
      </c>
      <c r="P1426" s="167" t="s">
        <v>147</v>
      </c>
      <c r="Q1426" s="14" t="s">
        <v>135</v>
      </c>
      <c r="R1426" s="223" t="s">
        <v>234</v>
      </c>
      <c r="S1426" s="224">
        <f t="shared" si="209"/>
        <v>45985</v>
      </c>
      <c r="T1426" s="14"/>
      <c r="U1426" s="14"/>
      <c r="V1426" s="14"/>
      <c r="W1426" s="14"/>
      <c r="X1426" s="14"/>
      <c r="Z1426" s="465" t="s">
        <v>5315</v>
      </c>
      <c r="AA1426" s="2">
        <f t="shared" ca="1" si="206"/>
        <v>1</v>
      </c>
      <c r="AB1426" s="153"/>
      <c r="AC1426" s="454" t="str">
        <f t="shared" si="207"/>
        <v>1</v>
      </c>
    </row>
    <row r="1427" spans="1:29" s="203" customFormat="1" ht="101.5" x14ac:dyDescent="0.35">
      <c r="A1427" s="169" t="str">
        <f t="shared" si="208"/>
        <v>Closed</v>
      </c>
      <c r="B1427" s="226">
        <v>45959</v>
      </c>
      <c r="C1427" s="112">
        <v>2508</v>
      </c>
      <c r="D1427" s="112" t="s">
        <v>5839</v>
      </c>
      <c r="E1427" s="112" t="s">
        <v>180</v>
      </c>
      <c r="F1427" s="112" t="s">
        <v>2147</v>
      </c>
      <c r="G1427" s="112"/>
      <c r="H1427" s="112">
        <v>121</v>
      </c>
      <c r="I1427" s="350" t="s">
        <v>140</v>
      </c>
      <c r="J1427" s="112">
        <v>1293</v>
      </c>
      <c r="K1427" s="351"/>
      <c r="L1427" s="112" t="s">
        <v>5840</v>
      </c>
      <c r="M1427" s="352">
        <f t="shared" si="205"/>
        <v>0</v>
      </c>
      <c r="N1427" s="112" t="s">
        <v>1879</v>
      </c>
      <c r="O1427" s="112" t="s">
        <v>1879</v>
      </c>
      <c r="P1427" s="353" t="s">
        <v>143</v>
      </c>
      <c r="Q1427" s="112"/>
      <c r="R1427" s="170">
        <v>0</v>
      </c>
      <c r="S1427" s="204">
        <f t="shared" si="209"/>
        <v>45987</v>
      </c>
      <c r="T1427" s="168">
        <v>45959</v>
      </c>
      <c r="U1427" s="112"/>
      <c r="V1427" s="112"/>
      <c r="W1427" s="112"/>
      <c r="X1427" s="112"/>
      <c r="Y1427" s="112"/>
      <c r="Z1427" s="112"/>
      <c r="AA1427" s="104">
        <f t="shared" ca="1" si="206"/>
        <v>1</v>
      </c>
      <c r="AB1427" s="202"/>
      <c r="AC1427" s="459" t="str">
        <f t="shared" si="207"/>
        <v>1</v>
      </c>
    </row>
    <row r="1428" spans="1:29" s="203" customFormat="1" ht="29" x14ac:dyDescent="0.35">
      <c r="A1428" s="169" t="str">
        <f t="shared" si="208"/>
        <v>Closed</v>
      </c>
      <c r="B1428" s="226">
        <v>45960</v>
      </c>
      <c r="C1428" s="112">
        <v>2508</v>
      </c>
      <c r="D1428" s="112" t="s">
        <v>5841</v>
      </c>
      <c r="E1428" s="112" t="s">
        <v>85</v>
      </c>
      <c r="F1428" s="112" t="s">
        <v>2299</v>
      </c>
      <c r="G1428" s="112" t="s">
        <v>1911</v>
      </c>
      <c r="H1428" s="112">
        <v>103</v>
      </c>
      <c r="I1428" s="350" t="s">
        <v>140</v>
      </c>
      <c r="J1428" s="112">
        <v>1038</v>
      </c>
      <c r="K1428" s="351"/>
      <c r="L1428" s="381" t="s">
        <v>5842</v>
      </c>
      <c r="M1428" s="352">
        <f t="shared" ref="M1428:M1491" si="210">IF(I1428="Staff Accident","Entry Required",IF(I1428="Assaults","Entry Required",0))</f>
        <v>0</v>
      </c>
      <c r="N1428" s="112" t="s">
        <v>1879</v>
      </c>
      <c r="O1428" s="112" t="s">
        <v>1879</v>
      </c>
      <c r="P1428" s="353" t="s">
        <v>147</v>
      </c>
      <c r="Q1428" s="112" t="s">
        <v>185</v>
      </c>
      <c r="R1428" s="312" t="s">
        <v>234</v>
      </c>
      <c r="S1428" s="204">
        <f t="shared" si="209"/>
        <v>45988</v>
      </c>
      <c r="T1428" s="168">
        <v>45960</v>
      </c>
      <c r="U1428" s="112"/>
      <c r="V1428" s="112"/>
      <c r="W1428" s="112"/>
      <c r="X1428" s="112"/>
      <c r="Y1428" s="112"/>
      <c r="Z1428" s="112"/>
      <c r="AA1428" s="104">
        <f t="shared" ca="1" si="206"/>
        <v>1</v>
      </c>
      <c r="AB1428" s="202"/>
      <c r="AC1428" s="459" t="str">
        <f t="shared" si="207"/>
        <v>1</v>
      </c>
    </row>
    <row r="1429" spans="1:29" ht="87" x14ac:dyDescent="0.35">
      <c r="A1429" s="89" t="str">
        <f t="shared" ca="1" si="208"/>
        <v>Overdue</v>
      </c>
      <c r="B1429" s="222">
        <v>45960</v>
      </c>
      <c r="C1429" s="14">
        <v>2508</v>
      </c>
      <c r="D1429" s="14" t="s">
        <v>5843</v>
      </c>
      <c r="E1429" s="14" t="s">
        <v>72</v>
      </c>
      <c r="F1429" s="14" t="s">
        <v>1910</v>
      </c>
      <c r="G1429" s="14"/>
      <c r="H1429" s="14">
        <v>125</v>
      </c>
      <c r="I1429" s="176" t="s">
        <v>155</v>
      </c>
      <c r="J1429" s="14">
        <v>1272</v>
      </c>
      <c r="K1429" s="87"/>
      <c r="L1429" s="14" t="s">
        <v>5844</v>
      </c>
      <c r="M1429" s="324">
        <f t="shared" si="210"/>
        <v>0</v>
      </c>
      <c r="N1429" s="14" t="s">
        <v>1879</v>
      </c>
      <c r="O1429" s="14" t="s">
        <v>1879</v>
      </c>
      <c r="P1429" s="167" t="s">
        <v>147</v>
      </c>
      <c r="Q1429" s="14" t="s">
        <v>153</v>
      </c>
      <c r="R1429" s="223" t="s">
        <v>234</v>
      </c>
      <c r="S1429" s="224">
        <f t="shared" si="209"/>
        <v>45988</v>
      </c>
      <c r="T1429" s="14"/>
      <c r="U1429" s="14"/>
      <c r="V1429" s="14"/>
      <c r="W1429" s="14"/>
      <c r="X1429" s="14"/>
      <c r="Y1429" s="23" t="s">
        <v>1915</v>
      </c>
      <c r="Z1429" s="14" t="s">
        <v>5350</v>
      </c>
      <c r="AA1429" s="2">
        <f t="shared" ca="1" si="206"/>
        <v>1</v>
      </c>
      <c r="AB1429" s="153"/>
      <c r="AC1429" s="454" t="str">
        <f t="shared" si="207"/>
        <v>1</v>
      </c>
    </row>
    <row r="1430" spans="1:29" s="203" customFormat="1" ht="58" x14ac:dyDescent="0.35">
      <c r="A1430" s="169" t="str">
        <f t="shared" si="208"/>
        <v>Closed</v>
      </c>
      <c r="B1430" s="226">
        <v>45960</v>
      </c>
      <c r="C1430" s="112">
        <v>2508</v>
      </c>
      <c r="D1430" s="112" t="s">
        <v>5845</v>
      </c>
      <c r="E1430" s="112" t="s">
        <v>1997</v>
      </c>
      <c r="F1430" s="112" t="s">
        <v>2119</v>
      </c>
      <c r="G1430" s="112" t="s">
        <v>1911</v>
      </c>
      <c r="H1430" s="112">
        <v>103</v>
      </c>
      <c r="I1430" s="350" t="s">
        <v>140</v>
      </c>
      <c r="J1430" s="112">
        <v>1144</v>
      </c>
      <c r="K1430" s="351"/>
      <c r="L1430" s="112" t="s">
        <v>5846</v>
      </c>
      <c r="M1430" s="352">
        <f t="shared" si="210"/>
        <v>0</v>
      </c>
      <c r="N1430" s="112" t="s">
        <v>1879</v>
      </c>
      <c r="O1430" s="112" t="s">
        <v>1879</v>
      </c>
      <c r="P1430" s="353" t="s">
        <v>143</v>
      </c>
      <c r="Q1430" s="112"/>
      <c r="R1430" s="170">
        <v>0</v>
      </c>
      <c r="S1430" s="204">
        <f t="shared" si="209"/>
        <v>45988</v>
      </c>
      <c r="T1430" s="168">
        <v>45960</v>
      </c>
      <c r="U1430" s="112"/>
      <c r="V1430" s="112"/>
      <c r="W1430" s="112"/>
      <c r="X1430" s="112"/>
      <c r="Y1430" s="14" t="s">
        <v>2093</v>
      </c>
      <c r="Z1430" s="112"/>
      <c r="AA1430" s="104">
        <f t="shared" ref="AA1430:AA1493" ca="1" si="211">IF(B1430="",3,IF(S1430&lt;$A$1,1,0))</f>
        <v>1</v>
      </c>
      <c r="AB1430" s="202"/>
      <c r="AC1430" s="459" t="str">
        <f t="shared" si="207"/>
        <v>1</v>
      </c>
    </row>
    <row r="1431" spans="1:29" s="203" customFormat="1" ht="58" x14ac:dyDescent="0.35">
      <c r="A1431" s="169" t="str">
        <f t="shared" si="208"/>
        <v>Closed</v>
      </c>
      <c r="B1431" s="226">
        <v>45960</v>
      </c>
      <c r="C1431" s="112">
        <v>2508</v>
      </c>
      <c r="D1431" s="112" t="s">
        <v>5847</v>
      </c>
      <c r="E1431" s="112" t="s">
        <v>180</v>
      </c>
      <c r="F1431" s="112" t="s">
        <v>2060</v>
      </c>
      <c r="G1431" s="112" t="s">
        <v>1900</v>
      </c>
      <c r="H1431" s="112">
        <v>105</v>
      </c>
      <c r="I1431" s="350" t="s">
        <v>140</v>
      </c>
      <c r="J1431" s="112">
        <v>1070</v>
      </c>
      <c r="K1431" s="351"/>
      <c r="L1431" s="112" t="s">
        <v>5848</v>
      </c>
      <c r="M1431" s="352">
        <f t="shared" si="210"/>
        <v>0</v>
      </c>
      <c r="N1431" s="112" t="s">
        <v>1879</v>
      </c>
      <c r="O1431" s="112" t="s">
        <v>1879</v>
      </c>
      <c r="P1431" s="353" t="s">
        <v>143</v>
      </c>
      <c r="Q1431" s="112"/>
      <c r="R1431" s="170">
        <v>0</v>
      </c>
      <c r="S1431" s="204">
        <f t="shared" si="209"/>
        <v>45988</v>
      </c>
      <c r="T1431" s="168">
        <v>45960</v>
      </c>
      <c r="U1431" s="112"/>
      <c r="V1431" s="112"/>
      <c r="W1431" s="112"/>
      <c r="X1431" s="112"/>
      <c r="Y1431" s="466" t="s">
        <v>2062</v>
      </c>
      <c r="Z1431" s="112"/>
      <c r="AA1431" s="104">
        <f t="shared" ca="1" si="211"/>
        <v>1</v>
      </c>
      <c r="AB1431" s="202"/>
      <c r="AC1431" s="459" t="str">
        <f t="shared" si="207"/>
        <v>1</v>
      </c>
    </row>
    <row r="1432" spans="1:29" s="203" customFormat="1" ht="72.5" x14ac:dyDescent="0.35">
      <c r="A1432" s="169" t="str">
        <f t="shared" si="208"/>
        <v>Closed</v>
      </c>
      <c r="B1432" s="226">
        <v>45962</v>
      </c>
      <c r="C1432" s="112">
        <v>2508</v>
      </c>
      <c r="D1432" s="112" t="s">
        <v>5849</v>
      </c>
      <c r="E1432" s="112" t="s">
        <v>192</v>
      </c>
      <c r="F1432" s="112" t="s">
        <v>2048</v>
      </c>
      <c r="G1432" s="112" t="s">
        <v>1900</v>
      </c>
      <c r="H1432" s="112">
        <v>111</v>
      </c>
      <c r="I1432" s="350" t="s">
        <v>140</v>
      </c>
      <c r="J1432" s="112">
        <v>1194</v>
      </c>
      <c r="K1432" s="351"/>
      <c r="L1432" s="112" t="s">
        <v>5850</v>
      </c>
      <c r="M1432" s="352">
        <f t="shared" si="210"/>
        <v>0</v>
      </c>
      <c r="N1432" s="112" t="s">
        <v>1879</v>
      </c>
      <c r="O1432" s="112" t="s">
        <v>1880</v>
      </c>
      <c r="P1432" s="353" t="s">
        <v>143</v>
      </c>
      <c r="Q1432" s="112"/>
      <c r="R1432" s="170">
        <v>0</v>
      </c>
      <c r="S1432" s="204">
        <f t="shared" si="209"/>
        <v>45990</v>
      </c>
      <c r="T1432" s="168">
        <v>45962</v>
      </c>
      <c r="U1432" s="112"/>
      <c r="V1432" s="112"/>
      <c r="W1432" s="112"/>
      <c r="X1432" s="112"/>
      <c r="Y1432" s="112"/>
      <c r="Z1432" s="112"/>
      <c r="AA1432" s="104">
        <f t="shared" ca="1" si="211"/>
        <v>1</v>
      </c>
      <c r="AB1432" s="202"/>
      <c r="AC1432" s="459" t="str">
        <f t="shared" si="207"/>
        <v>1</v>
      </c>
    </row>
    <row r="1433" spans="1:29" ht="58.5" thickBot="1" x14ac:dyDescent="0.4">
      <c r="A1433" s="89" t="str">
        <f t="shared" si="208"/>
        <v>Closed</v>
      </c>
      <c r="B1433" s="222">
        <v>45962</v>
      </c>
      <c r="C1433" s="14">
        <v>2508</v>
      </c>
      <c r="D1433" s="14" t="s">
        <v>5851</v>
      </c>
      <c r="E1433" s="14" t="s">
        <v>192</v>
      </c>
      <c r="F1433" s="14" t="s">
        <v>2048</v>
      </c>
      <c r="G1433" s="14"/>
      <c r="H1433" s="14"/>
      <c r="I1433" s="176" t="s">
        <v>140</v>
      </c>
      <c r="K1433" s="87"/>
      <c r="L1433" s="14" t="s">
        <v>5852</v>
      </c>
      <c r="M1433" s="324">
        <f t="shared" si="210"/>
        <v>0</v>
      </c>
      <c r="N1433" s="14" t="s">
        <v>1879</v>
      </c>
      <c r="O1433" s="14" t="s">
        <v>1879</v>
      </c>
      <c r="P1433" s="167" t="s">
        <v>143</v>
      </c>
      <c r="Q1433" s="14"/>
      <c r="R1433" s="170">
        <v>0</v>
      </c>
      <c r="S1433" s="224">
        <f t="shared" si="209"/>
        <v>45990</v>
      </c>
      <c r="T1433" s="79">
        <v>45962</v>
      </c>
      <c r="U1433" s="14"/>
      <c r="V1433" s="14"/>
      <c r="W1433" s="14"/>
      <c r="X1433" s="14"/>
      <c r="Z1433" s="14"/>
      <c r="AA1433" s="2">
        <f t="shared" ca="1" si="211"/>
        <v>1</v>
      </c>
      <c r="AB1433" s="153"/>
      <c r="AC1433" s="454" t="str">
        <f t="shared" si="207"/>
        <v/>
      </c>
    </row>
    <row r="1434" spans="1:29" ht="44" thickBot="1" x14ac:dyDescent="0.4">
      <c r="A1434" s="89" t="str">
        <f t="shared" si="208"/>
        <v>Closed</v>
      </c>
      <c r="B1434" s="222">
        <v>45964</v>
      </c>
      <c r="C1434" s="14">
        <v>2508</v>
      </c>
      <c r="D1434" s="14" t="s">
        <v>5853</v>
      </c>
      <c r="E1434" s="14" t="s">
        <v>85</v>
      </c>
      <c r="F1434" s="14" t="s">
        <v>2162</v>
      </c>
      <c r="G1434" s="14" t="s">
        <v>1911</v>
      </c>
      <c r="H1434" s="14">
        <v>105</v>
      </c>
      <c r="I1434" s="176" t="s">
        <v>140</v>
      </c>
      <c r="K1434" s="87"/>
      <c r="L1434" s="14" t="s">
        <v>5854</v>
      </c>
      <c r="M1434" s="324">
        <f t="shared" si="210"/>
        <v>0</v>
      </c>
      <c r="N1434" s="14" t="s">
        <v>1879</v>
      </c>
      <c r="O1434" s="14" t="s">
        <v>1879</v>
      </c>
      <c r="P1434" s="167" t="s">
        <v>143</v>
      </c>
      <c r="Q1434" s="14"/>
      <c r="R1434" s="170">
        <v>0</v>
      </c>
      <c r="S1434" s="224">
        <f>IF(B1434="","",B1434+28)</f>
        <v>45992</v>
      </c>
      <c r="T1434" s="79">
        <v>45964</v>
      </c>
      <c r="U1434" s="14"/>
      <c r="V1434" s="14"/>
      <c r="W1434" s="14"/>
      <c r="X1434" s="14"/>
      <c r="Y1434" s="464" t="s">
        <v>2164</v>
      </c>
      <c r="Z1434" s="14"/>
      <c r="AA1434" s="2">
        <f t="shared" ca="1" si="211"/>
        <v>1</v>
      </c>
      <c r="AB1434" s="153"/>
      <c r="AC1434" s="454" t="str">
        <f t="shared" ref="AC1434:AC1497" si="212">LEFT(H1434,1)</f>
        <v>1</v>
      </c>
    </row>
    <row r="1435" spans="1:29" ht="44" thickBot="1" x14ac:dyDescent="0.4">
      <c r="A1435" s="89" t="str">
        <f t="shared" ca="1" si="208"/>
        <v>Overdue</v>
      </c>
      <c r="B1435" s="222">
        <v>45965</v>
      </c>
      <c r="C1435" s="14">
        <v>2508</v>
      </c>
      <c r="D1435" s="14" t="s">
        <v>5855</v>
      </c>
      <c r="E1435" s="14" t="s">
        <v>37</v>
      </c>
      <c r="F1435" s="14" t="s">
        <v>5650</v>
      </c>
      <c r="G1435" s="14" t="s">
        <v>1911</v>
      </c>
      <c r="H1435" s="14">
        <v>103</v>
      </c>
      <c r="I1435" s="176" t="s">
        <v>5</v>
      </c>
      <c r="J1435" s="14">
        <v>1038</v>
      </c>
      <c r="K1435" s="87"/>
      <c r="L1435" s="14" t="s">
        <v>5856</v>
      </c>
      <c r="M1435" s="324">
        <f t="shared" si="210"/>
        <v>0</v>
      </c>
      <c r="N1435" s="14" t="s">
        <v>1879</v>
      </c>
      <c r="O1435" s="14" t="s">
        <v>1880</v>
      </c>
      <c r="P1435" s="167" t="s">
        <v>147</v>
      </c>
      <c r="Q1435" s="14" t="s">
        <v>185</v>
      </c>
      <c r="R1435" s="223" t="s">
        <v>234</v>
      </c>
      <c r="S1435" s="224">
        <f>IF(B1435="","",B1435+28)</f>
        <v>45993</v>
      </c>
      <c r="T1435" s="14"/>
      <c r="U1435" s="14"/>
      <c r="V1435" s="14"/>
      <c r="W1435" s="14"/>
      <c r="X1435" s="14"/>
      <c r="Z1435" s="465" t="s">
        <v>5315</v>
      </c>
      <c r="AA1435" s="2">
        <f t="shared" ca="1" si="211"/>
        <v>1</v>
      </c>
      <c r="AB1435" s="153"/>
      <c r="AC1435" s="454" t="str">
        <f t="shared" si="212"/>
        <v>1</v>
      </c>
    </row>
    <row r="1436" spans="1:29" ht="58" x14ac:dyDescent="0.35">
      <c r="A1436" s="89" t="str">
        <f t="shared" si="208"/>
        <v>Closed</v>
      </c>
      <c r="B1436" s="222">
        <v>45965</v>
      </c>
      <c r="C1436" s="14">
        <v>2508</v>
      </c>
      <c r="D1436" s="14" t="s">
        <v>5857</v>
      </c>
      <c r="E1436" s="14" t="s">
        <v>76</v>
      </c>
      <c r="F1436" s="14" t="s">
        <v>5613</v>
      </c>
      <c r="G1436" s="14" t="s">
        <v>1900</v>
      </c>
      <c r="H1436" s="14">
        <v>120</v>
      </c>
      <c r="I1436" s="176" t="s">
        <v>140</v>
      </c>
      <c r="J1436" s="14">
        <v>1256</v>
      </c>
      <c r="K1436" s="87"/>
      <c r="L1436" s="14" t="s">
        <v>5858</v>
      </c>
      <c r="M1436" s="324">
        <f t="shared" si="210"/>
        <v>0</v>
      </c>
      <c r="N1436" s="14" t="s">
        <v>1879</v>
      </c>
      <c r="O1436" s="14" t="s">
        <v>1879</v>
      </c>
      <c r="P1436" s="167" t="s">
        <v>143</v>
      </c>
      <c r="Q1436" s="14"/>
      <c r="R1436" s="223">
        <v>0</v>
      </c>
      <c r="S1436" s="224">
        <f t="shared" si="209"/>
        <v>45993</v>
      </c>
      <c r="T1436" s="79">
        <v>45965</v>
      </c>
      <c r="U1436" s="14"/>
      <c r="V1436" s="14"/>
      <c r="W1436" s="14"/>
      <c r="X1436" s="14"/>
      <c r="Z1436" s="14"/>
      <c r="AA1436" s="2">
        <f t="shared" ca="1" si="211"/>
        <v>1</v>
      </c>
      <c r="AB1436" s="153"/>
      <c r="AC1436" s="454" t="str">
        <f t="shared" si="212"/>
        <v>1</v>
      </c>
    </row>
    <row r="1437" spans="1:29" ht="73" thickBot="1" x14ac:dyDescent="0.4">
      <c r="A1437" s="89" t="str">
        <f t="shared" si="208"/>
        <v>Closed</v>
      </c>
      <c r="B1437" s="222">
        <v>45965</v>
      </c>
      <c r="C1437" s="14">
        <v>2508</v>
      </c>
      <c r="D1437" s="14" t="s">
        <v>5859</v>
      </c>
      <c r="E1437" s="14" t="s">
        <v>206</v>
      </c>
      <c r="F1437" s="14" t="s">
        <v>2245</v>
      </c>
      <c r="G1437" s="14"/>
      <c r="H1437" s="14">
        <v>120</v>
      </c>
      <c r="I1437" s="176" t="s">
        <v>140</v>
      </c>
      <c r="J1437" s="14">
        <v>1256</v>
      </c>
      <c r="K1437" s="87"/>
      <c r="L1437" s="14" t="s">
        <v>5860</v>
      </c>
      <c r="M1437" s="324">
        <f t="shared" si="210"/>
        <v>0</v>
      </c>
      <c r="N1437" s="14" t="s">
        <v>1879</v>
      </c>
      <c r="O1437" s="14" t="s">
        <v>1879</v>
      </c>
      <c r="P1437" s="167" t="s">
        <v>143</v>
      </c>
      <c r="Q1437" s="14"/>
      <c r="R1437" s="170">
        <v>0</v>
      </c>
      <c r="S1437" s="224">
        <f t="shared" si="209"/>
        <v>45993</v>
      </c>
      <c r="T1437" s="79">
        <v>45965</v>
      </c>
      <c r="U1437" s="14"/>
      <c r="V1437" s="14"/>
      <c r="W1437" s="14"/>
      <c r="X1437" s="14"/>
      <c r="Z1437" s="14"/>
      <c r="AA1437" s="2">
        <f t="shared" ca="1" si="211"/>
        <v>1</v>
      </c>
      <c r="AB1437" s="153"/>
      <c r="AC1437" s="454" t="str">
        <f t="shared" si="212"/>
        <v>1</v>
      </c>
    </row>
    <row r="1438" spans="1:29" ht="87.5" thickBot="1" x14ac:dyDescent="0.4">
      <c r="A1438" s="89" t="str">
        <f t="shared" ca="1" si="208"/>
        <v>Overdue</v>
      </c>
      <c r="B1438" s="222">
        <v>45967</v>
      </c>
      <c r="C1438" s="14">
        <v>2508</v>
      </c>
      <c r="D1438" s="14" t="s">
        <v>5861</v>
      </c>
      <c r="E1438" s="14" t="s">
        <v>72</v>
      </c>
      <c r="F1438" s="14" t="s">
        <v>1910</v>
      </c>
      <c r="G1438" s="14"/>
      <c r="H1438" s="14"/>
      <c r="I1438" s="176" t="s">
        <v>155</v>
      </c>
      <c r="J1438" s="14">
        <v>1048</v>
      </c>
      <c r="K1438" s="87"/>
      <c r="L1438" s="452" t="s">
        <v>5862</v>
      </c>
      <c r="M1438" s="324">
        <f t="shared" si="210"/>
        <v>0</v>
      </c>
      <c r="N1438" s="14" t="s">
        <v>1879</v>
      </c>
      <c r="O1438" s="14" t="s">
        <v>1879</v>
      </c>
      <c r="P1438" s="167" t="s">
        <v>147</v>
      </c>
      <c r="Q1438" s="14" t="s">
        <v>177</v>
      </c>
      <c r="R1438" s="223" t="s">
        <v>234</v>
      </c>
      <c r="S1438" s="224">
        <f t="shared" si="209"/>
        <v>45995</v>
      </c>
      <c r="T1438" s="14"/>
      <c r="U1438" s="14"/>
      <c r="V1438" s="14"/>
      <c r="W1438" s="14"/>
      <c r="X1438" s="14"/>
      <c r="Y1438" s="23" t="s">
        <v>1915</v>
      </c>
      <c r="Z1438" s="465" t="s">
        <v>5315</v>
      </c>
      <c r="AA1438" s="2">
        <f t="shared" ca="1" si="211"/>
        <v>1</v>
      </c>
      <c r="AB1438" s="153"/>
      <c r="AC1438" s="454" t="str">
        <f t="shared" si="212"/>
        <v/>
      </c>
    </row>
    <row r="1439" spans="1:29" ht="58" x14ac:dyDescent="0.35">
      <c r="A1439" s="89" t="str">
        <f t="shared" ref="A1439:A1502" si="213">IF(T1439&gt;1,"Closed",IF(AA1439=1,"Overdue",IF(AA1439=3,"","Open")))</f>
        <v>Closed</v>
      </c>
      <c r="B1439" s="222">
        <v>45961</v>
      </c>
      <c r="C1439" s="14">
        <v>2508</v>
      </c>
      <c r="D1439" s="14" t="s">
        <v>1733</v>
      </c>
      <c r="E1439" s="14" t="s">
        <v>192</v>
      </c>
      <c r="F1439" s="14" t="s">
        <v>1918</v>
      </c>
      <c r="G1439" s="14" t="s">
        <v>1911</v>
      </c>
      <c r="H1439" s="14"/>
      <c r="I1439" s="176" t="s">
        <v>155</v>
      </c>
      <c r="K1439" s="87"/>
      <c r="L1439" s="14" t="s">
        <v>5863</v>
      </c>
      <c r="M1439" s="324">
        <f t="shared" si="210"/>
        <v>0</v>
      </c>
      <c r="N1439" s="14" t="s">
        <v>1879</v>
      </c>
      <c r="O1439" s="14" t="s">
        <v>1879</v>
      </c>
      <c r="P1439" s="167" t="s">
        <v>147</v>
      </c>
      <c r="Q1439" s="14" t="s">
        <v>146</v>
      </c>
      <c r="R1439" s="223" t="s">
        <v>236</v>
      </c>
      <c r="S1439" s="224">
        <f t="shared" si="209"/>
        <v>45989</v>
      </c>
      <c r="T1439" s="79">
        <v>46050</v>
      </c>
      <c r="U1439" s="14" t="s">
        <v>5864</v>
      </c>
      <c r="V1439" s="14" t="s">
        <v>5865</v>
      </c>
      <c r="W1439" s="14"/>
      <c r="X1439" s="14" t="s">
        <v>1880</v>
      </c>
      <c r="Z1439" s="14" t="s">
        <v>5866</v>
      </c>
      <c r="AA1439" s="2">
        <f t="shared" ca="1" si="211"/>
        <v>1</v>
      </c>
      <c r="AB1439" s="153"/>
      <c r="AC1439" s="454" t="str">
        <f t="shared" si="212"/>
        <v/>
      </c>
    </row>
    <row r="1440" spans="1:29" ht="73" thickBot="1" x14ac:dyDescent="0.4">
      <c r="A1440" s="89" t="str">
        <f t="shared" ca="1" si="213"/>
        <v>Overdue</v>
      </c>
      <c r="B1440" s="222">
        <v>45968</v>
      </c>
      <c r="C1440" s="14">
        <v>2508</v>
      </c>
      <c r="D1440" s="14" t="s">
        <v>5867</v>
      </c>
      <c r="E1440" s="14" t="s">
        <v>31</v>
      </c>
      <c r="F1440" s="14" t="s">
        <v>5152</v>
      </c>
      <c r="G1440" s="14"/>
      <c r="H1440" s="14"/>
      <c r="I1440" s="176" t="s">
        <v>155</v>
      </c>
      <c r="J1440" s="14">
        <v>1161</v>
      </c>
      <c r="K1440" s="87"/>
      <c r="L1440" s="14" t="s">
        <v>5868</v>
      </c>
      <c r="M1440" s="324">
        <f t="shared" si="210"/>
        <v>0</v>
      </c>
      <c r="N1440" s="14" t="s">
        <v>1879</v>
      </c>
      <c r="O1440" s="14"/>
      <c r="P1440" s="167" t="s">
        <v>147</v>
      </c>
      <c r="Q1440" s="14" t="s">
        <v>150</v>
      </c>
      <c r="R1440" s="223" t="s">
        <v>234</v>
      </c>
      <c r="S1440" s="224">
        <f t="shared" si="209"/>
        <v>45996</v>
      </c>
      <c r="T1440" s="14"/>
      <c r="U1440" s="14"/>
      <c r="V1440" s="14"/>
      <c r="W1440" s="14"/>
      <c r="X1440" s="14"/>
      <c r="Y1440" s="14" t="s">
        <v>2185</v>
      </c>
      <c r="Z1440" s="14" t="s">
        <v>5869</v>
      </c>
      <c r="AA1440" s="2">
        <f t="shared" ca="1" si="211"/>
        <v>1</v>
      </c>
      <c r="AB1440" s="153"/>
      <c r="AC1440" s="454" t="str">
        <f t="shared" si="212"/>
        <v/>
      </c>
    </row>
    <row r="1441" spans="1:29" ht="102" thickBot="1" x14ac:dyDescent="0.4">
      <c r="A1441" s="89" t="str">
        <f t="shared" ca="1" si="213"/>
        <v>Overdue</v>
      </c>
      <c r="B1441" s="222">
        <v>45968</v>
      </c>
      <c r="C1441" s="14">
        <v>2508</v>
      </c>
      <c r="D1441" s="14" t="s">
        <v>5870</v>
      </c>
      <c r="E1441" s="14" t="s">
        <v>195</v>
      </c>
      <c r="F1441" s="14" t="s">
        <v>4931</v>
      </c>
      <c r="G1441" s="14" t="s">
        <v>1900</v>
      </c>
      <c r="H1441" s="14">
        <v>113</v>
      </c>
      <c r="I1441" s="176" t="s">
        <v>155</v>
      </c>
      <c r="J1441" s="14">
        <v>1270</v>
      </c>
      <c r="K1441" s="87"/>
      <c r="L1441" s="14" t="s">
        <v>5871</v>
      </c>
      <c r="M1441" s="324">
        <f t="shared" si="210"/>
        <v>0</v>
      </c>
      <c r="N1441" s="14" t="s">
        <v>1880</v>
      </c>
      <c r="O1441" s="14" t="s">
        <v>1880</v>
      </c>
      <c r="P1441" s="167" t="s">
        <v>151</v>
      </c>
      <c r="Q1441" s="14" t="s">
        <v>173</v>
      </c>
      <c r="R1441" s="223" t="s">
        <v>236</v>
      </c>
      <c r="S1441" s="224">
        <f t="shared" si="209"/>
        <v>45996</v>
      </c>
      <c r="T1441" s="14"/>
      <c r="U1441" s="14"/>
      <c r="V1441" s="14"/>
      <c r="W1441" s="14"/>
      <c r="X1441" s="14"/>
      <c r="Y1441" s="14" t="s">
        <v>2012</v>
      </c>
      <c r="Z1441" s="465" t="s">
        <v>5315</v>
      </c>
      <c r="AA1441" s="2">
        <f t="shared" ca="1" si="211"/>
        <v>1</v>
      </c>
      <c r="AB1441" s="153"/>
      <c r="AC1441" s="454" t="str">
        <f t="shared" si="212"/>
        <v>1</v>
      </c>
    </row>
    <row r="1442" spans="1:29" ht="43.5" x14ac:dyDescent="0.35">
      <c r="A1442" s="89" t="str">
        <f t="shared" si="213"/>
        <v>Closed</v>
      </c>
      <c r="B1442" s="222">
        <v>45968</v>
      </c>
      <c r="C1442" s="14">
        <v>2508</v>
      </c>
      <c r="D1442" s="14" t="s">
        <v>5872</v>
      </c>
      <c r="E1442" s="14" t="s">
        <v>8</v>
      </c>
      <c r="F1442" s="14" t="s">
        <v>2119</v>
      </c>
      <c r="G1442" s="14" t="s">
        <v>1900</v>
      </c>
      <c r="H1442" s="14">
        <v>122</v>
      </c>
      <c r="I1442" s="176" t="s">
        <v>140</v>
      </c>
      <c r="J1442" s="14">
        <v>1156</v>
      </c>
      <c r="K1442" s="87"/>
      <c r="L1442" s="14" t="s">
        <v>5873</v>
      </c>
      <c r="M1442" s="324">
        <f t="shared" si="210"/>
        <v>0</v>
      </c>
      <c r="N1442" s="14" t="s">
        <v>1879</v>
      </c>
      <c r="O1442" s="14" t="s">
        <v>1879</v>
      </c>
      <c r="P1442" s="167" t="s">
        <v>143</v>
      </c>
      <c r="Q1442" s="14"/>
      <c r="R1442" s="170">
        <v>0</v>
      </c>
      <c r="S1442" s="224">
        <f t="shared" si="209"/>
        <v>45996</v>
      </c>
      <c r="T1442" s="79">
        <v>45968</v>
      </c>
      <c r="U1442" s="14"/>
      <c r="V1442" s="14"/>
      <c r="W1442" s="14"/>
      <c r="X1442" s="14"/>
      <c r="Y1442" s="14" t="s">
        <v>2093</v>
      </c>
      <c r="Z1442" s="14"/>
      <c r="AA1442" s="2">
        <f t="shared" ca="1" si="211"/>
        <v>1</v>
      </c>
      <c r="AB1442" s="153"/>
      <c r="AC1442" s="454" t="str">
        <f t="shared" si="212"/>
        <v>1</v>
      </c>
    </row>
    <row r="1443" spans="1:29" s="203" customFormat="1" ht="43.5" x14ac:dyDescent="0.35">
      <c r="A1443" s="169" t="str">
        <f t="shared" si="213"/>
        <v>Closed</v>
      </c>
      <c r="B1443" s="226">
        <v>45969</v>
      </c>
      <c r="C1443" s="112">
        <v>2508</v>
      </c>
      <c r="D1443" s="112" t="s">
        <v>5874</v>
      </c>
      <c r="E1443" s="112" t="s">
        <v>219</v>
      </c>
      <c r="F1443" s="112" t="s">
        <v>1968</v>
      </c>
      <c r="G1443" s="112"/>
      <c r="H1443" s="112">
        <v>202</v>
      </c>
      <c r="I1443" s="350" t="s">
        <v>140</v>
      </c>
      <c r="J1443" s="112"/>
      <c r="K1443" s="351"/>
      <c r="L1443" s="112" t="s">
        <v>5875</v>
      </c>
      <c r="M1443" s="352">
        <f t="shared" si="210"/>
        <v>0</v>
      </c>
      <c r="N1443" s="112" t="s">
        <v>1879</v>
      </c>
      <c r="O1443" s="112" t="s">
        <v>1879</v>
      </c>
      <c r="P1443" s="353" t="s">
        <v>143</v>
      </c>
      <c r="Q1443" s="112"/>
      <c r="R1443" s="170">
        <v>0</v>
      </c>
      <c r="S1443" s="204">
        <f t="shared" si="209"/>
        <v>45997</v>
      </c>
      <c r="T1443" s="168">
        <v>45969</v>
      </c>
      <c r="U1443" s="112"/>
      <c r="V1443" s="112"/>
      <c r="W1443" s="112"/>
      <c r="X1443" s="112"/>
      <c r="Y1443" s="112"/>
      <c r="Z1443" s="112"/>
      <c r="AA1443" s="104">
        <f t="shared" ca="1" si="211"/>
        <v>1</v>
      </c>
      <c r="AB1443" s="202"/>
      <c r="AC1443" s="459" t="str">
        <f t="shared" si="212"/>
        <v>2</v>
      </c>
    </row>
    <row r="1444" spans="1:29" s="203" customFormat="1" ht="72.5" x14ac:dyDescent="0.35">
      <c r="A1444" s="169" t="str">
        <f t="shared" si="213"/>
        <v>Closed</v>
      </c>
      <c r="B1444" s="226">
        <v>45969</v>
      </c>
      <c r="C1444" s="112">
        <v>2508</v>
      </c>
      <c r="D1444" s="112" t="s">
        <v>5876</v>
      </c>
      <c r="E1444" s="112" t="s">
        <v>85</v>
      </c>
      <c r="F1444" s="112" t="s">
        <v>1954</v>
      </c>
      <c r="G1444" s="112" t="s">
        <v>1900</v>
      </c>
      <c r="H1444" s="112">
        <v>202</v>
      </c>
      <c r="I1444" s="350" t="s">
        <v>140</v>
      </c>
      <c r="J1444" s="112">
        <v>1304</v>
      </c>
      <c r="K1444" s="351"/>
      <c r="L1444" s="112" t="s">
        <v>5877</v>
      </c>
      <c r="M1444" s="352">
        <f t="shared" si="210"/>
        <v>0</v>
      </c>
      <c r="N1444" s="112" t="s">
        <v>1879</v>
      </c>
      <c r="O1444" s="112" t="s">
        <v>1879</v>
      </c>
      <c r="P1444" s="353" t="s">
        <v>143</v>
      </c>
      <c r="Q1444" s="112"/>
      <c r="R1444" s="170">
        <v>0</v>
      </c>
      <c r="S1444" s="204">
        <f t="shared" si="209"/>
        <v>45997</v>
      </c>
      <c r="T1444" s="168">
        <v>45969</v>
      </c>
      <c r="U1444" s="112"/>
      <c r="V1444" s="112"/>
      <c r="W1444" s="112"/>
      <c r="X1444" s="112"/>
      <c r="Y1444" s="112"/>
      <c r="Z1444" s="112"/>
      <c r="AA1444" s="104">
        <f t="shared" ca="1" si="211"/>
        <v>1</v>
      </c>
      <c r="AB1444" s="202"/>
      <c r="AC1444" s="459" t="str">
        <f t="shared" si="212"/>
        <v>2</v>
      </c>
    </row>
    <row r="1445" spans="1:29" s="203" customFormat="1" ht="29" x14ac:dyDescent="0.35">
      <c r="A1445" s="169" t="str">
        <f t="shared" si="213"/>
        <v>Closed</v>
      </c>
      <c r="B1445" s="226">
        <v>45969</v>
      </c>
      <c r="C1445" s="112">
        <v>2508</v>
      </c>
      <c r="D1445" s="112" t="s">
        <v>5878</v>
      </c>
      <c r="E1445" s="112" t="s">
        <v>187</v>
      </c>
      <c r="F1445" s="112" t="s">
        <v>2205</v>
      </c>
      <c r="G1445" s="112" t="s">
        <v>1900</v>
      </c>
      <c r="H1445" s="112">
        <v>121</v>
      </c>
      <c r="I1445" s="350" t="s">
        <v>140</v>
      </c>
      <c r="J1445" s="112">
        <v>119</v>
      </c>
      <c r="K1445" s="351"/>
      <c r="L1445" s="112" t="s">
        <v>5879</v>
      </c>
      <c r="M1445" s="352">
        <f t="shared" si="210"/>
        <v>0</v>
      </c>
      <c r="N1445" s="112" t="s">
        <v>1879</v>
      </c>
      <c r="O1445" s="112" t="s">
        <v>1879</v>
      </c>
      <c r="P1445" s="353" t="s">
        <v>143</v>
      </c>
      <c r="Q1445" s="112"/>
      <c r="R1445" s="170">
        <v>0</v>
      </c>
      <c r="S1445" s="204">
        <f t="shared" si="209"/>
        <v>45997</v>
      </c>
      <c r="T1445" s="168">
        <v>45969</v>
      </c>
      <c r="U1445" s="112"/>
      <c r="V1445" s="112"/>
      <c r="W1445" s="112"/>
      <c r="X1445" s="112"/>
      <c r="Y1445" s="112"/>
      <c r="Z1445" s="112"/>
      <c r="AA1445" s="104">
        <f t="shared" ca="1" si="211"/>
        <v>1</v>
      </c>
      <c r="AB1445" s="202"/>
      <c r="AC1445" s="459" t="str">
        <f t="shared" si="212"/>
        <v>1</v>
      </c>
    </row>
    <row r="1446" spans="1:29" s="203" customFormat="1" ht="44" thickBot="1" x14ac:dyDescent="0.4">
      <c r="A1446" s="169" t="str">
        <f t="shared" si="213"/>
        <v>Closed</v>
      </c>
      <c r="B1446" s="226">
        <v>45969</v>
      </c>
      <c r="C1446" s="112">
        <v>2508</v>
      </c>
      <c r="D1446" s="112" t="s">
        <v>5880</v>
      </c>
      <c r="E1446" s="112" t="s">
        <v>27</v>
      </c>
      <c r="F1446" s="112" t="s">
        <v>1947</v>
      </c>
      <c r="G1446" s="112" t="s">
        <v>1911</v>
      </c>
      <c r="H1446" s="112"/>
      <c r="I1446" s="350" t="s">
        <v>5</v>
      </c>
      <c r="J1446" s="112">
        <v>1411</v>
      </c>
      <c r="K1446" s="351"/>
      <c r="L1446" s="112" t="s">
        <v>5881</v>
      </c>
      <c r="M1446" s="352">
        <f t="shared" si="210"/>
        <v>0</v>
      </c>
      <c r="N1446" s="112" t="s">
        <v>1879</v>
      </c>
      <c r="O1446" s="112" t="s">
        <v>1880</v>
      </c>
      <c r="P1446" s="353" t="s">
        <v>147</v>
      </c>
      <c r="Q1446" s="112" t="s">
        <v>153</v>
      </c>
      <c r="R1446" s="312" t="s">
        <v>234</v>
      </c>
      <c r="S1446" s="204">
        <f t="shared" si="209"/>
        <v>45997</v>
      </c>
      <c r="T1446" s="168">
        <v>46037</v>
      </c>
      <c r="U1446" s="112"/>
      <c r="V1446" s="112"/>
      <c r="W1446" s="112"/>
      <c r="X1446" s="112"/>
      <c r="Y1446" s="112"/>
      <c r="Z1446" s="112" t="s">
        <v>5341</v>
      </c>
      <c r="AA1446" s="104">
        <f t="shared" ca="1" si="211"/>
        <v>1</v>
      </c>
      <c r="AB1446" s="202"/>
      <c r="AC1446" s="459" t="str">
        <f t="shared" si="212"/>
        <v/>
      </c>
    </row>
    <row r="1447" spans="1:29" ht="87.5" thickBot="1" x14ac:dyDescent="0.4">
      <c r="A1447" s="89" t="str">
        <f t="shared" ca="1" si="213"/>
        <v>Overdue</v>
      </c>
      <c r="B1447" s="222">
        <v>45970</v>
      </c>
      <c r="C1447" s="14">
        <v>2509</v>
      </c>
      <c r="D1447" s="14" t="s">
        <v>5882</v>
      </c>
      <c r="E1447" s="14" t="s">
        <v>31</v>
      </c>
      <c r="F1447" s="14" t="s">
        <v>2056</v>
      </c>
      <c r="G1447" s="14" t="s">
        <v>1911</v>
      </c>
      <c r="H1447" s="14">
        <v>116</v>
      </c>
      <c r="I1447" s="176" t="s">
        <v>155</v>
      </c>
      <c r="J1447" s="14">
        <v>1110</v>
      </c>
      <c r="K1447" s="87"/>
      <c r="L1447" s="14" t="s">
        <v>5883</v>
      </c>
      <c r="M1447" s="324">
        <f t="shared" si="210"/>
        <v>0</v>
      </c>
      <c r="N1447" s="14" t="s">
        <v>1879</v>
      </c>
      <c r="O1447" s="14" t="s">
        <v>1879</v>
      </c>
      <c r="P1447" s="167" t="s">
        <v>147</v>
      </c>
      <c r="Q1447" s="14" t="s">
        <v>150</v>
      </c>
      <c r="R1447" s="223" t="s">
        <v>234</v>
      </c>
      <c r="S1447" s="224">
        <f t="shared" si="209"/>
        <v>45998</v>
      </c>
      <c r="T1447" s="14"/>
      <c r="U1447" s="14"/>
      <c r="V1447" s="14"/>
      <c r="W1447" s="14"/>
      <c r="X1447" s="14"/>
      <c r="Z1447" s="465" t="s">
        <v>5315</v>
      </c>
      <c r="AA1447" s="2">
        <f t="shared" ca="1" si="211"/>
        <v>1</v>
      </c>
      <c r="AB1447" s="153"/>
      <c r="AC1447" s="454" t="str">
        <f t="shared" si="212"/>
        <v>1</v>
      </c>
    </row>
    <row r="1448" spans="1:29" s="203" customFormat="1" ht="58" x14ac:dyDescent="0.35">
      <c r="A1448" s="169" t="str">
        <f t="shared" si="213"/>
        <v>Closed</v>
      </c>
      <c r="B1448" s="226">
        <v>45971</v>
      </c>
      <c r="C1448" s="112">
        <v>2509</v>
      </c>
      <c r="D1448" s="112" t="s">
        <v>5884</v>
      </c>
      <c r="E1448" s="112" t="s">
        <v>37</v>
      </c>
      <c r="F1448" s="112" t="s">
        <v>1918</v>
      </c>
      <c r="G1448" s="112"/>
      <c r="H1448" s="112">
        <v>115</v>
      </c>
      <c r="I1448" s="350" t="s">
        <v>5</v>
      </c>
      <c r="J1448" s="112">
        <v>1018</v>
      </c>
      <c r="K1448" s="351"/>
      <c r="L1448" s="112" t="s">
        <v>5885</v>
      </c>
      <c r="M1448" s="352">
        <f t="shared" si="210"/>
        <v>0</v>
      </c>
      <c r="N1448" s="112" t="s">
        <v>1879</v>
      </c>
      <c r="O1448" s="112"/>
      <c r="P1448" s="353" t="s">
        <v>147</v>
      </c>
      <c r="Q1448" s="112" t="s">
        <v>174</v>
      </c>
      <c r="R1448" s="312" t="s">
        <v>234</v>
      </c>
      <c r="S1448" s="204">
        <f t="shared" si="209"/>
        <v>45999</v>
      </c>
      <c r="T1448" s="168">
        <v>46037</v>
      </c>
      <c r="U1448" s="112"/>
      <c r="V1448" s="112"/>
      <c r="W1448" s="112"/>
      <c r="X1448" s="112"/>
      <c r="Y1448" s="112"/>
      <c r="Z1448" s="112" t="s">
        <v>5341</v>
      </c>
      <c r="AA1448" s="104">
        <f t="shared" ca="1" si="211"/>
        <v>1</v>
      </c>
      <c r="AB1448" s="202"/>
      <c r="AC1448" s="459" t="str">
        <f t="shared" si="212"/>
        <v>1</v>
      </c>
    </row>
    <row r="1449" spans="1:29" s="203" customFormat="1" ht="29" x14ac:dyDescent="0.35">
      <c r="A1449" s="169" t="str">
        <f t="shared" si="213"/>
        <v>Closed</v>
      </c>
      <c r="B1449" s="226">
        <v>45973</v>
      </c>
      <c r="C1449" s="112">
        <v>2509</v>
      </c>
      <c r="D1449" s="112" t="s">
        <v>5886</v>
      </c>
      <c r="E1449" s="112" t="s">
        <v>206</v>
      </c>
      <c r="F1449" s="112" t="s">
        <v>2205</v>
      </c>
      <c r="G1449" s="112" t="s">
        <v>1911</v>
      </c>
      <c r="H1449" s="112">
        <v>118</v>
      </c>
      <c r="I1449" s="350" t="s">
        <v>140</v>
      </c>
      <c r="J1449" s="112">
        <v>1048</v>
      </c>
      <c r="K1449" s="351"/>
      <c r="L1449" s="112" t="s">
        <v>5887</v>
      </c>
      <c r="M1449" s="352">
        <f t="shared" si="210"/>
        <v>0</v>
      </c>
      <c r="N1449" s="112" t="s">
        <v>1879</v>
      </c>
      <c r="O1449" s="112" t="s">
        <v>1879</v>
      </c>
      <c r="P1449" s="353" t="s">
        <v>143</v>
      </c>
      <c r="Q1449" s="112"/>
      <c r="R1449" s="170">
        <v>0</v>
      </c>
      <c r="S1449" s="204">
        <f t="shared" si="209"/>
        <v>46001</v>
      </c>
      <c r="T1449" s="168">
        <v>45973</v>
      </c>
      <c r="U1449" s="112"/>
      <c r="V1449" s="112"/>
      <c r="W1449" s="112"/>
      <c r="X1449" s="112"/>
      <c r="Y1449" s="112"/>
      <c r="Z1449" s="112"/>
      <c r="AA1449" s="104">
        <f t="shared" ca="1" si="211"/>
        <v>1</v>
      </c>
      <c r="AB1449" s="202"/>
      <c r="AC1449" s="459" t="str">
        <f t="shared" si="212"/>
        <v>1</v>
      </c>
    </row>
    <row r="1450" spans="1:29" s="203" customFormat="1" ht="58" x14ac:dyDescent="0.35">
      <c r="A1450" s="169" t="str">
        <f t="shared" si="213"/>
        <v>Closed</v>
      </c>
      <c r="B1450" s="226">
        <v>45974</v>
      </c>
      <c r="C1450" s="112">
        <v>2509</v>
      </c>
      <c r="D1450" s="112" t="s">
        <v>5888</v>
      </c>
      <c r="E1450" s="112" t="s">
        <v>206</v>
      </c>
      <c r="F1450" s="112" t="s">
        <v>2245</v>
      </c>
      <c r="G1450" s="112"/>
      <c r="H1450" s="112"/>
      <c r="I1450" s="350" t="s">
        <v>140</v>
      </c>
      <c r="J1450" s="112"/>
      <c r="K1450" s="351"/>
      <c r="L1450" s="112" t="s">
        <v>5889</v>
      </c>
      <c r="M1450" s="352">
        <f t="shared" si="210"/>
        <v>0</v>
      </c>
      <c r="N1450" s="112" t="s">
        <v>1879</v>
      </c>
      <c r="O1450" s="112" t="s">
        <v>1879</v>
      </c>
      <c r="P1450" s="353" t="s">
        <v>143</v>
      </c>
      <c r="Q1450" s="112"/>
      <c r="R1450" s="170">
        <v>0</v>
      </c>
      <c r="S1450" s="204">
        <f t="shared" si="209"/>
        <v>46002</v>
      </c>
      <c r="T1450" s="168">
        <v>45974</v>
      </c>
      <c r="U1450" s="112"/>
      <c r="V1450" s="112"/>
      <c r="W1450" s="112"/>
      <c r="X1450" s="112"/>
      <c r="Y1450" s="112"/>
      <c r="Z1450" s="112"/>
      <c r="AA1450" s="104">
        <f t="shared" ca="1" si="211"/>
        <v>1</v>
      </c>
      <c r="AB1450" s="202"/>
      <c r="AC1450" s="459" t="str">
        <f t="shared" si="212"/>
        <v/>
      </c>
    </row>
    <row r="1451" spans="1:29" s="203" customFormat="1" ht="44" thickBot="1" x14ac:dyDescent="0.4">
      <c r="A1451" s="169" t="str">
        <f t="shared" si="213"/>
        <v>Closed</v>
      </c>
      <c r="B1451" s="226">
        <v>45974</v>
      </c>
      <c r="C1451" s="112">
        <v>2509</v>
      </c>
      <c r="D1451" s="112" t="s">
        <v>5890</v>
      </c>
      <c r="E1451" s="294" t="s">
        <v>27</v>
      </c>
      <c r="F1451" s="112" t="s">
        <v>2299</v>
      </c>
      <c r="G1451" s="112" t="s">
        <v>1911</v>
      </c>
      <c r="H1451" s="112">
        <v>110</v>
      </c>
      <c r="I1451" s="350" t="s">
        <v>5</v>
      </c>
      <c r="J1451" s="112">
        <v>1223</v>
      </c>
      <c r="K1451" s="351"/>
      <c r="L1451" s="112" t="s">
        <v>5891</v>
      </c>
      <c r="M1451" s="352">
        <f t="shared" si="210"/>
        <v>0</v>
      </c>
      <c r="N1451" s="112" t="s">
        <v>1879</v>
      </c>
      <c r="O1451" s="112" t="s">
        <v>1880</v>
      </c>
      <c r="P1451" s="353" t="s">
        <v>147</v>
      </c>
      <c r="Q1451" s="112" t="s">
        <v>168</v>
      </c>
      <c r="R1451" s="312" t="s">
        <v>234</v>
      </c>
      <c r="S1451" s="204">
        <f t="shared" si="209"/>
        <v>46002</v>
      </c>
      <c r="T1451" s="168">
        <v>46037</v>
      </c>
      <c r="U1451" s="112"/>
      <c r="V1451" s="112"/>
      <c r="W1451" s="112"/>
      <c r="X1451" s="112"/>
      <c r="Y1451" s="112"/>
      <c r="Z1451" s="112" t="s">
        <v>5341</v>
      </c>
      <c r="AA1451" s="104">
        <f t="shared" ca="1" si="211"/>
        <v>1</v>
      </c>
      <c r="AB1451" s="202"/>
      <c r="AC1451" s="459" t="str">
        <f t="shared" si="212"/>
        <v>1</v>
      </c>
    </row>
    <row r="1452" spans="1:29" s="203" customFormat="1" ht="44" thickBot="1" x14ac:dyDescent="0.4">
      <c r="A1452" s="169" t="str">
        <f t="shared" ca="1" si="213"/>
        <v>Overdue</v>
      </c>
      <c r="B1452" s="226">
        <v>45974</v>
      </c>
      <c r="C1452" s="112">
        <v>2509</v>
      </c>
      <c r="D1452" s="112" t="s">
        <v>5892</v>
      </c>
      <c r="E1452" s="112" t="s">
        <v>37</v>
      </c>
      <c r="F1452" s="112" t="s">
        <v>2432</v>
      </c>
      <c r="G1452" s="112" t="s">
        <v>1911</v>
      </c>
      <c r="H1452" s="112">
        <v>102</v>
      </c>
      <c r="I1452" s="350" t="s">
        <v>5</v>
      </c>
      <c r="J1452" s="112">
        <v>1404</v>
      </c>
      <c r="K1452" s="351"/>
      <c r="L1452" s="112" t="s">
        <v>5893</v>
      </c>
      <c r="M1452" s="352">
        <f t="shared" si="210"/>
        <v>0</v>
      </c>
      <c r="N1452" s="112" t="s">
        <v>1879</v>
      </c>
      <c r="O1452" s="112" t="s">
        <v>1879</v>
      </c>
      <c r="P1452" s="353" t="s">
        <v>147</v>
      </c>
      <c r="Q1452" s="112" t="s">
        <v>185</v>
      </c>
      <c r="R1452" s="312" t="s">
        <v>234</v>
      </c>
      <c r="S1452" s="204">
        <f t="shared" si="209"/>
        <v>46002</v>
      </c>
      <c r="T1452" s="112"/>
      <c r="U1452" s="112"/>
      <c r="V1452" s="112"/>
      <c r="W1452" s="112"/>
      <c r="X1452" s="112"/>
      <c r="Y1452" s="14" t="s">
        <v>2436</v>
      </c>
      <c r="Z1452" s="465" t="s">
        <v>5315</v>
      </c>
      <c r="AA1452" s="104">
        <f t="shared" ca="1" si="211"/>
        <v>1</v>
      </c>
      <c r="AB1452" s="202"/>
      <c r="AC1452" s="459" t="str">
        <f t="shared" si="212"/>
        <v>1</v>
      </c>
    </row>
    <row r="1453" spans="1:29" s="203" customFormat="1" ht="72.5" x14ac:dyDescent="0.35">
      <c r="A1453" s="169" t="str">
        <f t="shared" si="213"/>
        <v>Closed</v>
      </c>
      <c r="B1453" s="226">
        <v>45975</v>
      </c>
      <c r="C1453" s="112">
        <v>2509</v>
      </c>
      <c r="D1453" s="112" t="s">
        <v>5894</v>
      </c>
      <c r="E1453" s="112" t="s">
        <v>31</v>
      </c>
      <c r="F1453" s="112" t="s">
        <v>2289</v>
      </c>
      <c r="G1453" s="112" t="s">
        <v>1900</v>
      </c>
      <c r="H1453" s="112">
        <v>121</v>
      </c>
      <c r="I1453" s="350" t="s">
        <v>155</v>
      </c>
      <c r="J1453" s="112">
        <v>1420</v>
      </c>
      <c r="K1453" s="351"/>
      <c r="L1453" s="112" t="s">
        <v>5895</v>
      </c>
      <c r="M1453" s="352">
        <f t="shared" si="210"/>
        <v>0</v>
      </c>
      <c r="N1453" s="112" t="s">
        <v>1879</v>
      </c>
      <c r="O1453" s="112" t="s">
        <v>1880</v>
      </c>
      <c r="P1453" s="353" t="s">
        <v>147</v>
      </c>
      <c r="Q1453" s="112" t="s">
        <v>188</v>
      </c>
      <c r="R1453" s="312" t="s">
        <v>234</v>
      </c>
      <c r="S1453" s="204">
        <f t="shared" si="209"/>
        <v>46003</v>
      </c>
      <c r="T1453" s="168">
        <v>45990</v>
      </c>
      <c r="U1453" s="112"/>
      <c r="V1453" s="112"/>
      <c r="W1453" s="112"/>
      <c r="X1453" s="112"/>
      <c r="Y1453" s="112"/>
      <c r="Z1453" s="112" t="s">
        <v>5896</v>
      </c>
      <c r="AA1453" s="104">
        <f t="shared" ca="1" si="211"/>
        <v>1</v>
      </c>
      <c r="AB1453" s="202"/>
      <c r="AC1453" s="459" t="str">
        <f t="shared" si="212"/>
        <v>1</v>
      </c>
    </row>
    <row r="1454" spans="1:29" s="203" customFormat="1" ht="87" x14ac:dyDescent="0.35">
      <c r="A1454" s="169" t="str">
        <f t="shared" ca="1" si="213"/>
        <v>Overdue</v>
      </c>
      <c r="B1454" s="226">
        <v>45975</v>
      </c>
      <c r="C1454" s="112">
        <v>2509</v>
      </c>
      <c r="D1454" s="112" t="s">
        <v>5897</v>
      </c>
      <c r="E1454" s="112" t="s">
        <v>78</v>
      </c>
      <c r="F1454" s="112" t="s">
        <v>3633</v>
      </c>
      <c r="G1454" s="294"/>
      <c r="H1454" s="112">
        <v>103</v>
      </c>
      <c r="I1454" s="350" t="s">
        <v>155</v>
      </c>
      <c r="J1454" s="112"/>
      <c r="K1454" s="351"/>
      <c r="L1454" s="112" t="s">
        <v>5898</v>
      </c>
      <c r="M1454" s="352">
        <f t="shared" si="210"/>
        <v>0</v>
      </c>
      <c r="N1454" s="112" t="s">
        <v>1880</v>
      </c>
      <c r="O1454" s="112" t="s">
        <v>1880</v>
      </c>
      <c r="P1454" s="353" t="s">
        <v>147</v>
      </c>
      <c r="Q1454" s="112" t="s">
        <v>153</v>
      </c>
      <c r="R1454" s="312" t="s">
        <v>234</v>
      </c>
      <c r="S1454" s="204">
        <f t="shared" si="209"/>
        <v>46003</v>
      </c>
      <c r="T1454" s="112"/>
      <c r="U1454" s="112"/>
      <c r="V1454" s="112"/>
      <c r="W1454" s="112"/>
      <c r="X1454" s="112"/>
      <c r="Y1454" s="112"/>
      <c r="Z1454" s="14" t="s">
        <v>5350</v>
      </c>
      <c r="AA1454" s="104">
        <f t="shared" ca="1" si="211"/>
        <v>1</v>
      </c>
      <c r="AB1454" s="202"/>
      <c r="AC1454" s="459" t="str">
        <f t="shared" si="212"/>
        <v>1</v>
      </c>
    </row>
    <row r="1455" spans="1:29" ht="43.5" x14ac:dyDescent="0.35">
      <c r="A1455" s="89" t="str">
        <f t="shared" si="213"/>
        <v>Closed</v>
      </c>
      <c r="B1455" s="222">
        <v>45976</v>
      </c>
      <c r="C1455" s="14">
        <v>2509</v>
      </c>
      <c r="D1455" s="112" t="s">
        <v>5899</v>
      </c>
      <c r="E1455" s="14" t="s">
        <v>206</v>
      </c>
      <c r="F1455" s="14" t="s">
        <v>2136</v>
      </c>
      <c r="G1455" s="14" t="s">
        <v>1900</v>
      </c>
      <c r="H1455" s="14">
        <v>107</v>
      </c>
      <c r="I1455" s="176" t="s">
        <v>140</v>
      </c>
      <c r="K1455" s="87"/>
      <c r="L1455" s="14" t="s">
        <v>5900</v>
      </c>
      <c r="M1455" s="324">
        <f t="shared" si="210"/>
        <v>0</v>
      </c>
      <c r="N1455" s="112" t="s">
        <v>1879</v>
      </c>
      <c r="O1455" s="112" t="s">
        <v>1879</v>
      </c>
      <c r="P1455" s="353" t="s">
        <v>143</v>
      </c>
      <c r="Q1455" s="14"/>
      <c r="R1455" s="170">
        <v>0</v>
      </c>
      <c r="S1455" s="224">
        <f t="shared" si="209"/>
        <v>46004</v>
      </c>
      <c r="T1455" s="79">
        <v>45976</v>
      </c>
      <c r="U1455" s="14"/>
      <c r="V1455" s="14"/>
      <c r="W1455" s="14"/>
      <c r="X1455" s="14"/>
      <c r="Z1455" s="14"/>
      <c r="AA1455" s="2">
        <f t="shared" ca="1" si="211"/>
        <v>1</v>
      </c>
      <c r="AB1455" s="153"/>
      <c r="AC1455" s="454" t="str">
        <f t="shared" si="212"/>
        <v>1</v>
      </c>
    </row>
    <row r="1456" spans="1:29" s="203" customFormat="1" ht="29" x14ac:dyDescent="0.35">
      <c r="A1456" s="169" t="str">
        <f t="shared" si="213"/>
        <v>Closed</v>
      </c>
      <c r="B1456" s="226">
        <v>45976</v>
      </c>
      <c r="C1456" s="112">
        <v>2509</v>
      </c>
      <c r="D1456" s="112" t="s">
        <v>5901</v>
      </c>
      <c r="E1456" s="112" t="s">
        <v>8</v>
      </c>
      <c r="F1456" s="112" t="s">
        <v>2091</v>
      </c>
      <c r="G1456" s="112" t="s">
        <v>1911</v>
      </c>
      <c r="H1456" s="112"/>
      <c r="I1456" s="350" t="s">
        <v>140</v>
      </c>
      <c r="J1456" s="112"/>
      <c r="K1456" s="351"/>
      <c r="L1456" s="112" t="s">
        <v>5902</v>
      </c>
      <c r="M1456" s="352">
        <f t="shared" si="210"/>
        <v>0</v>
      </c>
      <c r="N1456" s="112" t="s">
        <v>1879</v>
      </c>
      <c r="O1456" s="112" t="s">
        <v>1879</v>
      </c>
      <c r="P1456" s="353" t="s">
        <v>143</v>
      </c>
      <c r="Q1456" s="112"/>
      <c r="R1456" s="170">
        <v>0</v>
      </c>
      <c r="S1456" s="204">
        <f t="shared" si="209"/>
        <v>46004</v>
      </c>
      <c r="T1456" s="168">
        <v>45976</v>
      </c>
      <c r="U1456" s="112"/>
      <c r="V1456" s="112"/>
      <c r="W1456" s="112"/>
      <c r="X1456" s="112"/>
      <c r="Y1456" s="14" t="s">
        <v>2093</v>
      </c>
      <c r="Z1456" s="112"/>
      <c r="AA1456" s="104">
        <f t="shared" ca="1" si="211"/>
        <v>1</v>
      </c>
      <c r="AB1456" s="202"/>
      <c r="AC1456" s="459" t="str">
        <f t="shared" si="212"/>
        <v/>
      </c>
    </row>
    <row r="1457" spans="1:29" s="203" customFormat="1" ht="29" x14ac:dyDescent="0.35">
      <c r="A1457" s="169" t="str">
        <f t="shared" si="213"/>
        <v>Closed</v>
      </c>
      <c r="B1457" s="226">
        <v>45977</v>
      </c>
      <c r="C1457" s="112">
        <v>2509</v>
      </c>
      <c r="D1457" s="112" t="s">
        <v>5903</v>
      </c>
      <c r="E1457" s="112" t="s">
        <v>8</v>
      </c>
      <c r="F1457" s="112" t="s">
        <v>3993</v>
      </c>
      <c r="G1457" s="112" t="s">
        <v>1911</v>
      </c>
      <c r="H1457" s="112">
        <v>119</v>
      </c>
      <c r="I1457" s="350" t="s">
        <v>140</v>
      </c>
      <c r="J1457" s="112"/>
      <c r="K1457" s="351"/>
      <c r="L1457" s="112" t="s">
        <v>5904</v>
      </c>
      <c r="M1457" s="352">
        <f t="shared" si="210"/>
        <v>0</v>
      </c>
      <c r="N1457" s="112" t="s">
        <v>1879</v>
      </c>
      <c r="O1457" s="112" t="s">
        <v>1879</v>
      </c>
      <c r="P1457" s="353" t="s">
        <v>143</v>
      </c>
      <c r="Q1457" s="112"/>
      <c r="R1457" s="170">
        <v>0</v>
      </c>
      <c r="S1457" s="204">
        <f t="shared" si="209"/>
        <v>46005</v>
      </c>
      <c r="T1457" s="168">
        <v>45977</v>
      </c>
      <c r="U1457" s="112"/>
      <c r="V1457" s="112"/>
      <c r="W1457" s="112"/>
      <c r="X1457" s="112"/>
      <c r="Y1457" s="112"/>
      <c r="Z1457" s="112"/>
      <c r="AA1457" s="104">
        <f t="shared" ca="1" si="211"/>
        <v>1</v>
      </c>
      <c r="AB1457" s="202"/>
      <c r="AC1457" s="459" t="str">
        <f t="shared" si="212"/>
        <v>1</v>
      </c>
    </row>
    <row r="1458" spans="1:29" s="203" customFormat="1" ht="29" x14ac:dyDescent="0.35">
      <c r="A1458" s="169" t="str">
        <f t="shared" si="213"/>
        <v>Closed</v>
      </c>
      <c r="B1458" s="226">
        <v>45977</v>
      </c>
      <c r="C1458" s="112">
        <v>2509</v>
      </c>
      <c r="D1458" s="112" t="s">
        <v>5905</v>
      </c>
      <c r="E1458" s="112" t="s">
        <v>8</v>
      </c>
      <c r="F1458" s="112" t="s">
        <v>4931</v>
      </c>
      <c r="G1458" s="112" t="s">
        <v>1911</v>
      </c>
      <c r="H1458" s="112">
        <v>119</v>
      </c>
      <c r="I1458" s="350" t="s">
        <v>140</v>
      </c>
      <c r="J1458" s="112"/>
      <c r="K1458" s="351"/>
      <c r="L1458" s="112" t="s">
        <v>5906</v>
      </c>
      <c r="M1458" s="352">
        <f t="shared" si="210"/>
        <v>0</v>
      </c>
      <c r="N1458" s="112" t="s">
        <v>1879</v>
      </c>
      <c r="O1458" s="112" t="s">
        <v>1879</v>
      </c>
      <c r="P1458" s="353" t="s">
        <v>143</v>
      </c>
      <c r="Q1458" s="112"/>
      <c r="R1458" s="170">
        <v>0</v>
      </c>
      <c r="S1458" s="204">
        <f t="shared" si="209"/>
        <v>46005</v>
      </c>
      <c r="T1458" s="168">
        <v>45977</v>
      </c>
      <c r="U1458" s="112"/>
      <c r="V1458" s="112"/>
      <c r="W1458" s="112"/>
      <c r="X1458" s="112"/>
      <c r="Y1458" s="14" t="s">
        <v>2012</v>
      </c>
      <c r="Z1458" s="112"/>
      <c r="AA1458" s="104">
        <f t="shared" ca="1" si="211"/>
        <v>1</v>
      </c>
      <c r="AB1458" s="202"/>
      <c r="AC1458" s="459" t="str">
        <f t="shared" si="212"/>
        <v>1</v>
      </c>
    </row>
    <row r="1459" spans="1:29" ht="145" x14ac:dyDescent="0.35">
      <c r="A1459" s="89" t="str">
        <f t="shared" si="213"/>
        <v>Closed</v>
      </c>
      <c r="B1459" s="222">
        <v>45977</v>
      </c>
      <c r="C1459" s="14">
        <v>2509</v>
      </c>
      <c r="D1459" s="14" t="s">
        <v>1710</v>
      </c>
      <c r="E1459" s="14" t="s">
        <v>38</v>
      </c>
      <c r="F1459" s="14" t="s">
        <v>5907</v>
      </c>
      <c r="G1459" s="14"/>
      <c r="H1459" s="14"/>
      <c r="I1459" s="176" t="s">
        <v>2</v>
      </c>
      <c r="K1459" s="87" t="s">
        <v>137</v>
      </c>
      <c r="L1459" s="14" t="s">
        <v>5908</v>
      </c>
      <c r="M1459" s="324" t="s">
        <v>3214</v>
      </c>
      <c r="N1459" s="14" t="s">
        <v>1880</v>
      </c>
      <c r="O1459" s="14" t="s">
        <v>1879</v>
      </c>
      <c r="P1459" s="167" t="s">
        <v>136</v>
      </c>
      <c r="Q1459" s="14" t="s">
        <v>171</v>
      </c>
      <c r="R1459" s="223" t="s">
        <v>236</v>
      </c>
      <c r="S1459" s="224">
        <f t="shared" si="209"/>
        <v>46005</v>
      </c>
      <c r="T1459" s="79">
        <v>46038</v>
      </c>
      <c r="U1459" s="14" t="s">
        <v>5909</v>
      </c>
      <c r="V1459" s="14" t="s">
        <v>5910</v>
      </c>
      <c r="W1459" s="14" t="s">
        <v>1879</v>
      </c>
      <c r="X1459" s="14" t="s">
        <v>1880</v>
      </c>
      <c r="Z1459" s="14" t="s">
        <v>5911</v>
      </c>
      <c r="AA1459" s="2">
        <f t="shared" ca="1" si="211"/>
        <v>1</v>
      </c>
      <c r="AB1459" s="153"/>
      <c r="AC1459" s="454" t="str">
        <f t="shared" si="212"/>
        <v/>
      </c>
    </row>
    <row r="1460" spans="1:29" ht="29" x14ac:dyDescent="0.35">
      <c r="A1460" s="89" t="str">
        <f t="shared" si="213"/>
        <v>Closed</v>
      </c>
      <c r="B1460" s="222">
        <v>45979</v>
      </c>
      <c r="C1460" s="14">
        <v>2509</v>
      </c>
      <c r="D1460" s="14" t="s">
        <v>5912</v>
      </c>
      <c r="E1460" s="14" t="s">
        <v>206</v>
      </c>
      <c r="F1460" s="14" t="s">
        <v>4931</v>
      </c>
      <c r="G1460" s="14" t="s">
        <v>1911</v>
      </c>
      <c r="H1460" s="14">
        <v>115</v>
      </c>
      <c r="I1460" s="176" t="s">
        <v>140</v>
      </c>
      <c r="J1460" s="14">
        <v>1197</v>
      </c>
      <c r="K1460" s="87"/>
      <c r="L1460" s="14" t="s">
        <v>5913</v>
      </c>
      <c r="M1460" s="324">
        <f t="shared" si="210"/>
        <v>0</v>
      </c>
      <c r="N1460" s="112" t="s">
        <v>1879</v>
      </c>
      <c r="O1460" s="112" t="s">
        <v>1879</v>
      </c>
      <c r="P1460" s="353" t="s">
        <v>143</v>
      </c>
      <c r="Q1460" s="14"/>
      <c r="R1460" s="170">
        <v>0</v>
      </c>
      <c r="S1460" s="224">
        <f t="shared" si="209"/>
        <v>46007</v>
      </c>
      <c r="T1460" s="79">
        <v>45979</v>
      </c>
      <c r="U1460" s="14"/>
      <c r="V1460" s="14"/>
      <c r="W1460" s="14"/>
      <c r="X1460" s="14"/>
      <c r="Y1460" s="14" t="s">
        <v>2012</v>
      </c>
      <c r="Z1460" s="14"/>
      <c r="AA1460" s="2">
        <f t="shared" ca="1" si="211"/>
        <v>1</v>
      </c>
      <c r="AB1460" s="153"/>
      <c r="AC1460" s="454" t="str">
        <f t="shared" si="212"/>
        <v>1</v>
      </c>
    </row>
    <row r="1461" spans="1:29" s="203" customFormat="1" ht="44" thickBot="1" x14ac:dyDescent="0.4">
      <c r="A1461" s="169" t="str">
        <f t="shared" si="213"/>
        <v>Closed</v>
      </c>
      <c r="B1461" s="226">
        <v>45979</v>
      </c>
      <c r="C1461" s="112">
        <v>2509</v>
      </c>
      <c r="D1461" s="112" t="s">
        <v>5914</v>
      </c>
      <c r="E1461" s="112" t="s">
        <v>219</v>
      </c>
      <c r="F1461" s="112" t="s">
        <v>2765</v>
      </c>
      <c r="G1461" s="112" t="s">
        <v>1911</v>
      </c>
      <c r="H1461" s="112">
        <v>110</v>
      </c>
      <c r="I1461" s="350" t="s">
        <v>140</v>
      </c>
      <c r="J1461" s="112">
        <v>1274</v>
      </c>
      <c r="K1461" s="351"/>
      <c r="L1461" s="112" t="s">
        <v>5915</v>
      </c>
      <c r="M1461" s="352">
        <f t="shared" si="210"/>
        <v>0</v>
      </c>
      <c r="N1461" s="112" t="s">
        <v>1879</v>
      </c>
      <c r="O1461" s="112" t="s">
        <v>1879</v>
      </c>
      <c r="P1461" s="353" t="s">
        <v>143</v>
      </c>
      <c r="Q1461" s="112"/>
      <c r="R1461" s="170">
        <v>0</v>
      </c>
      <c r="S1461" s="204">
        <f t="shared" si="209"/>
        <v>46007</v>
      </c>
      <c r="T1461" s="168">
        <v>45979</v>
      </c>
      <c r="U1461" s="112"/>
      <c r="V1461" s="112"/>
      <c r="W1461" s="112"/>
      <c r="X1461" s="112"/>
      <c r="Y1461" s="112"/>
      <c r="Z1461" s="112"/>
      <c r="AA1461" s="104">
        <f t="shared" ca="1" si="211"/>
        <v>1</v>
      </c>
      <c r="AB1461" s="202"/>
      <c r="AC1461" s="459" t="str">
        <f t="shared" si="212"/>
        <v>1</v>
      </c>
    </row>
    <row r="1462" spans="1:29" s="203" customFormat="1" ht="116.5" thickBot="1" x14ac:dyDescent="0.4">
      <c r="A1462" s="169" t="str">
        <f t="shared" ca="1" si="213"/>
        <v>Overdue</v>
      </c>
      <c r="B1462" s="226">
        <v>45979</v>
      </c>
      <c r="C1462" s="112">
        <v>2509</v>
      </c>
      <c r="D1462" s="112" t="s">
        <v>5916</v>
      </c>
      <c r="E1462" s="112" t="s">
        <v>37</v>
      </c>
      <c r="F1462" s="112" t="s">
        <v>2064</v>
      </c>
      <c r="G1462" s="112" t="s">
        <v>1911</v>
      </c>
      <c r="H1462" s="112">
        <v>122</v>
      </c>
      <c r="I1462" s="350" t="s">
        <v>155</v>
      </c>
      <c r="J1462" s="112">
        <v>1009</v>
      </c>
      <c r="K1462" s="351"/>
      <c r="L1462" s="112" t="s">
        <v>5917</v>
      </c>
      <c r="M1462" s="352">
        <f t="shared" si="210"/>
        <v>0</v>
      </c>
      <c r="N1462" s="112" t="s">
        <v>1879</v>
      </c>
      <c r="O1462" s="112" t="s">
        <v>1880</v>
      </c>
      <c r="P1462" s="353" t="s">
        <v>147</v>
      </c>
      <c r="Q1462" s="112" t="s">
        <v>177</v>
      </c>
      <c r="R1462" s="312" t="s">
        <v>234</v>
      </c>
      <c r="S1462" s="204">
        <f t="shared" si="209"/>
        <v>46007</v>
      </c>
      <c r="T1462" s="112"/>
      <c r="U1462" s="112"/>
      <c r="V1462" s="112"/>
      <c r="W1462" s="112"/>
      <c r="X1462" s="112"/>
      <c r="Y1462" s="112"/>
      <c r="Z1462" s="465" t="s">
        <v>5315</v>
      </c>
      <c r="AA1462" s="104">
        <f t="shared" ca="1" si="211"/>
        <v>1</v>
      </c>
      <c r="AB1462" s="202"/>
      <c r="AC1462" s="459" t="str">
        <f t="shared" si="212"/>
        <v>1</v>
      </c>
    </row>
    <row r="1463" spans="1:29" ht="44" thickBot="1" x14ac:dyDescent="0.4">
      <c r="A1463" s="89" t="str">
        <f t="shared" si="213"/>
        <v>Closed</v>
      </c>
      <c r="B1463" s="222">
        <v>45980</v>
      </c>
      <c r="C1463" s="14">
        <v>2509</v>
      </c>
      <c r="D1463" s="14" t="s">
        <v>5918</v>
      </c>
      <c r="E1463" s="14" t="s">
        <v>31</v>
      </c>
      <c r="F1463" s="14" t="s">
        <v>2962</v>
      </c>
      <c r="G1463" s="14" t="s">
        <v>1900</v>
      </c>
      <c r="H1463" s="14">
        <v>122</v>
      </c>
      <c r="I1463" s="176" t="s">
        <v>155</v>
      </c>
      <c r="J1463" s="14">
        <v>1199</v>
      </c>
      <c r="K1463" s="87"/>
      <c r="L1463" s="328" t="s">
        <v>5919</v>
      </c>
      <c r="M1463" s="324">
        <f t="shared" si="210"/>
        <v>0</v>
      </c>
      <c r="N1463" s="14" t="s">
        <v>1879</v>
      </c>
      <c r="O1463" s="14" t="s">
        <v>1879</v>
      </c>
      <c r="P1463" s="167" t="s">
        <v>143</v>
      </c>
      <c r="Q1463" s="14"/>
      <c r="R1463" s="170">
        <f t="shared" ref="R1463" si="214">IF(I1463="Staff Accident","Entry Required",IF(I1463="Assaults","Entry Required",0))</f>
        <v>0</v>
      </c>
      <c r="S1463" s="224">
        <f t="shared" si="209"/>
        <v>46008</v>
      </c>
      <c r="T1463" s="79">
        <v>45980</v>
      </c>
      <c r="U1463" s="14"/>
      <c r="V1463" s="14"/>
      <c r="W1463" s="14"/>
      <c r="X1463" s="14"/>
      <c r="Z1463" s="14"/>
      <c r="AA1463" s="2">
        <f t="shared" ca="1" si="211"/>
        <v>1</v>
      </c>
      <c r="AB1463" s="153"/>
      <c r="AC1463" s="454" t="str">
        <f t="shared" si="212"/>
        <v>1</v>
      </c>
    </row>
    <row r="1464" spans="1:29" ht="44" thickBot="1" x14ac:dyDescent="0.4">
      <c r="A1464" s="89" t="str">
        <f t="shared" ca="1" si="213"/>
        <v>Overdue</v>
      </c>
      <c r="B1464" s="222">
        <v>45981</v>
      </c>
      <c r="C1464" s="14">
        <v>2509</v>
      </c>
      <c r="D1464" s="14" t="s">
        <v>5920</v>
      </c>
      <c r="E1464" s="14" t="s">
        <v>196</v>
      </c>
      <c r="F1464" s="14" t="s">
        <v>5921</v>
      </c>
      <c r="G1464" s="14" t="s">
        <v>5922</v>
      </c>
      <c r="H1464" s="14">
        <v>107</v>
      </c>
      <c r="I1464" s="176" t="s">
        <v>155</v>
      </c>
      <c r="J1464" s="14">
        <v>1156</v>
      </c>
      <c r="K1464" s="87"/>
      <c r="L1464" s="14" t="s">
        <v>5923</v>
      </c>
      <c r="M1464" s="324">
        <f t="shared" si="210"/>
        <v>0</v>
      </c>
      <c r="N1464" s="14" t="s">
        <v>1879</v>
      </c>
      <c r="O1464" s="14" t="s">
        <v>1880</v>
      </c>
      <c r="P1464" s="167" t="s">
        <v>147</v>
      </c>
      <c r="Q1464" s="14" t="s">
        <v>188</v>
      </c>
      <c r="R1464" s="223" t="s">
        <v>234</v>
      </c>
      <c r="S1464" s="224">
        <f t="shared" si="209"/>
        <v>46009</v>
      </c>
      <c r="T1464" s="14"/>
      <c r="U1464" s="14"/>
      <c r="V1464" s="14"/>
      <c r="W1464" s="14"/>
      <c r="X1464" s="14"/>
      <c r="Z1464" s="464" t="s">
        <v>5454</v>
      </c>
      <c r="AA1464" s="2">
        <f t="shared" ca="1" si="211"/>
        <v>1</v>
      </c>
      <c r="AB1464" s="153"/>
      <c r="AC1464" s="454" t="str">
        <f t="shared" si="212"/>
        <v>1</v>
      </c>
    </row>
    <row r="1465" spans="1:29" ht="58.5" thickBot="1" x14ac:dyDescent="0.4">
      <c r="A1465" s="89" t="str">
        <f>IF(T1465&gt;1,"Closed",IF(AA1465=1,"Overdue",IF(AA1465=3,"","Open")))</f>
        <v>Closed</v>
      </c>
      <c r="B1465" s="222">
        <v>45981</v>
      </c>
      <c r="C1465" s="14">
        <v>2509</v>
      </c>
      <c r="D1465" s="14" t="s">
        <v>5924</v>
      </c>
      <c r="E1465" s="14" t="s">
        <v>27</v>
      </c>
      <c r="F1465" s="14" t="s">
        <v>2073</v>
      </c>
      <c r="G1465" s="14" t="s">
        <v>1900</v>
      </c>
      <c r="H1465" s="14">
        <v>105</v>
      </c>
      <c r="I1465" s="176" t="s">
        <v>5</v>
      </c>
      <c r="J1465" s="14">
        <v>1307</v>
      </c>
      <c r="K1465" s="87"/>
      <c r="L1465" s="14" t="s">
        <v>5925</v>
      </c>
      <c r="M1465" s="324">
        <f t="shared" si="210"/>
        <v>0</v>
      </c>
      <c r="N1465" s="14" t="s">
        <v>1879</v>
      </c>
      <c r="O1465" s="14" t="s">
        <v>1880</v>
      </c>
      <c r="P1465" s="167" t="s">
        <v>147</v>
      </c>
      <c r="Q1465" s="14" t="s">
        <v>168</v>
      </c>
      <c r="R1465" s="223" t="s">
        <v>234</v>
      </c>
      <c r="S1465" s="224">
        <f t="shared" si="209"/>
        <v>46009</v>
      </c>
      <c r="T1465" s="79">
        <v>46037</v>
      </c>
      <c r="U1465" s="14"/>
      <c r="V1465" s="14"/>
      <c r="W1465" s="14"/>
      <c r="X1465" s="14"/>
      <c r="Z1465" s="14" t="s">
        <v>5341</v>
      </c>
      <c r="AA1465" s="2">
        <f t="shared" ca="1" si="211"/>
        <v>1</v>
      </c>
      <c r="AB1465" s="153"/>
      <c r="AC1465" s="454" t="e">
        <f>LEFT(#REF!,1)</f>
        <v>#REF!</v>
      </c>
    </row>
    <row r="1466" spans="1:29" ht="73" thickBot="1" x14ac:dyDescent="0.4">
      <c r="A1466" s="89" t="str">
        <f t="shared" ca="1" si="213"/>
        <v>Overdue</v>
      </c>
      <c r="B1466" s="222">
        <v>45981</v>
      </c>
      <c r="C1466" s="14">
        <v>2509</v>
      </c>
      <c r="D1466" s="14" t="s">
        <v>5926</v>
      </c>
      <c r="E1466" s="14" t="s">
        <v>31</v>
      </c>
      <c r="F1466" s="14" t="s">
        <v>3081</v>
      </c>
      <c r="G1466" s="14" t="s">
        <v>1911</v>
      </c>
      <c r="H1466" s="30">
        <v>123</v>
      </c>
      <c r="I1466" s="176" t="s">
        <v>155</v>
      </c>
      <c r="J1466" s="14">
        <v>1063</v>
      </c>
      <c r="K1466" s="87"/>
      <c r="L1466" s="14" t="s">
        <v>5927</v>
      </c>
      <c r="M1466" s="324">
        <f t="shared" si="210"/>
        <v>0</v>
      </c>
      <c r="N1466" s="14" t="s">
        <v>1879</v>
      </c>
      <c r="O1466" s="14" t="s">
        <v>1880</v>
      </c>
      <c r="P1466" s="167" t="s">
        <v>147</v>
      </c>
      <c r="Q1466" s="14" t="s">
        <v>135</v>
      </c>
      <c r="R1466" s="223" t="s">
        <v>234</v>
      </c>
      <c r="S1466" s="224">
        <f t="shared" si="209"/>
        <v>46009</v>
      </c>
      <c r="T1466" s="14"/>
      <c r="U1466" s="14"/>
      <c r="V1466" s="14"/>
      <c r="W1466" s="14"/>
      <c r="X1466" s="14"/>
      <c r="Z1466" s="465" t="s">
        <v>5315</v>
      </c>
      <c r="AA1466" s="2">
        <f t="shared" ca="1" si="211"/>
        <v>1</v>
      </c>
      <c r="AB1466" s="153"/>
      <c r="AC1466" s="454" t="str">
        <f>LEFT(H1465,1)</f>
        <v>1</v>
      </c>
    </row>
    <row r="1467" spans="1:29" ht="174.5" thickBot="1" x14ac:dyDescent="0.4">
      <c r="A1467" s="89" t="str">
        <f t="shared" ca="1" si="213"/>
        <v>Overdue</v>
      </c>
      <c r="B1467" s="222">
        <v>45982</v>
      </c>
      <c r="C1467" s="14">
        <v>2509</v>
      </c>
      <c r="D1467" s="14" t="s">
        <v>5928</v>
      </c>
      <c r="E1467" s="14" t="s">
        <v>56</v>
      </c>
      <c r="F1467" s="14" t="s">
        <v>2080</v>
      </c>
      <c r="G1467" s="14"/>
      <c r="H1467" s="14">
        <v>114</v>
      </c>
      <c r="I1467" s="176" t="s">
        <v>21</v>
      </c>
      <c r="J1467" s="14">
        <v>1259</v>
      </c>
      <c r="K1467" s="87"/>
      <c r="L1467" s="14" t="s">
        <v>5929</v>
      </c>
      <c r="M1467" s="324">
        <f t="shared" si="210"/>
        <v>0</v>
      </c>
      <c r="N1467" s="14" t="s">
        <v>1879</v>
      </c>
      <c r="O1467" s="14" t="s">
        <v>1879</v>
      </c>
      <c r="P1467" s="167" t="s">
        <v>151</v>
      </c>
      <c r="Q1467" s="14" t="s">
        <v>146</v>
      </c>
      <c r="R1467" s="223" t="s">
        <v>236</v>
      </c>
      <c r="S1467" s="224">
        <f t="shared" si="209"/>
        <v>46010</v>
      </c>
      <c r="T1467" s="14"/>
      <c r="U1467" s="14"/>
      <c r="V1467" s="14"/>
      <c r="W1467" s="14"/>
      <c r="X1467" s="14"/>
      <c r="Y1467" s="14" t="s">
        <v>2084</v>
      </c>
      <c r="Z1467" s="465" t="s">
        <v>5315</v>
      </c>
      <c r="AA1467" s="2">
        <f t="shared" ca="1" si="211"/>
        <v>1</v>
      </c>
      <c r="AB1467" s="153"/>
      <c r="AC1467" s="454" t="str">
        <f t="shared" si="212"/>
        <v>1</v>
      </c>
    </row>
    <row r="1468" spans="1:29" ht="44" thickBot="1" x14ac:dyDescent="0.4">
      <c r="A1468" s="89" t="str">
        <f t="shared" ca="1" si="213"/>
        <v>Overdue</v>
      </c>
      <c r="B1468" s="222">
        <v>45983</v>
      </c>
      <c r="C1468" s="14">
        <v>2509</v>
      </c>
      <c r="D1468" s="14" t="s">
        <v>5930</v>
      </c>
      <c r="E1468" s="14" t="s">
        <v>204</v>
      </c>
      <c r="F1468" s="14" t="s">
        <v>2245</v>
      </c>
      <c r="G1468" s="14" t="s">
        <v>1911</v>
      </c>
      <c r="H1468" s="14">
        <v>119</v>
      </c>
      <c r="I1468" s="176" t="s">
        <v>155</v>
      </c>
      <c r="J1468" s="14">
        <v>1279</v>
      </c>
      <c r="K1468" s="87"/>
      <c r="L1468" s="14" t="s">
        <v>5931</v>
      </c>
      <c r="M1468" s="324">
        <f t="shared" si="210"/>
        <v>0</v>
      </c>
      <c r="N1468" s="14" t="s">
        <v>1879</v>
      </c>
      <c r="O1468" s="14"/>
      <c r="P1468" s="167" t="s">
        <v>147</v>
      </c>
      <c r="Q1468" s="14" t="s">
        <v>135</v>
      </c>
      <c r="R1468" s="223" t="s">
        <v>234</v>
      </c>
      <c r="S1468" s="224">
        <f t="shared" si="209"/>
        <v>46011</v>
      </c>
      <c r="T1468" s="14"/>
      <c r="U1468" s="14"/>
      <c r="V1468" s="14"/>
      <c r="W1468" s="14"/>
      <c r="X1468" s="14"/>
      <c r="Z1468" s="465" t="s">
        <v>5932</v>
      </c>
      <c r="AA1468" s="2">
        <f t="shared" ca="1" si="211"/>
        <v>1</v>
      </c>
      <c r="AB1468" s="153"/>
      <c r="AC1468" s="454" t="str">
        <f t="shared" si="212"/>
        <v>1</v>
      </c>
    </row>
    <row r="1469" spans="1:29" s="203" customFormat="1" ht="29" x14ac:dyDescent="0.35">
      <c r="A1469" s="169" t="str">
        <f t="shared" si="213"/>
        <v>Closed</v>
      </c>
      <c r="B1469" s="226">
        <v>45983</v>
      </c>
      <c r="C1469" s="112">
        <v>2509</v>
      </c>
      <c r="D1469" s="112" t="s">
        <v>5933</v>
      </c>
      <c r="E1469" s="112" t="s">
        <v>8</v>
      </c>
      <c r="F1469" s="112" t="s">
        <v>3980</v>
      </c>
      <c r="G1469" s="112" t="s">
        <v>1911</v>
      </c>
      <c r="H1469" s="112">
        <v>113</v>
      </c>
      <c r="I1469" s="350" t="s">
        <v>140</v>
      </c>
      <c r="J1469" s="112">
        <v>1184</v>
      </c>
      <c r="K1469" s="351"/>
      <c r="L1469" s="112" t="s">
        <v>5934</v>
      </c>
      <c r="M1469" s="352">
        <f t="shared" si="210"/>
        <v>0</v>
      </c>
      <c r="N1469" s="112" t="s">
        <v>1879</v>
      </c>
      <c r="O1469" s="112" t="s">
        <v>1879</v>
      </c>
      <c r="P1469" s="353" t="s">
        <v>143</v>
      </c>
      <c r="Q1469" s="112"/>
      <c r="R1469" s="170">
        <v>0</v>
      </c>
      <c r="S1469" s="204">
        <f t="shared" si="209"/>
        <v>46011</v>
      </c>
      <c r="T1469" s="168">
        <v>45983</v>
      </c>
      <c r="U1469" s="112"/>
      <c r="V1469" s="112"/>
      <c r="W1469" s="112"/>
      <c r="X1469" s="112"/>
      <c r="Y1469" s="112"/>
      <c r="Z1469" s="112"/>
      <c r="AA1469" s="104">
        <f t="shared" ca="1" si="211"/>
        <v>1</v>
      </c>
      <c r="AB1469" s="202"/>
      <c r="AC1469" s="459" t="str">
        <f t="shared" si="212"/>
        <v>1</v>
      </c>
    </row>
    <row r="1470" spans="1:29" ht="58.5" thickBot="1" x14ac:dyDescent="0.4">
      <c r="A1470" s="89" t="str">
        <f t="shared" si="213"/>
        <v>Closed</v>
      </c>
      <c r="B1470" s="222">
        <v>45984</v>
      </c>
      <c r="C1470" s="14">
        <v>2509</v>
      </c>
      <c r="D1470" s="14" t="s">
        <v>5935</v>
      </c>
      <c r="E1470" s="14" t="s">
        <v>1997</v>
      </c>
      <c r="F1470" s="14" t="s">
        <v>1910</v>
      </c>
      <c r="G1470" s="14" t="s">
        <v>1911</v>
      </c>
      <c r="H1470" s="14"/>
      <c r="I1470" s="176" t="s">
        <v>140</v>
      </c>
      <c r="K1470" s="87"/>
      <c r="L1470" s="14" t="s">
        <v>5936</v>
      </c>
      <c r="M1470" s="324">
        <f t="shared" si="210"/>
        <v>0</v>
      </c>
      <c r="N1470" s="14" t="s">
        <v>1879</v>
      </c>
      <c r="O1470" s="14" t="s">
        <v>1879</v>
      </c>
      <c r="P1470" s="167" t="s">
        <v>143</v>
      </c>
      <c r="Q1470" s="14"/>
      <c r="R1470" s="170">
        <v>0</v>
      </c>
      <c r="S1470" s="224">
        <f t="shared" si="209"/>
        <v>46012</v>
      </c>
      <c r="T1470" s="79">
        <v>45984</v>
      </c>
      <c r="U1470" s="14"/>
      <c r="V1470" s="14"/>
      <c r="W1470" s="14"/>
      <c r="X1470" s="14"/>
      <c r="Y1470" s="23" t="s">
        <v>1915</v>
      </c>
      <c r="Z1470" s="14"/>
      <c r="AA1470" s="2">
        <f t="shared" ca="1" si="211"/>
        <v>1</v>
      </c>
      <c r="AB1470" s="153"/>
      <c r="AC1470" s="454" t="str">
        <f t="shared" si="212"/>
        <v/>
      </c>
    </row>
    <row r="1471" spans="1:29" ht="44" thickBot="1" x14ac:dyDescent="0.4">
      <c r="A1471" s="89" t="str">
        <f t="shared" ca="1" si="213"/>
        <v>Overdue</v>
      </c>
      <c r="B1471" s="222">
        <v>45984</v>
      </c>
      <c r="C1471" s="14">
        <v>2509</v>
      </c>
      <c r="D1471" s="14" t="s">
        <v>5937</v>
      </c>
      <c r="E1471" s="14" t="s">
        <v>61</v>
      </c>
      <c r="F1471" s="14" t="s">
        <v>1985</v>
      </c>
      <c r="G1471" s="14" t="s">
        <v>1911</v>
      </c>
      <c r="H1471" s="14">
        <v>123</v>
      </c>
      <c r="I1471" s="176" t="s">
        <v>155</v>
      </c>
      <c r="J1471" s="14">
        <v>1404</v>
      </c>
      <c r="K1471" s="87"/>
      <c r="L1471" s="14" t="s">
        <v>5938</v>
      </c>
      <c r="M1471" s="324">
        <f t="shared" si="210"/>
        <v>0</v>
      </c>
      <c r="N1471" s="14" t="s">
        <v>1879</v>
      </c>
      <c r="O1471" s="14" t="s">
        <v>1879</v>
      </c>
      <c r="P1471" s="167" t="s">
        <v>147</v>
      </c>
      <c r="Q1471" s="14" t="s">
        <v>185</v>
      </c>
      <c r="R1471" s="223" t="s">
        <v>234</v>
      </c>
      <c r="S1471" s="224">
        <f t="shared" si="209"/>
        <v>46012</v>
      </c>
      <c r="T1471" s="14"/>
      <c r="U1471" s="14"/>
      <c r="V1471" s="14"/>
      <c r="W1471" s="14"/>
      <c r="X1471" s="14"/>
      <c r="Z1471" s="465" t="s">
        <v>5315</v>
      </c>
      <c r="AA1471" s="2">
        <f t="shared" ca="1" si="211"/>
        <v>1</v>
      </c>
      <c r="AB1471" s="153"/>
      <c r="AC1471" s="454" t="str">
        <f t="shared" si="212"/>
        <v>1</v>
      </c>
    </row>
    <row r="1472" spans="1:29" ht="58" x14ac:dyDescent="0.35">
      <c r="A1472" s="89" t="str">
        <f t="shared" si="213"/>
        <v>Closed</v>
      </c>
      <c r="B1472" s="222">
        <v>45985</v>
      </c>
      <c r="C1472" s="14">
        <v>2509</v>
      </c>
      <c r="D1472" s="14" t="s">
        <v>5939</v>
      </c>
      <c r="E1472" s="14" t="s">
        <v>76</v>
      </c>
      <c r="F1472" s="14" t="s">
        <v>2048</v>
      </c>
      <c r="G1472" s="14"/>
      <c r="H1472" s="14">
        <v>117</v>
      </c>
      <c r="I1472" s="176" t="s">
        <v>140</v>
      </c>
      <c r="K1472" s="87"/>
      <c r="L1472" s="14" t="s">
        <v>5940</v>
      </c>
      <c r="M1472" s="324">
        <f t="shared" si="210"/>
        <v>0</v>
      </c>
      <c r="N1472" s="14" t="s">
        <v>1879</v>
      </c>
      <c r="O1472" s="14" t="s">
        <v>1879</v>
      </c>
      <c r="P1472" s="167" t="s">
        <v>143</v>
      </c>
      <c r="Q1472" s="14"/>
      <c r="R1472" s="170">
        <v>0</v>
      </c>
      <c r="S1472" s="224">
        <f t="shared" si="209"/>
        <v>46013</v>
      </c>
      <c r="T1472" s="79">
        <v>45986</v>
      </c>
      <c r="U1472" s="14"/>
      <c r="V1472" s="14"/>
      <c r="W1472" s="14"/>
      <c r="X1472" s="14"/>
      <c r="Z1472" s="14"/>
      <c r="AA1472" s="2">
        <f t="shared" ca="1" si="211"/>
        <v>1</v>
      </c>
      <c r="AB1472" s="153"/>
      <c r="AC1472" s="454" t="str">
        <f t="shared" si="212"/>
        <v>1</v>
      </c>
    </row>
    <row r="1473" spans="1:29" ht="116.5" thickBot="1" x14ac:dyDescent="0.4">
      <c r="A1473" s="89" t="str">
        <f t="shared" si="213"/>
        <v>Closed</v>
      </c>
      <c r="B1473" s="222">
        <v>45986</v>
      </c>
      <c r="C1473" s="14">
        <v>2509</v>
      </c>
      <c r="D1473" s="14" t="s">
        <v>5941</v>
      </c>
      <c r="E1473" s="14" t="s">
        <v>1997</v>
      </c>
      <c r="F1473" s="14" t="s">
        <v>5942</v>
      </c>
      <c r="G1473" s="14" t="s">
        <v>1900</v>
      </c>
      <c r="H1473" s="14">
        <v>103</v>
      </c>
      <c r="I1473" s="176" t="s">
        <v>140</v>
      </c>
      <c r="J1473" s="14">
        <v>1048</v>
      </c>
      <c r="K1473" s="87"/>
      <c r="L1473" s="14" t="s">
        <v>5943</v>
      </c>
      <c r="M1473" s="324">
        <f t="shared" si="210"/>
        <v>0</v>
      </c>
      <c r="N1473" s="14" t="s">
        <v>1879</v>
      </c>
      <c r="O1473" s="14" t="s">
        <v>1879</v>
      </c>
      <c r="P1473" s="167" t="s">
        <v>143</v>
      </c>
      <c r="Q1473" s="14"/>
      <c r="R1473" s="170">
        <v>0</v>
      </c>
      <c r="S1473" s="224">
        <f t="shared" si="209"/>
        <v>46014</v>
      </c>
      <c r="T1473" s="79">
        <v>45986</v>
      </c>
      <c r="U1473" s="14"/>
      <c r="V1473" s="14"/>
      <c r="W1473" s="14"/>
      <c r="X1473" s="14"/>
      <c r="Z1473" s="14"/>
      <c r="AA1473" s="2">
        <f t="shared" ca="1" si="211"/>
        <v>1</v>
      </c>
      <c r="AB1473" s="153"/>
      <c r="AC1473" s="454" t="str">
        <f t="shared" si="212"/>
        <v>1</v>
      </c>
    </row>
    <row r="1474" spans="1:29" ht="44" thickBot="1" x14ac:dyDescent="0.4">
      <c r="A1474" s="89" t="str">
        <f t="shared" ca="1" si="213"/>
        <v>Overdue</v>
      </c>
      <c r="B1474" s="222">
        <v>45987</v>
      </c>
      <c r="C1474" s="14">
        <v>2509</v>
      </c>
      <c r="D1474" s="14" t="s">
        <v>5944</v>
      </c>
      <c r="E1474" s="14" t="s">
        <v>31</v>
      </c>
      <c r="F1474" s="14" t="s">
        <v>2056</v>
      </c>
      <c r="G1474" s="14"/>
      <c r="H1474" s="14">
        <v>122</v>
      </c>
      <c r="I1474" s="176" t="s">
        <v>155</v>
      </c>
      <c r="J1474" s="14">
        <v>1263</v>
      </c>
      <c r="K1474" s="87"/>
      <c r="L1474" s="14" t="s">
        <v>5945</v>
      </c>
      <c r="M1474" s="324">
        <f t="shared" si="210"/>
        <v>0</v>
      </c>
      <c r="N1474" s="14" t="s">
        <v>1879</v>
      </c>
      <c r="O1474" s="14"/>
      <c r="P1474" s="167" t="s">
        <v>147</v>
      </c>
      <c r="Q1474" s="14" t="s">
        <v>174</v>
      </c>
      <c r="R1474" s="223" t="s">
        <v>234</v>
      </c>
      <c r="S1474" s="224">
        <f t="shared" si="209"/>
        <v>46015</v>
      </c>
      <c r="T1474" s="14"/>
      <c r="U1474" s="14"/>
      <c r="V1474" s="14"/>
      <c r="W1474" s="14"/>
      <c r="X1474" s="14"/>
      <c r="Z1474" s="465" t="s">
        <v>5315</v>
      </c>
      <c r="AA1474" s="2">
        <f t="shared" ca="1" si="211"/>
        <v>1</v>
      </c>
      <c r="AB1474" s="153"/>
      <c r="AC1474" s="454" t="str">
        <f t="shared" si="212"/>
        <v>1</v>
      </c>
    </row>
    <row r="1475" spans="1:29" s="318" customFormat="1" ht="43.5" x14ac:dyDescent="0.35">
      <c r="A1475" s="313" t="str">
        <f t="shared" si="213"/>
        <v>Closed</v>
      </c>
      <c r="B1475" s="314">
        <v>45987</v>
      </c>
      <c r="C1475" s="217">
        <v>2509</v>
      </c>
      <c r="D1475" s="217" t="s">
        <v>5946</v>
      </c>
      <c r="E1475" s="217" t="s">
        <v>37</v>
      </c>
      <c r="F1475" s="217" t="s">
        <v>2864</v>
      </c>
      <c r="G1475" s="217"/>
      <c r="H1475" s="217">
        <v>119</v>
      </c>
      <c r="I1475" s="322" t="s">
        <v>5</v>
      </c>
      <c r="J1475" s="217">
        <v>1144</v>
      </c>
      <c r="K1475" s="323"/>
      <c r="L1475" s="217" t="s">
        <v>5947</v>
      </c>
      <c r="M1475" s="341">
        <f t="shared" si="210"/>
        <v>0</v>
      </c>
      <c r="N1475" s="217" t="s">
        <v>1879</v>
      </c>
      <c r="O1475" s="217"/>
      <c r="P1475" s="315" t="s">
        <v>147</v>
      </c>
      <c r="Q1475" s="217" t="s">
        <v>177</v>
      </c>
      <c r="R1475" s="320" t="s">
        <v>234</v>
      </c>
      <c r="S1475" s="321">
        <f t="shared" si="209"/>
        <v>46015</v>
      </c>
      <c r="T1475" s="319">
        <v>46037</v>
      </c>
      <c r="U1475" s="217"/>
      <c r="V1475" s="217"/>
      <c r="W1475" s="217"/>
      <c r="X1475" s="217"/>
      <c r="Y1475" s="217"/>
      <c r="Z1475" s="217" t="s">
        <v>5341</v>
      </c>
      <c r="AA1475" s="316">
        <f t="shared" ca="1" si="211"/>
        <v>1</v>
      </c>
      <c r="AB1475" s="317"/>
      <c r="AC1475" s="455" t="str">
        <f t="shared" si="212"/>
        <v>1</v>
      </c>
    </row>
    <row r="1476" spans="1:29" s="318" customFormat="1" ht="29.5" thickBot="1" x14ac:dyDescent="0.4">
      <c r="A1476" s="313" t="str">
        <f t="shared" si="213"/>
        <v>Closed</v>
      </c>
      <c r="B1476" s="314">
        <v>45987</v>
      </c>
      <c r="C1476" s="217">
        <v>2509</v>
      </c>
      <c r="D1476" s="217" t="s">
        <v>5948</v>
      </c>
      <c r="E1476" s="217" t="s">
        <v>206</v>
      </c>
      <c r="F1476" s="217" t="s">
        <v>2864</v>
      </c>
      <c r="G1476" s="217"/>
      <c r="H1476" s="217"/>
      <c r="I1476" s="322" t="s">
        <v>140</v>
      </c>
      <c r="J1476" s="217"/>
      <c r="K1476" s="323"/>
      <c r="L1476" s="217" t="s">
        <v>5949</v>
      </c>
      <c r="M1476" s="341">
        <f t="shared" si="210"/>
        <v>0</v>
      </c>
      <c r="N1476" s="217" t="s">
        <v>1879</v>
      </c>
      <c r="O1476" s="217" t="s">
        <v>1879</v>
      </c>
      <c r="P1476" s="315" t="s">
        <v>143</v>
      </c>
      <c r="Q1476" s="217"/>
      <c r="R1476" s="170">
        <v>0</v>
      </c>
      <c r="S1476" s="321">
        <f t="shared" si="209"/>
        <v>46015</v>
      </c>
      <c r="T1476" s="319">
        <v>45987</v>
      </c>
      <c r="U1476" s="217"/>
      <c r="V1476" s="217"/>
      <c r="W1476" s="217"/>
      <c r="X1476" s="217"/>
      <c r="Y1476" s="217"/>
      <c r="Z1476" s="217"/>
      <c r="AA1476" s="316">
        <f t="shared" ca="1" si="211"/>
        <v>1</v>
      </c>
      <c r="AB1476" s="317"/>
      <c r="AC1476" s="455" t="str">
        <f t="shared" si="212"/>
        <v/>
      </c>
    </row>
    <row r="1477" spans="1:29" ht="58.5" thickBot="1" x14ac:dyDescent="0.5">
      <c r="A1477" s="89" t="str">
        <f t="shared" ca="1" si="213"/>
        <v>Overdue</v>
      </c>
      <c r="B1477" s="222">
        <v>45987</v>
      </c>
      <c r="C1477" s="14">
        <v>2509</v>
      </c>
      <c r="D1477" s="14" t="s">
        <v>5950</v>
      </c>
      <c r="E1477" s="14" t="s">
        <v>78</v>
      </c>
      <c r="F1477" s="30" t="s">
        <v>4849</v>
      </c>
      <c r="G1477" s="14"/>
      <c r="H1477" s="14"/>
      <c r="I1477" s="176" t="s">
        <v>140</v>
      </c>
      <c r="K1477" s="87"/>
      <c r="L1477" s="14" t="s">
        <v>5951</v>
      </c>
      <c r="M1477" s="324">
        <f t="shared" si="210"/>
        <v>0</v>
      </c>
      <c r="N1477" s="14" t="s">
        <v>1879</v>
      </c>
      <c r="O1477" s="14" t="s">
        <v>1880</v>
      </c>
      <c r="P1477" s="167" t="s">
        <v>147</v>
      </c>
      <c r="Q1477" s="14" t="s">
        <v>146</v>
      </c>
      <c r="R1477" s="223" t="s">
        <v>236</v>
      </c>
      <c r="S1477" s="224">
        <f t="shared" ref="S1477:S1540" si="215">IF(B1477="","",B1477+28)</f>
        <v>46015</v>
      </c>
      <c r="T1477" s="14"/>
      <c r="U1477" s="14"/>
      <c r="V1477" s="14"/>
      <c r="W1477" s="14"/>
      <c r="X1477" s="14"/>
      <c r="Y1477" s="463" t="s">
        <v>4852</v>
      </c>
      <c r="Z1477" s="465" t="s">
        <v>5315</v>
      </c>
      <c r="AA1477" s="2">
        <f t="shared" ca="1" si="211"/>
        <v>1</v>
      </c>
      <c r="AB1477" s="153"/>
      <c r="AC1477" s="454" t="str">
        <f t="shared" si="212"/>
        <v/>
      </c>
    </row>
    <row r="1478" spans="1:29" s="318" customFormat="1" ht="29.5" thickBot="1" x14ac:dyDescent="0.4">
      <c r="A1478" s="313" t="str">
        <f t="shared" si="213"/>
        <v>Closed</v>
      </c>
      <c r="B1478" s="314">
        <v>45987</v>
      </c>
      <c r="C1478" s="217">
        <v>2509</v>
      </c>
      <c r="D1478" s="217" t="s">
        <v>5952</v>
      </c>
      <c r="E1478" s="217" t="s">
        <v>8</v>
      </c>
      <c r="F1478" s="217" t="s">
        <v>1899</v>
      </c>
      <c r="G1478" s="217" t="s">
        <v>1900</v>
      </c>
      <c r="H1478" s="217">
        <v>107</v>
      </c>
      <c r="I1478" s="322" t="s">
        <v>140</v>
      </c>
      <c r="J1478" s="217"/>
      <c r="K1478" s="323"/>
      <c r="L1478" s="217" t="s">
        <v>5953</v>
      </c>
      <c r="M1478" s="341">
        <f t="shared" si="210"/>
        <v>0</v>
      </c>
      <c r="N1478" s="217" t="s">
        <v>1879</v>
      </c>
      <c r="O1478" s="217" t="s">
        <v>1879</v>
      </c>
      <c r="P1478" s="315" t="s">
        <v>143</v>
      </c>
      <c r="Q1478" s="217"/>
      <c r="R1478" s="170">
        <v>0</v>
      </c>
      <c r="S1478" s="321">
        <f t="shared" si="215"/>
        <v>46015</v>
      </c>
      <c r="T1478" s="319">
        <v>45987</v>
      </c>
      <c r="U1478" s="217"/>
      <c r="V1478" s="217"/>
      <c r="W1478" s="217"/>
      <c r="X1478" s="217"/>
      <c r="Y1478" s="217"/>
      <c r="Z1478" s="217"/>
      <c r="AA1478" s="316">
        <f t="shared" ca="1" si="211"/>
        <v>1</v>
      </c>
      <c r="AB1478" s="317"/>
      <c r="AC1478" s="455" t="str">
        <f t="shared" si="212"/>
        <v>1</v>
      </c>
    </row>
    <row r="1479" spans="1:29" s="318" customFormat="1" ht="58.5" thickBot="1" x14ac:dyDescent="0.4">
      <c r="A1479" s="313" t="str">
        <f t="shared" si="213"/>
        <v>Closed</v>
      </c>
      <c r="B1479" s="314">
        <v>45987</v>
      </c>
      <c r="C1479" s="217">
        <v>2509</v>
      </c>
      <c r="D1479" s="217" t="s">
        <v>5954</v>
      </c>
      <c r="E1479" s="217" t="s">
        <v>27</v>
      </c>
      <c r="F1479" s="217" t="s">
        <v>2162</v>
      </c>
      <c r="G1479" s="217" t="s">
        <v>1911</v>
      </c>
      <c r="H1479" s="217"/>
      <c r="I1479" s="322" t="s">
        <v>5</v>
      </c>
      <c r="J1479" s="217">
        <v>1304</v>
      </c>
      <c r="K1479" s="323"/>
      <c r="L1479" s="217" t="s">
        <v>5955</v>
      </c>
      <c r="M1479" s="341">
        <f t="shared" si="210"/>
        <v>0</v>
      </c>
      <c r="N1479" s="217" t="s">
        <v>1879</v>
      </c>
      <c r="O1479" s="217" t="s">
        <v>1880</v>
      </c>
      <c r="P1479" s="315" t="s">
        <v>147</v>
      </c>
      <c r="Q1479" s="217" t="s">
        <v>188</v>
      </c>
      <c r="R1479" s="320" t="s">
        <v>234</v>
      </c>
      <c r="S1479" s="321">
        <f t="shared" si="215"/>
        <v>46015</v>
      </c>
      <c r="T1479" s="319">
        <v>46037</v>
      </c>
      <c r="U1479" s="217"/>
      <c r="V1479" s="217"/>
      <c r="W1479" s="217"/>
      <c r="X1479" s="217"/>
      <c r="Y1479" s="464" t="s">
        <v>2164</v>
      </c>
      <c r="Z1479" s="217" t="s">
        <v>5341</v>
      </c>
      <c r="AA1479" s="316">
        <f t="shared" ca="1" si="211"/>
        <v>1</v>
      </c>
      <c r="AB1479" s="317"/>
      <c r="AC1479" s="455" t="str">
        <f t="shared" si="212"/>
        <v/>
      </c>
    </row>
    <row r="1480" spans="1:29" ht="44" thickBot="1" x14ac:dyDescent="0.4">
      <c r="A1480" s="89" t="str">
        <f t="shared" ca="1" si="213"/>
        <v>Overdue</v>
      </c>
      <c r="B1480" s="222">
        <v>45987</v>
      </c>
      <c r="C1480" s="14">
        <v>2509</v>
      </c>
      <c r="D1480" s="14" t="s">
        <v>5956</v>
      </c>
      <c r="E1480" s="14" t="s">
        <v>31</v>
      </c>
      <c r="F1480" s="14" t="s">
        <v>2349</v>
      </c>
      <c r="G1480" s="14" t="s">
        <v>1911</v>
      </c>
      <c r="H1480" s="14">
        <v>123</v>
      </c>
      <c r="I1480" s="176" t="s">
        <v>155</v>
      </c>
      <c r="J1480" s="14">
        <v>1259</v>
      </c>
      <c r="K1480" s="87"/>
      <c r="L1480" s="14" t="s">
        <v>5957</v>
      </c>
      <c r="M1480" s="324">
        <f t="shared" si="210"/>
        <v>0</v>
      </c>
      <c r="N1480" s="14" t="s">
        <v>1879</v>
      </c>
      <c r="O1480" s="14" t="s">
        <v>1879</v>
      </c>
      <c r="P1480" s="167" t="s">
        <v>147</v>
      </c>
      <c r="Q1480" s="14" t="s">
        <v>174</v>
      </c>
      <c r="R1480" s="223" t="s">
        <v>234</v>
      </c>
      <c r="S1480" s="224">
        <f t="shared" si="215"/>
        <v>46015</v>
      </c>
      <c r="T1480" s="14"/>
      <c r="U1480" s="14"/>
      <c r="V1480" s="14"/>
      <c r="W1480" s="14"/>
      <c r="X1480" s="14"/>
      <c r="Y1480" s="14" t="s">
        <v>2351</v>
      </c>
      <c r="Z1480" s="465" t="s">
        <v>5315</v>
      </c>
      <c r="AA1480" s="2">
        <f t="shared" ca="1" si="211"/>
        <v>1</v>
      </c>
      <c r="AB1480" s="153"/>
      <c r="AC1480" s="454" t="str">
        <f t="shared" si="212"/>
        <v>1</v>
      </c>
    </row>
    <row r="1481" spans="1:29" ht="73" thickBot="1" x14ac:dyDescent="0.4">
      <c r="A1481" s="89" t="str">
        <f t="shared" ca="1" si="213"/>
        <v>Overdue</v>
      </c>
      <c r="B1481" s="222">
        <v>45990</v>
      </c>
      <c r="C1481" s="14">
        <v>2509</v>
      </c>
      <c r="D1481" s="14" t="s">
        <v>5958</v>
      </c>
      <c r="E1481" s="14" t="s">
        <v>31</v>
      </c>
      <c r="F1481" s="14" t="s">
        <v>1968</v>
      </c>
      <c r="G1481" s="14"/>
      <c r="H1481" s="14">
        <v>205</v>
      </c>
      <c r="I1481" s="176" t="s">
        <v>155</v>
      </c>
      <c r="J1481" s="14">
        <v>1077</v>
      </c>
      <c r="K1481" s="87"/>
      <c r="L1481" s="14" t="s">
        <v>5959</v>
      </c>
      <c r="M1481" s="324">
        <f t="shared" si="210"/>
        <v>0</v>
      </c>
      <c r="N1481" s="14" t="s">
        <v>1879</v>
      </c>
      <c r="O1481" s="14" t="s">
        <v>1879</v>
      </c>
      <c r="P1481" s="167" t="s">
        <v>147</v>
      </c>
      <c r="Q1481" s="14" t="s">
        <v>174</v>
      </c>
      <c r="R1481" s="223" t="s">
        <v>234</v>
      </c>
      <c r="S1481" s="224">
        <f t="shared" si="215"/>
        <v>46018</v>
      </c>
      <c r="T1481" s="14"/>
      <c r="U1481" s="14"/>
      <c r="V1481" s="14"/>
      <c r="W1481" s="14"/>
      <c r="X1481" s="14"/>
      <c r="Z1481" s="465" t="s">
        <v>5315</v>
      </c>
      <c r="AA1481" s="2">
        <f t="shared" ca="1" si="211"/>
        <v>1</v>
      </c>
      <c r="AB1481" s="153"/>
      <c r="AC1481" s="454" t="str">
        <f t="shared" si="212"/>
        <v>2</v>
      </c>
    </row>
    <row r="1482" spans="1:29" s="318" customFormat="1" ht="43.5" x14ac:dyDescent="0.35">
      <c r="A1482" s="313" t="str">
        <f t="shared" si="213"/>
        <v>Closed</v>
      </c>
      <c r="B1482" s="314">
        <v>45990</v>
      </c>
      <c r="C1482" s="217">
        <v>2509</v>
      </c>
      <c r="D1482" s="217" t="s">
        <v>5960</v>
      </c>
      <c r="E1482" s="217" t="s">
        <v>219</v>
      </c>
      <c r="F1482" s="217" t="s">
        <v>2245</v>
      </c>
      <c r="G1482" s="217" t="s">
        <v>1900</v>
      </c>
      <c r="H1482" s="217">
        <v>119</v>
      </c>
      <c r="I1482" s="322" t="s">
        <v>140</v>
      </c>
      <c r="J1482" s="217">
        <v>1073</v>
      </c>
      <c r="K1482" s="323"/>
      <c r="L1482" s="217" t="s">
        <v>5961</v>
      </c>
      <c r="M1482" s="341">
        <f t="shared" si="210"/>
        <v>0</v>
      </c>
      <c r="N1482" s="217" t="s">
        <v>1879</v>
      </c>
      <c r="O1482" s="217" t="s">
        <v>1879</v>
      </c>
      <c r="P1482" s="315" t="s">
        <v>143</v>
      </c>
      <c r="Q1482" s="217"/>
      <c r="R1482" s="170">
        <v>0</v>
      </c>
      <c r="S1482" s="321">
        <f t="shared" si="215"/>
        <v>46018</v>
      </c>
      <c r="T1482" s="319">
        <v>45990</v>
      </c>
      <c r="U1482" s="217"/>
      <c r="V1482" s="217"/>
      <c r="W1482" s="217"/>
      <c r="X1482" s="217"/>
      <c r="Y1482" s="217"/>
      <c r="Z1482" s="217"/>
      <c r="AA1482" s="316">
        <f t="shared" ca="1" si="211"/>
        <v>1</v>
      </c>
      <c r="AB1482" s="317"/>
      <c r="AC1482" s="455" t="str">
        <f t="shared" si="212"/>
        <v>1</v>
      </c>
    </row>
    <row r="1483" spans="1:29" ht="29.5" thickBot="1" x14ac:dyDescent="0.4">
      <c r="A1483" s="89" t="str">
        <f t="shared" si="213"/>
        <v>Closed</v>
      </c>
      <c r="B1483" s="222">
        <v>45991</v>
      </c>
      <c r="C1483" s="14">
        <v>2509</v>
      </c>
      <c r="D1483" s="14" t="s">
        <v>5962</v>
      </c>
      <c r="E1483" s="14" t="s">
        <v>1997</v>
      </c>
      <c r="F1483" s="14" t="s">
        <v>2299</v>
      </c>
      <c r="G1483" s="14"/>
      <c r="H1483" s="14">
        <v>114</v>
      </c>
      <c r="I1483" s="176" t="s">
        <v>140</v>
      </c>
      <c r="J1483" s="14">
        <v>1169</v>
      </c>
      <c r="K1483" s="87"/>
      <c r="L1483" s="14" t="s">
        <v>5963</v>
      </c>
      <c r="M1483" s="324">
        <f t="shared" si="210"/>
        <v>0</v>
      </c>
      <c r="N1483" s="14" t="s">
        <v>1879</v>
      </c>
      <c r="O1483" s="14" t="s">
        <v>1879</v>
      </c>
      <c r="P1483" s="167" t="s">
        <v>143</v>
      </c>
      <c r="Q1483" s="14"/>
      <c r="R1483" s="170">
        <v>0</v>
      </c>
      <c r="S1483" s="224">
        <f t="shared" si="215"/>
        <v>46019</v>
      </c>
      <c r="T1483" s="79">
        <v>45991</v>
      </c>
      <c r="U1483" s="14"/>
      <c r="V1483" s="14"/>
      <c r="W1483" s="14"/>
      <c r="X1483" s="14"/>
      <c r="Z1483" s="14"/>
      <c r="AA1483" s="2">
        <f t="shared" ca="1" si="211"/>
        <v>1</v>
      </c>
      <c r="AB1483" s="153"/>
      <c r="AC1483" s="454" t="str">
        <f t="shared" si="212"/>
        <v>1</v>
      </c>
    </row>
    <row r="1484" spans="1:29" ht="189" thickBot="1" x14ac:dyDescent="0.4">
      <c r="A1484" s="89" t="str">
        <f t="shared" ca="1" si="213"/>
        <v>Overdue</v>
      </c>
      <c r="B1484" s="222">
        <v>45992</v>
      </c>
      <c r="C1484" s="14">
        <v>2509</v>
      </c>
      <c r="D1484" s="14" t="s">
        <v>5964</v>
      </c>
      <c r="E1484" s="14" t="s">
        <v>78</v>
      </c>
      <c r="F1484" s="14" t="s">
        <v>2060</v>
      </c>
      <c r="G1484" s="14" t="s">
        <v>1911</v>
      </c>
      <c r="H1484" s="14">
        <v>109</v>
      </c>
      <c r="I1484" s="176" t="s">
        <v>155</v>
      </c>
      <c r="J1484" s="14">
        <v>1048</v>
      </c>
      <c r="K1484" s="87"/>
      <c r="L1484" s="14" t="s">
        <v>5965</v>
      </c>
      <c r="M1484" s="324">
        <f t="shared" si="210"/>
        <v>0</v>
      </c>
      <c r="N1484" s="14" t="s">
        <v>1880</v>
      </c>
      <c r="O1484" s="14"/>
      <c r="P1484" s="167" t="s">
        <v>147</v>
      </c>
      <c r="Q1484" s="14" t="s">
        <v>177</v>
      </c>
      <c r="R1484" s="223" t="s">
        <v>234</v>
      </c>
      <c r="S1484" s="224">
        <f t="shared" si="215"/>
        <v>46020</v>
      </c>
      <c r="T1484" s="14"/>
      <c r="U1484" s="14"/>
      <c r="V1484" s="14"/>
      <c r="W1484" s="14"/>
      <c r="X1484" s="14"/>
      <c r="Y1484" s="466" t="s">
        <v>2062</v>
      </c>
      <c r="Z1484" s="465" t="s">
        <v>5315</v>
      </c>
      <c r="AA1484" s="2">
        <f t="shared" ca="1" si="211"/>
        <v>1</v>
      </c>
      <c r="AB1484" s="153"/>
      <c r="AC1484" s="454" t="str">
        <f t="shared" si="212"/>
        <v>1</v>
      </c>
    </row>
    <row r="1485" spans="1:29" s="203" customFormat="1" ht="72.5" x14ac:dyDescent="0.45">
      <c r="A1485" s="169" t="str">
        <f t="shared" si="213"/>
        <v>Closed</v>
      </c>
      <c r="B1485" s="226">
        <v>45992</v>
      </c>
      <c r="C1485" s="112">
        <v>2509</v>
      </c>
      <c r="D1485" s="112" t="s">
        <v>5966</v>
      </c>
      <c r="E1485" s="112" t="s">
        <v>78</v>
      </c>
      <c r="F1485" s="112" t="s">
        <v>5526</v>
      </c>
      <c r="G1485" s="112"/>
      <c r="H1485" s="112"/>
      <c r="I1485" s="350" t="s">
        <v>140</v>
      </c>
      <c r="J1485" s="112"/>
      <c r="K1485" s="351"/>
      <c r="L1485" s="112" t="s">
        <v>5967</v>
      </c>
      <c r="M1485" s="352">
        <f t="shared" si="210"/>
        <v>0</v>
      </c>
      <c r="N1485" s="112" t="s">
        <v>1879</v>
      </c>
      <c r="O1485" s="112" t="s">
        <v>1880</v>
      </c>
      <c r="P1485" s="353" t="s">
        <v>143</v>
      </c>
      <c r="Q1485" s="112"/>
      <c r="R1485" s="170">
        <v>0</v>
      </c>
      <c r="S1485" s="204">
        <f t="shared" si="215"/>
        <v>46020</v>
      </c>
      <c r="T1485" s="168">
        <v>45992</v>
      </c>
      <c r="U1485" s="112"/>
      <c r="V1485" s="112"/>
      <c r="W1485" s="112"/>
      <c r="X1485" s="112"/>
      <c r="Y1485" s="463" t="s">
        <v>5528</v>
      </c>
      <c r="Z1485" s="112"/>
      <c r="AA1485" s="104">
        <f t="shared" ca="1" si="211"/>
        <v>1</v>
      </c>
      <c r="AB1485" s="202"/>
      <c r="AC1485" s="459" t="str">
        <f t="shared" si="212"/>
        <v/>
      </c>
    </row>
    <row r="1486" spans="1:29" s="203" customFormat="1" ht="43.5" x14ac:dyDescent="0.35">
      <c r="A1486" s="169" t="str">
        <f t="shared" si="213"/>
        <v>Closed</v>
      </c>
      <c r="B1486" s="226">
        <v>45993</v>
      </c>
      <c r="C1486" s="112">
        <v>2509</v>
      </c>
      <c r="D1486" s="112" t="s">
        <v>5968</v>
      </c>
      <c r="E1486" s="112" t="s">
        <v>8</v>
      </c>
      <c r="F1486" s="112" t="s">
        <v>1899</v>
      </c>
      <c r="G1486" s="112" t="s">
        <v>1900</v>
      </c>
      <c r="H1486" s="112">
        <v>113</v>
      </c>
      <c r="I1486" s="350" t="s">
        <v>140</v>
      </c>
      <c r="J1486" s="112">
        <v>1102</v>
      </c>
      <c r="K1486" s="351"/>
      <c r="L1486" s="112" t="s">
        <v>5969</v>
      </c>
      <c r="M1486" s="352">
        <f t="shared" si="210"/>
        <v>0</v>
      </c>
      <c r="N1486" s="112" t="s">
        <v>1879</v>
      </c>
      <c r="O1486" s="112" t="s">
        <v>1879</v>
      </c>
      <c r="P1486" s="353" t="s">
        <v>143</v>
      </c>
      <c r="Q1486" s="112"/>
      <c r="R1486" s="170">
        <v>0</v>
      </c>
      <c r="S1486" s="204">
        <f t="shared" si="215"/>
        <v>46021</v>
      </c>
      <c r="T1486" s="168">
        <v>45993</v>
      </c>
      <c r="U1486" s="112"/>
      <c r="V1486" s="112"/>
      <c r="W1486" s="112"/>
      <c r="X1486" s="112"/>
      <c r="Y1486" s="112"/>
      <c r="Z1486" s="112"/>
      <c r="AA1486" s="104">
        <f t="shared" ca="1" si="211"/>
        <v>1</v>
      </c>
      <c r="AB1486" s="202"/>
      <c r="AC1486" s="459" t="str">
        <f t="shared" si="212"/>
        <v>1</v>
      </c>
    </row>
    <row r="1487" spans="1:29" s="203" customFormat="1" ht="72.5" x14ac:dyDescent="0.35">
      <c r="A1487" s="169" t="str">
        <f t="shared" si="213"/>
        <v>Closed</v>
      </c>
      <c r="B1487" s="226">
        <v>45992</v>
      </c>
      <c r="C1487" s="112">
        <v>2509</v>
      </c>
      <c r="D1487" s="112" t="s">
        <v>5970</v>
      </c>
      <c r="E1487" s="112" t="s">
        <v>64</v>
      </c>
      <c r="F1487" s="112" t="s">
        <v>5971</v>
      </c>
      <c r="G1487" s="112"/>
      <c r="H1487" s="112">
        <v>205</v>
      </c>
      <c r="I1487" s="350" t="s">
        <v>140</v>
      </c>
      <c r="J1487" s="112">
        <v>1278</v>
      </c>
      <c r="K1487" s="351"/>
      <c r="L1487" s="112" t="s">
        <v>5972</v>
      </c>
      <c r="M1487" s="352">
        <f t="shared" si="210"/>
        <v>0</v>
      </c>
      <c r="N1487" s="112" t="s">
        <v>1880</v>
      </c>
      <c r="O1487" s="112" t="s">
        <v>1879</v>
      </c>
      <c r="P1487" s="353" t="s">
        <v>143</v>
      </c>
      <c r="Q1487" s="112"/>
      <c r="R1487" s="170">
        <v>0</v>
      </c>
      <c r="S1487" s="204">
        <f t="shared" si="215"/>
        <v>46020</v>
      </c>
      <c r="T1487" s="168">
        <v>45993</v>
      </c>
      <c r="U1487" s="112"/>
      <c r="V1487" s="112"/>
      <c r="W1487" s="112"/>
      <c r="X1487" s="112"/>
      <c r="Y1487" s="23" t="s">
        <v>1915</v>
      </c>
      <c r="Z1487" s="112"/>
      <c r="AA1487" s="104">
        <f t="shared" ca="1" si="211"/>
        <v>1</v>
      </c>
      <c r="AB1487" s="202"/>
      <c r="AC1487" s="459" t="str">
        <f t="shared" si="212"/>
        <v>2</v>
      </c>
    </row>
    <row r="1488" spans="1:29" s="203" customFormat="1" ht="43.5" x14ac:dyDescent="0.35">
      <c r="A1488" s="169" t="str">
        <f t="shared" si="213"/>
        <v>Closed</v>
      </c>
      <c r="B1488" s="226">
        <v>45994</v>
      </c>
      <c r="C1488" s="112">
        <v>2509</v>
      </c>
      <c r="D1488" s="112" t="s">
        <v>5973</v>
      </c>
      <c r="E1488" s="112" t="s">
        <v>27</v>
      </c>
      <c r="F1488" s="112" t="s">
        <v>2019</v>
      </c>
      <c r="G1488" s="112" t="s">
        <v>1900</v>
      </c>
      <c r="H1488" s="112">
        <v>104</v>
      </c>
      <c r="I1488" s="350" t="s">
        <v>5</v>
      </c>
      <c r="J1488" s="112">
        <v>1070</v>
      </c>
      <c r="K1488" s="351"/>
      <c r="L1488" s="112" t="s">
        <v>5974</v>
      </c>
      <c r="M1488" s="352">
        <f t="shared" si="210"/>
        <v>0</v>
      </c>
      <c r="N1488" s="112" t="s">
        <v>1879</v>
      </c>
      <c r="O1488" s="112" t="s">
        <v>1879</v>
      </c>
      <c r="P1488" s="353" t="s">
        <v>143</v>
      </c>
      <c r="Q1488" s="112"/>
      <c r="R1488" s="170">
        <v>0</v>
      </c>
      <c r="S1488" s="204">
        <f t="shared" si="215"/>
        <v>46022</v>
      </c>
      <c r="T1488" s="168">
        <v>45994</v>
      </c>
      <c r="U1488" s="112"/>
      <c r="V1488" s="112"/>
      <c r="W1488" s="112"/>
      <c r="X1488" s="112"/>
      <c r="Y1488" s="112"/>
      <c r="Z1488" s="112"/>
      <c r="AA1488" s="104">
        <f t="shared" ca="1" si="211"/>
        <v>1</v>
      </c>
      <c r="AB1488" s="202"/>
      <c r="AC1488" s="459" t="str">
        <f t="shared" si="212"/>
        <v>1</v>
      </c>
    </row>
    <row r="1489" spans="1:29" s="203" customFormat="1" ht="87" x14ac:dyDescent="0.35">
      <c r="A1489" s="169" t="str">
        <f t="shared" ca="1" si="213"/>
        <v>Overdue</v>
      </c>
      <c r="B1489" s="226">
        <v>45995</v>
      </c>
      <c r="C1489" s="112">
        <v>2509</v>
      </c>
      <c r="D1489" s="112" t="s">
        <v>5975</v>
      </c>
      <c r="E1489" s="294" t="s">
        <v>38</v>
      </c>
      <c r="F1489" s="112" t="s">
        <v>2060</v>
      </c>
      <c r="G1489" s="112" t="s">
        <v>1900</v>
      </c>
      <c r="H1489" s="112">
        <v>113</v>
      </c>
      <c r="I1489" s="350" t="s">
        <v>2</v>
      </c>
      <c r="J1489" s="112">
        <v>1181</v>
      </c>
      <c r="K1489" s="351" t="s">
        <v>137</v>
      </c>
      <c r="L1489" s="112" t="s">
        <v>5976</v>
      </c>
      <c r="M1489" s="352">
        <v>0</v>
      </c>
      <c r="N1489" s="112" t="s">
        <v>1879</v>
      </c>
      <c r="O1489" s="112" t="s">
        <v>1880</v>
      </c>
      <c r="P1489" s="353" t="s">
        <v>136</v>
      </c>
      <c r="Q1489" s="112" t="s">
        <v>153</v>
      </c>
      <c r="R1489" s="312" t="s">
        <v>234</v>
      </c>
      <c r="S1489" s="204">
        <f t="shared" si="215"/>
        <v>46023</v>
      </c>
      <c r="T1489" s="112"/>
      <c r="U1489" s="112"/>
      <c r="V1489" s="112"/>
      <c r="W1489" s="112"/>
      <c r="X1489" s="112"/>
      <c r="Y1489" s="466" t="s">
        <v>2062</v>
      </c>
      <c r="Z1489" s="14" t="s">
        <v>5350</v>
      </c>
      <c r="AA1489" s="104">
        <f t="shared" ca="1" si="211"/>
        <v>1</v>
      </c>
      <c r="AB1489" s="202"/>
      <c r="AC1489" s="459" t="str">
        <f t="shared" si="212"/>
        <v>1</v>
      </c>
    </row>
    <row r="1490" spans="1:29" ht="58" x14ac:dyDescent="0.35">
      <c r="A1490" s="89" t="str">
        <f t="shared" si="213"/>
        <v>Closed</v>
      </c>
      <c r="B1490" s="222">
        <v>45996</v>
      </c>
      <c r="C1490" s="14">
        <v>2509</v>
      </c>
      <c r="D1490" s="14" t="s">
        <v>5977</v>
      </c>
      <c r="E1490" s="14" t="s">
        <v>38</v>
      </c>
      <c r="F1490" s="14" t="s">
        <v>5907</v>
      </c>
      <c r="G1490" s="14"/>
      <c r="H1490" s="14"/>
      <c r="I1490" s="176" t="s">
        <v>2</v>
      </c>
      <c r="K1490" s="87" t="s">
        <v>137</v>
      </c>
      <c r="L1490" s="14" t="s">
        <v>5978</v>
      </c>
      <c r="M1490" s="324">
        <v>0</v>
      </c>
      <c r="N1490" s="14" t="s">
        <v>1879</v>
      </c>
      <c r="O1490" s="14" t="s">
        <v>1880</v>
      </c>
      <c r="P1490" s="167" t="s">
        <v>136</v>
      </c>
      <c r="Q1490" s="14" t="s">
        <v>189</v>
      </c>
      <c r="R1490" s="223" t="s">
        <v>236</v>
      </c>
      <c r="S1490" s="224">
        <f t="shared" si="215"/>
        <v>46024</v>
      </c>
      <c r="T1490" s="79">
        <v>46007</v>
      </c>
      <c r="U1490" s="14" t="s">
        <v>5979</v>
      </c>
      <c r="V1490" s="14" t="s">
        <v>5980</v>
      </c>
      <c r="W1490" s="14" t="s">
        <v>1879</v>
      </c>
      <c r="X1490" s="14" t="s">
        <v>154</v>
      </c>
      <c r="Z1490" s="14"/>
      <c r="AA1490" s="2">
        <f t="shared" ca="1" si="211"/>
        <v>1</v>
      </c>
      <c r="AB1490" s="153"/>
      <c r="AC1490" s="454" t="str">
        <f t="shared" si="212"/>
        <v/>
      </c>
    </row>
    <row r="1491" spans="1:29" s="203" customFormat="1" ht="43.5" x14ac:dyDescent="0.35">
      <c r="A1491" s="169" t="str">
        <f t="shared" si="213"/>
        <v>Closed</v>
      </c>
      <c r="B1491" s="226">
        <v>45996</v>
      </c>
      <c r="C1491" s="112">
        <v>2509</v>
      </c>
      <c r="D1491" s="112" t="s">
        <v>5981</v>
      </c>
      <c r="E1491" s="112" t="s">
        <v>64</v>
      </c>
      <c r="F1491" s="112" t="s">
        <v>5616</v>
      </c>
      <c r="G1491" s="112" t="s">
        <v>1911</v>
      </c>
      <c r="H1491" s="112"/>
      <c r="I1491" s="350" t="s">
        <v>140</v>
      </c>
      <c r="J1491" s="112"/>
      <c r="K1491" s="351"/>
      <c r="L1491" s="112" t="s">
        <v>5982</v>
      </c>
      <c r="M1491" s="352">
        <f t="shared" si="210"/>
        <v>0</v>
      </c>
      <c r="N1491" s="112" t="s">
        <v>1880</v>
      </c>
      <c r="O1491" s="112" t="s">
        <v>1879</v>
      </c>
      <c r="P1491" s="353" t="s">
        <v>143</v>
      </c>
      <c r="Q1491" s="112"/>
      <c r="R1491" s="170">
        <v>0</v>
      </c>
      <c r="S1491" s="204">
        <f t="shared" si="215"/>
        <v>46024</v>
      </c>
      <c r="T1491" s="168">
        <v>45996</v>
      </c>
      <c r="U1491" s="112"/>
      <c r="V1491" s="112"/>
      <c r="W1491" s="112"/>
      <c r="X1491" s="112"/>
      <c r="Y1491" s="112"/>
      <c r="Z1491" s="112"/>
      <c r="AA1491" s="104">
        <f t="shared" ca="1" si="211"/>
        <v>1</v>
      </c>
      <c r="AB1491" s="202"/>
      <c r="AC1491" s="459" t="str">
        <f t="shared" si="212"/>
        <v/>
      </c>
    </row>
    <row r="1492" spans="1:29" s="203" customFormat="1" ht="87" x14ac:dyDescent="0.35">
      <c r="A1492" s="169" t="str">
        <f t="shared" ca="1" si="213"/>
        <v>Overdue</v>
      </c>
      <c r="B1492" s="226">
        <v>45996</v>
      </c>
      <c r="C1492" s="112">
        <v>2509</v>
      </c>
      <c r="D1492" s="112" t="s">
        <v>5983</v>
      </c>
      <c r="E1492" s="112" t="s">
        <v>27</v>
      </c>
      <c r="F1492" s="112" t="s">
        <v>3086</v>
      </c>
      <c r="G1492" s="112" t="s">
        <v>1900</v>
      </c>
      <c r="H1492" s="112">
        <v>113</v>
      </c>
      <c r="I1492" s="350" t="s">
        <v>5</v>
      </c>
      <c r="J1492" s="112">
        <v>1404</v>
      </c>
      <c r="K1492" s="351"/>
      <c r="L1492" s="14" t="s">
        <v>5984</v>
      </c>
      <c r="M1492" s="352">
        <f t="shared" ref="M1492:M1555" si="216">IF(I1492="Staff Accident","Entry Required",IF(I1492="Assaults","Entry Required",0))</f>
        <v>0</v>
      </c>
      <c r="N1492" s="112" t="s">
        <v>1879</v>
      </c>
      <c r="O1492" s="112" t="s">
        <v>1880</v>
      </c>
      <c r="P1492" s="353" t="s">
        <v>147</v>
      </c>
      <c r="Q1492" s="112" t="s">
        <v>153</v>
      </c>
      <c r="R1492" s="312" t="s">
        <v>234</v>
      </c>
      <c r="S1492" s="204">
        <f t="shared" si="215"/>
        <v>46024</v>
      </c>
      <c r="T1492" s="112"/>
      <c r="U1492" s="112"/>
      <c r="V1492" s="112"/>
      <c r="W1492" s="112"/>
      <c r="X1492" s="112"/>
      <c r="Y1492" s="112"/>
      <c r="Z1492" s="14" t="s">
        <v>5350</v>
      </c>
      <c r="AA1492" s="104">
        <f t="shared" ca="1" si="211"/>
        <v>1</v>
      </c>
      <c r="AB1492" s="202"/>
      <c r="AC1492" s="459" t="str">
        <f t="shared" si="212"/>
        <v>1</v>
      </c>
    </row>
    <row r="1493" spans="1:29" s="203" customFormat="1" ht="29" x14ac:dyDescent="0.35">
      <c r="A1493" s="169" t="str">
        <f t="shared" si="213"/>
        <v>Closed</v>
      </c>
      <c r="B1493" s="226">
        <v>45997</v>
      </c>
      <c r="C1493" s="112">
        <v>2509</v>
      </c>
      <c r="D1493" s="112" t="s">
        <v>5985</v>
      </c>
      <c r="E1493" s="112" t="s">
        <v>27</v>
      </c>
      <c r="F1493" s="112" t="s">
        <v>3086</v>
      </c>
      <c r="G1493" s="112" t="s">
        <v>1900</v>
      </c>
      <c r="H1493" s="112">
        <v>125</v>
      </c>
      <c r="I1493" s="350" t="s">
        <v>5</v>
      </c>
      <c r="J1493" s="112">
        <v>1293</v>
      </c>
      <c r="K1493" s="351"/>
      <c r="L1493" s="112" t="s">
        <v>5986</v>
      </c>
      <c r="M1493" s="352">
        <f t="shared" si="216"/>
        <v>0</v>
      </c>
      <c r="N1493" s="112" t="s">
        <v>1879</v>
      </c>
      <c r="O1493" s="112" t="s">
        <v>1879</v>
      </c>
      <c r="P1493" s="353" t="s">
        <v>147</v>
      </c>
      <c r="Q1493" s="112" t="s">
        <v>185</v>
      </c>
      <c r="R1493" s="312" t="s">
        <v>234</v>
      </c>
      <c r="S1493" s="204">
        <f t="shared" si="215"/>
        <v>46025</v>
      </c>
      <c r="T1493" s="168">
        <v>46037</v>
      </c>
      <c r="U1493" s="112"/>
      <c r="V1493" s="112"/>
      <c r="W1493" s="112"/>
      <c r="X1493" s="112"/>
      <c r="Y1493" s="112"/>
      <c r="Z1493" s="112" t="s">
        <v>5341</v>
      </c>
      <c r="AA1493" s="104">
        <f t="shared" ca="1" si="211"/>
        <v>1</v>
      </c>
      <c r="AB1493" s="202"/>
      <c r="AC1493" s="459" t="str">
        <f t="shared" si="212"/>
        <v>1</v>
      </c>
    </row>
    <row r="1494" spans="1:29" s="203" customFormat="1" ht="43.5" x14ac:dyDescent="0.35">
      <c r="A1494" s="169" t="str">
        <f t="shared" si="213"/>
        <v>Closed</v>
      </c>
      <c r="B1494" s="226">
        <v>45997</v>
      </c>
      <c r="C1494" s="112">
        <v>2509</v>
      </c>
      <c r="D1494" s="112" t="s">
        <v>5987</v>
      </c>
      <c r="E1494" s="112" t="s">
        <v>85</v>
      </c>
      <c r="F1494" s="112" t="s">
        <v>1910</v>
      </c>
      <c r="G1494" s="112" t="s">
        <v>1911</v>
      </c>
      <c r="H1494" s="112">
        <v>102</v>
      </c>
      <c r="I1494" s="350" t="s">
        <v>140</v>
      </c>
      <c r="J1494" s="112">
        <v>1267</v>
      </c>
      <c r="K1494" s="351"/>
      <c r="L1494" s="112" t="s">
        <v>5988</v>
      </c>
      <c r="M1494" s="352">
        <f t="shared" si="216"/>
        <v>0</v>
      </c>
      <c r="N1494" s="112" t="s">
        <v>1879</v>
      </c>
      <c r="O1494" s="112" t="s">
        <v>1879</v>
      </c>
      <c r="P1494" s="353" t="s">
        <v>143</v>
      </c>
      <c r="Q1494" s="112"/>
      <c r="R1494" s="170">
        <v>0</v>
      </c>
      <c r="S1494" s="204">
        <f t="shared" si="215"/>
        <v>46025</v>
      </c>
      <c r="T1494" s="168">
        <v>46007</v>
      </c>
      <c r="U1494" s="112"/>
      <c r="V1494" s="112"/>
      <c r="W1494" s="112"/>
      <c r="X1494" s="112"/>
      <c r="Y1494" s="23" t="s">
        <v>1915</v>
      </c>
      <c r="Z1494" s="112"/>
      <c r="AA1494" s="104">
        <f t="shared" ref="AA1494:AA1557" ca="1" si="217">IF(B1494="",3,IF(S1494&lt;$A$1,1,0))</f>
        <v>1</v>
      </c>
      <c r="AB1494" s="202"/>
      <c r="AC1494" s="459" t="str">
        <f t="shared" si="212"/>
        <v>1</v>
      </c>
    </row>
    <row r="1495" spans="1:29" s="203" customFormat="1" ht="101.5" x14ac:dyDescent="0.35">
      <c r="A1495" s="169" t="str">
        <f t="shared" ca="1" si="213"/>
        <v>Overdue</v>
      </c>
      <c r="B1495" s="226">
        <v>45997</v>
      </c>
      <c r="C1495" s="112">
        <v>2509</v>
      </c>
      <c r="D1495" s="112" t="s">
        <v>5989</v>
      </c>
      <c r="E1495" s="112" t="s">
        <v>38</v>
      </c>
      <c r="F1495" s="112" t="s">
        <v>2205</v>
      </c>
      <c r="G1495" s="112" t="s">
        <v>1911</v>
      </c>
      <c r="H1495" s="112">
        <v>114</v>
      </c>
      <c r="I1495" s="350" t="s">
        <v>2</v>
      </c>
      <c r="J1495" s="112">
        <v>1442</v>
      </c>
      <c r="K1495" s="351" t="s">
        <v>137</v>
      </c>
      <c r="L1495" s="112" t="s">
        <v>5990</v>
      </c>
      <c r="M1495" s="352">
        <v>0</v>
      </c>
      <c r="N1495" s="112" t="s">
        <v>1879</v>
      </c>
      <c r="O1495" s="112" t="s">
        <v>1880</v>
      </c>
      <c r="P1495" s="353" t="s">
        <v>136</v>
      </c>
      <c r="Q1495" s="112" t="s">
        <v>188</v>
      </c>
      <c r="R1495" s="312" t="s">
        <v>234</v>
      </c>
      <c r="S1495" s="204">
        <f t="shared" si="215"/>
        <v>46025</v>
      </c>
      <c r="T1495" s="112"/>
      <c r="U1495" s="112"/>
      <c r="V1495" s="112"/>
      <c r="W1495" s="112"/>
      <c r="X1495" s="112"/>
      <c r="Y1495" s="112"/>
      <c r="Z1495" s="14" t="s">
        <v>5454</v>
      </c>
      <c r="AA1495" s="104">
        <f t="shared" ca="1" si="217"/>
        <v>1</v>
      </c>
      <c r="AB1495" s="202"/>
      <c r="AC1495" s="459" t="str">
        <f t="shared" si="212"/>
        <v>1</v>
      </c>
    </row>
    <row r="1496" spans="1:29" s="203" customFormat="1" ht="29" x14ac:dyDescent="0.35">
      <c r="A1496" s="169" t="str">
        <f t="shared" si="213"/>
        <v>Closed</v>
      </c>
      <c r="B1496" s="226">
        <v>45997</v>
      </c>
      <c r="C1496" s="112">
        <v>2509</v>
      </c>
      <c r="D1496" s="112" t="s">
        <v>5991</v>
      </c>
      <c r="E1496" s="112" t="s">
        <v>8</v>
      </c>
      <c r="F1496" s="112" t="s">
        <v>4931</v>
      </c>
      <c r="G1496" s="112" t="s">
        <v>1900</v>
      </c>
      <c r="H1496" s="112">
        <v>108</v>
      </c>
      <c r="I1496" s="350" t="s">
        <v>140</v>
      </c>
      <c r="J1496" s="112">
        <v>1048</v>
      </c>
      <c r="K1496" s="351"/>
      <c r="L1496" s="112" t="s">
        <v>5992</v>
      </c>
      <c r="M1496" s="352">
        <f t="shared" si="216"/>
        <v>0</v>
      </c>
      <c r="N1496" s="112" t="s">
        <v>1879</v>
      </c>
      <c r="O1496" s="112" t="s">
        <v>1879</v>
      </c>
      <c r="P1496" s="353" t="s">
        <v>143</v>
      </c>
      <c r="Q1496" s="112"/>
      <c r="R1496" s="170">
        <v>0</v>
      </c>
      <c r="S1496" s="204">
        <f t="shared" si="215"/>
        <v>46025</v>
      </c>
      <c r="T1496" s="168">
        <v>45997</v>
      </c>
      <c r="U1496" s="112"/>
      <c r="V1496" s="112"/>
      <c r="W1496" s="112"/>
      <c r="X1496" s="112"/>
      <c r="Y1496" s="14" t="s">
        <v>2012</v>
      </c>
      <c r="Z1496" s="112"/>
      <c r="AA1496" s="104">
        <f t="shared" ca="1" si="217"/>
        <v>1</v>
      </c>
      <c r="AB1496" s="202"/>
      <c r="AC1496" s="459" t="str">
        <f t="shared" si="212"/>
        <v>1</v>
      </c>
    </row>
    <row r="1497" spans="1:29" s="203" customFormat="1" ht="43.5" x14ac:dyDescent="0.35">
      <c r="A1497" s="169" t="str">
        <f t="shared" si="213"/>
        <v>Closed</v>
      </c>
      <c r="B1497" s="226">
        <v>45997</v>
      </c>
      <c r="C1497" s="112">
        <v>2509</v>
      </c>
      <c r="D1497" s="112" t="s">
        <v>5993</v>
      </c>
      <c r="E1497" s="112" t="s">
        <v>1907</v>
      </c>
      <c r="F1497" s="112" t="s">
        <v>5994</v>
      </c>
      <c r="G1497" s="112" t="s">
        <v>1900</v>
      </c>
      <c r="H1497" s="112">
        <v>107</v>
      </c>
      <c r="I1497" s="350" t="s">
        <v>140</v>
      </c>
      <c r="J1497" s="112">
        <v>1411</v>
      </c>
      <c r="K1497" s="351"/>
      <c r="L1497" s="112" t="s">
        <v>5995</v>
      </c>
      <c r="M1497" s="352">
        <f t="shared" si="216"/>
        <v>0</v>
      </c>
      <c r="N1497" s="112" t="s">
        <v>1879</v>
      </c>
      <c r="O1497" s="112" t="s">
        <v>1879</v>
      </c>
      <c r="P1497" s="353" t="s">
        <v>143</v>
      </c>
      <c r="Q1497" s="112"/>
      <c r="R1497" s="170">
        <v>0</v>
      </c>
      <c r="S1497" s="204">
        <f t="shared" si="215"/>
        <v>46025</v>
      </c>
      <c r="T1497" s="112" t="s">
        <v>5996</v>
      </c>
      <c r="U1497" s="112"/>
      <c r="V1497" s="112"/>
      <c r="W1497" s="112"/>
      <c r="X1497" s="112"/>
      <c r="Y1497" s="112"/>
      <c r="Z1497" s="112"/>
      <c r="AA1497" s="104">
        <f t="shared" ca="1" si="217"/>
        <v>1</v>
      </c>
      <c r="AB1497" s="202"/>
      <c r="AC1497" s="459" t="str">
        <f t="shared" si="212"/>
        <v>1</v>
      </c>
    </row>
    <row r="1498" spans="1:29" s="203" customFormat="1" ht="87" x14ac:dyDescent="0.35">
      <c r="A1498" s="169" t="str">
        <f t="shared" si="213"/>
        <v>Closed</v>
      </c>
      <c r="B1498" s="226">
        <v>45997</v>
      </c>
      <c r="C1498" s="112">
        <v>2509</v>
      </c>
      <c r="D1498" s="112" t="s">
        <v>5997</v>
      </c>
      <c r="E1498" s="112" t="s">
        <v>1907</v>
      </c>
      <c r="F1498" s="112" t="s">
        <v>2052</v>
      </c>
      <c r="G1498" s="112" t="s">
        <v>1911</v>
      </c>
      <c r="H1498" s="112">
        <v>114</v>
      </c>
      <c r="I1498" s="350" t="s">
        <v>140</v>
      </c>
      <c r="J1498" s="112">
        <v>1420</v>
      </c>
      <c r="K1498" s="351"/>
      <c r="L1498" s="112" t="s">
        <v>5998</v>
      </c>
      <c r="M1498" s="352">
        <f t="shared" si="216"/>
        <v>0</v>
      </c>
      <c r="N1498" s="112" t="s">
        <v>1879</v>
      </c>
      <c r="O1498" s="112" t="s">
        <v>1879</v>
      </c>
      <c r="P1498" s="353" t="s">
        <v>143</v>
      </c>
      <c r="Q1498" s="112"/>
      <c r="R1498" s="170">
        <v>0</v>
      </c>
      <c r="S1498" s="204">
        <f t="shared" si="215"/>
        <v>46025</v>
      </c>
      <c r="T1498" s="168">
        <v>45997</v>
      </c>
      <c r="U1498" s="112"/>
      <c r="V1498" s="112"/>
      <c r="W1498" s="112"/>
      <c r="X1498" s="112"/>
      <c r="Y1498" s="112"/>
      <c r="Z1498" s="112"/>
      <c r="AA1498" s="104">
        <f t="shared" ca="1" si="217"/>
        <v>1</v>
      </c>
      <c r="AB1498" s="202"/>
      <c r="AC1498" s="459" t="str">
        <f t="shared" ref="AC1498:AC1561" si="218">LEFT(H1498,1)</f>
        <v>1</v>
      </c>
    </row>
    <row r="1499" spans="1:29" s="203" customFormat="1" ht="232" x14ac:dyDescent="0.35">
      <c r="A1499" s="169" t="str">
        <f t="shared" si="213"/>
        <v>Closed</v>
      </c>
      <c r="B1499" s="226">
        <v>45998</v>
      </c>
      <c r="C1499" s="112">
        <v>2510</v>
      </c>
      <c r="D1499" s="112" t="s">
        <v>5999</v>
      </c>
      <c r="E1499" s="112" t="s">
        <v>192</v>
      </c>
      <c r="F1499" s="112" t="s">
        <v>6000</v>
      </c>
      <c r="G1499" s="112"/>
      <c r="H1499" s="112"/>
      <c r="I1499" s="350" t="s">
        <v>140</v>
      </c>
      <c r="J1499" s="112"/>
      <c r="K1499" s="351"/>
      <c r="L1499" s="14" t="s">
        <v>6001</v>
      </c>
      <c r="M1499" s="352">
        <f t="shared" si="216"/>
        <v>0</v>
      </c>
      <c r="N1499" s="112" t="s">
        <v>1879</v>
      </c>
      <c r="O1499" s="112" t="s">
        <v>1879</v>
      </c>
      <c r="P1499" s="353" t="s">
        <v>143</v>
      </c>
      <c r="Q1499" s="112"/>
      <c r="R1499" s="170">
        <v>0</v>
      </c>
      <c r="S1499" s="204">
        <f t="shared" si="215"/>
        <v>46026</v>
      </c>
      <c r="T1499" s="168">
        <v>45998</v>
      </c>
      <c r="U1499" s="112"/>
      <c r="V1499" s="112"/>
      <c r="W1499" s="112"/>
      <c r="X1499" s="112"/>
      <c r="Y1499" s="112"/>
      <c r="Z1499" s="112"/>
      <c r="AA1499" s="104">
        <f t="shared" ca="1" si="217"/>
        <v>1</v>
      </c>
      <c r="AB1499" s="202"/>
      <c r="AC1499" s="459" t="str">
        <f t="shared" si="218"/>
        <v/>
      </c>
    </row>
    <row r="1500" spans="1:29" s="203" customFormat="1" ht="58" x14ac:dyDescent="0.35">
      <c r="A1500" s="169" t="str">
        <f t="shared" si="213"/>
        <v>Closed</v>
      </c>
      <c r="B1500" s="226">
        <v>45998</v>
      </c>
      <c r="C1500" s="112">
        <v>2510</v>
      </c>
      <c r="D1500" s="112" t="s">
        <v>6002</v>
      </c>
      <c r="E1500" s="112" t="s">
        <v>8</v>
      </c>
      <c r="F1500" s="112" t="s">
        <v>2119</v>
      </c>
      <c r="G1500" s="112" t="s">
        <v>1911</v>
      </c>
      <c r="H1500" s="112">
        <v>202</v>
      </c>
      <c r="I1500" s="350" t="s">
        <v>140</v>
      </c>
      <c r="J1500" s="112">
        <v>1026</v>
      </c>
      <c r="K1500" s="351"/>
      <c r="L1500" s="112" t="s">
        <v>6003</v>
      </c>
      <c r="M1500" s="352">
        <f t="shared" si="216"/>
        <v>0</v>
      </c>
      <c r="N1500" s="112" t="s">
        <v>1879</v>
      </c>
      <c r="O1500" s="112" t="s">
        <v>1879</v>
      </c>
      <c r="P1500" s="353" t="s">
        <v>143</v>
      </c>
      <c r="Q1500" s="112"/>
      <c r="R1500" s="170">
        <v>0</v>
      </c>
      <c r="S1500" s="204">
        <f t="shared" si="215"/>
        <v>46026</v>
      </c>
      <c r="T1500" s="168">
        <v>45998</v>
      </c>
      <c r="U1500" s="112"/>
      <c r="V1500" s="112"/>
      <c r="W1500" s="112"/>
      <c r="X1500" s="112"/>
      <c r="Y1500" s="14" t="s">
        <v>2093</v>
      </c>
      <c r="Z1500" s="112"/>
      <c r="AA1500" s="104">
        <f t="shared" ca="1" si="217"/>
        <v>1</v>
      </c>
      <c r="AB1500" s="202"/>
      <c r="AC1500" s="459" t="str">
        <f t="shared" si="218"/>
        <v>2</v>
      </c>
    </row>
    <row r="1501" spans="1:29" s="203" customFormat="1" ht="29" x14ac:dyDescent="0.35">
      <c r="A1501" s="169" t="str">
        <f t="shared" si="213"/>
        <v>Closed</v>
      </c>
      <c r="B1501" s="222">
        <v>46002</v>
      </c>
      <c r="C1501" s="112">
        <v>2510</v>
      </c>
      <c r="D1501" s="112" t="s">
        <v>6004</v>
      </c>
      <c r="E1501" s="112" t="s">
        <v>8</v>
      </c>
      <c r="F1501" s="112" t="s">
        <v>1899</v>
      </c>
      <c r="G1501" s="112" t="s">
        <v>1900</v>
      </c>
      <c r="H1501" s="112">
        <v>206</v>
      </c>
      <c r="I1501" s="350" t="s">
        <v>140</v>
      </c>
      <c r="J1501" s="112"/>
      <c r="K1501" s="351"/>
      <c r="L1501" s="112" t="s">
        <v>6005</v>
      </c>
      <c r="M1501" s="352">
        <f t="shared" si="216"/>
        <v>0</v>
      </c>
      <c r="N1501" s="112" t="s">
        <v>1879</v>
      </c>
      <c r="O1501" s="112" t="s">
        <v>1879</v>
      </c>
      <c r="P1501" s="353" t="s">
        <v>143</v>
      </c>
      <c r="Q1501" s="112"/>
      <c r="R1501" s="170">
        <v>0</v>
      </c>
      <c r="S1501" s="204">
        <f t="shared" si="215"/>
        <v>46030</v>
      </c>
      <c r="T1501" s="168">
        <v>46002</v>
      </c>
      <c r="U1501" s="112"/>
      <c r="V1501" s="112"/>
      <c r="W1501" s="112"/>
      <c r="X1501" s="112"/>
      <c r="Y1501" s="112"/>
      <c r="Z1501" s="112"/>
      <c r="AA1501" s="104">
        <f t="shared" ca="1" si="217"/>
        <v>1</v>
      </c>
      <c r="AB1501" s="202"/>
      <c r="AC1501" s="459" t="str">
        <f t="shared" si="218"/>
        <v>2</v>
      </c>
    </row>
    <row r="1502" spans="1:29" s="203" customFormat="1" ht="43.5" x14ac:dyDescent="0.35">
      <c r="A1502" s="169" t="str">
        <f t="shared" si="213"/>
        <v>Closed</v>
      </c>
      <c r="B1502" s="222">
        <v>46002</v>
      </c>
      <c r="C1502" s="112">
        <v>2510</v>
      </c>
      <c r="D1502" s="112" t="s">
        <v>6006</v>
      </c>
      <c r="E1502" s="112" t="s">
        <v>219</v>
      </c>
      <c r="F1502" s="112" t="s">
        <v>2765</v>
      </c>
      <c r="G1502" s="112"/>
      <c r="H1502" s="112">
        <v>102</v>
      </c>
      <c r="I1502" s="350" t="s">
        <v>140</v>
      </c>
      <c r="J1502" s="112"/>
      <c r="K1502" s="351"/>
      <c r="L1502" s="112" t="s">
        <v>6007</v>
      </c>
      <c r="M1502" s="352">
        <f t="shared" si="216"/>
        <v>0</v>
      </c>
      <c r="N1502" s="112" t="s">
        <v>1879</v>
      </c>
      <c r="O1502" s="112" t="s">
        <v>1879</v>
      </c>
      <c r="P1502" s="353" t="s">
        <v>143</v>
      </c>
      <c r="Q1502" s="112"/>
      <c r="R1502" s="170">
        <v>0</v>
      </c>
      <c r="S1502" s="204">
        <f t="shared" si="215"/>
        <v>46030</v>
      </c>
      <c r="T1502" s="168">
        <v>46002</v>
      </c>
      <c r="U1502" s="112"/>
      <c r="V1502" s="112"/>
      <c r="W1502" s="112"/>
      <c r="X1502" s="112"/>
      <c r="Y1502" s="112"/>
      <c r="Z1502" s="112"/>
      <c r="AA1502" s="104">
        <f t="shared" ca="1" si="217"/>
        <v>1</v>
      </c>
      <c r="AB1502" s="202"/>
      <c r="AC1502" s="459" t="str">
        <f t="shared" si="218"/>
        <v>1</v>
      </c>
    </row>
    <row r="1503" spans="1:29" s="203" customFormat="1" ht="101.5" x14ac:dyDescent="0.35">
      <c r="A1503" s="169" t="str">
        <f t="shared" ref="A1503:A1566" si="219">IF(T1503&gt;1,"Closed",IF(AA1503=1,"Overdue",IF(AA1503=3,"","Open")))</f>
        <v>Closed</v>
      </c>
      <c r="B1503" s="226">
        <v>46002</v>
      </c>
      <c r="C1503" s="112">
        <v>2510</v>
      </c>
      <c r="D1503" s="112" t="s">
        <v>6008</v>
      </c>
      <c r="E1503" s="112" t="s">
        <v>192</v>
      </c>
      <c r="F1503" s="112" t="s">
        <v>192</v>
      </c>
      <c r="G1503" s="112"/>
      <c r="H1503" s="112"/>
      <c r="I1503" s="350" t="s">
        <v>140</v>
      </c>
      <c r="J1503" s="112"/>
      <c r="K1503" s="351"/>
      <c r="L1503" s="112" t="s">
        <v>6009</v>
      </c>
      <c r="M1503" s="352">
        <f>IF(J1503="Staff Accident","Entry Required",IF(J1503="Assaults","Entry Required",0))</f>
        <v>0</v>
      </c>
      <c r="N1503" s="112" t="s">
        <v>1879</v>
      </c>
      <c r="O1503" s="112" t="s">
        <v>1879</v>
      </c>
      <c r="P1503" s="353" t="s">
        <v>143</v>
      </c>
      <c r="Q1503" s="112"/>
      <c r="R1503" s="170">
        <v>0</v>
      </c>
      <c r="S1503" s="204">
        <f t="shared" si="215"/>
        <v>46030</v>
      </c>
      <c r="T1503" s="168">
        <v>46002</v>
      </c>
      <c r="U1503" s="112"/>
      <c r="V1503" s="112"/>
      <c r="W1503" s="112"/>
      <c r="X1503" s="112"/>
      <c r="Y1503" s="112"/>
      <c r="Z1503" s="112"/>
      <c r="AA1503" s="104">
        <f t="shared" ca="1" si="217"/>
        <v>1</v>
      </c>
      <c r="AB1503" s="202"/>
      <c r="AC1503" s="459" t="str">
        <f t="shared" si="218"/>
        <v/>
      </c>
    </row>
    <row r="1504" spans="1:29" s="203" customFormat="1" ht="58" x14ac:dyDescent="0.35">
      <c r="A1504" s="169" t="str">
        <f t="shared" si="219"/>
        <v>Closed</v>
      </c>
      <c r="B1504" s="226">
        <v>46002</v>
      </c>
      <c r="C1504" s="112">
        <v>2510</v>
      </c>
      <c r="D1504" s="112" t="s">
        <v>6010</v>
      </c>
      <c r="E1504" s="112" t="s">
        <v>206</v>
      </c>
      <c r="F1504" s="112" t="s">
        <v>2205</v>
      </c>
      <c r="G1504" s="112"/>
      <c r="H1504" s="112"/>
      <c r="I1504" s="350" t="s">
        <v>140</v>
      </c>
      <c r="J1504" s="112"/>
      <c r="K1504" s="351"/>
      <c r="L1504" s="112" t="s">
        <v>6011</v>
      </c>
      <c r="M1504" s="352">
        <f t="shared" si="216"/>
        <v>0</v>
      </c>
      <c r="N1504" s="112" t="s">
        <v>1879</v>
      </c>
      <c r="O1504" s="112" t="s">
        <v>1879</v>
      </c>
      <c r="P1504" s="353" t="s">
        <v>143</v>
      </c>
      <c r="Q1504" s="112"/>
      <c r="R1504" s="170">
        <v>0</v>
      </c>
      <c r="S1504" s="204">
        <f t="shared" si="215"/>
        <v>46030</v>
      </c>
      <c r="T1504" s="168">
        <v>46002</v>
      </c>
      <c r="U1504" s="112"/>
      <c r="V1504" s="112"/>
      <c r="W1504" s="112"/>
      <c r="X1504" s="112"/>
      <c r="Y1504" s="112"/>
      <c r="Z1504" s="112"/>
      <c r="AA1504" s="104">
        <f t="shared" ca="1" si="217"/>
        <v>1</v>
      </c>
      <c r="AB1504" s="202"/>
      <c r="AC1504" s="459" t="str">
        <f t="shared" si="218"/>
        <v/>
      </c>
    </row>
    <row r="1505" spans="1:29" s="203" customFormat="1" ht="43.5" x14ac:dyDescent="0.35">
      <c r="A1505" s="169" t="str">
        <f t="shared" si="219"/>
        <v>Closed</v>
      </c>
      <c r="B1505" s="222">
        <v>46003</v>
      </c>
      <c r="C1505" s="112">
        <v>2510</v>
      </c>
      <c r="D1505" s="112" t="s">
        <v>6012</v>
      </c>
      <c r="E1505" s="112" t="s">
        <v>27</v>
      </c>
      <c r="F1505" s="112" t="s">
        <v>1910</v>
      </c>
      <c r="G1505" s="112" t="s">
        <v>1911</v>
      </c>
      <c r="H1505" s="112">
        <v>118</v>
      </c>
      <c r="I1505" s="350" t="s">
        <v>5</v>
      </c>
      <c r="J1505" s="112"/>
      <c r="K1505" s="351"/>
      <c r="L1505" s="112" t="s">
        <v>6013</v>
      </c>
      <c r="M1505" s="352">
        <f t="shared" si="216"/>
        <v>0</v>
      </c>
      <c r="N1505" s="112" t="s">
        <v>1879</v>
      </c>
      <c r="O1505" s="112" t="s">
        <v>1880</v>
      </c>
      <c r="P1505" s="353" t="s">
        <v>147</v>
      </c>
      <c r="Q1505" s="112" t="s">
        <v>153</v>
      </c>
      <c r="R1505" s="312" t="s">
        <v>234</v>
      </c>
      <c r="S1505" s="204">
        <f t="shared" si="215"/>
        <v>46031</v>
      </c>
      <c r="T1505" s="168">
        <v>46037</v>
      </c>
      <c r="U1505" s="112"/>
      <c r="V1505" s="112"/>
      <c r="W1505" s="112"/>
      <c r="X1505" s="112"/>
      <c r="Y1505" s="23" t="s">
        <v>1915</v>
      </c>
      <c r="Z1505" s="112" t="s">
        <v>5341</v>
      </c>
      <c r="AA1505" s="104">
        <f t="shared" ca="1" si="217"/>
        <v>1</v>
      </c>
      <c r="AB1505" s="202"/>
      <c r="AC1505" s="459" t="str">
        <f t="shared" si="218"/>
        <v>1</v>
      </c>
    </row>
    <row r="1506" spans="1:29" s="203" customFormat="1" ht="43.5" x14ac:dyDescent="0.35">
      <c r="A1506" s="169" t="str">
        <f t="shared" ca="1" si="219"/>
        <v>Overdue</v>
      </c>
      <c r="B1506" s="222">
        <v>46003</v>
      </c>
      <c r="C1506" s="112">
        <v>2510</v>
      </c>
      <c r="D1506" s="112" t="s">
        <v>6014</v>
      </c>
      <c r="E1506" s="112" t="s">
        <v>78</v>
      </c>
      <c r="F1506" s="112" t="s">
        <v>2060</v>
      </c>
      <c r="G1506" s="112"/>
      <c r="H1506" s="112">
        <v>113</v>
      </c>
      <c r="I1506" s="350" t="s">
        <v>155</v>
      </c>
      <c r="J1506" s="112">
        <v>1099</v>
      </c>
      <c r="K1506" s="351"/>
      <c r="L1506" s="112" t="s">
        <v>6015</v>
      </c>
      <c r="M1506" s="352">
        <f t="shared" si="216"/>
        <v>0</v>
      </c>
      <c r="N1506" s="112" t="s">
        <v>1880</v>
      </c>
      <c r="O1506" s="112" t="s">
        <v>1880</v>
      </c>
      <c r="P1506" s="353" t="s">
        <v>147</v>
      </c>
      <c r="Q1506" s="112" t="s">
        <v>174</v>
      </c>
      <c r="R1506" s="312" t="s">
        <v>234</v>
      </c>
      <c r="S1506" s="204">
        <f t="shared" si="215"/>
        <v>46031</v>
      </c>
      <c r="T1506" s="112"/>
      <c r="U1506" s="112"/>
      <c r="V1506" s="112"/>
      <c r="W1506" s="112"/>
      <c r="X1506" s="112"/>
      <c r="Y1506" s="466" t="s">
        <v>2062</v>
      </c>
      <c r="Z1506" s="14" t="s">
        <v>5622</v>
      </c>
      <c r="AA1506" s="104">
        <f t="shared" ca="1" si="217"/>
        <v>1</v>
      </c>
      <c r="AB1506" s="202"/>
      <c r="AC1506" s="459" t="str">
        <f t="shared" si="218"/>
        <v>1</v>
      </c>
    </row>
    <row r="1507" spans="1:29" s="203" customFormat="1" ht="29" x14ac:dyDescent="0.35">
      <c r="A1507" s="169" t="str">
        <f t="shared" si="219"/>
        <v>Closed</v>
      </c>
      <c r="B1507" s="222">
        <v>46003</v>
      </c>
      <c r="C1507" s="112">
        <v>2510</v>
      </c>
      <c r="D1507" s="112" t="s">
        <v>6016</v>
      </c>
      <c r="E1507" s="112" t="s">
        <v>8</v>
      </c>
      <c r="F1507" s="112" t="s">
        <v>2099</v>
      </c>
      <c r="G1507" s="112"/>
      <c r="H1507" s="112"/>
      <c r="I1507" s="350" t="s">
        <v>140</v>
      </c>
      <c r="J1507" s="112"/>
      <c r="K1507" s="351"/>
      <c r="L1507" s="112" t="s">
        <v>6017</v>
      </c>
      <c r="M1507" s="352">
        <f t="shared" si="216"/>
        <v>0</v>
      </c>
      <c r="N1507" s="112" t="s">
        <v>1879</v>
      </c>
      <c r="O1507" s="112" t="s">
        <v>1879</v>
      </c>
      <c r="P1507" s="353" t="s">
        <v>143</v>
      </c>
      <c r="Q1507" s="112"/>
      <c r="R1507" s="170">
        <v>0</v>
      </c>
      <c r="S1507" s="204">
        <f t="shared" si="215"/>
        <v>46031</v>
      </c>
      <c r="T1507" s="168">
        <v>46003</v>
      </c>
      <c r="U1507" s="112"/>
      <c r="V1507" s="112"/>
      <c r="W1507" s="112"/>
      <c r="X1507" s="112"/>
      <c r="Y1507" s="112"/>
      <c r="Z1507" s="112"/>
      <c r="AA1507" s="104">
        <f t="shared" ca="1" si="217"/>
        <v>1</v>
      </c>
      <c r="AB1507" s="202"/>
      <c r="AC1507" s="459" t="str">
        <f t="shared" si="218"/>
        <v/>
      </c>
    </row>
    <row r="1508" spans="1:29" ht="58" x14ac:dyDescent="0.35">
      <c r="A1508" s="89" t="str">
        <f t="shared" si="219"/>
        <v>Closed</v>
      </c>
      <c r="B1508" s="222">
        <v>46004</v>
      </c>
      <c r="C1508" s="14">
        <v>2510</v>
      </c>
      <c r="D1508" s="14" t="s">
        <v>6018</v>
      </c>
      <c r="E1508" s="14" t="s">
        <v>192</v>
      </c>
      <c r="F1508" s="14" t="s">
        <v>3637</v>
      </c>
      <c r="G1508" s="14"/>
      <c r="H1508" s="14">
        <v>202</v>
      </c>
      <c r="I1508" s="176" t="s">
        <v>155</v>
      </c>
      <c r="K1508" s="87"/>
      <c r="L1508" s="14" t="s">
        <v>6019</v>
      </c>
      <c r="M1508" s="324">
        <f t="shared" si="216"/>
        <v>0</v>
      </c>
      <c r="N1508" s="14"/>
      <c r="O1508" s="14"/>
      <c r="P1508" s="167" t="s">
        <v>147</v>
      </c>
      <c r="Q1508" s="14" t="s">
        <v>168</v>
      </c>
      <c r="R1508" s="223" t="s">
        <v>234</v>
      </c>
      <c r="S1508" s="224">
        <f t="shared" si="215"/>
        <v>46032</v>
      </c>
      <c r="T1508" s="79">
        <v>45751</v>
      </c>
      <c r="U1508" s="14" t="s">
        <v>3527</v>
      </c>
      <c r="V1508" s="14" t="s">
        <v>1896</v>
      </c>
      <c r="W1508" s="14" t="s">
        <v>1880</v>
      </c>
      <c r="X1508" s="14" t="s">
        <v>1880</v>
      </c>
      <c r="Z1508" s="14" t="s">
        <v>2694</v>
      </c>
      <c r="AA1508" s="2">
        <f t="shared" ca="1" si="217"/>
        <v>1</v>
      </c>
      <c r="AB1508" s="153"/>
      <c r="AC1508" s="454" t="str">
        <f t="shared" si="218"/>
        <v>2</v>
      </c>
    </row>
    <row r="1509" spans="1:29" s="203" customFormat="1" ht="43.5" x14ac:dyDescent="0.35">
      <c r="A1509" s="169" t="str">
        <f t="shared" si="219"/>
        <v>Closed</v>
      </c>
      <c r="B1509" s="226">
        <v>46005</v>
      </c>
      <c r="C1509" s="112">
        <v>2510</v>
      </c>
      <c r="D1509" s="112" t="s">
        <v>6020</v>
      </c>
      <c r="E1509" s="112" t="s">
        <v>8</v>
      </c>
      <c r="F1509" s="112" t="s">
        <v>2432</v>
      </c>
      <c r="G1509" s="112" t="s">
        <v>1911</v>
      </c>
      <c r="H1509" s="112">
        <v>104</v>
      </c>
      <c r="I1509" s="350" t="s">
        <v>140</v>
      </c>
      <c r="J1509" s="112"/>
      <c r="K1509" s="351"/>
      <c r="L1509" s="112" t="s">
        <v>6021</v>
      </c>
      <c r="M1509" s="352">
        <f t="shared" si="216"/>
        <v>0</v>
      </c>
      <c r="N1509" s="112" t="s">
        <v>1879</v>
      </c>
      <c r="O1509" s="112" t="s">
        <v>1879</v>
      </c>
      <c r="P1509" s="353" t="s">
        <v>143</v>
      </c>
      <c r="Q1509" s="112"/>
      <c r="R1509" s="170">
        <v>0</v>
      </c>
      <c r="S1509" s="204">
        <f t="shared" si="215"/>
        <v>46033</v>
      </c>
      <c r="T1509" s="168">
        <v>46005</v>
      </c>
      <c r="U1509" s="112"/>
      <c r="V1509" s="112"/>
      <c r="W1509" s="112"/>
      <c r="X1509" s="112"/>
      <c r="Y1509" s="14" t="s">
        <v>2436</v>
      </c>
      <c r="Z1509" s="112"/>
      <c r="AA1509" s="104">
        <f t="shared" ca="1" si="217"/>
        <v>1</v>
      </c>
      <c r="AB1509" s="202"/>
      <c r="AC1509" s="459" t="str">
        <f t="shared" si="218"/>
        <v>1</v>
      </c>
    </row>
    <row r="1510" spans="1:29" s="203" customFormat="1" ht="43.5" x14ac:dyDescent="0.35">
      <c r="A1510" s="169" t="str">
        <f t="shared" si="219"/>
        <v>Closed</v>
      </c>
      <c r="B1510" s="222">
        <v>46005</v>
      </c>
      <c r="C1510" s="112">
        <v>2510</v>
      </c>
      <c r="D1510" s="112" t="s">
        <v>6022</v>
      </c>
      <c r="E1510" s="112" t="s">
        <v>8</v>
      </c>
      <c r="F1510" s="112" t="s">
        <v>3993</v>
      </c>
      <c r="G1510" s="112" t="s">
        <v>1900</v>
      </c>
      <c r="H1510" s="112">
        <v>125</v>
      </c>
      <c r="I1510" s="350" t="s">
        <v>140</v>
      </c>
      <c r="J1510" s="112">
        <v>1266</v>
      </c>
      <c r="K1510" s="351"/>
      <c r="L1510" s="112" t="s">
        <v>6023</v>
      </c>
      <c r="M1510" s="352">
        <f t="shared" si="216"/>
        <v>0</v>
      </c>
      <c r="N1510" s="112" t="s">
        <v>1879</v>
      </c>
      <c r="O1510" s="112" t="s">
        <v>1879</v>
      </c>
      <c r="P1510" s="353" t="s">
        <v>143</v>
      </c>
      <c r="Q1510" s="112"/>
      <c r="R1510" s="170">
        <v>0</v>
      </c>
      <c r="S1510" s="204">
        <f t="shared" si="215"/>
        <v>46033</v>
      </c>
      <c r="T1510" s="168">
        <v>46005</v>
      </c>
      <c r="U1510" s="112"/>
      <c r="V1510" s="112"/>
      <c r="W1510" s="112"/>
      <c r="X1510" s="112"/>
      <c r="Y1510" s="112"/>
      <c r="Z1510" s="112"/>
      <c r="AA1510" s="104">
        <f t="shared" ca="1" si="217"/>
        <v>1</v>
      </c>
      <c r="AB1510" s="202"/>
      <c r="AC1510" s="459" t="str">
        <f t="shared" si="218"/>
        <v>1</v>
      </c>
    </row>
    <row r="1511" spans="1:29" s="203" customFormat="1" ht="87.5" thickBot="1" x14ac:dyDescent="0.4">
      <c r="A1511" s="169" t="str">
        <f t="shared" ca="1" si="219"/>
        <v>Overdue</v>
      </c>
      <c r="B1511" s="226">
        <v>46006</v>
      </c>
      <c r="C1511" s="112">
        <v>2510</v>
      </c>
      <c r="D1511" s="112" t="s">
        <v>6024</v>
      </c>
      <c r="E1511" s="112" t="s">
        <v>209</v>
      </c>
      <c r="F1511" s="112" t="s">
        <v>6025</v>
      </c>
      <c r="G1511" s="112" t="s">
        <v>1911</v>
      </c>
      <c r="H1511" s="112">
        <v>201</v>
      </c>
      <c r="I1511" s="350" t="s">
        <v>155</v>
      </c>
      <c r="J1511" s="112"/>
      <c r="K1511" s="351"/>
      <c r="L1511" s="112" t="s">
        <v>6026</v>
      </c>
      <c r="M1511" s="352">
        <f t="shared" si="216"/>
        <v>0</v>
      </c>
      <c r="N1511" s="112"/>
      <c r="O1511" s="112"/>
      <c r="P1511" s="353" t="s">
        <v>147</v>
      </c>
      <c r="Q1511" s="112" t="s">
        <v>168</v>
      </c>
      <c r="R1511" s="312" t="s">
        <v>234</v>
      </c>
      <c r="S1511" s="204">
        <f t="shared" si="215"/>
        <v>46034</v>
      </c>
      <c r="T1511" s="112"/>
      <c r="U1511" s="112"/>
      <c r="V1511" s="112"/>
      <c r="W1511" s="112"/>
      <c r="X1511" s="112"/>
      <c r="Y1511" s="112"/>
      <c r="Z1511" s="112" t="s">
        <v>6027</v>
      </c>
      <c r="AA1511" s="104">
        <f t="shared" ca="1" si="217"/>
        <v>1</v>
      </c>
      <c r="AB1511" s="202"/>
      <c r="AC1511" s="459" t="str">
        <f t="shared" si="218"/>
        <v>2</v>
      </c>
    </row>
    <row r="1512" spans="1:29" ht="44" thickBot="1" x14ac:dyDescent="0.4">
      <c r="A1512" s="89" t="str">
        <f t="shared" ca="1" si="219"/>
        <v>Overdue</v>
      </c>
      <c r="B1512" s="222">
        <v>46007</v>
      </c>
      <c r="C1512" s="14">
        <v>2510</v>
      </c>
      <c r="D1512" s="14" t="s">
        <v>6028</v>
      </c>
      <c r="E1512" s="14" t="s">
        <v>196</v>
      </c>
      <c r="F1512" s="14" t="s">
        <v>2052</v>
      </c>
      <c r="G1512" s="14" t="s">
        <v>1911</v>
      </c>
      <c r="H1512" s="14">
        <v>121</v>
      </c>
      <c r="I1512" s="176" t="s">
        <v>155</v>
      </c>
      <c r="J1512" s="14">
        <v>1307</v>
      </c>
      <c r="K1512" s="87"/>
      <c r="L1512" s="14" t="s">
        <v>6029</v>
      </c>
      <c r="M1512" s="324">
        <f t="shared" si="216"/>
        <v>0</v>
      </c>
      <c r="N1512" s="14" t="s">
        <v>1880</v>
      </c>
      <c r="O1512" s="14"/>
      <c r="P1512" s="167" t="s">
        <v>147</v>
      </c>
      <c r="Q1512" s="14" t="s">
        <v>177</v>
      </c>
      <c r="R1512" s="223" t="s">
        <v>234</v>
      </c>
      <c r="S1512" s="224">
        <f t="shared" si="215"/>
        <v>46035</v>
      </c>
      <c r="T1512" s="14"/>
      <c r="U1512" s="14"/>
      <c r="V1512" s="14"/>
      <c r="W1512" s="14"/>
      <c r="X1512" s="14"/>
      <c r="Z1512" s="465" t="s">
        <v>5315</v>
      </c>
      <c r="AA1512" s="2">
        <f t="shared" ca="1" si="217"/>
        <v>1</v>
      </c>
      <c r="AB1512" s="153"/>
      <c r="AC1512" s="454" t="str">
        <f t="shared" si="218"/>
        <v>1</v>
      </c>
    </row>
    <row r="1513" spans="1:29" s="203" customFormat="1" ht="29" x14ac:dyDescent="0.35">
      <c r="A1513" s="169" t="str">
        <f t="shared" si="219"/>
        <v>Closed</v>
      </c>
      <c r="B1513" s="222">
        <v>46007</v>
      </c>
      <c r="C1513" s="112">
        <v>2510</v>
      </c>
      <c r="D1513" s="112" t="s">
        <v>6030</v>
      </c>
      <c r="E1513" s="112" t="s">
        <v>219</v>
      </c>
      <c r="F1513" s="112" t="s">
        <v>3040</v>
      </c>
      <c r="G1513" s="112" t="s">
        <v>1900</v>
      </c>
      <c r="H1513" s="112">
        <v>121</v>
      </c>
      <c r="I1513" s="350" t="s">
        <v>140</v>
      </c>
      <c r="J1513" s="112"/>
      <c r="K1513" s="351"/>
      <c r="L1513" s="381" t="s">
        <v>6031</v>
      </c>
      <c r="M1513" s="352">
        <f t="shared" si="216"/>
        <v>0</v>
      </c>
      <c r="N1513" s="112" t="s">
        <v>1879</v>
      </c>
      <c r="O1513" s="112" t="s">
        <v>1879</v>
      </c>
      <c r="P1513" s="353" t="s">
        <v>143</v>
      </c>
      <c r="Q1513" s="112"/>
      <c r="R1513" s="170">
        <v>0</v>
      </c>
      <c r="S1513" s="204">
        <f t="shared" si="215"/>
        <v>46035</v>
      </c>
      <c r="T1513" s="168">
        <v>46007</v>
      </c>
      <c r="U1513" s="112"/>
      <c r="V1513" s="112"/>
      <c r="W1513" s="112"/>
      <c r="X1513" s="112"/>
      <c r="Y1513" s="112"/>
      <c r="Z1513" s="112"/>
      <c r="AA1513" s="104">
        <f t="shared" ca="1" si="217"/>
        <v>1</v>
      </c>
      <c r="AB1513" s="202"/>
      <c r="AC1513" s="459" t="str">
        <f t="shared" si="218"/>
        <v>1</v>
      </c>
    </row>
    <row r="1514" spans="1:29" s="203" customFormat="1" ht="43.5" x14ac:dyDescent="0.35">
      <c r="A1514" s="169" t="str">
        <f t="shared" si="219"/>
        <v>Closed</v>
      </c>
      <c r="B1514" s="222">
        <v>46007</v>
      </c>
      <c r="C1514" s="112">
        <v>2510</v>
      </c>
      <c r="D1514" s="112" t="s">
        <v>6032</v>
      </c>
      <c r="E1514" s="112" t="s">
        <v>219</v>
      </c>
      <c r="F1514" s="112" t="s">
        <v>2765</v>
      </c>
      <c r="G1514" s="112"/>
      <c r="H1514" s="112">
        <v>105</v>
      </c>
      <c r="I1514" s="350" t="s">
        <v>140</v>
      </c>
      <c r="J1514" s="112"/>
      <c r="K1514" s="351"/>
      <c r="L1514" s="381" t="s">
        <v>6033</v>
      </c>
      <c r="M1514" s="352">
        <f t="shared" si="216"/>
        <v>0</v>
      </c>
      <c r="N1514" s="112" t="s">
        <v>1879</v>
      </c>
      <c r="O1514" s="112" t="s">
        <v>1879</v>
      </c>
      <c r="P1514" s="353" t="s">
        <v>143</v>
      </c>
      <c r="Q1514" s="112"/>
      <c r="R1514" s="170">
        <v>0</v>
      </c>
      <c r="S1514" s="204">
        <f t="shared" si="215"/>
        <v>46035</v>
      </c>
      <c r="T1514" s="168">
        <v>46007</v>
      </c>
      <c r="U1514" s="112"/>
      <c r="V1514" s="112"/>
      <c r="W1514" s="112"/>
      <c r="X1514" s="112"/>
      <c r="Y1514" s="112"/>
      <c r="Z1514" s="112"/>
      <c r="AA1514" s="104">
        <f t="shared" ca="1" si="217"/>
        <v>1</v>
      </c>
      <c r="AB1514" s="202"/>
      <c r="AC1514" s="459" t="str">
        <f t="shared" si="218"/>
        <v>1</v>
      </c>
    </row>
    <row r="1515" spans="1:29" s="203" customFormat="1" ht="29" x14ac:dyDescent="0.35">
      <c r="A1515" s="169" t="str">
        <f t="shared" si="219"/>
        <v>Closed</v>
      </c>
      <c r="B1515" s="222">
        <v>46008</v>
      </c>
      <c r="C1515" s="112">
        <v>2510</v>
      </c>
      <c r="D1515" s="112" t="s">
        <v>6034</v>
      </c>
      <c r="E1515" s="112" t="s">
        <v>219</v>
      </c>
      <c r="F1515" s="112" t="s">
        <v>2073</v>
      </c>
      <c r="G1515" s="112" t="s">
        <v>1900</v>
      </c>
      <c r="H1515" s="112">
        <v>118</v>
      </c>
      <c r="I1515" s="350" t="s">
        <v>140</v>
      </c>
      <c r="J1515" s="112"/>
      <c r="K1515" s="351"/>
      <c r="L1515" s="112" t="s">
        <v>6035</v>
      </c>
      <c r="M1515" s="352">
        <f t="shared" si="216"/>
        <v>0</v>
      </c>
      <c r="N1515" s="112" t="s">
        <v>1879</v>
      </c>
      <c r="O1515" s="112" t="s">
        <v>1879</v>
      </c>
      <c r="P1515" s="353" t="s">
        <v>143</v>
      </c>
      <c r="Q1515" s="112"/>
      <c r="R1515" s="170">
        <v>0</v>
      </c>
      <c r="S1515" s="204">
        <f t="shared" si="215"/>
        <v>46036</v>
      </c>
      <c r="T1515" s="168">
        <v>46008</v>
      </c>
      <c r="U1515" s="112"/>
      <c r="V1515" s="112"/>
      <c r="W1515" s="112"/>
      <c r="X1515" s="112"/>
      <c r="Y1515" s="112"/>
      <c r="Z1515" s="112"/>
      <c r="AA1515" s="104">
        <f t="shared" ca="1" si="217"/>
        <v>1</v>
      </c>
      <c r="AB1515" s="202"/>
      <c r="AC1515" s="459" t="str">
        <f t="shared" si="218"/>
        <v>1</v>
      </c>
    </row>
    <row r="1516" spans="1:29" s="203" customFormat="1" ht="43.5" x14ac:dyDescent="0.35">
      <c r="A1516" s="169" t="str">
        <f t="shared" si="219"/>
        <v>Closed</v>
      </c>
      <c r="B1516" s="222">
        <v>46009</v>
      </c>
      <c r="C1516" s="112">
        <v>2510</v>
      </c>
      <c r="D1516" s="112" t="s">
        <v>6036</v>
      </c>
      <c r="E1516" s="112" t="s">
        <v>219</v>
      </c>
      <c r="F1516" s="112" t="s">
        <v>6037</v>
      </c>
      <c r="G1516" s="112"/>
      <c r="H1516" s="112"/>
      <c r="I1516" s="350" t="s">
        <v>140</v>
      </c>
      <c r="J1516" s="112"/>
      <c r="K1516" s="351"/>
      <c r="L1516" s="112" t="s">
        <v>6038</v>
      </c>
      <c r="M1516" s="352">
        <f t="shared" si="216"/>
        <v>0</v>
      </c>
      <c r="N1516" s="112" t="s">
        <v>1879</v>
      </c>
      <c r="O1516" s="112" t="s">
        <v>1879</v>
      </c>
      <c r="P1516" s="353" t="s">
        <v>143</v>
      </c>
      <c r="Q1516" s="112"/>
      <c r="R1516" s="170">
        <v>0</v>
      </c>
      <c r="S1516" s="204">
        <f t="shared" si="215"/>
        <v>46037</v>
      </c>
      <c r="T1516" s="168">
        <v>46009</v>
      </c>
      <c r="U1516" s="112"/>
      <c r="V1516" s="112"/>
      <c r="W1516" s="112"/>
      <c r="X1516" s="112"/>
      <c r="Y1516" s="112"/>
      <c r="Z1516" s="112"/>
      <c r="AA1516" s="104">
        <f t="shared" ca="1" si="217"/>
        <v>1</v>
      </c>
      <c r="AB1516" s="202"/>
      <c r="AC1516" s="459" t="str">
        <f t="shared" si="218"/>
        <v/>
      </c>
    </row>
    <row r="1517" spans="1:29" s="203" customFormat="1" ht="43.5" x14ac:dyDescent="0.35">
      <c r="A1517" s="169" t="str">
        <f t="shared" si="219"/>
        <v>Closed</v>
      </c>
      <c r="B1517" s="222">
        <v>46010</v>
      </c>
      <c r="C1517" s="112">
        <v>2510</v>
      </c>
      <c r="D1517" s="112" t="s">
        <v>6039</v>
      </c>
      <c r="E1517" s="112" t="s">
        <v>72</v>
      </c>
      <c r="F1517" s="112" t="s">
        <v>5717</v>
      </c>
      <c r="G1517" s="112"/>
      <c r="H1517" s="112">
        <v>121</v>
      </c>
      <c r="I1517" s="350" t="s">
        <v>155</v>
      </c>
      <c r="J1517" s="112"/>
      <c r="K1517" s="351"/>
      <c r="L1517" s="112" t="s">
        <v>6040</v>
      </c>
      <c r="M1517" s="352">
        <f t="shared" si="216"/>
        <v>0</v>
      </c>
      <c r="N1517" s="112" t="s">
        <v>1879</v>
      </c>
      <c r="O1517" s="112" t="s">
        <v>1879</v>
      </c>
      <c r="P1517" s="353" t="s">
        <v>147</v>
      </c>
      <c r="Q1517" s="112" t="s">
        <v>176</v>
      </c>
      <c r="R1517" s="312" t="s">
        <v>236</v>
      </c>
      <c r="S1517" s="204">
        <f t="shared" si="215"/>
        <v>46038</v>
      </c>
      <c r="T1517" s="168">
        <v>46027</v>
      </c>
      <c r="U1517" s="112" t="s">
        <v>6041</v>
      </c>
      <c r="V1517" s="112" t="s">
        <v>6042</v>
      </c>
      <c r="W1517" s="112" t="s">
        <v>1880</v>
      </c>
      <c r="X1517" s="112" t="s">
        <v>154</v>
      </c>
      <c r="Y1517" s="112"/>
      <c r="Z1517" s="112" t="s">
        <v>1883</v>
      </c>
      <c r="AA1517" s="104">
        <f t="shared" ca="1" si="217"/>
        <v>1</v>
      </c>
      <c r="AB1517" s="202"/>
      <c r="AC1517" s="459" t="str">
        <f t="shared" si="218"/>
        <v>1</v>
      </c>
    </row>
    <row r="1518" spans="1:29" s="203" customFormat="1" ht="29" x14ac:dyDescent="0.35">
      <c r="A1518" s="169" t="str">
        <f t="shared" si="219"/>
        <v>Closed</v>
      </c>
      <c r="B1518" s="222">
        <v>46010</v>
      </c>
      <c r="C1518" s="112">
        <v>2510</v>
      </c>
      <c r="D1518" s="112" t="s">
        <v>6043</v>
      </c>
      <c r="E1518" s="112" t="s">
        <v>8</v>
      </c>
      <c r="F1518" s="112" t="s">
        <v>1910</v>
      </c>
      <c r="G1518" s="112" t="s">
        <v>1911</v>
      </c>
      <c r="H1518" s="112">
        <v>202</v>
      </c>
      <c r="I1518" s="350" t="s">
        <v>140</v>
      </c>
      <c r="J1518" s="112"/>
      <c r="K1518" s="351"/>
      <c r="L1518" s="112" t="s">
        <v>6044</v>
      </c>
      <c r="M1518" s="352">
        <f t="shared" si="216"/>
        <v>0</v>
      </c>
      <c r="N1518" s="112" t="s">
        <v>1879</v>
      </c>
      <c r="O1518" s="112" t="s">
        <v>1879</v>
      </c>
      <c r="P1518" s="353" t="s">
        <v>143</v>
      </c>
      <c r="Q1518" s="112"/>
      <c r="R1518" s="170">
        <v>0</v>
      </c>
      <c r="S1518" s="204">
        <f t="shared" si="215"/>
        <v>46038</v>
      </c>
      <c r="T1518" s="168">
        <v>46010</v>
      </c>
      <c r="U1518" s="112"/>
      <c r="V1518" s="112"/>
      <c r="W1518" s="112"/>
      <c r="X1518" s="112"/>
      <c r="Y1518" s="23" t="s">
        <v>1915</v>
      </c>
      <c r="Z1518" s="112"/>
      <c r="AA1518" s="104">
        <f t="shared" ca="1" si="217"/>
        <v>1</v>
      </c>
      <c r="AB1518" s="202"/>
      <c r="AC1518" s="459" t="str">
        <f t="shared" si="218"/>
        <v>2</v>
      </c>
    </row>
    <row r="1519" spans="1:29" ht="43.5" x14ac:dyDescent="0.35">
      <c r="A1519" s="111" t="str">
        <f t="shared" si="219"/>
        <v>Closed</v>
      </c>
      <c r="B1519" s="222">
        <v>46010</v>
      </c>
      <c r="C1519" s="14">
        <v>2510</v>
      </c>
      <c r="D1519" s="112" t="s">
        <v>6045</v>
      </c>
      <c r="E1519" s="14" t="s">
        <v>8</v>
      </c>
      <c r="F1519" s="14" t="s">
        <v>1910</v>
      </c>
      <c r="G1519" s="14" t="s">
        <v>1911</v>
      </c>
      <c r="H1519" s="14">
        <v>110</v>
      </c>
      <c r="I1519" s="350" t="s">
        <v>140</v>
      </c>
      <c r="J1519" s="14">
        <v>1278</v>
      </c>
      <c r="K1519" s="87"/>
      <c r="L1519" s="14" t="s">
        <v>6046</v>
      </c>
      <c r="M1519" s="324">
        <f t="shared" si="216"/>
        <v>0</v>
      </c>
      <c r="N1519" s="112" t="s">
        <v>1879</v>
      </c>
      <c r="O1519" s="112" t="s">
        <v>1879</v>
      </c>
      <c r="P1519" s="353" t="s">
        <v>143</v>
      </c>
      <c r="Q1519" s="14"/>
      <c r="R1519" s="170">
        <v>0</v>
      </c>
      <c r="S1519" s="108">
        <f t="shared" si="215"/>
        <v>46038</v>
      </c>
      <c r="T1519" s="79">
        <v>46010</v>
      </c>
      <c r="U1519" s="14"/>
      <c r="V1519" s="14"/>
      <c r="W1519" s="14"/>
      <c r="X1519" s="14"/>
      <c r="Y1519" s="23" t="s">
        <v>1915</v>
      </c>
      <c r="Z1519" s="14"/>
      <c r="AA1519" s="2">
        <f t="shared" ca="1" si="217"/>
        <v>1</v>
      </c>
      <c r="AB1519" s="153"/>
      <c r="AC1519" s="454" t="str">
        <f t="shared" si="218"/>
        <v>1</v>
      </c>
    </row>
    <row r="1520" spans="1:29" ht="217.5" x14ac:dyDescent="0.35">
      <c r="A1520" s="111" t="str">
        <f t="shared" si="219"/>
        <v>Closed</v>
      </c>
      <c r="B1520" s="222">
        <v>46011</v>
      </c>
      <c r="C1520" s="14">
        <v>2510</v>
      </c>
      <c r="D1520" s="112" t="s">
        <v>6047</v>
      </c>
      <c r="E1520" s="14" t="s">
        <v>26</v>
      </c>
      <c r="F1520" s="14" t="s">
        <v>6048</v>
      </c>
      <c r="G1520" s="14"/>
      <c r="H1520" s="14"/>
      <c r="I1520" s="176" t="s">
        <v>140</v>
      </c>
      <c r="K1520" s="87"/>
      <c r="L1520" s="14" t="s">
        <v>6049</v>
      </c>
      <c r="M1520" s="324">
        <f t="shared" si="216"/>
        <v>0</v>
      </c>
      <c r="N1520" s="112" t="s">
        <v>1879</v>
      </c>
      <c r="O1520" s="112" t="s">
        <v>1879</v>
      </c>
      <c r="P1520" s="353" t="s">
        <v>143</v>
      </c>
      <c r="Q1520" s="14"/>
      <c r="R1520" s="170">
        <v>0</v>
      </c>
      <c r="S1520" s="108">
        <f t="shared" si="215"/>
        <v>46039</v>
      </c>
      <c r="T1520" s="79">
        <v>46011</v>
      </c>
      <c r="U1520" s="14"/>
      <c r="V1520" s="14"/>
      <c r="W1520" s="14"/>
      <c r="X1520" s="14"/>
      <c r="Z1520" s="14"/>
      <c r="AA1520" s="2">
        <f t="shared" ca="1" si="217"/>
        <v>1</v>
      </c>
      <c r="AB1520" s="153"/>
      <c r="AC1520" s="454" t="str">
        <f t="shared" si="218"/>
        <v/>
      </c>
    </row>
    <row r="1521" spans="1:29" ht="58" x14ac:dyDescent="0.35">
      <c r="A1521" s="111" t="str">
        <f t="shared" si="219"/>
        <v>Closed</v>
      </c>
      <c r="B1521" s="222">
        <v>46011</v>
      </c>
      <c r="C1521" s="14">
        <v>2510</v>
      </c>
      <c r="D1521" s="112" t="s">
        <v>6050</v>
      </c>
      <c r="E1521" s="14" t="s">
        <v>61</v>
      </c>
      <c r="F1521" s="14" t="s">
        <v>6051</v>
      </c>
      <c r="G1521" s="14" t="s">
        <v>1900</v>
      </c>
      <c r="H1521" s="14">
        <v>102</v>
      </c>
      <c r="I1521" s="176" t="s">
        <v>140</v>
      </c>
      <c r="J1521" s="14">
        <v>1199</v>
      </c>
      <c r="K1521" s="87"/>
      <c r="L1521" s="14" t="s">
        <v>6052</v>
      </c>
      <c r="M1521" s="324">
        <f t="shared" si="216"/>
        <v>0</v>
      </c>
      <c r="N1521" s="112" t="s">
        <v>1879</v>
      </c>
      <c r="O1521" s="112" t="s">
        <v>1879</v>
      </c>
      <c r="P1521" s="353" t="s">
        <v>143</v>
      </c>
      <c r="Q1521" s="14"/>
      <c r="R1521" s="170">
        <v>0</v>
      </c>
      <c r="S1521" s="108">
        <f t="shared" si="215"/>
        <v>46039</v>
      </c>
      <c r="T1521" s="79">
        <v>46011</v>
      </c>
      <c r="U1521" s="14"/>
      <c r="V1521" s="14"/>
      <c r="W1521" s="14"/>
      <c r="X1521" s="14"/>
      <c r="Z1521" s="14"/>
      <c r="AA1521" s="2">
        <f t="shared" ca="1" si="217"/>
        <v>1</v>
      </c>
      <c r="AB1521" s="153"/>
      <c r="AC1521" s="454" t="str">
        <f t="shared" si="218"/>
        <v>1</v>
      </c>
    </row>
    <row r="1522" spans="1:29" ht="43.5" x14ac:dyDescent="0.35">
      <c r="A1522" s="111" t="str">
        <f t="shared" si="219"/>
        <v>Closed</v>
      </c>
      <c r="B1522" s="222">
        <v>46011</v>
      </c>
      <c r="C1522" s="14">
        <v>2510</v>
      </c>
      <c r="D1522" s="112" t="s">
        <v>6053</v>
      </c>
      <c r="E1522" s="14" t="s">
        <v>8</v>
      </c>
      <c r="F1522" s="14" t="s">
        <v>6054</v>
      </c>
      <c r="G1522" s="14" t="s">
        <v>1900</v>
      </c>
      <c r="H1522" s="14">
        <v>102</v>
      </c>
      <c r="I1522" s="176" t="s">
        <v>140</v>
      </c>
      <c r="J1522" s="14">
        <v>1199</v>
      </c>
      <c r="K1522" s="87"/>
      <c r="L1522" s="14" t="s">
        <v>6055</v>
      </c>
      <c r="M1522" s="324">
        <f>IF(I1523="Staff Accident","Entry Required",IF(I1523="Assaults","Entry Required",0))</f>
        <v>0</v>
      </c>
      <c r="N1522" s="112" t="s">
        <v>1879</v>
      </c>
      <c r="O1522" s="112" t="s">
        <v>1879</v>
      </c>
      <c r="P1522" s="353" t="s">
        <v>143</v>
      </c>
      <c r="Q1522" s="14"/>
      <c r="R1522" s="170">
        <v>0</v>
      </c>
      <c r="S1522" s="108">
        <f t="shared" si="215"/>
        <v>46039</v>
      </c>
      <c r="T1522" s="79">
        <v>46011</v>
      </c>
      <c r="U1522" s="14"/>
      <c r="V1522" s="14"/>
      <c r="W1522" s="14"/>
      <c r="X1522" s="14"/>
      <c r="Z1522" s="14"/>
      <c r="AA1522" s="2">
        <f t="shared" ca="1" si="217"/>
        <v>1</v>
      </c>
      <c r="AB1522" s="153"/>
      <c r="AC1522" s="454" t="str">
        <f t="shared" si="218"/>
        <v>1</v>
      </c>
    </row>
    <row r="1523" spans="1:29" ht="72.5" x14ac:dyDescent="0.35">
      <c r="A1523" s="111" t="str">
        <f t="shared" si="219"/>
        <v>Closed</v>
      </c>
      <c r="B1523" s="222">
        <v>46012</v>
      </c>
      <c r="C1523" s="14">
        <v>2510</v>
      </c>
      <c r="D1523" s="112" t="s">
        <v>6056</v>
      </c>
      <c r="E1523" s="14" t="s">
        <v>8</v>
      </c>
      <c r="F1523" s="14" t="s">
        <v>3917</v>
      </c>
      <c r="G1523" s="14"/>
      <c r="H1523" s="14"/>
      <c r="I1523" s="176" t="s">
        <v>140</v>
      </c>
      <c r="K1523" s="87"/>
      <c r="L1523" s="14" t="s">
        <v>6057</v>
      </c>
      <c r="M1523" s="324">
        <f>IF(I1524="Staff Accident","Entry Required",IF(I1524="Assaults","Entry Required",0))</f>
        <v>0</v>
      </c>
      <c r="N1523" s="112" t="s">
        <v>1879</v>
      </c>
      <c r="O1523" s="112" t="s">
        <v>1879</v>
      </c>
      <c r="P1523" s="353" t="s">
        <v>143</v>
      </c>
      <c r="Q1523" s="14"/>
      <c r="R1523" s="170">
        <v>0</v>
      </c>
      <c r="S1523" s="108">
        <f t="shared" si="215"/>
        <v>46040</v>
      </c>
      <c r="T1523" s="79">
        <v>46012</v>
      </c>
      <c r="U1523" s="14"/>
      <c r="V1523" s="14"/>
      <c r="W1523" s="14"/>
      <c r="X1523" s="14"/>
      <c r="Y1523" s="14" t="s">
        <v>2093</v>
      </c>
      <c r="Z1523" s="14"/>
      <c r="AA1523" s="2">
        <f t="shared" ca="1" si="217"/>
        <v>1</v>
      </c>
      <c r="AB1523" s="153"/>
      <c r="AC1523" s="454" t="str">
        <f t="shared" si="218"/>
        <v/>
      </c>
    </row>
    <row r="1524" spans="1:29" ht="174.5" thickBot="1" x14ac:dyDescent="0.5">
      <c r="A1524" s="111" t="str">
        <f t="shared" si="219"/>
        <v>Closed</v>
      </c>
      <c r="B1524" s="222">
        <v>46012</v>
      </c>
      <c r="C1524" s="14">
        <v>2510</v>
      </c>
      <c r="D1524" s="112" t="s">
        <v>6058</v>
      </c>
      <c r="E1524" s="14" t="s">
        <v>192</v>
      </c>
      <c r="F1524" s="14" t="s">
        <v>5645</v>
      </c>
      <c r="G1524" s="14"/>
      <c r="H1524" s="14"/>
      <c r="I1524" s="176" t="s">
        <v>140</v>
      </c>
      <c r="K1524" s="87"/>
      <c r="L1524" s="14" t="s">
        <v>6059</v>
      </c>
      <c r="M1524" s="324">
        <f t="shared" si="216"/>
        <v>0</v>
      </c>
      <c r="N1524" s="112" t="s">
        <v>1879</v>
      </c>
      <c r="O1524" s="112" t="s">
        <v>1879</v>
      </c>
      <c r="P1524" s="353" t="s">
        <v>143</v>
      </c>
      <c r="Q1524" s="14"/>
      <c r="R1524" s="170">
        <v>0</v>
      </c>
      <c r="S1524" s="108">
        <f t="shared" si="215"/>
        <v>46040</v>
      </c>
      <c r="T1524" s="79">
        <v>46012</v>
      </c>
      <c r="U1524" s="14"/>
      <c r="V1524" s="14"/>
      <c r="W1524" s="14"/>
      <c r="X1524" s="14"/>
      <c r="Y1524" s="463" t="s">
        <v>2340</v>
      </c>
      <c r="Z1524" s="14"/>
      <c r="AA1524" s="2">
        <f t="shared" ca="1" si="217"/>
        <v>1</v>
      </c>
      <c r="AB1524" s="153"/>
      <c r="AC1524" s="454" t="str">
        <f t="shared" si="218"/>
        <v/>
      </c>
    </row>
    <row r="1525" spans="1:29" ht="58.5" thickBot="1" x14ac:dyDescent="0.4">
      <c r="A1525" s="111" t="str">
        <f t="shared" ca="1" si="219"/>
        <v>Overdue</v>
      </c>
      <c r="B1525" s="222">
        <v>46013</v>
      </c>
      <c r="C1525" s="14">
        <v>2510</v>
      </c>
      <c r="D1525" s="14" t="s">
        <v>6060</v>
      </c>
      <c r="E1525" s="14" t="s">
        <v>40</v>
      </c>
      <c r="F1525" s="14" t="s">
        <v>2130</v>
      </c>
      <c r="G1525" s="14" t="s">
        <v>1911</v>
      </c>
      <c r="H1525" s="14">
        <v>114</v>
      </c>
      <c r="I1525" s="176" t="s">
        <v>4</v>
      </c>
      <c r="J1525" s="14">
        <v>1106</v>
      </c>
      <c r="K1525" s="87" t="s">
        <v>137</v>
      </c>
      <c r="L1525" s="14" t="s">
        <v>6061</v>
      </c>
      <c r="M1525" s="324">
        <v>0</v>
      </c>
      <c r="N1525" s="14" t="s">
        <v>1879</v>
      </c>
      <c r="O1525" s="14" t="s">
        <v>1880</v>
      </c>
      <c r="P1525" s="167" t="s">
        <v>139</v>
      </c>
      <c r="Q1525" s="14" t="s">
        <v>135</v>
      </c>
      <c r="R1525" s="170" t="s">
        <v>234</v>
      </c>
      <c r="S1525" s="108">
        <f t="shared" si="215"/>
        <v>46041</v>
      </c>
      <c r="T1525" s="14"/>
      <c r="U1525" s="14"/>
      <c r="V1525" s="14"/>
      <c r="W1525" s="14"/>
      <c r="X1525" s="14"/>
      <c r="Z1525" s="465" t="s">
        <v>6062</v>
      </c>
      <c r="AA1525" s="2">
        <f t="shared" ca="1" si="217"/>
        <v>1</v>
      </c>
      <c r="AB1525" s="153"/>
      <c r="AC1525" s="454" t="str">
        <f t="shared" si="218"/>
        <v>1</v>
      </c>
    </row>
    <row r="1526" spans="1:29" ht="29.5" thickBot="1" x14ac:dyDescent="0.4">
      <c r="A1526" s="111" t="str">
        <f t="shared" si="219"/>
        <v>Closed</v>
      </c>
      <c r="B1526" s="222">
        <v>46014</v>
      </c>
      <c r="C1526" s="14">
        <v>2510</v>
      </c>
      <c r="D1526" s="14" t="s">
        <v>6063</v>
      </c>
      <c r="E1526" s="14" t="s">
        <v>27</v>
      </c>
      <c r="F1526" s="14" t="s">
        <v>2974</v>
      </c>
      <c r="G1526" s="14" t="s">
        <v>1911</v>
      </c>
      <c r="H1526" s="14">
        <v>205</v>
      </c>
      <c r="I1526" s="176" t="s">
        <v>5</v>
      </c>
      <c r="J1526" s="14">
        <v>1099</v>
      </c>
      <c r="K1526" s="87"/>
      <c r="L1526" s="328" t="s">
        <v>6064</v>
      </c>
      <c r="M1526" s="324">
        <f t="shared" si="216"/>
        <v>0</v>
      </c>
      <c r="N1526" s="14" t="s">
        <v>1879</v>
      </c>
      <c r="O1526" s="14" t="s">
        <v>1880</v>
      </c>
      <c r="P1526" s="167" t="s">
        <v>147</v>
      </c>
      <c r="Q1526" s="14" t="s">
        <v>174</v>
      </c>
      <c r="R1526" s="170" t="s">
        <v>234</v>
      </c>
      <c r="S1526" s="108">
        <f t="shared" si="215"/>
        <v>46042</v>
      </c>
      <c r="T1526" s="79">
        <v>45672</v>
      </c>
      <c r="U1526" s="14"/>
      <c r="V1526" s="14"/>
      <c r="W1526" s="14"/>
      <c r="X1526" s="14"/>
      <c r="Y1526" s="464" t="s">
        <v>2164</v>
      </c>
      <c r="Z1526" s="79" t="s">
        <v>5341</v>
      </c>
      <c r="AA1526" s="2">
        <f t="shared" ca="1" si="217"/>
        <v>1</v>
      </c>
      <c r="AB1526" s="153"/>
      <c r="AC1526" s="454" t="str">
        <f t="shared" si="218"/>
        <v>2</v>
      </c>
    </row>
    <row r="1527" spans="1:29" ht="58.5" thickBot="1" x14ac:dyDescent="0.4">
      <c r="A1527" s="111" t="str">
        <f t="shared" si="219"/>
        <v>Closed</v>
      </c>
      <c r="B1527" s="222">
        <v>46015</v>
      </c>
      <c r="C1527" s="14">
        <v>2510</v>
      </c>
      <c r="D1527" s="14" t="s">
        <v>6065</v>
      </c>
      <c r="E1527" s="30" t="s">
        <v>42</v>
      </c>
      <c r="F1527" s="14" t="s">
        <v>2052</v>
      </c>
      <c r="G1527" s="14" t="s">
        <v>1900</v>
      </c>
      <c r="H1527" s="14">
        <v>112</v>
      </c>
      <c r="I1527" s="176" t="s">
        <v>4</v>
      </c>
      <c r="J1527" s="14">
        <v>1440</v>
      </c>
      <c r="K1527" s="87" t="s">
        <v>137</v>
      </c>
      <c r="L1527" s="328" t="s">
        <v>6066</v>
      </c>
      <c r="M1527" s="324">
        <v>0</v>
      </c>
      <c r="N1527" s="14" t="s">
        <v>1879</v>
      </c>
      <c r="O1527" s="14" t="s">
        <v>1879</v>
      </c>
      <c r="P1527" s="167" t="s">
        <v>139</v>
      </c>
      <c r="Q1527" s="14" t="s">
        <v>177</v>
      </c>
      <c r="R1527" s="170" t="s">
        <v>234</v>
      </c>
      <c r="S1527" s="108">
        <f t="shared" si="215"/>
        <v>46043</v>
      </c>
      <c r="T1527" s="79">
        <v>46015</v>
      </c>
      <c r="U1527" s="14"/>
      <c r="V1527" s="14"/>
      <c r="W1527" s="14"/>
      <c r="X1527" s="14"/>
      <c r="Z1527" s="465" t="s">
        <v>6067</v>
      </c>
      <c r="AA1527" s="2">
        <f t="shared" ca="1" si="217"/>
        <v>1</v>
      </c>
      <c r="AB1527" s="153"/>
      <c r="AC1527" s="454" t="str">
        <f t="shared" si="218"/>
        <v>1</v>
      </c>
    </row>
    <row r="1528" spans="1:29" ht="102" thickBot="1" x14ac:dyDescent="0.4">
      <c r="A1528" s="111" t="str">
        <f t="shared" si="219"/>
        <v>Closed</v>
      </c>
      <c r="B1528" s="222">
        <v>46018</v>
      </c>
      <c r="C1528" s="14">
        <v>2510</v>
      </c>
      <c r="D1528" s="14" t="s">
        <v>6068</v>
      </c>
      <c r="E1528" s="14" t="s">
        <v>8</v>
      </c>
      <c r="F1528" s="14" t="s">
        <v>2064</v>
      </c>
      <c r="G1528" s="14" t="s">
        <v>1911</v>
      </c>
      <c r="H1528" s="14">
        <v>110</v>
      </c>
      <c r="I1528" s="30" t="s">
        <v>140</v>
      </c>
      <c r="K1528" s="87"/>
      <c r="L1528" s="14" t="s">
        <v>6069</v>
      </c>
      <c r="M1528" s="324">
        <f>IF(I1529="Staff Accident","Entry Required",IF(I1529="Assaults","Entry Required",0))</f>
        <v>0</v>
      </c>
      <c r="N1528" s="112" t="s">
        <v>1879</v>
      </c>
      <c r="O1528" s="112" t="s">
        <v>1879</v>
      </c>
      <c r="P1528" s="353" t="s">
        <v>143</v>
      </c>
      <c r="Q1528" s="14"/>
      <c r="R1528" s="170">
        <v>0</v>
      </c>
      <c r="S1528" s="108">
        <f t="shared" si="215"/>
        <v>46046</v>
      </c>
      <c r="T1528" s="79">
        <v>46018</v>
      </c>
      <c r="U1528" s="14"/>
      <c r="V1528" s="14"/>
      <c r="W1528" s="14"/>
      <c r="X1528" s="14"/>
      <c r="Z1528" s="14"/>
      <c r="AA1528" s="2">
        <f t="shared" ca="1" si="217"/>
        <v>1</v>
      </c>
      <c r="AB1528" s="153"/>
      <c r="AC1528" s="454" t="str">
        <f t="shared" si="218"/>
        <v>1</v>
      </c>
    </row>
    <row r="1529" spans="1:29" ht="87.5" thickBot="1" x14ac:dyDescent="0.4">
      <c r="A1529" s="111" t="str">
        <f t="shared" ca="1" si="219"/>
        <v>Overdue</v>
      </c>
      <c r="B1529" s="222">
        <v>46019</v>
      </c>
      <c r="C1529" s="14">
        <v>2510</v>
      </c>
      <c r="D1529" s="14" t="s">
        <v>6070</v>
      </c>
      <c r="E1529" s="14" t="s">
        <v>78</v>
      </c>
      <c r="F1529" s="14" t="s">
        <v>6071</v>
      </c>
      <c r="G1529" s="14"/>
      <c r="H1529" s="14">
        <v>125</v>
      </c>
      <c r="I1529" s="176" t="s">
        <v>155</v>
      </c>
      <c r="J1529" s="14">
        <v>1130</v>
      </c>
      <c r="K1529" s="87"/>
      <c r="L1529" s="14" t="s">
        <v>6072</v>
      </c>
      <c r="M1529" s="324">
        <f>IF(I1530="Staff Accident","Entry Required",IF(I1530="Assaults","Entry Required",0))</f>
        <v>0</v>
      </c>
      <c r="N1529" s="14" t="s">
        <v>1880</v>
      </c>
      <c r="O1529" s="14" t="s">
        <v>1880</v>
      </c>
      <c r="P1529" s="167" t="s">
        <v>147</v>
      </c>
      <c r="Q1529" s="14" t="s">
        <v>174</v>
      </c>
      <c r="R1529" s="170" t="s">
        <v>234</v>
      </c>
      <c r="S1529" s="108">
        <f t="shared" si="215"/>
        <v>46047</v>
      </c>
      <c r="T1529" s="14"/>
      <c r="U1529" s="14"/>
      <c r="V1529" s="14"/>
      <c r="W1529" s="14"/>
      <c r="X1529" s="14"/>
      <c r="Z1529" s="465" t="s">
        <v>5315</v>
      </c>
      <c r="AA1529" s="2">
        <f t="shared" ca="1" si="217"/>
        <v>1</v>
      </c>
      <c r="AB1529" s="153"/>
      <c r="AC1529" s="454" t="str">
        <f t="shared" si="218"/>
        <v>1</v>
      </c>
    </row>
    <row r="1530" spans="1:29" ht="130.5" x14ac:dyDescent="0.35">
      <c r="A1530" s="111" t="str">
        <f t="shared" si="219"/>
        <v>Closed</v>
      </c>
      <c r="B1530" s="222">
        <v>46019</v>
      </c>
      <c r="C1530" s="14">
        <v>2510</v>
      </c>
      <c r="D1530" s="112" t="s">
        <v>6073</v>
      </c>
      <c r="E1530" s="14" t="s">
        <v>206</v>
      </c>
      <c r="F1530" s="14" t="s">
        <v>2962</v>
      </c>
      <c r="G1530" s="14" t="s">
        <v>1900</v>
      </c>
      <c r="H1530" s="14">
        <v>118</v>
      </c>
      <c r="I1530" s="176" t="s">
        <v>140</v>
      </c>
      <c r="J1530" s="14">
        <v>1307</v>
      </c>
      <c r="K1530" s="87"/>
      <c r="L1530" s="14" t="s">
        <v>6074</v>
      </c>
      <c r="M1530" s="324">
        <f t="shared" si="216"/>
        <v>0</v>
      </c>
      <c r="N1530" s="112" t="s">
        <v>1879</v>
      </c>
      <c r="O1530" s="112" t="s">
        <v>1879</v>
      </c>
      <c r="P1530" s="353" t="s">
        <v>143</v>
      </c>
      <c r="Q1530" s="14"/>
      <c r="R1530" s="170">
        <v>0</v>
      </c>
      <c r="S1530" s="108">
        <f t="shared" si="215"/>
        <v>46047</v>
      </c>
      <c r="T1530" s="79">
        <v>46019</v>
      </c>
      <c r="U1530" s="14"/>
      <c r="V1530" s="14"/>
      <c r="W1530" s="14"/>
      <c r="X1530" s="14"/>
      <c r="Z1530" s="14"/>
      <c r="AA1530" s="2">
        <f t="shared" ca="1" si="217"/>
        <v>1</v>
      </c>
      <c r="AB1530" s="153"/>
      <c r="AC1530" s="454" t="str">
        <f t="shared" si="218"/>
        <v>1</v>
      </c>
    </row>
    <row r="1531" spans="1:29" ht="43.5" x14ac:dyDescent="0.35">
      <c r="A1531" s="111" t="str">
        <f t="shared" si="219"/>
        <v>Closed</v>
      </c>
      <c r="B1531" s="222">
        <v>46019</v>
      </c>
      <c r="C1531" s="14">
        <v>2510</v>
      </c>
      <c r="D1531" s="14" t="s">
        <v>6075</v>
      </c>
      <c r="E1531" s="14" t="s">
        <v>8</v>
      </c>
      <c r="F1531" s="14" t="s">
        <v>3040</v>
      </c>
      <c r="G1531" s="14" t="s">
        <v>1900</v>
      </c>
      <c r="H1531" s="14">
        <v>114</v>
      </c>
      <c r="I1531" s="176" t="s">
        <v>140</v>
      </c>
      <c r="J1531" s="14">
        <v>1220</v>
      </c>
      <c r="K1531" s="87"/>
      <c r="L1531" s="14" t="s">
        <v>6076</v>
      </c>
      <c r="M1531" s="324">
        <f t="shared" si="216"/>
        <v>0</v>
      </c>
      <c r="N1531" s="112" t="s">
        <v>1879</v>
      </c>
      <c r="O1531" s="112" t="s">
        <v>1879</v>
      </c>
      <c r="P1531" s="353" t="s">
        <v>143</v>
      </c>
      <c r="Q1531" s="14"/>
      <c r="R1531" s="170">
        <v>0</v>
      </c>
      <c r="S1531" s="108">
        <f t="shared" si="215"/>
        <v>46047</v>
      </c>
      <c r="T1531" s="79">
        <v>46019</v>
      </c>
      <c r="U1531" s="14"/>
      <c r="V1531" s="14"/>
      <c r="W1531" s="14"/>
      <c r="X1531" s="14"/>
      <c r="Z1531" s="14"/>
      <c r="AA1531" s="2">
        <f t="shared" ca="1" si="217"/>
        <v>1</v>
      </c>
      <c r="AB1531" s="153"/>
      <c r="AC1531" s="454" t="str">
        <f t="shared" si="218"/>
        <v>1</v>
      </c>
    </row>
    <row r="1532" spans="1:29" ht="43.5" x14ac:dyDescent="0.35">
      <c r="A1532" s="111" t="str">
        <f t="shared" ca="1" si="219"/>
        <v>Overdue</v>
      </c>
      <c r="B1532" s="222">
        <v>46020</v>
      </c>
      <c r="C1532" s="14">
        <v>2510</v>
      </c>
      <c r="D1532" s="112" t="s">
        <v>6077</v>
      </c>
      <c r="E1532" s="14" t="s">
        <v>72</v>
      </c>
      <c r="F1532" s="14" t="s">
        <v>1975</v>
      </c>
      <c r="G1532" s="14"/>
      <c r="H1532" s="14"/>
      <c r="I1532" s="176" t="s">
        <v>155</v>
      </c>
      <c r="J1532" s="14">
        <v>1318</v>
      </c>
      <c r="K1532" s="87"/>
      <c r="L1532" s="14" t="s">
        <v>6078</v>
      </c>
      <c r="M1532" s="324">
        <f t="shared" si="216"/>
        <v>0</v>
      </c>
      <c r="N1532" s="14" t="s">
        <v>1879</v>
      </c>
      <c r="O1532" s="14" t="s">
        <v>1879</v>
      </c>
      <c r="P1532" s="167" t="s">
        <v>147</v>
      </c>
      <c r="Q1532" s="14" t="s">
        <v>168</v>
      </c>
      <c r="R1532" s="170" t="s">
        <v>234</v>
      </c>
      <c r="S1532" s="108">
        <f t="shared" si="215"/>
        <v>46048</v>
      </c>
      <c r="T1532" s="14"/>
      <c r="U1532" s="14"/>
      <c r="V1532" s="14"/>
      <c r="W1532" s="14"/>
      <c r="X1532" s="14"/>
      <c r="Z1532" s="14" t="s">
        <v>6079</v>
      </c>
      <c r="AA1532" s="2">
        <f t="shared" ca="1" si="217"/>
        <v>1</v>
      </c>
      <c r="AB1532" s="153"/>
      <c r="AC1532" s="454" t="str">
        <f t="shared" si="218"/>
        <v/>
      </c>
    </row>
    <row r="1533" spans="1:29" ht="43.5" x14ac:dyDescent="0.45">
      <c r="A1533" s="111" t="str">
        <f t="shared" si="219"/>
        <v>Closed</v>
      </c>
      <c r="B1533" s="222">
        <v>46020</v>
      </c>
      <c r="C1533" s="14">
        <v>2510</v>
      </c>
      <c r="D1533" s="112" t="s">
        <v>6080</v>
      </c>
      <c r="E1533" s="14" t="s">
        <v>192</v>
      </c>
      <c r="F1533" s="14" t="s">
        <v>5645</v>
      </c>
      <c r="G1533" s="14"/>
      <c r="H1533" s="14"/>
      <c r="I1533" s="176" t="s">
        <v>140</v>
      </c>
      <c r="K1533" s="87"/>
      <c r="L1533" s="14" t="s">
        <v>6081</v>
      </c>
      <c r="M1533" s="324">
        <f t="shared" si="216"/>
        <v>0</v>
      </c>
      <c r="N1533" s="112" t="s">
        <v>1879</v>
      </c>
      <c r="O1533" s="112" t="s">
        <v>1879</v>
      </c>
      <c r="P1533" s="353" t="s">
        <v>143</v>
      </c>
      <c r="Q1533" s="14"/>
      <c r="R1533" s="170">
        <v>0</v>
      </c>
      <c r="S1533" s="108">
        <f t="shared" si="215"/>
        <v>46048</v>
      </c>
      <c r="T1533" s="79">
        <v>46020</v>
      </c>
      <c r="U1533" s="14"/>
      <c r="V1533" s="14"/>
      <c r="W1533" s="14"/>
      <c r="X1533" s="14"/>
      <c r="Y1533" s="463" t="s">
        <v>2340</v>
      </c>
      <c r="Z1533" s="14"/>
      <c r="AA1533" s="2">
        <f t="shared" ca="1" si="217"/>
        <v>1</v>
      </c>
      <c r="AB1533" s="153"/>
      <c r="AC1533" s="454" t="str">
        <f t="shared" si="218"/>
        <v/>
      </c>
    </row>
    <row r="1534" spans="1:29" ht="101.5" x14ac:dyDescent="0.35">
      <c r="A1534" s="111" t="str">
        <f>IF(T1534&gt;1,"Closed",IF(AA1534=1,"Overdue",IF(AA1534=3,"","Open")))</f>
        <v>Closed</v>
      </c>
      <c r="B1534" s="222">
        <v>46022</v>
      </c>
      <c r="C1534" s="14">
        <v>2510</v>
      </c>
      <c r="D1534" s="112" t="s">
        <v>1729</v>
      </c>
      <c r="E1534" s="14" t="s">
        <v>38</v>
      </c>
      <c r="F1534" s="14" t="s">
        <v>5907</v>
      </c>
      <c r="G1534" s="14"/>
      <c r="H1534" s="14"/>
      <c r="I1534" s="176" t="s">
        <v>2</v>
      </c>
      <c r="K1534" s="87" t="s">
        <v>137</v>
      </c>
      <c r="L1534" s="14" t="s">
        <v>6082</v>
      </c>
      <c r="M1534" s="324">
        <v>0</v>
      </c>
      <c r="N1534" s="14" t="s">
        <v>1879</v>
      </c>
      <c r="O1534" s="14" t="s">
        <v>1880</v>
      </c>
      <c r="P1534" s="167" t="s">
        <v>136</v>
      </c>
      <c r="Q1534" s="14" t="s">
        <v>176</v>
      </c>
      <c r="R1534" s="170" t="s">
        <v>236</v>
      </c>
      <c r="S1534" s="108">
        <f t="shared" si="215"/>
        <v>46050</v>
      </c>
      <c r="T1534" s="79">
        <v>46050</v>
      </c>
      <c r="U1534" s="14" t="s">
        <v>6083</v>
      </c>
      <c r="V1534" s="14" t="s">
        <v>6084</v>
      </c>
      <c r="W1534" s="14"/>
      <c r="X1534" s="14" t="s">
        <v>1880</v>
      </c>
      <c r="Z1534" s="14" t="s">
        <v>6085</v>
      </c>
      <c r="AA1534" s="2">
        <f t="shared" ca="1" si="217"/>
        <v>1</v>
      </c>
      <c r="AB1534" s="153"/>
      <c r="AC1534" s="454" t="str">
        <f t="shared" si="218"/>
        <v/>
      </c>
    </row>
    <row r="1535" spans="1:29" ht="44" thickBot="1" x14ac:dyDescent="0.4">
      <c r="A1535" s="111" t="str">
        <f t="shared" si="219"/>
        <v>Closed</v>
      </c>
      <c r="B1535" s="222">
        <v>46022</v>
      </c>
      <c r="C1535" s="14">
        <v>2510</v>
      </c>
      <c r="D1535" s="112" t="s">
        <v>6086</v>
      </c>
      <c r="E1535" s="14" t="s">
        <v>219</v>
      </c>
      <c r="F1535" s="14" t="s">
        <v>1968</v>
      </c>
      <c r="G1535" s="14"/>
      <c r="H1535" s="14">
        <v>202</v>
      </c>
      <c r="I1535" s="176" t="s">
        <v>140</v>
      </c>
      <c r="J1535" s="14">
        <v>1316</v>
      </c>
      <c r="K1535" s="87"/>
      <c r="L1535" s="14" t="s">
        <v>6087</v>
      </c>
      <c r="M1535" s="324">
        <f t="shared" si="216"/>
        <v>0</v>
      </c>
      <c r="N1535" s="14" t="s">
        <v>1879</v>
      </c>
      <c r="O1535" s="14" t="s">
        <v>1879</v>
      </c>
      <c r="P1535" s="167" t="s">
        <v>143</v>
      </c>
      <c r="Q1535" s="14"/>
      <c r="R1535" s="170">
        <v>0</v>
      </c>
      <c r="S1535" s="108">
        <f t="shared" si="215"/>
        <v>46050</v>
      </c>
      <c r="T1535" s="79">
        <v>46022</v>
      </c>
      <c r="U1535" s="14"/>
      <c r="V1535" s="14"/>
      <c r="W1535" s="14"/>
      <c r="X1535" s="14"/>
      <c r="Z1535" s="14"/>
      <c r="AA1535" s="2">
        <f t="shared" ca="1" si="217"/>
        <v>1</v>
      </c>
      <c r="AB1535" s="153"/>
      <c r="AC1535" s="454" t="str">
        <f t="shared" si="218"/>
        <v>2</v>
      </c>
    </row>
    <row r="1536" spans="1:29" ht="58.5" thickBot="1" x14ac:dyDescent="0.4">
      <c r="A1536" s="89" t="str">
        <f t="shared" ca="1" si="219"/>
        <v>Overdue</v>
      </c>
      <c r="B1536" s="222">
        <v>46023</v>
      </c>
      <c r="C1536" s="14">
        <v>2510</v>
      </c>
      <c r="D1536" s="14" t="s">
        <v>6088</v>
      </c>
      <c r="E1536" s="14" t="s">
        <v>40</v>
      </c>
      <c r="F1536" s="14" t="s">
        <v>2095</v>
      </c>
      <c r="G1536" s="14"/>
      <c r="H1536" s="14">
        <v>101</v>
      </c>
      <c r="I1536" s="176" t="s">
        <v>4</v>
      </c>
      <c r="J1536" s="14">
        <v>1256</v>
      </c>
      <c r="K1536" s="87"/>
      <c r="L1536" s="14" t="s">
        <v>6089</v>
      </c>
      <c r="M1536" s="324">
        <v>0</v>
      </c>
      <c r="N1536" s="14" t="s">
        <v>1879</v>
      </c>
      <c r="O1536" s="14" t="s">
        <v>1880</v>
      </c>
      <c r="P1536" s="167" t="s">
        <v>139</v>
      </c>
      <c r="Q1536" s="14" t="s">
        <v>168</v>
      </c>
      <c r="R1536" s="223" t="s">
        <v>234</v>
      </c>
      <c r="S1536" s="108">
        <f t="shared" si="215"/>
        <v>46051</v>
      </c>
      <c r="T1536" s="14"/>
      <c r="U1536" s="14"/>
      <c r="V1536" s="14"/>
      <c r="W1536" s="14"/>
      <c r="X1536" s="14"/>
      <c r="Y1536" s="23" t="s">
        <v>1915</v>
      </c>
      <c r="Z1536" s="465" t="s">
        <v>5315</v>
      </c>
      <c r="AA1536" s="2">
        <f t="shared" ca="1" si="217"/>
        <v>1</v>
      </c>
      <c r="AB1536" s="153"/>
      <c r="AC1536" s="454" t="str">
        <f t="shared" si="218"/>
        <v>1</v>
      </c>
    </row>
    <row r="1537" spans="1:29" ht="71.5" customHeight="1" thickBot="1" x14ac:dyDescent="0.4">
      <c r="A1537" s="89" t="str">
        <f t="shared" ca="1" si="219"/>
        <v>Overdue</v>
      </c>
      <c r="B1537" s="222">
        <v>46024</v>
      </c>
      <c r="C1537" s="14">
        <v>2510</v>
      </c>
      <c r="D1537" s="14" t="s">
        <v>6090</v>
      </c>
      <c r="E1537" s="14" t="s">
        <v>27</v>
      </c>
      <c r="F1537" s="14" t="s">
        <v>2060</v>
      </c>
      <c r="G1537" s="14" t="s">
        <v>1911</v>
      </c>
      <c r="H1537" s="14">
        <v>115</v>
      </c>
      <c r="I1537" s="176" t="s">
        <v>5</v>
      </c>
      <c r="J1537" s="14">
        <v>1055</v>
      </c>
      <c r="K1537" s="87"/>
      <c r="L1537" s="14" t="s">
        <v>6091</v>
      </c>
      <c r="M1537" s="324">
        <f t="shared" si="216"/>
        <v>0</v>
      </c>
      <c r="N1537" s="14" t="s">
        <v>1879</v>
      </c>
      <c r="O1537" s="14" t="s">
        <v>1880</v>
      </c>
      <c r="P1537" s="167" t="s">
        <v>147</v>
      </c>
      <c r="Q1537" s="14" t="s">
        <v>174</v>
      </c>
      <c r="R1537" s="223" t="s">
        <v>234</v>
      </c>
      <c r="S1537" s="224">
        <f t="shared" si="215"/>
        <v>46052</v>
      </c>
      <c r="T1537" s="14"/>
      <c r="U1537" s="14"/>
      <c r="V1537" s="14"/>
      <c r="W1537" s="14"/>
      <c r="X1537" s="14"/>
      <c r="Y1537" s="466" t="s">
        <v>2062</v>
      </c>
      <c r="Z1537" s="465" t="s">
        <v>5315</v>
      </c>
      <c r="AA1537" s="2">
        <f t="shared" ca="1" si="217"/>
        <v>1</v>
      </c>
      <c r="AB1537" s="153"/>
      <c r="AC1537" s="454" t="str">
        <f t="shared" si="218"/>
        <v>1</v>
      </c>
    </row>
    <row r="1538" spans="1:29" ht="43.5" x14ac:dyDescent="0.35">
      <c r="A1538" s="89" t="str">
        <f t="shared" si="219"/>
        <v>Closed</v>
      </c>
      <c r="B1538" s="222">
        <v>46024</v>
      </c>
      <c r="C1538" s="14">
        <v>2510</v>
      </c>
      <c r="D1538" s="14" t="s">
        <v>6092</v>
      </c>
      <c r="E1538" s="14" t="s">
        <v>192</v>
      </c>
      <c r="F1538" s="14" t="s">
        <v>2099</v>
      </c>
      <c r="G1538" s="14"/>
      <c r="H1538" s="14"/>
      <c r="I1538" s="176" t="s">
        <v>140</v>
      </c>
      <c r="K1538" s="87"/>
      <c r="L1538" s="14" t="s">
        <v>6093</v>
      </c>
      <c r="M1538" s="324">
        <f t="shared" si="216"/>
        <v>0</v>
      </c>
      <c r="N1538" s="14" t="s">
        <v>1879</v>
      </c>
      <c r="O1538" s="14" t="s">
        <v>1879</v>
      </c>
      <c r="P1538" s="167" t="s">
        <v>143</v>
      </c>
      <c r="Q1538" s="14"/>
      <c r="R1538" s="223">
        <v>0</v>
      </c>
      <c r="S1538" s="224">
        <f t="shared" si="215"/>
        <v>46052</v>
      </c>
      <c r="T1538" s="79">
        <v>46024</v>
      </c>
      <c r="U1538" s="14"/>
      <c r="V1538" s="14"/>
      <c r="W1538" s="14"/>
      <c r="X1538" s="14"/>
      <c r="Z1538" s="14"/>
      <c r="AA1538" s="2">
        <f t="shared" ca="1" si="217"/>
        <v>1</v>
      </c>
      <c r="AB1538" s="153"/>
      <c r="AC1538" s="454" t="str">
        <f t="shared" si="218"/>
        <v/>
      </c>
    </row>
    <row r="1539" spans="1:29" ht="29" x14ac:dyDescent="0.35">
      <c r="A1539" s="89" t="str">
        <f t="shared" si="219"/>
        <v>Closed</v>
      </c>
      <c r="B1539" s="222">
        <v>46024</v>
      </c>
      <c r="C1539" s="14">
        <v>2510</v>
      </c>
      <c r="D1539" s="14" t="s">
        <v>6094</v>
      </c>
      <c r="E1539" s="14" t="s">
        <v>219</v>
      </c>
      <c r="F1539" s="14" t="s">
        <v>2765</v>
      </c>
      <c r="G1539" s="14" t="s">
        <v>1911</v>
      </c>
      <c r="H1539" s="14">
        <v>106</v>
      </c>
      <c r="I1539" s="176" t="s">
        <v>140</v>
      </c>
      <c r="J1539" s="14">
        <v>1278</v>
      </c>
      <c r="K1539" s="87"/>
      <c r="L1539" s="14" t="s">
        <v>6095</v>
      </c>
      <c r="M1539" s="324">
        <f t="shared" si="216"/>
        <v>0</v>
      </c>
      <c r="N1539" s="14" t="s">
        <v>1879</v>
      </c>
      <c r="O1539" s="14" t="s">
        <v>1879</v>
      </c>
      <c r="P1539" s="167" t="s">
        <v>143</v>
      </c>
      <c r="Q1539" s="14"/>
      <c r="R1539" s="223">
        <v>0</v>
      </c>
      <c r="S1539" s="224">
        <f t="shared" si="215"/>
        <v>46052</v>
      </c>
      <c r="T1539" s="14" t="s">
        <v>6096</v>
      </c>
      <c r="U1539" s="14"/>
      <c r="V1539" s="14"/>
      <c r="W1539" s="14"/>
      <c r="X1539" s="14"/>
      <c r="Z1539" s="14"/>
      <c r="AA1539" s="2">
        <f t="shared" ca="1" si="217"/>
        <v>1</v>
      </c>
      <c r="AB1539" s="153"/>
      <c r="AC1539" s="454" t="str">
        <f t="shared" si="218"/>
        <v>1</v>
      </c>
    </row>
    <row r="1540" spans="1:29" ht="58" x14ac:dyDescent="0.35">
      <c r="A1540" s="89" t="str">
        <f t="shared" si="219"/>
        <v>Closed</v>
      </c>
      <c r="B1540" s="222">
        <v>46024</v>
      </c>
      <c r="C1540" s="14">
        <v>2510</v>
      </c>
      <c r="D1540" s="14" t="s">
        <v>6097</v>
      </c>
      <c r="E1540" s="14" t="s">
        <v>1907</v>
      </c>
      <c r="F1540" s="14" t="s">
        <v>6098</v>
      </c>
      <c r="G1540" s="14" t="s">
        <v>1911</v>
      </c>
      <c r="H1540" s="14">
        <v>113</v>
      </c>
      <c r="I1540" s="176" t="s">
        <v>140</v>
      </c>
      <c r="J1540" s="14">
        <v>1063</v>
      </c>
      <c r="K1540" s="87"/>
      <c r="L1540" s="14" t="s">
        <v>6099</v>
      </c>
      <c r="M1540" s="324">
        <f t="shared" si="216"/>
        <v>0</v>
      </c>
      <c r="N1540" s="14" t="s">
        <v>1879</v>
      </c>
      <c r="O1540" s="14" t="s">
        <v>1879</v>
      </c>
      <c r="P1540" s="167" t="s">
        <v>143</v>
      </c>
      <c r="Q1540" s="14"/>
      <c r="R1540" s="223">
        <v>0</v>
      </c>
      <c r="S1540" s="224">
        <f t="shared" si="215"/>
        <v>46052</v>
      </c>
      <c r="T1540" s="79">
        <v>46024</v>
      </c>
      <c r="U1540" s="14"/>
      <c r="V1540" s="14"/>
      <c r="W1540" s="14"/>
      <c r="X1540" s="14"/>
      <c r="Z1540" s="14"/>
      <c r="AA1540" s="2">
        <f t="shared" ca="1" si="217"/>
        <v>1</v>
      </c>
      <c r="AB1540" s="153"/>
      <c r="AC1540" s="454" t="str">
        <f t="shared" si="218"/>
        <v>1</v>
      </c>
    </row>
    <row r="1541" spans="1:29" ht="58" x14ac:dyDescent="0.35">
      <c r="A1541" s="89" t="str">
        <f t="shared" si="219"/>
        <v>Closed</v>
      </c>
      <c r="B1541" s="222">
        <v>46025</v>
      </c>
      <c r="C1541" s="14">
        <v>2510</v>
      </c>
      <c r="D1541" s="14" t="s">
        <v>6100</v>
      </c>
      <c r="E1541" s="14" t="s">
        <v>219</v>
      </c>
      <c r="F1541" s="14" t="s">
        <v>1925</v>
      </c>
      <c r="G1541" s="14" t="s">
        <v>1911</v>
      </c>
      <c r="H1541" s="14">
        <v>108</v>
      </c>
      <c r="I1541" s="176" t="s">
        <v>140</v>
      </c>
      <c r="K1541" s="87"/>
      <c r="L1541" s="14" t="s">
        <v>6101</v>
      </c>
      <c r="M1541" s="324">
        <f t="shared" si="216"/>
        <v>0</v>
      </c>
      <c r="N1541" s="14" t="s">
        <v>1879</v>
      </c>
      <c r="O1541" s="14" t="s">
        <v>1879</v>
      </c>
      <c r="P1541" s="167" t="s">
        <v>143</v>
      </c>
      <c r="Q1541" s="14"/>
      <c r="R1541" s="223">
        <v>0</v>
      </c>
      <c r="S1541" s="224">
        <f t="shared" ref="S1541:S1604" si="220">IF(B1541="","",B1541+28)</f>
        <v>46053</v>
      </c>
      <c r="T1541" s="79">
        <v>46024</v>
      </c>
      <c r="U1541" s="14"/>
      <c r="V1541" s="14"/>
      <c r="W1541" s="14"/>
      <c r="X1541" s="14"/>
      <c r="Y1541" s="14" t="s">
        <v>1929</v>
      </c>
      <c r="Z1541" s="14"/>
      <c r="AA1541" s="2">
        <f t="shared" ca="1" si="217"/>
        <v>1</v>
      </c>
      <c r="AB1541" s="153"/>
      <c r="AC1541" s="454" t="str">
        <f t="shared" si="218"/>
        <v>1</v>
      </c>
    </row>
    <row r="1542" spans="1:29" ht="73" thickBot="1" x14ac:dyDescent="0.5">
      <c r="A1542" s="89" t="str">
        <f t="shared" si="219"/>
        <v>Closed</v>
      </c>
      <c r="B1542" s="222">
        <v>46027</v>
      </c>
      <c r="C1542" s="14">
        <v>2511</v>
      </c>
      <c r="D1542" s="14" t="s">
        <v>6102</v>
      </c>
      <c r="E1542" s="14" t="s">
        <v>192</v>
      </c>
      <c r="F1542" s="14" t="s">
        <v>5645</v>
      </c>
      <c r="G1542" s="14"/>
      <c r="H1542" s="14"/>
      <c r="I1542" s="176" t="s">
        <v>140</v>
      </c>
      <c r="K1542" s="87"/>
      <c r="L1542" s="14" t="s">
        <v>6103</v>
      </c>
      <c r="M1542" s="324">
        <f t="shared" si="216"/>
        <v>0</v>
      </c>
      <c r="N1542" s="14" t="s">
        <v>1879</v>
      </c>
      <c r="O1542" s="14" t="s">
        <v>1879</v>
      </c>
      <c r="P1542" s="167" t="s">
        <v>143</v>
      </c>
      <c r="Q1542" s="14"/>
      <c r="R1542" s="223">
        <v>0</v>
      </c>
      <c r="S1542" s="224">
        <f t="shared" si="220"/>
        <v>46055</v>
      </c>
      <c r="T1542" s="79">
        <v>46027</v>
      </c>
      <c r="U1542" s="14"/>
      <c r="V1542" s="14"/>
      <c r="W1542" s="14"/>
      <c r="X1542" s="14"/>
      <c r="Y1542" s="463" t="s">
        <v>2340</v>
      </c>
      <c r="Z1542" s="14"/>
      <c r="AA1542" s="2">
        <f t="shared" ca="1" si="217"/>
        <v>1</v>
      </c>
      <c r="AB1542" s="153"/>
      <c r="AC1542" s="454" t="str">
        <f t="shared" si="218"/>
        <v/>
      </c>
    </row>
    <row r="1543" spans="1:29" ht="131" thickBot="1" x14ac:dyDescent="0.4">
      <c r="A1543" s="89" t="str">
        <f t="shared" ca="1" si="219"/>
        <v>Open</v>
      </c>
      <c r="B1543" s="222">
        <v>46030</v>
      </c>
      <c r="C1543" s="14">
        <v>2511</v>
      </c>
      <c r="D1543" s="14" t="s">
        <v>6104</v>
      </c>
      <c r="E1543" s="14" t="s">
        <v>38</v>
      </c>
      <c r="F1543" s="14" t="s">
        <v>5907</v>
      </c>
      <c r="G1543" s="14"/>
      <c r="H1543" s="14"/>
      <c r="I1543" s="176" t="s">
        <v>2</v>
      </c>
      <c r="J1543" s="14">
        <v>1249</v>
      </c>
      <c r="K1543" s="87" t="s">
        <v>137</v>
      </c>
      <c r="L1543" s="14" t="s">
        <v>6105</v>
      </c>
      <c r="M1543" s="324">
        <v>0</v>
      </c>
      <c r="N1543" s="14" t="s">
        <v>1879</v>
      </c>
      <c r="O1543" s="14" t="s">
        <v>1880</v>
      </c>
      <c r="P1543" s="167" t="s">
        <v>136</v>
      </c>
      <c r="Q1543" s="14" t="s">
        <v>135</v>
      </c>
      <c r="R1543" s="223" t="s">
        <v>234</v>
      </c>
      <c r="S1543" s="224">
        <f t="shared" si="220"/>
        <v>46058</v>
      </c>
      <c r="T1543" s="14"/>
      <c r="U1543" s="14"/>
      <c r="V1543" s="14"/>
      <c r="W1543" s="14"/>
      <c r="X1543" s="14"/>
      <c r="Z1543" s="465" t="s">
        <v>6106</v>
      </c>
      <c r="AA1543" s="2">
        <f t="shared" ca="1" si="217"/>
        <v>0</v>
      </c>
      <c r="AB1543" s="153"/>
      <c r="AC1543" s="454" t="str">
        <f t="shared" si="218"/>
        <v/>
      </c>
    </row>
    <row r="1544" spans="1:29" ht="44" thickBot="1" x14ac:dyDescent="0.4">
      <c r="A1544" s="89" t="str">
        <f t="shared" ca="1" si="219"/>
        <v>Open</v>
      </c>
      <c r="B1544" s="222">
        <v>46030</v>
      </c>
      <c r="C1544" s="14">
        <v>2511</v>
      </c>
      <c r="D1544" s="14" t="s">
        <v>6107</v>
      </c>
      <c r="E1544" s="14" t="s">
        <v>78</v>
      </c>
      <c r="F1544" s="14" t="s">
        <v>1899</v>
      </c>
      <c r="G1544" s="14" t="s">
        <v>1911</v>
      </c>
      <c r="H1544" s="14">
        <v>110</v>
      </c>
      <c r="I1544" s="176" t="s">
        <v>155</v>
      </c>
      <c r="J1544" s="14">
        <v>1279</v>
      </c>
      <c r="K1544" s="87"/>
      <c r="L1544" s="14" t="s">
        <v>6108</v>
      </c>
      <c r="M1544" s="324">
        <f t="shared" si="216"/>
        <v>0</v>
      </c>
      <c r="N1544" s="14" t="s">
        <v>1880</v>
      </c>
      <c r="O1544" s="14" t="s">
        <v>1880</v>
      </c>
      <c r="P1544" s="167" t="s">
        <v>147</v>
      </c>
      <c r="Q1544" s="14" t="s">
        <v>135</v>
      </c>
      <c r="R1544" s="223" t="s">
        <v>234</v>
      </c>
      <c r="S1544" s="224">
        <f t="shared" si="220"/>
        <v>46058</v>
      </c>
      <c r="T1544" s="14"/>
      <c r="U1544" s="14"/>
      <c r="V1544" s="14"/>
      <c r="W1544" s="14"/>
      <c r="X1544" s="14"/>
      <c r="Z1544" s="465" t="s">
        <v>6109</v>
      </c>
      <c r="AA1544" s="2">
        <f t="shared" ca="1" si="217"/>
        <v>0</v>
      </c>
      <c r="AB1544" s="153"/>
      <c r="AC1544" s="454" t="str">
        <f t="shared" si="218"/>
        <v>1</v>
      </c>
    </row>
    <row r="1545" spans="1:29" ht="44" thickBot="1" x14ac:dyDescent="0.4">
      <c r="A1545" s="89" t="str">
        <f>IF(T1545&gt;1,"Closed",IF(AA1545=1,"Overdue",IF(AA1545=3,"","Open")))</f>
        <v>Closed</v>
      </c>
      <c r="B1545" s="222">
        <v>46031</v>
      </c>
      <c r="C1545" s="14">
        <v>2511</v>
      </c>
      <c r="D1545" s="14" t="s">
        <v>6110</v>
      </c>
      <c r="E1545" s="14" t="s">
        <v>8</v>
      </c>
      <c r="F1545" s="14" t="s">
        <v>1910</v>
      </c>
      <c r="G1545" s="14" t="s">
        <v>1911</v>
      </c>
      <c r="H1545" s="14">
        <v>202</v>
      </c>
      <c r="I1545" s="176" t="s">
        <v>140</v>
      </c>
      <c r="J1545" s="14">
        <v>1169</v>
      </c>
      <c r="K1545" s="87"/>
      <c r="L1545" s="14" t="s">
        <v>6111</v>
      </c>
      <c r="M1545" s="324">
        <f t="shared" si="216"/>
        <v>0</v>
      </c>
      <c r="N1545" s="14" t="s">
        <v>1879</v>
      </c>
      <c r="O1545" s="14" t="s">
        <v>1879</v>
      </c>
      <c r="P1545" s="167" t="s">
        <v>143</v>
      </c>
      <c r="Q1545" s="14"/>
      <c r="R1545" s="223">
        <v>0</v>
      </c>
      <c r="S1545" s="224">
        <f t="shared" si="220"/>
        <v>46059</v>
      </c>
      <c r="T1545" s="79">
        <v>46031</v>
      </c>
      <c r="U1545" s="14"/>
      <c r="V1545" s="14"/>
      <c r="W1545" s="14"/>
      <c r="X1545" s="14"/>
      <c r="Y1545" s="23" t="s">
        <v>1915</v>
      </c>
      <c r="Z1545" s="14"/>
      <c r="AA1545" s="2">
        <f t="shared" ca="1" si="217"/>
        <v>0</v>
      </c>
      <c r="AB1545" s="153"/>
      <c r="AC1545" s="454" t="str">
        <f t="shared" si="218"/>
        <v>2</v>
      </c>
    </row>
    <row r="1546" spans="1:29" ht="29.5" thickBot="1" x14ac:dyDescent="0.5">
      <c r="A1546" s="89" t="str">
        <f t="shared" ca="1" si="219"/>
        <v>Open</v>
      </c>
      <c r="B1546" s="222">
        <v>46032</v>
      </c>
      <c r="C1546" s="14">
        <v>2511</v>
      </c>
      <c r="D1546" s="14" t="s">
        <v>6112</v>
      </c>
      <c r="E1546" s="14" t="s">
        <v>38</v>
      </c>
      <c r="F1546" s="14" t="s">
        <v>6113</v>
      </c>
      <c r="G1546" s="14"/>
      <c r="H1546" s="14"/>
      <c r="I1546" s="176" t="s">
        <v>2</v>
      </c>
      <c r="J1546" s="14">
        <v>1270</v>
      </c>
      <c r="K1546" s="87" t="s">
        <v>137</v>
      </c>
      <c r="L1546" s="14" t="s">
        <v>6114</v>
      </c>
      <c r="M1546" s="324">
        <v>0</v>
      </c>
      <c r="N1546" s="14" t="s">
        <v>1879</v>
      </c>
      <c r="O1546" s="14" t="s">
        <v>1879</v>
      </c>
      <c r="P1546" s="167" t="s">
        <v>136</v>
      </c>
      <c r="Q1546" s="14" t="s">
        <v>188</v>
      </c>
      <c r="R1546" s="223" t="s">
        <v>234</v>
      </c>
      <c r="S1546" s="224">
        <f t="shared" si="220"/>
        <v>46060</v>
      </c>
      <c r="T1546" s="14"/>
      <c r="U1546" s="14"/>
      <c r="V1546" s="14"/>
      <c r="W1546" s="14"/>
      <c r="X1546" s="14"/>
      <c r="Y1546" s="463" t="s">
        <v>4991</v>
      </c>
      <c r="Z1546" s="465" t="s">
        <v>5315</v>
      </c>
      <c r="AA1546" s="2">
        <f t="shared" ca="1" si="217"/>
        <v>0</v>
      </c>
      <c r="AB1546" s="153"/>
      <c r="AC1546" s="454" t="str">
        <f t="shared" si="218"/>
        <v/>
      </c>
    </row>
    <row r="1547" spans="1:29" ht="58.5" thickBot="1" x14ac:dyDescent="0.4">
      <c r="A1547" s="89" t="str">
        <f t="shared" si="219"/>
        <v>Closed</v>
      </c>
      <c r="B1547" s="222">
        <v>46032</v>
      </c>
      <c r="C1547" s="14">
        <v>2511</v>
      </c>
      <c r="D1547" s="14" t="s">
        <v>6115</v>
      </c>
      <c r="E1547" s="14" t="s">
        <v>8</v>
      </c>
      <c r="F1547" s="14" t="s">
        <v>2974</v>
      </c>
      <c r="G1547" s="14" t="s">
        <v>1900</v>
      </c>
      <c r="H1547" s="14"/>
      <c r="I1547" s="176" t="s">
        <v>140</v>
      </c>
      <c r="J1547" s="14">
        <v>1293</v>
      </c>
      <c r="K1547" s="87"/>
      <c r="L1547" s="14" t="s">
        <v>6116</v>
      </c>
      <c r="M1547" s="324">
        <f t="shared" si="216"/>
        <v>0</v>
      </c>
      <c r="N1547" s="14" t="s">
        <v>1879</v>
      </c>
      <c r="O1547" s="14" t="s">
        <v>1879</v>
      </c>
      <c r="P1547" s="167" t="s">
        <v>143</v>
      </c>
      <c r="Q1547" s="14"/>
      <c r="R1547" s="223">
        <v>0</v>
      </c>
      <c r="S1547" s="224">
        <f t="shared" si="220"/>
        <v>46060</v>
      </c>
      <c r="T1547" s="79">
        <v>46032</v>
      </c>
      <c r="U1547" s="14"/>
      <c r="V1547" s="14"/>
      <c r="W1547" s="14"/>
      <c r="X1547" s="14"/>
      <c r="Y1547" s="464" t="s">
        <v>2164</v>
      </c>
      <c r="Z1547" s="14"/>
      <c r="AA1547" s="2">
        <f t="shared" ca="1" si="217"/>
        <v>0</v>
      </c>
      <c r="AB1547" s="153"/>
      <c r="AC1547" s="454" t="str">
        <f t="shared" si="218"/>
        <v/>
      </c>
    </row>
    <row r="1548" spans="1:29" ht="29" x14ac:dyDescent="0.35">
      <c r="A1548" s="89" t="str">
        <f t="shared" si="219"/>
        <v>Closed</v>
      </c>
      <c r="B1548" s="222">
        <v>46033</v>
      </c>
      <c r="C1548" s="14">
        <v>2511</v>
      </c>
      <c r="D1548" s="14" t="s">
        <v>6117</v>
      </c>
      <c r="E1548" s="14" t="s">
        <v>8</v>
      </c>
      <c r="F1548" s="14"/>
      <c r="G1548" s="14"/>
      <c r="H1548" s="14">
        <v>111</v>
      </c>
      <c r="I1548" s="176" t="s">
        <v>140</v>
      </c>
      <c r="J1548" s="14">
        <v>1008</v>
      </c>
      <c r="K1548" s="87"/>
      <c r="L1548" s="14" t="s">
        <v>6118</v>
      </c>
      <c r="M1548" s="324">
        <f t="shared" si="216"/>
        <v>0</v>
      </c>
      <c r="N1548" s="14" t="s">
        <v>1879</v>
      </c>
      <c r="O1548" s="14" t="s">
        <v>1879</v>
      </c>
      <c r="P1548" s="167" t="s">
        <v>143</v>
      </c>
      <c r="Q1548" s="14"/>
      <c r="R1548" s="223">
        <v>0</v>
      </c>
      <c r="S1548" s="224">
        <f t="shared" si="220"/>
        <v>46061</v>
      </c>
      <c r="T1548" s="79">
        <v>46033</v>
      </c>
      <c r="U1548" s="14"/>
      <c r="V1548" s="14"/>
      <c r="W1548" s="14"/>
      <c r="X1548" s="14"/>
      <c r="Z1548" s="14"/>
      <c r="AA1548" s="2">
        <f t="shared" ca="1" si="217"/>
        <v>0</v>
      </c>
      <c r="AB1548" s="153"/>
      <c r="AC1548" s="454" t="str">
        <f t="shared" si="218"/>
        <v>1</v>
      </c>
    </row>
    <row r="1549" spans="1:29" ht="43.5" x14ac:dyDescent="0.35">
      <c r="A1549" s="89" t="str">
        <f t="shared" si="219"/>
        <v>Closed</v>
      </c>
      <c r="B1549" s="222">
        <v>46034</v>
      </c>
      <c r="C1549" s="14">
        <v>2511</v>
      </c>
      <c r="D1549" s="14" t="s">
        <v>6119</v>
      </c>
      <c r="E1549" s="14" t="s">
        <v>76</v>
      </c>
      <c r="F1549" s="14" t="s">
        <v>2432</v>
      </c>
      <c r="G1549" s="14" t="s">
        <v>1911</v>
      </c>
      <c r="H1549" s="14">
        <v>113</v>
      </c>
      <c r="I1549" s="176" t="s">
        <v>140</v>
      </c>
      <c r="J1549" s="14">
        <v>1019</v>
      </c>
      <c r="K1549" s="87"/>
      <c r="L1549" s="14" t="s">
        <v>6120</v>
      </c>
      <c r="M1549" s="324">
        <f t="shared" si="216"/>
        <v>0</v>
      </c>
      <c r="N1549" s="14" t="s">
        <v>1879</v>
      </c>
      <c r="O1549" s="14" t="s">
        <v>1879</v>
      </c>
      <c r="P1549" s="167" t="s">
        <v>143</v>
      </c>
      <c r="Q1549" s="14"/>
      <c r="R1549" s="223">
        <v>0</v>
      </c>
      <c r="S1549" s="224">
        <f t="shared" si="220"/>
        <v>46062</v>
      </c>
      <c r="T1549" s="79">
        <v>46034</v>
      </c>
      <c r="U1549" s="14"/>
      <c r="V1549" s="14"/>
      <c r="W1549" s="14"/>
      <c r="X1549" s="14"/>
      <c r="Y1549" s="14" t="s">
        <v>2436</v>
      </c>
      <c r="Z1549" s="14"/>
      <c r="AA1549" s="2">
        <f t="shared" ca="1" si="217"/>
        <v>0</v>
      </c>
      <c r="AB1549" s="153"/>
      <c r="AC1549" s="454" t="str">
        <f t="shared" si="218"/>
        <v>1</v>
      </c>
    </row>
    <row r="1550" spans="1:29" ht="29" x14ac:dyDescent="0.35">
      <c r="A1550" s="89" t="str">
        <f t="shared" si="219"/>
        <v>Closed</v>
      </c>
      <c r="B1550" s="222">
        <v>46034</v>
      </c>
      <c r="C1550" s="14">
        <v>2511</v>
      </c>
      <c r="D1550" s="14" t="s">
        <v>6121</v>
      </c>
      <c r="E1550" s="14" t="s">
        <v>219</v>
      </c>
      <c r="F1550" s="14" t="s">
        <v>2212</v>
      </c>
      <c r="G1550" s="14" t="s">
        <v>1911</v>
      </c>
      <c r="H1550" s="14"/>
      <c r="I1550" s="176" t="s">
        <v>140</v>
      </c>
      <c r="K1550" s="87"/>
      <c r="L1550" s="14" t="s">
        <v>6122</v>
      </c>
      <c r="M1550" s="324">
        <f t="shared" si="216"/>
        <v>0</v>
      </c>
      <c r="N1550" s="14" t="s">
        <v>1879</v>
      </c>
      <c r="O1550" s="14" t="s">
        <v>1879</v>
      </c>
      <c r="P1550" s="167" t="s">
        <v>143</v>
      </c>
      <c r="Q1550" s="14"/>
      <c r="R1550" s="223">
        <v>0</v>
      </c>
      <c r="S1550" s="224">
        <f t="shared" si="220"/>
        <v>46062</v>
      </c>
      <c r="T1550" s="79">
        <v>46034</v>
      </c>
      <c r="U1550" s="14"/>
      <c r="V1550" s="14"/>
      <c r="W1550" s="14"/>
      <c r="X1550" s="14"/>
      <c r="Y1550" s="14" t="s">
        <v>2216</v>
      </c>
      <c r="Z1550" s="14"/>
      <c r="AA1550" s="2">
        <f t="shared" ca="1" si="217"/>
        <v>0</v>
      </c>
      <c r="AB1550" s="153"/>
      <c r="AC1550" s="454" t="str">
        <f t="shared" si="218"/>
        <v/>
      </c>
    </row>
    <row r="1551" spans="1:29" s="203" customFormat="1" ht="43.5" x14ac:dyDescent="0.35">
      <c r="A1551" s="169" t="str">
        <f t="shared" ca="1" si="219"/>
        <v>Open</v>
      </c>
      <c r="B1551" s="226">
        <v>46037</v>
      </c>
      <c r="C1551" s="112">
        <v>2511</v>
      </c>
      <c r="D1551" s="112" t="s">
        <v>6123</v>
      </c>
      <c r="E1551" s="112" t="s">
        <v>196</v>
      </c>
      <c r="F1551" s="112" t="s">
        <v>1918</v>
      </c>
      <c r="G1551" s="112"/>
      <c r="H1551" s="112">
        <v>117</v>
      </c>
      <c r="I1551" s="350" t="s">
        <v>155</v>
      </c>
      <c r="J1551" s="112">
        <v>1293</v>
      </c>
      <c r="K1551" s="351"/>
      <c r="L1551" s="112" t="s">
        <v>6124</v>
      </c>
      <c r="M1551" s="352">
        <f t="shared" si="216"/>
        <v>0</v>
      </c>
      <c r="N1551" s="112" t="s">
        <v>1880</v>
      </c>
      <c r="O1551" s="112" t="s">
        <v>1880</v>
      </c>
      <c r="P1551" s="353" t="s">
        <v>147</v>
      </c>
      <c r="Q1551" s="112" t="s">
        <v>185</v>
      </c>
      <c r="R1551" s="312" t="s">
        <v>234</v>
      </c>
      <c r="S1551" s="204">
        <f t="shared" si="220"/>
        <v>46065</v>
      </c>
      <c r="T1551" s="112"/>
      <c r="U1551" s="112"/>
      <c r="V1551" s="112"/>
      <c r="W1551" s="112"/>
      <c r="X1551" s="112"/>
      <c r="Y1551" s="112"/>
      <c r="Z1551" s="112" t="s">
        <v>6125</v>
      </c>
      <c r="AA1551" s="104">
        <f t="shared" ca="1" si="217"/>
        <v>0</v>
      </c>
      <c r="AB1551" s="202"/>
      <c r="AC1551" s="459" t="str">
        <f t="shared" si="218"/>
        <v>1</v>
      </c>
    </row>
    <row r="1552" spans="1:29" ht="44" thickBot="1" x14ac:dyDescent="0.4">
      <c r="A1552" s="89" t="str">
        <f t="shared" ca="1" si="219"/>
        <v>Open</v>
      </c>
      <c r="B1552" s="222">
        <v>46037</v>
      </c>
      <c r="C1552" s="14">
        <v>2511</v>
      </c>
      <c r="D1552" s="14" t="s">
        <v>6126</v>
      </c>
      <c r="E1552" s="14" t="s">
        <v>38</v>
      </c>
      <c r="F1552" s="14" t="s">
        <v>5907</v>
      </c>
      <c r="G1552" s="14"/>
      <c r="H1552" s="14"/>
      <c r="I1552" s="176" t="s">
        <v>2</v>
      </c>
      <c r="J1552" s="14">
        <v>1077</v>
      </c>
      <c r="K1552" s="87"/>
      <c r="L1552" s="14" t="s">
        <v>6127</v>
      </c>
      <c r="M1552" s="324">
        <v>0</v>
      </c>
      <c r="N1552" s="14" t="s">
        <v>1879</v>
      </c>
      <c r="O1552" s="14" t="s">
        <v>1880</v>
      </c>
      <c r="P1552" s="167" t="s">
        <v>136</v>
      </c>
      <c r="Q1552" s="14" t="s">
        <v>174</v>
      </c>
      <c r="R1552" s="223" t="s">
        <v>234</v>
      </c>
      <c r="S1552" s="224">
        <f t="shared" si="220"/>
        <v>46065</v>
      </c>
      <c r="T1552" s="14"/>
      <c r="U1552" s="14"/>
      <c r="V1552" s="14"/>
      <c r="W1552" s="14"/>
      <c r="X1552" s="14"/>
      <c r="Z1552" s="112" t="s">
        <v>6125</v>
      </c>
      <c r="AA1552" s="2">
        <f t="shared" ca="1" si="217"/>
        <v>0</v>
      </c>
      <c r="AB1552" s="153"/>
      <c r="AC1552" s="454" t="str">
        <f t="shared" si="218"/>
        <v/>
      </c>
    </row>
    <row r="1553" spans="1:29" ht="58.5" thickBot="1" x14ac:dyDescent="0.4">
      <c r="A1553" s="89" t="str">
        <f t="shared" ca="1" si="219"/>
        <v>Open</v>
      </c>
      <c r="B1553" s="222">
        <v>46038</v>
      </c>
      <c r="C1553" s="14">
        <v>2511</v>
      </c>
      <c r="D1553" s="14" t="s">
        <v>6128</v>
      </c>
      <c r="E1553" s="14" t="s">
        <v>204</v>
      </c>
      <c r="F1553" s="14" t="s">
        <v>6129</v>
      </c>
      <c r="G1553" s="14"/>
      <c r="H1553" s="14">
        <v>102</v>
      </c>
      <c r="I1553" s="176" t="s">
        <v>155</v>
      </c>
      <c r="K1553" s="87"/>
      <c r="L1553" s="14" t="s">
        <v>6130</v>
      </c>
      <c r="M1553" s="324">
        <f t="shared" si="216"/>
        <v>0</v>
      </c>
      <c r="N1553" s="14" t="s">
        <v>1879</v>
      </c>
      <c r="O1553" s="14" t="s">
        <v>1879</v>
      </c>
      <c r="P1553" s="167" t="s">
        <v>147</v>
      </c>
      <c r="Q1553" s="14" t="s">
        <v>193</v>
      </c>
      <c r="R1553" s="223" t="s">
        <v>236</v>
      </c>
      <c r="S1553" s="224">
        <f t="shared" si="220"/>
        <v>46066</v>
      </c>
      <c r="T1553" s="14"/>
      <c r="U1553" s="14"/>
      <c r="V1553" s="14"/>
      <c r="W1553" s="14"/>
      <c r="X1553" s="14"/>
      <c r="Z1553" s="465" t="s">
        <v>5315</v>
      </c>
      <c r="AA1553" s="2">
        <f t="shared" ca="1" si="217"/>
        <v>0</v>
      </c>
      <c r="AB1553" s="153"/>
      <c r="AC1553" s="454" t="str">
        <f t="shared" si="218"/>
        <v>1</v>
      </c>
    </row>
    <row r="1554" spans="1:29" ht="73" thickBot="1" x14ac:dyDescent="0.4">
      <c r="A1554" s="89" t="str">
        <f t="shared" ca="1" si="219"/>
        <v>Open</v>
      </c>
      <c r="B1554" s="222">
        <v>46038</v>
      </c>
      <c r="C1554" s="14">
        <v>2511</v>
      </c>
      <c r="D1554" s="14" t="s">
        <v>6131</v>
      </c>
      <c r="E1554" s="14" t="s">
        <v>78</v>
      </c>
      <c r="F1554" s="14" t="s">
        <v>6132</v>
      </c>
      <c r="G1554" s="14"/>
      <c r="H1554" s="14">
        <v>122</v>
      </c>
      <c r="I1554" s="176" t="s">
        <v>155</v>
      </c>
      <c r="J1554" s="14">
        <v>1259</v>
      </c>
      <c r="K1554" s="87"/>
      <c r="L1554" s="14" t="s">
        <v>6133</v>
      </c>
      <c r="M1554" s="324">
        <f t="shared" si="216"/>
        <v>0</v>
      </c>
      <c r="N1554" s="14" t="s">
        <v>1880</v>
      </c>
      <c r="O1554" s="14" t="s">
        <v>1880</v>
      </c>
      <c r="P1554" s="167" t="s">
        <v>147</v>
      </c>
      <c r="Q1554" s="14" t="s">
        <v>174</v>
      </c>
      <c r="R1554" s="223" t="s">
        <v>234</v>
      </c>
      <c r="S1554" s="224">
        <f t="shared" si="220"/>
        <v>46066</v>
      </c>
      <c r="T1554" s="14"/>
      <c r="U1554" s="14"/>
      <c r="V1554" s="14"/>
      <c r="W1554" s="14"/>
      <c r="X1554" s="14"/>
      <c r="Z1554" s="465" t="s">
        <v>5315</v>
      </c>
      <c r="AA1554" s="2">
        <f t="shared" ca="1" si="217"/>
        <v>0</v>
      </c>
      <c r="AB1554" s="153"/>
      <c r="AC1554" s="454" t="str">
        <f t="shared" si="218"/>
        <v>1</v>
      </c>
    </row>
    <row r="1555" spans="1:29" ht="29.5" thickBot="1" x14ac:dyDescent="0.4">
      <c r="A1555" s="89" t="str">
        <f t="shared" si="219"/>
        <v>Closed</v>
      </c>
      <c r="B1555" s="222">
        <v>46038</v>
      </c>
      <c r="C1555" s="14">
        <v>2511</v>
      </c>
      <c r="D1555" s="14" t="s">
        <v>6134</v>
      </c>
      <c r="E1555" s="14" t="s">
        <v>8</v>
      </c>
      <c r="F1555" s="14" t="s">
        <v>2136</v>
      </c>
      <c r="G1555" s="14"/>
      <c r="H1555" s="14"/>
      <c r="I1555" s="176" t="s">
        <v>140</v>
      </c>
      <c r="K1555" s="87"/>
      <c r="L1555" s="14" t="s">
        <v>6135</v>
      </c>
      <c r="M1555" s="324">
        <f t="shared" si="216"/>
        <v>0</v>
      </c>
      <c r="N1555" s="14" t="s">
        <v>1879</v>
      </c>
      <c r="O1555" s="14" t="s">
        <v>1879</v>
      </c>
      <c r="P1555" s="167" t="s">
        <v>143</v>
      </c>
      <c r="Q1555" s="14"/>
      <c r="R1555" s="223">
        <f t="shared" ref="R1555:R1580" si="221">IF(I1555="Staff Accident","Entry Required",IF(I1555="Assaults","Entry Required",0))</f>
        <v>0</v>
      </c>
      <c r="S1555" s="224">
        <f t="shared" si="220"/>
        <v>46066</v>
      </c>
      <c r="T1555" s="79">
        <v>46038</v>
      </c>
      <c r="U1555" s="14"/>
      <c r="V1555" s="14"/>
      <c r="W1555" s="14"/>
      <c r="X1555" s="14"/>
      <c r="Z1555" s="14"/>
      <c r="AA1555" s="2">
        <f t="shared" ca="1" si="217"/>
        <v>0</v>
      </c>
      <c r="AB1555" s="153"/>
      <c r="AC1555" s="454" t="str">
        <f t="shared" si="218"/>
        <v/>
      </c>
    </row>
    <row r="1556" spans="1:29" ht="58.5" thickBot="1" x14ac:dyDescent="0.4">
      <c r="A1556" s="89" t="str">
        <f t="shared" ca="1" si="219"/>
        <v>Open</v>
      </c>
      <c r="B1556" s="222">
        <v>46039</v>
      </c>
      <c r="C1556" s="14">
        <v>2511</v>
      </c>
      <c r="D1556" s="14" t="s">
        <v>6136</v>
      </c>
      <c r="E1556" s="14" t="s">
        <v>72</v>
      </c>
      <c r="F1556" s="14" t="s">
        <v>1975</v>
      </c>
      <c r="G1556" s="14"/>
      <c r="H1556" s="14">
        <v>205</v>
      </c>
      <c r="I1556" s="176" t="s">
        <v>155</v>
      </c>
      <c r="J1556" s="14">
        <v>1140</v>
      </c>
      <c r="K1556" s="87"/>
      <c r="L1556" s="14" t="s">
        <v>6137</v>
      </c>
      <c r="M1556" s="324">
        <f t="shared" ref="M1556:M1619" si="222">IF(I1556="Staff Accident","Entry Required",IF(I1556="Assaults","Entry Required",0))</f>
        <v>0</v>
      </c>
      <c r="N1556" s="14" t="s">
        <v>1879</v>
      </c>
      <c r="O1556" s="14" t="s">
        <v>1879</v>
      </c>
      <c r="P1556" s="167" t="s">
        <v>147</v>
      </c>
      <c r="Q1556" s="14" t="s">
        <v>135</v>
      </c>
      <c r="R1556" s="223" t="s">
        <v>234</v>
      </c>
      <c r="S1556" s="224">
        <f t="shared" si="220"/>
        <v>46067</v>
      </c>
      <c r="T1556" s="14"/>
      <c r="U1556" s="14"/>
      <c r="V1556" s="14"/>
      <c r="W1556" s="14"/>
      <c r="X1556" s="14"/>
      <c r="Z1556" s="465" t="s">
        <v>6138</v>
      </c>
      <c r="AA1556" s="2">
        <f t="shared" ca="1" si="217"/>
        <v>0</v>
      </c>
      <c r="AB1556" s="153"/>
      <c r="AC1556" s="454" t="str">
        <f t="shared" si="218"/>
        <v>2</v>
      </c>
    </row>
    <row r="1557" spans="1:29" ht="72.5" x14ac:dyDescent="0.45">
      <c r="A1557" s="111" t="str">
        <f t="shared" si="219"/>
        <v>Closed</v>
      </c>
      <c r="B1557" s="226">
        <v>46041</v>
      </c>
      <c r="C1557" s="112">
        <v>2511</v>
      </c>
      <c r="D1557" s="112" t="s">
        <v>6139</v>
      </c>
      <c r="E1557" s="112" t="s">
        <v>192</v>
      </c>
      <c r="F1557" s="112" t="s">
        <v>5645</v>
      </c>
      <c r="G1557" s="112"/>
      <c r="H1557" s="112"/>
      <c r="I1557" s="350" t="s">
        <v>140</v>
      </c>
      <c r="J1557" s="112"/>
      <c r="K1557" s="351"/>
      <c r="L1557" s="112" t="s">
        <v>6140</v>
      </c>
      <c r="M1557" s="324">
        <f t="shared" si="222"/>
        <v>0</v>
      </c>
      <c r="N1557" s="112" t="s">
        <v>1879</v>
      </c>
      <c r="O1557" s="112" t="s">
        <v>1879</v>
      </c>
      <c r="P1557" s="353" t="s">
        <v>143</v>
      </c>
      <c r="Q1557" s="14"/>
      <c r="R1557" s="170">
        <f t="shared" si="221"/>
        <v>0</v>
      </c>
      <c r="S1557" s="108">
        <f t="shared" si="220"/>
        <v>46069</v>
      </c>
      <c r="T1557" s="79">
        <v>46041</v>
      </c>
      <c r="U1557" s="14"/>
      <c r="V1557" s="14"/>
      <c r="W1557" s="14"/>
      <c r="X1557" s="14"/>
      <c r="Y1557" s="463" t="s">
        <v>2340</v>
      </c>
      <c r="Z1557" s="14"/>
      <c r="AA1557" s="2">
        <f t="shared" ca="1" si="217"/>
        <v>0</v>
      </c>
      <c r="AB1557" s="153"/>
      <c r="AC1557" s="454" t="str">
        <f t="shared" si="218"/>
        <v/>
      </c>
    </row>
    <row r="1558" spans="1:29" ht="29.5" thickBot="1" x14ac:dyDescent="0.4">
      <c r="A1558" s="111" t="str">
        <f t="shared" si="219"/>
        <v>Closed</v>
      </c>
      <c r="B1558" s="226">
        <v>46043</v>
      </c>
      <c r="C1558" s="112">
        <v>2511</v>
      </c>
      <c r="D1558" s="112" t="s">
        <v>6141</v>
      </c>
      <c r="E1558" s="112" t="s">
        <v>31</v>
      </c>
      <c r="F1558" s="112" t="s">
        <v>6098</v>
      </c>
      <c r="G1558" s="112"/>
      <c r="H1558" s="112">
        <v>205</v>
      </c>
      <c r="I1558" s="350" t="s">
        <v>155</v>
      </c>
      <c r="J1558" s="112">
        <v>1307</v>
      </c>
      <c r="K1558" s="351"/>
      <c r="L1558" s="112" t="s">
        <v>6142</v>
      </c>
      <c r="M1558" s="324">
        <f t="shared" si="222"/>
        <v>0</v>
      </c>
      <c r="N1558" s="112" t="s">
        <v>1879</v>
      </c>
      <c r="O1558" s="14" t="s">
        <v>1879</v>
      </c>
      <c r="P1558" s="167" t="s">
        <v>143</v>
      </c>
      <c r="Q1558" s="14"/>
      <c r="R1558" s="170">
        <f t="shared" si="221"/>
        <v>0</v>
      </c>
      <c r="S1558" s="108">
        <f t="shared" si="220"/>
        <v>46071</v>
      </c>
      <c r="T1558" s="79">
        <v>46043</v>
      </c>
      <c r="U1558" s="14"/>
      <c r="V1558" s="14"/>
      <c r="W1558" s="14"/>
      <c r="X1558" s="14"/>
      <c r="Z1558" s="14"/>
      <c r="AA1558" s="2">
        <f t="shared" ref="AA1558:AA1621" ca="1" si="223">IF(B1558="",3,IF(S1558&lt;$A$1,1,0))</f>
        <v>0</v>
      </c>
      <c r="AB1558" s="153"/>
      <c r="AC1558" s="454" t="str">
        <f t="shared" si="218"/>
        <v>2</v>
      </c>
    </row>
    <row r="1559" spans="1:29" ht="29.5" thickBot="1" x14ac:dyDescent="0.4">
      <c r="A1559" s="89" t="str">
        <f t="shared" ca="1" si="219"/>
        <v>Open</v>
      </c>
      <c r="B1559" s="222">
        <v>46043</v>
      </c>
      <c r="C1559" s="14">
        <v>2511</v>
      </c>
      <c r="D1559" s="14" t="s">
        <v>6143</v>
      </c>
      <c r="E1559" s="14" t="s">
        <v>27</v>
      </c>
      <c r="F1559" s="14" t="s">
        <v>6144</v>
      </c>
      <c r="G1559" s="14" t="s">
        <v>1911</v>
      </c>
      <c r="H1559" s="14">
        <v>113</v>
      </c>
      <c r="I1559" s="176" t="s">
        <v>5</v>
      </c>
      <c r="J1559" s="14">
        <v>114</v>
      </c>
      <c r="K1559" s="87"/>
      <c r="L1559" s="14" t="s">
        <v>6145</v>
      </c>
      <c r="M1559" s="324">
        <f t="shared" si="222"/>
        <v>0</v>
      </c>
      <c r="N1559" s="14" t="s">
        <v>1879</v>
      </c>
      <c r="O1559" s="14" t="s">
        <v>1879</v>
      </c>
      <c r="P1559" s="167" t="s">
        <v>147</v>
      </c>
      <c r="Q1559" s="14" t="s">
        <v>177</v>
      </c>
      <c r="R1559" s="223" t="s">
        <v>234</v>
      </c>
      <c r="S1559" s="224">
        <f t="shared" si="220"/>
        <v>46071</v>
      </c>
      <c r="T1559" s="14"/>
      <c r="U1559" s="14"/>
      <c r="V1559" s="14"/>
      <c r="W1559" s="14"/>
      <c r="X1559" s="14"/>
      <c r="Z1559" s="465" t="s">
        <v>5315</v>
      </c>
      <c r="AA1559" s="2">
        <f t="shared" ca="1" si="223"/>
        <v>0</v>
      </c>
      <c r="AB1559" s="153"/>
      <c r="AC1559" s="454" t="str">
        <f t="shared" si="218"/>
        <v>1</v>
      </c>
    </row>
    <row r="1560" spans="1:29" ht="58.5" thickBot="1" x14ac:dyDescent="0.4">
      <c r="A1560" s="89" t="str">
        <f t="shared" ca="1" si="219"/>
        <v>Open</v>
      </c>
      <c r="B1560" s="222">
        <v>46044</v>
      </c>
      <c r="C1560" s="14">
        <v>2511</v>
      </c>
      <c r="D1560" s="14" t="s">
        <v>6146</v>
      </c>
      <c r="E1560" s="14" t="s">
        <v>51</v>
      </c>
      <c r="F1560" s="14" t="s">
        <v>6147</v>
      </c>
      <c r="G1560" s="14"/>
      <c r="H1560" s="14"/>
      <c r="I1560" s="176" t="s">
        <v>21</v>
      </c>
      <c r="K1560" s="87"/>
      <c r="L1560" s="14" t="s">
        <v>6148</v>
      </c>
      <c r="M1560" s="324">
        <f t="shared" si="222"/>
        <v>0</v>
      </c>
      <c r="N1560" s="14" t="s">
        <v>1879</v>
      </c>
      <c r="O1560" s="14" t="s">
        <v>1879</v>
      </c>
      <c r="P1560" s="167" t="s">
        <v>151</v>
      </c>
      <c r="Q1560" s="14" t="s">
        <v>170</v>
      </c>
      <c r="R1560" s="223" t="s">
        <v>241</v>
      </c>
      <c r="S1560" s="224">
        <f t="shared" si="220"/>
        <v>46072</v>
      </c>
      <c r="T1560" s="14"/>
      <c r="U1560" s="14"/>
      <c r="V1560" s="14"/>
      <c r="W1560" s="14"/>
      <c r="X1560" s="14"/>
      <c r="Z1560" s="465" t="s">
        <v>5315</v>
      </c>
      <c r="AA1560" s="2">
        <f t="shared" ca="1" si="223"/>
        <v>0</v>
      </c>
      <c r="AB1560" s="153"/>
      <c r="AC1560" s="454" t="str">
        <f t="shared" si="218"/>
        <v/>
      </c>
    </row>
    <row r="1561" spans="1:29" ht="58.5" thickBot="1" x14ac:dyDescent="0.4">
      <c r="A1561" s="111" t="str">
        <f t="shared" si="219"/>
        <v>Closed</v>
      </c>
      <c r="B1561" s="226">
        <v>46045</v>
      </c>
      <c r="C1561" s="112">
        <v>2511</v>
      </c>
      <c r="D1561" s="112" t="s">
        <v>6149</v>
      </c>
      <c r="E1561" s="112" t="s">
        <v>37</v>
      </c>
      <c r="F1561" s="112" t="s">
        <v>2974</v>
      </c>
      <c r="G1561" s="112" t="s">
        <v>1900</v>
      </c>
      <c r="H1561" s="112">
        <v>120</v>
      </c>
      <c r="I1561" s="350" t="s">
        <v>5</v>
      </c>
      <c r="J1561" s="112">
        <v>1270</v>
      </c>
      <c r="K1561" s="351"/>
      <c r="L1561" s="112" t="s">
        <v>6150</v>
      </c>
      <c r="M1561" s="324">
        <f t="shared" si="222"/>
        <v>0</v>
      </c>
      <c r="N1561" s="112" t="s">
        <v>1879</v>
      </c>
      <c r="O1561" s="14" t="s">
        <v>1880</v>
      </c>
      <c r="P1561" s="167" t="s">
        <v>143</v>
      </c>
      <c r="Q1561" s="14"/>
      <c r="R1561" s="170">
        <f t="shared" si="221"/>
        <v>0</v>
      </c>
      <c r="S1561" s="108">
        <f t="shared" si="220"/>
        <v>46073</v>
      </c>
      <c r="T1561" s="79">
        <v>46045</v>
      </c>
      <c r="U1561" s="14"/>
      <c r="V1561" s="14"/>
      <c r="W1561" s="14"/>
      <c r="X1561" s="14"/>
      <c r="Y1561" s="464" t="s">
        <v>2164</v>
      </c>
      <c r="Z1561" s="14"/>
      <c r="AA1561" s="2">
        <f t="shared" ca="1" si="223"/>
        <v>0</v>
      </c>
      <c r="AB1561" s="153"/>
      <c r="AC1561" s="454" t="str">
        <f t="shared" si="218"/>
        <v>1</v>
      </c>
    </row>
    <row r="1562" spans="1:29" ht="43.5" x14ac:dyDescent="0.35">
      <c r="A1562" s="89" t="str">
        <f t="shared" si="219"/>
        <v>Closed</v>
      </c>
      <c r="B1562" s="222">
        <v>46045</v>
      </c>
      <c r="C1562" s="14">
        <v>2511</v>
      </c>
      <c r="D1562" s="14" t="s">
        <v>6151</v>
      </c>
      <c r="E1562" s="14" t="s">
        <v>31</v>
      </c>
      <c r="F1562" s="14" t="s">
        <v>2147</v>
      </c>
      <c r="G1562" s="14" t="s">
        <v>1900</v>
      </c>
      <c r="H1562" s="14">
        <v>114</v>
      </c>
      <c r="I1562" s="176" t="s">
        <v>140</v>
      </c>
      <c r="J1562" s="14">
        <v>1420</v>
      </c>
      <c r="K1562" s="87"/>
      <c r="L1562" s="14" t="s">
        <v>6152</v>
      </c>
      <c r="M1562" s="324">
        <f t="shared" si="222"/>
        <v>0</v>
      </c>
      <c r="N1562" s="14" t="s">
        <v>1879</v>
      </c>
      <c r="O1562" s="14" t="s">
        <v>1880</v>
      </c>
      <c r="P1562" s="167" t="s">
        <v>143</v>
      </c>
      <c r="Q1562" s="14"/>
      <c r="R1562" s="223">
        <f t="shared" si="221"/>
        <v>0</v>
      </c>
      <c r="S1562" s="224">
        <f t="shared" si="220"/>
        <v>46073</v>
      </c>
      <c r="T1562" s="79">
        <v>46045</v>
      </c>
      <c r="U1562" s="14"/>
      <c r="V1562" s="14"/>
      <c r="W1562" s="14"/>
      <c r="X1562" s="14"/>
      <c r="Z1562" s="14"/>
      <c r="AA1562" s="2">
        <f t="shared" ca="1" si="223"/>
        <v>0</v>
      </c>
      <c r="AB1562" s="153"/>
      <c r="AC1562" s="454" t="str">
        <f t="shared" ref="AC1562:AC1625" si="224">LEFT(H1562,1)</f>
        <v>1</v>
      </c>
    </row>
    <row r="1563" spans="1:29" ht="29" x14ac:dyDescent="0.35">
      <c r="A1563" s="111" t="str">
        <f t="shared" si="219"/>
        <v>Closed</v>
      </c>
      <c r="B1563" s="226">
        <v>46047</v>
      </c>
      <c r="C1563" s="112">
        <v>2511</v>
      </c>
      <c r="D1563" s="112" t="s">
        <v>6153</v>
      </c>
      <c r="E1563" s="112" t="s">
        <v>219</v>
      </c>
      <c r="F1563" s="112" t="s">
        <v>2119</v>
      </c>
      <c r="G1563" s="112" t="s">
        <v>1911</v>
      </c>
      <c r="H1563" s="112">
        <v>106</v>
      </c>
      <c r="I1563" s="350" t="s">
        <v>140</v>
      </c>
      <c r="J1563" s="112"/>
      <c r="K1563" s="351"/>
      <c r="L1563" s="112" t="s">
        <v>6154</v>
      </c>
      <c r="M1563" s="324">
        <f t="shared" si="222"/>
        <v>0</v>
      </c>
      <c r="N1563" s="112" t="s">
        <v>1879</v>
      </c>
      <c r="O1563" s="14" t="s">
        <v>1879</v>
      </c>
      <c r="P1563" s="167" t="s">
        <v>143</v>
      </c>
      <c r="Q1563" s="14"/>
      <c r="R1563" s="170">
        <f t="shared" si="221"/>
        <v>0</v>
      </c>
      <c r="S1563" s="108">
        <f t="shared" si="220"/>
        <v>46075</v>
      </c>
      <c r="T1563" s="79">
        <v>46047</v>
      </c>
      <c r="U1563" s="14"/>
      <c r="V1563" s="14"/>
      <c r="W1563" s="14"/>
      <c r="X1563" s="14"/>
      <c r="Y1563" s="14" t="s">
        <v>2093</v>
      </c>
      <c r="Z1563" s="14"/>
      <c r="AA1563" s="2">
        <f t="shared" ca="1" si="223"/>
        <v>0</v>
      </c>
      <c r="AB1563" s="153"/>
      <c r="AC1563" s="454" t="str">
        <f t="shared" si="224"/>
        <v>1</v>
      </c>
    </row>
    <row r="1564" spans="1:29" ht="87.5" thickBot="1" x14ac:dyDescent="0.4">
      <c r="A1564" s="111" t="str">
        <f t="shared" si="219"/>
        <v>Closed</v>
      </c>
      <c r="B1564" s="226">
        <v>46042</v>
      </c>
      <c r="C1564" s="112">
        <v>2511</v>
      </c>
      <c r="D1564" s="112" t="s">
        <v>6155</v>
      </c>
      <c r="E1564" s="112" t="s">
        <v>64</v>
      </c>
      <c r="F1564" s="112" t="s">
        <v>5550</v>
      </c>
      <c r="G1564" s="112" t="s">
        <v>1911</v>
      </c>
      <c r="H1564" s="112"/>
      <c r="I1564" s="350" t="s">
        <v>140</v>
      </c>
      <c r="J1564" s="112"/>
      <c r="K1564" s="351"/>
      <c r="L1564" s="112" t="s">
        <v>6156</v>
      </c>
      <c r="M1564" s="324">
        <f t="shared" si="222"/>
        <v>0</v>
      </c>
      <c r="N1564" s="14" t="s">
        <v>1880</v>
      </c>
      <c r="O1564" s="14" t="s">
        <v>1879</v>
      </c>
      <c r="P1564" s="167" t="s">
        <v>143</v>
      </c>
      <c r="Q1564" s="14"/>
      <c r="R1564" s="170">
        <f t="shared" si="221"/>
        <v>0</v>
      </c>
      <c r="S1564" s="108">
        <f t="shared" si="220"/>
        <v>46070</v>
      </c>
      <c r="T1564" s="79">
        <v>46042</v>
      </c>
      <c r="U1564" s="14"/>
      <c r="V1564" s="14"/>
      <c r="W1564" s="14"/>
      <c r="X1564" s="14"/>
      <c r="Z1564" s="14"/>
      <c r="AA1564" s="2">
        <f t="shared" ca="1" si="223"/>
        <v>0</v>
      </c>
      <c r="AB1564" s="153"/>
      <c r="AC1564" s="454" t="str">
        <f t="shared" si="224"/>
        <v/>
      </c>
    </row>
    <row r="1565" spans="1:29" ht="82.5" customHeight="1" thickBot="1" x14ac:dyDescent="0.4">
      <c r="A1565" s="111" t="str">
        <f t="shared" ca="1" si="219"/>
        <v>Open</v>
      </c>
      <c r="B1565" s="222">
        <v>46049</v>
      </c>
      <c r="C1565" s="112">
        <v>2511</v>
      </c>
      <c r="D1565" s="112" t="s">
        <v>6157</v>
      </c>
      <c r="E1565" s="14" t="s">
        <v>40</v>
      </c>
      <c r="F1565" s="14" t="s">
        <v>2974</v>
      </c>
      <c r="G1565" s="14" t="s">
        <v>1911</v>
      </c>
      <c r="H1565" s="14">
        <v>101</v>
      </c>
      <c r="I1565" s="176" t="s">
        <v>4</v>
      </c>
      <c r="J1565" s="14">
        <v>1184</v>
      </c>
      <c r="K1565" s="87" t="s">
        <v>137</v>
      </c>
      <c r="L1565" s="14" t="s">
        <v>6158</v>
      </c>
      <c r="M1565" s="324">
        <v>0</v>
      </c>
      <c r="N1565" s="14" t="s">
        <v>1879</v>
      </c>
      <c r="O1565" s="14"/>
      <c r="P1565" s="167" t="s">
        <v>139</v>
      </c>
      <c r="Q1565" s="14" t="s">
        <v>185</v>
      </c>
      <c r="R1565" s="170" t="s">
        <v>234</v>
      </c>
      <c r="S1565" s="108">
        <f t="shared" si="220"/>
        <v>46077</v>
      </c>
      <c r="T1565" s="14"/>
      <c r="U1565" s="14"/>
      <c r="V1565" s="14"/>
      <c r="W1565" s="14"/>
      <c r="X1565" s="14"/>
      <c r="Y1565" s="464" t="s">
        <v>2164</v>
      </c>
      <c r="Z1565" s="465" t="s">
        <v>5315</v>
      </c>
      <c r="AA1565" s="2">
        <f t="shared" ca="1" si="223"/>
        <v>0</v>
      </c>
      <c r="AB1565" s="153"/>
      <c r="AC1565" s="454" t="str">
        <f t="shared" si="224"/>
        <v>1</v>
      </c>
    </row>
    <row r="1566" spans="1:29" ht="15" thickBot="1" x14ac:dyDescent="0.4">
      <c r="A1566" s="111" t="str">
        <f t="shared" si="219"/>
        <v>Closed</v>
      </c>
      <c r="B1566" s="222">
        <v>46049</v>
      </c>
      <c r="C1566" s="112">
        <v>2511</v>
      </c>
      <c r="D1566" s="112" t="s">
        <v>6159</v>
      </c>
      <c r="E1566" s="14" t="s">
        <v>38</v>
      </c>
      <c r="F1566" s="14"/>
      <c r="G1566" s="14"/>
      <c r="H1566" s="14">
        <v>119</v>
      </c>
      <c r="I1566" s="176" t="s">
        <v>2</v>
      </c>
      <c r="K1566" s="87" t="s">
        <v>137</v>
      </c>
      <c r="L1566" s="14" t="s">
        <v>6160</v>
      </c>
      <c r="M1566" s="324">
        <v>0</v>
      </c>
      <c r="N1566" s="14" t="s">
        <v>1879</v>
      </c>
      <c r="O1566" s="14" t="s">
        <v>1879</v>
      </c>
      <c r="P1566" s="167" t="s">
        <v>143</v>
      </c>
      <c r="R1566" s="170" t="s">
        <v>234</v>
      </c>
      <c r="S1566" s="108">
        <f t="shared" si="220"/>
        <v>46077</v>
      </c>
      <c r="T1566" s="79">
        <v>46049</v>
      </c>
      <c r="U1566" s="14"/>
      <c r="V1566" s="14"/>
      <c r="W1566" s="14"/>
      <c r="X1566" s="14"/>
      <c r="Z1566" s="465" t="s">
        <v>5315</v>
      </c>
      <c r="AA1566" s="2">
        <f t="shared" ca="1" si="223"/>
        <v>0</v>
      </c>
      <c r="AB1566" s="153"/>
      <c r="AC1566" s="454" t="str">
        <f t="shared" si="224"/>
        <v>1</v>
      </c>
    </row>
    <row r="1567" spans="1:29" ht="29.5" thickBot="1" x14ac:dyDescent="0.4">
      <c r="A1567" s="111" t="str">
        <f t="shared" ref="A1567:A1630" ca="1" si="225">IF(T1567&gt;1,"Closed",IF(AA1567=1,"Overdue",IF(AA1567=3,"","Open")))</f>
        <v>Open</v>
      </c>
      <c r="B1567" s="222">
        <v>46050</v>
      </c>
      <c r="C1567" s="112">
        <v>2511</v>
      </c>
      <c r="D1567" s="112" t="s">
        <v>6161</v>
      </c>
      <c r="E1567" s="14" t="s">
        <v>27</v>
      </c>
      <c r="F1567" s="14" t="s">
        <v>2432</v>
      </c>
      <c r="G1567" s="14" t="s">
        <v>1911</v>
      </c>
      <c r="H1567" s="14">
        <v>117</v>
      </c>
      <c r="I1567" s="176" t="s">
        <v>5</v>
      </c>
      <c r="K1567" s="87"/>
      <c r="L1567" s="14" t="s">
        <v>6162</v>
      </c>
      <c r="M1567" s="324">
        <v>0</v>
      </c>
      <c r="N1567" s="14" t="s">
        <v>1879</v>
      </c>
      <c r="O1567" s="14"/>
      <c r="P1567" s="167"/>
      <c r="Q1567" s="14"/>
      <c r="R1567" s="170">
        <f t="shared" si="221"/>
        <v>0</v>
      </c>
      <c r="S1567" s="108">
        <f t="shared" si="220"/>
        <v>46078</v>
      </c>
      <c r="T1567" s="14"/>
      <c r="U1567" s="14"/>
      <c r="V1567" s="14"/>
      <c r="W1567" s="14"/>
      <c r="X1567" s="14"/>
      <c r="Y1567" s="14" t="s">
        <v>2436</v>
      </c>
      <c r="Z1567" s="465" t="s">
        <v>5315</v>
      </c>
      <c r="AA1567" s="2">
        <f t="shared" ca="1" si="223"/>
        <v>0</v>
      </c>
      <c r="AB1567" s="153"/>
      <c r="AC1567" s="454" t="str">
        <f t="shared" si="224"/>
        <v>1</v>
      </c>
    </row>
    <row r="1568" spans="1:29" ht="116.5" thickBot="1" x14ac:dyDescent="0.4">
      <c r="A1568" s="111" t="str">
        <f t="shared" si="225"/>
        <v>Closed</v>
      </c>
      <c r="B1568" s="222">
        <v>46050</v>
      </c>
      <c r="C1568" s="112">
        <v>2511</v>
      </c>
      <c r="D1568" s="112" t="s">
        <v>6163</v>
      </c>
      <c r="E1568" s="14" t="s">
        <v>76</v>
      </c>
      <c r="F1568" s="14" t="s">
        <v>2048</v>
      </c>
      <c r="G1568" s="14"/>
      <c r="H1568" s="14">
        <v>112</v>
      </c>
      <c r="I1568" s="176" t="s">
        <v>140</v>
      </c>
      <c r="K1568" s="87"/>
      <c r="L1568" s="14" t="s">
        <v>6164</v>
      </c>
      <c r="M1568" s="324">
        <f t="shared" si="222"/>
        <v>0</v>
      </c>
      <c r="N1568" s="14" t="s">
        <v>1879</v>
      </c>
      <c r="O1568" s="14" t="s">
        <v>1879</v>
      </c>
      <c r="P1568" s="167" t="s">
        <v>143</v>
      </c>
      <c r="Q1568" s="14"/>
      <c r="R1568" s="170">
        <f t="shared" si="221"/>
        <v>0</v>
      </c>
      <c r="S1568" s="108">
        <f t="shared" si="220"/>
        <v>46078</v>
      </c>
      <c r="T1568" s="79">
        <v>46050</v>
      </c>
      <c r="U1568" s="14"/>
      <c r="V1568" s="14"/>
      <c r="W1568" s="14"/>
      <c r="X1568" s="14"/>
      <c r="Z1568" s="14"/>
      <c r="AA1568" s="2">
        <f t="shared" ca="1" si="223"/>
        <v>0</v>
      </c>
      <c r="AB1568" s="153"/>
      <c r="AC1568" s="454" t="str">
        <f t="shared" si="224"/>
        <v>1</v>
      </c>
    </row>
    <row r="1569" spans="1:29" ht="58.5" thickBot="1" x14ac:dyDescent="0.4">
      <c r="A1569" s="111" t="str">
        <f t="shared" si="225"/>
        <v>Closed</v>
      </c>
      <c r="B1569" s="222">
        <v>46050</v>
      </c>
      <c r="C1569" s="14">
        <v>2511</v>
      </c>
      <c r="D1569" s="112" t="s">
        <v>6165</v>
      </c>
      <c r="E1569" s="14" t="s">
        <v>78</v>
      </c>
      <c r="F1569" s="14" t="s">
        <v>2048</v>
      </c>
      <c r="G1569" s="14" t="s">
        <v>1900</v>
      </c>
      <c r="H1569" s="14">
        <v>112</v>
      </c>
      <c r="I1569" s="176" t="s">
        <v>140</v>
      </c>
      <c r="K1569" s="87"/>
      <c r="L1569" s="14" t="s">
        <v>6166</v>
      </c>
      <c r="M1569" s="324">
        <f t="shared" si="222"/>
        <v>0</v>
      </c>
      <c r="N1569" s="14" t="s">
        <v>1879</v>
      </c>
      <c r="O1569" s="14" t="s">
        <v>1879</v>
      </c>
      <c r="P1569" s="167" t="s">
        <v>143</v>
      </c>
      <c r="Q1569" s="14"/>
      <c r="R1569" s="170">
        <f t="shared" si="221"/>
        <v>0</v>
      </c>
      <c r="S1569" s="108">
        <f t="shared" si="220"/>
        <v>46078</v>
      </c>
      <c r="T1569" s="79">
        <v>46050</v>
      </c>
      <c r="U1569" s="14"/>
      <c r="V1569" s="14"/>
      <c r="W1569" s="14"/>
      <c r="X1569" s="14"/>
      <c r="Z1569" s="465" t="s">
        <v>5315</v>
      </c>
      <c r="AA1569" s="2">
        <f t="shared" ca="1" si="223"/>
        <v>0</v>
      </c>
      <c r="AB1569" s="153"/>
      <c r="AC1569" s="454" t="str">
        <f t="shared" si="224"/>
        <v>1</v>
      </c>
    </row>
    <row r="1570" spans="1:29" ht="29" x14ac:dyDescent="0.35">
      <c r="A1570" s="111" t="str">
        <f t="shared" si="225"/>
        <v>Closed</v>
      </c>
      <c r="B1570" s="222">
        <v>46052</v>
      </c>
      <c r="C1570" s="14">
        <v>2511</v>
      </c>
      <c r="D1570" s="112" t="s">
        <v>6167</v>
      </c>
      <c r="E1570" s="14" t="s">
        <v>219</v>
      </c>
      <c r="F1570" s="14" t="s">
        <v>1954</v>
      </c>
      <c r="G1570" s="14" t="s">
        <v>1911</v>
      </c>
      <c r="H1570" s="14">
        <v>116</v>
      </c>
      <c r="I1570" s="176" t="s">
        <v>140</v>
      </c>
      <c r="K1570" s="87"/>
      <c r="L1570" s="14" t="s">
        <v>6168</v>
      </c>
      <c r="M1570" s="324">
        <f t="shared" si="222"/>
        <v>0</v>
      </c>
      <c r="N1570" s="14" t="s">
        <v>1879</v>
      </c>
      <c r="O1570" s="14" t="s">
        <v>1879</v>
      </c>
      <c r="P1570" s="167" t="s">
        <v>143</v>
      </c>
      <c r="Q1570" s="14"/>
      <c r="R1570" s="170">
        <f t="shared" si="221"/>
        <v>0</v>
      </c>
      <c r="S1570" s="108">
        <f t="shared" si="220"/>
        <v>46080</v>
      </c>
      <c r="T1570" s="79">
        <v>46052</v>
      </c>
      <c r="U1570" s="14"/>
      <c r="V1570" s="14"/>
      <c r="W1570" s="14"/>
      <c r="X1570" s="14"/>
      <c r="Z1570" s="14"/>
      <c r="AA1570" s="2">
        <f t="shared" ca="1" si="223"/>
        <v>0</v>
      </c>
      <c r="AB1570" s="153"/>
      <c r="AC1570" s="454" t="str">
        <f t="shared" si="224"/>
        <v>1</v>
      </c>
    </row>
    <row r="1571" spans="1:29" ht="43.5" x14ac:dyDescent="0.35">
      <c r="A1571" s="111" t="str">
        <f t="shared" ca="1" si="225"/>
        <v>Open</v>
      </c>
      <c r="B1571" s="222">
        <v>46053</v>
      </c>
      <c r="C1571" s="14">
        <v>2511</v>
      </c>
      <c r="D1571" s="112" t="s">
        <v>6167</v>
      </c>
      <c r="E1571" s="14" t="s">
        <v>27</v>
      </c>
      <c r="F1571" s="14" t="s">
        <v>2426</v>
      </c>
      <c r="G1571" s="14" t="s">
        <v>1911</v>
      </c>
      <c r="H1571" s="14">
        <v>123</v>
      </c>
      <c r="I1571" s="176"/>
      <c r="K1571" s="87"/>
      <c r="L1571" s="14" t="s">
        <v>6169</v>
      </c>
      <c r="M1571" s="324">
        <f t="shared" si="222"/>
        <v>0</v>
      </c>
      <c r="N1571" s="14"/>
      <c r="O1571" s="14"/>
      <c r="P1571" s="167"/>
      <c r="Q1571" s="14"/>
      <c r="R1571" s="170">
        <f t="shared" si="221"/>
        <v>0</v>
      </c>
      <c r="S1571" s="108">
        <f t="shared" si="220"/>
        <v>46081</v>
      </c>
      <c r="T1571" s="14"/>
      <c r="U1571" s="14"/>
      <c r="V1571" s="14"/>
      <c r="W1571" s="14"/>
      <c r="X1571" s="14"/>
      <c r="Z1571" s="14"/>
      <c r="AA1571" s="2">
        <f t="shared" ca="1" si="223"/>
        <v>0</v>
      </c>
      <c r="AB1571" s="153"/>
      <c r="AC1571" s="454" t="str">
        <f t="shared" si="224"/>
        <v>1</v>
      </c>
    </row>
    <row r="1572" spans="1:29" ht="43.5" x14ac:dyDescent="0.35">
      <c r="A1572" s="111" t="str">
        <f t="shared" si="225"/>
        <v>Closed</v>
      </c>
      <c r="B1572" s="222">
        <v>46055</v>
      </c>
      <c r="C1572" s="14">
        <v>2512</v>
      </c>
      <c r="D1572" s="14" t="s">
        <v>6170</v>
      </c>
      <c r="E1572" s="14" t="s">
        <v>31</v>
      </c>
      <c r="F1572" s="14" t="s">
        <v>2095</v>
      </c>
      <c r="G1572" s="14" t="s">
        <v>1911</v>
      </c>
      <c r="H1572" s="14">
        <v>106</v>
      </c>
      <c r="I1572" s="176" t="s">
        <v>140</v>
      </c>
      <c r="J1572" s="14">
        <v>1099</v>
      </c>
      <c r="K1572" s="87"/>
      <c r="L1572" s="14" t="s">
        <v>6171</v>
      </c>
      <c r="M1572" s="324">
        <f t="shared" si="222"/>
        <v>0</v>
      </c>
      <c r="N1572" s="14" t="s">
        <v>1879</v>
      </c>
      <c r="O1572" s="14" t="s">
        <v>1879</v>
      </c>
      <c r="P1572" s="167" t="s">
        <v>143</v>
      </c>
      <c r="Q1572" s="14"/>
      <c r="R1572" s="170">
        <f t="shared" si="221"/>
        <v>0</v>
      </c>
      <c r="S1572" s="108">
        <f t="shared" si="220"/>
        <v>46083</v>
      </c>
      <c r="T1572" s="79">
        <v>46055</v>
      </c>
      <c r="U1572" s="14"/>
      <c r="V1572" s="14"/>
      <c r="W1572" s="14"/>
      <c r="X1572" s="14"/>
      <c r="Z1572" s="14" t="s">
        <v>6172</v>
      </c>
      <c r="AA1572" s="2">
        <f t="shared" ca="1" si="223"/>
        <v>0</v>
      </c>
      <c r="AB1572" s="153"/>
      <c r="AC1572" s="454" t="str">
        <f t="shared" si="224"/>
        <v>1</v>
      </c>
    </row>
    <row r="1573" spans="1:29" x14ac:dyDescent="0.35">
      <c r="A1573" s="111" t="str">
        <f t="shared" si="225"/>
        <v/>
      </c>
      <c r="B1573" s="222"/>
      <c r="C1573" s="14"/>
      <c r="D1573" s="112"/>
      <c r="E1573" s="14"/>
      <c r="F1573" s="14"/>
      <c r="G1573" s="14"/>
      <c r="H1573" s="14"/>
      <c r="I1573" s="176"/>
      <c r="K1573" s="87"/>
      <c r="L1573" s="14"/>
      <c r="M1573" s="324">
        <f t="shared" si="222"/>
        <v>0</v>
      </c>
      <c r="N1573" s="14"/>
      <c r="O1573" s="14"/>
      <c r="P1573" s="167"/>
      <c r="Q1573" s="14"/>
      <c r="R1573" s="170">
        <f t="shared" si="221"/>
        <v>0</v>
      </c>
      <c r="S1573" s="108" t="str">
        <f t="shared" si="220"/>
        <v/>
      </c>
      <c r="T1573" s="14"/>
      <c r="U1573" s="14"/>
      <c r="V1573" s="14"/>
      <c r="W1573" s="14"/>
      <c r="X1573" s="14"/>
      <c r="Z1573" s="14"/>
      <c r="AA1573" s="2">
        <f t="shared" si="223"/>
        <v>3</v>
      </c>
      <c r="AB1573" s="153"/>
      <c r="AC1573" s="454" t="str">
        <f t="shared" si="224"/>
        <v/>
      </c>
    </row>
    <row r="1574" spans="1:29" x14ac:dyDescent="0.35">
      <c r="A1574" s="111" t="str">
        <f t="shared" si="225"/>
        <v/>
      </c>
      <c r="B1574" s="222"/>
      <c r="C1574" s="14"/>
      <c r="D1574" s="14"/>
      <c r="E1574" s="14"/>
      <c r="F1574" s="14"/>
      <c r="G1574" s="14"/>
      <c r="H1574" s="14"/>
      <c r="I1574" s="176"/>
      <c r="K1574" s="87"/>
      <c r="L1574" s="14"/>
      <c r="M1574" s="324">
        <f t="shared" si="222"/>
        <v>0</v>
      </c>
      <c r="N1574" s="14"/>
      <c r="O1574" s="14"/>
      <c r="P1574" s="167"/>
      <c r="Q1574" s="14"/>
      <c r="R1574" s="170">
        <f t="shared" si="221"/>
        <v>0</v>
      </c>
      <c r="S1574" s="108" t="str">
        <f t="shared" si="220"/>
        <v/>
      </c>
      <c r="T1574" s="14"/>
      <c r="U1574" s="14"/>
      <c r="V1574" s="14"/>
      <c r="W1574" s="14"/>
      <c r="X1574" s="14"/>
      <c r="Z1574" s="14"/>
      <c r="AA1574" s="2">
        <f t="shared" si="223"/>
        <v>3</v>
      </c>
      <c r="AB1574" s="153"/>
      <c r="AC1574" s="454" t="str">
        <f t="shared" si="224"/>
        <v/>
      </c>
    </row>
    <row r="1575" spans="1:29" x14ac:dyDescent="0.35">
      <c r="A1575" s="111" t="str">
        <f t="shared" si="225"/>
        <v/>
      </c>
      <c r="B1575" s="222"/>
      <c r="C1575" s="14"/>
      <c r="D1575" s="14"/>
      <c r="E1575" s="14"/>
      <c r="F1575" s="14"/>
      <c r="G1575" s="14"/>
      <c r="H1575" s="14"/>
      <c r="I1575" s="176"/>
      <c r="K1575" s="87"/>
      <c r="L1575" s="14"/>
      <c r="M1575" s="324">
        <f t="shared" si="222"/>
        <v>0</v>
      </c>
      <c r="N1575" s="14"/>
      <c r="O1575" s="14"/>
      <c r="P1575" s="167"/>
      <c r="Q1575" s="14"/>
      <c r="R1575" s="170">
        <f t="shared" si="221"/>
        <v>0</v>
      </c>
      <c r="S1575" s="108" t="str">
        <f t="shared" si="220"/>
        <v/>
      </c>
      <c r="T1575" s="14"/>
      <c r="U1575" s="14"/>
      <c r="V1575" s="14"/>
      <c r="W1575" s="14"/>
      <c r="X1575" s="14"/>
      <c r="Z1575" s="14"/>
      <c r="AA1575" s="2">
        <f t="shared" si="223"/>
        <v>3</v>
      </c>
      <c r="AB1575" s="153"/>
      <c r="AC1575" s="454" t="str">
        <f t="shared" si="224"/>
        <v/>
      </c>
    </row>
    <row r="1576" spans="1:29" x14ac:dyDescent="0.35">
      <c r="A1576" s="111" t="str">
        <f t="shared" si="225"/>
        <v/>
      </c>
      <c r="B1576" s="222"/>
      <c r="C1576" s="14"/>
      <c r="D1576" s="14"/>
      <c r="E1576" s="14"/>
      <c r="F1576" s="14"/>
      <c r="G1576" s="14"/>
      <c r="H1576" s="14"/>
      <c r="I1576" s="176"/>
      <c r="K1576" s="87"/>
      <c r="L1576" s="14"/>
      <c r="M1576" s="324">
        <f t="shared" si="222"/>
        <v>0</v>
      </c>
      <c r="N1576" s="14"/>
      <c r="O1576" s="14"/>
      <c r="P1576" s="167"/>
      <c r="Q1576" s="14"/>
      <c r="R1576" s="170">
        <f t="shared" si="221"/>
        <v>0</v>
      </c>
      <c r="S1576" s="108" t="str">
        <f t="shared" si="220"/>
        <v/>
      </c>
      <c r="T1576" s="14"/>
      <c r="U1576" s="14"/>
      <c r="V1576" s="14"/>
      <c r="W1576" s="14"/>
      <c r="X1576" s="14"/>
      <c r="Z1576" s="14"/>
      <c r="AA1576" s="2">
        <f t="shared" si="223"/>
        <v>3</v>
      </c>
      <c r="AB1576" s="153"/>
      <c r="AC1576" s="454" t="str">
        <f t="shared" si="224"/>
        <v/>
      </c>
    </row>
    <row r="1577" spans="1:29" x14ac:dyDescent="0.35">
      <c r="A1577" s="111" t="str">
        <f t="shared" si="225"/>
        <v/>
      </c>
      <c r="B1577" s="222"/>
      <c r="C1577" s="14"/>
      <c r="D1577" s="14"/>
      <c r="E1577" s="14"/>
      <c r="F1577" s="14"/>
      <c r="G1577" s="14"/>
      <c r="H1577" s="14"/>
      <c r="I1577" s="176"/>
      <c r="K1577" s="87"/>
      <c r="L1577" s="14"/>
      <c r="M1577" s="324">
        <f t="shared" si="222"/>
        <v>0</v>
      </c>
      <c r="N1577" s="14"/>
      <c r="O1577" s="14"/>
      <c r="P1577" s="167"/>
      <c r="Q1577" s="14"/>
      <c r="R1577" s="170">
        <f t="shared" si="221"/>
        <v>0</v>
      </c>
      <c r="S1577" s="108" t="str">
        <f t="shared" si="220"/>
        <v/>
      </c>
      <c r="T1577" s="14"/>
      <c r="U1577" s="14"/>
      <c r="V1577" s="14"/>
      <c r="W1577" s="14"/>
      <c r="X1577" s="14"/>
      <c r="Z1577" s="14"/>
      <c r="AA1577" s="2">
        <f t="shared" si="223"/>
        <v>3</v>
      </c>
      <c r="AB1577" s="153"/>
      <c r="AC1577" s="454" t="str">
        <f t="shared" si="224"/>
        <v/>
      </c>
    </row>
    <row r="1578" spans="1:29" x14ac:dyDescent="0.35">
      <c r="A1578" s="111" t="str">
        <f t="shared" si="225"/>
        <v/>
      </c>
      <c r="B1578" s="222"/>
      <c r="C1578" s="14"/>
      <c r="D1578" s="14"/>
      <c r="E1578" s="14"/>
      <c r="F1578" s="14"/>
      <c r="G1578" s="14"/>
      <c r="H1578" s="14"/>
      <c r="I1578" s="176"/>
      <c r="K1578" s="87"/>
      <c r="L1578" s="14"/>
      <c r="M1578" s="324">
        <f t="shared" si="222"/>
        <v>0</v>
      </c>
      <c r="N1578" s="14"/>
      <c r="O1578" s="14"/>
      <c r="P1578" s="167"/>
      <c r="Q1578" s="14"/>
      <c r="R1578" s="170">
        <f t="shared" si="221"/>
        <v>0</v>
      </c>
      <c r="S1578" s="108" t="str">
        <f t="shared" si="220"/>
        <v/>
      </c>
      <c r="T1578" s="14"/>
      <c r="U1578" s="14"/>
      <c r="V1578" s="14"/>
      <c r="W1578" s="14"/>
      <c r="X1578" s="14"/>
      <c r="Z1578" s="14"/>
      <c r="AA1578" s="2">
        <f t="shared" si="223"/>
        <v>3</v>
      </c>
      <c r="AB1578" s="153"/>
      <c r="AC1578" s="454" t="str">
        <f t="shared" si="224"/>
        <v/>
      </c>
    </row>
    <row r="1579" spans="1:29" x14ac:dyDescent="0.35">
      <c r="A1579" s="111" t="str">
        <f t="shared" si="225"/>
        <v/>
      </c>
      <c r="B1579" s="222"/>
      <c r="C1579" s="14"/>
      <c r="D1579" s="14"/>
      <c r="E1579" s="14"/>
      <c r="F1579" s="14"/>
      <c r="G1579" s="14"/>
      <c r="H1579" s="14"/>
      <c r="I1579" s="176"/>
      <c r="K1579" s="87"/>
      <c r="L1579" s="14"/>
      <c r="M1579" s="324">
        <f t="shared" si="222"/>
        <v>0</v>
      </c>
      <c r="N1579" s="14"/>
      <c r="O1579" s="14"/>
      <c r="P1579" s="167"/>
      <c r="Q1579" s="14"/>
      <c r="R1579" s="170">
        <f t="shared" si="221"/>
        <v>0</v>
      </c>
      <c r="S1579" s="108" t="str">
        <f t="shared" si="220"/>
        <v/>
      </c>
      <c r="T1579" s="14"/>
      <c r="U1579" s="14"/>
      <c r="V1579" s="14"/>
      <c r="W1579" s="14"/>
      <c r="X1579" s="14"/>
      <c r="Z1579" s="14"/>
      <c r="AA1579" s="2">
        <f t="shared" si="223"/>
        <v>3</v>
      </c>
      <c r="AB1579" s="153"/>
      <c r="AC1579" s="454" t="str">
        <f t="shared" si="224"/>
        <v/>
      </c>
    </row>
    <row r="1580" spans="1:29" x14ac:dyDescent="0.35">
      <c r="A1580" s="111" t="str">
        <f t="shared" si="225"/>
        <v/>
      </c>
      <c r="B1580" s="222"/>
      <c r="C1580" s="14"/>
      <c r="D1580" s="14"/>
      <c r="E1580" s="14"/>
      <c r="F1580" s="14"/>
      <c r="G1580" s="14"/>
      <c r="H1580" s="14"/>
      <c r="I1580" s="176"/>
      <c r="K1580" s="87"/>
      <c r="L1580" s="14"/>
      <c r="M1580" s="324">
        <f t="shared" si="222"/>
        <v>0</v>
      </c>
      <c r="N1580" s="14"/>
      <c r="O1580" s="14"/>
      <c r="P1580" s="167"/>
      <c r="Q1580" s="14"/>
      <c r="R1580" s="170">
        <f t="shared" si="221"/>
        <v>0</v>
      </c>
      <c r="S1580" s="108" t="str">
        <f t="shared" si="220"/>
        <v/>
      </c>
      <c r="T1580" s="14"/>
      <c r="U1580" s="14"/>
      <c r="V1580" s="14"/>
      <c r="W1580" s="14"/>
      <c r="X1580" s="14"/>
      <c r="Z1580" s="14"/>
      <c r="AA1580" s="2">
        <f t="shared" si="223"/>
        <v>3</v>
      </c>
      <c r="AB1580" s="153"/>
      <c r="AC1580" s="454" t="str">
        <f t="shared" si="224"/>
        <v/>
      </c>
    </row>
    <row r="1581" spans="1:29" x14ac:dyDescent="0.35">
      <c r="A1581" s="111" t="str">
        <f t="shared" si="225"/>
        <v/>
      </c>
      <c r="B1581" s="222"/>
      <c r="C1581" s="14"/>
      <c r="D1581" s="14"/>
      <c r="E1581" s="14"/>
      <c r="F1581" s="14"/>
      <c r="G1581" s="14"/>
      <c r="H1581" s="14"/>
      <c r="I1581" s="176"/>
      <c r="K1581" s="87"/>
      <c r="L1581" s="14"/>
      <c r="M1581" s="324">
        <f t="shared" si="222"/>
        <v>0</v>
      </c>
      <c r="N1581" s="14"/>
      <c r="O1581" s="14"/>
      <c r="P1581" s="167"/>
      <c r="Q1581" s="14"/>
      <c r="R1581" s="170">
        <f t="shared" ref="R1581" si="226">IF(I1581="Staff Accident","Entry Required",IF(I1581="Assaults","Entry Required",0))</f>
        <v>0</v>
      </c>
      <c r="S1581" s="108" t="str">
        <f t="shared" si="220"/>
        <v/>
      </c>
      <c r="T1581" s="14"/>
      <c r="U1581" s="14"/>
      <c r="V1581" s="14"/>
      <c r="W1581" s="14"/>
      <c r="X1581" s="14"/>
      <c r="Z1581" s="14"/>
      <c r="AA1581" s="2">
        <f t="shared" si="223"/>
        <v>3</v>
      </c>
      <c r="AB1581" s="153"/>
      <c r="AC1581" s="454" t="str">
        <f t="shared" si="224"/>
        <v/>
      </c>
    </row>
    <row r="1582" spans="1:29" x14ac:dyDescent="0.35">
      <c r="A1582" s="111" t="str">
        <f t="shared" si="225"/>
        <v/>
      </c>
      <c r="B1582" s="222"/>
      <c r="C1582" s="14"/>
      <c r="D1582" s="14"/>
      <c r="E1582" s="14"/>
      <c r="F1582" s="14"/>
      <c r="G1582" s="14"/>
      <c r="H1582" s="14"/>
      <c r="I1582" s="176"/>
      <c r="K1582" s="87"/>
      <c r="L1582" s="14"/>
      <c r="M1582" s="324">
        <f t="shared" si="222"/>
        <v>0</v>
      </c>
      <c r="N1582" s="14"/>
      <c r="O1582" s="14"/>
      <c r="P1582" s="167"/>
      <c r="Q1582" s="14"/>
      <c r="R1582" s="170">
        <f t="shared" ref="R1582:R1645" si="227">IF(I1582="Staff Accident","Entry Required",IF(I1582="Assaults","Entry Required",0))</f>
        <v>0</v>
      </c>
      <c r="S1582" s="108" t="str">
        <f t="shared" si="220"/>
        <v/>
      </c>
      <c r="T1582" s="14"/>
      <c r="U1582" s="14"/>
      <c r="V1582" s="14"/>
      <c r="W1582" s="14"/>
      <c r="X1582" s="14"/>
      <c r="Z1582" s="14"/>
      <c r="AA1582" s="2">
        <f t="shared" si="223"/>
        <v>3</v>
      </c>
      <c r="AB1582" s="153"/>
      <c r="AC1582" s="454" t="str">
        <f t="shared" si="224"/>
        <v/>
      </c>
    </row>
    <row r="1583" spans="1:29" x14ac:dyDescent="0.35">
      <c r="A1583" s="111" t="str">
        <f t="shared" si="225"/>
        <v/>
      </c>
      <c r="B1583" s="222"/>
      <c r="C1583" s="14"/>
      <c r="D1583" s="14"/>
      <c r="E1583" s="14"/>
      <c r="F1583" s="14"/>
      <c r="G1583" s="14"/>
      <c r="H1583" s="14"/>
      <c r="I1583" s="176"/>
      <c r="K1583" s="87"/>
      <c r="L1583" s="14"/>
      <c r="M1583" s="324">
        <f t="shared" si="222"/>
        <v>0</v>
      </c>
      <c r="N1583" s="14"/>
      <c r="O1583" s="14"/>
      <c r="P1583" s="167"/>
      <c r="Q1583" s="14"/>
      <c r="R1583" s="170">
        <f t="shared" si="227"/>
        <v>0</v>
      </c>
      <c r="S1583" s="108" t="str">
        <f t="shared" si="220"/>
        <v/>
      </c>
      <c r="T1583" s="14"/>
      <c r="U1583" s="14"/>
      <c r="V1583" s="14"/>
      <c r="W1583" s="14"/>
      <c r="X1583" s="14"/>
      <c r="Z1583" s="14"/>
      <c r="AA1583" s="2">
        <f t="shared" si="223"/>
        <v>3</v>
      </c>
      <c r="AB1583" s="153"/>
      <c r="AC1583" s="454" t="str">
        <f t="shared" si="224"/>
        <v/>
      </c>
    </row>
    <row r="1584" spans="1:29" x14ac:dyDescent="0.35">
      <c r="A1584" s="111" t="str">
        <f t="shared" si="225"/>
        <v/>
      </c>
      <c r="B1584" s="222"/>
      <c r="C1584" s="14"/>
      <c r="D1584" s="14"/>
      <c r="E1584" s="14"/>
      <c r="F1584" s="14"/>
      <c r="G1584" s="14"/>
      <c r="H1584" s="14"/>
      <c r="I1584" s="176"/>
      <c r="K1584" s="87"/>
      <c r="L1584" s="14"/>
      <c r="M1584" s="324">
        <f t="shared" si="222"/>
        <v>0</v>
      </c>
      <c r="N1584" s="14"/>
      <c r="O1584" s="14"/>
      <c r="P1584" s="167"/>
      <c r="Q1584" s="14"/>
      <c r="R1584" s="170">
        <f t="shared" si="227"/>
        <v>0</v>
      </c>
      <c r="S1584" s="108" t="str">
        <f t="shared" si="220"/>
        <v/>
      </c>
      <c r="T1584" s="14"/>
      <c r="U1584" s="14"/>
      <c r="V1584" s="14"/>
      <c r="W1584" s="14"/>
      <c r="X1584" s="14"/>
      <c r="Z1584" s="14"/>
      <c r="AA1584" s="2">
        <f t="shared" si="223"/>
        <v>3</v>
      </c>
      <c r="AB1584" s="153"/>
      <c r="AC1584" s="454" t="str">
        <f t="shared" si="224"/>
        <v/>
      </c>
    </row>
    <row r="1585" spans="1:29" x14ac:dyDescent="0.35">
      <c r="A1585" s="111" t="str">
        <f t="shared" si="225"/>
        <v/>
      </c>
      <c r="B1585" s="222"/>
      <c r="C1585" s="14"/>
      <c r="D1585" s="14"/>
      <c r="E1585" s="14"/>
      <c r="F1585" s="14"/>
      <c r="G1585" s="14"/>
      <c r="H1585" s="14"/>
      <c r="I1585" s="176"/>
      <c r="K1585" s="87"/>
      <c r="L1585" s="14"/>
      <c r="M1585" s="324">
        <f t="shared" si="222"/>
        <v>0</v>
      </c>
      <c r="N1585" s="14"/>
      <c r="O1585" s="14"/>
      <c r="P1585" s="167"/>
      <c r="Q1585" s="14"/>
      <c r="R1585" s="170">
        <f t="shared" si="227"/>
        <v>0</v>
      </c>
      <c r="S1585" s="108" t="str">
        <f t="shared" si="220"/>
        <v/>
      </c>
      <c r="T1585" s="14"/>
      <c r="U1585" s="14"/>
      <c r="V1585" s="14"/>
      <c r="W1585" s="14"/>
      <c r="X1585" s="14"/>
      <c r="Z1585" s="14"/>
      <c r="AA1585" s="2">
        <f t="shared" si="223"/>
        <v>3</v>
      </c>
      <c r="AB1585" s="153"/>
      <c r="AC1585" s="454" t="str">
        <f t="shared" si="224"/>
        <v/>
      </c>
    </row>
    <row r="1586" spans="1:29" x14ac:dyDescent="0.35">
      <c r="A1586" s="111" t="str">
        <f t="shared" si="225"/>
        <v/>
      </c>
      <c r="B1586" s="222"/>
      <c r="C1586" s="14"/>
      <c r="D1586" s="14"/>
      <c r="E1586" s="14"/>
      <c r="F1586" s="14"/>
      <c r="G1586" s="14"/>
      <c r="H1586" s="14"/>
      <c r="I1586" s="176"/>
      <c r="K1586" s="87"/>
      <c r="L1586" s="14"/>
      <c r="M1586" s="324">
        <f t="shared" si="222"/>
        <v>0</v>
      </c>
      <c r="N1586" s="14"/>
      <c r="O1586" s="14"/>
      <c r="P1586" s="167"/>
      <c r="Q1586" s="14"/>
      <c r="R1586" s="170">
        <f t="shared" si="227"/>
        <v>0</v>
      </c>
      <c r="S1586" s="108" t="str">
        <f t="shared" si="220"/>
        <v/>
      </c>
      <c r="T1586" s="14"/>
      <c r="U1586" s="14"/>
      <c r="V1586" s="14"/>
      <c r="W1586" s="14"/>
      <c r="X1586" s="14"/>
      <c r="Z1586" s="14"/>
      <c r="AA1586" s="2">
        <f t="shared" si="223"/>
        <v>3</v>
      </c>
      <c r="AB1586" s="153"/>
      <c r="AC1586" s="454" t="str">
        <f t="shared" si="224"/>
        <v/>
      </c>
    </row>
    <row r="1587" spans="1:29" x14ac:dyDescent="0.35">
      <c r="A1587" s="111" t="str">
        <f t="shared" si="225"/>
        <v/>
      </c>
      <c r="B1587" s="222"/>
      <c r="C1587" s="14"/>
      <c r="D1587" s="14"/>
      <c r="E1587" s="14"/>
      <c r="F1587" s="14"/>
      <c r="G1587" s="14"/>
      <c r="H1587" s="14"/>
      <c r="I1587" s="176"/>
      <c r="K1587" s="87"/>
      <c r="L1587" s="14"/>
      <c r="M1587" s="324">
        <f t="shared" si="222"/>
        <v>0</v>
      </c>
      <c r="N1587" s="14"/>
      <c r="O1587" s="14"/>
      <c r="P1587" s="167"/>
      <c r="Q1587" s="14"/>
      <c r="R1587" s="170">
        <f t="shared" si="227"/>
        <v>0</v>
      </c>
      <c r="S1587" s="108" t="str">
        <f t="shared" si="220"/>
        <v/>
      </c>
      <c r="T1587" s="14"/>
      <c r="U1587" s="14"/>
      <c r="V1587" s="14"/>
      <c r="W1587" s="14"/>
      <c r="X1587" s="14"/>
      <c r="Z1587" s="14"/>
      <c r="AA1587" s="2">
        <f t="shared" si="223"/>
        <v>3</v>
      </c>
      <c r="AB1587" s="153"/>
      <c r="AC1587" s="454" t="str">
        <f t="shared" si="224"/>
        <v/>
      </c>
    </row>
    <row r="1588" spans="1:29" x14ac:dyDescent="0.35">
      <c r="A1588" s="111" t="str">
        <f t="shared" si="225"/>
        <v/>
      </c>
      <c r="B1588" s="222"/>
      <c r="C1588" s="14"/>
      <c r="D1588" s="14"/>
      <c r="E1588" s="14"/>
      <c r="F1588" s="14"/>
      <c r="G1588" s="14"/>
      <c r="H1588" s="14"/>
      <c r="I1588" s="176"/>
      <c r="K1588" s="87"/>
      <c r="L1588" s="14"/>
      <c r="M1588" s="324">
        <f t="shared" si="222"/>
        <v>0</v>
      </c>
      <c r="N1588" s="14"/>
      <c r="O1588" s="14"/>
      <c r="P1588" s="167"/>
      <c r="Q1588" s="14"/>
      <c r="R1588" s="170">
        <f t="shared" si="227"/>
        <v>0</v>
      </c>
      <c r="S1588" s="108" t="str">
        <f t="shared" si="220"/>
        <v/>
      </c>
      <c r="T1588" s="14"/>
      <c r="U1588" s="14"/>
      <c r="V1588" s="14"/>
      <c r="W1588" s="14"/>
      <c r="X1588" s="14"/>
      <c r="Z1588" s="14"/>
      <c r="AA1588" s="2">
        <f t="shared" si="223"/>
        <v>3</v>
      </c>
      <c r="AB1588" s="153"/>
      <c r="AC1588" s="454" t="str">
        <f t="shared" si="224"/>
        <v/>
      </c>
    </row>
    <row r="1589" spans="1:29" x14ac:dyDescent="0.35">
      <c r="A1589" s="111" t="str">
        <f t="shared" si="225"/>
        <v/>
      </c>
      <c r="B1589" s="222"/>
      <c r="C1589" s="14"/>
      <c r="D1589" s="14"/>
      <c r="E1589" s="14"/>
      <c r="F1589" s="14"/>
      <c r="G1589" s="14"/>
      <c r="H1589" s="14"/>
      <c r="I1589" s="176"/>
      <c r="K1589" s="87"/>
      <c r="L1589" s="14"/>
      <c r="M1589" s="324">
        <f t="shared" si="222"/>
        <v>0</v>
      </c>
      <c r="N1589" s="14"/>
      <c r="O1589" s="14"/>
      <c r="P1589" s="167"/>
      <c r="Q1589" s="14"/>
      <c r="R1589" s="170">
        <f t="shared" si="227"/>
        <v>0</v>
      </c>
      <c r="S1589" s="108" t="str">
        <f t="shared" si="220"/>
        <v/>
      </c>
      <c r="T1589" s="14"/>
      <c r="U1589" s="14"/>
      <c r="V1589" s="14"/>
      <c r="W1589" s="14"/>
      <c r="X1589" s="14"/>
      <c r="Z1589" s="14"/>
      <c r="AA1589" s="2">
        <f t="shared" si="223"/>
        <v>3</v>
      </c>
      <c r="AB1589" s="153"/>
      <c r="AC1589" s="454" t="str">
        <f t="shared" si="224"/>
        <v/>
      </c>
    </row>
    <row r="1590" spans="1:29" x14ac:dyDescent="0.35">
      <c r="A1590" s="111" t="str">
        <f t="shared" si="225"/>
        <v/>
      </c>
      <c r="B1590" s="222"/>
      <c r="C1590" s="14"/>
      <c r="D1590" s="14"/>
      <c r="E1590" s="14"/>
      <c r="F1590" s="14"/>
      <c r="G1590" s="14"/>
      <c r="H1590" s="14"/>
      <c r="I1590" s="176"/>
      <c r="K1590" s="87"/>
      <c r="L1590" s="14"/>
      <c r="M1590" s="324">
        <f t="shared" si="222"/>
        <v>0</v>
      </c>
      <c r="N1590" s="14"/>
      <c r="O1590" s="14"/>
      <c r="P1590" s="167"/>
      <c r="Q1590" s="14"/>
      <c r="R1590" s="170">
        <f t="shared" si="227"/>
        <v>0</v>
      </c>
      <c r="S1590" s="108" t="str">
        <f t="shared" si="220"/>
        <v/>
      </c>
      <c r="T1590" s="14"/>
      <c r="U1590" s="14"/>
      <c r="V1590" s="14"/>
      <c r="W1590" s="14"/>
      <c r="X1590" s="14"/>
      <c r="Z1590" s="14"/>
      <c r="AA1590" s="2">
        <f t="shared" si="223"/>
        <v>3</v>
      </c>
      <c r="AB1590" s="153"/>
      <c r="AC1590" s="454" t="str">
        <f t="shared" si="224"/>
        <v/>
      </c>
    </row>
    <row r="1591" spans="1:29" x14ac:dyDescent="0.35">
      <c r="A1591" s="111" t="str">
        <f t="shared" si="225"/>
        <v/>
      </c>
      <c r="B1591" s="222"/>
      <c r="C1591" s="14"/>
      <c r="D1591" s="14"/>
      <c r="E1591" s="14"/>
      <c r="F1591" s="14"/>
      <c r="G1591" s="14"/>
      <c r="H1591" s="14"/>
      <c r="I1591" s="176"/>
      <c r="K1591" s="87"/>
      <c r="L1591" s="14"/>
      <c r="M1591" s="324">
        <f t="shared" si="222"/>
        <v>0</v>
      </c>
      <c r="N1591" s="14"/>
      <c r="O1591" s="14"/>
      <c r="P1591" s="167"/>
      <c r="Q1591" s="14"/>
      <c r="R1591" s="170">
        <f t="shared" si="227"/>
        <v>0</v>
      </c>
      <c r="S1591" s="108" t="str">
        <f t="shared" si="220"/>
        <v/>
      </c>
      <c r="T1591" s="14"/>
      <c r="U1591" s="14"/>
      <c r="V1591" s="14"/>
      <c r="W1591" s="14"/>
      <c r="X1591" s="14"/>
      <c r="Z1591" s="14"/>
      <c r="AA1591" s="2">
        <f t="shared" si="223"/>
        <v>3</v>
      </c>
      <c r="AB1591" s="153"/>
      <c r="AC1591" s="454" t="str">
        <f t="shared" si="224"/>
        <v/>
      </c>
    </row>
    <row r="1592" spans="1:29" x14ac:dyDescent="0.35">
      <c r="A1592" s="111" t="str">
        <f t="shared" si="225"/>
        <v/>
      </c>
      <c r="B1592" s="222"/>
      <c r="C1592" s="14"/>
      <c r="D1592" s="14"/>
      <c r="E1592" s="14"/>
      <c r="F1592" s="14"/>
      <c r="G1592" s="14"/>
      <c r="H1592" s="14"/>
      <c r="I1592" s="176"/>
      <c r="K1592" s="87"/>
      <c r="L1592" s="14"/>
      <c r="M1592" s="324">
        <f t="shared" si="222"/>
        <v>0</v>
      </c>
      <c r="N1592" s="14"/>
      <c r="O1592" s="14"/>
      <c r="P1592" s="167"/>
      <c r="Q1592" s="14"/>
      <c r="R1592" s="170">
        <f t="shared" si="227"/>
        <v>0</v>
      </c>
      <c r="S1592" s="108" t="str">
        <f t="shared" si="220"/>
        <v/>
      </c>
      <c r="T1592" s="14"/>
      <c r="U1592" s="14"/>
      <c r="V1592" s="14"/>
      <c r="W1592" s="14"/>
      <c r="X1592" s="14"/>
      <c r="Z1592" s="14"/>
      <c r="AA1592" s="2">
        <f t="shared" si="223"/>
        <v>3</v>
      </c>
      <c r="AB1592" s="153"/>
      <c r="AC1592" s="454" t="str">
        <f t="shared" si="224"/>
        <v/>
      </c>
    </row>
    <row r="1593" spans="1:29" x14ac:dyDescent="0.35">
      <c r="A1593" s="111" t="str">
        <f t="shared" si="225"/>
        <v/>
      </c>
      <c r="B1593" s="222"/>
      <c r="C1593" s="14"/>
      <c r="D1593" s="14"/>
      <c r="E1593" s="14"/>
      <c r="F1593" s="14"/>
      <c r="G1593" s="14"/>
      <c r="H1593" s="14"/>
      <c r="I1593" s="176"/>
      <c r="K1593" s="87"/>
      <c r="L1593" s="14"/>
      <c r="M1593" s="324">
        <f t="shared" si="222"/>
        <v>0</v>
      </c>
      <c r="N1593" s="14"/>
      <c r="O1593" s="14"/>
      <c r="P1593" s="167"/>
      <c r="Q1593" s="14"/>
      <c r="R1593" s="170">
        <f t="shared" si="227"/>
        <v>0</v>
      </c>
      <c r="S1593" s="108" t="str">
        <f t="shared" si="220"/>
        <v/>
      </c>
      <c r="T1593" s="14"/>
      <c r="U1593" s="14"/>
      <c r="V1593" s="14"/>
      <c r="W1593" s="14"/>
      <c r="X1593" s="14"/>
      <c r="Z1593" s="14"/>
      <c r="AA1593" s="2">
        <f t="shared" si="223"/>
        <v>3</v>
      </c>
      <c r="AB1593" s="153"/>
      <c r="AC1593" s="454" t="str">
        <f t="shared" si="224"/>
        <v/>
      </c>
    </row>
    <row r="1594" spans="1:29" x14ac:dyDescent="0.35">
      <c r="A1594" s="111" t="str">
        <f t="shared" si="225"/>
        <v/>
      </c>
      <c r="B1594" s="222"/>
      <c r="C1594" s="14"/>
      <c r="D1594" s="14"/>
      <c r="E1594" s="14"/>
      <c r="F1594" s="14"/>
      <c r="G1594" s="14"/>
      <c r="H1594" s="14"/>
      <c r="I1594" s="176"/>
      <c r="K1594" s="87"/>
      <c r="L1594" s="14"/>
      <c r="M1594" s="324">
        <f t="shared" si="222"/>
        <v>0</v>
      </c>
      <c r="N1594" s="14"/>
      <c r="O1594" s="14"/>
      <c r="P1594" s="167"/>
      <c r="Q1594" s="14"/>
      <c r="R1594" s="170">
        <f t="shared" si="227"/>
        <v>0</v>
      </c>
      <c r="S1594" s="108" t="str">
        <f t="shared" si="220"/>
        <v/>
      </c>
      <c r="T1594" s="14"/>
      <c r="U1594" s="14"/>
      <c r="V1594" s="14"/>
      <c r="W1594" s="14"/>
      <c r="X1594" s="14"/>
      <c r="Z1594" s="14"/>
      <c r="AA1594" s="2">
        <f t="shared" si="223"/>
        <v>3</v>
      </c>
      <c r="AB1594" s="153"/>
      <c r="AC1594" s="454" t="str">
        <f t="shared" si="224"/>
        <v/>
      </c>
    </row>
    <row r="1595" spans="1:29" x14ac:dyDescent="0.35">
      <c r="A1595" s="111" t="str">
        <f t="shared" si="225"/>
        <v/>
      </c>
      <c r="B1595" s="222"/>
      <c r="C1595" s="14"/>
      <c r="D1595" s="14"/>
      <c r="E1595" s="14"/>
      <c r="F1595" s="14"/>
      <c r="G1595" s="14"/>
      <c r="H1595" s="14"/>
      <c r="I1595" s="176"/>
      <c r="K1595" s="87"/>
      <c r="L1595" s="14"/>
      <c r="M1595" s="324">
        <f t="shared" si="222"/>
        <v>0</v>
      </c>
      <c r="N1595" s="14"/>
      <c r="O1595" s="14"/>
      <c r="P1595" s="167"/>
      <c r="Q1595" s="14"/>
      <c r="R1595" s="170">
        <f t="shared" si="227"/>
        <v>0</v>
      </c>
      <c r="S1595" s="108" t="str">
        <f t="shared" si="220"/>
        <v/>
      </c>
      <c r="T1595" s="14"/>
      <c r="U1595" s="14"/>
      <c r="V1595" s="14"/>
      <c r="W1595" s="14"/>
      <c r="X1595" s="14"/>
      <c r="Z1595" s="14"/>
      <c r="AA1595" s="2">
        <f t="shared" si="223"/>
        <v>3</v>
      </c>
      <c r="AB1595" s="153"/>
      <c r="AC1595" s="454" t="str">
        <f t="shared" si="224"/>
        <v/>
      </c>
    </row>
    <row r="1596" spans="1:29" x14ac:dyDescent="0.35">
      <c r="A1596" s="111" t="str">
        <f t="shared" si="225"/>
        <v/>
      </c>
      <c r="B1596" s="222"/>
      <c r="C1596" s="14"/>
      <c r="D1596" s="14"/>
      <c r="E1596" s="14"/>
      <c r="F1596" s="14"/>
      <c r="G1596" s="14"/>
      <c r="H1596" s="14"/>
      <c r="I1596" s="176"/>
      <c r="K1596" s="87"/>
      <c r="L1596" s="14"/>
      <c r="M1596" s="324">
        <f t="shared" si="222"/>
        <v>0</v>
      </c>
      <c r="N1596" s="14"/>
      <c r="O1596" s="14"/>
      <c r="P1596" s="167"/>
      <c r="Q1596" s="14"/>
      <c r="R1596" s="170">
        <f t="shared" si="227"/>
        <v>0</v>
      </c>
      <c r="S1596" s="108" t="str">
        <f t="shared" si="220"/>
        <v/>
      </c>
      <c r="T1596" s="14"/>
      <c r="U1596" s="14"/>
      <c r="V1596" s="14"/>
      <c r="W1596" s="14"/>
      <c r="X1596" s="14"/>
      <c r="Z1596" s="14"/>
      <c r="AA1596" s="2">
        <f t="shared" si="223"/>
        <v>3</v>
      </c>
      <c r="AB1596" s="153"/>
      <c r="AC1596" s="454" t="str">
        <f t="shared" si="224"/>
        <v/>
      </c>
    </row>
    <row r="1597" spans="1:29" x14ac:dyDescent="0.35">
      <c r="A1597" s="111" t="str">
        <f t="shared" si="225"/>
        <v/>
      </c>
      <c r="B1597" s="222"/>
      <c r="C1597" s="14"/>
      <c r="D1597" s="14"/>
      <c r="E1597" s="14"/>
      <c r="F1597" s="14"/>
      <c r="G1597" s="14"/>
      <c r="H1597" s="14"/>
      <c r="I1597" s="176"/>
      <c r="K1597" s="87"/>
      <c r="L1597" s="14"/>
      <c r="M1597" s="324">
        <f t="shared" si="222"/>
        <v>0</v>
      </c>
      <c r="N1597" s="14"/>
      <c r="O1597" s="14"/>
      <c r="P1597" s="167"/>
      <c r="Q1597" s="14"/>
      <c r="R1597" s="170">
        <f t="shared" si="227"/>
        <v>0</v>
      </c>
      <c r="S1597" s="108" t="str">
        <f t="shared" si="220"/>
        <v/>
      </c>
      <c r="T1597" s="14"/>
      <c r="U1597" s="14"/>
      <c r="V1597" s="14"/>
      <c r="W1597" s="14"/>
      <c r="X1597" s="14"/>
      <c r="Z1597" s="14"/>
      <c r="AA1597" s="2">
        <f t="shared" si="223"/>
        <v>3</v>
      </c>
      <c r="AB1597" s="153"/>
      <c r="AC1597" s="454" t="str">
        <f t="shared" si="224"/>
        <v/>
      </c>
    </row>
    <row r="1598" spans="1:29" x14ac:dyDescent="0.35">
      <c r="A1598" s="111" t="str">
        <f t="shared" si="225"/>
        <v/>
      </c>
      <c r="B1598" s="222"/>
      <c r="C1598" s="14"/>
      <c r="D1598" s="14"/>
      <c r="E1598" s="14"/>
      <c r="F1598" s="14"/>
      <c r="G1598" s="14"/>
      <c r="H1598" s="14"/>
      <c r="I1598" s="176"/>
      <c r="K1598" s="87"/>
      <c r="L1598" s="14"/>
      <c r="M1598" s="324">
        <f t="shared" si="222"/>
        <v>0</v>
      </c>
      <c r="N1598" s="14"/>
      <c r="O1598" s="14"/>
      <c r="P1598" s="167"/>
      <c r="Q1598" s="14"/>
      <c r="R1598" s="170">
        <f t="shared" si="227"/>
        <v>0</v>
      </c>
      <c r="S1598" s="108" t="str">
        <f t="shared" si="220"/>
        <v/>
      </c>
      <c r="T1598" s="14"/>
      <c r="U1598" s="14"/>
      <c r="V1598" s="14"/>
      <c r="W1598" s="14"/>
      <c r="X1598" s="14"/>
      <c r="Z1598" s="14"/>
      <c r="AA1598" s="2">
        <f t="shared" si="223"/>
        <v>3</v>
      </c>
      <c r="AB1598" s="153"/>
      <c r="AC1598" s="454" t="str">
        <f t="shared" si="224"/>
        <v/>
      </c>
    </row>
    <row r="1599" spans="1:29" x14ac:dyDescent="0.35">
      <c r="A1599" s="111" t="str">
        <f t="shared" si="225"/>
        <v/>
      </c>
      <c r="B1599" s="222"/>
      <c r="C1599" s="14"/>
      <c r="D1599" s="14"/>
      <c r="E1599" s="14"/>
      <c r="F1599" s="14"/>
      <c r="G1599" s="14"/>
      <c r="H1599" s="14"/>
      <c r="I1599" s="176"/>
      <c r="K1599" s="87"/>
      <c r="L1599" s="14"/>
      <c r="M1599" s="324">
        <f t="shared" si="222"/>
        <v>0</v>
      </c>
      <c r="N1599" s="14"/>
      <c r="O1599" s="14"/>
      <c r="P1599" s="167"/>
      <c r="Q1599" s="14"/>
      <c r="R1599" s="170">
        <f t="shared" si="227"/>
        <v>0</v>
      </c>
      <c r="S1599" s="108" t="str">
        <f t="shared" si="220"/>
        <v/>
      </c>
      <c r="T1599" s="14"/>
      <c r="U1599" s="14"/>
      <c r="V1599" s="14"/>
      <c r="W1599" s="14"/>
      <c r="X1599" s="14"/>
      <c r="Z1599" s="14"/>
      <c r="AA1599" s="2">
        <f t="shared" si="223"/>
        <v>3</v>
      </c>
      <c r="AB1599" s="153"/>
      <c r="AC1599" s="454" t="str">
        <f t="shared" si="224"/>
        <v/>
      </c>
    </row>
    <row r="1600" spans="1:29" x14ac:dyDescent="0.35">
      <c r="A1600" s="111" t="str">
        <f t="shared" si="225"/>
        <v/>
      </c>
      <c r="B1600" s="222"/>
      <c r="C1600" s="14"/>
      <c r="D1600" s="14"/>
      <c r="E1600" s="14"/>
      <c r="F1600" s="14"/>
      <c r="G1600" s="14"/>
      <c r="H1600" s="14"/>
      <c r="I1600" s="176"/>
      <c r="K1600" s="87"/>
      <c r="L1600" s="14"/>
      <c r="M1600" s="324">
        <f t="shared" si="222"/>
        <v>0</v>
      </c>
      <c r="N1600" s="14"/>
      <c r="O1600" s="14"/>
      <c r="P1600" s="167"/>
      <c r="Q1600" s="14"/>
      <c r="R1600" s="170">
        <f t="shared" si="227"/>
        <v>0</v>
      </c>
      <c r="S1600" s="108" t="str">
        <f t="shared" si="220"/>
        <v/>
      </c>
      <c r="T1600" s="14"/>
      <c r="U1600" s="14"/>
      <c r="V1600" s="14"/>
      <c r="W1600" s="14"/>
      <c r="X1600" s="14"/>
      <c r="Z1600" s="14"/>
      <c r="AA1600" s="2">
        <f t="shared" si="223"/>
        <v>3</v>
      </c>
      <c r="AB1600" s="153"/>
      <c r="AC1600" s="454" t="str">
        <f t="shared" si="224"/>
        <v/>
      </c>
    </row>
    <row r="1601" spans="1:29" x14ac:dyDescent="0.35">
      <c r="A1601" s="111" t="str">
        <f t="shared" si="225"/>
        <v/>
      </c>
      <c r="B1601" s="222"/>
      <c r="C1601" s="14"/>
      <c r="D1601" s="14"/>
      <c r="E1601" s="14"/>
      <c r="F1601" s="14"/>
      <c r="G1601" s="14"/>
      <c r="H1601" s="14"/>
      <c r="I1601" s="176"/>
      <c r="K1601" s="87"/>
      <c r="L1601" s="14"/>
      <c r="M1601" s="324">
        <f t="shared" si="222"/>
        <v>0</v>
      </c>
      <c r="N1601" s="14"/>
      <c r="O1601" s="14"/>
      <c r="P1601" s="167"/>
      <c r="Q1601" s="14"/>
      <c r="R1601" s="170">
        <f t="shared" si="227"/>
        <v>0</v>
      </c>
      <c r="S1601" s="108" t="str">
        <f t="shared" si="220"/>
        <v/>
      </c>
      <c r="T1601" s="14"/>
      <c r="U1601" s="14"/>
      <c r="V1601" s="14"/>
      <c r="W1601" s="14"/>
      <c r="X1601" s="14"/>
      <c r="Z1601" s="14"/>
      <c r="AA1601" s="2">
        <f t="shared" si="223"/>
        <v>3</v>
      </c>
      <c r="AB1601" s="153"/>
      <c r="AC1601" s="454" t="str">
        <f t="shared" si="224"/>
        <v/>
      </c>
    </row>
    <row r="1602" spans="1:29" x14ac:dyDescent="0.35">
      <c r="A1602" s="111" t="str">
        <f t="shared" si="225"/>
        <v/>
      </c>
      <c r="B1602" s="222"/>
      <c r="C1602" s="14"/>
      <c r="D1602" s="14"/>
      <c r="E1602" s="14"/>
      <c r="F1602" s="14"/>
      <c r="G1602" s="14"/>
      <c r="H1602" s="14"/>
      <c r="I1602" s="176"/>
      <c r="K1602" s="87"/>
      <c r="L1602" s="14"/>
      <c r="M1602" s="324">
        <f t="shared" si="222"/>
        <v>0</v>
      </c>
      <c r="N1602" s="14"/>
      <c r="O1602" s="14"/>
      <c r="P1602" s="167"/>
      <c r="Q1602" s="14"/>
      <c r="R1602" s="170">
        <f t="shared" si="227"/>
        <v>0</v>
      </c>
      <c r="S1602" s="108" t="str">
        <f t="shared" si="220"/>
        <v/>
      </c>
      <c r="T1602" s="14"/>
      <c r="U1602" s="14"/>
      <c r="V1602" s="14"/>
      <c r="W1602" s="14"/>
      <c r="X1602" s="14"/>
      <c r="Z1602" s="14"/>
      <c r="AA1602" s="2">
        <f t="shared" si="223"/>
        <v>3</v>
      </c>
      <c r="AB1602" s="153"/>
      <c r="AC1602" s="454" t="str">
        <f t="shared" si="224"/>
        <v/>
      </c>
    </row>
    <row r="1603" spans="1:29" x14ac:dyDescent="0.35">
      <c r="A1603" s="111" t="str">
        <f t="shared" si="225"/>
        <v/>
      </c>
      <c r="B1603" s="222"/>
      <c r="C1603" s="14"/>
      <c r="D1603" s="14"/>
      <c r="E1603" s="14"/>
      <c r="F1603" s="14"/>
      <c r="G1603" s="14"/>
      <c r="H1603" s="14"/>
      <c r="I1603" s="176"/>
      <c r="K1603" s="87"/>
      <c r="L1603" s="14"/>
      <c r="M1603" s="324">
        <f t="shared" si="222"/>
        <v>0</v>
      </c>
      <c r="N1603" s="14"/>
      <c r="O1603" s="14"/>
      <c r="P1603" s="167"/>
      <c r="Q1603" s="14"/>
      <c r="R1603" s="170">
        <f t="shared" si="227"/>
        <v>0</v>
      </c>
      <c r="S1603" s="108" t="str">
        <f t="shared" si="220"/>
        <v/>
      </c>
      <c r="T1603" s="14"/>
      <c r="U1603" s="14"/>
      <c r="V1603" s="14"/>
      <c r="W1603" s="14"/>
      <c r="X1603" s="14"/>
      <c r="Z1603" s="14"/>
      <c r="AA1603" s="2">
        <f t="shared" si="223"/>
        <v>3</v>
      </c>
      <c r="AB1603" s="153"/>
      <c r="AC1603" s="454" t="str">
        <f t="shared" si="224"/>
        <v/>
      </c>
    </row>
    <row r="1604" spans="1:29" x14ac:dyDescent="0.35">
      <c r="A1604" s="111" t="str">
        <f t="shared" si="225"/>
        <v/>
      </c>
      <c r="B1604" s="222"/>
      <c r="C1604" s="14"/>
      <c r="D1604" s="14"/>
      <c r="E1604" s="14"/>
      <c r="F1604" s="14"/>
      <c r="G1604" s="14"/>
      <c r="H1604" s="14"/>
      <c r="I1604" s="176"/>
      <c r="K1604" s="87"/>
      <c r="L1604" s="14"/>
      <c r="M1604" s="324">
        <f t="shared" si="222"/>
        <v>0</v>
      </c>
      <c r="N1604" s="14"/>
      <c r="O1604" s="14"/>
      <c r="P1604" s="167"/>
      <c r="Q1604" s="14"/>
      <c r="R1604" s="170">
        <f t="shared" si="227"/>
        <v>0</v>
      </c>
      <c r="S1604" s="108" t="str">
        <f t="shared" si="220"/>
        <v/>
      </c>
      <c r="T1604" s="14"/>
      <c r="U1604" s="14"/>
      <c r="V1604" s="14"/>
      <c r="W1604" s="14"/>
      <c r="X1604" s="14"/>
      <c r="Z1604" s="14"/>
      <c r="AA1604" s="2">
        <f t="shared" si="223"/>
        <v>3</v>
      </c>
      <c r="AB1604" s="153"/>
      <c r="AC1604" s="454" t="str">
        <f t="shared" si="224"/>
        <v/>
      </c>
    </row>
    <row r="1605" spans="1:29" x14ac:dyDescent="0.35">
      <c r="A1605" s="111" t="str">
        <f t="shared" si="225"/>
        <v/>
      </c>
      <c r="B1605" s="222"/>
      <c r="C1605" s="14"/>
      <c r="D1605" s="14"/>
      <c r="E1605" s="14"/>
      <c r="F1605" s="14"/>
      <c r="G1605" s="14"/>
      <c r="H1605" s="14"/>
      <c r="I1605" s="176"/>
      <c r="K1605" s="87"/>
      <c r="L1605" s="14"/>
      <c r="M1605" s="324">
        <f t="shared" si="222"/>
        <v>0</v>
      </c>
      <c r="N1605" s="14"/>
      <c r="O1605" s="14"/>
      <c r="P1605" s="167"/>
      <c r="Q1605" s="14"/>
      <c r="R1605" s="170">
        <f t="shared" si="227"/>
        <v>0</v>
      </c>
      <c r="S1605" s="108" t="str">
        <f t="shared" ref="S1605:S1668" si="228">IF(B1605="","",B1605+28)</f>
        <v/>
      </c>
      <c r="T1605" s="14"/>
      <c r="U1605" s="14"/>
      <c r="V1605" s="14"/>
      <c r="W1605" s="14"/>
      <c r="X1605" s="14"/>
      <c r="Z1605" s="14"/>
      <c r="AA1605" s="2">
        <f t="shared" si="223"/>
        <v>3</v>
      </c>
      <c r="AB1605" s="153"/>
      <c r="AC1605" s="454" t="str">
        <f t="shared" si="224"/>
        <v/>
      </c>
    </row>
    <row r="1606" spans="1:29" x14ac:dyDescent="0.35">
      <c r="A1606" s="111" t="str">
        <f t="shared" si="225"/>
        <v/>
      </c>
      <c r="B1606" s="222"/>
      <c r="C1606" s="14"/>
      <c r="D1606" s="14"/>
      <c r="E1606" s="14"/>
      <c r="F1606" s="14"/>
      <c r="G1606" s="14"/>
      <c r="H1606" s="14"/>
      <c r="I1606" s="176"/>
      <c r="K1606" s="87"/>
      <c r="L1606" s="14"/>
      <c r="M1606" s="324">
        <f t="shared" si="222"/>
        <v>0</v>
      </c>
      <c r="N1606" s="14"/>
      <c r="O1606" s="14"/>
      <c r="P1606" s="167"/>
      <c r="Q1606" s="14"/>
      <c r="R1606" s="170">
        <f t="shared" si="227"/>
        <v>0</v>
      </c>
      <c r="S1606" s="108" t="str">
        <f t="shared" si="228"/>
        <v/>
      </c>
      <c r="T1606" s="14"/>
      <c r="U1606" s="14"/>
      <c r="V1606" s="14"/>
      <c r="W1606" s="14"/>
      <c r="X1606" s="14"/>
      <c r="Z1606" s="14"/>
      <c r="AA1606" s="2">
        <f t="shared" si="223"/>
        <v>3</v>
      </c>
      <c r="AB1606" s="153"/>
      <c r="AC1606" s="454" t="str">
        <f t="shared" si="224"/>
        <v/>
      </c>
    </row>
    <row r="1607" spans="1:29" x14ac:dyDescent="0.35">
      <c r="A1607" s="111" t="str">
        <f t="shared" si="225"/>
        <v/>
      </c>
      <c r="B1607" s="222"/>
      <c r="C1607" s="14"/>
      <c r="D1607" s="14"/>
      <c r="E1607" s="14"/>
      <c r="F1607" s="14"/>
      <c r="G1607" s="14"/>
      <c r="H1607" s="14"/>
      <c r="I1607" s="176"/>
      <c r="K1607" s="87"/>
      <c r="L1607" s="14"/>
      <c r="M1607" s="324">
        <f t="shared" si="222"/>
        <v>0</v>
      </c>
      <c r="N1607" s="14"/>
      <c r="O1607" s="14"/>
      <c r="P1607" s="167"/>
      <c r="Q1607" s="14"/>
      <c r="R1607" s="170">
        <f t="shared" si="227"/>
        <v>0</v>
      </c>
      <c r="S1607" s="108" t="str">
        <f t="shared" si="228"/>
        <v/>
      </c>
      <c r="T1607" s="14"/>
      <c r="U1607" s="14"/>
      <c r="V1607" s="14"/>
      <c r="W1607" s="14"/>
      <c r="X1607" s="14"/>
      <c r="Z1607" s="14"/>
      <c r="AA1607" s="2">
        <f t="shared" si="223"/>
        <v>3</v>
      </c>
      <c r="AB1607" s="153"/>
      <c r="AC1607" s="454" t="str">
        <f t="shared" si="224"/>
        <v/>
      </c>
    </row>
    <row r="1608" spans="1:29" x14ac:dyDescent="0.35">
      <c r="A1608" s="111" t="str">
        <f t="shared" si="225"/>
        <v/>
      </c>
      <c r="B1608" s="222"/>
      <c r="C1608" s="14"/>
      <c r="D1608" s="14"/>
      <c r="E1608" s="14"/>
      <c r="F1608" s="14"/>
      <c r="G1608" s="14"/>
      <c r="H1608" s="14"/>
      <c r="I1608" s="176"/>
      <c r="K1608" s="87"/>
      <c r="L1608" s="14"/>
      <c r="M1608" s="324">
        <f t="shared" si="222"/>
        <v>0</v>
      </c>
      <c r="N1608" s="14"/>
      <c r="O1608" s="14"/>
      <c r="P1608" s="167"/>
      <c r="Q1608" s="14"/>
      <c r="R1608" s="170">
        <f t="shared" si="227"/>
        <v>0</v>
      </c>
      <c r="S1608" s="108" t="str">
        <f t="shared" si="228"/>
        <v/>
      </c>
      <c r="T1608" s="14"/>
      <c r="U1608" s="14"/>
      <c r="V1608" s="14"/>
      <c r="W1608" s="14"/>
      <c r="X1608" s="14"/>
      <c r="Z1608" s="14"/>
      <c r="AA1608" s="2">
        <f t="shared" si="223"/>
        <v>3</v>
      </c>
      <c r="AB1608" s="153"/>
      <c r="AC1608" s="454" t="str">
        <f t="shared" si="224"/>
        <v/>
      </c>
    </row>
    <row r="1609" spans="1:29" x14ac:dyDescent="0.35">
      <c r="A1609" s="111" t="str">
        <f t="shared" si="225"/>
        <v/>
      </c>
      <c r="B1609" s="222"/>
      <c r="C1609" s="14"/>
      <c r="D1609" s="14"/>
      <c r="E1609" s="14"/>
      <c r="F1609" s="14"/>
      <c r="G1609" s="14"/>
      <c r="H1609" s="14"/>
      <c r="I1609" s="176"/>
      <c r="K1609" s="87"/>
      <c r="L1609" s="14"/>
      <c r="M1609" s="324">
        <f t="shared" si="222"/>
        <v>0</v>
      </c>
      <c r="N1609" s="14"/>
      <c r="O1609" s="14"/>
      <c r="P1609" s="167"/>
      <c r="Q1609" s="14"/>
      <c r="R1609" s="170">
        <f t="shared" si="227"/>
        <v>0</v>
      </c>
      <c r="S1609" s="108" t="str">
        <f t="shared" si="228"/>
        <v/>
      </c>
      <c r="T1609" s="14"/>
      <c r="U1609" s="14"/>
      <c r="V1609" s="14"/>
      <c r="W1609" s="14"/>
      <c r="X1609" s="14"/>
      <c r="Z1609" s="14"/>
      <c r="AA1609" s="2">
        <f t="shared" si="223"/>
        <v>3</v>
      </c>
      <c r="AB1609" s="153"/>
      <c r="AC1609" s="454" t="str">
        <f t="shared" si="224"/>
        <v/>
      </c>
    </row>
    <row r="1610" spans="1:29" x14ac:dyDescent="0.35">
      <c r="A1610" s="111" t="str">
        <f t="shared" si="225"/>
        <v/>
      </c>
      <c r="B1610" s="222"/>
      <c r="C1610" s="14"/>
      <c r="D1610" s="14"/>
      <c r="E1610" s="14"/>
      <c r="F1610" s="14"/>
      <c r="G1610" s="14"/>
      <c r="H1610" s="14"/>
      <c r="I1610" s="176"/>
      <c r="K1610" s="87"/>
      <c r="L1610" s="14"/>
      <c r="M1610" s="324">
        <f t="shared" si="222"/>
        <v>0</v>
      </c>
      <c r="N1610" s="14"/>
      <c r="O1610" s="14"/>
      <c r="P1610" s="167"/>
      <c r="Q1610" s="14"/>
      <c r="R1610" s="170">
        <f t="shared" si="227"/>
        <v>0</v>
      </c>
      <c r="S1610" s="108" t="str">
        <f t="shared" si="228"/>
        <v/>
      </c>
      <c r="T1610" s="14"/>
      <c r="U1610" s="14"/>
      <c r="V1610" s="14"/>
      <c r="W1610" s="14"/>
      <c r="X1610" s="14"/>
      <c r="Z1610" s="14"/>
      <c r="AA1610" s="2">
        <f t="shared" si="223"/>
        <v>3</v>
      </c>
      <c r="AB1610" s="153"/>
      <c r="AC1610" s="454" t="str">
        <f t="shared" si="224"/>
        <v/>
      </c>
    </row>
    <row r="1611" spans="1:29" x14ac:dyDescent="0.35">
      <c r="A1611" s="111" t="str">
        <f t="shared" si="225"/>
        <v/>
      </c>
      <c r="B1611" s="222"/>
      <c r="C1611" s="14"/>
      <c r="D1611" s="14"/>
      <c r="E1611" s="14"/>
      <c r="F1611" s="14"/>
      <c r="G1611" s="14"/>
      <c r="H1611" s="14"/>
      <c r="I1611" s="176"/>
      <c r="K1611" s="87"/>
      <c r="L1611" s="14"/>
      <c r="M1611" s="324">
        <f t="shared" si="222"/>
        <v>0</v>
      </c>
      <c r="N1611" s="14"/>
      <c r="O1611" s="14"/>
      <c r="P1611" s="167"/>
      <c r="Q1611" s="14"/>
      <c r="R1611" s="170">
        <f t="shared" si="227"/>
        <v>0</v>
      </c>
      <c r="S1611" s="108" t="str">
        <f t="shared" si="228"/>
        <v/>
      </c>
      <c r="T1611" s="14"/>
      <c r="U1611" s="14"/>
      <c r="V1611" s="14"/>
      <c r="W1611" s="14"/>
      <c r="X1611" s="14"/>
      <c r="Z1611" s="14"/>
      <c r="AA1611" s="2">
        <f t="shared" si="223"/>
        <v>3</v>
      </c>
      <c r="AB1611" s="153"/>
      <c r="AC1611" s="454" t="str">
        <f t="shared" si="224"/>
        <v/>
      </c>
    </row>
    <row r="1612" spans="1:29" x14ac:dyDescent="0.35">
      <c r="A1612" s="111" t="str">
        <f t="shared" si="225"/>
        <v/>
      </c>
      <c r="B1612" s="222"/>
      <c r="C1612" s="14"/>
      <c r="D1612" s="14"/>
      <c r="E1612" s="14"/>
      <c r="F1612" s="14"/>
      <c r="G1612" s="14"/>
      <c r="H1612" s="14"/>
      <c r="I1612" s="176"/>
      <c r="K1612" s="87"/>
      <c r="L1612" s="14"/>
      <c r="M1612" s="324">
        <f t="shared" si="222"/>
        <v>0</v>
      </c>
      <c r="N1612" s="14"/>
      <c r="O1612" s="14"/>
      <c r="P1612" s="167"/>
      <c r="Q1612" s="14"/>
      <c r="R1612" s="170">
        <f t="shared" si="227"/>
        <v>0</v>
      </c>
      <c r="S1612" s="108" t="str">
        <f t="shared" si="228"/>
        <v/>
      </c>
      <c r="T1612" s="14"/>
      <c r="U1612" s="14"/>
      <c r="V1612" s="14"/>
      <c r="W1612" s="14"/>
      <c r="X1612" s="14"/>
      <c r="Z1612" s="14"/>
      <c r="AA1612" s="2">
        <f t="shared" si="223"/>
        <v>3</v>
      </c>
      <c r="AB1612" s="153"/>
      <c r="AC1612" s="454" t="str">
        <f t="shared" si="224"/>
        <v/>
      </c>
    </row>
    <row r="1613" spans="1:29" x14ac:dyDescent="0.35">
      <c r="A1613" s="111" t="str">
        <f t="shared" si="225"/>
        <v/>
      </c>
      <c r="B1613" s="222"/>
      <c r="C1613" s="14"/>
      <c r="D1613" s="14"/>
      <c r="E1613" s="14"/>
      <c r="F1613" s="14"/>
      <c r="G1613" s="14"/>
      <c r="H1613" s="14"/>
      <c r="I1613" s="176"/>
      <c r="K1613" s="87"/>
      <c r="L1613" s="14"/>
      <c r="M1613" s="324">
        <f t="shared" si="222"/>
        <v>0</v>
      </c>
      <c r="N1613" s="14"/>
      <c r="O1613" s="14"/>
      <c r="P1613" s="167"/>
      <c r="Q1613" s="14"/>
      <c r="R1613" s="170">
        <f t="shared" si="227"/>
        <v>0</v>
      </c>
      <c r="S1613" s="108" t="str">
        <f t="shared" si="228"/>
        <v/>
      </c>
      <c r="T1613" s="14"/>
      <c r="U1613" s="14"/>
      <c r="V1613" s="14"/>
      <c r="W1613" s="14"/>
      <c r="X1613" s="14"/>
      <c r="Z1613" s="14"/>
      <c r="AA1613" s="2">
        <f t="shared" si="223"/>
        <v>3</v>
      </c>
      <c r="AB1613" s="153"/>
      <c r="AC1613" s="454" t="str">
        <f t="shared" si="224"/>
        <v/>
      </c>
    </row>
    <row r="1614" spans="1:29" x14ac:dyDescent="0.35">
      <c r="A1614" s="111" t="str">
        <f t="shared" si="225"/>
        <v/>
      </c>
      <c r="B1614" s="222"/>
      <c r="C1614" s="14"/>
      <c r="D1614" s="14"/>
      <c r="E1614" s="14"/>
      <c r="F1614" s="14"/>
      <c r="G1614" s="14"/>
      <c r="H1614" s="14"/>
      <c r="I1614" s="176"/>
      <c r="K1614" s="87"/>
      <c r="L1614" s="14"/>
      <c r="M1614" s="324">
        <f t="shared" si="222"/>
        <v>0</v>
      </c>
      <c r="N1614" s="14"/>
      <c r="O1614" s="14"/>
      <c r="P1614" s="167"/>
      <c r="Q1614" s="14"/>
      <c r="R1614" s="170">
        <f t="shared" si="227"/>
        <v>0</v>
      </c>
      <c r="S1614" s="108" t="str">
        <f t="shared" si="228"/>
        <v/>
      </c>
      <c r="T1614" s="14"/>
      <c r="U1614" s="14"/>
      <c r="V1614" s="14"/>
      <c r="W1614" s="14"/>
      <c r="X1614" s="14"/>
      <c r="Z1614" s="14"/>
      <c r="AA1614" s="2">
        <f t="shared" si="223"/>
        <v>3</v>
      </c>
      <c r="AB1614" s="153"/>
      <c r="AC1614" s="454" t="str">
        <f t="shared" si="224"/>
        <v/>
      </c>
    </row>
    <row r="1615" spans="1:29" x14ac:dyDescent="0.35">
      <c r="A1615" s="111" t="str">
        <f t="shared" si="225"/>
        <v/>
      </c>
      <c r="B1615" s="222"/>
      <c r="C1615" s="14"/>
      <c r="D1615" s="14"/>
      <c r="E1615" s="14"/>
      <c r="F1615" s="14"/>
      <c r="G1615" s="14"/>
      <c r="H1615" s="14"/>
      <c r="I1615" s="176"/>
      <c r="K1615" s="87"/>
      <c r="L1615" s="14"/>
      <c r="M1615" s="324">
        <f t="shared" si="222"/>
        <v>0</v>
      </c>
      <c r="N1615" s="14"/>
      <c r="O1615" s="14"/>
      <c r="P1615" s="167"/>
      <c r="Q1615" s="14"/>
      <c r="R1615" s="170">
        <f t="shared" si="227"/>
        <v>0</v>
      </c>
      <c r="S1615" s="108" t="str">
        <f t="shared" si="228"/>
        <v/>
      </c>
      <c r="T1615" s="14"/>
      <c r="U1615" s="14"/>
      <c r="V1615" s="14"/>
      <c r="W1615" s="14"/>
      <c r="X1615" s="14"/>
      <c r="Z1615" s="14"/>
      <c r="AA1615" s="2">
        <f t="shared" si="223"/>
        <v>3</v>
      </c>
      <c r="AB1615" s="153"/>
      <c r="AC1615" s="454" t="str">
        <f t="shared" si="224"/>
        <v/>
      </c>
    </row>
    <row r="1616" spans="1:29" x14ac:dyDescent="0.35">
      <c r="A1616" s="111" t="str">
        <f t="shared" si="225"/>
        <v/>
      </c>
      <c r="B1616" s="222"/>
      <c r="C1616" s="14"/>
      <c r="D1616" s="14"/>
      <c r="E1616" s="14"/>
      <c r="F1616" s="14"/>
      <c r="G1616" s="14"/>
      <c r="H1616" s="14"/>
      <c r="I1616" s="176"/>
      <c r="K1616" s="87"/>
      <c r="L1616" s="14"/>
      <c r="M1616" s="324">
        <f t="shared" si="222"/>
        <v>0</v>
      </c>
      <c r="N1616" s="14"/>
      <c r="O1616" s="14"/>
      <c r="P1616" s="167"/>
      <c r="Q1616" s="14"/>
      <c r="R1616" s="170">
        <f t="shared" si="227"/>
        <v>0</v>
      </c>
      <c r="S1616" s="108" t="str">
        <f t="shared" si="228"/>
        <v/>
      </c>
      <c r="T1616" s="14"/>
      <c r="U1616" s="14"/>
      <c r="V1616" s="14"/>
      <c r="W1616" s="14"/>
      <c r="X1616" s="14"/>
      <c r="Z1616" s="14"/>
      <c r="AA1616" s="2">
        <f t="shared" si="223"/>
        <v>3</v>
      </c>
      <c r="AB1616" s="153"/>
      <c r="AC1616" s="454" t="str">
        <f t="shared" si="224"/>
        <v/>
      </c>
    </row>
    <row r="1617" spans="1:29" x14ac:dyDescent="0.35">
      <c r="A1617" s="111" t="str">
        <f t="shared" si="225"/>
        <v/>
      </c>
      <c r="B1617" s="222"/>
      <c r="C1617" s="14"/>
      <c r="D1617" s="14"/>
      <c r="E1617" s="14"/>
      <c r="F1617" s="14"/>
      <c r="G1617" s="14"/>
      <c r="H1617" s="14"/>
      <c r="I1617" s="176"/>
      <c r="K1617" s="87"/>
      <c r="L1617" s="14"/>
      <c r="M1617" s="324">
        <f t="shared" si="222"/>
        <v>0</v>
      </c>
      <c r="N1617" s="14"/>
      <c r="O1617" s="14"/>
      <c r="P1617" s="167"/>
      <c r="Q1617" s="14"/>
      <c r="R1617" s="170">
        <f t="shared" si="227"/>
        <v>0</v>
      </c>
      <c r="S1617" s="108" t="str">
        <f t="shared" si="228"/>
        <v/>
      </c>
      <c r="T1617" s="14"/>
      <c r="U1617" s="14"/>
      <c r="V1617" s="14"/>
      <c r="W1617" s="14"/>
      <c r="X1617" s="14"/>
      <c r="Z1617" s="14"/>
      <c r="AA1617" s="2">
        <f t="shared" si="223"/>
        <v>3</v>
      </c>
      <c r="AB1617" s="153"/>
      <c r="AC1617" s="454" t="str">
        <f t="shared" si="224"/>
        <v/>
      </c>
    </row>
    <row r="1618" spans="1:29" x14ac:dyDescent="0.35">
      <c r="A1618" s="111" t="str">
        <f t="shared" si="225"/>
        <v/>
      </c>
      <c r="B1618" s="222"/>
      <c r="C1618" s="14"/>
      <c r="D1618" s="14"/>
      <c r="E1618" s="14"/>
      <c r="F1618" s="14"/>
      <c r="G1618" s="14"/>
      <c r="H1618" s="14"/>
      <c r="I1618" s="176"/>
      <c r="K1618" s="87"/>
      <c r="L1618" s="14"/>
      <c r="M1618" s="324">
        <f t="shared" si="222"/>
        <v>0</v>
      </c>
      <c r="N1618" s="14"/>
      <c r="O1618" s="14"/>
      <c r="P1618" s="167"/>
      <c r="Q1618" s="14"/>
      <c r="R1618" s="170">
        <f t="shared" si="227"/>
        <v>0</v>
      </c>
      <c r="S1618" s="108" t="str">
        <f t="shared" si="228"/>
        <v/>
      </c>
      <c r="T1618" s="14"/>
      <c r="U1618" s="14"/>
      <c r="V1618" s="14"/>
      <c r="W1618" s="14"/>
      <c r="X1618" s="14"/>
      <c r="Z1618" s="14"/>
      <c r="AA1618" s="2">
        <f t="shared" si="223"/>
        <v>3</v>
      </c>
      <c r="AB1618" s="153"/>
      <c r="AC1618" s="454" t="str">
        <f t="shared" si="224"/>
        <v/>
      </c>
    </row>
    <row r="1619" spans="1:29" x14ac:dyDescent="0.35">
      <c r="A1619" s="111" t="str">
        <f t="shared" si="225"/>
        <v/>
      </c>
      <c r="B1619" s="222"/>
      <c r="C1619" s="14"/>
      <c r="D1619" s="14"/>
      <c r="E1619" s="14"/>
      <c r="F1619" s="14"/>
      <c r="G1619" s="14"/>
      <c r="H1619" s="14"/>
      <c r="I1619" s="176"/>
      <c r="K1619" s="87"/>
      <c r="L1619" s="14"/>
      <c r="M1619" s="324">
        <f t="shared" si="222"/>
        <v>0</v>
      </c>
      <c r="N1619" s="14"/>
      <c r="O1619" s="14"/>
      <c r="P1619" s="167"/>
      <c r="Q1619" s="14"/>
      <c r="R1619" s="170">
        <f t="shared" si="227"/>
        <v>0</v>
      </c>
      <c r="S1619" s="108" t="str">
        <f t="shared" si="228"/>
        <v/>
      </c>
      <c r="T1619" s="14"/>
      <c r="U1619" s="14"/>
      <c r="V1619" s="14"/>
      <c r="W1619" s="14"/>
      <c r="X1619" s="14"/>
      <c r="Z1619" s="14"/>
      <c r="AA1619" s="2">
        <f t="shared" si="223"/>
        <v>3</v>
      </c>
      <c r="AB1619" s="153"/>
      <c r="AC1619" s="454" t="str">
        <f t="shared" si="224"/>
        <v/>
      </c>
    </row>
    <row r="1620" spans="1:29" x14ac:dyDescent="0.35">
      <c r="A1620" s="111" t="str">
        <f t="shared" si="225"/>
        <v/>
      </c>
      <c r="B1620" s="222"/>
      <c r="C1620" s="14"/>
      <c r="D1620" s="14"/>
      <c r="E1620" s="14"/>
      <c r="F1620" s="14"/>
      <c r="G1620" s="14"/>
      <c r="H1620" s="14"/>
      <c r="I1620" s="176"/>
      <c r="K1620" s="87"/>
      <c r="L1620" s="14"/>
      <c r="M1620" s="324">
        <f t="shared" ref="M1620:M1683" si="229">IF(I1620="Staff Accident","Entry Required",IF(I1620="Assaults","Entry Required",0))</f>
        <v>0</v>
      </c>
      <c r="N1620" s="14"/>
      <c r="O1620" s="14"/>
      <c r="P1620" s="167"/>
      <c r="Q1620" s="14"/>
      <c r="R1620" s="170">
        <f t="shared" si="227"/>
        <v>0</v>
      </c>
      <c r="S1620" s="108" t="str">
        <f t="shared" si="228"/>
        <v/>
      </c>
      <c r="T1620" s="14"/>
      <c r="U1620" s="14"/>
      <c r="V1620" s="14"/>
      <c r="W1620" s="14"/>
      <c r="X1620" s="14"/>
      <c r="Z1620" s="14"/>
      <c r="AA1620" s="2">
        <f t="shared" si="223"/>
        <v>3</v>
      </c>
      <c r="AB1620" s="153"/>
      <c r="AC1620" s="454" t="str">
        <f t="shared" si="224"/>
        <v/>
      </c>
    </row>
    <row r="1621" spans="1:29" x14ac:dyDescent="0.35">
      <c r="A1621" s="111" t="str">
        <f t="shared" si="225"/>
        <v/>
      </c>
      <c r="B1621" s="222"/>
      <c r="C1621" s="14"/>
      <c r="D1621" s="14"/>
      <c r="E1621" s="14"/>
      <c r="F1621" s="14"/>
      <c r="G1621" s="14"/>
      <c r="H1621" s="14"/>
      <c r="I1621" s="176"/>
      <c r="K1621" s="87"/>
      <c r="L1621" s="14"/>
      <c r="M1621" s="324">
        <f t="shared" si="229"/>
        <v>0</v>
      </c>
      <c r="N1621" s="14"/>
      <c r="O1621" s="14"/>
      <c r="P1621" s="167"/>
      <c r="Q1621" s="14"/>
      <c r="R1621" s="170">
        <f t="shared" si="227"/>
        <v>0</v>
      </c>
      <c r="S1621" s="108" t="str">
        <f t="shared" si="228"/>
        <v/>
      </c>
      <c r="T1621" s="14"/>
      <c r="U1621" s="14"/>
      <c r="V1621" s="14"/>
      <c r="W1621" s="14"/>
      <c r="X1621" s="14"/>
      <c r="Z1621" s="14"/>
      <c r="AA1621" s="2">
        <f t="shared" si="223"/>
        <v>3</v>
      </c>
      <c r="AB1621" s="153"/>
      <c r="AC1621" s="454" t="str">
        <f t="shared" si="224"/>
        <v/>
      </c>
    </row>
    <row r="1622" spans="1:29" x14ac:dyDescent="0.35">
      <c r="A1622" s="111" t="str">
        <f t="shared" si="225"/>
        <v/>
      </c>
      <c r="B1622" s="222"/>
      <c r="C1622" s="14"/>
      <c r="D1622" s="14"/>
      <c r="E1622" s="14"/>
      <c r="F1622" s="14"/>
      <c r="G1622" s="14"/>
      <c r="H1622" s="14"/>
      <c r="I1622" s="176"/>
      <c r="K1622" s="87"/>
      <c r="L1622" s="14"/>
      <c r="M1622" s="324">
        <f t="shared" si="229"/>
        <v>0</v>
      </c>
      <c r="N1622" s="14"/>
      <c r="O1622" s="14"/>
      <c r="P1622" s="167"/>
      <c r="Q1622" s="14"/>
      <c r="R1622" s="170">
        <f t="shared" si="227"/>
        <v>0</v>
      </c>
      <c r="S1622" s="108" t="str">
        <f t="shared" si="228"/>
        <v/>
      </c>
      <c r="T1622" s="14"/>
      <c r="U1622" s="14"/>
      <c r="V1622" s="14"/>
      <c r="W1622" s="14"/>
      <c r="X1622" s="14"/>
      <c r="Z1622" s="14"/>
      <c r="AA1622" s="2">
        <f t="shared" ref="AA1622:AA1685" si="230">IF(B1622="",3,IF(S1622&lt;$A$1,1,0))</f>
        <v>3</v>
      </c>
      <c r="AB1622" s="153"/>
      <c r="AC1622" s="454" t="str">
        <f t="shared" si="224"/>
        <v/>
      </c>
    </row>
    <row r="1623" spans="1:29" x14ac:dyDescent="0.35">
      <c r="A1623" s="111" t="str">
        <f t="shared" si="225"/>
        <v/>
      </c>
      <c r="B1623" s="222"/>
      <c r="C1623" s="14"/>
      <c r="D1623" s="14"/>
      <c r="E1623" s="14"/>
      <c r="F1623" s="14"/>
      <c r="G1623" s="14"/>
      <c r="H1623" s="14"/>
      <c r="I1623" s="176"/>
      <c r="K1623" s="87"/>
      <c r="L1623" s="14"/>
      <c r="M1623" s="324">
        <f t="shared" si="229"/>
        <v>0</v>
      </c>
      <c r="N1623" s="14"/>
      <c r="O1623" s="14"/>
      <c r="P1623" s="167"/>
      <c r="Q1623" s="14"/>
      <c r="R1623" s="170">
        <f t="shared" si="227"/>
        <v>0</v>
      </c>
      <c r="S1623" s="108" t="str">
        <f t="shared" si="228"/>
        <v/>
      </c>
      <c r="T1623" s="14"/>
      <c r="U1623" s="14"/>
      <c r="V1623" s="14"/>
      <c r="W1623" s="14"/>
      <c r="X1623" s="14"/>
      <c r="Z1623" s="14"/>
      <c r="AA1623" s="2">
        <f t="shared" si="230"/>
        <v>3</v>
      </c>
      <c r="AB1623" s="153"/>
      <c r="AC1623" s="454" t="str">
        <f t="shared" si="224"/>
        <v/>
      </c>
    </row>
    <row r="1624" spans="1:29" x14ac:dyDescent="0.35">
      <c r="A1624" s="111" t="str">
        <f t="shared" si="225"/>
        <v/>
      </c>
      <c r="B1624" s="222"/>
      <c r="C1624" s="14"/>
      <c r="D1624" s="14"/>
      <c r="E1624" s="14"/>
      <c r="F1624" s="14"/>
      <c r="G1624" s="14"/>
      <c r="H1624" s="14"/>
      <c r="I1624" s="176"/>
      <c r="K1624" s="87"/>
      <c r="L1624" s="14"/>
      <c r="M1624" s="324">
        <f t="shared" si="229"/>
        <v>0</v>
      </c>
      <c r="N1624" s="14"/>
      <c r="O1624" s="14"/>
      <c r="P1624" s="167"/>
      <c r="Q1624" s="14"/>
      <c r="R1624" s="170">
        <f t="shared" si="227"/>
        <v>0</v>
      </c>
      <c r="S1624" s="108" t="str">
        <f t="shared" si="228"/>
        <v/>
      </c>
      <c r="T1624" s="14"/>
      <c r="U1624" s="14"/>
      <c r="V1624" s="14"/>
      <c r="W1624" s="14"/>
      <c r="X1624" s="14"/>
      <c r="Z1624" s="14"/>
      <c r="AA1624" s="2">
        <f t="shared" si="230"/>
        <v>3</v>
      </c>
      <c r="AB1624" s="153"/>
      <c r="AC1624" s="454" t="str">
        <f t="shared" si="224"/>
        <v/>
      </c>
    </row>
    <row r="1625" spans="1:29" x14ac:dyDescent="0.35">
      <c r="A1625" s="111" t="str">
        <f t="shared" si="225"/>
        <v/>
      </c>
      <c r="B1625" s="222"/>
      <c r="C1625" s="14"/>
      <c r="D1625" s="14"/>
      <c r="E1625" s="14"/>
      <c r="F1625" s="14"/>
      <c r="G1625" s="14"/>
      <c r="H1625" s="14"/>
      <c r="I1625" s="176"/>
      <c r="K1625" s="87"/>
      <c r="L1625" s="14"/>
      <c r="M1625" s="324">
        <f t="shared" si="229"/>
        <v>0</v>
      </c>
      <c r="N1625" s="14"/>
      <c r="O1625" s="14"/>
      <c r="P1625" s="167"/>
      <c r="Q1625" s="14"/>
      <c r="R1625" s="170">
        <f t="shared" si="227"/>
        <v>0</v>
      </c>
      <c r="S1625" s="108" t="str">
        <f t="shared" si="228"/>
        <v/>
      </c>
      <c r="T1625" s="14"/>
      <c r="U1625" s="14"/>
      <c r="V1625" s="14"/>
      <c r="W1625" s="14"/>
      <c r="X1625" s="14"/>
      <c r="Z1625" s="14"/>
      <c r="AA1625" s="2">
        <f t="shared" si="230"/>
        <v>3</v>
      </c>
      <c r="AB1625" s="153"/>
      <c r="AC1625" s="454" t="str">
        <f t="shared" si="224"/>
        <v/>
      </c>
    </row>
    <row r="1626" spans="1:29" x14ac:dyDescent="0.35">
      <c r="A1626" s="111" t="str">
        <f t="shared" si="225"/>
        <v/>
      </c>
      <c r="B1626" s="222"/>
      <c r="C1626" s="14"/>
      <c r="D1626" s="14"/>
      <c r="E1626" s="14"/>
      <c r="F1626" s="14"/>
      <c r="G1626" s="14"/>
      <c r="H1626" s="14"/>
      <c r="I1626" s="176"/>
      <c r="K1626" s="87"/>
      <c r="L1626" s="14"/>
      <c r="M1626" s="324">
        <f t="shared" si="229"/>
        <v>0</v>
      </c>
      <c r="N1626" s="14"/>
      <c r="O1626" s="14"/>
      <c r="P1626" s="167"/>
      <c r="Q1626" s="14"/>
      <c r="R1626" s="170">
        <f t="shared" si="227"/>
        <v>0</v>
      </c>
      <c r="S1626" s="108" t="str">
        <f t="shared" si="228"/>
        <v/>
      </c>
      <c r="T1626" s="14"/>
      <c r="U1626" s="14"/>
      <c r="V1626" s="14"/>
      <c r="W1626" s="14"/>
      <c r="X1626" s="14"/>
      <c r="Z1626" s="14"/>
      <c r="AA1626" s="2">
        <f t="shared" si="230"/>
        <v>3</v>
      </c>
      <c r="AB1626" s="153"/>
      <c r="AC1626" s="454" t="str">
        <f t="shared" ref="AC1626:AC1689" si="231">LEFT(H1626,1)</f>
        <v/>
      </c>
    </row>
    <row r="1627" spans="1:29" x14ac:dyDescent="0.35">
      <c r="A1627" s="111" t="str">
        <f t="shared" si="225"/>
        <v/>
      </c>
      <c r="B1627" s="222"/>
      <c r="C1627" s="14"/>
      <c r="D1627" s="14"/>
      <c r="E1627" s="14"/>
      <c r="F1627" s="14"/>
      <c r="G1627" s="14"/>
      <c r="H1627" s="14"/>
      <c r="I1627" s="176"/>
      <c r="K1627" s="87"/>
      <c r="L1627" s="14"/>
      <c r="M1627" s="324">
        <f t="shared" si="229"/>
        <v>0</v>
      </c>
      <c r="N1627" s="14"/>
      <c r="O1627" s="14"/>
      <c r="P1627" s="167"/>
      <c r="Q1627" s="14"/>
      <c r="R1627" s="170">
        <f t="shared" si="227"/>
        <v>0</v>
      </c>
      <c r="S1627" s="108" t="str">
        <f t="shared" si="228"/>
        <v/>
      </c>
      <c r="T1627" s="14"/>
      <c r="U1627" s="14"/>
      <c r="V1627" s="14"/>
      <c r="W1627" s="14"/>
      <c r="X1627" s="14"/>
      <c r="Z1627" s="14"/>
      <c r="AA1627" s="2">
        <f t="shared" si="230"/>
        <v>3</v>
      </c>
      <c r="AB1627" s="153"/>
      <c r="AC1627" s="454" t="str">
        <f t="shared" si="231"/>
        <v/>
      </c>
    </row>
    <row r="1628" spans="1:29" x14ac:dyDescent="0.35">
      <c r="A1628" s="111" t="str">
        <f t="shared" si="225"/>
        <v/>
      </c>
      <c r="B1628" s="222"/>
      <c r="C1628" s="14"/>
      <c r="D1628" s="14"/>
      <c r="E1628" s="14"/>
      <c r="F1628" s="14"/>
      <c r="G1628" s="14"/>
      <c r="H1628" s="14"/>
      <c r="I1628" s="176"/>
      <c r="K1628" s="87"/>
      <c r="L1628" s="14"/>
      <c r="M1628" s="324">
        <f t="shared" si="229"/>
        <v>0</v>
      </c>
      <c r="N1628" s="14"/>
      <c r="O1628" s="14"/>
      <c r="P1628" s="167"/>
      <c r="Q1628" s="14"/>
      <c r="R1628" s="170">
        <f t="shared" si="227"/>
        <v>0</v>
      </c>
      <c r="S1628" s="108" t="str">
        <f t="shared" si="228"/>
        <v/>
      </c>
      <c r="T1628" s="14"/>
      <c r="U1628" s="14"/>
      <c r="V1628" s="14"/>
      <c r="W1628" s="14"/>
      <c r="X1628" s="14"/>
      <c r="Z1628" s="14"/>
      <c r="AA1628" s="2">
        <f t="shared" si="230"/>
        <v>3</v>
      </c>
      <c r="AB1628" s="153"/>
      <c r="AC1628" s="454" t="str">
        <f t="shared" si="231"/>
        <v/>
      </c>
    </row>
    <row r="1629" spans="1:29" x14ac:dyDescent="0.35">
      <c r="A1629" s="111" t="str">
        <f t="shared" si="225"/>
        <v/>
      </c>
      <c r="B1629" s="222"/>
      <c r="C1629" s="14"/>
      <c r="D1629" s="14"/>
      <c r="E1629" s="14"/>
      <c r="F1629" s="14"/>
      <c r="G1629" s="14"/>
      <c r="H1629" s="14"/>
      <c r="I1629" s="176"/>
      <c r="K1629" s="87"/>
      <c r="L1629" s="14"/>
      <c r="M1629" s="324">
        <f t="shared" si="229"/>
        <v>0</v>
      </c>
      <c r="N1629" s="14"/>
      <c r="O1629" s="14"/>
      <c r="P1629" s="167"/>
      <c r="Q1629" s="14"/>
      <c r="R1629" s="170">
        <f t="shared" si="227"/>
        <v>0</v>
      </c>
      <c r="S1629" s="108" t="str">
        <f t="shared" si="228"/>
        <v/>
      </c>
      <c r="T1629" s="14"/>
      <c r="U1629" s="14"/>
      <c r="V1629" s="14"/>
      <c r="W1629" s="14"/>
      <c r="X1629" s="14"/>
      <c r="Z1629" s="14"/>
      <c r="AA1629" s="2">
        <f t="shared" si="230"/>
        <v>3</v>
      </c>
      <c r="AB1629" s="153"/>
      <c r="AC1629" s="454" t="str">
        <f t="shared" si="231"/>
        <v/>
      </c>
    </row>
    <row r="1630" spans="1:29" x14ac:dyDescent="0.35">
      <c r="A1630" s="111" t="str">
        <f t="shared" si="225"/>
        <v/>
      </c>
      <c r="B1630" s="222"/>
      <c r="C1630" s="14"/>
      <c r="D1630" s="14"/>
      <c r="E1630" s="14"/>
      <c r="F1630" s="14"/>
      <c r="G1630" s="14"/>
      <c r="H1630" s="14"/>
      <c r="I1630" s="176"/>
      <c r="K1630" s="87"/>
      <c r="L1630" s="14"/>
      <c r="M1630" s="324">
        <f t="shared" si="229"/>
        <v>0</v>
      </c>
      <c r="N1630" s="14"/>
      <c r="O1630" s="14"/>
      <c r="P1630" s="167"/>
      <c r="Q1630" s="14"/>
      <c r="R1630" s="170">
        <f t="shared" si="227"/>
        <v>0</v>
      </c>
      <c r="S1630" s="108" t="str">
        <f t="shared" si="228"/>
        <v/>
      </c>
      <c r="T1630" s="14"/>
      <c r="U1630" s="14"/>
      <c r="V1630" s="14"/>
      <c r="W1630" s="14"/>
      <c r="X1630" s="14"/>
      <c r="Z1630" s="14"/>
      <c r="AA1630" s="2">
        <f t="shared" si="230"/>
        <v>3</v>
      </c>
      <c r="AB1630" s="153"/>
      <c r="AC1630" s="454" t="str">
        <f t="shared" si="231"/>
        <v/>
      </c>
    </row>
    <row r="1631" spans="1:29" x14ac:dyDescent="0.35">
      <c r="A1631" s="111" t="str">
        <f t="shared" ref="A1631:A1694" si="232">IF(T1631&gt;1,"Closed",IF(AA1631=1,"Overdue",IF(AA1631=3,"","Open")))</f>
        <v/>
      </c>
      <c r="B1631" s="222"/>
      <c r="C1631" s="14"/>
      <c r="D1631" s="14"/>
      <c r="E1631" s="14"/>
      <c r="F1631" s="14"/>
      <c r="G1631" s="14"/>
      <c r="H1631" s="14"/>
      <c r="I1631" s="176"/>
      <c r="K1631" s="87"/>
      <c r="L1631" s="14"/>
      <c r="M1631" s="324">
        <f t="shared" si="229"/>
        <v>0</v>
      </c>
      <c r="N1631" s="14"/>
      <c r="O1631" s="14"/>
      <c r="P1631" s="167"/>
      <c r="Q1631" s="14"/>
      <c r="R1631" s="170">
        <f t="shared" si="227"/>
        <v>0</v>
      </c>
      <c r="S1631" s="108" t="str">
        <f t="shared" si="228"/>
        <v/>
      </c>
      <c r="T1631" s="14"/>
      <c r="U1631" s="14"/>
      <c r="V1631" s="14"/>
      <c r="W1631" s="14"/>
      <c r="X1631" s="14"/>
      <c r="Z1631" s="14"/>
      <c r="AA1631" s="2">
        <f t="shared" si="230"/>
        <v>3</v>
      </c>
      <c r="AB1631" s="153"/>
      <c r="AC1631" s="454" t="str">
        <f t="shared" si="231"/>
        <v/>
      </c>
    </row>
    <row r="1632" spans="1:29" x14ac:dyDescent="0.35">
      <c r="A1632" s="111" t="str">
        <f t="shared" si="232"/>
        <v/>
      </c>
      <c r="B1632" s="222"/>
      <c r="C1632" s="14"/>
      <c r="D1632" s="14"/>
      <c r="E1632" s="14"/>
      <c r="F1632" s="14"/>
      <c r="G1632" s="14"/>
      <c r="H1632" s="14"/>
      <c r="I1632" s="176"/>
      <c r="K1632" s="87"/>
      <c r="L1632" s="14"/>
      <c r="M1632" s="324">
        <f t="shared" si="229"/>
        <v>0</v>
      </c>
      <c r="N1632" s="14"/>
      <c r="O1632" s="14"/>
      <c r="P1632" s="167"/>
      <c r="Q1632" s="14"/>
      <c r="R1632" s="170">
        <f t="shared" si="227"/>
        <v>0</v>
      </c>
      <c r="S1632" s="108" t="str">
        <f t="shared" si="228"/>
        <v/>
      </c>
      <c r="T1632" s="14"/>
      <c r="U1632" s="14"/>
      <c r="V1632" s="14"/>
      <c r="W1632" s="14"/>
      <c r="X1632" s="14"/>
      <c r="Z1632" s="14"/>
      <c r="AA1632" s="2">
        <f t="shared" si="230"/>
        <v>3</v>
      </c>
      <c r="AB1632" s="153"/>
      <c r="AC1632" s="454" t="str">
        <f t="shared" si="231"/>
        <v/>
      </c>
    </row>
    <row r="1633" spans="1:29" x14ac:dyDescent="0.35">
      <c r="A1633" s="111" t="str">
        <f t="shared" si="232"/>
        <v/>
      </c>
      <c r="B1633" s="222"/>
      <c r="C1633" s="14"/>
      <c r="D1633" s="14"/>
      <c r="E1633" s="14"/>
      <c r="F1633" s="14"/>
      <c r="G1633" s="14"/>
      <c r="H1633" s="14"/>
      <c r="I1633" s="176"/>
      <c r="K1633" s="87"/>
      <c r="L1633" s="14"/>
      <c r="M1633" s="324">
        <f t="shared" si="229"/>
        <v>0</v>
      </c>
      <c r="N1633" s="14"/>
      <c r="O1633" s="14"/>
      <c r="P1633" s="167"/>
      <c r="Q1633" s="14"/>
      <c r="R1633" s="170">
        <f t="shared" si="227"/>
        <v>0</v>
      </c>
      <c r="S1633" s="108" t="str">
        <f t="shared" si="228"/>
        <v/>
      </c>
      <c r="T1633" s="14"/>
      <c r="U1633" s="14"/>
      <c r="V1633" s="14"/>
      <c r="W1633" s="14"/>
      <c r="X1633" s="14"/>
      <c r="Z1633" s="14"/>
      <c r="AA1633" s="2">
        <f t="shared" si="230"/>
        <v>3</v>
      </c>
      <c r="AB1633" s="153"/>
      <c r="AC1633" s="454" t="str">
        <f t="shared" si="231"/>
        <v/>
      </c>
    </row>
    <row r="1634" spans="1:29" x14ac:dyDescent="0.35">
      <c r="A1634" s="111" t="str">
        <f t="shared" si="232"/>
        <v/>
      </c>
      <c r="B1634" s="222"/>
      <c r="C1634" s="14"/>
      <c r="D1634" s="14"/>
      <c r="E1634" s="14"/>
      <c r="F1634" s="14"/>
      <c r="G1634" s="14"/>
      <c r="H1634" s="14"/>
      <c r="I1634" s="176"/>
      <c r="K1634" s="87"/>
      <c r="L1634" s="14"/>
      <c r="M1634" s="324">
        <f t="shared" si="229"/>
        <v>0</v>
      </c>
      <c r="N1634" s="14"/>
      <c r="O1634" s="14"/>
      <c r="P1634" s="167"/>
      <c r="Q1634" s="14"/>
      <c r="R1634" s="170">
        <f t="shared" si="227"/>
        <v>0</v>
      </c>
      <c r="S1634" s="108" t="str">
        <f t="shared" si="228"/>
        <v/>
      </c>
      <c r="T1634" s="14"/>
      <c r="U1634" s="14"/>
      <c r="V1634" s="14"/>
      <c r="W1634" s="14"/>
      <c r="X1634" s="14"/>
      <c r="Z1634" s="14"/>
      <c r="AA1634" s="2">
        <f t="shared" si="230"/>
        <v>3</v>
      </c>
      <c r="AB1634" s="153"/>
      <c r="AC1634" s="454" t="str">
        <f t="shared" si="231"/>
        <v/>
      </c>
    </row>
    <row r="1635" spans="1:29" x14ac:dyDescent="0.35">
      <c r="A1635" s="111" t="str">
        <f t="shared" si="232"/>
        <v/>
      </c>
      <c r="B1635" s="222"/>
      <c r="C1635" s="14"/>
      <c r="D1635" s="14"/>
      <c r="E1635" s="14"/>
      <c r="F1635" s="14"/>
      <c r="G1635" s="14"/>
      <c r="H1635" s="14"/>
      <c r="I1635" s="176"/>
      <c r="K1635" s="87"/>
      <c r="L1635" s="14"/>
      <c r="M1635" s="324">
        <f t="shared" si="229"/>
        <v>0</v>
      </c>
      <c r="N1635" s="14"/>
      <c r="O1635" s="14"/>
      <c r="P1635" s="167"/>
      <c r="Q1635" s="14"/>
      <c r="R1635" s="170">
        <f t="shared" si="227"/>
        <v>0</v>
      </c>
      <c r="S1635" s="108" t="str">
        <f t="shared" si="228"/>
        <v/>
      </c>
      <c r="T1635" s="14"/>
      <c r="U1635" s="14"/>
      <c r="V1635" s="14"/>
      <c r="W1635" s="14"/>
      <c r="X1635" s="14"/>
      <c r="Z1635" s="14"/>
      <c r="AA1635" s="2">
        <f t="shared" si="230"/>
        <v>3</v>
      </c>
      <c r="AB1635" s="153"/>
      <c r="AC1635" s="454" t="str">
        <f t="shared" si="231"/>
        <v/>
      </c>
    </row>
    <row r="1636" spans="1:29" x14ac:dyDescent="0.35">
      <c r="A1636" s="111" t="str">
        <f t="shared" si="232"/>
        <v/>
      </c>
      <c r="B1636" s="222"/>
      <c r="C1636" s="14"/>
      <c r="D1636" s="14"/>
      <c r="E1636" s="14"/>
      <c r="F1636" s="14"/>
      <c r="G1636" s="14"/>
      <c r="H1636" s="14"/>
      <c r="I1636" s="176"/>
      <c r="K1636" s="87"/>
      <c r="L1636" s="14"/>
      <c r="M1636" s="324">
        <f t="shared" si="229"/>
        <v>0</v>
      </c>
      <c r="N1636" s="14"/>
      <c r="O1636" s="14"/>
      <c r="P1636" s="167"/>
      <c r="Q1636" s="14"/>
      <c r="R1636" s="170">
        <f t="shared" si="227"/>
        <v>0</v>
      </c>
      <c r="S1636" s="108" t="str">
        <f t="shared" si="228"/>
        <v/>
      </c>
      <c r="T1636" s="14"/>
      <c r="U1636" s="14"/>
      <c r="V1636" s="14"/>
      <c r="W1636" s="14"/>
      <c r="X1636" s="14"/>
      <c r="Z1636" s="14"/>
      <c r="AA1636" s="2">
        <f t="shared" si="230"/>
        <v>3</v>
      </c>
      <c r="AB1636" s="153"/>
      <c r="AC1636" s="454" t="str">
        <f t="shared" si="231"/>
        <v/>
      </c>
    </row>
    <row r="1637" spans="1:29" x14ac:dyDescent="0.35">
      <c r="A1637" s="111" t="str">
        <f t="shared" si="232"/>
        <v/>
      </c>
      <c r="B1637" s="222"/>
      <c r="C1637" s="14"/>
      <c r="D1637" s="14"/>
      <c r="E1637" s="14"/>
      <c r="F1637" s="14"/>
      <c r="G1637" s="14"/>
      <c r="H1637" s="14"/>
      <c r="I1637" s="176"/>
      <c r="K1637" s="87"/>
      <c r="L1637" s="14"/>
      <c r="M1637" s="324">
        <f t="shared" si="229"/>
        <v>0</v>
      </c>
      <c r="N1637" s="14"/>
      <c r="O1637" s="14"/>
      <c r="P1637" s="167"/>
      <c r="Q1637" s="14"/>
      <c r="R1637" s="170">
        <f t="shared" si="227"/>
        <v>0</v>
      </c>
      <c r="S1637" s="108" t="str">
        <f t="shared" si="228"/>
        <v/>
      </c>
      <c r="T1637" s="14"/>
      <c r="U1637" s="14"/>
      <c r="V1637" s="14"/>
      <c r="W1637" s="14"/>
      <c r="X1637" s="14"/>
      <c r="Z1637" s="14"/>
      <c r="AA1637" s="2">
        <f t="shared" si="230"/>
        <v>3</v>
      </c>
      <c r="AB1637" s="153"/>
      <c r="AC1637" s="454" t="str">
        <f t="shared" si="231"/>
        <v/>
      </c>
    </row>
    <row r="1638" spans="1:29" x14ac:dyDescent="0.35">
      <c r="A1638" s="111" t="str">
        <f t="shared" si="232"/>
        <v/>
      </c>
      <c r="B1638" s="222"/>
      <c r="C1638" s="14"/>
      <c r="D1638" s="14"/>
      <c r="E1638" s="14"/>
      <c r="F1638" s="14"/>
      <c r="G1638" s="14"/>
      <c r="H1638" s="14"/>
      <c r="I1638" s="176"/>
      <c r="K1638" s="87"/>
      <c r="L1638" s="14"/>
      <c r="M1638" s="324">
        <f t="shared" si="229"/>
        <v>0</v>
      </c>
      <c r="N1638" s="14"/>
      <c r="O1638" s="14"/>
      <c r="P1638" s="167"/>
      <c r="Q1638" s="14"/>
      <c r="R1638" s="170">
        <f t="shared" si="227"/>
        <v>0</v>
      </c>
      <c r="S1638" s="108" t="str">
        <f t="shared" si="228"/>
        <v/>
      </c>
      <c r="T1638" s="14"/>
      <c r="U1638" s="14"/>
      <c r="V1638" s="14"/>
      <c r="W1638" s="14"/>
      <c r="X1638" s="14"/>
      <c r="Z1638" s="14"/>
      <c r="AA1638" s="2">
        <f t="shared" si="230"/>
        <v>3</v>
      </c>
      <c r="AB1638" s="153"/>
      <c r="AC1638" s="454" t="str">
        <f t="shared" si="231"/>
        <v/>
      </c>
    </row>
    <row r="1639" spans="1:29" x14ac:dyDescent="0.35">
      <c r="A1639" s="111" t="str">
        <f t="shared" si="232"/>
        <v/>
      </c>
      <c r="B1639" s="222"/>
      <c r="C1639" s="14"/>
      <c r="D1639" s="14"/>
      <c r="E1639" s="14"/>
      <c r="F1639" s="14"/>
      <c r="G1639" s="14"/>
      <c r="H1639" s="14"/>
      <c r="I1639" s="176"/>
      <c r="K1639" s="87"/>
      <c r="L1639" s="14"/>
      <c r="M1639" s="324">
        <f t="shared" si="229"/>
        <v>0</v>
      </c>
      <c r="N1639" s="14"/>
      <c r="O1639" s="14"/>
      <c r="P1639" s="167"/>
      <c r="Q1639" s="14"/>
      <c r="R1639" s="170">
        <f t="shared" si="227"/>
        <v>0</v>
      </c>
      <c r="S1639" s="108" t="str">
        <f t="shared" si="228"/>
        <v/>
      </c>
      <c r="T1639" s="14"/>
      <c r="U1639" s="14"/>
      <c r="V1639" s="14"/>
      <c r="W1639" s="14"/>
      <c r="X1639" s="14"/>
      <c r="Z1639" s="14"/>
      <c r="AA1639" s="2">
        <f t="shared" si="230"/>
        <v>3</v>
      </c>
      <c r="AB1639" s="153"/>
      <c r="AC1639" s="454" t="str">
        <f t="shared" si="231"/>
        <v/>
      </c>
    </row>
    <row r="1640" spans="1:29" x14ac:dyDescent="0.35">
      <c r="A1640" s="111" t="str">
        <f t="shared" si="232"/>
        <v/>
      </c>
      <c r="B1640" s="222"/>
      <c r="C1640" s="14"/>
      <c r="D1640" s="14"/>
      <c r="E1640" s="14"/>
      <c r="F1640" s="14"/>
      <c r="G1640" s="14"/>
      <c r="H1640" s="14"/>
      <c r="I1640" s="176"/>
      <c r="K1640" s="87"/>
      <c r="L1640" s="14"/>
      <c r="M1640" s="324">
        <f t="shared" si="229"/>
        <v>0</v>
      </c>
      <c r="N1640" s="14"/>
      <c r="O1640" s="14"/>
      <c r="P1640" s="167"/>
      <c r="Q1640" s="14"/>
      <c r="R1640" s="170">
        <f t="shared" si="227"/>
        <v>0</v>
      </c>
      <c r="S1640" s="108" t="str">
        <f t="shared" si="228"/>
        <v/>
      </c>
      <c r="T1640" s="14"/>
      <c r="U1640" s="14"/>
      <c r="V1640" s="14"/>
      <c r="W1640" s="14"/>
      <c r="X1640" s="14"/>
      <c r="Z1640" s="14"/>
      <c r="AA1640" s="2">
        <f t="shared" si="230"/>
        <v>3</v>
      </c>
      <c r="AB1640" s="153"/>
      <c r="AC1640" s="454" t="str">
        <f t="shared" si="231"/>
        <v/>
      </c>
    </row>
    <row r="1641" spans="1:29" x14ac:dyDescent="0.35">
      <c r="A1641" s="111" t="str">
        <f t="shared" si="232"/>
        <v/>
      </c>
      <c r="B1641" s="222"/>
      <c r="C1641" s="14"/>
      <c r="D1641" s="14"/>
      <c r="E1641" s="14"/>
      <c r="F1641" s="14"/>
      <c r="G1641" s="14"/>
      <c r="H1641" s="14"/>
      <c r="I1641" s="176"/>
      <c r="K1641" s="87"/>
      <c r="L1641" s="14"/>
      <c r="M1641" s="324">
        <f t="shared" si="229"/>
        <v>0</v>
      </c>
      <c r="N1641" s="14"/>
      <c r="O1641" s="14"/>
      <c r="P1641" s="167"/>
      <c r="Q1641" s="14"/>
      <c r="R1641" s="170">
        <f t="shared" si="227"/>
        <v>0</v>
      </c>
      <c r="S1641" s="108" t="str">
        <f t="shared" si="228"/>
        <v/>
      </c>
      <c r="T1641" s="14"/>
      <c r="U1641" s="14"/>
      <c r="V1641" s="14"/>
      <c r="W1641" s="14"/>
      <c r="X1641" s="14"/>
      <c r="Z1641" s="14"/>
      <c r="AA1641" s="2">
        <f t="shared" si="230"/>
        <v>3</v>
      </c>
      <c r="AB1641" s="153"/>
      <c r="AC1641" s="454" t="str">
        <f t="shared" si="231"/>
        <v/>
      </c>
    </row>
    <row r="1642" spans="1:29" x14ac:dyDescent="0.35">
      <c r="A1642" s="111" t="str">
        <f t="shared" si="232"/>
        <v/>
      </c>
      <c r="B1642" s="222"/>
      <c r="C1642" s="14"/>
      <c r="D1642" s="14"/>
      <c r="E1642" s="14"/>
      <c r="F1642" s="14"/>
      <c r="G1642" s="14"/>
      <c r="H1642" s="14"/>
      <c r="I1642" s="176"/>
      <c r="K1642" s="87"/>
      <c r="L1642" s="14"/>
      <c r="M1642" s="324">
        <f t="shared" si="229"/>
        <v>0</v>
      </c>
      <c r="N1642" s="14"/>
      <c r="O1642" s="14"/>
      <c r="P1642" s="167"/>
      <c r="Q1642" s="14"/>
      <c r="R1642" s="170">
        <f t="shared" si="227"/>
        <v>0</v>
      </c>
      <c r="S1642" s="108" t="str">
        <f t="shared" si="228"/>
        <v/>
      </c>
      <c r="T1642" s="14"/>
      <c r="U1642" s="14"/>
      <c r="V1642" s="14"/>
      <c r="W1642" s="14"/>
      <c r="X1642" s="14"/>
      <c r="Z1642" s="14"/>
      <c r="AA1642" s="2">
        <f t="shared" si="230"/>
        <v>3</v>
      </c>
      <c r="AB1642" s="153"/>
      <c r="AC1642" s="454" t="str">
        <f t="shared" si="231"/>
        <v/>
      </c>
    </row>
    <row r="1643" spans="1:29" x14ac:dyDescent="0.35">
      <c r="A1643" s="111" t="str">
        <f t="shared" si="232"/>
        <v/>
      </c>
      <c r="B1643" s="222"/>
      <c r="C1643" s="14"/>
      <c r="D1643" s="14"/>
      <c r="E1643" s="14"/>
      <c r="F1643" s="14"/>
      <c r="G1643" s="14"/>
      <c r="H1643" s="14"/>
      <c r="I1643" s="176"/>
      <c r="K1643" s="87"/>
      <c r="L1643" s="14"/>
      <c r="M1643" s="324">
        <f t="shared" si="229"/>
        <v>0</v>
      </c>
      <c r="N1643" s="14"/>
      <c r="O1643" s="14"/>
      <c r="P1643" s="167"/>
      <c r="Q1643" s="14"/>
      <c r="R1643" s="170">
        <f t="shared" si="227"/>
        <v>0</v>
      </c>
      <c r="S1643" s="108" t="str">
        <f t="shared" si="228"/>
        <v/>
      </c>
      <c r="T1643" s="14"/>
      <c r="U1643" s="14"/>
      <c r="V1643" s="14"/>
      <c r="W1643" s="14"/>
      <c r="X1643" s="14"/>
      <c r="Z1643" s="14"/>
      <c r="AA1643" s="2">
        <f t="shared" si="230"/>
        <v>3</v>
      </c>
      <c r="AB1643" s="153"/>
      <c r="AC1643" s="454" t="str">
        <f t="shared" si="231"/>
        <v/>
      </c>
    </row>
    <row r="1644" spans="1:29" x14ac:dyDescent="0.35">
      <c r="A1644" s="111" t="str">
        <f t="shared" si="232"/>
        <v/>
      </c>
      <c r="B1644" s="222"/>
      <c r="C1644" s="14"/>
      <c r="D1644" s="14"/>
      <c r="E1644" s="14"/>
      <c r="F1644" s="14"/>
      <c r="G1644" s="14"/>
      <c r="H1644" s="14"/>
      <c r="I1644" s="176"/>
      <c r="K1644" s="87"/>
      <c r="L1644" s="14"/>
      <c r="M1644" s="324">
        <f t="shared" si="229"/>
        <v>0</v>
      </c>
      <c r="N1644" s="14"/>
      <c r="O1644" s="14"/>
      <c r="P1644" s="167"/>
      <c r="Q1644" s="14"/>
      <c r="R1644" s="170">
        <f t="shared" si="227"/>
        <v>0</v>
      </c>
      <c r="S1644" s="108" t="str">
        <f t="shared" si="228"/>
        <v/>
      </c>
      <c r="T1644" s="14"/>
      <c r="U1644" s="14"/>
      <c r="V1644" s="14"/>
      <c r="W1644" s="14"/>
      <c r="X1644" s="14"/>
      <c r="Z1644" s="14"/>
      <c r="AA1644" s="2">
        <f t="shared" si="230"/>
        <v>3</v>
      </c>
      <c r="AB1644" s="153"/>
      <c r="AC1644" s="454" t="str">
        <f t="shared" si="231"/>
        <v/>
      </c>
    </row>
    <row r="1645" spans="1:29" x14ac:dyDescent="0.35">
      <c r="A1645" s="111" t="str">
        <f t="shared" si="232"/>
        <v/>
      </c>
      <c r="B1645" s="222"/>
      <c r="C1645" s="14"/>
      <c r="D1645" s="14"/>
      <c r="E1645" s="14"/>
      <c r="F1645" s="14"/>
      <c r="G1645" s="14"/>
      <c r="H1645" s="14"/>
      <c r="I1645" s="176"/>
      <c r="K1645" s="87"/>
      <c r="L1645" s="14"/>
      <c r="M1645" s="324">
        <f t="shared" si="229"/>
        <v>0</v>
      </c>
      <c r="N1645" s="14"/>
      <c r="O1645" s="14"/>
      <c r="P1645" s="167"/>
      <c r="Q1645" s="14"/>
      <c r="R1645" s="170">
        <f t="shared" si="227"/>
        <v>0</v>
      </c>
      <c r="S1645" s="108" t="str">
        <f t="shared" si="228"/>
        <v/>
      </c>
      <c r="T1645" s="14"/>
      <c r="U1645" s="14"/>
      <c r="V1645" s="14"/>
      <c r="W1645" s="14"/>
      <c r="X1645" s="14"/>
      <c r="Z1645" s="14"/>
      <c r="AA1645" s="2">
        <f t="shared" si="230"/>
        <v>3</v>
      </c>
      <c r="AB1645" s="153"/>
      <c r="AC1645" s="454" t="str">
        <f t="shared" si="231"/>
        <v/>
      </c>
    </row>
    <row r="1646" spans="1:29" x14ac:dyDescent="0.35">
      <c r="A1646" s="111" t="str">
        <f t="shared" si="232"/>
        <v/>
      </c>
      <c r="B1646" s="222"/>
      <c r="C1646" s="14"/>
      <c r="D1646" s="14"/>
      <c r="E1646" s="14"/>
      <c r="F1646" s="14"/>
      <c r="G1646" s="14"/>
      <c r="H1646" s="14"/>
      <c r="I1646" s="176"/>
      <c r="K1646" s="87"/>
      <c r="L1646" s="14"/>
      <c r="M1646" s="324">
        <f t="shared" si="229"/>
        <v>0</v>
      </c>
      <c r="N1646" s="14"/>
      <c r="O1646" s="14"/>
      <c r="P1646" s="167"/>
      <c r="Q1646" s="14"/>
      <c r="R1646" s="170">
        <f t="shared" ref="R1646:R1661" si="233">IF(I1646="Staff Accident","Entry Required",IF(I1646="Assaults","Entry Required",0))</f>
        <v>0</v>
      </c>
      <c r="S1646" s="108" t="str">
        <f t="shared" si="228"/>
        <v/>
      </c>
      <c r="T1646" s="14"/>
      <c r="U1646" s="14"/>
      <c r="V1646" s="14"/>
      <c r="W1646" s="14"/>
      <c r="X1646" s="14"/>
      <c r="Z1646" s="14"/>
      <c r="AA1646" s="2">
        <f t="shared" si="230"/>
        <v>3</v>
      </c>
      <c r="AB1646" s="153"/>
      <c r="AC1646" s="454" t="str">
        <f t="shared" si="231"/>
        <v/>
      </c>
    </row>
    <row r="1647" spans="1:29" x14ac:dyDescent="0.35">
      <c r="A1647" s="111" t="str">
        <f t="shared" si="232"/>
        <v/>
      </c>
      <c r="B1647" s="222"/>
      <c r="C1647" s="14"/>
      <c r="D1647" s="14"/>
      <c r="E1647" s="14"/>
      <c r="F1647" s="14"/>
      <c r="G1647" s="14"/>
      <c r="H1647" s="14"/>
      <c r="I1647" s="176"/>
      <c r="K1647" s="87"/>
      <c r="L1647" s="14"/>
      <c r="M1647" s="324">
        <f t="shared" si="229"/>
        <v>0</v>
      </c>
      <c r="N1647" s="14"/>
      <c r="O1647" s="14"/>
      <c r="P1647" s="167"/>
      <c r="Q1647" s="14"/>
      <c r="R1647" s="170">
        <f t="shared" si="233"/>
        <v>0</v>
      </c>
      <c r="S1647" s="108" t="str">
        <f t="shared" si="228"/>
        <v/>
      </c>
      <c r="T1647" s="14"/>
      <c r="U1647" s="14"/>
      <c r="V1647" s="14"/>
      <c r="W1647" s="14"/>
      <c r="X1647" s="14"/>
      <c r="Z1647" s="14"/>
      <c r="AA1647" s="2">
        <f t="shared" si="230"/>
        <v>3</v>
      </c>
      <c r="AB1647" s="153"/>
      <c r="AC1647" s="454" t="str">
        <f t="shared" si="231"/>
        <v/>
      </c>
    </row>
    <row r="1648" spans="1:29" x14ac:dyDescent="0.35">
      <c r="A1648" s="111" t="str">
        <f t="shared" si="232"/>
        <v/>
      </c>
      <c r="B1648" s="222"/>
      <c r="C1648" s="14"/>
      <c r="D1648" s="14"/>
      <c r="E1648" s="14"/>
      <c r="F1648" s="14"/>
      <c r="G1648" s="14"/>
      <c r="H1648" s="14"/>
      <c r="I1648" s="176"/>
      <c r="K1648" s="87"/>
      <c r="L1648" s="14"/>
      <c r="M1648" s="324">
        <f t="shared" si="229"/>
        <v>0</v>
      </c>
      <c r="N1648" s="14"/>
      <c r="O1648" s="14"/>
      <c r="P1648" s="167"/>
      <c r="Q1648" s="14"/>
      <c r="R1648" s="170">
        <f t="shared" si="233"/>
        <v>0</v>
      </c>
      <c r="S1648" s="108" t="str">
        <f t="shared" si="228"/>
        <v/>
      </c>
      <c r="T1648" s="14"/>
      <c r="U1648" s="14"/>
      <c r="V1648" s="14"/>
      <c r="W1648" s="14"/>
      <c r="X1648" s="14"/>
      <c r="Z1648" s="14"/>
      <c r="AA1648" s="2">
        <f t="shared" si="230"/>
        <v>3</v>
      </c>
      <c r="AB1648" s="153"/>
      <c r="AC1648" s="454" t="str">
        <f t="shared" si="231"/>
        <v/>
      </c>
    </row>
    <row r="1649" spans="1:29" x14ac:dyDescent="0.35">
      <c r="A1649" s="111" t="str">
        <f t="shared" si="232"/>
        <v/>
      </c>
      <c r="B1649" s="222"/>
      <c r="C1649" s="14"/>
      <c r="D1649" s="14"/>
      <c r="E1649" s="14"/>
      <c r="F1649" s="14"/>
      <c r="G1649" s="14"/>
      <c r="H1649" s="14"/>
      <c r="I1649" s="176"/>
      <c r="K1649" s="87"/>
      <c r="L1649" s="14"/>
      <c r="M1649" s="324">
        <f t="shared" si="229"/>
        <v>0</v>
      </c>
      <c r="N1649" s="14"/>
      <c r="O1649" s="14"/>
      <c r="P1649" s="167"/>
      <c r="Q1649" s="14"/>
      <c r="R1649" s="170">
        <f t="shared" si="233"/>
        <v>0</v>
      </c>
      <c r="S1649" s="108" t="str">
        <f t="shared" si="228"/>
        <v/>
      </c>
      <c r="T1649" s="14"/>
      <c r="U1649" s="14"/>
      <c r="V1649" s="14"/>
      <c r="W1649" s="14"/>
      <c r="X1649" s="14"/>
      <c r="Z1649" s="14"/>
      <c r="AA1649" s="2">
        <f t="shared" si="230"/>
        <v>3</v>
      </c>
      <c r="AB1649" s="153"/>
      <c r="AC1649" s="454" t="str">
        <f t="shared" si="231"/>
        <v/>
      </c>
    </row>
    <row r="1650" spans="1:29" x14ac:dyDescent="0.35">
      <c r="A1650" s="111" t="str">
        <f t="shared" si="232"/>
        <v/>
      </c>
      <c r="B1650" s="222"/>
      <c r="C1650" s="14"/>
      <c r="D1650" s="14"/>
      <c r="E1650" s="14"/>
      <c r="F1650" s="14"/>
      <c r="G1650" s="14"/>
      <c r="H1650" s="14"/>
      <c r="I1650" s="176"/>
      <c r="K1650" s="87"/>
      <c r="L1650" s="14"/>
      <c r="M1650" s="324">
        <f t="shared" si="229"/>
        <v>0</v>
      </c>
      <c r="N1650" s="14"/>
      <c r="O1650" s="14"/>
      <c r="P1650" s="167"/>
      <c r="Q1650" s="14"/>
      <c r="R1650" s="170">
        <f t="shared" si="233"/>
        <v>0</v>
      </c>
      <c r="S1650" s="108" t="str">
        <f t="shared" si="228"/>
        <v/>
      </c>
      <c r="T1650" s="14"/>
      <c r="U1650" s="14"/>
      <c r="V1650" s="14"/>
      <c r="W1650" s="14"/>
      <c r="X1650" s="14"/>
      <c r="Z1650" s="14"/>
      <c r="AA1650" s="2">
        <f t="shared" si="230"/>
        <v>3</v>
      </c>
      <c r="AB1650" s="153"/>
      <c r="AC1650" s="454" t="str">
        <f t="shared" si="231"/>
        <v/>
      </c>
    </row>
    <row r="1651" spans="1:29" x14ac:dyDescent="0.35">
      <c r="A1651" s="111" t="str">
        <f t="shared" si="232"/>
        <v/>
      </c>
      <c r="B1651" s="222"/>
      <c r="C1651" s="14"/>
      <c r="D1651" s="14"/>
      <c r="E1651" s="14"/>
      <c r="F1651" s="14"/>
      <c r="G1651" s="14"/>
      <c r="H1651" s="14"/>
      <c r="I1651" s="176"/>
      <c r="K1651" s="87"/>
      <c r="L1651" s="14"/>
      <c r="M1651" s="324">
        <f t="shared" si="229"/>
        <v>0</v>
      </c>
      <c r="N1651" s="14"/>
      <c r="O1651" s="14"/>
      <c r="P1651" s="167"/>
      <c r="Q1651" s="14"/>
      <c r="R1651" s="170">
        <f t="shared" si="233"/>
        <v>0</v>
      </c>
      <c r="S1651" s="108" t="str">
        <f t="shared" si="228"/>
        <v/>
      </c>
      <c r="T1651" s="14"/>
      <c r="U1651" s="14"/>
      <c r="V1651" s="14"/>
      <c r="W1651" s="14"/>
      <c r="X1651" s="14"/>
      <c r="Z1651" s="14"/>
      <c r="AA1651" s="2">
        <f t="shared" si="230"/>
        <v>3</v>
      </c>
      <c r="AB1651" s="153"/>
      <c r="AC1651" s="454" t="str">
        <f t="shared" si="231"/>
        <v/>
      </c>
    </row>
    <row r="1652" spans="1:29" x14ac:dyDescent="0.35">
      <c r="A1652" s="111" t="str">
        <f t="shared" si="232"/>
        <v/>
      </c>
      <c r="B1652" s="222"/>
      <c r="C1652" s="14"/>
      <c r="D1652" s="14"/>
      <c r="E1652" s="14"/>
      <c r="F1652" s="14"/>
      <c r="G1652" s="14"/>
      <c r="H1652" s="14"/>
      <c r="I1652" s="176"/>
      <c r="K1652" s="87"/>
      <c r="L1652" s="14"/>
      <c r="M1652" s="324">
        <f t="shared" si="229"/>
        <v>0</v>
      </c>
      <c r="N1652" s="14"/>
      <c r="O1652" s="14"/>
      <c r="P1652" s="167"/>
      <c r="Q1652" s="14"/>
      <c r="R1652" s="170">
        <f t="shared" si="233"/>
        <v>0</v>
      </c>
      <c r="S1652" s="108" t="str">
        <f t="shared" si="228"/>
        <v/>
      </c>
      <c r="T1652" s="14"/>
      <c r="U1652" s="14"/>
      <c r="V1652" s="14"/>
      <c r="W1652" s="14"/>
      <c r="X1652" s="14"/>
      <c r="Z1652" s="14"/>
      <c r="AA1652" s="2">
        <f t="shared" si="230"/>
        <v>3</v>
      </c>
      <c r="AB1652" s="153"/>
      <c r="AC1652" s="454" t="str">
        <f t="shared" si="231"/>
        <v/>
      </c>
    </row>
    <row r="1653" spans="1:29" x14ac:dyDescent="0.35">
      <c r="A1653" s="111" t="str">
        <f t="shared" si="232"/>
        <v/>
      </c>
      <c r="B1653" s="222"/>
      <c r="C1653" s="14"/>
      <c r="D1653" s="14"/>
      <c r="E1653" s="14"/>
      <c r="F1653" s="14"/>
      <c r="G1653" s="14"/>
      <c r="H1653" s="14"/>
      <c r="I1653" s="176"/>
      <c r="K1653" s="87"/>
      <c r="L1653" s="14"/>
      <c r="M1653" s="324">
        <f t="shared" si="229"/>
        <v>0</v>
      </c>
      <c r="N1653" s="14"/>
      <c r="O1653" s="14"/>
      <c r="P1653" s="167"/>
      <c r="Q1653" s="14"/>
      <c r="R1653" s="170">
        <f t="shared" si="233"/>
        <v>0</v>
      </c>
      <c r="S1653" s="108" t="str">
        <f t="shared" si="228"/>
        <v/>
      </c>
      <c r="T1653" s="14"/>
      <c r="U1653" s="14"/>
      <c r="V1653" s="14"/>
      <c r="W1653" s="14"/>
      <c r="X1653" s="14"/>
      <c r="Z1653" s="14"/>
      <c r="AA1653" s="2">
        <f t="shared" si="230"/>
        <v>3</v>
      </c>
      <c r="AB1653" s="153"/>
      <c r="AC1653" s="454" t="str">
        <f t="shared" si="231"/>
        <v/>
      </c>
    </row>
    <row r="1654" spans="1:29" x14ac:dyDescent="0.35">
      <c r="A1654" s="111" t="str">
        <f t="shared" si="232"/>
        <v/>
      </c>
      <c r="B1654" s="222"/>
      <c r="C1654" s="14"/>
      <c r="D1654" s="14"/>
      <c r="E1654" s="14"/>
      <c r="F1654" s="14"/>
      <c r="G1654" s="14"/>
      <c r="H1654" s="14"/>
      <c r="I1654" s="176"/>
      <c r="K1654" s="87"/>
      <c r="L1654" s="14"/>
      <c r="M1654" s="324">
        <f t="shared" si="229"/>
        <v>0</v>
      </c>
      <c r="N1654" s="14"/>
      <c r="O1654" s="14"/>
      <c r="P1654" s="167"/>
      <c r="Q1654" s="14"/>
      <c r="R1654" s="170">
        <f t="shared" si="233"/>
        <v>0</v>
      </c>
      <c r="S1654" s="108" t="str">
        <f t="shared" si="228"/>
        <v/>
      </c>
      <c r="T1654" s="14"/>
      <c r="U1654" s="14"/>
      <c r="V1654" s="14"/>
      <c r="W1654" s="14"/>
      <c r="X1654" s="14"/>
      <c r="Z1654" s="14"/>
      <c r="AA1654" s="2">
        <f t="shared" si="230"/>
        <v>3</v>
      </c>
      <c r="AB1654" s="153"/>
      <c r="AC1654" s="454" t="str">
        <f t="shared" si="231"/>
        <v/>
      </c>
    </row>
    <row r="1655" spans="1:29" x14ac:dyDescent="0.35">
      <c r="A1655" s="111" t="str">
        <f t="shared" si="232"/>
        <v/>
      </c>
      <c r="B1655" s="222"/>
      <c r="C1655" s="14"/>
      <c r="D1655" s="14"/>
      <c r="E1655" s="14"/>
      <c r="F1655" s="14"/>
      <c r="G1655" s="14"/>
      <c r="H1655" s="14"/>
      <c r="I1655" s="176"/>
      <c r="K1655" s="87"/>
      <c r="L1655" s="14"/>
      <c r="M1655" s="324">
        <f t="shared" si="229"/>
        <v>0</v>
      </c>
      <c r="N1655" s="14"/>
      <c r="O1655" s="14"/>
      <c r="P1655" s="167"/>
      <c r="Q1655" s="14"/>
      <c r="R1655" s="170">
        <f t="shared" si="233"/>
        <v>0</v>
      </c>
      <c r="S1655" s="108" t="str">
        <f t="shared" si="228"/>
        <v/>
      </c>
      <c r="T1655" s="14"/>
      <c r="U1655" s="14"/>
      <c r="V1655" s="14"/>
      <c r="W1655" s="14"/>
      <c r="X1655" s="14"/>
      <c r="Z1655" s="14"/>
      <c r="AA1655" s="2">
        <f t="shared" si="230"/>
        <v>3</v>
      </c>
      <c r="AB1655" s="153"/>
      <c r="AC1655" s="454" t="str">
        <f t="shared" si="231"/>
        <v/>
      </c>
    </row>
    <row r="1656" spans="1:29" x14ac:dyDescent="0.35">
      <c r="A1656" s="111" t="str">
        <f t="shared" si="232"/>
        <v/>
      </c>
      <c r="B1656" s="222"/>
      <c r="C1656" s="14"/>
      <c r="D1656" s="14"/>
      <c r="E1656" s="14"/>
      <c r="F1656" s="14"/>
      <c r="G1656" s="14"/>
      <c r="H1656" s="14"/>
      <c r="I1656" s="176"/>
      <c r="K1656" s="87"/>
      <c r="L1656" s="14"/>
      <c r="M1656" s="324">
        <f t="shared" si="229"/>
        <v>0</v>
      </c>
      <c r="N1656" s="14"/>
      <c r="O1656" s="14"/>
      <c r="P1656" s="167"/>
      <c r="Q1656" s="14"/>
      <c r="R1656" s="170">
        <f t="shared" si="233"/>
        <v>0</v>
      </c>
      <c r="S1656" s="108" t="str">
        <f t="shared" si="228"/>
        <v/>
      </c>
      <c r="T1656" s="14"/>
      <c r="U1656" s="14"/>
      <c r="V1656" s="14"/>
      <c r="W1656" s="14"/>
      <c r="X1656" s="14"/>
      <c r="Z1656" s="14"/>
      <c r="AA1656" s="2">
        <f t="shared" si="230"/>
        <v>3</v>
      </c>
      <c r="AB1656" s="153"/>
      <c r="AC1656" s="454" t="str">
        <f t="shared" si="231"/>
        <v/>
      </c>
    </row>
    <row r="1657" spans="1:29" x14ac:dyDescent="0.35">
      <c r="A1657" s="111" t="str">
        <f t="shared" si="232"/>
        <v/>
      </c>
      <c r="B1657" s="222"/>
      <c r="C1657" s="14"/>
      <c r="D1657" s="14"/>
      <c r="E1657" s="14"/>
      <c r="F1657" s="14"/>
      <c r="G1657" s="14"/>
      <c r="H1657" s="14"/>
      <c r="I1657" s="176"/>
      <c r="K1657" s="87"/>
      <c r="L1657" s="14"/>
      <c r="M1657" s="324">
        <f t="shared" si="229"/>
        <v>0</v>
      </c>
      <c r="N1657" s="14"/>
      <c r="O1657" s="14"/>
      <c r="P1657" s="167"/>
      <c r="Q1657" s="14"/>
      <c r="R1657" s="170">
        <f t="shared" si="233"/>
        <v>0</v>
      </c>
      <c r="S1657" s="108" t="str">
        <f t="shared" si="228"/>
        <v/>
      </c>
      <c r="T1657" s="14"/>
      <c r="U1657" s="14"/>
      <c r="V1657" s="14"/>
      <c r="W1657" s="14"/>
      <c r="X1657" s="14"/>
      <c r="Z1657" s="14"/>
      <c r="AA1657" s="2">
        <f t="shared" si="230"/>
        <v>3</v>
      </c>
      <c r="AB1657" s="153"/>
      <c r="AC1657" s="454" t="str">
        <f t="shared" si="231"/>
        <v/>
      </c>
    </row>
    <row r="1658" spans="1:29" x14ac:dyDescent="0.35">
      <c r="A1658" s="111" t="str">
        <f t="shared" si="232"/>
        <v/>
      </c>
      <c r="B1658" s="222"/>
      <c r="C1658" s="14"/>
      <c r="D1658" s="14"/>
      <c r="E1658" s="14"/>
      <c r="F1658" s="14"/>
      <c r="G1658" s="14"/>
      <c r="H1658" s="14"/>
      <c r="I1658" s="176"/>
      <c r="K1658" s="87"/>
      <c r="L1658" s="14"/>
      <c r="M1658" s="324">
        <f t="shared" si="229"/>
        <v>0</v>
      </c>
      <c r="N1658" s="14"/>
      <c r="O1658" s="14"/>
      <c r="P1658" s="167"/>
      <c r="Q1658" s="14"/>
      <c r="R1658" s="170">
        <f t="shared" si="233"/>
        <v>0</v>
      </c>
      <c r="S1658" s="108" t="str">
        <f t="shared" si="228"/>
        <v/>
      </c>
      <c r="T1658" s="14"/>
      <c r="U1658" s="14"/>
      <c r="V1658" s="14"/>
      <c r="W1658" s="14"/>
      <c r="X1658" s="14"/>
      <c r="Z1658" s="14"/>
      <c r="AA1658" s="2">
        <f t="shared" si="230"/>
        <v>3</v>
      </c>
      <c r="AB1658" s="153"/>
      <c r="AC1658" s="454" t="str">
        <f t="shared" si="231"/>
        <v/>
      </c>
    </row>
    <row r="1659" spans="1:29" x14ac:dyDescent="0.35">
      <c r="A1659" s="111" t="str">
        <f t="shared" si="232"/>
        <v/>
      </c>
      <c r="B1659" s="222"/>
      <c r="C1659" s="14"/>
      <c r="D1659" s="14"/>
      <c r="E1659" s="14"/>
      <c r="F1659" s="14"/>
      <c r="G1659" s="14"/>
      <c r="H1659" s="14"/>
      <c r="I1659" s="176"/>
      <c r="K1659" s="87"/>
      <c r="L1659" s="14"/>
      <c r="M1659" s="324">
        <f t="shared" si="229"/>
        <v>0</v>
      </c>
      <c r="N1659" s="14"/>
      <c r="O1659" s="14"/>
      <c r="P1659" s="167"/>
      <c r="Q1659" s="14"/>
      <c r="R1659" s="170">
        <f t="shared" si="233"/>
        <v>0</v>
      </c>
      <c r="S1659" s="108" t="str">
        <f t="shared" si="228"/>
        <v/>
      </c>
      <c r="T1659" s="14"/>
      <c r="U1659" s="14"/>
      <c r="V1659" s="14"/>
      <c r="W1659" s="14"/>
      <c r="X1659" s="14"/>
      <c r="Z1659" s="14"/>
      <c r="AA1659" s="2">
        <f t="shared" si="230"/>
        <v>3</v>
      </c>
      <c r="AB1659" s="153"/>
      <c r="AC1659" s="454" t="str">
        <f t="shared" si="231"/>
        <v/>
      </c>
    </row>
    <row r="1660" spans="1:29" x14ac:dyDescent="0.35">
      <c r="A1660" s="111" t="str">
        <f t="shared" si="232"/>
        <v/>
      </c>
      <c r="B1660" s="222"/>
      <c r="C1660" s="14"/>
      <c r="D1660" s="14"/>
      <c r="E1660" s="14"/>
      <c r="F1660" s="14"/>
      <c r="G1660" s="14"/>
      <c r="H1660" s="14"/>
      <c r="I1660" s="176"/>
      <c r="K1660" s="87"/>
      <c r="L1660" s="14"/>
      <c r="M1660" s="324">
        <f t="shared" si="229"/>
        <v>0</v>
      </c>
      <c r="N1660" s="14"/>
      <c r="O1660" s="14"/>
      <c r="P1660" s="167"/>
      <c r="Q1660" s="14"/>
      <c r="R1660" s="170">
        <f t="shared" si="233"/>
        <v>0</v>
      </c>
      <c r="S1660" s="108" t="str">
        <f t="shared" si="228"/>
        <v/>
      </c>
      <c r="T1660" s="14"/>
      <c r="U1660" s="14"/>
      <c r="V1660" s="14"/>
      <c r="W1660" s="14"/>
      <c r="X1660" s="14"/>
      <c r="Z1660" s="14"/>
      <c r="AA1660" s="2">
        <f t="shared" si="230"/>
        <v>3</v>
      </c>
      <c r="AB1660" s="153"/>
      <c r="AC1660" s="454" t="str">
        <f t="shared" si="231"/>
        <v/>
      </c>
    </row>
    <row r="1661" spans="1:29" x14ac:dyDescent="0.35">
      <c r="A1661" s="111" t="str">
        <f t="shared" si="232"/>
        <v/>
      </c>
      <c r="B1661" s="222"/>
      <c r="C1661" s="14"/>
      <c r="D1661" s="14"/>
      <c r="E1661" s="14"/>
      <c r="F1661" s="14"/>
      <c r="G1661" s="14"/>
      <c r="H1661" s="14"/>
      <c r="I1661" s="176"/>
      <c r="K1661" s="87"/>
      <c r="L1661" s="14"/>
      <c r="M1661" s="324">
        <f t="shared" si="229"/>
        <v>0</v>
      </c>
      <c r="N1661" s="14"/>
      <c r="O1661" s="14"/>
      <c r="P1661" s="167"/>
      <c r="Q1661" s="14"/>
      <c r="R1661" s="170">
        <f t="shared" si="233"/>
        <v>0</v>
      </c>
      <c r="S1661" s="108" t="str">
        <f t="shared" si="228"/>
        <v/>
      </c>
      <c r="T1661" s="14"/>
      <c r="U1661" s="14"/>
      <c r="V1661" s="14"/>
      <c r="W1661" s="14"/>
      <c r="X1661" s="14"/>
      <c r="Z1661" s="14"/>
      <c r="AA1661" s="2">
        <f t="shared" si="230"/>
        <v>3</v>
      </c>
      <c r="AB1661" s="153"/>
      <c r="AC1661" s="454" t="str">
        <f t="shared" si="231"/>
        <v/>
      </c>
    </row>
    <row r="1662" spans="1:29" x14ac:dyDescent="0.35">
      <c r="A1662" s="111" t="str">
        <f t="shared" si="232"/>
        <v/>
      </c>
      <c r="B1662" s="222"/>
      <c r="C1662" s="14"/>
      <c r="D1662" s="14"/>
      <c r="E1662" s="14"/>
      <c r="F1662" s="14"/>
      <c r="G1662" s="14"/>
      <c r="H1662" s="14"/>
      <c r="I1662" s="176"/>
      <c r="K1662" s="87"/>
      <c r="L1662" s="14"/>
      <c r="M1662" s="324">
        <f t="shared" si="229"/>
        <v>0</v>
      </c>
      <c r="N1662" s="14"/>
      <c r="O1662" s="14"/>
      <c r="P1662" s="167"/>
      <c r="Q1662" s="14"/>
      <c r="R1662" s="170">
        <f t="shared" ref="R1662:R1708" si="234">IF(I1662="Staff Accident","Entry Required",IF(I1662="Assaults","Entry Required",0))</f>
        <v>0</v>
      </c>
      <c r="S1662" s="108" t="str">
        <f t="shared" si="228"/>
        <v/>
      </c>
      <c r="T1662" s="14"/>
      <c r="U1662" s="14"/>
      <c r="V1662" s="14"/>
      <c r="W1662" s="14"/>
      <c r="X1662" s="14"/>
      <c r="Z1662" s="14"/>
      <c r="AA1662" s="2">
        <f t="shared" si="230"/>
        <v>3</v>
      </c>
      <c r="AB1662" s="153"/>
      <c r="AC1662" s="454" t="str">
        <f t="shared" si="231"/>
        <v/>
      </c>
    </row>
    <row r="1663" spans="1:29" x14ac:dyDescent="0.35">
      <c r="A1663" s="111" t="str">
        <f t="shared" si="232"/>
        <v/>
      </c>
      <c r="B1663" s="222"/>
      <c r="C1663" s="14"/>
      <c r="D1663" s="14"/>
      <c r="E1663" s="14"/>
      <c r="F1663" s="14"/>
      <c r="G1663" s="14"/>
      <c r="H1663" s="14"/>
      <c r="I1663" s="176"/>
      <c r="K1663" s="87"/>
      <c r="L1663" s="14"/>
      <c r="M1663" s="324">
        <f t="shared" si="229"/>
        <v>0</v>
      </c>
      <c r="N1663" s="14"/>
      <c r="O1663" s="14"/>
      <c r="P1663" s="167"/>
      <c r="Q1663" s="14"/>
      <c r="R1663" s="170">
        <f t="shared" si="234"/>
        <v>0</v>
      </c>
      <c r="S1663" s="108" t="str">
        <f t="shared" si="228"/>
        <v/>
      </c>
      <c r="T1663" s="14"/>
      <c r="U1663" s="14"/>
      <c r="V1663" s="14"/>
      <c r="W1663" s="14"/>
      <c r="X1663" s="14"/>
      <c r="Z1663" s="14"/>
      <c r="AA1663" s="2">
        <f t="shared" si="230"/>
        <v>3</v>
      </c>
      <c r="AB1663" s="153"/>
      <c r="AC1663" s="454" t="str">
        <f t="shared" si="231"/>
        <v/>
      </c>
    </row>
    <row r="1664" spans="1:29" x14ac:dyDescent="0.35">
      <c r="A1664" s="111" t="str">
        <f t="shared" si="232"/>
        <v/>
      </c>
      <c r="B1664" s="222"/>
      <c r="C1664" s="14"/>
      <c r="D1664" s="14"/>
      <c r="E1664" s="14"/>
      <c r="F1664" s="14"/>
      <c r="G1664" s="14"/>
      <c r="H1664" s="14"/>
      <c r="I1664" s="176"/>
      <c r="K1664" s="87"/>
      <c r="L1664" s="14"/>
      <c r="M1664" s="324">
        <f t="shared" si="229"/>
        <v>0</v>
      </c>
      <c r="N1664" s="14"/>
      <c r="O1664" s="14"/>
      <c r="P1664" s="167"/>
      <c r="Q1664" s="14"/>
      <c r="R1664" s="170">
        <f t="shared" si="234"/>
        <v>0</v>
      </c>
      <c r="S1664" s="108" t="str">
        <f t="shared" si="228"/>
        <v/>
      </c>
      <c r="T1664" s="14"/>
      <c r="U1664" s="14"/>
      <c r="V1664" s="14"/>
      <c r="W1664" s="14"/>
      <c r="X1664" s="14"/>
      <c r="Z1664" s="14"/>
      <c r="AA1664" s="2">
        <f t="shared" si="230"/>
        <v>3</v>
      </c>
      <c r="AB1664" s="153"/>
      <c r="AC1664" s="454" t="str">
        <f t="shared" si="231"/>
        <v/>
      </c>
    </row>
    <row r="1665" spans="1:29" x14ac:dyDescent="0.35">
      <c r="A1665" s="111" t="str">
        <f t="shared" si="232"/>
        <v/>
      </c>
      <c r="B1665" s="222"/>
      <c r="C1665" s="14"/>
      <c r="D1665" s="14"/>
      <c r="E1665" s="14"/>
      <c r="F1665" s="14"/>
      <c r="G1665" s="14"/>
      <c r="H1665" s="14"/>
      <c r="I1665" s="176"/>
      <c r="K1665" s="87"/>
      <c r="L1665" s="14"/>
      <c r="M1665" s="324">
        <f t="shared" si="229"/>
        <v>0</v>
      </c>
      <c r="N1665" s="14"/>
      <c r="O1665" s="14"/>
      <c r="P1665" s="167"/>
      <c r="Q1665" s="14"/>
      <c r="R1665" s="170">
        <f t="shared" si="234"/>
        <v>0</v>
      </c>
      <c r="S1665" s="108" t="str">
        <f t="shared" si="228"/>
        <v/>
      </c>
      <c r="T1665" s="14"/>
      <c r="U1665" s="14"/>
      <c r="V1665" s="14"/>
      <c r="W1665" s="14"/>
      <c r="X1665" s="14"/>
      <c r="Z1665" s="14"/>
      <c r="AA1665" s="2">
        <f t="shared" si="230"/>
        <v>3</v>
      </c>
      <c r="AB1665" s="153"/>
      <c r="AC1665" s="454" t="str">
        <f t="shared" si="231"/>
        <v/>
      </c>
    </row>
    <row r="1666" spans="1:29" x14ac:dyDescent="0.35">
      <c r="A1666" s="111" t="str">
        <f t="shared" si="232"/>
        <v/>
      </c>
      <c r="B1666" s="222"/>
      <c r="C1666" s="14"/>
      <c r="D1666" s="14"/>
      <c r="E1666" s="14"/>
      <c r="F1666" s="14"/>
      <c r="G1666" s="14"/>
      <c r="H1666" s="14"/>
      <c r="I1666" s="176"/>
      <c r="K1666" s="87"/>
      <c r="L1666" s="14"/>
      <c r="M1666" s="324">
        <f t="shared" si="229"/>
        <v>0</v>
      </c>
      <c r="N1666" s="14"/>
      <c r="O1666" s="14"/>
      <c r="P1666" s="167"/>
      <c r="Q1666" s="14"/>
      <c r="R1666" s="170">
        <f t="shared" si="234"/>
        <v>0</v>
      </c>
      <c r="S1666" s="108" t="str">
        <f t="shared" si="228"/>
        <v/>
      </c>
      <c r="T1666" s="14"/>
      <c r="U1666" s="14"/>
      <c r="V1666" s="14"/>
      <c r="W1666" s="14"/>
      <c r="X1666" s="14"/>
      <c r="Z1666" s="14"/>
      <c r="AA1666" s="2">
        <f t="shared" si="230"/>
        <v>3</v>
      </c>
      <c r="AB1666" s="153"/>
      <c r="AC1666" s="454" t="str">
        <f t="shared" si="231"/>
        <v/>
      </c>
    </row>
    <row r="1667" spans="1:29" x14ac:dyDescent="0.35">
      <c r="A1667" s="111" t="str">
        <f t="shared" si="232"/>
        <v/>
      </c>
      <c r="B1667" s="222"/>
      <c r="C1667" s="14"/>
      <c r="D1667" s="14"/>
      <c r="E1667" s="14"/>
      <c r="F1667" s="14"/>
      <c r="G1667" s="14"/>
      <c r="H1667" s="14"/>
      <c r="I1667" s="176"/>
      <c r="K1667" s="87"/>
      <c r="L1667" s="14"/>
      <c r="M1667" s="324">
        <f t="shared" si="229"/>
        <v>0</v>
      </c>
      <c r="N1667" s="14"/>
      <c r="O1667" s="14"/>
      <c r="P1667" s="167"/>
      <c r="Q1667" s="14"/>
      <c r="R1667" s="170">
        <f t="shared" si="234"/>
        <v>0</v>
      </c>
      <c r="S1667" s="108" t="str">
        <f t="shared" si="228"/>
        <v/>
      </c>
      <c r="T1667" s="14"/>
      <c r="U1667" s="14"/>
      <c r="V1667" s="14"/>
      <c r="W1667" s="14"/>
      <c r="X1667" s="14"/>
      <c r="Z1667" s="14"/>
      <c r="AA1667" s="2">
        <f t="shared" si="230"/>
        <v>3</v>
      </c>
      <c r="AB1667" s="153"/>
      <c r="AC1667" s="454" t="str">
        <f t="shared" si="231"/>
        <v/>
      </c>
    </row>
    <row r="1668" spans="1:29" x14ac:dyDescent="0.35">
      <c r="A1668" s="111" t="str">
        <f t="shared" si="232"/>
        <v/>
      </c>
      <c r="B1668" s="222"/>
      <c r="C1668" s="14"/>
      <c r="D1668" s="14"/>
      <c r="E1668" s="14"/>
      <c r="F1668" s="14"/>
      <c r="G1668" s="14"/>
      <c r="H1668" s="14"/>
      <c r="I1668" s="176"/>
      <c r="K1668" s="87"/>
      <c r="L1668" s="14"/>
      <c r="M1668" s="324">
        <f t="shared" si="229"/>
        <v>0</v>
      </c>
      <c r="N1668" s="14"/>
      <c r="O1668" s="14"/>
      <c r="P1668" s="167"/>
      <c r="Q1668" s="14"/>
      <c r="R1668" s="170">
        <f t="shared" si="234"/>
        <v>0</v>
      </c>
      <c r="S1668" s="108" t="str">
        <f t="shared" si="228"/>
        <v/>
      </c>
      <c r="T1668" s="14"/>
      <c r="U1668" s="14"/>
      <c r="V1668" s="14"/>
      <c r="W1668" s="14"/>
      <c r="X1668" s="14"/>
      <c r="Z1668" s="14"/>
      <c r="AA1668" s="2">
        <f t="shared" si="230"/>
        <v>3</v>
      </c>
      <c r="AB1668" s="153"/>
      <c r="AC1668" s="454" t="str">
        <f t="shared" si="231"/>
        <v/>
      </c>
    </row>
    <row r="1669" spans="1:29" x14ac:dyDescent="0.35">
      <c r="A1669" s="111" t="str">
        <f t="shared" si="232"/>
        <v/>
      </c>
      <c r="B1669" s="222"/>
      <c r="C1669" s="14"/>
      <c r="D1669" s="14"/>
      <c r="E1669" s="14"/>
      <c r="F1669" s="14"/>
      <c r="G1669" s="14"/>
      <c r="H1669" s="14"/>
      <c r="I1669" s="176"/>
      <c r="K1669" s="87"/>
      <c r="L1669" s="14"/>
      <c r="M1669" s="324">
        <f t="shared" si="229"/>
        <v>0</v>
      </c>
      <c r="N1669" s="14"/>
      <c r="O1669" s="14"/>
      <c r="P1669" s="167"/>
      <c r="Q1669" s="14"/>
      <c r="R1669" s="170">
        <f t="shared" si="234"/>
        <v>0</v>
      </c>
      <c r="S1669" s="108" t="str">
        <f t="shared" ref="S1669:S1732" si="235">IF(B1669="","",B1669+28)</f>
        <v/>
      </c>
      <c r="T1669" s="14"/>
      <c r="U1669" s="14"/>
      <c r="V1669" s="14"/>
      <c r="W1669" s="14"/>
      <c r="X1669" s="14"/>
      <c r="Z1669" s="14"/>
      <c r="AA1669" s="2">
        <f t="shared" si="230"/>
        <v>3</v>
      </c>
      <c r="AB1669" s="153"/>
      <c r="AC1669" s="454" t="str">
        <f t="shared" si="231"/>
        <v/>
      </c>
    </row>
    <row r="1670" spans="1:29" x14ac:dyDescent="0.35">
      <c r="A1670" s="111" t="str">
        <f t="shared" si="232"/>
        <v/>
      </c>
      <c r="B1670" s="222"/>
      <c r="C1670" s="14"/>
      <c r="D1670" s="14"/>
      <c r="E1670" s="14"/>
      <c r="F1670" s="14"/>
      <c r="G1670" s="14"/>
      <c r="H1670" s="14"/>
      <c r="I1670" s="176"/>
      <c r="K1670" s="87"/>
      <c r="L1670" s="14"/>
      <c r="M1670" s="324">
        <f t="shared" si="229"/>
        <v>0</v>
      </c>
      <c r="N1670" s="14"/>
      <c r="O1670" s="14"/>
      <c r="P1670" s="167"/>
      <c r="Q1670" s="14"/>
      <c r="R1670" s="170">
        <f t="shared" si="234"/>
        <v>0</v>
      </c>
      <c r="S1670" s="108" t="str">
        <f t="shared" si="235"/>
        <v/>
      </c>
      <c r="T1670" s="14"/>
      <c r="U1670" s="14"/>
      <c r="V1670" s="14"/>
      <c r="W1670" s="14"/>
      <c r="X1670" s="14"/>
      <c r="Z1670" s="14"/>
      <c r="AA1670" s="2">
        <f t="shared" si="230"/>
        <v>3</v>
      </c>
      <c r="AB1670" s="153"/>
      <c r="AC1670" s="454" t="str">
        <f t="shared" si="231"/>
        <v/>
      </c>
    </row>
    <row r="1671" spans="1:29" x14ac:dyDescent="0.35">
      <c r="A1671" s="111" t="str">
        <f t="shared" si="232"/>
        <v/>
      </c>
      <c r="B1671" s="222"/>
      <c r="C1671" s="14"/>
      <c r="D1671" s="14"/>
      <c r="E1671" s="14"/>
      <c r="F1671" s="14"/>
      <c r="G1671" s="14"/>
      <c r="H1671" s="14"/>
      <c r="I1671" s="176"/>
      <c r="K1671" s="87"/>
      <c r="L1671" s="14"/>
      <c r="M1671" s="324">
        <f t="shared" si="229"/>
        <v>0</v>
      </c>
      <c r="N1671" s="14"/>
      <c r="O1671" s="14"/>
      <c r="P1671" s="167"/>
      <c r="Q1671" s="14"/>
      <c r="R1671" s="170">
        <f t="shared" si="234"/>
        <v>0</v>
      </c>
      <c r="S1671" s="108" t="str">
        <f t="shared" si="235"/>
        <v/>
      </c>
      <c r="T1671" s="14"/>
      <c r="U1671" s="14"/>
      <c r="V1671" s="14"/>
      <c r="W1671" s="14"/>
      <c r="X1671" s="14"/>
      <c r="Z1671" s="14"/>
      <c r="AA1671" s="2">
        <f t="shared" si="230"/>
        <v>3</v>
      </c>
      <c r="AB1671" s="153"/>
      <c r="AC1671" s="454" t="str">
        <f t="shared" si="231"/>
        <v/>
      </c>
    </row>
    <row r="1672" spans="1:29" x14ac:dyDescent="0.35">
      <c r="A1672" s="111" t="str">
        <f t="shared" si="232"/>
        <v/>
      </c>
      <c r="B1672" s="222"/>
      <c r="C1672" s="14"/>
      <c r="D1672" s="14"/>
      <c r="E1672" s="14"/>
      <c r="F1672" s="14"/>
      <c r="G1672" s="14"/>
      <c r="H1672" s="14"/>
      <c r="I1672" s="176"/>
      <c r="K1672" s="87"/>
      <c r="L1672" s="14"/>
      <c r="M1672" s="324">
        <f t="shared" si="229"/>
        <v>0</v>
      </c>
      <c r="N1672" s="14"/>
      <c r="O1672" s="14"/>
      <c r="P1672" s="167"/>
      <c r="Q1672" s="14"/>
      <c r="R1672" s="170">
        <f t="shared" si="234"/>
        <v>0</v>
      </c>
      <c r="S1672" s="108" t="str">
        <f t="shared" si="235"/>
        <v/>
      </c>
      <c r="T1672" s="14"/>
      <c r="U1672" s="14"/>
      <c r="V1672" s="14"/>
      <c r="W1672" s="14"/>
      <c r="X1672" s="14"/>
      <c r="Z1672" s="14"/>
      <c r="AA1672" s="2">
        <f t="shared" si="230"/>
        <v>3</v>
      </c>
      <c r="AB1672" s="153"/>
      <c r="AC1672" s="454" t="str">
        <f t="shared" si="231"/>
        <v/>
      </c>
    </row>
    <row r="1673" spans="1:29" x14ac:dyDescent="0.35">
      <c r="A1673" s="111" t="str">
        <f t="shared" si="232"/>
        <v/>
      </c>
      <c r="B1673" s="222"/>
      <c r="C1673" s="14"/>
      <c r="D1673" s="14"/>
      <c r="E1673" s="14"/>
      <c r="F1673" s="14"/>
      <c r="G1673" s="14"/>
      <c r="H1673" s="14"/>
      <c r="I1673" s="176"/>
      <c r="K1673" s="87"/>
      <c r="L1673" s="14"/>
      <c r="M1673" s="324">
        <f t="shared" si="229"/>
        <v>0</v>
      </c>
      <c r="N1673" s="14"/>
      <c r="O1673" s="14"/>
      <c r="P1673" s="167"/>
      <c r="Q1673" s="14"/>
      <c r="R1673" s="170">
        <f t="shared" si="234"/>
        <v>0</v>
      </c>
      <c r="S1673" s="108" t="str">
        <f t="shared" si="235"/>
        <v/>
      </c>
      <c r="T1673" s="14"/>
      <c r="U1673" s="14"/>
      <c r="V1673" s="14"/>
      <c r="W1673" s="14"/>
      <c r="X1673" s="14"/>
      <c r="Z1673" s="14"/>
      <c r="AA1673" s="2">
        <f t="shared" si="230"/>
        <v>3</v>
      </c>
      <c r="AB1673" s="153"/>
      <c r="AC1673" s="454" t="str">
        <f t="shared" si="231"/>
        <v/>
      </c>
    </row>
    <row r="1674" spans="1:29" x14ac:dyDescent="0.35">
      <c r="A1674" s="111" t="str">
        <f t="shared" si="232"/>
        <v/>
      </c>
      <c r="B1674" s="222"/>
      <c r="C1674" s="14"/>
      <c r="D1674" s="14"/>
      <c r="E1674" s="14"/>
      <c r="F1674" s="14"/>
      <c r="G1674" s="14"/>
      <c r="H1674" s="14"/>
      <c r="I1674" s="176"/>
      <c r="K1674" s="87"/>
      <c r="L1674" s="14"/>
      <c r="M1674" s="324">
        <f t="shared" si="229"/>
        <v>0</v>
      </c>
      <c r="N1674" s="14"/>
      <c r="O1674" s="14"/>
      <c r="P1674" s="167"/>
      <c r="Q1674" s="14"/>
      <c r="R1674" s="170">
        <f t="shared" si="234"/>
        <v>0</v>
      </c>
      <c r="S1674" s="108" t="str">
        <f t="shared" si="235"/>
        <v/>
      </c>
      <c r="T1674" s="14"/>
      <c r="U1674" s="14"/>
      <c r="V1674" s="14"/>
      <c r="W1674" s="14"/>
      <c r="X1674" s="14"/>
      <c r="Z1674" s="14"/>
      <c r="AA1674" s="2">
        <f t="shared" si="230"/>
        <v>3</v>
      </c>
      <c r="AB1674" s="153"/>
      <c r="AC1674" s="454" t="str">
        <f t="shared" si="231"/>
        <v/>
      </c>
    </row>
    <row r="1675" spans="1:29" x14ac:dyDescent="0.35">
      <c r="A1675" s="111" t="str">
        <f t="shared" si="232"/>
        <v/>
      </c>
      <c r="B1675" s="222"/>
      <c r="C1675" s="14"/>
      <c r="D1675" s="14"/>
      <c r="E1675" s="14"/>
      <c r="F1675" s="14"/>
      <c r="G1675" s="14"/>
      <c r="H1675" s="14"/>
      <c r="I1675" s="176"/>
      <c r="K1675" s="87"/>
      <c r="L1675" s="14"/>
      <c r="M1675" s="324">
        <f t="shared" si="229"/>
        <v>0</v>
      </c>
      <c r="N1675" s="14"/>
      <c r="O1675" s="14"/>
      <c r="P1675" s="167"/>
      <c r="Q1675" s="14"/>
      <c r="R1675" s="170">
        <f t="shared" si="234"/>
        <v>0</v>
      </c>
      <c r="S1675" s="108" t="str">
        <f t="shared" si="235"/>
        <v/>
      </c>
      <c r="T1675" s="14"/>
      <c r="U1675" s="14"/>
      <c r="V1675" s="14"/>
      <c r="W1675" s="14"/>
      <c r="X1675" s="14"/>
      <c r="Z1675" s="14"/>
      <c r="AA1675" s="2">
        <f t="shared" si="230"/>
        <v>3</v>
      </c>
      <c r="AB1675" s="153"/>
      <c r="AC1675" s="454" t="str">
        <f t="shared" si="231"/>
        <v/>
      </c>
    </row>
    <row r="1676" spans="1:29" x14ac:dyDescent="0.35">
      <c r="A1676" s="111" t="str">
        <f t="shared" si="232"/>
        <v/>
      </c>
      <c r="B1676" s="222"/>
      <c r="C1676" s="14"/>
      <c r="D1676" s="14"/>
      <c r="E1676" s="14"/>
      <c r="F1676" s="14"/>
      <c r="G1676" s="14"/>
      <c r="H1676" s="14"/>
      <c r="I1676" s="176"/>
      <c r="K1676" s="87"/>
      <c r="L1676" s="14"/>
      <c r="M1676" s="324">
        <f t="shared" si="229"/>
        <v>0</v>
      </c>
      <c r="N1676" s="14"/>
      <c r="O1676" s="14"/>
      <c r="P1676" s="167"/>
      <c r="Q1676" s="14"/>
      <c r="R1676" s="170">
        <f t="shared" si="234"/>
        <v>0</v>
      </c>
      <c r="S1676" s="108" t="str">
        <f t="shared" si="235"/>
        <v/>
      </c>
      <c r="T1676" s="14"/>
      <c r="U1676" s="14"/>
      <c r="V1676" s="14"/>
      <c r="W1676" s="14"/>
      <c r="X1676" s="14"/>
      <c r="Z1676" s="14"/>
      <c r="AA1676" s="2">
        <f t="shared" si="230"/>
        <v>3</v>
      </c>
      <c r="AB1676" s="153"/>
      <c r="AC1676" s="454" t="str">
        <f t="shared" si="231"/>
        <v/>
      </c>
    </row>
    <row r="1677" spans="1:29" x14ac:dyDescent="0.35">
      <c r="A1677" s="111" t="str">
        <f t="shared" si="232"/>
        <v/>
      </c>
      <c r="B1677" s="222"/>
      <c r="C1677" s="14"/>
      <c r="D1677" s="14"/>
      <c r="E1677" s="14"/>
      <c r="F1677" s="14"/>
      <c r="G1677" s="14"/>
      <c r="H1677" s="14"/>
      <c r="I1677" s="176"/>
      <c r="K1677" s="87"/>
      <c r="L1677" s="14"/>
      <c r="M1677" s="324">
        <f t="shared" si="229"/>
        <v>0</v>
      </c>
      <c r="N1677" s="14"/>
      <c r="O1677" s="14"/>
      <c r="P1677" s="167"/>
      <c r="Q1677" s="14"/>
      <c r="R1677" s="170">
        <f t="shared" si="234"/>
        <v>0</v>
      </c>
      <c r="S1677" s="108" t="str">
        <f t="shared" si="235"/>
        <v/>
      </c>
      <c r="T1677" s="14"/>
      <c r="U1677" s="14"/>
      <c r="V1677" s="14"/>
      <c r="W1677" s="14"/>
      <c r="X1677" s="14"/>
      <c r="Z1677" s="14"/>
      <c r="AA1677" s="2">
        <f t="shared" si="230"/>
        <v>3</v>
      </c>
      <c r="AB1677" s="153"/>
      <c r="AC1677" s="454" t="str">
        <f t="shared" si="231"/>
        <v/>
      </c>
    </row>
    <row r="1678" spans="1:29" x14ac:dyDescent="0.35">
      <c r="A1678" s="111" t="str">
        <f t="shared" si="232"/>
        <v/>
      </c>
      <c r="B1678" s="222"/>
      <c r="C1678" s="14"/>
      <c r="D1678" s="14"/>
      <c r="E1678" s="14"/>
      <c r="F1678" s="14"/>
      <c r="G1678" s="14"/>
      <c r="H1678" s="14"/>
      <c r="I1678" s="176"/>
      <c r="K1678" s="87"/>
      <c r="L1678" s="14"/>
      <c r="M1678" s="324">
        <f t="shared" si="229"/>
        <v>0</v>
      </c>
      <c r="N1678" s="14"/>
      <c r="O1678" s="14"/>
      <c r="P1678" s="167"/>
      <c r="Q1678" s="14"/>
      <c r="R1678" s="170">
        <f t="shared" si="234"/>
        <v>0</v>
      </c>
      <c r="S1678" s="108" t="str">
        <f t="shared" si="235"/>
        <v/>
      </c>
      <c r="T1678" s="14"/>
      <c r="U1678" s="14"/>
      <c r="V1678" s="14"/>
      <c r="W1678" s="14"/>
      <c r="X1678" s="14"/>
      <c r="Z1678" s="14"/>
      <c r="AA1678" s="2">
        <f t="shared" si="230"/>
        <v>3</v>
      </c>
      <c r="AB1678" s="153"/>
      <c r="AC1678" s="454" t="str">
        <f t="shared" si="231"/>
        <v/>
      </c>
    </row>
    <row r="1679" spans="1:29" x14ac:dyDescent="0.35">
      <c r="A1679" s="111" t="str">
        <f t="shared" si="232"/>
        <v/>
      </c>
      <c r="B1679" s="222"/>
      <c r="C1679" s="14"/>
      <c r="D1679" s="14"/>
      <c r="E1679" s="14"/>
      <c r="F1679" s="14"/>
      <c r="G1679" s="14"/>
      <c r="H1679" s="14"/>
      <c r="I1679" s="176"/>
      <c r="K1679" s="87"/>
      <c r="L1679" s="14"/>
      <c r="M1679" s="324">
        <f t="shared" si="229"/>
        <v>0</v>
      </c>
      <c r="N1679" s="14"/>
      <c r="O1679" s="14"/>
      <c r="P1679" s="167"/>
      <c r="Q1679" s="14"/>
      <c r="R1679" s="170">
        <f t="shared" si="234"/>
        <v>0</v>
      </c>
      <c r="S1679" s="108" t="str">
        <f t="shared" si="235"/>
        <v/>
      </c>
      <c r="T1679" s="14"/>
      <c r="U1679" s="14"/>
      <c r="V1679" s="14"/>
      <c r="W1679" s="14"/>
      <c r="X1679" s="14"/>
      <c r="Z1679" s="14"/>
      <c r="AA1679" s="2">
        <f t="shared" si="230"/>
        <v>3</v>
      </c>
      <c r="AB1679" s="153"/>
      <c r="AC1679" s="454" t="str">
        <f t="shared" si="231"/>
        <v/>
      </c>
    </row>
    <row r="1680" spans="1:29" x14ac:dyDescent="0.35">
      <c r="A1680" s="111" t="str">
        <f t="shared" si="232"/>
        <v/>
      </c>
      <c r="B1680" s="222"/>
      <c r="C1680" s="14"/>
      <c r="D1680" s="14"/>
      <c r="E1680" s="14"/>
      <c r="F1680" s="14"/>
      <c r="G1680" s="14"/>
      <c r="H1680" s="14"/>
      <c r="I1680" s="176"/>
      <c r="K1680" s="87"/>
      <c r="L1680" s="14"/>
      <c r="M1680" s="324">
        <f t="shared" si="229"/>
        <v>0</v>
      </c>
      <c r="N1680" s="14"/>
      <c r="O1680" s="14"/>
      <c r="P1680" s="167"/>
      <c r="Q1680" s="14"/>
      <c r="R1680" s="170">
        <f t="shared" si="234"/>
        <v>0</v>
      </c>
      <c r="S1680" s="108" t="str">
        <f t="shared" si="235"/>
        <v/>
      </c>
      <c r="T1680" s="14"/>
      <c r="U1680" s="14"/>
      <c r="V1680" s="14"/>
      <c r="W1680" s="14"/>
      <c r="X1680" s="14"/>
      <c r="Z1680" s="14"/>
      <c r="AA1680" s="2">
        <f t="shared" si="230"/>
        <v>3</v>
      </c>
      <c r="AB1680" s="153"/>
      <c r="AC1680" s="454" t="str">
        <f t="shared" si="231"/>
        <v/>
      </c>
    </row>
    <row r="1681" spans="1:29" x14ac:dyDescent="0.35">
      <c r="A1681" s="111" t="str">
        <f t="shared" si="232"/>
        <v/>
      </c>
      <c r="B1681" s="222"/>
      <c r="C1681" s="14"/>
      <c r="D1681" s="14"/>
      <c r="E1681" s="14"/>
      <c r="F1681" s="14"/>
      <c r="G1681" s="14"/>
      <c r="H1681" s="14"/>
      <c r="I1681" s="176"/>
      <c r="K1681" s="87"/>
      <c r="L1681" s="14"/>
      <c r="M1681" s="324">
        <f t="shared" si="229"/>
        <v>0</v>
      </c>
      <c r="N1681" s="14"/>
      <c r="O1681" s="14"/>
      <c r="P1681" s="167"/>
      <c r="Q1681" s="14"/>
      <c r="R1681" s="170">
        <f t="shared" si="234"/>
        <v>0</v>
      </c>
      <c r="S1681" s="108" t="str">
        <f t="shared" si="235"/>
        <v/>
      </c>
      <c r="T1681" s="14"/>
      <c r="U1681" s="14"/>
      <c r="V1681" s="14"/>
      <c r="W1681" s="14"/>
      <c r="X1681" s="14"/>
      <c r="Z1681" s="14"/>
      <c r="AA1681" s="2">
        <f t="shared" si="230"/>
        <v>3</v>
      </c>
      <c r="AB1681" s="153"/>
      <c r="AC1681" s="454" t="str">
        <f t="shared" si="231"/>
        <v/>
      </c>
    </row>
    <row r="1682" spans="1:29" x14ac:dyDescent="0.35">
      <c r="A1682" s="111" t="str">
        <f t="shared" si="232"/>
        <v/>
      </c>
      <c r="B1682" s="222"/>
      <c r="C1682" s="14"/>
      <c r="D1682" s="14"/>
      <c r="E1682" s="14"/>
      <c r="F1682" s="14"/>
      <c r="G1682" s="14"/>
      <c r="H1682" s="14"/>
      <c r="I1682" s="176"/>
      <c r="K1682" s="87"/>
      <c r="L1682" s="14"/>
      <c r="M1682" s="324">
        <f t="shared" si="229"/>
        <v>0</v>
      </c>
      <c r="N1682" s="14"/>
      <c r="O1682" s="14"/>
      <c r="P1682" s="167"/>
      <c r="Q1682" s="14"/>
      <c r="R1682" s="170">
        <f t="shared" si="234"/>
        <v>0</v>
      </c>
      <c r="S1682" s="108" t="str">
        <f t="shared" si="235"/>
        <v/>
      </c>
      <c r="T1682" s="14"/>
      <c r="U1682" s="14"/>
      <c r="V1682" s="14"/>
      <c r="W1682" s="14"/>
      <c r="X1682" s="14"/>
      <c r="Z1682" s="14"/>
      <c r="AA1682" s="2">
        <f t="shared" si="230"/>
        <v>3</v>
      </c>
      <c r="AB1682" s="153"/>
      <c r="AC1682" s="454" t="str">
        <f t="shared" si="231"/>
        <v/>
      </c>
    </row>
    <row r="1683" spans="1:29" x14ac:dyDescent="0.35">
      <c r="A1683" s="111" t="str">
        <f t="shared" si="232"/>
        <v/>
      </c>
      <c r="B1683" s="222"/>
      <c r="C1683" s="14"/>
      <c r="D1683" s="14"/>
      <c r="E1683" s="14"/>
      <c r="F1683" s="14"/>
      <c r="G1683" s="14"/>
      <c r="H1683" s="14"/>
      <c r="I1683" s="176"/>
      <c r="K1683" s="87"/>
      <c r="L1683" s="14"/>
      <c r="M1683" s="324">
        <f t="shared" si="229"/>
        <v>0</v>
      </c>
      <c r="N1683" s="14"/>
      <c r="O1683" s="14"/>
      <c r="P1683" s="167"/>
      <c r="Q1683" s="14"/>
      <c r="R1683" s="170">
        <f t="shared" si="234"/>
        <v>0</v>
      </c>
      <c r="S1683" s="108" t="str">
        <f t="shared" si="235"/>
        <v/>
      </c>
      <c r="T1683" s="14"/>
      <c r="U1683" s="14"/>
      <c r="V1683" s="14"/>
      <c r="W1683" s="14"/>
      <c r="X1683" s="14"/>
      <c r="Z1683" s="14"/>
      <c r="AA1683" s="2">
        <f t="shared" si="230"/>
        <v>3</v>
      </c>
      <c r="AB1683" s="153"/>
      <c r="AC1683" s="454" t="str">
        <f t="shared" si="231"/>
        <v/>
      </c>
    </row>
    <row r="1684" spans="1:29" x14ac:dyDescent="0.35">
      <c r="A1684" s="111" t="str">
        <f t="shared" si="232"/>
        <v/>
      </c>
      <c r="B1684" s="222"/>
      <c r="C1684" s="14"/>
      <c r="D1684" s="14"/>
      <c r="E1684" s="14"/>
      <c r="F1684" s="14"/>
      <c r="G1684" s="14"/>
      <c r="H1684" s="14"/>
      <c r="I1684" s="176"/>
      <c r="K1684" s="87"/>
      <c r="L1684" s="14"/>
      <c r="M1684" s="324">
        <f t="shared" ref="M1684:M1747" si="236">IF(I1684="Staff Accident","Entry Required",IF(I1684="Assaults","Entry Required",0))</f>
        <v>0</v>
      </c>
      <c r="N1684" s="14"/>
      <c r="O1684" s="14"/>
      <c r="P1684" s="167"/>
      <c r="Q1684" s="14"/>
      <c r="R1684" s="170">
        <f t="shared" si="234"/>
        <v>0</v>
      </c>
      <c r="S1684" s="108" t="str">
        <f t="shared" si="235"/>
        <v/>
      </c>
      <c r="T1684" s="14"/>
      <c r="U1684" s="14"/>
      <c r="V1684" s="14"/>
      <c r="W1684" s="14"/>
      <c r="X1684" s="14"/>
      <c r="Z1684" s="14"/>
      <c r="AA1684" s="2">
        <f t="shared" si="230"/>
        <v>3</v>
      </c>
      <c r="AB1684" s="153"/>
      <c r="AC1684" s="454" t="str">
        <f t="shared" si="231"/>
        <v/>
      </c>
    </row>
    <row r="1685" spans="1:29" x14ac:dyDescent="0.35">
      <c r="A1685" s="111" t="str">
        <f t="shared" si="232"/>
        <v/>
      </c>
      <c r="B1685" s="222"/>
      <c r="C1685" s="14"/>
      <c r="D1685" s="14"/>
      <c r="E1685" s="14"/>
      <c r="F1685" s="14"/>
      <c r="G1685" s="14"/>
      <c r="H1685" s="14"/>
      <c r="I1685" s="176"/>
      <c r="K1685" s="87"/>
      <c r="L1685" s="14"/>
      <c r="M1685" s="324">
        <f t="shared" si="236"/>
        <v>0</v>
      </c>
      <c r="N1685" s="14"/>
      <c r="O1685" s="14"/>
      <c r="P1685" s="167"/>
      <c r="Q1685" s="14"/>
      <c r="R1685" s="170">
        <f t="shared" si="234"/>
        <v>0</v>
      </c>
      <c r="S1685" s="108" t="str">
        <f t="shared" si="235"/>
        <v/>
      </c>
      <c r="T1685" s="14"/>
      <c r="U1685" s="14"/>
      <c r="V1685" s="14"/>
      <c r="W1685" s="14"/>
      <c r="X1685" s="14"/>
      <c r="Z1685" s="14"/>
      <c r="AA1685" s="2">
        <f t="shared" si="230"/>
        <v>3</v>
      </c>
      <c r="AB1685" s="153"/>
      <c r="AC1685" s="454" t="str">
        <f t="shared" si="231"/>
        <v/>
      </c>
    </row>
    <row r="1686" spans="1:29" x14ac:dyDescent="0.35">
      <c r="A1686" s="111" t="str">
        <f t="shared" si="232"/>
        <v/>
      </c>
      <c r="B1686" s="222"/>
      <c r="C1686" s="14"/>
      <c r="D1686" s="14"/>
      <c r="E1686" s="14"/>
      <c r="F1686" s="14"/>
      <c r="G1686" s="14"/>
      <c r="H1686" s="14"/>
      <c r="I1686" s="176"/>
      <c r="K1686" s="87"/>
      <c r="L1686" s="14"/>
      <c r="M1686" s="324">
        <f t="shared" si="236"/>
        <v>0</v>
      </c>
      <c r="N1686" s="14"/>
      <c r="O1686" s="14"/>
      <c r="P1686" s="167"/>
      <c r="Q1686" s="14"/>
      <c r="R1686" s="170">
        <f t="shared" si="234"/>
        <v>0</v>
      </c>
      <c r="S1686" s="108" t="str">
        <f t="shared" si="235"/>
        <v/>
      </c>
      <c r="T1686" s="14"/>
      <c r="U1686" s="14"/>
      <c r="V1686" s="14"/>
      <c r="W1686" s="14"/>
      <c r="X1686" s="14"/>
      <c r="Z1686" s="14"/>
      <c r="AA1686" s="2">
        <f t="shared" ref="AA1686:AA1749" si="237">IF(B1686="",3,IF(S1686&lt;$A$1,1,0))</f>
        <v>3</v>
      </c>
      <c r="AB1686" s="153"/>
      <c r="AC1686" s="454" t="str">
        <f t="shared" si="231"/>
        <v/>
      </c>
    </row>
    <row r="1687" spans="1:29" x14ac:dyDescent="0.35">
      <c r="A1687" s="111" t="str">
        <f t="shared" si="232"/>
        <v/>
      </c>
      <c r="B1687" s="222"/>
      <c r="C1687" s="14"/>
      <c r="D1687" s="14"/>
      <c r="E1687" s="14"/>
      <c r="F1687" s="14"/>
      <c r="G1687" s="14"/>
      <c r="H1687" s="14"/>
      <c r="I1687" s="176"/>
      <c r="K1687" s="87"/>
      <c r="L1687" s="14"/>
      <c r="M1687" s="324">
        <f t="shared" si="236"/>
        <v>0</v>
      </c>
      <c r="N1687" s="14"/>
      <c r="O1687" s="14"/>
      <c r="P1687" s="167"/>
      <c r="Q1687" s="14"/>
      <c r="R1687" s="170">
        <f t="shared" si="234"/>
        <v>0</v>
      </c>
      <c r="S1687" s="108" t="str">
        <f t="shared" si="235"/>
        <v/>
      </c>
      <c r="T1687" s="14"/>
      <c r="U1687" s="14"/>
      <c r="V1687" s="14"/>
      <c r="W1687" s="14"/>
      <c r="X1687" s="14"/>
      <c r="Z1687" s="14"/>
      <c r="AA1687" s="2">
        <f t="shared" si="237"/>
        <v>3</v>
      </c>
      <c r="AB1687" s="153"/>
      <c r="AC1687" s="454" t="str">
        <f t="shared" si="231"/>
        <v/>
      </c>
    </row>
    <row r="1688" spans="1:29" x14ac:dyDescent="0.35">
      <c r="A1688" s="111" t="str">
        <f t="shared" si="232"/>
        <v/>
      </c>
      <c r="B1688" s="222"/>
      <c r="C1688" s="14"/>
      <c r="D1688" s="14"/>
      <c r="E1688" s="14"/>
      <c r="F1688" s="14"/>
      <c r="G1688" s="14"/>
      <c r="H1688" s="14"/>
      <c r="I1688" s="176"/>
      <c r="K1688" s="87"/>
      <c r="L1688" s="14"/>
      <c r="M1688" s="324">
        <f t="shared" si="236"/>
        <v>0</v>
      </c>
      <c r="N1688" s="14"/>
      <c r="O1688" s="14"/>
      <c r="P1688" s="167"/>
      <c r="Q1688" s="14"/>
      <c r="R1688" s="170">
        <f t="shared" si="234"/>
        <v>0</v>
      </c>
      <c r="S1688" s="108" t="str">
        <f t="shared" si="235"/>
        <v/>
      </c>
      <c r="T1688" s="14"/>
      <c r="U1688" s="14"/>
      <c r="V1688" s="14"/>
      <c r="W1688" s="14"/>
      <c r="X1688" s="14"/>
      <c r="Z1688" s="14"/>
      <c r="AA1688" s="2">
        <f t="shared" si="237"/>
        <v>3</v>
      </c>
      <c r="AB1688" s="153"/>
      <c r="AC1688" s="454" t="str">
        <f t="shared" si="231"/>
        <v/>
      </c>
    </row>
    <row r="1689" spans="1:29" x14ac:dyDescent="0.35">
      <c r="A1689" s="111" t="str">
        <f t="shared" si="232"/>
        <v/>
      </c>
      <c r="B1689" s="222"/>
      <c r="C1689" s="14"/>
      <c r="D1689" s="14"/>
      <c r="E1689" s="14"/>
      <c r="F1689" s="14"/>
      <c r="G1689" s="14"/>
      <c r="H1689" s="14"/>
      <c r="I1689" s="176"/>
      <c r="K1689" s="87"/>
      <c r="L1689" s="14"/>
      <c r="M1689" s="324">
        <f t="shared" si="236"/>
        <v>0</v>
      </c>
      <c r="N1689" s="14"/>
      <c r="O1689" s="14"/>
      <c r="P1689" s="167"/>
      <c r="Q1689" s="14"/>
      <c r="R1689" s="170">
        <f t="shared" si="234"/>
        <v>0</v>
      </c>
      <c r="S1689" s="108" t="str">
        <f t="shared" si="235"/>
        <v/>
      </c>
      <c r="T1689" s="14"/>
      <c r="U1689" s="14"/>
      <c r="V1689" s="14"/>
      <c r="W1689" s="14"/>
      <c r="X1689" s="14"/>
      <c r="Z1689" s="14"/>
      <c r="AA1689" s="2">
        <f t="shared" si="237"/>
        <v>3</v>
      </c>
      <c r="AB1689" s="153"/>
      <c r="AC1689" s="454" t="str">
        <f t="shared" si="231"/>
        <v/>
      </c>
    </row>
    <row r="1690" spans="1:29" x14ac:dyDescent="0.35">
      <c r="A1690" s="111" t="str">
        <f t="shared" si="232"/>
        <v/>
      </c>
      <c r="B1690" s="222"/>
      <c r="C1690" s="14"/>
      <c r="D1690" s="14"/>
      <c r="E1690" s="14"/>
      <c r="F1690" s="14"/>
      <c r="G1690" s="14" t="s">
        <v>1911</v>
      </c>
      <c r="H1690" s="14"/>
      <c r="I1690" s="176"/>
      <c r="K1690" s="87"/>
      <c r="L1690" s="14"/>
      <c r="M1690" s="324">
        <f t="shared" si="236"/>
        <v>0</v>
      </c>
      <c r="N1690" s="14"/>
      <c r="O1690" s="14"/>
      <c r="P1690" s="167"/>
      <c r="Q1690" s="14"/>
      <c r="R1690" s="170">
        <f t="shared" si="234"/>
        <v>0</v>
      </c>
      <c r="S1690" s="108" t="str">
        <f t="shared" si="235"/>
        <v/>
      </c>
      <c r="T1690" s="14"/>
      <c r="U1690" s="14"/>
      <c r="V1690" s="14"/>
      <c r="W1690" s="14"/>
      <c r="X1690" s="14"/>
      <c r="Z1690" s="14"/>
      <c r="AA1690" s="2">
        <f t="shared" si="237"/>
        <v>3</v>
      </c>
      <c r="AB1690" s="153"/>
      <c r="AC1690" s="454" t="str">
        <f t="shared" ref="AC1690:AC1753" si="238">LEFT(H1690,1)</f>
        <v/>
      </c>
    </row>
    <row r="1691" spans="1:29" x14ac:dyDescent="0.35">
      <c r="A1691" s="111" t="str">
        <f t="shared" si="232"/>
        <v/>
      </c>
      <c r="B1691" s="222"/>
      <c r="C1691" s="14"/>
      <c r="D1691" s="14"/>
      <c r="E1691" s="14"/>
      <c r="F1691" s="14"/>
      <c r="G1691" s="14" t="s">
        <v>1911</v>
      </c>
      <c r="H1691" s="14"/>
      <c r="I1691" s="176"/>
      <c r="K1691" s="87"/>
      <c r="L1691" s="14"/>
      <c r="M1691" s="324">
        <f t="shared" si="236"/>
        <v>0</v>
      </c>
      <c r="N1691" s="14"/>
      <c r="O1691" s="14"/>
      <c r="P1691" s="167"/>
      <c r="Q1691" s="14"/>
      <c r="R1691" s="170">
        <f t="shared" si="234"/>
        <v>0</v>
      </c>
      <c r="S1691" s="108" t="str">
        <f t="shared" si="235"/>
        <v/>
      </c>
      <c r="T1691" s="14"/>
      <c r="U1691" s="14"/>
      <c r="V1691" s="14"/>
      <c r="W1691" s="14"/>
      <c r="X1691" s="14"/>
      <c r="Z1691" s="14"/>
      <c r="AA1691" s="2">
        <f t="shared" si="237"/>
        <v>3</v>
      </c>
      <c r="AB1691" s="153"/>
      <c r="AC1691" s="454" t="str">
        <f t="shared" si="238"/>
        <v/>
      </c>
    </row>
    <row r="1692" spans="1:29" x14ac:dyDescent="0.35">
      <c r="A1692" s="111" t="str">
        <f t="shared" si="232"/>
        <v/>
      </c>
      <c r="B1692" s="222"/>
      <c r="C1692" s="14"/>
      <c r="D1692" s="14"/>
      <c r="E1692" s="14"/>
      <c r="F1692" s="14"/>
      <c r="G1692" s="14" t="s">
        <v>1911</v>
      </c>
      <c r="H1692" s="14"/>
      <c r="I1692" s="176"/>
      <c r="K1692" s="87"/>
      <c r="L1692" s="14"/>
      <c r="M1692" s="324">
        <f t="shared" si="236"/>
        <v>0</v>
      </c>
      <c r="N1692" s="14"/>
      <c r="O1692" s="14"/>
      <c r="P1692" s="167"/>
      <c r="Q1692" s="14"/>
      <c r="R1692" s="170">
        <f t="shared" si="234"/>
        <v>0</v>
      </c>
      <c r="S1692" s="108" t="str">
        <f t="shared" si="235"/>
        <v/>
      </c>
      <c r="T1692" s="14"/>
      <c r="U1692" s="14"/>
      <c r="V1692" s="14"/>
      <c r="W1692" s="14"/>
      <c r="X1692" s="14"/>
      <c r="Z1692" s="14"/>
      <c r="AA1692" s="2">
        <f t="shared" si="237"/>
        <v>3</v>
      </c>
      <c r="AB1692" s="153"/>
      <c r="AC1692" s="454" t="str">
        <f t="shared" si="238"/>
        <v/>
      </c>
    </row>
    <row r="1693" spans="1:29" x14ac:dyDescent="0.35">
      <c r="A1693" s="111" t="str">
        <f t="shared" si="232"/>
        <v/>
      </c>
      <c r="B1693" s="222"/>
      <c r="C1693" s="14"/>
      <c r="D1693" s="14"/>
      <c r="E1693" s="14"/>
      <c r="F1693" s="14"/>
      <c r="G1693" s="14" t="s">
        <v>1911</v>
      </c>
      <c r="H1693" s="14"/>
      <c r="I1693" s="176"/>
      <c r="K1693" s="87"/>
      <c r="L1693" s="14"/>
      <c r="M1693" s="324">
        <f t="shared" si="236"/>
        <v>0</v>
      </c>
      <c r="N1693" s="14"/>
      <c r="O1693" s="14"/>
      <c r="P1693" s="167"/>
      <c r="Q1693" s="14"/>
      <c r="R1693" s="170">
        <f t="shared" si="234"/>
        <v>0</v>
      </c>
      <c r="S1693" s="108" t="str">
        <f t="shared" si="235"/>
        <v/>
      </c>
      <c r="T1693" s="14"/>
      <c r="U1693" s="14"/>
      <c r="V1693" s="14"/>
      <c r="W1693" s="14"/>
      <c r="X1693" s="14"/>
      <c r="Z1693" s="14"/>
      <c r="AA1693" s="2">
        <f t="shared" si="237"/>
        <v>3</v>
      </c>
      <c r="AB1693" s="153"/>
      <c r="AC1693" s="454" t="str">
        <f t="shared" si="238"/>
        <v/>
      </c>
    </row>
    <row r="1694" spans="1:29" x14ac:dyDescent="0.35">
      <c r="A1694" s="111" t="str">
        <f t="shared" si="232"/>
        <v/>
      </c>
      <c r="B1694" s="222"/>
      <c r="C1694" s="14"/>
      <c r="D1694" s="14"/>
      <c r="E1694" s="14"/>
      <c r="F1694" s="14"/>
      <c r="G1694" s="14" t="s">
        <v>1911</v>
      </c>
      <c r="H1694" s="14"/>
      <c r="I1694" s="176"/>
      <c r="K1694" s="87"/>
      <c r="L1694" s="14"/>
      <c r="M1694" s="324">
        <f t="shared" si="236"/>
        <v>0</v>
      </c>
      <c r="N1694" s="14"/>
      <c r="O1694" s="14"/>
      <c r="P1694" s="167"/>
      <c r="Q1694" s="14"/>
      <c r="R1694" s="170">
        <f t="shared" si="234"/>
        <v>0</v>
      </c>
      <c r="S1694" s="108" t="str">
        <f t="shared" si="235"/>
        <v/>
      </c>
      <c r="T1694" s="14"/>
      <c r="U1694" s="14"/>
      <c r="V1694" s="14"/>
      <c r="W1694" s="14"/>
      <c r="X1694" s="14"/>
      <c r="Z1694" s="14"/>
      <c r="AA1694" s="2">
        <f t="shared" si="237"/>
        <v>3</v>
      </c>
      <c r="AB1694" s="153"/>
      <c r="AC1694" s="454" t="str">
        <f t="shared" si="238"/>
        <v/>
      </c>
    </row>
    <row r="1695" spans="1:29" x14ac:dyDescent="0.35">
      <c r="A1695" s="111" t="str">
        <f t="shared" ref="A1695:A1758" si="239">IF(T1695&gt;1,"Closed",IF(AA1695=1,"Overdue",IF(AA1695=3,"","Open")))</f>
        <v/>
      </c>
      <c r="B1695" s="222"/>
      <c r="C1695" s="14"/>
      <c r="D1695" s="14"/>
      <c r="E1695" s="14"/>
      <c r="F1695" s="14"/>
      <c r="G1695" s="14" t="s">
        <v>1911</v>
      </c>
      <c r="H1695" s="14"/>
      <c r="I1695" s="176"/>
      <c r="K1695" s="87"/>
      <c r="L1695" s="14"/>
      <c r="M1695" s="324">
        <f t="shared" si="236"/>
        <v>0</v>
      </c>
      <c r="N1695" s="14"/>
      <c r="O1695" s="14"/>
      <c r="P1695" s="167"/>
      <c r="Q1695" s="14"/>
      <c r="R1695" s="170">
        <f t="shared" si="234"/>
        <v>0</v>
      </c>
      <c r="S1695" s="108" t="str">
        <f t="shared" si="235"/>
        <v/>
      </c>
      <c r="T1695" s="14"/>
      <c r="U1695" s="14"/>
      <c r="V1695" s="14"/>
      <c r="W1695" s="14"/>
      <c r="X1695" s="14"/>
      <c r="Z1695" s="14"/>
      <c r="AA1695" s="2">
        <f t="shared" si="237"/>
        <v>3</v>
      </c>
      <c r="AB1695" s="153"/>
      <c r="AC1695" s="454" t="str">
        <f t="shared" si="238"/>
        <v/>
      </c>
    </row>
    <row r="1696" spans="1:29" x14ac:dyDescent="0.35">
      <c r="A1696" s="111" t="str">
        <f t="shared" si="239"/>
        <v/>
      </c>
      <c r="B1696" s="222"/>
      <c r="C1696" s="14"/>
      <c r="D1696" s="14"/>
      <c r="E1696" s="14"/>
      <c r="F1696" s="14"/>
      <c r="G1696" s="14" t="s">
        <v>1911</v>
      </c>
      <c r="H1696" s="14"/>
      <c r="I1696" s="176"/>
      <c r="K1696" s="87"/>
      <c r="L1696" s="14"/>
      <c r="M1696" s="324">
        <f t="shared" si="236"/>
        <v>0</v>
      </c>
      <c r="N1696" s="14"/>
      <c r="O1696" s="14"/>
      <c r="P1696" s="167"/>
      <c r="Q1696" s="14"/>
      <c r="R1696" s="170">
        <f t="shared" si="234"/>
        <v>0</v>
      </c>
      <c r="S1696" s="108" t="str">
        <f t="shared" si="235"/>
        <v/>
      </c>
      <c r="T1696" s="14"/>
      <c r="U1696" s="14"/>
      <c r="V1696" s="14"/>
      <c r="W1696" s="14"/>
      <c r="X1696" s="14"/>
      <c r="Z1696" s="14"/>
      <c r="AA1696" s="2">
        <f t="shared" si="237"/>
        <v>3</v>
      </c>
      <c r="AB1696" s="153"/>
      <c r="AC1696" s="454" t="str">
        <f t="shared" si="238"/>
        <v/>
      </c>
    </row>
    <row r="1697" spans="1:29" x14ac:dyDescent="0.35">
      <c r="A1697" s="111" t="str">
        <f t="shared" si="239"/>
        <v/>
      </c>
      <c r="B1697" s="222"/>
      <c r="C1697" s="14"/>
      <c r="D1697" s="14"/>
      <c r="E1697" s="14"/>
      <c r="F1697" s="14"/>
      <c r="G1697" s="14" t="s">
        <v>1911</v>
      </c>
      <c r="H1697" s="14"/>
      <c r="I1697" s="176"/>
      <c r="K1697" s="87"/>
      <c r="L1697" s="14"/>
      <c r="M1697" s="324">
        <f t="shared" si="236"/>
        <v>0</v>
      </c>
      <c r="N1697" s="14"/>
      <c r="O1697" s="14"/>
      <c r="P1697" s="167"/>
      <c r="Q1697" s="14"/>
      <c r="R1697" s="170">
        <f t="shared" si="234"/>
        <v>0</v>
      </c>
      <c r="S1697" s="108" t="str">
        <f t="shared" si="235"/>
        <v/>
      </c>
      <c r="T1697" s="14"/>
      <c r="U1697" s="14"/>
      <c r="V1697" s="14"/>
      <c r="W1697" s="14"/>
      <c r="X1697" s="14"/>
      <c r="Z1697" s="14"/>
      <c r="AA1697" s="2">
        <f t="shared" si="237"/>
        <v>3</v>
      </c>
      <c r="AB1697" s="153"/>
      <c r="AC1697" s="454" t="str">
        <f t="shared" si="238"/>
        <v/>
      </c>
    </row>
    <row r="1698" spans="1:29" x14ac:dyDescent="0.35">
      <c r="A1698" s="111" t="str">
        <f t="shared" si="239"/>
        <v/>
      </c>
      <c r="B1698" s="222"/>
      <c r="C1698" s="14"/>
      <c r="D1698" s="14"/>
      <c r="E1698" s="14"/>
      <c r="F1698" s="14"/>
      <c r="G1698" s="14" t="s">
        <v>1911</v>
      </c>
      <c r="H1698" s="14"/>
      <c r="I1698" s="176"/>
      <c r="K1698" s="87"/>
      <c r="L1698" s="14"/>
      <c r="M1698" s="324">
        <f t="shared" si="236"/>
        <v>0</v>
      </c>
      <c r="N1698" s="14"/>
      <c r="O1698" s="14"/>
      <c r="P1698" s="167"/>
      <c r="Q1698" s="14"/>
      <c r="R1698" s="170">
        <f t="shared" si="234"/>
        <v>0</v>
      </c>
      <c r="S1698" s="108" t="str">
        <f t="shared" si="235"/>
        <v/>
      </c>
      <c r="T1698" s="14"/>
      <c r="U1698" s="14"/>
      <c r="V1698" s="14"/>
      <c r="W1698" s="14"/>
      <c r="X1698" s="14"/>
      <c r="Z1698" s="14"/>
      <c r="AA1698" s="2">
        <f t="shared" si="237"/>
        <v>3</v>
      </c>
      <c r="AB1698" s="153"/>
      <c r="AC1698" s="454" t="str">
        <f t="shared" si="238"/>
        <v/>
      </c>
    </row>
    <row r="1699" spans="1:29" x14ac:dyDescent="0.35">
      <c r="A1699" s="111" t="str">
        <f t="shared" si="239"/>
        <v/>
      </c>
      <c r="B1699" s="222"/>
      <c r="C1699" s="14"/>
      <c r="D1699" s="14"/>
      <c r="E1699" s="14"/>
      <c r="F1699" s="14"/>
      <c r="G1699" s="14" t="s">
        <v>1911</v>
      </c>
      <c r="H1699" s="14"/>
      <c r="I1699" s="176"/>
      <c r="K1699" s="87"/>
      <c r="L1699" s="14"/>
      <c r="M1699" s="324">
        <f t="shared" si="236"/>
        <v>0</v>
      </c>
      <c r="N1699" s="14"/>
      <c r="O1699" s="14"/>
      <c r="P1699" s="167"/>
      <c r="Q1699" s="14"/>
      <c r="R1699" s="170">
        <f t="shared" si="234"/>
        <v>0</v>
      </c>
      <c r="S1699" s="108" t="str">
        <f t="shared" si="235"/>
        <v/>
      </c>
      <c r="T1699" s="14"/>
      <c r="U1699" s="14"/>
      <c r="V1699" s="14"/>
      <c r="W1699" s="14"/>
      <c r="X1699" s="14"/>
      <c r="Z1699" s="14"/>
      <c r="AA1699" s="2">
        <f t="shared" si="237"/>
        <v>3</v>
      </c>
      <c r="AB1699" s="153"/>
      <c r="AC1699" s="454" t="str">
        <f t="shared" si="238"/>
        <v/>
      </c>
    </row>
    <row r="1700" spans="1:29" x14ac:dyDescent="0.35">
      <c r="A1700" s="111" t="str">
        <f t="shared" si="239"/>
        <v/>
      </c>
      <c r="B1700" s="222"/>
      <c r="C1700" s="14"/>
      <c r="D1700" s="14"/>
      <c r="E1700" s="14"/>
      <c r="F1700" s="14"/>
      <c r="G1700" s="14" t="s">
        <v>1911</v>
      </c>
      <c r="H1700" s="14"/>
      <c r="I1700" s="176"/>
      <c r="K1700" s="87"/>
      <c r="L1700" s="14"/>
      <c r="M1700" s="324">
        <f t="shared" si="236"/>
        <v>0</v>
      </c>
      <c r="N1700" s="14"/>
      <c r="O1700" s="14"/>
      <c r="P1700" s="167"/>
      <c r="Q1700" s="14"/>
      <c r="R1700" s="170">
        <f t="shared" si="234"/>
        <v>0</v>
      </c>
      <c r="S1700" s="108" t="str">
        <f t="shared" si="235"/>
        <v/>
      </c>
      <c r="T1700" s="14"/>
      <c r="U1700" s="14"/>
      <c r="V1700" s="14"/>
      <c r="W1700" s="14"/>
      <c r="X1700" s="14"/>
      <c r="Z1700" s="14"/>
      <c r="AA1700" s="2">
        <f t="shared" si="237"/>
        <v>3</v>
      </c>
      <c r="AB1700" s="153"/>
      <c r="AC1700" s="454" t="str">
        <f t="shared" si="238"/>
        <v/>
      </c>
    </row>
    <row r="1701" spans="1:29" x14ac:dyDescent="0.35">
      <c r="A1701" s="111" t="str">
        <f t="shared" si="239"/>
        <v/>
      </c>
      <c r="B1701" s="222"/>
      <c r="C1701" s="14"/>
      <c r="D1701" s="14"/>
      <c r="E1701" s="14"/>
      <c r="F1701" s="14"/>
      <c r="G1701" s="14" t="s">
        <v>1911</v>
      </c>
      <c r="H1701" s="14"/>
      <c r="I1701" s="176"/>
      <c r="K1701" s="87"/>
      <c r="L1701" s="14"/>
      <c r="M1701" s="324">
        <f t="shared" si="236"/>
        <v>0</v>
      </c>
      <c r="N1701" s="14"/>
      <c r="O1701" s="14"/>
      <c r="P1701" s="167"/>
      <c r="Q1701" s="14"/>
      <c r="R1701" s="170">
        <f t="shared" si="234"/>
        <v>0</v>
      </c>
      <c r="S1701" s="108" t="str">
        <f t="shared" si="235"/>
        <v/>
      </c>
      <c r="T1701" s="14"/>
      <c r="U1701" s="14"/>
      <c r="V1701" s="14"/>
      <c r="W1701" s="14"/>
      <c r="X1701" s="14"/>
      <c r="Z1701" s="14"/>
      <c r="AA1701" s="2">
        <f t="shared" si="237"/>
        <v>3</v>
      </c>
      <c r="AB1701" s="153"/>
      <c r="AC1701" s="454" t="str">
        <f t="shared" si="238"/>
        <v/>
      </c>
    </row>
    <row r="1702" spans="1:29" x14ac:dyDescent="0.35">
      <c r="A1702" s="111" t="str">
        <f t="shared" si="239"/>
        <v/>
      </c>
      <c r="B1702" s="222"/>
      <c r="C1702" s="14"/>
      <c r="D1702" s="14"/>
      <c r="E1702" s="14"/>
      <c r="F1702" s="14"/>
      <c r="G1702" s="14" t="s">
        <v>1911</v>
      </c>
      <c r="H1702" s="14"/>
      <c r="I1702" s="176"/>
      <c r="K1702" s="87"/>
      <c r="L1702" s="14"/>
      <c r="M1702" s="324">
        <f t="shared" si="236"/>
        <v>0</v>
      </c>
      <c r="N1702" s="14"/>
      <c r="O1702" s="14"/>
      <c r="P1702" s="167"/>
      <c r="Q1702" s="14"/>
      <c r="R1702" s="170">
        <f t="shared" si="234"/>
        <v>0</v>
      </c>
      <c r="S1702" s="108" t="str">
        <f t="shared" si="235"/>
        <v/>
      </c>
      <c r="T1702" s="14"/>
      <c r="U1702" s="14"/>
      <c r="V1702" s="14"/>
      <c r="W1702" s="14"/>
      <c r="X1702" s="14"/>
      <c r="Z1702" s="14"/>
      <c r="AA1702" s="2">
        <f t="shared" si="237"/>
        <v>3</v>
      </c>
      <c r="AB1702" s="153"/>
      <c r="AC1702" s="454" t="str">
        <f t="shared" si="238"/>
        <v/>
      </c>
    </row>
    <row r="1703" spans="1:29" x14ac:dyDescent="0.35">
      <c r="A1703" s="111" t="str">
        <f t="shared" si="239"/>
        <v/>
      </c>
      <c r="B1703" s="222"/>
      <c r="C1703" s="14"/>
      <c r="D1703" s="14"/>
      <c r="E1703" s="14"/>
      <c r="F1703" s="14"/>
      <c r="G1703" s="14" t="s">
        <v>1911</v>
      </c>
      <c r="H1703" s="14"/>
      <c r="I1703" s="176"/>
      <c r="K1703" s="87"/>
      <c r="L1703" s="14"/>
      <c r="M1703" s="324">
        <f t="shared" si="236"/>
        <v>0</v>
      </c>
      <c r="N1703" s="14"/>
      <c r="O1703" s="14"/>
      <c r="P1703" s="167"/>
      <c r="Q1703" s="14"/>
      <c r="R1703" s="170">
        <f t="shared" si="234"/>
        <v>0</v>
      </c>
      <c r="S1703" s="108" t="str">
        <f t="shared" si="235"/>
        <v/>
      </c>
      <c r="T1703" s="14"/>
      <c r="U1703" s="14"/>
      <c r="V1703" s="14"/>
      <c r="W1703" s="14"/>
      <c r="X1703" s="14"/>
      <c r="Z1703" s="14"/>
      <c r="AA1703" s="2">
        <f t="shared" si="237"/>
        <v>3</v>
      </c>
      <c r="AB1703" s="153"/>
      <c r="AC1703" s="454" t="str">
        <f t="shared" si="238"/>
        <v/>
      </c>
    </row>
    <row r="1704" spans="1:29" x14ac:dyDescent="0.35">
      <c r="A1704" s="111" t="str">
        <f t="shared" si="239"/>
        <v/>
      </c>
      <c r="B1704" s="222"/>
      <c r="C1704" s="14"/>
      <c r="D1704" s="14"/>
      <c r="E1704" s="14"/>
      <c r="F1704" s="14"/>
      <c r="G1704" s="14" t="s">
        <v>1911</v>
      </c>
      <c r="H1704" s="14"/>
      <c r="I1704" s="176"/>
      <c r="K1704" s="87"/>
      <c r="L1704" s="14"/>
      <c r="M1704" s="324">
        <f t="shared" si="236"/>
        <v>0</v>
      </c>
      <c r="N1704" s="14"/>
      <c r="O1704" s="14"/>
      <c r="P1704" s="167"/>
      <c r="Q1704" s="14"/>
      <c r="R1704" s="170">
        <f t="shared" si="234"/>
        <v>0</v>
      </c>
      <c r="S1704" s="108" t="str">
        <f t="shared" si="235"/>
        <v/>
      </c>
      <c r="T1704" s="14"/>
      <c r="U1704" s="14"/>
      <c r="V1704" s="14"/>
      <c r="W1704" s="14"/>
      <c r="X1704" s="14"/>
      <c r="Z1704" s="14"/>
      <c r="AA1704" s="2">
        <f t="shared" si="237"/>
        <v>3</v>
      </c>
      <c r="AB1704" s="153"/>
      <c r="AC1704" s="454" t="str">
        <f t="shared" si="238"/>
        <v/>
      </c>
    </row>
    <row r="1705" spans="1:29" x14ac:dyDescent="0.35">
      <c r="A1705" s="111" t="str">
        <f t="shared" si="239"/>
        <v/>
      </c>
      <c r="B1705" s="222"/>
      <c r="C1705" s="14"/>
      <c r="D1705" s="14"/>
      <c r="E1705" s="14"/>
      <c r="F1705" s="14"/>
      <c r="G1705" s="14" t="s">
        <v>1911</v>
      </c>
      <c r="H1705" s="14"/>
      <c r="I1705" s="176"/>
      <c r="K1705" s="87"/>
      <c r="L1705" s="14"/>
      <c r="M1705" s="324">
        <f t="shared" si="236"/>
        <v>0</v>
      </c>
      <c r="N1705" s="14"/>
      <c r="O1705" s="14"/>
      <c r="P1705" s="167"/>
      <c r="Q1705" s="14"/>
      <c r="R1705" s="170">
        <f t="shared" si="234"/>
        <v>0</v>
      </c>
      <c r="S1705" s="108" t="str">
        <f t="shared" si="235"/>
        <v/>
      </c>
      <c r="T1705" s="14"/>
      <c r="U1705" s="14"/>
      <c r="V1705" s="14"/>
      <c r="W1705" s="14"/>
      <c r="X1705" s="14"/>
      <c r="Z1705" s="14"/>
      <c r="AA1705" s="2">
        <f t="shared" si="237"/>
        <v>3</v>
      </c>
      <c r="AB1705" s="153"/>
      <c r="AC1705" s="454" t="str">
        <f t="shared" si="238"/>
        <v/>
      </c>
    </row>
    <row r="1706" spans="1:29" x14ac:dyDescent="0.35">
      <c r="A1706" s="111" t="str">
        <f t="shared" si="239"/>
        <v/>
      </c>
      <c r="B1706" s="222"/>
      <c r="C1706" s="14"/>
      <c r="D1706" s="14"/>
      <c r="E1706" s="14"/>
      <c r="F1706" s="14"/>
      <c r="G1706" s="14" t="s">
        <v>1911</v>
      </c>
      <c r="H1706" s="14"/>
      <c r="I1706" s="176"/>
      <c r="K1706" s="87"/>
      <c r="L1706" s="14"/>
      <c r="M1706" s="324">
        <f t="shared" si="236"/>
        <v>0</v>
      </c>
      <c r="N1706" s="14"/>
      <c r="O1706" s="14"/>
      <c r="P1706" s="167"/>
      <c r="Q1706" s="14"/>
      <c r="R1706" s="170">
        <f t="shared" si="234"/>
        <v>0</v>
      </c>
      <c r="S1706" s="108" t="str">
        <f t="shared" si="235"/>
        <v/>
      </c>
      <c r="T1706" s="14"/>
      <c r="U1706" s="14"/>
      <c r="V1706" s="14"/>
      <c r="W1706" s="14"/>
      <c r="X1706" s="14"/>
      <c r="Z1706" s="14"/>
      <c r="AA1706" s="2">
        <f t="shared" si="237"/>
        <v>3</v>
      </c>
      <c r="AB1706" s="153"/>
      <c r="AC1706" s="454" t="str">
        <f t="shared" si="238"/>
        <v/>
      </c>
    </row>
    <row r="1707" spans="1:29" x14ac:dyDescent="0.35">
      <c r="A1707" s="111" t="str">
        <f t="shared" si="239"/>
        <v/>
      </c>
      <c r="B1707" s="222"/>
      <c r="C1707" s="14"/>
      <c r="D1707" s="14"/>
      <c r="E1707" s="14"/>
      <c r="F1707" s="14"/>
      <c r="G1707" s="14" t="s">
        <v>1911</v>
      </c>
      <c r="H1707" s="14"/>
      <c r="I1707" s="176"/>
      <c r="K1707" s="87"/>
      <c r="L1707" s="14"/>
      <c r="M1707" s="324">
        <f t="shared" si="236"/>
        <v>0</v>
      </c>
      <c r="N1707" s="14"/>
      <c r="O1707" s="14"/>
      <c r="P1707" s="167"/>
      <c r="Q1707" s="14"/>
      <c r="R1707" s="170">
        <f t="shared" si="234"/>
        <v>0</v>
      </c>
      <c r="S1707" s="108" t="str">
        <f t="shared" si="235"/>
        <v/>
      </c>
      <c r="T1707" s="14"/>
      <c r="U1707" s="14"/>
      <c r="V1707" s="14"/>
      <c r="W1707" s="14"/>
      <c r="X1707" s="14"/>
      <c r="Z1707" s="14"/>
      <c r="AA1707" s="2">
        <f t="shared" si="237"/>
        <v>3</v>
      </c>
      <c r="AB1707" s="153"/>
      <c r="AC1707" s="454" t="str">
        <f t="shared" si="238"/>
        <v/>
      </c>
    </row>
    <row r="1708" spans="1:29" x14ac:dyDescent="0.35">
      <c r="A1708" s="111" t="str">
        <f t="shared" si="239"/>
        <v/>
      </c>
      <c r="B1708" s="222"/>
      <c r="C1708" s="14"/>
      <c r="D1708" s="14"/>
      <c r="E1708" s="14"/>
      <c r="F1708" s="14"/>
      <c r="G1708" s="14" t="s">
        <v>1911</v>
      </c>
      <c r="H1708" s="14"/>
      <c r="I1708" s="176"/>
      <c r="K1708" s="87"/>
      <c r="L1708" s="14"/>
      <c r="M1708" s="324">
        <f t="shared" si="236"/>
        <v>0</v>
      </c>
      <c r="N1708" s="14"/>
      <c r="O1708" s="14"/>
      <c r="P1708" s="167"/>
      <c r="Q1708" s="14"/>
      <c r="R1708" s="170">
        <f t="shared" si="234"/>
        <v>0</v>
      </c>
      <c r="S1708" s="108" t="str">
        <f t="shared" si="235"/>
        <v/>
      </c>
      <c r="T1708" s="14"/>
      <c r="U1708" s="14"/>
      <c r="V1708" s="14"/>
      <c r="W1708" s="14"/>
      <c r="X1708" s="14"/>
      <c r="Z1708" s="14"/>
      <c r="AA1708" s="2">
        <f t="shared" si="237"/>
        <v>3</v>
      </c>
      <c r="AB1708" s="153"/>
      <c r="AC1708" s="454" t="str">
        <f t="shared" si="238"/>
        <v/>
      </c>
    </row>
    <row r="1709" spans="1:29" x14ac:dyDescent="0.35">
      <c r="A1709" s="111" t="str">
        <f t="shared" si="239"/>
        <v/>
      </c>
      <c r="B1709" s="222"/>
      <c r="C1709" s="14"/>
      <c r="D1709" s="14"/>
      <c r="E1709" s="14"/>
      <c r="F1709" s="14"/>
      <c r="G1709" s="14" t="s">
        <v>1911</v>
      </c>
      <c r="H1709" s="14"/>
      <c r="I1709" s="176"/>
      <c r="K1709" s="87"/>
      <c r="L1709" s="14"/>
      <c r="M1709" s="324">
        <f t="shared" si="236"/>
        <v>0</v>
      </c>
      <c r="N1709" s="14"/>
      <c r="O1709" s="14"/>
      <c r="P1709" s="167"/>
      <c r="Q1709" s="14"/>
      <c r="R1709" s="170">
        <f t="shared" ref="R1709:R1772" si="240">IF(I1709="Staff Accident","Entry Required",IF(I1709="Assaults","Entry Required",0))</f>
        <v>0</v>
      </c>
      <c r="S1709" s="108" t="str">
        <f t="shared" si="235"/>
        <v/>
      </c>
      <c r="T1709" s="14"/>
      <c r="U1709" s="14"/>
      <c r="V1709" s="14"/>
      <c r="W1709" s="14"/>
      <c r="X1709" s="14"/>
      <c r="Z1709" s="14"/>
      <c r="AA1709" s="2">
        <f t="shared" si="237"/>
        <v>3</v>
      </c>
      <c r="AB1709" s="153"/>
      <c r="AC1709" s="454" t="str">
        <f t="shared" si="238"/>
        <v/>
      </c>
    </row>
    <row r="1710" spans="1:29" x14ac:dyDescent="0.35">
      <c r="A1710" s="111" t="str">
        <f t="shared" si="239"/>
        <v/>
      </c>
      <c r="B1710" s="222"/>
      <c r="C1710" s="14"/>
      <c r="D1710" s="14"/>
      <c r="E1710" s="14"/>
      <c r="F1710" s="14"/>
      <c r="G1710" s="14" t="s">
        <v>1911</v>
      </c>
      <c r="H1710" s="14"/>
      <c r="I1710" s="176"/>
      <c r="K1710" s="87"/>
      <c r="L1710" s="14"/>
      <c r="M1710" s="324">
        <f t="shared" si="236"/>
        <v>0</v>
      </c>
      <c r="N1710" s="14"/>
      <c r="O1710" s="14"/>
      <c r="P1710" s="167"/>
      <c r="Q1710" s="14"/>
      <c r="R1710" s="170">
        <f t="shared" si="240"/>
        <v>0</v>
      </c>
      <c r="S1710" s="108" t="str">
        <f t="shared" si="235"/>
        <v/>
      </c>
      <c r="T1710" s="14"/>
      <c r="U1710" s="14"/>
      <c r="V1710" s="14"/>
      <c r="W1710" s="14"/>
      <c r="X1710" s="14"/>
      <c r="Z1710" s="14"/>
      <c r="AA1710" s="2">
        <f t="shared" si="237"/>
        <v>3</v>
      </c>
      <c r="AB1710" s="153"/>
      <c r="AC1710" s="454" t="str">
        <f t="shared" si="238"/>
        <v/>
      </c>
    </row>
    <row r="1711" spans="1:29" x14ac:dyDescent="0.35">
      <c r="A1711" s="111" t="str">
        <f t="shared" si="239"/>
        <v/>
      </c>
      <c r="B1711" s="222"/>
      <c r="C1711" s="14"/>
      <c r="D1711" s="14"/>
      <c r="E1711" s="14"/>
      <c r="F1711" s="14"/>
      <c r="G1711" s="14" t="s">
        <v>1911</v>
      </c>
      <c r="H1711" s="14"/>
      <c r="I1711" s="176"/>
      <c r="K1711" s="87"/>
      <c r="L1711" s="14"/>
      <c r="M1711" s="324">
        <f t="shared" si="236"/>
        <v>0</v>
      </c>
      <c r="N1711" s="14"/>
      <c r="O1711" s="14"/>
      <c r="P1711" s="167"/>
      <c r="Q1711" s="14"/>
      <c r="R1711" s="170">
        <f t="shared" si="240"/>
        <v>0</v>
      </c>
      <c r="S1711" s="108" t="str">
        <f t="shared" si="235"/>
        <v/>
      </c>
      <c r="T1711" s="14"/>
      <c r="U1711" s="14"/>
      <c r="V1711" s="14"/>
      <c r="W1711" s="14"/>
      <c r="X1711" s="14"/>
      <c r="Z1711" s="14"/>
      <c r="AA1711" s="2">
        <f t="shared" si="237"/>
        <v>3</v>
      </c>
      <c r="AB1711" s="153"/>
      <c r="AC1711" s="454" t="str">
        <f t="shared" si="238"/>
        <v/>
      </c>
    </row>
    <row r="1712" spans="1:29" x14ac:dyDescent="0.35">
      <c r="A1712" s="111" t="str">
        <f t="shared" si="239"/>
        <v/>
      </c>
      <c r="B1712" s="222"/>
      <c r="C1712" s="14"/>
      <c r="D1712" s="14"/>
      <c r="E1712" s="14"/>
      <c r="F1712" s="14"/>
      <c r="G1712" s="14" t="s">
        <v>1911</v>
      </c>
      <c r="H1712" s="14"/>
      <c r="I1712" s="176"/>
      <c r="K1712" s="87"/>
      <c r="L1712" s="14"/>
      <c r="M1712" s="324">
        <f t="shared" si="236"/>
        <v>0</v>
      </c>
      <c r="N1712" s="14"/>
      <c r="O1712" s="14"/>
      <c r="P1712" s="167"/>
      <c r="Q1712" s="14"/>
      <c r="R1712" s="170">
        <f t="shared" si="240"/>
        <v>0</v>
      </c>
      <c r="S1712" s="108" t="str">
        <f t="shared" si="235"/>
        <v/>
      </c>
      <c r="T1712" s="14"/>
      <c r="U1712" s="14"/>
      <c r="V1712" s="14"/>
      <c r="W1712" s="14"/>
      <c r="X1712" s="14"/>
      <c r="Z1712" s="14"/>
      <c r="AA1712" s="2">
        <f t="shared" si="237"/>
        <v>3</v>
      </c>
      <c r="AB1712" s="153"/>
      <c r="AC1712" s="454" t="str">
        <f t="shared" si="238"/>
        <v/>
      </c>
    </row>
    <row r="1713" spans="1:29" x14ac:dyDescent="0.35">
      <c r="A1713" s="111" t="str">
        <f t="shared" si="239"/>
        <v/>
      </c>
      <c r="B1713" s="222"/>
      <c r="C1713" s="14"/>
      <c r="D1713" s="14"/>
      <c r="E1713" s="14"/>
      <c r="F1713" s="14"/>
      <c r="G1713" s="14" t="s">
        <v>1911</v>
      </c>
      <c r="H1713" s="14"/>
      <c r="I1713" s="176"/>
      <c r="K1713" s="87"/>
      <c r="L1713" s="14"/>
      <c r="M1713" s="324">
        <f t="shared" si="236"/>
        <v>0</v>
      </c>
      <c r="N1713" s="14"/>
      <c r="O1713" s="14"/>
      <c r="P1713" s="167"/>
      <c r="Q1713" s="14"/>
      <c r="R1713" s="170">
        <f t="shared" si="240"/>
        <v>0</v>
      </c>
      <c r="S1713" s="108" t="str">
        <f t="shared" si="235"/>
        <v/>
      </c>
      <c r="T1713" s="14"/>
      <c r="U1713" s="14"/>
      <c r="V1713" s="14"/>
      <c r="W1713" s="14"/>
      <c r="X1713" s="14"/>
      <c r="Z1713" s="14"/>
      <c r="AA1713" s="2">
        <f t="shared" si="237"/>
        <v>3</v>
      </c>
      <c r="AB1713" s="153"/>
      <c r="AC1713" s="454" t="str">
        <f t="shared" si="238"/>
        <v/>
      </c>
    </row>
    <row r="1714" spans="1:29" x14ac:dyDescent="0.35">
      <c r="A1714" s="111" t="str">
        <f t="shared" si="239"/>
        <v/>
      </c>
      <c r="B1714" s="222"/>
      <c r="C1714" s="14"/>
      <c r="D1714" s="14"/>
      <c r="E1714" s="14"/>
      <c r="F1714" s="14"/>
      <c r="G1714" s="14" t="s">
        <v>1911</v>
      </c>
      <c r="H1714" s="14"/>
      <c r="I1714" s="176"/>
      <c r="K1714" s="87"/>
      <c r="L1714" s="14"/>
      <c r="M1714" s="324">
        <f t="shared" si="236"/>
        <v>0</v>
      </c>
      <c r="N1714" s="14"/>
      <c r="O1714" s="14"/>
      <c r="P1714" s="167"/>
      <c r="Q1714" s="14"/>
      <c r="R1714" s="170">
        <f t="shared" si="240"/>
        <v>0</v>
      </c>
      <c r="S1714" s="108" t="str">
        <f t="shared" si="235"/>
        <v/>
      </c>
      <c r="T1714" s="14"/>
      <c r="U1714" s="14"/>
      <c r="V1714" s="14"/>
      <c r="W1714" s="14"/>
      <c r="X1714" s="14"/>
      <c r="Z1714" s="14"/>
      <c r="AA1714" s="2">
        <f t="shared" si="237"/>
        <v>3</v>
      </c>
      <c r="AB1714" s="153"/>
      <c r="AC1714" s="454" t="str">
        <f t="shared" si="238"/>
        <v/>
      </c>
    </row>
    <row r="1715" spans="1:29" x14ac:dyDescent="0.35">
      <c r="A1715" s="111" t="str">
        <f t="shared" si="239"/>
        <v/>
      </c>
      <c r="B1715" s="222"/>
      <c r="C1715" s="14"/>
      <c r="D1715" s="14"/>
      <c r="E1715" s="14"/>
      <c r="F1715" s="14"/>
      <c r="G1715" s="14" t="s">
        <v>1911</v>
      </c>
      <c r="H1715" s="14"/>
      <c r="I1715" s="176"/>
      <c r="K1715" s="87"/>
      <c r="L1715" s="14"/>
      <c r="M1715" s="324">
        <f t="shared" si="236"/>
        <v>0</v>
      </c>
      <c r="N1715" s="14"/>
      <c r="O1715" s="14"/>
      <c r="P1715" s="167"/>
      <c r="Q1715" s="14"/>
      <c r="R1715" s="170">
        <f t="shared" si="240"/>
        <v>0</v>
      </c>
      <c r="S1715" s="108" t="str">
        <f t="shared" si="235"/>
        <v/>
      </c>
      <c r="T1715" s="14"/>
      <c r="U1715" s="14"/>
      <c r="V1715" s="14"/>
      <c r="W1715" s="14"/>
      <c r="X1715" s="14"/>
      <c r="Z1715" s="14"/>
      <c r="AA1715" s="2">
        <f t="shared" si="237"/>
        <v>3</v>
      </c>
      <c r="AB1715" s="153"/>
      <c r="AC1715" s="454" t="str">
        <f t="shared" si="238"/>
        <v/>
      </c>
    </row>
    <row r="1716" spans="1:29" x14ac:dyDescent="0.35">
      <c r="A1716" s="111" t="str">
        <f t="shared" si="239"/>
        <v/>
      </c>
      <c r="B1716" s="222"/>
      <c r="C1716" s="14"/>
      <c r="D1716" s="14"/>
      <c r="E1716" s="14"/>
      <c r="F1716" s="14"/>
      <c r="G1716" s="14" t="s">
        <v>1911</v>
      </c>
      <c r="H1716" s="14"/>
      <c r="I1716" s="176"/>
      <c r="K1716" s="87"/>
      <c r="L1716" s="14"/>
      <c r="M1716" s="324">
        <f t="shared" si="236"/>
        <v>0</v>
      </c>
      <c r="N1716" s="14"/>
      <c r="O1716" s="14"/>
      <c r="P1716" s="167"/>
      <c r="Q1716" s="14"/>
      <c r="R1716" s="170">
        <f t="shared" si="240"/>
        <v>0</v>
      </c>
      <c r="S1716" s="108" t="str">
        <f t="shared" si="235"/>
        <v/>
      </c>
      <c r="T1716" s="14"/>
      <c r="U1716" s="14"/>
      <c r="V1716" s="14"/>
      <c r="W1716" s="14"/>
      <c r="X1716" s="14"/>
      <c r="Z1716" s="14"/>
      <c r="AA1716" s="2">
        <f t="shared" si="237"/>
        <v>3</v>
      </c>
      <c r="AB1716" s="153"/>
      <c r="AC1716" s="454" t="str">
        <f t="shared" si="238"/>
        <v/>
      </c>
    </row>
    <row r="1717" spans="1:29" x14ac:dyDescent="0.35">
      <c r="A1717" s="111" t="str">
        <f t="shared" si="239"/>
        <v/>
      </c>
      <c r="B1717" s="222"/>
      <c r="C1717" s="14"/>
      <c r="D1717" s="14"/>
      <c r="E1717" s="14"/>
      <c r="F1717" s="14"/>
      <c r="G1717" s="14" t="s">
        <v>1911</v>
      </c>
      <c r="H1717" s="14"/>
      <c r="I1717" s="176"/>
      <c r="K1717" s="87"/>
      <c r="L1717" s="14"/>
      <c r="M1717" s="324">
        <f t="shared" si="236"/>
        <v>0</v>
      </c>
      <c r="N1717" s="14"/>
      <c r="O1717" s="14"/>
      <c r="P1717" s="167"/>
      <c r="Q1717" s="14"/>
      <c r="R1717" s="170">
        <f t="shared" si="240"/>
        <v>0</v>
      </c>
      <c r="S1717" s="108" t="str">
        <f t="shared" si="235"/>
        <v/>
      </c>
      <c r="T1717" s="14"/>
      <c r="U1717" s="14"/>
      <c r="V1717" s="14"/>
      <c r="W1717" s="14"/>
      <c r="X1717" s="14"/>
      <c r="Z1717" s="14"/>
      <c r="AA1717" s="2">
        <f t="shared" si="237"/>
        <v>3</v>
      </c>
      <c r="AB1717" s="153"/>
      <c r="AC1717" s="454" t="str">
        <f t="shared" si="238"/>
        <v/>
      </c>
    </row>
    <row r="1718" spans="1:29" x14ac:dyDescent="0.35">
      <c r="A1718" s="111" t="str">
        <f t="shared" si="239"/>
        <v/>
      </c>
      <c r="B1718" s="222"/>
      <c r="C1718" s="14"/>
      <c r="D1718" s="14"/>
      <c r="E1718" s="14"/>
      <c r="F1718" s="14"/>
      <c r="G1718" s="14" t="s">
        <v>1911</v>
      </c>
      <c r="H1718" s="14"/>
      <c r="I1718" s="176"/>
      <c r="K1718" s="87"/>
      <c r="L1718" s="14"/>
      <c r="M1718" s="324">
        <f t="shared" si="236"/>
        <v>0</v>
      </c>
      <c r="N1718" s="14"/>
      <c r="O1718" s="14"/>
      <c r="P1718" s="167"/>
      <c r="Q1718" s="14"/>
      <c r="R1718" s="170">
        <f t="shared" si="240"/>
        <v>0</v>
      </c>
      <c r="S1718" s="108" t="str">
        <f t="shared" si="235"/>
        <v/>
      </c>
      <c r="T1718" s="14"/>
      <c r="U1718" s="14"/>
      <c r="V1718" s="14"/>
      <c r="W1718" s="14"/>
      <c r="X1718" s="14"/>
      <c r="Z1718" s="14"/>
      <c r="AA1718" s="2">
        <f t="shared" si="237"/>
        <v>3</v>
      </c>
      <c r="AB1718" s="153"/>
      <c r="AC1718" s="454" t="str">
        <f t="shared" si="238"/>
        <v/>
      </c>
    </row>
    <row r="1719" spans="1:29" x14ac:dyDescent="0.35">
      <c r="A1719" s="111" t="str">
        <f t="shared" si="239"/>
        <v/>
      </c>
      <c r="B1719" s="222"/>
      <c r="C1719" s="14"/>
      <c r="D1719" s="14"/>
      <c r="E1719" s="14"/>
      <c r="F1719" s="14"/>
      <c r="G1719" s="14" t="s">
        <v>1911</v>
      </c>
      <c r="H1719" s="14"/>
      <c r="I1719" s="176"/>
      <c r="K1719" s="87"/>
      <c r="L1719" s="14"/>
      <c r="M1719" s="324">
        <f t="shared" si="236"/>
        <v>0</v>
      </c>
      <c r="N1719" s="14"/>
      <c r="O1719" s="14"/>
      <c r="P1719" s="167"/>
      <c r="Q1719" s="14"/>
      <c r="R1719" s="170">
        <f t="shared" si="240"/>
        <v>0</v>
      </c>
      <c r="S1719" s="108" t="str">
        <f t="shared" si="235"/>
        <v/>
      </c>
      <c r="T1719" s="14"/>
      <c r="U1719" s="14"/>
      <c r="V1719" s="14"/>
      <c r="W1719" s="14"/>
      <c r="X1719" s="14"/>
      <c r="Z1719" s="14"/>
      <c r="AA1719" s="2">
        <f t="shared" si="237"/>
        <v>3</v>
      </c>
      <c r="AB1719" s="153"/>
      <c r="AC1719" s="454" t="str">
        <f t="shared" si="238"/>
        <v/>
      </c>
    </row>
    <row r="1720" spans="1:29" x14ac:dyDescent="0.35">
      <c r="A1720" s="111" t="str">
        <f t="shared" si="239"/>
        <v/>
      </c>
      <c r="B1720" s="222"/>
      <c r="C1720" s="14"/>
      <c r="D1720" s="14"/>
      <c r="E1720" s="14"/>
      <c r="F1720" s="14"/>
      <c r="G1720" s="14" t="s">
        <v>1911</v>
      </c>
      <c r="H1720" s="14"/>
      <c r="I1720" s="176"/>
      <c r="K1720" s="87"/>
      <c r="L1720" s="14"/>
      <c r="M1720" s="324">
        <f t="shared" si="236"/>
        <v>0</v>
      </c>
      <c r="N1720" s="14"/>
      <c r="O1720" s="14"/>
      <c r="P1720" s="167"/>
      <c r="Q1720" s="14"/>
      <c r="R1720" s="170">
        <f t="shared" si="240"/>
        <v>0</v>
      </c>
      <c r="S1720" s="108" t="str">
        <f t="shared" si="235"/>
        <v/>
      </c>
      <c r="T1720" s="14"/>
      <c r="U1720" s="14"/>
      <c r="V1720" s="14"/>
      <c r="W1720" s="14"/>
      <c r="X1720" s="14"/>
      <c r="Z1720" s="14"/>
      <c r="AA1720" s="2">
        <f t="shared" si="237"/>
        <v>3</v>
      </c>
      <c r="AB1720" s="153"/>
      <c r="AC1720" s="454" t="str">
        <f t="shared" si="238"/>
        <v/>
      </c>
    </row>
    <row r="1721" spans="1:29" x14ac:dyDescent="0.35">
      <c r="A1721" s="111" t="str">
        <f t="shared" si="239"/>
        <v/>
      </c>
      <c r="B1721" s="222"/>
      <c r="C1721" s="14"/>
      <c r="D1721" s="14"/>
      <c r="E1721" s="14"/>
      <c r="F1721" s="14"/>
      <c r="G1721" s="14" t="s">
        <v>1911</v>
      </c>
      <c r="H1721" s="14"/>
      <c r="I1721" s="176"/>
      <c r="K1721" s="87"/>
      <c r="L1721" s="14"/>
      <c r="M1721" s="324">
        <f t="shared" si="236"/>
        <v>0</v>
      </c>
      <c r="N1721" s="14"/>
      <c r="O1721" s="14"/>
      <c r="P1721" s="167"/>
      <c r="Q1721" s="14"/>
      <c r="R1721" s="170">
        <f t="shared" si="240"/>
        <v>0</v>
      </c>
      <c r="S1721" s="108" t="str">
        <f t="shared" si="235"/>
        <v/>
      </c>
      <c r="T1721" s="14"/>
      <c r="U1721" s="14"/>
      <c r="V1721" s="14"/>
      <c r="W1721" s="14"/>
      <c r="X1721" s="14"/>
      <c r="Z1721" s="14"/>
      <c r="AA1721" s="2">
        <f t="shared" si="237"/>
        <v>3</v>
      </c>
      <c r="AB1721" s="153"/>
      <c r="AC1721" s="454" t="str">
        <f t="shared" si="238"/>
        <v/>
      </c>
    </row>
    <row r="1722" spans="1:29" x14ac:dyDescent="0.35">
      <c r="A1722" s="111" t="str">
        <f t="shared" si="239"/>
        <v/>
      </c>
      <c r="B1722" s="222"/>
      <c r="C1722" s="14"/>
      <c r="D1722" s="14"/>
      <c r="E1722" s="14"/>
      <c r="F1722" s="14"/>
      <c r="G1722" s="14" t="s">
        <v>1911</v>
      </c>
      <c r="H1722" s="14"/>
      <c r="I1722" s="176"/>
      <c r="K1722" s="87"/>
      <c r="L1722" s="14"/>
      <c r="M1722" s="324">
        <f t="shared" si="236"/>
        <v>0</v>
      </c>
      <c r="N1722" s="14"/>
      <c r="O1722" s="14"/>
      <c r="P1722" s="167"/>
      <c r="Q1722" s="14"/>
      <c r="R1722" s="170">
        <f t="shared" si="240"/>
        <v>0</v>
      </c>
      <c r="S1722" s="108" t="str">
        <f t="shared" si="235"/>
        <v/>
      </c>
      <c r="T1722" s="14"/>
      <c r="U1722" s="14"/>
      <c r="V1722" s="14"/>
      <c r="W1722" s="14"/>
      <c r="X1722" s="14"/>
      <c r="Z1722" s="14"/>
      <c r="AA1722" s="2">
        <f t="shared" si="237"/>
        <v>3</v>
      </c>
      <c r="AB1722" s="153"/>
      <c r="AC1722" s="454" t="str">
        <f t="shared" si="238"/>
        <v/>
      </c>
    </row>
    <row r="1723" spans="1:29" x14ac:dyDescent="0.35">
      <c r="A1723" s="111" t="str">
        <f t="shared" si="239"/>
        <v/>
      </c>
      <c r="B1723" s="222"/>
      <c r="C1723" s="14"/>
      <c r="D1723" s="14"/>
      <c r="E1723" s="14"/>
      <c r="F1723" s="14"/>
      <c r="G1723" s="14" t="s">
        <v>1911</v>
      </c>
      <c r="H1723" s="14"/>
      <c r="I1723" s="176"/>
      <c r="K1723" s="87"/>
      <c r="L1723" s="14"/>
      <c r="M1723" s="324">
        <f t="shared" si="236"/>
        <v>0</v>
      </c>
      <c r="N1723" s="14"/>
      <c r="O1723" s="14"/>
      <c r="P1723" s="167"/>
      <c r="Q1723" s="14"/>
      <c r="R1723" s="170">
        <f t="shared" si="240"/>
        <v>0</v>
      </c>
      <c r="S1723" s="108" t="str">
        <f t="shared" si="235"/>
        <v/>
      </c>
      <c r="T1723" s="14"/>
      <c r="U1723" s="14"/>
      <c r="V1723" s="14"/>
      <c r="W1723" s="14"/>
      <c r="X1723" s="14"/>
      <c r="Z1723" s="14"/>
      <c r="AA1723" s="2">
        <f t="shared" si="237"/>
        <v>3</v>
      </c>
      <c r="AB1723" s="153"/>
      <c r="AC1723" s="454" t="str">
        <f t="shared" si="238"/>
        <v/>
      </c>
    </row>
    <row r="1724" spans="1:29" x14ac:dyDescent="0.35">
      <c r="A1724" s="111" t="str">
        <f t="shared" si="239"/>
        <v/>
      </c>
      <c r="B1724" s="222"/>
      <c r="C1724" s="14"/>
      <c r="D1724" s="14"/>
      <c r="E1724" s="14"/>
      <c r="F1724" s="14"/>
      <c r="G1724" s="14" t="s">
        <v>1911</v>
      </c>
      <c r="H1724" s="14"/>
      <c r="I1724" s="176"/>
      <c r="K1724" s="87"/>
      <c r="L1724" s="14"/>
      <c r="M1724" s="324">
        <f t="shared" si="236"/>
        <v>0</v>
      </c>
      <c r="N1724" s="14"/>
      <c r="O1724" s="14"/>
      <c r="P1724" s="167"/>
      <c r="Q1724" s="14"/>
      <c r="R1724" s="170">
        <f t="shared" si="240"/>
        <v>0</v>
      </c>
      <c r="S1724" s="108" t="str">
        <f t="shared" si="235"/>
        <v/>
      </c>
      <c r="T1724" s="14"/>
      <c r="U1724" s="14"/>
      <c r="V1724" s="14"/>
      <c r="W1724" s="14"/>
      <c r="X1724" s="14"/>
      <c r="Z1724" s="14"/>
      <c r="AA1724" s="2">
        <f t="shared" si="237"/>
        <v>3</v>
      </c>
      <c r="AB1724" s="153"/>
      <c r="AC1724" s="454" t="str">
        <f t="shared" si="238"/>
        <v/>
      </c>
    </row>
    <row r="1725" spans="1:29" x14ac:dyDescent="0.35">
      <c r="A1725" s="111" t="str">
        <f t="shared" si="239"/>
        <v/>
      </c>
      <c r="B1725" s="222"/>
      <c r="C1725" s="14"/>
      <c r="D1725" s="14"/>
      <c r="E1725" s="14"/>
      <c r="F1725" s="14"/>
      <c r="G1725" s="14" t="s">
        <v>1911</v>
      </c>
      <c r="H1725" s="14"/>
      <c r="I1725" s="176"/>
      <c r="K1725" s="87"/>
      <c r="L1725" s="14"/>
      <c r="M1725" s="324">
        <f t="shared" si="236"/>
        <v>0</v>
      </c>
      <c r="N1725" s="14"/>
      <c r="O1725" s="14"/>
      <c r="P1725" s="167"/>
      <c r="Q1725" s="14"/>
      <c r="R1725" s="170">
        <f t="shared" si="240"/>
        <v>0</v>
      </c>
      <c r="S1725" s="108" t="str">
        <f t="shared" si="235"/>
        <v/>
      </c>
      <c r="T1725" s="14"/>
      <c r="U1725" s="14"/>
      <c r="V1725" s="14"/>
      <c r="W1725" s="14"/>
      <c r="X1725" s="14"/>
      <c r="Z1725" s="14"/>
      <c r="AA1725" s="2">
        <f t="shared" si="237"/>
        <v>3</v>
      </c>
      <c r="AB1725" s="153"/>
      <c r="AC1725" s="454" t="str">
        <f t="shared" si="238"/>
        <v/>
      </c>
    </row>
    <row r="1726" spans="1:29" x14ac:dyDescent="0.35">
      <c r="A1726" s="111" t="str">
        <f t="shared" si="239"/>
        <v/>
      </c>
      <c r="B1726" s="222"/>
      <c r="C1726" s="14"/>
      <c r="D1726" s="14"/>
      <c r="E1726" s="14"/>
      <c r="F1726" s="14"/>
      <c r="G1726" s="14" t="s">
        <v>1911</v>
      </c>
      <c r="H1726" s="14"/>
      <c r="I1726" s="176"/>
      <c r="K1726" s="87"/>
      <c r="L1726" s="14"/>
      <c r="M1726" s="324">
        <f t="shared" si="236"/>
        <v>0</v>
      </c>
      <c r="N1726" s="14"/>
      <c r="O1726" s="14"/>
      <c r="P1726" s="167"/>
      <c r="Q1726" s="14"/>
      <c r="R1726" s="170">
        <f t="shared" si="240"/>
        <v>0</v>
      </c>
      <c r="S1726" s="108" t="str">
        <f t="shared" si="235"/>
        <v/>
      </c>
      <c r="T1726" s="14"/>
      <c r="U1726" s="14"/>
      <c r="V1726" s="14"/>
      <c r="W1726" s="14"/>
      <c r="X1726" s="14"/>
      <c r="Z1726" s="14"/>
      <c r="AA1726" s="2">
        <f t="shared" si="237"/>
        <v>3</v>
      </c>
      <c r="AB1726" s="153"/>
      <c r="AC1726" s="454" t="str">
        <f t="shared" si="238"/>
        <v/>
      </c>
    </row>
    <row r="1727" spans="1:29" x14ac:dyDescent="0.35">
      <c r="A1727" s="111" t="str">
        <f t="shared" si="239"/>
        <v/>
      </c>
      <c r="B1727" s="222"/>
      <c r="C1727" s="14"/>
      <c r="D1727" s="14"/>
      <c r="E1727" s="14"/>
      <c r="F1727" s="14"/>
      <c r="G1727" s="14" t="s">
        <v>1911</v>
      </c>
      <c r="H1727" s="14"/>
      <c r="I1727" s="176"/>
      <c r="K1727" s="87"/>
      <c r="L1727" s="14"/>
      <c r="M1727" s="324">
        <f t="shared" si="236"/>
        <v>0</v>
      </c>
      <c r="N1727" s="14"/>
      <c r="O1727" s="14"/>
      <c r="P1727" s="167"/>
      <c r="Q1727" s="14"/>
      <c r="R1727" s="170">
        <f t="shared" si="240"/>
        <v>0</v>
      </c>
      <c r="S1727" s="108" t="str">
        <f t="shared" si="235"/>
        <v/>
      </c>
      <c r="T1727" s="14"/>
      <c r="U1727" s="14"/>
      <c r="V1727" s="14"/>
      <c r="W1727" s="14"/>
      <c r="X1727" s="14"/>
      <c r="Z1727" s="14"/>
      <c r="AA1727" s="2">
        <f t="shared" si="237"/>
        <v>3</v>
      </c>
      <c r="AB1727" s="153"/>
      <c r="AC1727" s="454" t="str">
        <f t="shared" si="238"/>
        <v/>
      </c>
    </row>
    <row r="1728" spans="1:29" x14ac:dyDescent="0.35">
      <c r="A1728" s="111" t="str">
        <f t="shared" si="239"/>
        <v/>
      </c>
      <c r="B1728" s="222"/>
      <c r="C1728" s="14"/>
      <c r="D1728" s="14"/>
      <c r="E1728" s="14"/>
      <c r="F1728" s="14"/>
      <c r="G1728" s="14" t="s">
        <v>1911</v>
      </c>
      <c r="H1728" s="14"/>
      <c r="I1728" s="176"/>
      <c r="K1728" s="87"/>
      <c r="L1728" s="14"/>
      <c r="M1728" s="324">
        <f t="shared" si="236"/>
        <v>0</v>
      </c>
      <c r="N1728" s="14"/>
      <c r="O1728" s="14"/>
      <c r="P1728" s="167"/>
      <c r="Q1728" s="14"/>
      <c r="R1728" s="170">
        <f t="shared" si="240"/>
        <v>0</v>
      </c>
      <c r="S1728" s="108" t="str">
        <f t="shared" si="235"/>
        <v/>
      </c>
      <c r="T1728" s="14"/>
      <c r="U1728" s="14"/>
      <c r="V1728" s="14"/>
      <c r="W1728" s="14"/>
      <c r="X1728" s="14"/>
      <c r="Z1728" s="14"/>
      <c r="AA1728" s="2">
        <f t="shared" si="237"/>
        <v>3</v>
      </c>
      <c r="AB1728" s="153"/>
      <c r="AC1728" s="454" t="str">
        <f t="shared" si="238"/>
        <v/>
      </c>
    </row>
    <row r="1729" spans="1:29" x14ac:dyDescent="0.35">
      <c r="A1729" s="111" t="str">
        <f t="shared" si="239"/>
        <v/>
      </c>
      <c r="B1729" s="222"/>
      <c r="C1729" s="14"/>
      <c r="D1729" s="14"/>
      <c r="E1729" s="14"/>
      <c r="F1729" s="14"/>
      <c r="G1729" s="14" t="s">
        <v>1911</v>
      </c>
      <c r="H1729" s="14"/>
      <c r="I1729" s="176"/>
      <c r="K1729" s="87"/>
      <c r="L1729" s="14"/>
      <c r="M1729" s="324">
        <f t="shared" si="236"/>
        <v>0</v>
      </c>
      <c r="N1729" s="14"/>
      <c r="O1729" s="14"/>
      <c r="P1729" s="167"/>
      <c r="Q1729" s="14"/>
      <c r="R1729" s="170">
        <f t="shared" si="240"/>
        <v>0</v>
      </c>
      <c r="S1729" s="108" t="str">
        <f t="shared" si="235"/>
        <v/>
      </c>
      <c r="T1729" s="14"/>
      <c r="U1729" s="14"/>
      <c r="V1729" s="14"/>
      <c r="W1729" s="14"/>
      <c r="X1729" s="14"/>
      <c r="Z1729" s="14"/>
      <c r="AA1729" s="2">
        <f t="shared" si="237"/>
        <v>3</v>
      </c>
      <c r="AB1729" s="153"/>
      <c r="AC1729" s="454" t="str">
        <f t="shared" si="238"/>
        <v/>
      </c>
    </row>
    <row r="1730" spans="1:29" x14ac:dyDescent="0.35">
      <c r="A1730" s="111" t="str">
        <f t="shared" si="239"/>
        <v/>
      </c>
      <c r="B1730" s="222"/>
      <c r="C1730" s="14"/>
      <c r="D1730" s="14"/>
      <c r="E1730" s="14"/>
      <c r="F1730" s="14"/>
      <c r="G1730" s="14" t="s">
        <v>1911</v>
      </c>
      <c r="H1730" s="14"/>
      <c r="I1730" s="176"/>
      <c r="K1730" s="87"/>
      <c r="L1730" s="14"/>
      <c r="M1730" s="324">
        <f t="shared" si="236"/>
        <v>0</v>
      </c>
      <c r="N1730" s="14"/>
      <c r="O1730" s="14"/>
      <c r="P1730" s="167"/>
      <c r="Q1730" s="14"/>
      <c r="R1730" s="170">
        <f t="shared" si="240"/>
        <v>0</v>
      </c>
      <c r="S1730" s="108" t="str">
        <f t="shared" si="235"/>
        <v/>
      </c>
      <c r="T1730" s="14"/>
      <c r="U1730" s="14"/>
      <c r="V1730" s="14"/>
      <c r="W1730" s="14"/>
      <c r="X1730" s="14"/>
      <c r="Z1730" s="14"/>
      <c r="AA1730" s="2">
        <f t="shared" si="237"/>
        <v>3</v>
      </c>
      <c r="AB1730" s="153"/>
      <c r="AC1730" s="454" t="str">
        <f t="shared" si="238"/>
        <v/>
      </c>
    </row>
    <row r="1731" spans="1:29" x14ac:dyDescent="0.35">
      <c r="A1731" s="111" t="str">
        <f t="shared" si="239"/>
        <v/>
      </c>
      <c r="B1731" s="222"/>
      <c r="C1731" s="14"/>
      <c r="D1731" s="14"/>
      <c r="E1731" s="14"/>
      <c r="F1731" s="14"/>
      <c r="G1731" s="14" t="s">
        <v>1911</v>
      </c>
      <c r="H1731" s="14"/>
      <c r="I1731" s="176"/>
      <c r="K1731" s="87"/>
      <c r="L1731" s="14"/>
      <c r="M1731" s="324">
        <f t="shared" si="236"/>
        <v>0</v>
      </c>
      <c r="N1731" s="14"/>
      <c r="O1731" s="14"/>
      <c r="P1731" s="167"/>
      <c r="Q1731" s="14"/>
      <c r="R1731" s="170">
        <f t="shared" si="240"/>
        <v>0</v>
      </c>
      <c r="S1731" s="108" t="str">
        <f t="shared" si="235"/>
        <v/>
      </c>
      <c r="T1731" s="14"/>
      <c r="U1731" s="14"/>
      <c r="V1731" s="14"/>
      <c r="W1731" s="14"/>
      <c r="X1731" s="14"/>
      <c r="Z1731" s="14"/>
      <c r="AA1731" s="2">
        <f t="shared" si="237"/>
        <v>3</v>
      </c>
      <c r="AB1731" s="153"/>
      <c r="AC1731" s="454" t="str">
        <f t="shared" si="238"/>
        <v/>
      </c>
    </row>
    <row r="1732" spans="1:29" x14ac:dyDescent="0.35">
      <c r="A1732" s="111" t="str">
        <f t="shared" si="239"/>
        <v/>
      </c>
      <c r="B1732" s="222"/>
      <c r="C1732" s="14"/>
      <c r="D1732" s="14"/>
      <c r="E1732" s="14"/>
      <c r="F1732" s="14"/>
      <c r="G1732" s="14" t="s">
        <v>1911</v>
      </c>
      <c r="H1732" s="14"/>
      <c r="I1732" s="176"/>
      <c r="K1732" s="87"/>
      <c r="L1732" s="14"/>
      <c r="M1732" s="324">
        <f t="shared" si="236"/>
        <v>0</v>
      </c>
      <c r="N1732" s="14"/>
      <c r="O1732" s="14"/>
      <c r="P1732" s="167"/>
      <c r="Q1732" s="14"/>
      <c r="R1732" s="170">
        <f t="shared" si="240"/>
        <v>0</v>
      </c>
      <c r="S1732" s="108" t="str">
        <f t="shared" si="235"/>
        <v/>
      </c>
      <c r="T1732" s="14"/>
      <c r="U1732" s="14"/>
      <c r="V1732" s="14"/>
      <c r="W1732" s="14"/>
      <c r="X1732" s="14"/>
      <c r="Z1732" s="14"/>
      <c r="AA1732" s="2">
        <f t="shared" si="237"/>
        <v>3</v>
      </c>
      <c r="AB1732" s="153"/>
      <c r="AC1732" s="454" t="str">
        <f t="shared" si="238"/>
        <v/>
      </c>
    </row>
    <row r="1733" spans="1:29" x14ac:dyDescent="0.35">
      <c r="A1733" s="111" t="str">
        <f t="shared" si="239"/>
        <v/>
      </c>
      <c r="B1733" s="222"/>
      <c r="C1733" s="14"/>
      <c r="D1733" s="14"/>
      <c r="E1733" s="14"/>
      <c r="F1733" s="14"/>
      <c r="G1733" s="14" t="s">
        <v>1911</v>
      </c>
      <c r="H1733" s="14"/>
      <c r="I1733" s="176"/>
      <c r="K1733" s="87"/>
      <c r="L1733" s="14"/>
      <c r="M1733" s="324">
        <f t="shared" si="236"/>
        <v>0</v>
      </c>
      <c r="N1733" s="14"/>
      <c r="O1733" s="14"/>
      <c r="P1733" s="167"/>
      <c r="Q1733" s="14"/>
      <c r="R1733" s="170">
        <f t="shared" si="240"/>
        <v>0</v>
      </c>
      <c r="S1733" s="108" t="str">
        <f t="shared" ref="S1733:S1796" si="241">IF(B1733="","",B1733+28)</f>
        <v/>
      </c>
      <c r="T1733" s="14"/>
      <c r="U1733" s="14"/>
      <c r="V1733" s="14"/>
      <c r="W1733" s="14"/>
      <c r="X1733" s="14"/>
      <c r="Z1733" s="14"/>
      <c r="AA1733" s="2">
        <f t="shared" si="237"/>
        <v>3</v>
      </c>
      <c r="AB1733" s="153"/>
      <c r="AC1733" s="454" t="str">
        <f t="shared" si="238"/>
        <v/>
      </c>
    </row>
    <row r="1734" spans="1:29" x14ac:dyDescent="0.35">
      <c r="A1734" s="111" t="str">
        <f t="shared" si="239"/>
        <v/>
      </c>
      <c r="B1734" s="222"/>
      <c r="C1734" s="14"/>
      <c r="D1734" s="14"/>
      <c r="E1734" s="14"/>
      <c r="F1734" s="14"/>
      <c r="G1734" s="14" t="s">
        <v>1911</v>
      </c>
      <c r="H1734" s="14"/>
      <c r="I1734" s="176"/>
      <c r="K1734" s="87"/>
      <c r="L1734" s="14"/>
      <c r="M1734" s="324">
        <f t="shared" si="236"/>
        <v>0</v>
      </c>
      <c r="N1734" s="14"/>
      <c r="O1734" s="14"/>
      <c r="P1734" s="167"/>
      <c r="Q1734" s="14"/>
      <c r="R1734" s="170">
        <f t="shared" si="240"/>
        <v>0</v>
      </c>
      <c r="S1734" s="108" t="str">
        <f t="shared" si="241"/>
        <v/>
      </c>
      <c r="T1734" s="14"/>
      <c r="U1734" s="14"/>
      <c r="V1734" s="14"/>
      <c r="W1734" s="14"/>
      <c r="X1734" s="14"/>
      <c r="Z1734" s="14"/>
      <c r="AA1734" s="2">
        <f t="shared" si="237"/>
        <v>3</v>
      </c>
      <c r="AB1734" s="153"/>
      <c r="AC1734" s="454" t="str">
        <f t="shared" si="238"/>
        <v/>
      </c>
    </row>
    <row r="1735" spans="1:29" x14ac:dyDescent="0.35">
      <c r="A1735" s="111" t="str">
        <f t="shared" si="239"/>
        <v/>
      </c>
      <c r="B1735" s="222"/>
      <c r="C1735" s="14"/>
      <c r="D1735" s="14"/>
      <c r="E1735" s="14"/>
      <c r="F1735" s="14"/>
      <c r="G1735" s="14" t="s">
        <v>1911</v>
      </c>
      <c r="H1735" s="14"/>
      <c r="I1735" s="176"/>
      <c r="K1735" s="87"/>
      <c r="L1735" s="14"/>
      <c r="M1735" s="324">
        <f t="shared" si="236"/>
        <v>0</v>
      </c>
      <c r="N1735" s="14"/>
      <c r="O1735" s="14"/>
      <c r="P1735" s="167"/>
      <c r="Q1735" s="14"/>
      <c r="R1735" s="170">
        <f t="shared" si="240"/>
        <v>0</v>
      </c>
      <c r="S1735" s="108" t="str">
        <f t="shared" si="241"/>
        <v/>
      </c>
      <c r="T1735" s="14"/>
      <c r="U1735" s="14"/>
      <c r="V1735" s="14"/>
      <c r="W1735" s="14"/>
      <c r="X1735" s="14"/>
      <c r="Z1735" s="14"/>
      <c r="AA1735" s="2">
        <f t="shared" si="237"/>
        <v>3</v>
      </c>
      <c r="AB1735" s="153"/>
      <c r="AC1735" s="454" t="str">
        <f t="shared" si="238"/>
        <v/>
      </c>
    </row>
    <row r="1736" spans="1:29" x14ac:dyDescent="0.35">
      <c r="A1736" s="111" t="str">
        <f t="shared" si="239"/>
        <v/>
      </c>
      <c r="B1736" s="222"/>
      <c r="C1736" s="14"/>
      <c r="D1736" s="14"/>
      <c r="E1736" s="14"/>
      <c r="F1736" s="14"/>
      <c r="G1736" s="14" t="s">
        <v>1911</v>
      </c>
      <c r="H1736" s="14"/>
      <c r="I1736" s="176"/>
      <c r="K1736" s="87"/>
      <c r="L1736" s="14"/>
      <c r="M1736" s="324">
        <f t="shared" si="236"/>
        <v>0</v>
      </c>
      <c r="N1736" s="14"/>
      <c r="O1736" s="14"/>
      <c r="P1736" s="167"/>
      <c r="Q1736" s="14"/>
      <c r="R1736" s="170">
        <f t="shared" si="240"/>
        <v>0</v>
      </c>
      <c r="S1736" s="108" t="str">
        <f t="shared" si="241"/>
        <v/>
      </c>
      <c r="T1736" s="14"/>
      <c r="U1736" s="14"/>
      <c r="V1736" s="14"/>
      <c r="W1736" s="14"/>
      <c r="X1736" s="14"/>
      <c r="Z1736" s="14"/>
      <c r="AA1736" s="2">
        <f t="shared" si="237"/>
        <v>3</v>
      </c>
      <c r="AB1736" s="153"/>
      <c r="AC1736" s="454" t="str">
        <f t="shared" si="238"/>
        <v/>
      </c>
    </row>
    <row r="1737" spans="1:29" x14ac:dyDescent="0.35">
      <c r="A1737" s="111" t="str">
        <f t="shared" si="239"/>
        <v/>
      </c>
      <c r="B1737" s="222"/>
      <c r="C1737" s="14"/>
      <c r="D1737" s="14"/>
      <c r="E1737" s="14"/>
      <c r="F1737" s="14"/>
      <c r="G1737" s="14" t="s">
        <v>1911</v>
      </c>
      <c r="H1737" s="14"/>
      <c r="I1737" s="176"/>
      <c r="K1737" s="87"/>
      <c r="L1737" s="14"/>
      <c r="M1737" s="324">
        <f t="shared" si="236"/>
        <v>0</v>
      </c>
      <c r="N1737" s="14"/>
      <c r="O1737" s="14"/>
      <c r="P1737" s="167"/>
      <c r="Q1737" s="14"/>
      <c r="R1737" s="170">
        <f t="shared" si="240"/>
        <v>0</v>
      </c>
      <c r="S1737" s="108" t="str">
        <f t="shared" si="241"/>
        <v/>
      </c>
      <c r="T1737" s="14"/>
      <c r="U1737" s="14"/>
      <c r="V1737" s="14"/>
      <c r="W1737" s="14"/>
      <c r="X1737" s="14"/>
      <c r="Z1737" s="14"/>
      <c r="AA1737" s="2">
        <f t="shared" si="237"/>
        <v>3</v>
      </c>
      <c r="AB1737" s="153"/>
      <c r="AC1737" s="454" t="str">
        <f t="shared" si="238"/>
        <v/>
      </c>
    </row>
    <row r="1738" spans="1:29" x14ac:dyDescent="0.35">
      <c r="A1738" s="111" t="str">
        <f t="shared" si="239"/>
        <v/>
      </c>
      <c r="B1738" s="222"/>
      <c r="C1738" s="14"/>
      <c r="D1738" s="14"/>
      <c r="E1738" s="14"/>
      <c r="F1738" s="14"/>
      <c r="G1738" s="14" t="s">
        <v>1911</v>
      </c>
      <c r="H1738" s="14"/>
      <c r="I1738" s="176"/>
      <c r="K1738" s="87"/>
      <c r="L1738" s="14"/>
      <c r="M1738" s="324">
        <f t="shared" si="236"/>
        <v>0</v>
      </c>
      <c r="N1738" s="14"/>
      <c r="O1738" s="14"/>
      <c r="P1738" s="167"/>
      <c r="Q1738" s="14"/>
      <c r="R1738" s="170">
        <f t="shared" si="240"/>
        <v>0</v>
      </c>
      <c r="S1738" s="108" t="str">
        <f t="shared" si="241"/>
        <v/>
      </c>
      <c r="T1738" s="14"/>
      <c r="U1738" s="14"/>
      <c r="V1738" s="14"/>
      <c r="W1738" s="14"/>
      <c r="X1738" s="14"/>
      <c r="Z1738" s="14"/>
      <c r="AA1738" s="2">
        <f t="shared" si="237"/>
        <v>3</v>
      </c>
      <c r="AB1738" s="153"/>
      <c r="AC1738" s="454" t="str">
        <f t="shared" si="238"/>
        <v/>
      </c>
    </row>
    <row r="1739" spans="1:29" x14ac:dyDescent="0.35">
      <c r="A1739" s="111" t="str">
        <f t="shared" si="239"/>
        <v/>
      </c>
      <c r="B1739" s="222"/>
      <c r="C1739" s="14"/>
      <c r="D1739" s="14"/>
      <c r="E1739" s="14"/>
      <c r="F1739" s="14"/>
      <c r="G1739" s="14" t="s">
        <v>1911</v>
      </c>
      <c r="H1739" s="14"/>
      <c r="I1739" s="176"/>
      <c r="K1739" s="87"/>
      <c r="L1739" s="14"/>
      <c r="M1739" s="324">
        <f t="shared" si="236"/>
        <v>0</v>
      </c>
      <c r="N1739" s="14"/>
      <c r="O1739" s="14"/>
      <c r="P1739" s="167"/>
      <c r="Q1739" s="14"/>
      <c r="R1739" s="170">
        <f t="shared" si="240"/>
        <v>0</v>
      </c>
      <c r="S1739" s="108" t="str">
        <f t="shared" si="241"/>
        <v/>
      </c>
      <c r="T1739" s="14"/>
      <c r="U1739" s="14"/>
      <c r="V1739" s="14"/>
      <c r="W1739" s="14"/>
      <c r="X1739" s="14"/>
      <c r="Z1739" s="14"/>
      <c r="AA1739" s="2">
        <f t="shared" si="237"/>
        <v>3</v>
      </c>
      <c r="AB1739" s="153"/>
      <c r="AC1739" s="454" t="str">
        <f t="shared" si="238"/>
        <v/>
      </c>
    </row>
    <row r="1740" spans="1:29" x14ac:dyDescent="0.35">
      <c r="A1740" s="111" t="str">
        <f t="shared" si="239"/>
        <v/>
      </c>
      <c r="B1740" s="222"/>
      <c r="C1740" s="14"/>
      <c r="D1740" s="14"/>
      <c r="E1740" s="14"/>
      <c r="F1740" s="14"/>
      <c r="G1740" s="14" t="s">
        <v>1911</v>
      </c>
      <c r="H1740" s="14"/>
      <c r="I1740" s="176"/>
      <c r="K1740" s="87"/>
      <c r="L1740" s="14"/>
      <c r="M1740" s="324">
        <f t="shared" si="236"/>
        <v>0</v>
      </c>
      <c r="N1740" s="14"/>
      <c r="O1740" s="14"/>
      <c r="P1740" s="167"/>
      <c r="Q1740" s="14"/>
      <c r="R1740" s="170">
        <f t="shared" si="240"/>
        <v>0</v>
      </c>
      <c r="S1740" s="108" t="str">
        <f t="shared" si="241"/>
        <v/>
      </c>
      <c r="T1740" s="14"/>
      <c r="U1740" s="14"/>
      <c r="V1740" s="14"/>
      <c r="W1740" s="14"/>
      <c r="X1740" s="14"/>
      <c r="Z1740" s="14"/>
      <c r="AA1740" s="2">
        <f t="shared" si="237"/>
        <v>3</v>
      </c>
      <c r="AB1740" s="153"/>
      <c r="AC1740" s="454" t="str">
        <f t="shared" si="238"/>
        <v/>
      </c>
    </row>
    <row r="1741" spans="1:29" x14ac:dyDescent="0.35">
      <c r="A1741" s="111" t="str">
        <f t="shared" si="239"/>
        <v/>
      </c>
      <c r="B1741" s="222"/>
      <c r="C1741" s="14"/>
      <c r="D1741" s="14"/>
      <c r="E1741" s="14"/>
      <c r="F1741" s="14"/>
      <c r="G1741" s="14" t="s">
        <v>1911</v>
      </c>
      <c r="H1741" s="14"/>
      <c r="I1741" s="176"/>
      <c r="K1741" s="87"/>
      <c r="L1741" s="14"/>
      <c r="M1741" s="324">
        <f t="shared" si="236"/>
        <v>0</v>
      </c>
      <c r="N1741" s="14"/>
      <c r="O1741" s="14"/>
      <c r="P1741" s="167"/>
      <c r="Q1741" s="14"/>
      <c r="R1741" s="170">
        <f t="shared" si="240"/>
        <v>0</v>
      </c>
      <c r="S1741" s="108" t="str">
        <f t="shared" si="241"/>
        <v/>
      </c>
      <c r="T1741" s="14"/>
      <c r="U1741" s="14"/>
      <c r="V1741" s="14"/>
      <c r="W1741" s="14"/>
      <c r="X1741" s="14"/>
      <c r="Z1741" s="14"/>
      <c r="AA1741" s="2">
        <f t="shared" si="237"/>
        <v>3</v>
      </c>
      <c r="AB1741" s="153"/>
      <c r="AC1741" s="454" t="str">
        <f t="shared" si="238"/>
        <v/>
      </c>
    </row>
    <row r="1742" spans="1:29" x14ac:dyDescent="0.35">
      <c r="A1742" s="111" t="str">
        <f t="shared" si="239"/>
        <v/>
      </c>
      <c r="B1742" s="222"/>
      <c r="C1742" s="14"/>
      <c r="D1742" s="14"/>
      <c r="E1742" s="14"/>
      <c r="F1742" s="14"/>
      <c r="G1742" s="14" t="s">
        <v>1911</v>
      </c>
      <c r="H1742" s="14"/>
      <c r="I1742" s="176"/>
      <c r="K1742" s="87"/>
      <c r="L1742" s="14"/>
      <c r="M1742" s="324">
        <f t="shared" si="236"/>
        <v>0</v>
      </c>
      <c r="N1742" s="14"/>
      <c r="O1742" s="14"/>
      <c r="P1742" s="167"/>
      <c r="Q1742" s="14"/>
      <c r="R1742" s="170">
        <f t="shared" si="240"/>
        <v>0</v>
      </c>
      <c r="S1742" s="108" t="str">
        <f t="shared" si="241"/>
        <v/>
      </c>
      <c r="T1742" s="14"/>
      <c r="U1742" s="14"/>
      <c r="V1742" s="14"/>
      <c r="W1742" s="14"/>
      <c r="X1742" s="14"/>
      <c r="Z1742" s="14"/>
      <c r="AA1742" s="2">
        <f t="shared" si="237"/>
        <v>3</v>
      </c>
      <c r="AB1742" s="153"/>
      <c r="AC1742" s="454" t="str">
        <f t="shared" si="238"/>
        <v/>
      </c>
    </row>
    <row r="1743" spans="1:29" x14ac:dyDescent="0.35">
      <c r="A1743" s="111" t="str">
        <f t="shared" si="239"/>
        <v/>
      </c>
      <c r="B1743" s="222"/>
      <c r="C1743" s="14"/>
      <c r="D1743" s="14"/>
      <c r="E1743" s="14"/>
      <c r="F1743" s="14"/>
      <c r="G1743" s="14" t="s">
        <v>1911</v>
      </c>
      <c r="H1743" s="14"/>
      <c r="I1743" s="176"/>
      <c r="K1743" s="87"/>
      <c r="L1743" s="14"/>
      <c r="M1743" s="324">
        <f t="shared" si="236"/>
        <v>0</v>
      </c>
      <c r="N1743" s="14"/>
      <c r="O1743" s="14"/>
      <c r="P1743" s="167"/>
      <c r="Q1743" s="14"/>
      <c r="R1743" s="170">
        <f t="shared" si="240"/>
        <v>0</v>
      </c>
      <c r="S1743" s="108" t="str">
        <f t="shared" si="241"/>
        <v/>
      </c>
      <c r="T1743" s="14"/>
      <c r="U1743" s="14"/>
      <c r="V1743" s="14"/>
      <c r="W1743" s="14"/>
      <c r="X1743" s="14"/>
      <c r="Z1743" s="14"/>
      <c r="AA1743" s="2">
        <f t="shared" si="237"/>
        <v>3</v>
      </c>
      <c r="AB1743" s="153"/>
      <c r="AC1743" s="454" t="str">
        <f t="shared" si="238"/>
        <v/>
      </c>
    </row>
    <row r="1744" spans="1:29" x14ac:dyDescent="0.35">
      <c r="A1744" s="111" t="str">
        <f t="shared" si="239"/>
        <v/>
      </c>
      <c r="B1744" s="222"/>
      <c r="C1744" s="14"/>
      <c r="D1744" s="14"/>
      <c r="E1744" s="14"/>
      <c r="F1744" s="14"/>
      <c r="G1744" s="14" t="s">
        <v>1911</v>
      </c>
      <c r="H1744" s="14"/>
      <c r="I1744" s="176"/>
      <c r="K1744" s="87"/>
      <c r="L1744" s="14"/>
      <c r="M1744" s="324">
        <f t="shared" si="236"/>
        <v>0</v>
      </c>
      <c r="N1744" s="14"/>
      <c r="O1744" s="14"/>
      <c r="P1744" s="167"/>
      <c r="Q1744" s="14"/>
      <c r="R1744" s="170">
        <f t="shared" si="240"/>
        <v>0</v>
      </c>
      <c r="S1744" s="108" t="str">
        <f t="shared" si="241"/>
        <v/>
      </c>
      <c r="T1744" s="14"/>
      <c r="U1744" s="14"/>
      <c r="V1744" s="14"/>
      <c r="W1744" s="14"/>
      <c r="X1744" s="14"/>
      <c r="Z1744" s="14"/>
      <c r="AA1744" s="2">
        <f t="shared" si="237"/>
        <v>3</v>
      </c>
      <c r="AB1744" s="153"/>
      <c r="AC1744" s="454" t="str">
        <f t="shared" si="238"/>
        <v/>
      </c>
    </row>
    <row r="1745" spans="1:29" x14ac:dyDescent="0.35">
      <c r="A1745" s="111" t="str">
        <f t="shared" si="239"/>
        <v/>
      </c>
      <c r="B1745" s="222"/>
      <c r="C1745" s="14"/>
      <c r="D1745" s="14"/>
      <c r="E1745" s="14"/>
      <c r="F1745" s="14"/>
      <c r="G1745" s="14" t="s">
        <v>1911</v>
      </c>
      <c r="H1745" s="14"/>
      <c r="I1745" s="176"/>
      <c r="K1745" s="87"/>
      <c r="L1745" s="14"/>
      <c r="M1745" s="324">
        <f t="shared" si="236"/>
        <v>0</v>
      </c>
      <c r="N1745" s="14"/>
      <c r="O1745" s="14"/>
      <c r="P1745" s="167"/>
      <c r="Q1745" s="14"/>
      <c r="R1745" s="170">
        <f t="shared" si="240"/>
        <v>0</v>
      </c>
      <c r="S1745" s="108" t="str">
        <f t="shared" si="241"/>
        <v/>
      </c>
      <c r="T1745" s="14"/>
      <c r="U1745" s="14"/>
      <c r="V1745" s="14"/>
      <c r="W1745" s="14"/>
      <c r="X1745" s="14"/>
      <c r="Z1745" s="14"/>
      <c r="AA1745" s="2">
        <f t="shared" si="237"/>
        <v>3</v>
      </c>
      <c r="AB1745" s="153"/>
      <c r="AC1745" s="454" t="str">
        <f t="shared" si="238"/>
        <v/>
      </c>
    </row>
    <row r="1746" spans="1:29" x14ac:dyDescent="0.35">
      <c r="A1746" s="111" t="str">
        <f t="shared" si="239"/>
        <v/>
      </c>
      <c r="B1746" s="222"/>
      <c r="C1746" s="14"/>
      <c r="D1746" s="14"/>
      <c r="E1746" s="14"/>
      <c r="F1746" s="14"/>
      <c r="G1746" s="14" t="s">
        <v>1911</v>
      </c>
      <c r="H1746" s="14"/>
      <c r="I1746" s="176"/>
      <c r="K1746" s="87"/>
      <c r="L1746" s="14"/>
      <c r="M1746" s="324">
        <f t="shared" si="236"/>
        <v>0</v>
      </c>
      <c r="N1746" s="14"/>
      <c r="O1746" s="14"/>
      <c r="P1746" s="167"/>
      <c r="Q1746" s="14"/>
      <c r="R1746" s="170">
        <f t="shared" si="240"/>
        <v>0</v>
      </c>
      <c r="S1746" s="108" t="str">
        <f t="shared" si="241"/>
        <v/>
      </c>
      <c r="T1746" s="14"/>
      <c r="U1746" s="14"/>
      <c r="V1746" s="14"/>
      <c r="W1746" s="14"/>
      <c r="X1746" s="14"/>
      <c r="Z1746" s="14"/>
      <c r="AA1746" s="2">
        <f t="shared" si="237"/>
        <v>3</v>
      </c>
      <c r="AB1746" s="153"/>
      <c r="AC1746" s="454" t="str">
        <f t="shared" si="238"/>
        <v/>
      </c>
    </row>
    <row r="1747" spans="1:29" x14ac:dyDescent="0.35">
      <c r="A1747" s="111" t="str">
        <f t="shared" si="239"/>
        <v/>
      </c>
      <c r="B1747" s="222"/>
      <c r="C1747" s="14"/>
      <c r="D1747" s="14"/>
      <c r="E1747" s="14"/>
      <c r="F1747" s="14"/>
      <c r="G1747" s="14" t="s">
        <v>1911</v>
      </c>
      <c r="H1747" s="14"/>
      <c r="I1747" s="176"/>
      <c r="K1747" s="87"/>
      <c r="L1747" s="14"/>
      <c r="M1747" s="324">
        <f t="shared" si="236"/>
        <v>0</v>
      </c>
      <c r="N1747" s="14"/>
      <c r="O1747" s="14"/>
      <c r="P1747" s="167"/>
      <c r="Q1747" s="14"/>
      <c r="R1747" s="170">
        <f t="shared" si="240"/>
        <v>0</v>
      </c>
      <c r="S1747" s="108" t="str">
        <f t="shared" si="241"/>
        <v/>
      </c>
      <c r="T1747" s="14"/>
      <c r="U1747" s="14"/>
      <c r="V1747" s="14"/>
      <c r="W1747" s="14"/>
      <c r="X1747" s="14"/>
      <c r="Z1747" s="14"/>
      <c r="AA1747" s="2">
        <f t="shared" si="237"/>
        <v>3</v>
      </c>
      <c r="AB1747" s="153"/>
      <c r="AC1747" s="454" t="str">
        <f t="shared" si="238"/>
        <v/>
      </c>
    </row>
    <row r="1748" spans="1:29" x14ac:dyDescent="0.35">
      <c r="A1748" s="111" t="str">
        <f t="shared" si="239"/>
        <v/>
      </c>
      <c r="B1748" s="222"/>
      <c r="C1748" s="14"/>
      <c r="D1748" s="14"/>
      <c r="E1748" s="14"/>
      <c r="F1748" s="14"/>
      <c r="G1748" s="14" t="s">
        <v>1911</v>
      </c>
      <c r="H1748" s="14"/>
      <c r="I1748" s="176"/>
      <c r="K1748" s="87"/>
      <c r="L1748" s="14"/>
      <c r="M1748" s="324">
        <f t="shared" ref="M1748:M1811" si="242">IF(I1748="Staff Accident","Entry Required",IF(I1748="Assaults","Entry Required",0))</f>
        <v>0</v>
      </c>
      <c r="N1748" s="14"/>
      <c r="O1748" s="14"/>
      <c r="P1748" s="167"/>
      <c r="Q1748" s="14"/>
      <c r="R1748" s="170">
        <f t="shared" si="240"/>
        <v>0</v>
      </c>
      <c r="S1748" s="108" t="str">
        <f t="shared" si="241"/>
        <v/>
      </c>
      <c r="T1748" s="14"/>
      <c r="U1748" s="14"/>
      <c r="V1748" s="14"/>
      <c r="W1748" s="14"/>
      <c r="X1748" s="14"/>
      <c r="Z1748" s="14"/>
      <c r="AA1748" s="2">
        <f t="shared" si="237"/>
        <v>3</v>
      </c>
      <c r="AB1748" s="153"/>
      <c r="AC1748" s="454" t="str">
        <f t="shared" si="238"/>
        <v/>
      </c>
    </row>
    <row r="1749" spans="1:29" x14ac:dyDescent="0.35">
      <c r="A1749" s="111" t="str">
        <f t="shared" si="239"/>
        <v/>
      </c>
      <c r="B1749" s="222"/>
      <c r="C1749" s="14"/>
      <c r="D1749" s="14"/>
      <c r="E1749" s="14"/>
      <c r="F1749" s="14"/>
      <c r="G1749" s="14" t="s">
        <v>1911</v>
      </c>
      <c r="H1749" s="14"/>
      <c r="I1749" s="176"/>
      <c r="K1749" s="87"/>
      <c r="L1749" s="14"/>
      <c r="M1749" s="324">
        <f t="shared" si="242"/>
        <v>0</v>
      </c>
      <c r="N1749" s="14"/>
      <c r="O1749" s="14"/>
      <c r="P1749" s="167"/>
      <c r="Q1749" s="14"/>
      <c r="R1749" s="170">
        <f t="shared" si="240"/>
        <v>0</v>
      </c>
      <c r="S1749" s="108" t="str">
        <f t="shared" si="241"/>
        <v/>
      </c>
      <c r="T1749" s="14"/>
      <c r="U1749" s="14"/>
      <c r="V1749" s="14"/>
      <c r="W1749" s="14"/>
      <c r="X1749" s="14"/>
      <c r="Z1749" s="14"/>
      <c r="AA1749" s="2">
        <f t="shared" si="237"/>
        <v>3</v>
      </c>
      <c r="AB1749" s="153"/>
      <c r="AC1749" s="454" t="str">
        <f t="shared" si="238"/>
        <v/>
      </c>
    </row>
    <row r="1750" spans="1:29" x14ac:dyDescent="0.35">
      <c r="A1750" s="111" t="str">
        <f t="shared" si="239"/>
        <v/>
      </c>
      <c r="B1750" s="222"/>
      <c r="C1750" s="14"/>
      <c r="D1750" s="14"/>
      <c r="E1750" s="14"/>
      <c r="F1750" s="14"/>
      <c r="G1750" s="14" t="s">
        <v>1911</v>
      </c>
      <c r="H1750" s="14"/>
      <c r="I1750" s="176"/>
      <c r="K1750" s="87"/>
      <c r="L1750" s="14"/>
      <c r="M1750" s="324">
        <f t="shared" si="242"/>
        <v>0</v>
      </c>
      <c r="N1750" s="14"/>
      <c r="O1750" s="14"/>
      <c r="P1750" s="167"/>
      <c r="Q1750" s="14"/>
      <c r="R1750" s="170">
        <f t="shared" si="240"/>
        <v>0</v>
      </c>
      <c r="S1750" s="108" t="str">
        <f t="shared" si="241"/>
        <v/>
      </c>
      <c r="T1750" s="14"/>
      <c r="U1750" s="14"/>
      <c r="V1750" s="14"/>
      <c r="W1750" s="14"/>
      <c r="X1750" s="14"/>
      <c r="Z1750" s="14"/>
      <c r="AA1750" s="2">
        <f t="shared" ref="AA1750:AA1813" si="243">IF(B1750="",3,IF(S1750&lt;$A$1,1,0))</f>
        <v>3</v>
      </c>
      <c r="AB1750" s="153"/>
      <c r="AC1750" s="454" t="str">
        <f t="shared" si="238"/>
        <v/>
      </c>
    </row>
    <row r="1751" spans="1:29" x14ac:dyDescent="0.35">
      <c r="A1751" s="111" t="str">
        <f t="shared" si="239"/>
        <v/>
      </c>
      <c r="B1751" s="222"/>
      <c r="C1751" s="14"/>
      <c r="D1751" s="14"/>
      <c r="E1751" s="14"/>
      <c r="F1751" s="14"/>
      <c r="G1751" s="14" t="s">
        <v>1911</v>
      </c>
      <c r="H1751" s="14"/>
      <c r="I1751" s="176"/>
      <c r="K1751" s="87"/>
      <c r="L1751" s="14"/>
      <c r="M1751" s="324">
        <f t="shared" si="242"/>
        <v>0</v>
      </c>
      <c r="N1751" s="14"/>
      <c r="O1751" s="14"/>
      <c r="P1751" s="167"/>
      <c r="Q1751" s="14"/>
      <c r="R1751" s="170">
        <f t="shared" si="240"/>
        <v>0</v>
      </c>
      <c r="S1751" s="108" t="str">
        <f t="shared" si="241"/>
        <v/>
      </c>
      <c r="T1751" s="14"/>
      <c r="U1751" s="14"/>
      <c r="V1751" s="14"/>
      <c r="W1751" s="14"/>
      <c r="X1751" s="14"/>
      <c r="Z1751" s="14"/>
      <c r="AA1751" s="2">
        <f t="shared" si="243"/>
        <v>3</v>
      </c>
      <c r="AB1751" s="153"/>
      <c r="AC1751" s="454" t="str">
        <f t="shared" si="238"/>
        <v/>
      </c>
    </row>
    <row r="1752" spans="1:29" x14ac:dyDescent="0.35">
      <c r="A1752" s="111" t="str">
        <f t="shared" si="239"/>
        <v/>
      </c>
      <c r="B1752" s="222"/>
      <c r="C1752" s="14"/>
      <c r="D1752" s="14"/>
      <c r="E1752" s="14"/>
      <c r="F1752" s="14"/>
      <c r="G1752" s="14" t="s">
        <v>1911</v>
      </c>
      <c r="H1752" s="14"/>
      <c r="I1752" s="176"/>
      <c r="K1752" s="87"/>
      <c r="L1752" s="14"/>
      <c r="M1752" s="324">
        <f t="shared" si="242"/>
        <v>0</v>
      </c>
      <c r="N1752" s="14"/>
      <c r="O1752" s="14"/>
      <c r="P1752" s="167"/>
      <c r="Q1752" s="14"/>
      <c r="R1752" s="170">
        <f t="shared" si="240"/>
        <v>0</v>
      </c>
      <c r="S1752" s="108" t="str">
        <f t="shared" si="241"/>
        <v/>
      </c>
      <c r="T1752" s="14"/>
      <c r="U1752" s="14"/>
      <c r="V1752" s="14"/>
      <c r="W1752" s="14"/>
      <c r="X1752" s="14"/>
      <c r="Z1752" s="14"/>
      <c r="AA1752" s="2">
        <f t="shared" si="243"/>
        <v>3</v>
      </c>
      <c r="AB1752" s="153"/>
      <c r="AC1752" s="454" t="str">
        <f t="shared" si="238"/>
        <v/>
      </c>
    </row>
    <row r="1753" spans="1:29" x14ac:dyDescent="0.35">
      <c r="A1753" s="111" t="str">
        <f t="shared" si="239"/>
        <v/>
      </c>
      <c r="B1753" s="222"/>
      <c r="C1753" s="14"/>
      <c r="D1753" s="14"/>
      <c r="E1753" s="14"/>
      <c r="F1753" s="14"/>
      <c r="G1753" s="14" t="s">
        <v>1911</v>
      </c>
      <c r="H1753" s="14"/>
      <c r="I1753" s="176"/>
      <c r="K1753" s="87"/>
      <c r="L1753" s="14"/>
      <c r="M1753" s="324">
        <f t="shared" si="242"/>
        <v>0</v>
      </c>
      <c r="N1753" s="14"/>
      <c r="O1753" s="14"/>
      <c r="P1753" s="167"/>
      <c r="Q1753" s="14"/>
      <c r="R1753" s="170">
        <f t="shared" si="240"/>
        <v>0</v>
      </c>
      <c r="S1753" s="108" t="str">
        <f t="shared" si="241"/>
        <v/>
      </c>
      <c r="T1753" s="14"/>
      <c r="U1753" s="14"/>
      <c r="V1753" s="14"/>
      <c r="W1753" s="14"/>
      <c r="X1753" s="14"/>
      <c r="Z1753" s="14"/>
      <c r="AA1753" s="2">
        <f t="shared" si="243"/>
        <v>3</v>
      </c>
      <c r="AB1753" s="153"/>
      <c r="AC1753" s="454" t="str">
        <f t="shared" si="238"/>
        <v/>
      </c>
    </row>
    <row r="1754" spans="1:29" x14ac:dyDescent="0.35">
      <c r="A1754" s="111" t="str">
        <f t="shared" si="239"/>
        <v/>
      </c>
      <c r="B1754" s="222"/>
      <c r="C1754" s="14"/>
      <c r="D1754" s="14"/>
      <c r="E1754" s="14"/>
      <c r="F1754" s="14"/>
      <c r="G1754" s="14" t="s">
        <v>1911</v>
      </c>
      <c r="H1754" s="14"/>
      <c r="I1754" s="176"/>
      <c r="K1754" s="87"/>
      <c r="L1754" s="14"/>
      <c r="M1754" s="324">
        <f t="shared" si="242"/>
        <v>0</v>
      </c>
      <c r="N1754" s="14"/>
      <c r="O1754" s="14"/>
      <c r="P1754" s="167"/>
      <c r="Q1754" s="14"/>
      <c r="R1754" s="170">
        <f t="shared" si="240"/>
        <v>0</v>
      </c>
      <c r="S1754" s="108" t="str">
        <f t="shared" si="241"/>
        <v/>
      </c>
      <c r="T1754" s="14"/>
      <c r="U1754" s="14"/>
      <c r="V1754" s="14"/>
      <c r="W1754" s="14"/>
      <c r="X1754" s="14"/>
      <c r="Z1754" s="14"/>
      <c r="AA1754" s="2">
        <f t="shared" si="243"/>
        <v>3</v>
      </c>
      <c r="AB1754" s="153"/>
      <c r="AC1754" s="454" t="str">
        <f t="shared" ref="AC1754:AC1817" si="244">LEFT(H1754,1)</f>
        <v/>
      </c>
    </row>
    <row r="1755" spans="1:29" x14ac:dyDescent="0.35">
      <c r="A1755" s="111" t="str">
        <f t="shared" si="239"/>
        <v/>
      </c>
      <c r="B1755" s="222"/>
      <c r="C1755" s="14"/>
      <c r="D1755" s="14"/>
      <c r="E1755" s="14"/>
      <c r="F1755" s="14"/>
      <c r="G1755" s="14" t="s">
        <v>1911</v>
      </c>
      <c r="H1755" s="14"/>
      <c r="I1755" s="176"/>
      <c r="K1755" s="87"/>
      <c r="L1755" s="14"/>
      <c r="M1755" s="324">
        <f t="shared" si="242"/>
        <v>0</v>
      </c>
      <c r="N1755" s="14"/>
      <c r="O1755" s="14"/>
      <c r="P1755" s="167"/>
      <c r="Q1755" s="14"/>
      <c r="R1755" s="170">
        <f t="shared" si="240"/>
        <v>0</v>
      </c>
      <c r="S1755" s="108" t="str">
        <f t="shared" si="241"/>
        <v/>
      </c>
      <c r="T1755" s="14"/>
      <c r="U1755" s="14"/>
      <c r="V1755" s="14"/>
      <c r="W1755" s="14"/>
      <c r="X1755" s="14"/>
      <c r="Z1755" s="14"/>
      <c r="AA1755" s="2">
        <f t="shared" si="243"/>
        <v>3</v>
      </c>
      <c r="AB1755" s="153"/>
      <c r="AC1755" s="454" t="str">
        <f t="shared" si="244"/>
        <v/>
      </c>
    </row>
    <row r="1756" spans="1:29" x14ac:dyDescent="0.35">
      <c r="A1756" s="111" t="str">
        <f t="shared" si="239"/>
        <v/>
      </c>
      <c r="B1756" s="222"/>
      <c r="C1756" s="14"/>
      <c r="D1756" s="14"/>
      <c r="E1756" s="14"/>
      <c r="F1756" s="14"/>
      <c r="G1756" s="14" t="s">
        <v>1911</v>
      </c>
      <c r="H1756" s="14"/>
      <c r="I1756" s="176"/>
      <c r="K1756" s="87"/>
      <c r="L1756" s="14"/>
      <c r="M1756" s="324">
        <f t="shared" si="242"/>
        <v>0</v>
      </c>
      <c r="N1756" s="14"/>
      <c r="O1756" s="14"/>
      <c r="P1756" s="167"/>
      <c r="Q1756" s="14"/>
      <c r="R1756" s="170">
        <f t="shared" si="240"/>
        <v>0</v>
      </c>
      <c r="S1756" s="108" t="str">
        <f t="shared" si="241"/>
        <v/>
      </c>
      <c r="T1756" s="14"/>
      <c r="U1756" s="14"/>
      <c r="V1756" s="14"/>
      <c r="W1756" s="14"/>
      <c r="X1756" s="14"/>
      <c r="Z1756" s="14"/>
      <c r="AA1756" s="2">
        <f t="shared" si="243"/>
        <v>3</v>
      </c>
      <c r="AB1756" s="153"/>
      <c r="AC1756" s="454" t="str">
        <f t="shared" si="244"/>
        <v/>
      </c>
    </row>
    <row r="1757" spans="1:29" x14ac:dyDescent="0.35">
      <c r="A1757" s="111" t="str">
        <f t="shared" si="239"/>
        <v/>
      </c>
      <c r="B1757" s="222"/>
      <c r="C1757" s="14"/>
      <c r="D1757" s="14"/>
      <c r="E1757" s="14"/>
      <c r="F1757" s="14"/>
      <c r="G1757" s="14" t="s">
        <v>1911</v>
      </c>
      <c r="H1757" s="14"/>
      <c r="I1757" s="176"/>
      <c r="K1757" s="87"/>
      <c r="L1757" s="14"/>
      <c r="M1757" s="324">
        <f t="shared" si="242"/>
        <v>0</v>
      </c>
      <c r="N1757" s="14"/>
      <c r="O1757" s="14"/>
      <c r="P1757" s="167"/>
      <c r="Q1757" s="14"/>
      <c r="R1757" s="170">
        <f t="shared" si="240"/>
        <v>0</v>
      </c>
      <c r="S1757" s="108" t="str">
        <f t="shared" si="241"/>
        <v/>
      </c>
      <c r="T1757" s="14"/>
      <c r="U1757" s="14"/>
      <c r="V1757" s="14"/>
      <c r="W1757" s="14"/>
      <c r="X1757" s="14"/>
      <c r="Z1757" s="14"/>
      <c r="AA1757" s="2">
        <f t="shared" si="243"/>
        <v>3</v>
      </c>
      <c r="AB1757" s="153"/>
      <c r="AC1757" s="454" t="str">
        <f t="shared" si="244"/>
        <v/>
      </c>
    </row>
    <row r="1758" spans="1:29" x14ac:dyDescent="0.35">
      <c r="A1758" s="111" t="str">
        <f t="shared" si="239"/>
        <v/>
      </c>
      <c r="B1758" s="222"/>
      <c r="C1758" s="14"/>
      <c r="D1758" s="14"/>
      <c r="E1758" s="14"/>
      <c r="F1758" s="14"/>
      <c r="G1758" s="14" t="s">
        <v>1911</v>
      </c>
      <c r="H1758" s="14"/>
      <c r="I1758" s="176"/>
      <c r="K1758" s="87"/>
      <c r="L1758" s="14"/>
      <c r="M1758" s="324">
        <f t="shared" si="242"/>
        <v>0</v>
      </c>
      <c r="N1758" s="14"/>
      <c r="O1758" s="14"/>
      <c r="P1758" s="167"/>
      <c r="Q1758" s="14"/>
      <c r="R1758" s="170">
        <f t="shared" si="240"/>
        <v>0</v>
      </c>
      <c r="S1758" s="108" t="str">
        <f t="shared" si="241"/>
        <v/>
      </c>
      <c r="T1758" s="14"/>
      <c r="U1758" s="14"/>
      <c r="V1758" s="14"/>
      <c r="W1758" s="14"/>
      <c r="X1758" s="14"/>
      <c r="Z1758" s="14"/>
      <c r="AA1758" s="2">
        <f t="shared" si="243"/>
        <v>3</v>
      </c>
      <c r="AB1758" s="153"/>
      <c r="AC1758" s="454" t="str">
        <f t="shared" si="244"/>
        <v/>
      </c>
    </row>
    <row r="1759" spans="1:29" x14ac:dyDescent="0.35">
      <c r="A1759" s="111" t="str">
        <f t="shared" ref="A1759:A1822" si="245">IF(T1759&gt;1,"Closed",IF(AA1759=1,"Overdue",IF(AA1759=3,"","Open")))</f>
        <v/>
      </c>
      <c r="B1759" s="222"/>
      <c r="C1759" s="14"/>
      <c r="D1759" s="14"/>
      <c r="E1759" s="14"/>
      <c r="F1759" s="14"/>
      <c r="G1759" s="14" t="s">
        <v>1911</v>
      </c>
      <c r="H1759" s="14"/>
      <c r="I1759" s="176"/>
      <c r="K1759" s="87"/>
      <c r="L1759" s="14"/>
      <c r="M1759" s="324">
        <f t="shared" si="242"/>
        <v>0</v>
      </c>
      <c r="N1759" s="14"/>
      <c r="O1759" s="14"/>
      <c r="P1759" s="167"/>
      <c r="Q1759" s="14"/>
      <c r="R1759" s="170">
        <f t="shared" si="240"/>
        <v>0</v>
      </c>
      <c r="S1759" s="108" t="str">
        <f t="shared" si="241"/>
        <v/>
      </c>
      <c r="T1759" s="14"/>
      <c r="U1759" s="14"/>
      <c r="V1759" s="14"/>
      <c r="W1759" s="14"/>
      <c r="X1759" s="14"/>
      <c r="Z1759" s="14"/>
      <c r="AA1759" s="2">
        <f t="shared" si="243"/>
        <v>3</v>
      </c>
      <c r="AB1759" s="153"/>
      <c r="AC1759" s="454" t="str">
        <f t="shared" si="244"/>
        <v/>
      </c>
    </row>
    <row r="1760" spans="1:29" x14ac:dyDescent="0.35">
      <c r="A1760" s="111" t="str">
        <f t="shared" si="245"/>
        <v/>
      </c>
      <c r="B1760" s="222"/>
      <c r="C1760" s="14"/>
      <c r="D1760" s="14"/>
      <c r="E1760" s="14"/>
      <c r="F1760" s="14"/>
      <c r="G1760" s="14" t="s">
        <v>1911</v>
      </c>
      <c r="H1760" s="14"/>
      <c r="I1760" s="176"/>
      <c r="K1760" s="87"/>
      <c r="L1760" s="14"/>
      <c r="M1760" s="324">
        <f t="shared" si="242"/>
        <v>0</v>
      </c>
      <c r="N1760" s="14"/>
      <c r="O1760" s="14"/>
      <c r="P1760" s="167"/>
      <c r="Q1760" s="14"/>
      <c r="R1760" s="170">
        <f t="shared" si="240"/>
        <v>0</v>
      </c>
      <c r="S1760" s="108" t="str">
        <f t="shared" si="241"/>
        <v/>
      </c>
      <c r="T1760" s="14"/>
      <c r="U1760" s="14"/>
      <c r="V1760" s="14"/>
      <c r="W1760" s="14"/>
      <c r="X1760" s="14"/>
      <c r="Z1760" s="14"/>
      <c r="AA1760" s="2">
        <f t="shared" si="243"/>
        <v>3</v>
      </c>
      <c r="AB1760" s="153"/>
      <c r="AC1760" s="454" t="str">
        <f t="shared" si="244"/>
        <v/>
      </c>
    </row>
    <row r="1761" spans="1:29" x14ac:dyDescent="0.35">
      <c r="A1761" s="111" t="str">
        <f t="shared" si="245"/>
        <v/>
      </c>
      <c r="B1761" s="222"/>
      <c r="C1761" s="14"/>
      <c r="D1761" s="14"/>
      <c r="E1761" s="14"/>
      <c r="F1761" s="14"/>
      <c r="G1761" s="14" t="s">
        <v>1911</v>
      </c>
      <c r="H1761" s="14"/>
      <c r="I1761" s="176"/>
      <c r="K1761" s="87"/>
      <c r="L1761" s="14"/>
      <c r="M1761" s="324">
        <f t="shared" si="242"/>
        <v>0</v>
      </c>
      <c r="N1761" s="14"/>
      <c r="O1761" s="14"/>
      <c r="P1761" s="167"/>
      <c r="Q1761" s="14"/>
      <c r="R1761" s="170">
        <f t="shared" si="240"/>
        <v>0</v>
      </c>
      <c r="S1761" s="108" t="str">
        <f t="shared" si="241"/>
        <v/>
      </c>
      <c r="T1761" s="14"/>
      <c r="U1761" s="14"/>
      <c r="V1761" s="14"/>
      <c r="W1761" s="14"/>
      <c r="X1761" s="14"/>
      <c r="Z1761" s="14"/>
      <c r="AA1761" s="2">
        <f t="shared" si="243"/>
        <v>3</v>
      </c>
      <c r="AB1761" s="153"/>
      <c r="AC1761" s="454" t="str">
        <f t="shared" si="244"/>
        <v/>
      </c>
    </row>
    <row r="1762" spans="1:29" x14ac:dyDescent="0.35">
      <c r="A1762" s="111" t="str">
        <f t="shared" si="245"/>
        <v/>
      </c>
      <c r="B1762" s="222"/>
      <c r="C1762" s="14"/>
      <c r="D1762" s="14"/>
      <c r="E1762" s="14"/>
      <c r="F1762" s="14"/>
      <c r="G1762" s="14" t="s">
        <v>1911</v>
      </c>
      <c r="H1762" s="14"/>
      <c r="I1762" s="176"/>
      <c r="K1762" s="87"/>
      <c r="L1762" s="14"/>
      <c r="M1762" s="324">
        <f t="shared" si="242"/>
        <v>0</v>
      </c>
      <c r="N1762" s="14"/>
      <c r="O1762" s="14"/>
      <c r="P1762" s="167"/>
      <c r="Q1762" s="14"/>
      <c r="R1762" s="170">
        <f t="shared" si="240"/>
        <v>0</v>
      </c>
      <c r="S1762" s="108" t="str">
        <f t="shared" si="241"/>
        <v/>
      </c>
      <c r="T1762" s="14"/>
      <c r="U1762" s="14"/>
      <c r="V1762" s="14"/>
      <c r="W1762" s="14"/>
      <c r="X1762" s="14"/>
      <c r="Z1762" s="14"/>
      <c r="AA1762" s="2">
        <f t="shared" si="243"/>
        <v>3</v>
      </c>
      <c r="AB1762" s="153"/>
      <c r="AC1762" s="454" t="str">
        <f t="shared" si="244"/>
        <v/>
      </c>
    </row>
    <row r="1763" spans="1:29" x14ac:dyDescent="0.35">
      <c r="A1763" s="111" t="str">
        <f t="shared" si="245"/>
        <v/>
      </c>
      <c r="B1763" s="222"/>
      <c r="C1763" s="14"/>
      <c r="D1763" s="14"/>
      <c r="E1763" s="14"/>
      <c r="F1763" s="14"/>
      <c r="G1763" s="14" t="s">
        <v>1911</v>
      </c>
      <c r="H1763" s="14"/>
      <c r="I1763" s="176"/>
      <c r="K1763" s="87"/>
      <c r="L1763" s="14"/>
      <c r="M1763" s="324">
        <f t="shared" si="242"/>
        <v>0</v>
      </c>
      <c r="N1763" s="14"/>
      <c r="O1763" s="14"/>
      <c r="P1763" s="167"/>
      <c r="Q1763" s="14"/>
      <c r="R1763" s="170">
        <f t="shared" si="240"/>
        <v>0</v>
      </c>
      <c r="S1763" s="108" t="str">
        <f t="shared" si="241"/>
        <v/>
      </c>
      <c r="T1763" s="14"/>
      <c r="U1763" s="14"/>
      <c r="V1763" s="14"/>
      <c r="W1763" s="14"/>
      <c r="X1763" s="14"/>
      <c r="Z1763" s="14"/>
      <c r="AA1763" s="2">
        <f t="shared" si="243"/>
        <v>3</v>
      </c>
      <c r="AB1763" s="153"/>
      <c r="AC1763" s="454" t="str">
        <f t="shared" si="244"/>
        <v/>
      </c>
    </row>
    <row r="1764" spans="1:29" x14ac:dyDescent="0.35">
      <c r="A1764" s="111" t="str">
        <f t="shared" si="245"/>
        <v/>
      </c>
      <c r="B1764" s="222"/>
      <c r="C1764" s="14"/>
      <c r="D1764" s="14"/>
      <c r="E1764" s="14"/>
      <c r="F1764" s="14"/>
      <c r="G1764" s="14" t="s">
        <v>1911</v>
      </c>
      <c r="H1764" s="14"/>
      <c r="I1764" s="176"/>
      <c r="K1764" s="87"/>
      <c r="L1764" s="14"/>
      <c r="M1764" s="324">
        <f t="shared" si="242"/>
        <v>0</v>
      </c>
      <c r="N1764" s="14"/>
      <c r="O1764" s="14"/>
      <c r="P1764" s="167"/>
      <c r="Q1764" s="14"/>
      <c r="R1764" s="170">
        <f t="shared" si="240"/>
        <v>0</v>
      </c>
      <c r="S1764" s="108" t="str">
        <f t="shared" si="241"/>
        <v/>
      </c>
      <c r="T1764" s="14"/>
      <c r="U1764" s="14"/>
      <c r="V1764" s="14"/>
      <c r="W1764" s="14"/>
      <c r="X1764" s="14"/>
      <c r="Z1764" s="14"/>
      <c r="AA1764" s="2">
        <f t="shared" si="243"/>
        <v>3</v>
      </c>
      <c r="AB1764" s="153"/>
      <c r="AC1764" s="454" t="str">
        <f t="shared" si="244"/>
        <v/>
      </c>
    </row>
    <row r="1765" spans="1:29" x14ac:dyDescent="0.35">
      <c r="A1765" s="111" t="str">
        <f t="shared" si="245"/>
        <v/>
      </c>
      <c r="B1765" s="222"/>
      <c r="C1765" s="14"/>
      <c r="D1765" s="14"/>
      <c r="E1765" s="14"/>
      <c r="F1765" s="14"/>
      <c r="G1765" s="14" t="s">
        <v>1911</v>
      </c>
      <c r="H1765" s="14"/>
      <c r="I1765" s="176"/>
      <c r="K1765" s="87"/>
      <c r="L1765" s="14"/>
      <c r="M1765" s="324">
        <f t="shared" si="242"/>
        <v>0</v>
      </c>
      <c r="N1765" s="14"/>
      <c r="O1765" s="14"/>
      <c r="P1765" s="167"/>
      <c r="Q1765" s="14"/>
      <c r="R1765" s="170">
        <f t="shared" si="240"/>
        <v>0</v>
      </c>
      <c r="S1765" s="108" t="str">
        <f t="shared" si="241"/>
        <v/>
      </c>
      <c r="T1765" s="14"/>
      <c r="U1765" s="14"/>
      <c r="V1765" s="14"/>
      <c r="W1765" s="14"/>
      <c r="X1765" s="14"/>
      <c r="Z1765" s="14"/>
      <c r="AA1765" s="2">
        <f t="shared" si="243"/>
        <v>3</v>
      </c>
      <c r="AB1765" s="153"/>
      <c r="AC1765" s="454" t="str">
        <f t="shared" si="244"/>
        <v/>
      </c>
    </row>
    <row r="1766" spans="1:29" x14ac:dyDescent="0.35">
      <c r="A1766" s="111" t="str">
        <f t="shared" si="245"/>
        <v/>
      </c>
      <c r="B1766" s="222"/>
      <c r="C1766" s="14"/>
      <c r="D1766" s="14"/>
      <c r="E1766" s="14"/>
      <c r="F1766" s="14"/>
      <c r="G1766" s="14" t="s">
        <v>1911</v>
      </c>
      <c r="H1766" s="14"/>
      <c r="I1766" s="176"/>
      <c r="K1766" s="87"/>
      <c r="L1766" s="14"/>
      <c r="M1766" s="324">
        <f t="shared" si="242"/>
        <v>0</v>
      </c>
      <c r="N1766" s="14"/>
      <c r="O1766" s="14"/>
      <c r="P1766" s="167"/>
      <c r="Q1766" s="14"/>
      <c r="R1766" s="170">
        <f t="shared" si="240"/>
        <v>0</v>
      </c>
      <c r="S1766" s="108" t="str">
        <f t="shared" si="241"/>
        <v/>
      </c>
      <c r="T1766" s="14"/>
      <c r="U1766" s="14"/>
      <c r="V1766" s="14"/>
      <c r="W1766" s="14"/>
      <c r="X1766" s="14"/>
      <c r="Z1766" s="14"/>
      <c r="AA1766" s="2">
        <f t="shared" si="243"/>
        <v>3</v>
      </c>
      <c r="AB1766" s="153"/>
      <c r="AC1766" s="454" t="str">
        <f t="shared" si="244"/>
        <v/>
      </c>
    </row>
    <row r="1767" spans="1:29" x14ac:dyDescent="0.35">
      <c r="A1767" s="111" t="str">
        <f t="shared" si="245"/>
        <v/>
      </c>
      <c r="B1767" s="222"/>
      <c r="C1767" s="14"/>
      <c r="D1767" s="14"/>
      <c r="E1767" s="14"/>
      <c r="F1767" s="14"/>
      <c r="G1767" s="14" t="s">
        <v>1911</v>
      </c>
      <c r="H1767" s="14"/>
      <c r="I1767" s="176"/>
      <c r="K1767" s="87"/>
      <c r="L1767" s="14"/>
      <c r="M1767" s="324">
        <f t="shared" si="242"/>
        <v>0</v>
      </c>
      <c r="N1767" s="14"/>
      <c r="O1767" s="14"/>
      <c r="P1767" s="167"/>
      <c r="Q1767" s="14"/>
      <c r="R1767" s="170">
        <f t="shared" si="240"/>
        <v>0</v>
      </c>
      <c r="S1767" s="108" t="str">
        <f t="shared" si="241"/>
        <v/>
      </c>
      <c r="T1767" s="14"/>
      <c r="U1767" s="14"/>
      <c r="V1767" s="14"/>
      <c r="W1767" s="14"/>
      <c r="X1767" s="14"/>
      <c r="Z1767" s="14"/>
      <c r="AA1767" s="2">
        <f t="shared" si="243"/>
        <v>3</v>
      </c>
      <c r="AB1767" s="153"/>
      <c r="AC1767" s="454" t="str">
        <f t="shared" si="244"/>
        <v/>
      </c>
    </row>
    <row r="1768" spans="1:29" x14ac:dyDescent="0.35">
      <c r="A1768" s="111" t="str">
        <f t="shared" si="245"/>
        <v/>
      </c>
      <c r="B1768" s="222"/>
      <c r="C1768" s="14"/>
      <c r="D1768" s="14"/>
      <c r="E1768" s="14"/>
      <c r="F1768" s="14"/>
      <c r="G1768" s="14" t="s">
        <v>1911</v>
      </c>
      <c r="H1768" s="14"/>
      <c r="I1768" s="176"/>
      <c r="K1768" s="87"/>
      <c r="L1768" s="14"/>
      <c r="M1768" s="324">
        <f t="shared" si="242"/>
        <v>0</v>
      </c>
      <c r="N1768" s="14"/>
      <c r="O1768" s="14"/>
      <c r="P1768" s="167"/>
      <c r="Q1768" s="14"/>
      <c r="R1768" s="170">
        <f t="shared" si="240"/>
        <v>0</v>
      </c>
      <c r="S1768" s="108" t="str">
        <f t="shared" si="241"/>
        <v/>
      </c>
      <c r="T1768" s="14"/>
      <c r="U1768" s="14"/>
      <c r="V1768" s="14"/>
      <c r="W1768" s="14"/>
      <c r="X1768" s="14"/>
      <c r="Z1768" s="14"/>
      <c r="AA1768" s="2">
        <f t="shared" si="243"/>
        <v>3</v>
      </c>
      <c r="AB1768" s="153"/>
      <c r="AC1768" s="454" t="str">
        <f t="shared" si="244"/>
        <v/>
      </c>
    </row>
    <row r="1769" spans="1:29" x14ac:dyDescent="0.35">
      <c r="A1769" s="111" t="str">
        <f t="shared" si="245"/>
        <v/>
      </c>
      <c r="B1769" s="222"/>
      <c r="C1769" s="14"/>
      <c r="D1769" s="14"/>
      <c r="E1769" s="14"/>
      <c r="F1769" s="14"/>
      <c r="G1769" s="14" t="s">
        <v>1911</v>
      </c>
      <c r="H1769" s="14"/>
      <c r="I1769" s="176"/>
      <c r="K1769" s="87"/>
      <c r="L1769" s="14"/>
      <c r="M1769" s="324">
        <f t="shared" si="242"/>
        <v>0</v>
      </c>
      <c r="N1769" s="14"/>
      <c r="O1769" s="14"/>
      <c r="P1769" s="167"/>
      <c r="Q1769" s="14"/>
      <c r="R1769" s="170">
        <f t="shared" si="240"/>
        <v>0</v>
      </c>
      <c r="S1769" s="108" t="str">
        <f t="shared" si="241"/>
        <v/>
      </c>
      <c r="T1769" s="14"/>
      <c r="U1769" s="14"/>
      <c r="V1769" s="14"/>
      <c r="W1769" s="14"/>
      <c r="X1769" s="14"/>
      <c r="Z1769" s="14"/>
      <c r="AA1769" s="2">
        <f t="shared" si="243"/>
        <v>3</v>
      </c>
      <c r="AB1769" s="153"/>
      <c r="AC1769" s="454" t="str">
        <f t="shared" si="244"/>
        <v/>
      </c>
    </row>
    <row r="1770" spans="1:29" x14ac:dyDescent="0.35">
      <c r="A1770" s="111" t="str">
        <f t="shared" si="245"/>
        <v/>
      </c>
      <c r="B1770" s="222"/>
      <c r="C1770" s="14"/>
      <c r="D1770" s="14"/>
      <c r="E1770" s="14"/>
      <c r="F1770" s="14"/>
      <c r="G1770" s="14" t="s">
        <v>1911</v>
      </c>
      <c r="H1770" s="14"/>
      <c r="I1770" s="176"/>
      <c r="K1770" s="87"/>
      <c r="L1770" s="14"/>
      <c r="M1770" s="324">
        <f t="shared" si="242"/>
        <v>0</v>
      </c>
      <c r="N1770" s="14"/>
      <c r="O1770" s="14"/>
      <c r="P1770" s="167"/>
      <c r="Q1770" s="14"/>
      <c r="R1770" s="170">
        <f t="shared" si="240"/>
        <v>0</v>
      </c>
      <c r="S1770" s="108" t="str">
        <f t="shared" si="241"/>
        <v/>
      </c>
      <c r="T1770" s="14"/>
      <c r="U1770" s="14"/>
      <c r="V1770" s="14"/>
      <c r="W1770" s="14"/>
      <c r="X1770" s="14"/>
      <c r="Z1770" s="14"/>
      <c r="AA1770" s="2">
        <f t="shared" si="243"/>
        <v>3</v>
      </c>
      <c r="AB1770" s="153"/>
      <c r="AC1770" s="454" t="str">
        <f t="shared" si="244"/>
        <v/>
      </c>
    </row>
    <row r="1771" spans="1:29" x14ac:dyDescent="0.35">
      <c r="A1771" s="111" t="str">
        <f t="shared" si="245"/>
        <v/>
      </c>
      <c r="B1771" s="222"/>
      <c r="C1771" s="14"/>
      <c r="D1771" s="14"/>
      <c r="E1771" s="14"/>
      <c r="F1771" s="14"/>
      <c r="G1771" s="14" t="s">
        <v>1911</v>
      </c>
      <c r="H1771" s="14"/>
      <c r="I1771" s="176"/>
      <c r="K1771" s="87"/>
      <c r="L1771" s="14"/>
      <c r="M1771" s="324">
        <f t="shared" si="242"/>
        <v>0</v>
      </c>
      <c r="N1771" s="14"/>
      <c r="O1771" s="14"/>
      <c r="P1771" s="167"/>
      <c r="Q1771" s="14"/>
      <c r="R1771" s="170">
        <f t="shared" si="240"/>
        <v>0</v>
      </c>
      <c r="S1771" s="108" t="str">
        <f t="shared" si="241"/>
        <v/>
      </c>
      <c r="T1771" s="14"/>
      <c r="U1771" s="14"/>
      <c r="V1771" s="14"/>
      <c r="W1771" s="14"/>
      <c r="X1771" s="14"/>
      <c r="Z1771" s="14"/>
      <c r="AA1771" s="2">
        <f t="shared" si="243"/>
        <v>3</v>
      </c>
      <c r="AB1771" s="153"/>
      <c r="AC1771" s="454" t="str">
        <f t="shared" si="244"/>
        <v/>
      </c>
    </row>
    <row r="1772" spans="1:29" x14ac:dyDescent="0.35">
      <c r="A1772" s="111" t="str">
        <f t="shared" si="245"/>
        <v/>
      </c>
      <c r="B1772" s="222"/>
      <c r="C1772" s="14"/>
      <c r="D1772" s="14"/>
      <c r="E1772" s="14"/>
      <c r="F1772" s="14"/>
      <c r="G1772" s="14" t="s">
        <v>1911</v>
      </c>
      <c r="H1772" s="14"/>
      <c r="I1772" s="176"/>
      <c r="K1772" s="87"/>
      <c r="L1772" s="14"/>
      <c r="M1772" s="324">
        <f t="shared" si="242"/>
        <v>0</v>
      </c>
      <c r="N1772" s="14"/>
      <c r="O1772" s="14"/>
      <c r="P1772" s="167"/>
      <c r="Q1772" s="14"/>
      <c r="R1772" s="170">
        <f t="shared" si="240"/>
        <v>0</v>
      </c>
      <c r="S1772" s="108" t="str">
        <f t="shared" si="241"/>
        <v/>
      </c>
      <c r="T1772" s="14"/>
      <c r="U1772" s="14"/>
      <c r="V1772" s="14"/>
      <c r="W1772" s="14"/>
      <c r="X1772" s="14"/>
      <c r="Z1772" s="14"/>
      <c r="AA1772" s="2">
        <f t="shared" si="243"/>
        <v>3</v>
      </c>
      <c r="AB1772" s="153"/>
      <c r="AC1772" s="454" t="str">
        <f t="shared" si="244"/>
        <v/>
      </c>
    </row>
    <row r="1773" spans="1:29" x14ac:dyDescent="0.35">
      <c r="A1773" s="111" t="str">
        <f t="shared" si="245"/>
        <v/>
      </c>
      <c r="B1773" s="222"/>
      <c r="C1773" s="14"/>
      <c r="D1773" s="14"/>
      <c r="E1773" s="14"/>
      <c r="F1773" s="14"/>
      <c r="G1773" s="14" t="s">
        <v>1911</v>
      </c>
      <c r="H1773" s="14"/>
      <c r="I1773" s="176"/>
      <c r="K1773" s="87"/>
      <c r="L1773" s="14"/>
      <c r="M1773" s="324">
        <f t="shared" si="242"/>
        <v>0</v>
      </c>
      <c r="N1773" s="14"/>
      <c r="O1773" s="14"/>
      <c r="P1773" s="167"/>
      <c r="Q1773" s="14"/>
      <c r="R1773" s="170">
        <f t="shared" ref="R1773:R1836" si="246">IF(I1773="Staff Accident","Entry Required",IF(I1773="Assaults","Entry Required",0))</f>
        <v>0</v>
      </c>
      <c r="S1773" s="108" t="str">
        <f t="shared" si="241"/>
        <v/>
      </c>
      <c r="T1773" s="14"/>
      <c r="U1773" s="14"/>
      <c r="V1773" s="14"/>
      <c r="W1773" s="14"/>
      <c r="X1773" s="14"/>
      <c r="Z1773" s="14"/>
      <c r="AA1773" s="2">
        <f t="shared" si="243"/>
        <v>3</v>
      </c>
      <c r="AB1773" s="153"/>
      <c r="AC1773" s="454" t="str">
        <f t="shared" si="244"/>
        <v/>
      </c>
    </row>
    <row r="1774" spans="1:29" x14ac:dyDescent="0.35">
      <c r="A1774" s="111" t="str">
        <f t="shared" si="245"/>
        <v/>
      </c>
      <c r="B1774" s="222"/>
      <c r="C1774" s="14"/>
      <c r="D1774" s="14"/>
      <c r="E1774" s="14"/>
      <c r="F1774" s="14"/>
      <c r="G1774" s="14" t="s">
        <v>1911</v>
      </c>
      <c r="H1774" s="14"/>
      <c r="I1774" s="176"/>
      <c r="K1774" s="87"/>
      <c r="L1774" s="14"/>
      <c r="M1774" s="324">
        <f t="shared" si="242"/>
        <v>0</v>
      </c>
      <c r="N1774" s="14"/>
      <c r="O1774" s="14"/>
      <c r="P1774" s="167"/>
      <c r="Q1774" s="14"/>
      <c r="R1774" s="170">
        <f t="shared" si="246"/>
        <v>0</v>
      </c>
      <c r="S1774" s="108" t="str">
        <f t="shared" si="241"/>
        <v/>
      </c>
      <c r="T1774" s="14"/>
      <c r="U1774" s="14"/>
      <c r="V1774" s="14"/>
      <c r="W1774" s="14"/>
      <c r="X1774" s="14"/>
      <c r="Z1774" s="14"/>
      <c r="AA1774" s="2">
        <f t="shared" si="243"/>
        <v>3</v>
      </c>
      <c r="AB1774" s="153"/>
      <c r="AC1774" s="454" t="str">
        <f t="shared" si="244"/>
        <v/>
      </c>
    </row>
    <row r="1775" spans="1:29" x14ac:dyDescent="0.35">
      <c r="A1775" s="111" t="str">
        <f t="shared" si="245"/>
        <v/>
      </c>
      <c r="B1775" s="222"/>
      <c r="C1775" s="14"/>
      <c r="D1775" s="14"/>
      <c r="E1775" s="14"/>
      <c r="F1775" s="14"/>
      <c r="G1775" s="14" t="s">
        <v>1911</v>
      </c>
      <c r="H1775" s="14"/>
      <c r="I1775" s="176"/>
      <c r="K1775" s="87"/>
      <c r="L1775" s="14"/>
      <c r="M1775" s="324">
        <f t="shared" si="242"/>
        <v>0</v>
      </c>
      <c r="N1775" s="14"/>
      <c r="O1775" s="14"/>
      <c r="P1775" s="167"/>
      <c r="Q1775" s="14"/>
      <c r="R1775" s="170">
        <f t="shared" si="246"/>
        <v>0</v>
      </c>
      <c r="S1775" s="108" t="str">
        <f t="shared" si="241"/>
        <v/>
      </c>
      <c r="T1775" s="14"/>
      <c r="U1775" s="14"/>
      <c r="V1775" s="14"/>
      <c r="W1775" s="14"/>
      <c r="X1775" s="14"/>
      <c r="Z1775" s="14"/>
      <c r="AA1775" s="2">
        <f t="shared" si="243"/>
        <v>3</v>
      </c>
      <c r="AB1775" s="153"/>
      <c r="AC1775" s="454" t="str">
        <f t="shared" si="244"/>
        <v/>
      </c>
    </row>
    <row r="1776" spans="1:29" x14ac:dyDescent="0.35">
      <c r="A1776" s="111" t="str">
        <f t="shared" si="245"/>
        <v/>
      </c>
      <c r="B1776" s="222"/>
      <c r="C1776" s="14"/>
      <c r="D1776" s="14"/>
      <c r="E1776" s="14"/>
      <c r="F1776" s="14"/>
      <c r="G1776" s="14" t="s">
        <v>1911</v>
      </c>
      <c r="H1776" s="14"/>
      <c r="I1776" s="176"/>
      <c r="K1776" s="87"/>
      <c r="L1776" s="14"/>
      <c r="M1776" s="324">
        <f t="shared" si="242"/>
        <v>0</v>
      </c>
      <c r="N1776" s="14"/>
      <c r="O1776" s="14"/>
      <c r="P1776" s="167"/>
      <c r="Q1776" s="14"/>
      <c r="R1776" s="170">
        <f t="shared" si="246"/>
        <v>0</v>
      </c>
      <c r="S1776" s="108" t="str">
        <f t="shared" si="241"/>
        <v/>
      </c>
      <c r="T1776" s="14"/>
      <c r="U1776" s="14"/>
      <c r="V1776" s="14"/>
      <c r="W1776" s="14"/>
      <c r="X1776" s="14"/>
      <c r="Z1776" s="14"/>
      <c r="AA1776" s="2">
        <f t="shared" si="243"/>
        <v>3</v>
      </c>
      <c r="AB1776" s="153"/>
      <c r="AC1776" s="454" t="str">
        <f t="shared" si="244"/>
        <v/>
      </c>
    </row>
    <row r="1777" spans="1:29" x14ac:dyDescent="0.35">
      <c r="A1777" s="111" t="str">
        <f t="shared" si="245"/>
        <v/>
      </c>
      <c r="B1777" s="222"/>
      <c r="C1777" s="14"/>
      <c r="D1777" s="14"/>
      <c r="E1777" s="14"/>
      <c r="F1777" s="14"/>
      <c r="G1777" s="14" t="s">
        <v>1911</v>
      </c>
      <c r="H1777" s="14"/>
      <c r="I1777" s="176"/>
      <c r="K1777" s="87"/>
      <c r="L1777" s="14"/>
      <c r="M1777" s="324">
        <f t="shared" si="242"/>
        <v>0</v>
      </c>
      <c r="N1777" s="14"/>
      <c r="O1777" s="14"/>
      <c r="P1777" s="167"/>
      <c r="Q1777" s="14"/>
      <c r="R1777" s="170">
        <f t="shared" si="246"/>
        <v>0</v>
      </c>
      <c r="S1777" s="108" t="str">
        <f t="shared" si="241"/>
        <v/>
      </c>
      <c r="T1777" s="14"/>
      <c r="U1777" s="14"/>
      <c r="V1777" s="14"/>
      <c r="W1777" s="14"/>
      <c r="X1777" s="14"/>
      <c r="Z1777" s="14"/>
      <c r="AA1777" s="2">
        <f t="shared" si="243"/>
        <v>3</v>
      </c>
      <c r="AB1777" s="153"/>
      <c r="AC1777" s="454" t="str">
        <f t="shared" si="244"/>
        <v/>
      </c>
    </row>
    <row r="1778" spans="1:29" x14ac:dyDescent="0.35">
      <c r="A1778" s="111" t="str">
        <f t="shared" si="245"/>
        <v/>
      </c>
      <c r="B1778" s="222"/>
      <c r="C1778" s="14"/>
      <c r="D1778" s="14"/>
      <c r="E1778" s="14"/>
      <c r="F1778" s="14"/>
      <c r="G1778" s="14" t="s">
        <v>1911</v>
      </c>
      <c r="H1778" s="14"/>
      <c r="I1778" s="176"/>
      <c r="K1778" s="87"/>
      <c r="L1778" s="14"/>
      <c r="M1778" s="324">
        <f t="shared" si="242"/>
        <v>0</v>
      </c>
      <c r="N1778" s="14"/>
      <c r="O1778" s="14"/>
      <c r="P1778" s="167"/>
      <c r="Q1778" s="14"/>
      <c r="R1778" s="170">
        <f t="shared" si="246"/>
        <v>0</v>
      </c>
      <c r="S1778" s="108" t="str">
        <f t="shared" si="241"/>
        <v/>
      </c>
      <c r="T1778" s="14"/>
      <c r="U1778" s="14"/>
      <c r="V1778" s="14"/>
      <c r="W1778" s="14"/>
      <c r="X1778" s="14"/>
      <c r="Z1778" s="14"/>
      <c r="AA1778" s="2">
        <f t="shared" si="243"/>
        <v>3</v>
      </c>
      <c r="AB1778" s="153"/>
      <c r="AC1778" s="454" t="str">
        <f t="shared" si="244"/>
        <v/>
      </c>
    </row>
    <row r="1779" spans="1:29" x14ac:dyDescent="0.35">
      <c r="A1779" s="111" t="str">
        <f t="shared" si="245"/>
        <v/>
      </c>
      <c r="B1779" s="222"/>
      <c r="C1779" s="14"/>
      <c r="D1779" s="14"/>
      <c r="E1779" s="14"/>
      <c r="F1779" s="14"/>
      <c r="G1779" s="14" t="s">
        <v>1911</v>
      </c>
      <c r="H1779" s="14"/>
      <c r="I1779" s="176"/>
      <c r="K1779" s="87"/>
      <c r="L1779" s="14"/>
      <c r="M1779" s="324">
        <f t="shared" si="242"/>
        <v>0</v>
      </c>
      <c r="N1779" s="14"/>
      <c r="O1779" s="14"/>
      <c r="P1779" s="167"/>
      <c r="Q1779" s="14"/>
      <c r="R1779" s="170">
        <f t="shared" si="246"/>
        <v>0</v>
      </c>
      <c r="S1779" s="108" t="str">
        <f t="shared" si="241"/>
        <v/>
      </c>
      <c r="T1779" s="14"/>
      <c r="U1779" s="14"/>
      <c r="V1779" s="14"/>
      <c r="W1779" s="14"/>
      <c r="X1779" s="14"/>
      <c r="Z1779" s="14"/>
      <c r="AA1779" s="2">
        <f t="shared" si="243"/>
        <v>3</v>
      </c>
      <c r="AB1779" s="153"/>
      <c r="AC1779" s="454" t="str">
        <f t="shared" si="244"/>
        <v/>
      </c>
    </row>
    <row r="1780" spans="1:29" x14ac:dyDescent="0.35">
      <c r="A1780" s="111" t="str">
        <f t="shared" si="245"/>
        <v/>
      </c>
      <c r="B1780" s="222"/>
      <c r="C1780" s="14"/>
      <c r="D1780" s="14"/>
      <c r="E1780" s="14"/>
      <c r="F1780" s="14"/>
      <c r="G1780" s="14" t="s">
        <v>1911</v>
      </c>
      <c r="H1780" s="14"/>
      <c r="I1780" s="176"/>
      <c r="K1780" s="87"/>
      <c r="L1780" s="14"/>
      <c r="M1780" s="324">
        <f t="shared" si="242"/>
        <v>0</v>
      </c>
      <c r="N1780" s="14"/>
      <c r="O1780" s="14"/>
      <c r="P1780" s="167"/>
      <c r="Q1780" s="14"/>
      <c r="R1780" s="170">
        <f t="shared" si="246"/>
        <v>0</v>
      </c>
      <c r="S1780" s="108" t="str">
        <f t="shared" si="241"/>
        <v/>
      </c>
      <c r="T1780" s="14"/>
      <c r="U1780" s="14"/>
      <c r="V1780" s="14"/>
      <c r="W1780" s="14"/>
      <c r="X1780" s="14"/>
      <c r="Z1780" s="14"/>
      <c r="AA1780" s="2">
        <f t="shared" si="243"/>
        <v>3</v>
      </c>
      <c r="AB1780" s="153"/>
      <c r="AC1780" s="454" t="str">
        <f t="shared" si="244"/>
        <v/>
      </c>
    </row>
    <row r="1781" spans="1:29" x14ac:dyDescent="0.35">
      <c r="A1781" s="111" t="str">
        <f t="shared" si="245"/>
        <v/>
      </c>
      <c r="B1781" s="222"/>
      <c r="C1781" s="14"/>
      <c r="D1781" s="14"/>
      <c r="E1781" s="14"/>
      <c r="F1781" s="14"/>
      <c r="G1781" s="14" t="s">
        <v>1911</v>
      </c>
      <c r="H1781" s="14"/>
      <c r="I1781" s="176"/>
      <c r="K1781" s="87"/>
      <c r="L1781" s="14"/>
      <c r="M1781" s="324">
        <f t="shared" si="242"/>
        <v>0</v>
      </c>
      <c r="N1781" s="14"/>
      <c r="O1781" s="14"/>
      <c r="P1781" s="167"/>
      <c r="Q1781" s="14"/>
      <c r="R1781" s="170">
        <f t="shared" si="246"/>
        <v>0</v>
      </c>
      <c r="S1781" s="108" t="str">
        <f t="shared" si="241"/>
        <v/>
      </c>
      <c r="T1781" s="14"/>
      <c r="U1781" s="14"/>
      <c r="V1781" s="14"/>
      <c r="W1781" s="14"/>
      <c r="X1781" s="14"/>
      <c r="Z1781" s="14"/>
      <c r="AA1781" s="2">
        <f t="shared" si="243"/>
        <v>3</v>
      </c>
      <c r="AB1781" s="153"/>
      <c r="AC1781" s="454" t="str">
        <f t="shared" si="244"/>
        <v/>
      </c>
    </row>
    <row r="1782" spans="1:29" x14ac:dyDescent="0.35">
      <c r="A1782" s="111" t="str">
        <f t="shared" si="245"/>
        <v/>
      </c>
      <c r="B1782" s="222"/>
      <c r="C1782" s="14"/>
      <c r="D1782" s="14"/>
      <c r="E1782" s="14"/>
      <c r="F1782" s="14"/>
      <c r="G1782" s="14" t="s">
        <v>1911</v>
      </c>
      <c r="H1782" s="14"/>
      <c r="I1782" s="176"/>
      <c r="K1782" s="87"/>
      <c r="L1782" s="14"/>
      <c r="M1782" s="324">
        <f t="shared" si="242"/>
        <v>0</v>
      </c>
      <c r="N1782" s="14"/>
      <c r="O1782" s="14"/>
      <c r="P1782" s="167"/>
      <c r="Q1782" s="14"/>
      <c r="R1782" s="170">
        <f t="shared" si="246"/>
        <v>0</v>
      </c>
      <c r="S1782" s="108" t="str">
        <f t="shared" si="241"/>
        <v/>
      </c>
      <c r="T1782" s="14"/>
      <c r="U1782" s="14"/>
      <c r="V1782" s="14"/>
      <c r="W1782" s="14"/>
      <c r="X1782" s="14"/>
      <c r="Z1782" s="14"/>
      <c r="AA1782" s="2">
        <f t="shared" si="243"/>
        <v>3</v>
      </c>
      <c r="AB1782" s="153"/>
      <c r="AC1782" s="454" t="str">
        <f t="shared" si="244"/>
        <v/>
      </c>
    </row>
    <row r="1783" spans="1:29" x14ac:dyDescent="0.35">
      <c r="A1783" s="111" t="str">
        <f t="shared" si="245"/>
        <v/>
      </c>
      <c r="B1783" s="222"/>
      <c r="C1783" s="14"/>
      <c r="D1783" s="14"/>
      <c r="E1783" s="14"/>
      <c r="F1783" s="14"/>
      <c r="G1783" s="14" t="s">
        <v>1911</v>
      </c>
      <c r="H1783" s="14"/>
      <c r="I1783" s="176"/>
      <c r="K1783" s="87"/>
      <c r="L1783" s="14"/>
      <c r="M1783" s="324">
        <f t="shared" si="242"/>
        <v>0</v>
      </c>
      <c r="N1783" s="14"/>
      <c r="O1783" s="14"/>
      <c r="P1783" s="167"/>
      <c r="Q1783" s="14"/>
      <c r="R1783" s="170">
        <f t="shared" si="246"/>
        <v>0</v>
      </c>
      <c r="S1783" s="108" t="str">
        <f t="shared" si="241"/>
        <v/>
      </c>
      <c r="T1783" s="14"/>
      <c r="U1783" s="14"/>
      <c r="V1783" s="14"/>
      <c r="W1783" s="14"/>
      <c r="X1783" s="14"/>
      <c r="Z1783" s="14"/>
      <c r="AA1783" s="2">
        <f t="shared" si="243"/>
        <v>3</v>
      </c>
      <c r="AB1783" s="153"/>
      <c r="AC1783" s="454" t="str">
        <f t="shared" si="244"/>
        <v/>
      </c>
    </row>
    <row r="1784" spans="1:29" x14ac:dyDescent="0.35">
      <c r="A1784" s="111" t="str">
        <f t="shared" si="245"/>
        <v/>
      </c>
      <c r="B1784" s="222"/>
      <c r="C1784" s="14"/>
      <c r="D1784" s="14"/>
      <c r="E1784" s="14"/>
      <c r="F1784" s="14"/>
      <c r="G1784" s="14" t="s">
        <v>1911</v>
      </c>
      <c r="H1784" s="14"/>
      <c r="I1784" s="176"/>
      <c r="K1784" s="87"/>
      <c r="L1784" s="14"/>
      <c r="M1784" s="324">
        <f t="shared" si="242"/>
        <v>0</v>
      </c>
      <c r="N1784" s="14"/>
      <c r="O1784" s="14"/>
      <c r="P1784" s="167"/>
      <c r="Q1784" s="14"/>
      <c r="R1784" s="170">
        <f t="shared" si="246"/>
        <v>0</v>
      </c>
      <c r="S1784" s="108" t="str">
        <f t="shared" si="241"/>
        <v/>
      </c>
      <c r="T1784" s="14"/>
      <c r="U1784" s="14"/>
      <c r="V1784" s="14"/>
      <c r="W1784" s="14"/>
      <c r="X1784" s="14"/>
      <c r="Z1784" s="14"/>
      <c r="AA1784" s="2">
        <f t="shared" si="243"/>
        <v>3</v>
      </c>
      <c r="AB1784" s="153"/>
      <c r="AC1784" s="454" t="str">
        <f t="shared" si="244"/>
        <v/>
      </c>
    </row>
    <row r="1785" spans="1:29" x14ac:dyDescent="0.35">
      <c r="A1785" s="111" t="str">
        <f t="shared" si="245"/>
        <v/>
      </c>
      <c r="B1785" s="222"/>
      <c r="C1785" s="14"/>
      <c r="D1785" s="14"/>
      <c r="E1785" s="14"/>
      <c r="F1785" s="14"/>
      <c r="G1785" s="14" t="s">
        <v>1911</v>
      </c>
      <c r="H1785" s="14"/>
      <c r="I1785" s="176"/>
      <c r="K1785" s="87"/>
      <c r="L1785" s="14"/>
      <c r="M1785" s="324">
        <f t="shared" si="242"/>
        <v>0</v>
      </c>
      <c r="N1785" s="14"/>
      <c r="O1785" s="14"/>
      <c r="P1785" s="167"/>
      <c r="Q1785" s="14"/>
      <c r="R1785" s="170">
        <f t="shared" si="246"/>
        <v>0</v>
      </c>
      <c r="S1785" s="108" t="str">
        <f t="shared" si="241"/>
        <v/>
      </c>
      <c r="T1785" s="14"/>
      <c r="U1785" s="14"/>
      <c r="V1785" s="14"/>
      <c r="W1785" s="14"/>
      <c r="X1785" s="14"/>
      <c r="Z1785" s="14"/>
      <c r="AA1785" s="2">
        <f t="shared" si="243"/>
        <v>3</v>
      </c>
      <c r="AB1785" s="153"/>
      <c r="AC1785" s="454" t="str">
        <f t="shared" si="244"/>
        <v/>
      </c>
    </row>
    <row r="1786" spans="1:29" x14ac:dyDescent="0.35">
      <c r="A1786" s="111" t="str">
        <f t="shared" si="245"/>
        <v/>
      </c>
      <c r="B1786" s="222"/>
      <c r="C1786" s="14"/>
      <c r="D1786" s="14"/>
      <c r="E1786" s="14"/>
      <c r="F1786" s="14"/>
      <c r="G1786" s="14" t="s">
        <v>1911</v>
      </c>
      <c r="H1786" s="14"/>
      <c r="I1786" s="176"/>
      <c r="K1786" s="87"/>
      <c r="L1786" s="14"/>
      <c r="M1786" s="324">
        <f t="shared" si="242"/>
        <v>0</v>
      </c>
      <c r="N1786" s="14"/>
      <c r="O1786" s="14"/>
      <c r="P1786" s="167"/>
      <c r="Q1786" s="14"/>
      <c r="R1786" s="170">
        <f t="shared" si="246"/>
        <v>0</v>
      </c>
      <c r="S1786" s="108" t="str">
        <f t="shared" si="241"/>
        <v/>
      </c>
      <c r="T1786" s="14"/>
      <c r="U1786" s="14"/>
      <c r="V1786" s="14"/>
      <c r="W1786" s="14"/>
      <c r="X1786" s="14"/>
      <c r="Z1786" s="14"/>
      <c r="AA1786" s="2">
        <f t="shared" si="243"/>
        <v>3</v>
      </c>
      <c r="AB1786" s="153"/>
      <c r="AC1786" s="454" t="str">
        <f t="shared" si="244"/>
        <v/>
      </c>
    </row>
    <row r="1787" spans="1:29" x14ac:dyDescent="0.35">
      <c r="A1787" s="111" t="str">
        <f t="shared" si="245"/>
        <v/>
      </c>
      <c r="B1787" s="222"/>
      <c r="C1787" s="14"/>
      <c r="D1787" s="14"/>
      <c r="E1787" s="14"/>
      <c r="F1787" s="14"/>
      <c r="G1787" s="14" t="s">
        <v>1911</v>
      </c>
      <c r="H1787" s="14"/>
      <c r="I1787" s="176"/>
      <c r="K1787" s="87"/>
      <c r="L1787" s="14"/>
      <c r="M1787" s="324">
        <f t="shared" si="242"/>
        <v>0</v>
      </c>
      <c r="N1787" s="14"/>
      <c r="O1787" s="14"/>
      <c r="P1787" s="167"/>
      <c r="Q1787" s="14"/>
      <c r="R1787" s="170">
        <f t="shared" si="246"/>
        <v>0</v>
      </c>
      <c r="S1787" s="108" t="str">
        <f t="shared" si="241"/>
        <v/>
      </c>
      <c r="T1787" s="14"/>
      <c r="U1787" s="14"/>
      <c r="V1787" s="14"/>
      <c r="W1787" s="14"/>
      <c r="X1787" s="14"/>
      <c r="Z1787" s="14"/>
      <c r="AA1787" s="2">
        <f t="shared" si="243"/>
        <v>3</v>
      </c>
      <c r="AB1787" s="153"/>
      <c r="AC1787" s="454" t="str">
        <f t="shared" si="244"/>
        <v/>
      </c>
    </row>
    <row r="1788" spans="1:29" x14ac:dyDescent="0.35">
      <c r="A1788" s="111" t="str">
        <f t="shared" si="245"/>
        <v/>
      </c>
      <c r="B1788" s="222"/>
      <c r="C1788" s="14"/>
      <c r="D1788" s="14"/>
      <c r="E1788" s="14"/>
      <c r="F1788" s="14"/>
      <c r="G1788" s="14" t="s">
        <v>1911</v>
      </c>
      <c r="H1788" s="14"/>
      <c r="I1788" s="176"/>
      <c r="K1788" s="87"/>
      <c r="L1788" s="14"/>
      <c r="M1788" s="324">
        <f t="shared" si="242"/>
        <v>0</v>
      </c>
      <c r="N1788" s="14"/>
      <c r="O1788" s="14"/>
      <c r="P1788" s="167"/>
      <c r="Q1788" s="14"/>
      <c r="R1788" s="170">
        <f t="shared" si="246"/>
        <v>0</v>
      </c>
      <c r="S1788" s="108" t="str">
        <f t="shared" si="241"/>
        <v/>
      </c>
      <c r="T1788" s="14"/>
      <c r="U1788" s="14"/>
      <c r="V1788" s="14"/>
      <c r="W1788" s="14"/>
      <c r="X1788" s="14"/>
      <c r="Z1788" s="14"/>
      <c r="AA1788" s="2">
        <f t="shared" si="243"/>
        <v>3</v>
      </c>
      <c r="AB1788" s="153"/>
      <c r="AC1788" s="454" t="str">
        <f t="shared" si="244"/>
        <v/>
      </c>
    </row>
    <row r="1789" spans="1:29" x14ac:dyDescent="0.35">
      <c r="A1789" s="111" t="str">
        <f t="shared" si="245"/>
        <v/>
      </c>
      <c r="B1789" s="222"/>
      <c r="C1789" s="14"/>
      <c r="D1789" s="14"/>
      <c r="E1789" s="14"/>
      <c r="F1789" s="14"/>
      <c r="G1789" s="14" t="s">
        <v>1911</v>
      </c>
      <c r="H1789" s="14"/>
      <c r="I1789" s="176"/>
      <c r="K1789" s="87"/>
      <c r="L1789" s="14"/>
      <c r="M1789" s="324">
        <f t="shared" si="242"/>
        <v>0</v>
      </c>
      <c r="N1789" s="14"/>
      <c r="O1789" s="14"/>
      <c r="P1789" s="167"/>
      <c r="Q1789" s="14"/>
      <c r="R1789" s="170">
        <f t="shared" si="246"/>
        <v>0</v>
      </c>
      <c r="S1789" s="108" t="str">
        <f t="shared" si="241"/>
        <v/>
      </c>
      <c r="T1789" s="14"/>
      <c r="U1789" s="14"/>
      <c r="V1789" s="14"/>
      <c r="W1789" s="14"/>
      <c r="X1789" s="14"/>
      <c r="Z1789" s="14"/>
      <c r="AA1789" s="2">
        <f t="shared" si="243"/>
        <v>3</v>
      </c>
      <c r="AB1789" s="153"/>
      <c r="AC1789" s="454" t="str">
        <f t="shared" si="244"/>
        <v/>
      </c>
    </row>
    <row r="1790" spans="1:29" x14ac:dyDescent="0.35">
      <c r="A1790" s="111" t="str">
        <f t="shared" si="245"/>
        <v/>
      </c>
      <c r="B1790" s="222"/>
      <c r="C1790" s="14"/>
      <c r="D1790" s="14"/>
      <c r="E1790" s="14"/>
      <c r="F1790" s="14"/>
      <c r="G1790" s="14" t="s">
        <v>1911</v>
      </c>
      <c r="H1790" s="14"/>
      <c r="I1790" s="176"/>
      <c r="K1790" s="87"/>
      <c r="L1790" s="14"/>
      <c r="M1790" s="324">
        <f t="shared" si="242"/>
        <v>0</v>
      </c>
      <c r="N1790" s="14"/>
      <c r="O1790" s="14"/>
      <c r="P1790" s="167"/>
      <c r="Q1790" s="14"/>
      <c r="R1790" s="170">
        <f t="shared" si="246"/>
        <v>0</v>
      </c>
      <c r="S1790" s="108" t="str">
        <f t="shared" si="241"/>
        <v/>
      </c>
      <c r="T1790" s="14"/>
      <c r="U1790" s="14"/>
      <c r="V1790" s="14"/>
      <c r="W1790" s="14"/>
      <c r="X1790" s="14"/>
      <c r="Z1790" s="14"/>
      <c r="AA1790" s="2">
        <f t="shared" si="243"/>
        <v>3</v>
      </c>
      <c r="AB1790" s="153"/>
      <c r="AC1790" s="454" t="str">
        <f t="shared" si="244"/>
        <v/>
      </c>
    </row>
    <row r="1791" spans="1:29" x14ac:dyDescent="0.35">
      <c r="A1791" s="111" t="str">
        <f t="shared" si="245"/>
        <v/>
      </c>
      <c r="B1791" s="222"/>
      <c r="C1791" s="14"/>
      <c r="D1791" s="14"/>
      <c r="E1791" s="14"/>
      <c r="F1791" s="14"/>
      <c r="G1791" s="14" t="s">
        <v>1911</v>
      </c>
      <c r="H1791" s="14"/>
      <c r="I1791" s="176"/>
      <c r="K1791" s="87"/>
      <c r="L1791" s="14"/>
      <c r="M1791" s="324">
        <f t="shared" si="242"/>
        <v>0</v>
      </c>
      <c r="N1791" s="14"/>
      <c r="O1791" s="14"/>
      <c r="P1791" s="167"/>
      <c r="Q1791" s="14"/>
      <c r="R1791" s="170">
        <f t="shared" si="246"/>
        <v>0</v>
      </c>
      <c r="S1791" s="108" t="str">
        <f t="shared" si="241"/>
        <v/>
      </c>
      <c r="T1791" s="14"/>
      <c r="U1791" s="14"/>
      <c r="V1791" s="14"/>
      <c r="W1791" s="14"/>
      <c r="X1791" s="14"/>
      <c r="Z1791" s="14"/>
      <c r="AA1791" s="2">
        <f t="shared" si="243"/>
        <v>3</v>
      </c>
      <c r="AB1791" s="153"/>
      <c r="AC1791" s="454" t="str">
        <f t="shared" si="244"/>
        <v/>
      </c>
    </row>
    <row r="1792" spans="1:29" x14ac:dyDescent="0.35">
      <c r="A1792" s="111" t="str">
        <f t="shared" si="245"/>
        <v/>
      </c>
      <c r="B1792" s="222"/>
      <c r="C1792" s="14"/>
      <c r="D1792" s="14"/>
      <c r="E1792" s="14"/>
      <c r="F1792" s="14"/>
      <c r="G1792" s="14" t="s">
        <v>1911</v>
      </c>
      <c r="H1792" s="14"/>
      <c r="I1792" s="176"/>
      <c r="K1792" s="87"/>
      <c r="L1792" s="14"/>
      <c r="M1792" s="324">
        <f t="shared" si="242"/>
        <v>0</v>
      </c>
      <c r="N1792" s="14"/>
      <c r="O1792" s="14"/>
      <c r="P1792" s="167"/>
      <c r="Q1792" s="14"/>
      <c r="R1792" s="170">
        <f t="shared" si="246"/>
        <v>0</v>
      </c>
      <c r="S1792" s="108" t="str">
        <f t="shared" si="241"/>
        <v/>
      </c>
      <c r="T1792" s="14"/>
      <c r="U1792" s="14"/>
      <c r="V1792" s="14"/>
      <c r="W1792" s="14"/>
      <c r="X1792" s="14"/>
      <c r="Z1792" s="14"/>
      <c r="AA1792" s="2">
        <f t="shared" si="243"/>
        <v>3</v>
      </c>
      <c r="AB1792" s="153"/>
      <c r="AC1792" s="454" t="str">
        <f t="shared" si="244"/>
        <v/>
      </c>
    </row>
    <row r="1793" spans="1:29" x14ac:dyDescent="0.35">
      <c r="A1793" s="111" t="str">
        <f t="shared" si="245"/>
        <v/>
      </c>
      <c r="B1793" s="222"/>
      <c r="C1793" s="14"/>
      <c r="D1793" s="14"/>
      <c r="E1793" s="14"/>
      <c r="F1793" s="14"/>
      <c r="G1793" s="14" t="s">
        <v>1911</v>
      </c>
      <c r="H1793" s="14"/>
      <c r="I1793" s="176"/>
      <c r="K1793" s="87"/>
      <c r="L1793" s="14"/>
      <c r="M1793" s="324">
        <f t="shared" si="242"/>
        <v>0</v>
      </c>
      <c r="N1793" s="14"/>
      <c r="O1793" s="14"/>
      <c r="P1793" s="167"/>
      <c r="Q1793" s="14"/>
      <c r="R1793" s="170">
        <f t="shared" si="246"/>
        <v>0</v>
      </c>
      <c r="S1793" s="108" t="str">
        <f t="shared" si="241"/>
        <v/>
      </c>
      <c r="T1793" s="14"/>
      <c r="U1793" s="14"/>
      <c r="V1793" s="14"/>
      <c r="W1793" s="14"/>
      <c r="X1793" s="14"/>
      <c r="Z1793" s="14"/>
      <c r="AA1793" s="2">
        <f t="shared" si="243"/>
        <v>3</v>
      </c>
      <c r="AB1793" s="153"/>
      <c r="AC1793" s="454" t="str">
        <f t="shared" si="244"/>
        <v/>
      </c>
    </row>
    <row r="1794" spans="1:29" x14ac:dyDescent="0.35">
      <c r="A1794" s="111" t="str">
        <f t="shared" si="245"/>
        <v/>
      </c>
      <c r="B1794" s="222"/>
      <c r="C1794" s="14"/>
      <c r="D1794" s="14"/>
      <c r="E1794" s="14"/>
      <c r="F1794" s="14"/>
      <c r="G1794" s="14" t="s">
        <v>1911</v>
      </c>
      <c r="H1794" s="14"/>
      <c r="I1794" s="176"/>
      <c r="K1794" s="87"/>
      <c r="L1794" s="14"/>
      <c r="M1794" s="324">
        <f t="shared" si="242"/>
        <v>0</v>
      </c>
      <c r="N1794" s="14"/>
      <c r="O1794" s="14"/>
      <c r="P1794" s="167"/>
      <c r="Q1794" s="14"/>
      <c r="R1794" s="170">
        <f t="shared" si="246"/>
        <v>0</v>
      </c>
      <c r="S1794" s="108" t="str">
        <f t="shared" si="241"/>
        <v/>
      </c>
      <c r="T1794" s="14"/>
      <c r="U1794" s="14"/>
      <c r="V1794" s="14"/>
      <c r="W1794" s="14"/>
      <c r="X1794" s="14"/>
      <c r="Z1794" s="14"/>
      <c r="AA1794" s="2">
        <f t="shared" si="243"/>
        <v>3</v>
      </c>
      <c r="AB1794" s="153"/>
      <c r="AC1794" s="454" t="str">
        <f t="shared" si="244"/>
        <v/>
      </c>
    </row>
    <row r="1795" spans="1:29" x14ac:dyDescent="0.35">
      <c r="A1795" s="111" t="str">
        <f t="shared" si="245"/>
        <v/>
      </c>
      <c r="B1795" s="222"/>
      <c r="C1795" s="14"/>
      <c r="D1795" s="14"/>
      <c r="E1795" s="14"/>
      <c r="F1795" s="14"/>
      <c r="G1795" s="14" t="s">
        <v>1911</v>
      </c>
      <c r="H1795" s="14"/>
      <c r="I1795" s="176"/>
      <c r="K1795" s="87"/>
      <c r="L1795" s="14"/>
      <c r="M1795" s="324">
        <f t="shared" si="242"/>
        <v>0</v>
      </c>
      <c r="N1795" s="14"/>
      <c r="O1795" s="14"/>
      <c r="P1795" s="167"/>
      <c r="Q1795" s="14"/>
      <c r="R1795" s="170">
        <f t="shared" si="246"/>
        <v>0</v>
      </c>
      <c r="S1795" s="108" t="str">
        <f t="shared" si="241"/>
        <v/>
      </c>
      <c r="T1795" s="14"/>
      <c r="U1795" s="14"/>
      <c r="V1795" s="14"/>
      <c r="W1795" s="14"/>
      <c r="X1795" s="14"/>
      <c r="Z1795" s="14"/>
      <c r="AA1795" s="2">
        <f t="shared" si="243"/>
        <v>3</v>
      </c>
      <c r="AB1795" s="153"/>
      <c r="AC1795" s="454" t="str">
        <f t="shared" si="244"/>
        <v/>
      </c>
    </row>
    <row r="1796" spans="1:29" x14ac:dyDescent="0.35">
      <c r="A1796" s="111" t="str">
        <f t="shared" si="245"/>
        <v/>
      </c>
      <c r="B1796" s="222"/>
      <c r="C1796" s="14"/>
      <c r="D1796" s="14"/>
      <c r="E1796" s="14"/>
      <c r="F1796" s="14"/>
      <c r="G1796" s="14" t="s">
        <v>1911</v>
      </c>
      <c r="H1796" s="14"/>
      <c r="I1796" s="176"/>
      <c r="K1796" s="87"/>
      <c r="L1796" s="14"/>
      <c r="M1796" s="324">
        <f t="shared" si="242"/>
        <v>0</v>
      </c>
      <c r="N1796" s="14"/>
      <c r="O1796" s="14"/>
      <c r="P1796" s="167"/>
      <c r="Q1796" s="14"/>
      <c r="R1796" s="170">
        <f t="shared" si="246"/>
        <v>0</v>
      </c>
      <c r="S1796" s="108" t="str">
        <f t="shared" si="241"/>
        <v/>
      </c>
      <c r="T1796" s="14"/>
      <c r="U1796" s="14"/>
      <c r="V1796" s="14"/>
      <c r="W1796" s="14"/>
      <c r="X1796" s="14"/>
      <c r="Z1796" s="14"/>
      <c r="AA1796" s="2">
        <f t="shared" si="243"/>
        <v>3</v>
      </c>
      <c r="AB1796" s="153"/>
      <c r="AC1796" s="454" t="str">
        <f t="shared" si="244"/>
        <v/>
      </c>
    </row>
    <row r="1797" spans="1:29" x14ac:dyDescent="0.35">
      <c r="A1797" s="111" t="str">
        <f t="shared" si="245"/>
        <v/>
      </c>
      <c r="B1797" s="222"/>
      <c r="C1797" s="14"/>
      <c r="D1797" s="14"/>
      <c r="E1797" s="14"/>
      <c r="F1797" s="14"/>
      <c r="G1797" s="14" t="s">
        <v>1911</v>
      </c>
      <c r="H1797" s="14"/>
      <c r="I1797" s="176"/>
      <c r="K1797" s="87"/>
      <c r="L1797" s="14"/>
      <c r="M1797" s="324">
        <f t="shared" si="242"/>
        <v>0</v>
      </c>
      <c r="N1797" s="14"/>
      <c r="O1797" s="14"/>
      <c r="P1797" s="167"/>
      <c r="Q1797" s="14"/>
      <c r="R1797" s="170">
        <f t="shared" si="246"/>
        <v>0</v>
      </c>
      <c r="S1797" s="108" t="str">
        <f t="shared" ref="S1797:S1860" si="247">IF(B1797="","",B1797+28)</f>
        <v/>
      </c>
      <c r="T1797" s="14"/>
      <c r="U1797" s="14"/>
      <c r="V1797" s="14"/>
      <c r="W1797" s="14"/>
      <c r="X1797" s="14"/>
      <c r="Z1797" s="14"/>
      <c r="AA1797" s="2">
        <f t="shared" si="243"/>
        <v>3</v>
      </c>
      <c r="AB1797" s="153"/>
      <c r="AC1797" s="454" t="str">
        <f t="shared" si="244"/>
        <v/>
      </c>
    </row>
    <row r="1798" spans="1:29" x14ac:dyDescent="0.35">
      <c r="A1798" s="111" t="str">
        <f t="shared" si="245"/>
        <v/>
      </c>
      <c r="B1798" s="222"/>
      <c r="C1798" s="14"/>
      <c r="D1798" s="14"/>
      <c r="E1798" s="14"/>
      <c r="F1798" s="14"/>
      <c r="G1798" s="14" t="s">
        <v>1911</v>
      </c>
      <c r="H1798" s="14"/>
      <c r="I1798" s="176"/>
      <c r="K1798" s="87"/>
      <c r="L1798" s="14"/>
      <c r="M1798" s="324">
        <f t="shared" si="242"/>
        <v>0</v>
      </c>
      <c r="N1798" s="14"/>
      <c r="O1798" s="14"/>
      <c r="P1798" s="167"/>
      <c r="Q1798" s="14"/>
      <c r="R1798" s="170">
        <f t="shared" si="246"/>
        <v>0</v>
      </c>
      <c r="S1798" s="108" t="str">
        <f t="shared" si="247"/>
        <v/>
      </c>
      <c r="T1798" s="14"/>
      <c r="U1798" s="14"/>
      <c r="V1798" s="14"/>
      <c r="W1798" s="14"/>
      <c r="X1798" s="14"/>
      <c r="Z1798" s="14"/>
      <c r="AA1798" s="2">
        <f t="shared" si="243"/>
        <v>3</v>
      </c>
      <c r="AB1798" s="153"/>
      <c r="AC1798" s="454" t="str">
        <f t="shared" si="244"/>
        <v/>
      </c>
    </row>
    <row r="1799" spans="1:29" x14ac:dyDescent="0.35">
      <c r="A1799" s="111" t="str">
        <f t="shared" si="245"/>
        <v/>
      </c>
      <c r="B1799" s="222"/>
      <c r="C1799" s="14"/>
      <c r="D1799" s="14"/>
      <c r="E1799" s="14"/>
      <c r="F1799" s="14"/>
      <c r="G1799" s="14" t="s">
        <v>1911</v>
      </c>
      <c r="H1799" s="14"/>
      <c r="I1799" s="176"/>
      <c r="K1799" s="87"/>
      <c r="L1799" s="14"/>
      <c r="M1799" s="324">
        <f t="shared" si="242"/>
        <v>0</v>
      </c>
      <c r="N1799" s="14"/>
      <c r="O1799" s="14"/>
      <c r="P1799" s="167"/>
      <c r="Q1799" s="14"/>
      <c r="R1799" s="170">
        <f t="shared" si="246"/>
        <v>0</v>
      </c>
      <c r="S1799" s="108" t="str">
        <f t="shared" si="247"/>
        <v/>
      </c>
      <c r="T1799" s="14"/>
      <c r="U1799" s="14"/>
      <c r="V1799" s="14"/>
      <c r="W1799" s="14"/>
      <c r="X1799" s="14"/>
      <c r="Z1799" s="14"/>
      <c r="AA1799" s="2">
        <f t="shared" si="243"/>
        <v>3</v>
      </c>
      <c r="AB1799" s="153"/>
      <c r="AC1799" s="454" t="str">
        <f t="shared" si="244"/>
        <v/>
      </c>
    </row>
    <row r="1800" spans="1:29" x14ac:dyDescent="0.35">
      <c r="A1800" s="111" t="str">
        <f t="shared" si="245"/>
        <v/>
      </c>
      <c r="B1800" s="222"/>
      <c r="C1800" s="14"/>
      <c r="D1800" s="14"/>
      <c r="E1800" s="14"/>
      <c r="F1800" s="14"/>
      <c r="G1800" s="14" t="s">
        <v>1911</v>
      </c>
      <c r="H1800" s="14"/>
      <c r="I1800" s="176"/>
      <c r="K1800" s="87"/>
      <c r="L1800" s="14"/>
      <c r="M1800" s="324">
        <f t="shared" si="242"/>
        <v>0</v>
      </c>
      <c r="N1800" s="14"/>
      <c r="O1800" s="14"/>
      <c r="P1800" s="167"/>
      <c r="Q1800" s="14"/>
      <c r="R1800" s="170">
        <f t="shared" si="246"/>
        <v>0</v>
      </c>
      <c r="S1800" s="108" t="str">
        <f t="shared" si="247"/>
        <v/>
      </c>
      <c r="T1800" s="14"/>
      <c r="U1800" s="14"/>
      <c r="V1800" s="14"/>
      <c r="W1800" s="14"/>
      <c r="X1800" s="14"/>
      <c r="Z1800" s="14"/>
      <c r="AA1800" s="2">
        <f t="shared" si="243"/>
        <v>3</v>
      </c>
      <c r="AB1800" s="153"/>
      <c r="AC1800" s="454" t="str">
        <f t="shared" si="244"/>
        <v/>
      </c>
    </row>
    <row r="1801" spans="1:29" x14ac:dyDescent="0.35">
      <c r="A1801" s="111" t="str">
        <f t="shared" si="245"/>
        <v/>
      </c>
      <c r="B1801" s="222"/>
      <c r="C1801" s="14"/>
      <c r="D1801" s="14"/>
      <c r="E1801" s="14"/>
      <c r="F1801" s="14"/>
      <c r="G1801" s="14" t="s">
        <v>1911</v>
      </c>
      <c r="H1801" s="14"/>
      <c r="I1801" s="176"/>
      <c r="K1801" s="87"/>
      <c r="L1801" s="14"/>
      <c r="M1801" s="324">
        <f t="shared" si="242"/>
        <v>0</v>
      </c>
      <c r="N1801" s="14"/>
      <c r="O1801" s="14"/>
      <c r="P1801" s="167"/>
      <c r="Q1801" s="14"/>
      <c r="R1801" s="170">
        <f t="shared" si="246"/>
        <v>0</v>
      </c>
      <c r="S1801" s="108" t="str">
        <f t="shared" si="247"/>
        <v/>
      </c>
      <c r="T1801" s="14"/>
      <c r="U1801" s="14"/>
      <c r="V1801" s="14"/>
      <c r="W1801" s="14"/>
      <c r="X1801" s="14"/>
      <c r="Z1801" s="14"/>
      <c r="AA1801" s="2">
        <f t="shared" si="243"/>
        <v>3</v>
      </c>
      <c r="AB1801" s="153"/>
      <c r="AC1801" s="454" t="str">
        <f t="shared" si="244"/>
        <v/>
      </c>
    </row>
    <row r="1802" spans="1:29" x14ac:dyDescent="0.35">
      <c r="A1802" s="111" t="str">
        <f t="shared" si="245"/>
        <v/>
      </c>
      <c r="B1802" s="222"/>
      <c r="C1802" s="14"/>
      <c r="D1802" s="14"/>
      <c r="E1802" s="14"/>
      <c r="F1802" s="14"/>
      <c r="G1802" s="14" t="s">
        <v>1911</v>
      </c>
      <c r="H1802" s="14"/>
      <c r="I1802" s="176"/>
      <c r="K1802" s="87"/>
      <c r="L1802" s="14"/>
      <c r="M1802" s="324">
        <f t="shared" si="242"/>
        <v>0</v>
      </c>
      <c r="N1802" s="14"/>
      <c r="O1802" s="14"/>
      <c r="P1802" s="167"/>
      <c r="Q1802" s="14"/>
      <c r="R1802" s="170">
        <f t="shared" si="246"/>
        <v>0</v>
      </c>
      <c r="S1802" s="108" t="str">
        <f t="shared" si="247"/>
        <v/>
      </c>
      <c r="T1802" s="14"/>
      <c r="U1802" s="14"/>
      <c r="V1802" s="14"/>
      <c r="W1802" s="14"/>
      <c r="X1802" s="14"/>
      <c r="Z1802" s="14"/>
      <c r="AA1802" s="2">
        <f t="shared" si="243"/>
        <v>3</v>
      </c>
      <c r="AB1802" s="153"/>
      <c r="AC1802" s="454" t="str">
        <f t="shared" si="244"/>
        <v/>
      </c>
    </row>
    <row r="1803" spans="1:29" x14ac:dyDescent="0.35">
      <c r="A1803" s="111" t="str">
        <f t="shared" si="245"/>
        <v/>
      </c>
      <c r="B1803" s="222"/>
      <c r="C1803" s="14"/>
      <c r="D1803" s="14"/>
      <c r="E1803" s="14"/>
      <c r="F1803" s="14"/>
      <c r="G1803" s="14" t="s">
        <v>1911</v>
      </c>
      <c r="H1803" s="14"/>
      <c r="I1803" s="176"/>
      <c r="K1803" s="87"/>
      <c r="L1803" s="14"/>
      <c r="M1803" s="324">
        <f t="shared" si="242"/>
        <v>0</v>
      </c>
      <c r="N1803" s="14"/>
      <c r="O1803" s="14"/>
      <c r="P1803" s="167"/>
      <c r="Q1803" s="14"/>
      <c r="R1803" s="170">
        <f t="shared" si="246"/>
        <v>0</v>
      </c>
      <c r="S1803" s="108" t="str">
        <f t="shared" si="247"/>
        <v/>
      </c>
      <c r="T1803" s="14"/>
      <c r="U1803" s="14"/>
      <c r="V1803" s="14"/>
      <c r="W1803" s="14"/>
      <c r="X1803" s="14"/>
      <c r="Z1803" s="14"/>
      <c r="AA1803" s="2">
        <f t="shared" si="243"/>
        <v>3</v>
      </c>
      <c r="AB1803" s="153"/>
      <c r="AC1803" s="454" t="str">
        <f t="shared" si="244"/>
        <v/>
      </c>
    </row>
    <row r="1804" spans="1:29" x14ac:dyDescent="0.35">
      <c r="A1804" s="111" t="str">
        <f t="shared" si="245"/>
        <v/>
      </c>
      <c r="B1804" s="222"/>
      <c r="C1804" s="14"/>
      <c r="D1804" s="14"/>
      <c r="E1804" s="14"/>
      <c r="F1804" s="14"/>
      <c r="G1804" s="14" t="s">
        <v>1911</v>
      </c>
      <c r="H1804" s="14"/>
      <c r="I1804" s="176"/>
      <c r="K1804" s="87"/>
      <c r="L1804" s="14"/>
      <c r="M1804" s="324">
        <f t="shared" si="242"/>
        <v>0</v>
      </c>
      <c r="N1804" s="14"/>
      <c r="O1804" s="14"/>
      <c r="P1804" s="167"/>
      <c r="Q1804" s="14"/>
      <c r="R1804" s="170">
        <f t="shared" si="246"/>
        <v>0</v>
      </c>
      <c r="S1804" s="108" t="str">
        <f t="shared" si="247"/>
        <v/>
      </c>
      <c r="T1804" s="14"/>
      <c r="U1804" s="14"/>
      <c r="V1804" s="14"/>
      <c r="W1804" s="14"/>
      <c r="X1804" s="14"/>
      <c r="Z1804" s="14"/>
      <c r="AA1804" s="2">
        <f t="shared" si="243"/>
        <v>3</v>
      </c>
      <c r="AB1804" s="153"/>
      <c r="AC1804" s="454" t="str">
        <f t="shared" si="244"/>
        <v/>
      </c>
    </row>
    <row r="1805" spans="1:29" x14ac:dyDescent="0.35">
      <c r="A1805" s="111" t="str">
        <f t="shared" si="245"/>
        <v/>
      </c>
      <c r="B1805" s="222"/>
      <c r="C1805" s="14"/>
      <c r="D1805" s="14"/>
      <c r="E1805" s="14"/>
      <c r="F1805" s="14"/>
      <c r="G1805" s="14" t="s">
        <v>1911</v>
      </c>
      <c r="H1805" s="14"/>
      <c r="I1805" s="176"/>
      <c r="K1805" s="87"/>
      <c r="L1805" s="14"/>
      <c r="M1805" s="324">
        <f t="shared" si="242"/>
        <v>0</v>
      </c>
      <c r="N1805" s="14"/>
      <c r="O1805" s="14"/>
      <c r="P1805" s="167"/>
      <c r="Q1805" s="14"/>
      <c r="R1805" s="170">
        <f t="shared" si="246"/>
        <v>0</v>
      </c>
      <c r="S1805" s="108" t="str">
        <f t="shared" si="247"/>
        <v/>
      </c>
      <c r="T1805" s="14"/>
      <c r="U1805" s="14"/>
      <c r="V1805" s="14"/>
      <c r="W1805" s="14"/>
      <c r="X1805" s="14"/>
      <c r="Z1805" s="14"/>
      <c r="AA1805" s="2">
        <f t="shared" si="243"/>
        <v>3</v>
      </c>
      <c r="AB1805" s="153"/>
      <c r="AC1805" s="454" t="str">
        <f t="shared" si="244"/>
        <v/>
      </c>
    </row>
    <row r="1806" spans="1:29" x14ac:dyDescent="0.35">
      <c r="A1806" s="111" t="str">
        <f t="shared" si="245"/>
        <v/>
      </c>
      <c r="B1806" s="222"/>
      <c r="C1806" s="14"/>
      <c r="D1806" s="14"/>
      <c r="E1806" s="14"/>
      <c r="F1806" s="14"/>
      <c r="G1806" s="14" t="s">
        <v>1911</v>
      </c>
      <c r="H1806" s="14"/>
      <c r="I1806" s="176"/>
      <c r="K1806" s="87"/>
      <c r="L1806" s="14"/>
      <c r="M1806" s="324">
        <f t="shared" si="242"/>
        <v>0</v>
      </c>
      <c r="N1806" s="14"/>
      <c r="O1806" s="14"/>
      <c r="P1806" s="167"/>
      <c r="Q1806" s="14"/>
      <c r="R1806" s="170">
        <f t="shared" si="246"/>
        <v>0</v>
      </c>
      <c r="S1806" s="108" t="str">
        <f t="shared" si="247"/>
        <v/>
      </c>
      <c r="T1806" s="14"/>
      <c r="U1806" s="14"/>
      <c r="V1806" s="14"/>
      <c r="W1806" s="14"/>
      <c r="X1806" s="14"/>
      <c r="Z1806" s="14"/>
      <c r="AA1806" s="2">
        <f t="shared" si="243"/>
        <v>3</v>
      </c>
      <c r="AB1806" s="153"/>
      <c r="AC1806" s="454" t="str">
        <f t="shared" si="244"/>
        <v/>
      </c>
    </row>
    <row r="1807" spans="1:29" x14ac:dyDescent="0.35">
      <c r="A1807" s="111" t="str">
        <f t="shared" si="245"/>
        <v/>
      </c>
      <c r="B1807" s="222"/>
      <c r="C1807" s="14"/>
      <c r="D1807" s="14"/>
      <c r="E1807" s="14"/>
      <c r="F1807" s="14"/>
      <c r="G1807" s="14" t="s">
        <v>1911</v>
      </c>
      <c r="H1807" s="14"/>
      <c r="I1807" s="176"/>
      <c r="K1807" s="87"/>
      <c r="L1807" s="14"/>
      <c r="M1807" s="324">
        <f t="shared" si="242"/>
        <v>0</v>
      </c>
      <c r="N1807" s="14"/>
      <c r="O1807" s="14"/>
      <c r="P1807" s="167"/>
      <c r="Q1807" s="14"/>
      <c r="R1807" s="170">
        <f t="shared" si="246"/>
        <v>0</v>
      </c>
      <c r="S1807" s="108" t="str">
        <f t="shared" si="247"/>
        <v/>
      </c>
      <c r="T1807" s="14"/>
      <c r="U1807" s="14"/>
      <c r="V1807" s="14"/>
      <c r="W1807" s="14"/>
      <c r="X1807" s="14"/>
      <c r="Z1807" s="14"/>
      <c r="AA1807" s="2">
        <f t="shared" si="243"/>
        <v>3</v>
      </c>
      <c r="AB1807" s="153"/>
      <c r="AC1807" s="454" t="str">
        <f t="shared" si="244"/>
        <v/>
      </c>
    </row>
    <row r="1808" spans="1:29" x14ac:dyDescent="0.35">
      <c r="A1808" s="111" t="str">
        <f t="shared" si="245"/>
        <v/>
      </c>
      <c r="B1808" s="222"/>
      <c r="C1808" s="14"/>
      <c r="D1808" s="14"/>
      <c r="E1808" s="14"/>
      <c r="F1808" s="14"/>
      <c r="G1808" s="14" t="s">
        <v>1911</v>
      </c>
      <c r="H1808" s="14"/>
      <c r="I1808" s="176"/>
      <c r="K1808" s="87"/>
      <c r="L1808" s="14"/>
      <c r="M1808" s="324">
        <f t="shared" si="242"/>
        <v>0</v>
      </c>
      <c r="N1808" s="14"/>
      <c r="O1808" s="14"/>
      <c r="P1808" s="167"/>
      <c r="Q1808" s="14"/>
      <c r="R1808" s="170">
        <f t="shared" si="246"/>
        <v>0</v>
      </c>
      <c r="S1808" s="108" t="str">
        <f t="shared" si="247"/>
        <v/>
      </c>
      <c r="T1808" s="14"/>
      <c r="U1808" s="14"/>
      <c r="V1808" s="14"/>
      <c r="W1808" s="14"/>
      <c r="X1808" s="14"/>
      <c r="Z1808" s="14"/>
      <c r="AA1808" s="2">
        <f t="shared" si="243"/>
        <v>3</v>
      </c>
      <c r="AB1808" s="153"/>
      <c r="AC1808" s="454" t="str">
        <f t="shared" si="244"/>
        <v/>
      </c>
    </row>
    <row r="1809" spans="1:29" x14ac:dyDescent="0.35">
      <c r="A1809" s="111" t="str">
        <f t="shared" si="245"/>
        <v/>
      </c>
      <c r="B1809" s="222"/>
      <c r="C1809" s="14"/>
      <c r="D1809" s="14"/>
      <c r="E1809" s="14"/>
      <c r="F1809" s="14"/>
      <c r="G1809" s="14" t="s">
        <v>1911</v>
      </c>
      <c r="H1809" s="14"/>
      <c r="I1809" s="176"/>
      <c r="K1809" s="87"/>
      <c r="L1809" s="14"/>
      <c r="M1809" s="324">
        <f t="shared" si="242"/>
        <v>0</v>
      </c>
      <c r="N1809" s="14"/>
      <c r="O1809" s="14"/>
      <c r="P1809" s="167"/>
      <c r="Q1809" s="14"/>
      <c r="R1809" s="170">
        <f t="shared" si="246"/>
        <v>0</v>
      </c>
      <c r="S1809" s="108" t="str">
        <f t="shared" si="247"/>
        <v/>
      </c>
      <c r="T1809" s="14"/>
      <c r="U1809" s="14"/>
      <c r="V1809" s="14"/>
      <c r="W1809" s="14"/>
      <c r="X1809" s="14"/>
      <c r="Z1809" s="14"/>
      <c r="AA1809" s="2">
        <f t="shared" si="243"/>
        <v>3</v>
      </c>
      <c r="AB1809" s="153"/>
      <c r="AC1809" s="454" t="str">
        <f t="shared" si="244"/>
        <v/>
      </c>
    </row>
    <row r="1810" spans="1:29" x14ac:dyDescent="0.35">
      <c r="A1810" s="111" t="str">
        <f t="shared" si="245"/>
        <v/>
      </c>
      <c r="B1810" s="222"/>
      <c r="C1810" s="14"/>
      <c r="D1810" s="14"/>
      <c r="E1810" s="14"/>
      <c r="F1810" s="14"/>
      <c r="G1810" s="14" t="s">
        <v>1911</v>
      </c>
      <c r="H1810" s="14"/>
      <c r="I1810" s="176"/>
      <c r="K1810" s="87"/>
      <c r="L1810" s="14"/>
      <c r="M1810" s="324">
        <f t="shared" si="242"/>
        <v>0</v>
      </c>
      <c r="N1810" s="14"/>
      <c r="O1810" s="14"/>
      <c r="P1810" s="167"/>
      <c r="Q1810" s="14"/>
      <c r="R1810" s="170">
        <f t="shared" si="246"/>
        <v>0</v>
      </c>
      <c r="S1810" s="108" t="str">
        <f t="shared" si="247"/>
        <v/>
      </c>
      <c r="T1810" s="14"/>
      <c r="U1810" s="14"/>
      <c r="V1810" s="14"/>
      <c r="W1810" s="14"/>
      <c r="X1810" s="14"/>
      <c r="Z1810" s="14"/>
      <c r="AA1810" s="2">
        <f t="shared" si="243"/>
        <v>3</v>
      </c>
      <c r="AB1810" s="153"/>
      <c r="AC1810" s="454" t="str">
        <f t="shared" si="244"/>
        <v/>
      </c>
    </row>
    <row r="1811" spans="1:29" x14ac:dyDescent="0.35">
      <c r="A1811" s="111" t="str">
        <f t="shared" si="245"/>
        <v/>
      </c>
      <c r="B1811" s="222"/>
      <c r="C1811" s="14"/>
      <c r="D1811" s="14"/>
      <c r="E1811" s="14"/>
      <c r="F1811" s="14"/>
      <c r="G1811" s="14" t="s">
        <v>1911</v>
      </c>
      <c r="H1811" s="14"/>
      <c r="I1811" s="176"/>
      <c r="K1811" s="87"/>
      <c r="L1811" s="14"/>
      <c r="M1811" s="324">
        <f t="shared" si="242"/>
        <v>0</v>
      </c>
      <c r="N1811" s="14"/>
      <c r="O1811" s="14"/>
      <c r="P1811" s="167"/>
      <c r="Q1811" s="14"/>
      <c r="R1811" s="170">
        <f t="shared" si="246"/>
        <v>0</v>
      </c>
      <c r="S1811" s="108" t="str">
        <f t="shared" si="247"/>
        <v/>
      </c>
      <c r="T1811" s="14"/>
      <c r="U1811" s="14"/>
      <c r="V1811" s="14"/>
      <c r="W1811" s="14"/>
      <c r="X1811" s="14"/>
      <c r="Z1811" s="14"/>
      <c r="AA1811" s="2">
        <f t="shared" si="243"/>
        <v>3</v>
      </c>
      <c r="AB1811" s="153"/>
      <c r="AC1811" s="454" t="str">
        <f t="shared" si="244"/>
        <v/>
      </c>
    </row>
    <row r="1812" spans="1:29" x14ac:dyDescent="0.35">
      <c r="A1812" s="111" t="str">
        <f t="shared" si="245"/>
        <v/>
      </c>
      <c r="B1812" s="222"/>
      <c r="C1812" s="14"/>
      <c r="D1812" s="14"/>
      <c r="E1812" s="14"/>
      <c r="F1812" s="14"/>
      <c r="G1812" s="14" t="s">
        <v>1911</v>
      </c>
      <c r="H1812" s="14"/>
      <c r="I1812" s="176"/>
      <c r="K1812" s="87"/>
      <c r="L1812" s="14"/>
      <c r="M1812" s="324">
        <f t="shared" ref="M1812:M1875" si="248">IF(I1812="Staff Accident","Entry Required",IF(I1812="Assaults","Entry Required",0))</f>
        <v>0</v>
      </c>
      <c r="N1812" s="14"/>
      <c r="O1812" s="14"/>
      <c r="P1812" s="167"/>
      <c r="Q1812" s="14"/>
      <c r="R1812" s="170">
        <f t="shared" si="246"/>
        <v>0</v>
      </c>
      <c r="S1812" s="108" t="str">
        <f t="shared" si="247"/>
        <v/>
      </c>
      <c r="T1812" s="14"/>
      <c r="U1812" s="14"/>
      <c r="V1812" s="14"/>
      <c r="W1812" s="14"/>
      <c r="X1812" s="14"/>
      <c r="Z1812" s="14"/>
      <c r="AA1812" s="2">
        <f t="shared" si="243"/>
        <v>3</v>
      </c>
      <c r="AB1812" s="153"/>
      <c r="AC1812" s="454" t="str">
        <f t="shared" si="244"/>
        <v/>
      </c>
    </row>
    <row r="1813" spans="1:29" x14ac:dyDescent="0.35">
      <c r="A1813" s="111" t="str">
        <f t="shared" si="245"/>
        <v/>
      </c>
      <c r="B1813" s="222"/>
      <c r="C1813" s="14"/>
      <c r="D1813" s="14"/>
      <c r="E1813" s="14"/>
      <c r="F1813" s="14"/>
      <c r="G1813" s="14" t="s">
        <v>1911</v>
      </c>
      <c r="H1813" s="14"/>
      <c r="I1813" s="176"/>
      <c r="K1813" s="87"/>
      <c r="L1813" s="14"/>
      <c r="M1813" s="324">
        <f t="shared" si="248"/>
        <v>0</v>
      </c>
      <c r="N1813" s="14"/>
      <c r="O1813" s="14"/>
      <c r="P1813" s="167"/>
      <c r="Q1813" s="14"/>
      <c r="R1813" s="170">
        <f t="shared" si="246"/>
        <v>0</v>
      </c>
      <c r="S1813" s="108" t="str">
        <f t="shared" si="247"/>
        <v/>
      </c>
      <c r="T1813" s="14"/>
      <c r="U1813" s="14"/>
      <c r="V1813" s="14"/>
      <c r="W1813" s="14"/>
      <c r="X1813" s="14"/>
      <c r="Z1813" s="14"/>
      <c r="AA1813" s="2">
        <f t="shared" si="243"/>
        <v>3</v>
      </c>
      <c r="AB1813" s="153"/>
      <c r="AC1813" s="454" t="str">
        <f t="shared" si="244"/>
        <v/>
      </c>
    </row>
    <row r="1814" spans="1:29" x14ac:dyDescent="0.35">
      <c r="A1814" s="111" t="str">
        <f t="shared" si="245"/>
        <v/>
      </c>
      <c r="B1814" s="222"/>
      <c r="C1814" s="14"/>
      <c r="D1814" s="14"/>
      <c r="E1814" s="14"/>
      <c r="F1814" s="14"/>
      <c r="G1814" s="14" t="s">
        <v>1911</v>
      </c>
      <c r="H1814" s="14"/>
      <c r="I1814" s="176"/>
      <c r="K1814" s="87"/>
      <c r="L1814" s="14"/>
      <c r="M1814" s="324">
        <f t="shared" si="248"/>
        <v>0</v>
      </c>
      <c r="N1814" s="14"/>
      <c r="O1814" s="14"/>
      <c r="P1814" s="167"/>
      <c r="Q1814" s="14"/>
      <c r="R1814" s="170">
        <f t="shared" si="246"/>
        <v>0</v>
      </c>
      <c r="S1814" s="108" t="str">
        <f t="shared" si="247"/>
        <v/>
      </c>
      <c r="T1814" s="14"/>
      <c r="U1814" s="14"/>
      <c r="V1814" s="14"/>
      <c r="W1814" s="14"/>
      <c r="X1814" s="14"/>
      <c r="Z1814" s="14"/>
      <c r="AA1814" s="2">
        <f t="shared" ref="AA1814:AA1877" si="249">IF(B1814="",3,IF(S1814&lt;$A$1,1,0))</f>
        <v>3</v>
      </c>
      <c r="AB1814" s="153"/>
      <c r="AC1814" s="454" t="str">
        <f t="shared" si="244"/>
        <v/>
      </c>
    </row>
    <row r="1815" spans="1:29" x14ac:dyDescent="0.35">
      <c r="A1815" s="111" t="str">
        <f t="shared" si="245"/>
        <v/>
      </c>
      <c r="B1815" s="222"/>
      <c r="C1815" s="14"/>
      <c r="D1815" s="14"/>
      <c r="E1815" s="14"/>
      <c r="F1815" s="14"/>
      <c r="G1815" s="14" t="s">
        <v>1911</v>
      </c>
      <c r="H1815" s="14"/>
      <c r="I1815" s="176"/>
      <c r="K1815" s="87"/>
      <c r="L1815" s="14"/>
      <c r="M1815" s="324">
        <f t="shared" si="248"/>
        <v>0</v>
      </c>
      <c r="N1815" s="14"/>
      <c r="O1815" s="14"/>
      <c r="P1815" s="167"/>
      <c r="Q1815" s="14"/>
      <c r="R1815" s="170">
        <f t="shared" si="246"/>
        <v>0</v>
      </c>
      <c r="S1815" s="108" t="str">
        <f t="shared" si="247"/>
        <v/>
      </c>
      <c r="T1815" s="14"/>
      <c r="U1815" s="14"/>
      <c r="V1815" s="14"/>
      <c r="W1815" s="14"/>
      <c r="X1815" s="14"/>
      <c r="Z1815" s="14"/>
      <c r="AA1815" s="2">
        <f t="shared" si="249"/>
        <v>3</v>
      </c>
      <c r="AB1815" s="153"/>
      <c r="AC1815" s="454" t="str">
        <f t="shared" si="244"/>
        <v/>
      </c>
    </row>
    <row r="1816" spans="1:29" x14ac:dyDescent="0.35">
      <c r="A1816" s="111" t="str">
        <f t="shared" si="245"/>
        <v/>
      </c>
      <c r="B1816" s="222"/>
      <c r="C1816" s="14"/>
      <c r="D1816" s="14"/>
      <c r="E1816" s="14"/>
      <c r="F1816" s="14"/>
      <c r="G1816" s="14" t="s">
        <v>1911</v>
      </c>
      <c r="H1816" s="14"/>
      <c r="I1816" s="176"/>
      <c r="K1816" s="87"/>
      <c r="L1816" s="14"/>
      <c r="M1816" s="324">
        <f t="shared" si="248"/>
        <v>0</v>
      </c>
      <c r="N1816" s="14"/>
      <c r="O1816" s="14"/>
      <c r="P1816" s="167"/>
      <c r="Q1816" s="14"/>
      <c r="R1816" s="170">
        <f t="shared" si="246"/>
        <v>0</v>
      </c>
      <c r="S1816" s="108" t="str">
        <f t="shared" si="247"/>
        <v/>
      </c>
      <c r="T1816" s="14"/>
      <c r="U1816" s="14"/>
      <c r="V1816" s="14"/>
      <c r="W1816" s="14"/>
      <c r="X1816" s="14"/>
      <c r="Z1816" s="14"/>
      <c r="AA1816" s="2">
        <f t="shared" si="249"/>
        <v>3</v>
      </c>
      <c r="AB1816" s="153"/>
      <c r="AC1816" s="454" t="str">
        <f t="shared" si="244"/>
        <v/>
      </c>
    </row>
    <row r="1817" spans="1:29" x14ac:dyDescent="0.35">
      <c r="A1817" s="111" t="str">
        <f t="shared" si="245"/>
        <v/>
      </c>
      <c r="B1817" s="222"/>
      <c r="C1817" s="14"/>
      <c r="D1817" s="14"/>
      <c r="E1817" s="14"/>
      <c r="F1817" s="14"/>
      <c r="G1817" s="14" t="s">
        <v>1911</v>
      </c>
      <c r="H1817" s="14"/>
      <c r="I1817" s="176"/>
      <c r="K1817" s="87"/>
      <c r="L1817" s="14"/>
      <c r="M1817" s="324">
        <f t="shared" si="248"/>
        <v>0</v>
      </c>
      <c r="N1817" s="14"/>
      <c r="O1817" s="14"/>
      <c r="P1817" s="167"/>
      <c r="Q1817" s="14"/>
      <c r="R1817" s="170">
        <f t="shared" si="246"/>
        <v>0</v>
      </c>
      <c r="S1817" s="108" t="str">
        <f t="shared" si="247"/>
        <v/>
      </c>
      <c r="T1817" s="14"/>
      <c r="U1817" s="14"/>
      <c r="V1817" s="14"/>
      <c r="W1817" s="14"/>
      <c r="X1817" s="14"/>
      <c r="Z1817" s="14"/>
      <c r="AA1817" s="2">
        <f t="shared" si="249"/>
        <v>3</v>
      </c>
      <c r="AB1817" s="153"/>
      <c r="AC1817" s="454" t="str">
        <f t="shared" si="244"/>
        <v/>
      </c>
    </row>
    <row r="1818" spans="1:29" x14ac:dyDescent="0.35">
      <c r="A1818" s="111" t="str">
        <f t="shared" si="245"/>
        <v/>
      </c>
      <c r="B1818" s="222"/>
      <c r="C1818" s="14"/>
      <c r="D1818" s="14"/>
      <c r="E1818" s="14"/>
      <c r="F1818" s="14"/>
      <c r="G1818" s="14" t="s">
        <v>1911</v>
      </c>
      <c r="H1818" s="14"/>
      <c r="I1818" s="176"/>
      <c r="K1818" s="87"/>
      <c r="L1818" s="14"/>
      <c r="M1818" s="324">
        <f t="shared" si="248"/>
        <v>0</v>
      </c>
      <c r="N1818" s="14"/>
      <c r="O1818" s="14"/>
      <c r="P1818" s="167"/>
      <c r="Q1818" s="14"/>
      <c r="R1818" s="170">
        <f t="shared" si="246"/>
        <v>0</v>
      </c>
      <c r="S1818" s="108" t="str">
        <f t="shared" si="247"/>
        <v/>
      </c>
      <c r="T1818" s="14"/>
      <c r="U1818" s="14"/>
      <c r="V1818" s="14"/>
      <c r="W1818" s="14"/>
      <c r="X1818" s="14"/>
      <c r="Z1818" s="14"/>
      <c r="AA1818" s="2">
        <f t="shared" si="249"/>
        <v>3</v>
      </c>
      <c r="AB1818" s="153"/>
      <c r="AC1818" s="454" t="str">
        <f t="shared" ref="AC1818:AC1881" si="250">LEFT(H1818,1)</f>
        <v/>
      </c>
    </row>
    <row r="1819" spans="1:29" x14ac:dyDescent="0.35">
      <c r="A1819" s="111" t="str">
        <f t="shared" si="245"/>
        <v/>
      </c>
      <c r="B1819" s="222"/>
      <c r="C1819" s="14"/>
      <c r="D1819" s="14"/>
      <c r="E1819" s="14"/>
      <c r="F1819" s="14"/>
      <c r="G1819" s="14" t="s">
        <v>1911</v>
      </c>
      <c r="H1819" s="14"/>
      <c r="I1819" s="176"/>
      <c r="K1819" s="87"/>
      <c r="L1819" s="14"/>
      <c r="M1819" s="324">
        <f t="shared" si="248"/>
        <v>0</v>
      </c>
      <c r="N1819" s="14"/>
      <c r="O1819" s="14"/>
      <c r="P1819" s="167"/>
      <c r="Q1819" s="14"/>
      <c r="R1819" s="170">
        <f t="shared" si="246"/>
        <v>0</v>
      </c>
      <c r="S1819" s="108" t="str">
        <f t="shared" si="247"/>
        <v/>
      </c>
      <c r="T1819" s="14"/>
      <c r="U1819" s="14"/>
      <c r="V1819" s="14"/>
      <c r="W1819" s="14"/>
      <c r="X1819" s="14"/>
      <c r="Z1819" s="14"/>
      <c r="AA1819" s="2">
        <f t="shared" si="249"/>
        <v>3</v>
      </c>
      <c r="AB1819" s="153"/>
      <c r="AC1819" s="454" t="str">
        <f t="shared" si="250"/>
        <v/>
      </c>
    </row>
    <row r="1820" spans="1:29" x14ac:dyDescent="0.35">
      <c r="A1820" s="111" t="str">
        <f t="shared" si="245"/>
        <v/>
      </c>
      <c r="B1820" s="222"/>
      <c r="C1820" s="14"/>
      <c r="D1820" s="14"/>
      <c r="E1820" s="14"/>
      <c r="F1820" s="14"/>
      <c r="G1820" s="14" t="s">
        <v>1911</v>
      </c>
      <c r="H1820" s="14"/>
      <c r="I1820" s="176"/>
      <c r="K1820" s="87"/>
      <c r="L1820" s="14"/>
      <c r="M1820" s="324">
        <f t="shared" si="248"/>
        <v>0</v>
      </c>
      <c r="N1820" s="14"/>
      <c r="O1820" s="14"/>
      <c r="P1820" s="167"/>
      <c r="Q1820" s="14"/>
      <c r="R1820" s="170">
        <f t="shared" si="246"/>
        <v>0</v>
      </c>
      <c r="S1820" s="108" t="str">
        <f t="shared" si="247"/>
        <v/>
      </c>
      <c r="T1820" s="14"/>
      <c r="U1820" s="14"/>
      <c r="V1820" s="14"/>
      <c r="W1820" s="14"/>
      <c r="X1820" s="14"/>
      <c r="Z1820" s="14"/>
      <c r="AA1820" s="2">
        <f t="shared" si="249"/>
        <v>3</v>
      </c>
      <c r="AB1820" s="153"/>
      <c r="AC1820" s="454" t="str">
        <f t="shared" si="250"/>
        <v/>
      </c>
    </row>
    <row r="1821" spans="1:29" x14ac:dyDescent="0.35">
      <c r="A1821" s="111" t="str">
        <f t="shared" si="245"/>
        <v/>
      </c>
      <c r="B1821" s="222"/>
      <c r="C1821" s="14"/>
      <c r="D1821" s="14"/>
      <c r="E1821" s="14"/>
      <c r="F1821" s="14"/>
      <c r="G1821" s="14" t="s">
        <v>1911</v>
      </c>
      <c r="H1821" s="14"/>
      <c r="I1821" s="176"/>
      <c r="K1821" s="87"/>
      <c r="L1821" s="14"/>
      <c r="M1821" s="324">
        <f t="shared" si="248"/>
        <v>0</v>
      </c>
      <c r="N1821" s="14"/>
      <c r="O1821" s="14"/>
      <c r="P1821" s="167"/>
      <c r="Q1821" s="14"/>
      <c r="R1821" s="170">
        <f t="shared" si="246"/>
        <v>0</v>
      </c>
      <c r="S1821" s="108" t="str">
        <f t="shared" si="247"/>
        <v/>
      </c>
      <c r="T1821" s="14"/>
      <c r="U1821" s="14"/>
      <c r="V1821" s="14"/>
      <c r="W1821" s="14"/>
      <c r="X1821" s="14"/>
      <c r="Z1821" s="14"/>
      <c r="AA1821" s="2">
        <f t="shared" si="249"/>
        <v>3</v>
      </c>
      <c r="AB1821" s="153"/>
      <c r="AC1821" s="454" t="str">
        <f t="shared" si="250"/>
        <v/>
      </c>
    </row>
    <row r="1822" spans="1:29" x14ac:dyDescent="0.35">
      <c r="A1822" s="111" t="str">
        <f t="shared" si="245"/>
        <v/>
      </c>
      <c r="B1822" s="222"/>
      <c r="C1822" s="14"/>
      <c r="D1822" s="14"/>
      <c r="E1822" s="14"/>
      <c r="F1822" s="14"/>
      <c r="G1822" s="14" t="s">
        <v>1911</v>
      </c>
      <c r="H1822" s="14"/>
      <c r="I1822" s="176"/>
      <c r="K1822" s="87"/>
      <c r="L1822" s="14"/>
      <c r="M1822" s="324">
        <f t="shared" si="248"/>
        <v>0</v>
      </c>
      <c r="N1822" s="14"/>
      <c r="O1822" s="14"/>
      <c r="P1822" s="167"/>
      <c r="Q1822" s="14"/>
      <c r="R1822" s="170">
        <f t="shared" si="246"/>
        <v>0</v>
      </c>
      <c r="S1822" s="108" t="str">
        <f t="shared" si="247"/>
        <v/>
      </c>
      <c r="T1822" s="14"/>
      <c r="U1822" s="14"/>
      <c r="V1822" s="14"/>
      <c r="W1822" s="14"/>
      <c r="X1822" s="14"/>
      <c r="Z1822" s="14"/>
      <c r="AA1822" s="2">
        <f t="shared" si="249"/>
        <v>3</v>
      </c>
      <c r="AB1822" s="153"/>
      <c r="AC1822" s="454" t="str">
        <f t="shared" si="250"/>
        <v/>
      </c>
    </row>
    <row r="1823" spans="1:29" x14ac:dyDescent="0.35">
      <c r="A1823" s="111" t="str">
        <f t="shared" ref="A1823:A1886" si="251">IF(T1823&gt;1,"Closed",IF(AA1823=1,"Overdue",IF(AA1823=3,"","Open")))</f>
        <v/>
      </c>
      <c r="B1823" s="222"/>
      <c r="C1823" s="14"/>
      <c r="D1823" s="14"/>
      <c r="E1823" s="14"/>
      <c r="F1823" s="14"/>
      <c r="G1823" s="14" t="s">
        <v>1911</v>
      </c>
      <c r="H1823" s="14"/>
      <c r="I1823" s="176"/>
      <c r="K1823" s="87"/>
      <c r="L1823" s="14"/>
      <c r="M1823" s="324">
        <f t="shared" si="248"/>
        <v>0</v>
      </c>
      <c r="N1823" s="14"/>
      <c r="O1823" s="14"/>
      <c r="P1823" s="167"/>
      <c r="Q1823" s="14"/>
      <c r="R1823" s="170">
        <f t="shared" si="246"/>
        <v>0</v>
      </c>
      <c r="S1823" s="108" t="str">
        <f t="shared" si="247"/>
        <v/>
      </c>
      <c r="T1823" s="14"/>
      <c r="U1823" s="14"/>
      <c r="V1823" s="14"/>
      <c r="W1823" s="14"/>
      <c r="X1823" s="14"/>
      <c r="Z1823" s="14"/>
      <c r="AA1823" s="2">
        <f t="shared" si="249"/>
        <v>3</v>
      </c>
      <c r="AB1823" s="153"/>
      <c r="AC1823" s="454" t="str">
        <f t="shared" si="250"/>
        <v/>
      </c>
    </row>
    <row r="1824" spans="1:29" x14ac:dyDescent="0.35">
      <c r="A1824" s="111" t="str">
        <f t="shared" si="251"/>
        <v/>
      </c>
      <c r="B1824" s="222"/>
      <c r="C1824" s="14"/>
      <c r="D1824" s="14"/>
      <c r="E1824" s="14"/>
      <c r="F1824" s="14"/>
      <c r="G1824" s="14" t="s">
        <v>1911</v>
      </c>
      <c r="H1824" s="14"/>
      <c r="I1824" s="176"/>
      <c r="K1824" s="87"/>
      <c r="L1824" s="14"/>
      <c r="M1824" s="324">
        <f t="shared" si="248"/>
        <v>0</v>
      </c>
      <c r="N1824" s="14"/>
      <c r="O1824" s="14"/>
      <c r="P1824" s="167"/>
      <c r="Q1824" s="14"/>
      <c r="R1824" s="170">
        <f t="shared" si="246"/>
        <v>0</v>
      </c>
      <c r="S1824" s="108" t="str">
        <f t="shared" si="247"/>
        <v/>
      </c>
      <c r="T1824" s="14"/>
      <c r="U1824" s="14"/>
      <c r="V1824" s="14"/>
      <c r="W1824" s="14"/>
      <c r="X1824" s="14"/>
      <c r="Z1824" s="14"/>
      <c r="AA1824" s="2">
        <f t="shared" si="249"/>
        <v>3</v>
      </c>
      <c r="AB1824" s="153"/>
      <c r="AC1824" s="454" t="str">
        <f t="shared" si="250"/>
        <v/>
      </c>
    </row>
    <row r="1825" spans="1:29" x14ac:dyDescent="0.35">
      <c r="A1825" s="111" t="str">
        <f t="shared" si="251"/>
        <v/>
      </c>
      <c r="B1825" s="222"/>
      <c r="C1825" s="14"/>
      <c r="D1825" s="14"/>
      <c r="E1825" s="14"/>
      <c r="F1825" s="14"/>
      <c r="G1825" s="14" t="s">
        <v>1911</v>
      </c>
      <c r="H1825" s="14"/>
      <c r="I1825" s="176"/>
      <c r="K1825" s="87"/>
      <c r="L1825" s="14"/>
      <c r="M1825" s="324">
        <f t="shared" si="248"/>
        <v>0</v>
      </c>
      <c r="N1825" s="14"/>
      <c r="O1825" s="14"/>
      <c r="P1825" s="167"/>
      <c r="Q1825" s="14"/>
      <c r="R1825" s="170">
        <f t="shared" si="246"/>
        <v>0</v>
      </c>
      <c r="S1825" s="108" t="str">
        <f t="shared" si="247"/>
        <v/>
      </c>
      <c r="T1825" s="14"/>
      <c r="U1825" s="14"/>
      <c r="V1825" s="14"/>
      <c r="W1825" s="14"/>
      <c r="X1825" s="14"/>
      <c r="Z1825" s="14"/>
      <c r="AA1825" s="2">
        <f t="shared" si="249"/>
        <v>3</v>
      </c>
      <c r="AB1825" s="153"/>
      <c r="AC1825" s="454" t="str">
        <f t="shared" si="250"/>
        <v/>
      </c>
    </row>
    <row r="1826" spans="1:29" x14ac:dyDescent="0.35">
      <c r="A1826" s="111" t="str">
        <f t="shared" si="251"/>
        <v/>
      </c>
      <c r="B1826" s="222"/>
      <c r="C1826" s="14"/>
      <c r="D1826" s="14"/>
      <c r="E1826" s="14"/>
      <c r="F1826" s="14"/>
      <c r="G1826" s="14" t="s">
        <v>1911</v>
      </c>
      <c r="H1826" s="14"/>
      <c r="I1826" s="176"/>
      <c r="K1826" s="87"/>
      <c r="L1826" s="14"/>
      <c r="M1826" s="324">
        <f t="shared" si="248"/>
        <v>0</v>
      </c>
      <c r="N1826" s="14"/>
      <c r="O1826" s="14"/>
      <c r="P1826" s="167"/>
      <c r="Q1826" s="14"/>
      <c r="R1826" s="170">
        <f t="shared" si="246"/>
        <v>0</v>
      </c>
      <c r="S1826" s="108" t="str">
        <f t="shared" si="247"/>
        <v/>
      </c>
      <c r="T1826" s="14"/>
      <c r="U1826" s="14"/>
      <c r="V1826" s="14"/>
      <c r="W1826" s="14"/>
      <c r="X1826" s="14"/>
      <c r="Z1826" s="14"/>
      <c r="AA1826" s="2">
        <f t="shared" si="249"/>
        <v>3</v>
      </c>
      <c r="AB1826" s="153"/>
      <c r="AC1826" s="454" t="str">
        <f t="shared" si="250"/>
        <v/>
      </c>
    </row>
    <row r="1827" spans="1:29" x14ac:dyDescent="0.35">
      <c r="A1827" s="111" t="str">
        <f t="shared" si="251"/>
        <v/>
      </c>
      <c r="B1827" s="222"/>
      <c r="C1827" s="14"/>
      <c r="D1827" s="14"/>
      <c r="E1827" s="14"/>
      <c r="F1827" s="14"/>
      <c r="G1827" s="14" t="s">
        <v>1911</v>
      </c>
      <c r="H1827" s="14"/>
      <c r="I1827" s="176"/>
      <c r="K1827" s="87"/>
      <c r="L1827" s="14"/>
      <c r="M1827" s="324">
        <f t="shared" si="248"/>
        <v>0</v>
      </c>
      <c r="N1827" s="14"/>
      <c r="O1827" s="14"/>
      <c r="P1827" s="167"/>
      <c r="Q1827" s="14"/>
      <c r="R1827" s="170">
        <f t="shared" si="246"/>
        <v>0</v>
      </c>
      <c r="S1827" s="108" t="str">
        <f t="shared" si="247"/>
        <v/>
      </c>
      <c r="T1827" s="14"/>
      <c r="U1827" s="14"/>
      <c r="V1827" s="14"/>
      <c r="W1827" s="14"/>
      <c r="X1827" s="14"/>
      <c r="Z1827" s="14"/>
      <c r="AA1827" s="2">
        <f t="shared" si="249"/>
        <v>3</v>
      </c>
      <c r="AB1827" s="153"/>
      <c r="AC1827" s="454" t="str">
        <f t="shared" si="250"/>
        <v/>
      </c>
    </row>
    <row r="1828" spans="1:29" x14ac:dyDescent="0.35">
      <c r="A1828" s="111" t="str">
        <f t="shared" si="251"/>
        <v/>
      </c>
      <c r="B1828" s="222"/>
      <c r="C1828" s="14"/>
      <c r="D1828" s="14"/>
      <c r="E1828" s="14"/>
      <c r="F1828" s="14"/>
      <c r="G1828" s="14" t="s">
        <v>1911</v>
      </c>
      <c r="H1828" s="14"/>
      <c r="I1828" s="176"/>
      <c r="K1828" s="87"/>
      <c r="L1828" s="14"/>
      <c r="M1828" s="324">
        <f t="shared" si="248"/>
        <v>0</v>
      </c>
      <c r="N1828" s="14"/>
      <c r="O1828" s="14"/>
      <c r="P1828" s="167"/>
      <c r="Q1828" s="14"/>
      <c r="R1828" s="170">
        <f t="shared" si="246"/>
        <v>0</v>
      </c>
      <c r="S1828" s="108" t="str">
        <f t="shared" si="247"/>
        <v/>
      </c>
      <c r="T1828" s="14"/>
      <c r="U1828" s="14"/>
      <c r="V1828" s="14"/>
      <c r="W1828" s="14"/>
      <c r="X1828" s="14"/>
      <c r="Z1828" s="14"/>
      <c r="AA1828" s="2">
        <f t="shared" si="249"/>
        <v>3</v>
      </c>
      <c r="AB1828" s="153"/>
      <c r="AC1828" s="454" t="str">
        <f t="shared" si="250"/>
        <v/>
      </c>
    </row>
    <row r="1829" spans="1:29" x14ac:dyDescent="0.35">
      <c r="A1829" s="111" t="str">
        <f t="shared" si="251"/>
        <v/>
      </c>
      <c r="B1829" s="222"/>
      <c r="C1829" s="14"/>
      <c r="D1829" s="14"/>
      <c r="E1829" s="14"/>
      <c r="F1829" s="14"/>
      <c r="G1829" s="14" t="s">
        <v>1911</v>
      </c>
      <c r="H1829" s="14"/>
      <c r="I1829" s="176"/>
      <c r="K1829" s="87"/>
      <c r="L1829" s="14"/>
      <c r="M1829" s="324">
        <f t="shared" si="248"/>
        <v>0</v>
      </c>
      <c r="N1829" s="14"/>
      <c r="O1829" s="14"/>
      <c r="P1829" s="167"/>
      <c r="Q1829" s="14"/>
      <c r="R1829" s="170">
        <f t="shared" si="246"/>
        <v>0</v>
      </c>
      <c r="S1829" s="108" t="str">
        <f t="shared" si="247"/>
        <v/>
      </c>
      <c r="T1829" s="14"/>
      <c r="U1829" s="14"/>
      <c r="V1829" s="14"/>
      <c r="W1829" s="14"/>
      <c r="X1829" s="14"/>
      <c r="Z1829" s="14"/>
      <c r="AA1829" s="2">
        <f t="shared" si="249"/>
        <v>3</v>
      </c>
      <c r="AB1829" s="153"/>
      <c r="AC1829" s="454" t="str">
        <f t="shared" si="250"/>
        <v/>
      </c>
    </row>
    <row r="1830" spans="1:29" x14ac:dyDescent="0.35">
      <c r="A1830" s="111" t="str">
        <f t="shared" si="251"/>
        <v/>
      </c>
      <c r="B1830" s="222"/>
      <c r="C1830" s="14"/>
      <c r="D1830" s="14"/>
      <c r="E1830" s="14"/>
      <c r="F1830" s="14"/>
      <c r="G1830" s="14" t="s">
        <v>1911</v>
      </c>
      <c r="H1830" s="14"/>
      <c r="I1830" s="176"/>
      <c r="K1830" s="87"/>
      <c r="L1830" s="14"/>
      <c r="M1830" s="324">
        <f t="shared" si="248"/>
        <v>0</v>
      </c>
      <c r="N1830" s="14"/>
      <c r="O1830" s="14"/>
      <c r="P1830" s="167"/>
      <c r="Q1830" s="14"/>
      <c r="R1830" s="170">
        <f t="shared" si="246"/>
        <v>0</v>
      </c>
      <c r="S1830" s="108" t="str">
        <f t="shared" si="247"/>
        <v/>
      </c>
      <c r="T1830" s="14"/>
      <c r="U1830" s="14"/>
      <c r="V1830" s="14"/>
      <c r="W1830" s="14"/>
      <c r="X1830" s="14"/>
      <c r="Z1830" s="14"/>
      <c r="AA1830" s="2">
        <f t="shared" si="249"/>
        <v>3</v>
      </c>
      <c r="AB1830" s="153"/>
      <c r="AC1830" s="454" t="str">
        <f t="shared" si="250"/>
        <v/>
      </c>
    </row>
    <row r="1831" spans="1:29" x14ac:dyDescent="0.35">
      <c r="A1831" s="111" t="str">
        <f t="shared" si="251"/>
        <v/>
      </c>
      <c r="B1831" s="222"/>
      <c r="C1831" s="14"/>
      <c r="D1831" s="14"/>
      <c r="E1831" s="14"/>
      <c r="F1831" s="14"/>
      <c r="G1831" s="14" t="s">
        <v>1911</v>
      </c>
      <c r="H1831" s="14"/>
      <c r="I1831" s="176"/>
      <c r="K1831" s="87"/>
      <c r="L1831" s="14"/>
      <c r="M1831" s="324">
        <f t="shared" si="248"/>
        <v>0</v>
      </c>
      <c r="N1831" s="14"/>
      <c r="O1831" s="14"/>
      <c r="P1831" s="167"/>
      <c r="Q1831" s="14"/>
      <c r="R1831" s="170">
        <f t="shared" si="246"/>
        <v>0</v>
      </c>
      <c r="S1831" s="108" t="str">
        <f t="shared" si="247"/>
        <v/>
      </c>
      <c r="T1831" s="14"/>
      <c r="U1831" s="14"/>
      <c r="V1831" s="14"/>
      <c r="W1831" s="14"/>
      <c r="X1831" s="14"/>
      <c r="Z1831" s="14"/>
      <c r="AA1831" s="2">
        <f t="shared" si="249"/>
        <v>3</v>
      </c>
      <c r="AB1831" s="153"/>
      <c r="AC1831" s="454" t="str">
        <f t="shared" si="250"/>
        <v/>
      </c>
    </row>
    <row r="1832" spans="1:29" x14ac:dyDescent="0.35">
      <c r="A1832" s="111" t="str">
        <f t="shared" si="251"/>
        <v/>
      </c>
      <c r="B1832" s="222"/>
      <c r="C1832" s="14"/>
      <c r="D1832" s="14"/>
      <c r="E1832" s="14"/>
      <c r="F1832" s="14"/>
      <c r="G1832" s="14" t="s">
        <v>1911</v>
      </c>
      <c r="H1832" s="14"/>
      <c r="I1832" s="176"/>
      <c r="K1832" s="87"/>
      <c r="L1832" s="14"/>
      <c r="M1832" s="324">
        <f t="shared" si="248"/>
        <v>0</v>
      </c>
      <c r="N1832" s="14"/>
      <c r="O1832" s="14"/>
      <c r="P1832" s="167"/>
      <c r="Q1832" s="14"/>
      <c r="R1832" s="170">
        <f t="shared" si="246"/>
        <v>0</v>
      </c>
      <c r="S1832" s="108" t="str">
        <f t="shared" si="247"/>
        <v/>
      </c>
      <c r="T1832" s="14"/>
      <c r="U1832" s="14"/>
      <c r="V1832" s="14"/>
      <c r="W1832" s="14"/>
      <c r="X1832" s="14"/>
      <c r="Z1832" s="14"/>
      <c r="AA1832" s="2">
        <f t="shared" si="249"/>
        <v>3</v>
      </c>
      <c r="AB1832" s="153"/>
      <c r="AC1832" s="454" t="str">
        <f t="shared" si="250"/>
        <v/>
      </c>
    </row>
    <row r="1833" spans="1:29" x14ac:dyDescent="0.35">
      <c r="A1833" s="111" t="str">
        <f t="shared" si="251"/>
        <v/>
      </c>
      <c r="B1833" s="222"/>
      <c r="C1833" s="14"/>
      <c r="D1833" s="14"/>
      <c r="E1833" s="14"/>
      <c r="F1833" s="14"/>
      <c r="G1833" s="14" t="s">
        <v>1911</v>
      </c>
      <c r="H1833" s="14"/>
      <c r="I1833" s="176"/>
      <c r="K1833" s="87"/>
      <c r="L1833" s="14"/>
      <c r="M1833" s="324">
        <f t="shared" si="248"/>
        <v>0</v>
      </c>
      <c r="N1833" s="14"/>
      <c r="O1833" s="14"/>
      <c r="P1833" s="167"/>
      <c r="Q1833" s="14"/>
      <c r="R1833" s="170">
        <f t="shared" si="246"/>
        <v>0</v>
      </c>
      <c r="S1833" s="108" t="str">
        <f t="shared" si="247"/>
        <v/>
      </c>
      <c r="T1833" s="14"/>
      <c r="U1833" s="14"/>
      <c r="V1833" s="14"/>
      <c r="W1833" s="14"/>
      <c r="X1833" s="14"/>
      <c r="Z1833" s="14"/>
      <c r="AA1833" s="2">
        <f t="shared" si="249"/>
        <v>3</v>
      </c>
      <c r="AB1833" s="153"/>
      <c r="AC1833" s="454" t="str">
        <f t="shared" si="250"/>
        <v/>
      </c>
    </row>
    <row r="1834" spans="1:29" x14ac:dyDescent="0.35">
      <c r="A1834" s="111" t="str">
        <f t="shared" si="251"/>
        <v/>
      </c>
      <c r="B1834" s="222"/>
      <c r="C1834" s="14"/>
      <c r="D1834" s="14"/>
      <c r="E1834" s="14"/>
      <c r="F1834" s="14"/>
      <c r="G1834" s="14" t="s">
        <v>1911</v>
      </c>
      <c r="H1834" s="14"/>
      <c r="I1834" s="176"/>
      <c r="K1834" s="87"/>
      <c r="L1834" s="14"/>
      <c r="M1834" s="324">
        <f t="shared" si="248"/>
        <v>0</v>
      </c>
      <c r="N1834" s="14"/>
      <c r="O1834" s="14"/>
      <c r="P1834" s="167"/>
      <c r="Q1834" s="14"/>
      <c r="R1834" s="170">
        <f t="shared" si="246"/>
        <v>0</v>
      </c>
      <c r="S1834" s="108" t="str">
        <f t="shared" si="247"/>
        <v/>
      </c>
      <c r="T1834" s="14"/>
      <c r="U1834" s="14"/>
      <c r="V1834" s="14"/>
      <c r="W1834" s="14"/>
      <c r="X1834" s="14"/>
      <c r="Z1834" s="14"/>
      <c r="AA1834" s="2">
        <f t="shared" si="249"/>
        <v>3</v>
      </c>
      <c r="AB1834" s="153"/>
      <c r="AC1834" s="454" t="str">
        <f t="shared" si="250"/>
        <v/>
      </c>
    </row>
    <row r="1835" spans="1:29" x14ac:dyDescent="0.35">
      <c r="A1835" s="111" t="str">
        <f t="shared" si="251"/>
        <v/>
      </c>
      <c r="B1835" s="222"/>
      <c r="C1835" s="14"/>
      <c r="D1835" s="14"/>
      <c r="E1835" s="14"/>
      <c r="F1835" s="14"/>
      <c r="G1835" s="14" t="s">
        <v>1911</v>
      </c>
      <c r="H1835" s="14"/>
      <c r="I1835" s="176"/>
      <c r="K1835" s="87"/>
      <c r="L1835" s="14"/>
      <c r="M1835" s="324">
        <f t="shared" si="248"/>
        <v>0</v>
      </c>
      <c r="N1835" s="14"/>
      <c r="O1835" s="14"/>
      <c r="P1835" s="167"/>
      <c r="Q1835" s="14"/>
      <c r="R1835" s="170">
        <f t="shared" si="246"/>
        <v>0</v>
      </c>
      <c r="S1835" s="108" t="str">
        <f t="shared" si="247"/>
        <v/>
      </c>
      <c r="T1835" s="14"/>
      <c r="U1835" s="14"/>
      <c r="V1835" s="14"/>
      <c r="W1835" s="14"/>
      <c r="X1835" s="14"/>
      <c r="Z1835" s="14"/>
      <c r="AA1835" s="2">
        <f t="shared" si="249"/>
        <v>3</v>
      </c>
      <c r="AB1835" s="153"/>
      <c r="AC1835" s="454" t="str">
        <f t="shared" si="250"/>
        <v/>
      </c>
    </row>
    <row r="1836" spans="1:29" x14ac:dyDescent="0.35">
      <c r="A1836" s="111" t="str">
        <f t="shared" si="251"/>
        <v/>
      </c>
      <c r="B1836" s="222"/>
      <c r="C1836" s="14"/>
      <c r="D1836" s="14"/>
      <c r="E1836" s="14"/>
      <c r="F1836" s="14"/>
      <c r="G1836" s="14" t="s">
        <v>1911</v>
      </c>
      <c r="H1836" s="14"/>
      <c r="I1836" s="176"/>
      <c r="K1836" s="87"/>
      <c r="L1836" s="14"/>
      <c r="M1836" s="324">
        <f t="shared" si="248"/>
        <v>0</v>
      </c>
      <c r="N1836" s="14"/>
      <c r="O1836" s="14"/>
      <c r="P1836" s="167"/>
      <c r="Q1836" s="14"/>
      <c r="R1836" s="170">
        <f t="shared" si="246"/>
        <v>0</v>
      </c>
      <c r="S1836" s="108" t="str">
        <f t="shared" si="247"/>
        <v/>
      </c>
      <c r="T1836" s="14"/>
      <c r="U1836" s="14"/>
      <c r="V1836" s="14"/>
      <c r="W1836" s="14"/>
      <c r="X1836" s="14"/>
      <c r="Z1836" s="14"/>
      <c r="AA1836" s="2">
        <f t="shared" si="249"/>
        <v>3</v>
      </c>
      <c r="AB1836" s="153"/>
      <c r="AC1836" s="454" t="str">
        <f t="shared" si="250"/>
        <v/>
      </c>
    </row>
    <row r="1837" spans="1:29" x14ac:dyDescent="0.35">
      <c r="A1837" s="111" t="str">
        <f t="shared" si="251"/>
        <v/>
      </c>
      <c r="B1837" s="222"/>
      <c r="C1837" s="14"/>
      <c r="D1837" s="14"/>
      <c r="E1837" s="14"/>
      <c r="F1837" s="14"/>
      <c r="G1837" s="14" t="s">
        <v>1911</v>
      </c>
      <c r="H1837" s="14"/>
      <c r="I1837" s="176"/>
      <c r="K1837" s="87"/>
      <c r="L1837" s="14"/>
      <c r="M1837" s="324">
        <f t="shared" si="248"/>
        <v>0</v>
      </c>
      <c r="N1837" s="14"/>
      <c r="O1837" s="14"/>
      <c r="P1837" s="167"/>
      <c r="Q1837" s="14"/>
      <c r="R1837" s="170">
        <f t="shared" ref="R1837:R1900" si="252">IF(I1837="Staff Accident","Entry Required",IF(I1837="Assaults","Entry Required",0))</f>
        <v>0</v>
      </c>
      <c r="S1837" s="108" t="str">
        <f t="shared" si="247"/>
        <v/>
      </c>
      <c r="T1837" s="14"/>
      <c r="U1837" s="14"/>
      <c r="V1837" s="14"/>
      <c r="W1837" s="14"/>
      <c r="X1837" s="14"/>
      <c r="Z1837" s="14"/>
      <c r="AA1837" s="2">
        <f t="shared" si="249"/>
        <v>3</v>
      </c>
      <c r="AB1837" s="153"/>
      <c r="AC1837" s="454" t="str">
        <f t="shared" si="250"/>
        <v/>
      </c>
    </row>
    <row r="1838" spans="1:29" x14ac:dyDescent="0.35">
      <c r="A1838" s="111" t="str">
        <f t="shared" si="251"/>
        <v/>
      </c>
      <c r="B1838" s="222"/>
      <c r="C1838" s="14"/>
      <c r="D1838" s="14"/>
      <c r="E1838" s="14"/>
      <c r="F1838" s="14"/>
      <c r="G1838" s="14" t="s">
        <v>1911</v>
      </c>
      <c r="H1838" s="14"/>
      <c r="I1838" s="176"/>
      <c r="K1838" s="87"/>
      <c r="L1838" s="14"/>
      <c r="M1838" s="324">
        <f t="shared" si="248"/>
        <v>0</v>
      </c>
      <c r="N1838" s="14"/>
      <c r="O1838" s="14"/>
      <c r="P1838" s="167"/>
      <c r="Q1838" s="14"/>
      <c r="R1838" s="170">
        <f t="shared" si="252"/>
        <v>0</v>
      </c>
      <c r="S1838" s="108" t="str">
        <f t="shared" si="247"/>
        <v/>
      </c>
      <c r="T1838" s="14"/>
      <c r="U1838" s="14"/>
      <c r="V1838" s="14"/>
      <c r="W1838" s="14"/>
      <c r="X1838" s="14"/>
      <c r="Z1838" s="14"/>
      <c r="AA1838" s="2">
        <f t="shared" si="249"/>
        <v>3</v>
      </c>
      <c r="AB1838" s="153"/>
      <c r="AC1838" s="454" t="str">
        <f t="shared" si="250"/>
        <v/>
      </c>
    </row>
    <row r="1839" spans="1:29" x14ac:dyDescent="0.35">
      <c r="A1839" s="111" t="str">
        <f t="shared" si="251"/>
        <v/>
      </c>
      <c r="B1839" s="222"/>
      <c r="C1839" s="14"/>
      <c r="D1839" s="14"/>
      <c r="E1839" s="14"/>
      <c r="F1839" s="14"/>
      <c r="G1839" s="14" t="s">
        <v>1911</v>
      </c>
      <c r="H1839" s="14"/>
      <c r="I1839" s="176"/>
      <c r="K1839" s="87"/>
      <c r="L1839" s="14"/>
      <c r="M1839" s="324">
        <f t="shared" si="248"/>
        <v>0</v>
      </c>
      <c r="N1839" s="14"/>
      <c r="O1839" s="14"/>
      <c r="P1839" s="167"/>
      <c r="Q1839" s="14"/>
      <c r="R1839" s="170">
        <f t="shared" si="252"/>
        <v>0</v>
      </c>
      <c r="S1839" s="108" t="str">
        <f t="shared" si="247"/>
        <v/>
      </c>
      <c r="T1839" s="14"/>
      <c r="U1839" s="14"/>
      <c r="V1839" s="14"/>
      <c r="W1839" s="14"/>
      <c r="X1839" s="14"/>
      <c r="Z1839" s="14"/>
      <c r="AA1839" s="2">
        <f t="shared" si="249"/>
        <v>3</v>
      </c>
      <c r="AB1839" s="153"/>
      <c r="AC1839" s="454" t="str">
        <f t="shared" si="250"/>
        <v/>
      </c>
    </row>
    <row r="1840" spans="1:29" x14ac:dyDescent="0.35">
      <c r="A1840" s="111" t="str">
        <f t="shared" si="251"/>
        <v/>
      </c>
      <c r="B1840" s="222"/>
      <c r="C1840" s="14"/>
      <c r="D1840" s="14"/>
      <c r="E1840" s="14"/>
      <c r="F1840" s="14"/>
      <c r="G1840" s="14" t="s">
        <v>1911</v>
      </c>
      <c r="H1840" s="14"/>
      <c r="I1840" s="176"/>
      <c r="K1840" s="87"/>
      <c r="L1840" s="14"/>
      <c r="M1840" s="324">
        <f t="shared" si="248"/>
        <v>0</v>
      </c>
      <c r="N1840" s="14"/>
      <c r="O1840" s="14"/>
      <c r="P1840" s="167"/>
      <c r="Q1840" s="14"/>
      <c r="R1840" s="170">
        <f t="shared" si="252"/>
        <v>0</v>
      </c>
      <c r="S1840" s="108" t="str">
        <f t="shared" si="247"/>
        <v/>
      </c>
      <c r="T1840" s="14"/>
      <c r="U1840" s="14"/>
      <c r="V1840" s="14"/>
      <c r="W1840" s="14"/>
      <c r="X1840" s="14"/>
      <c r="Z1840" s="14"/>
      <c r="AA1840" s="2">
        <f t="shared" si="249"/>
        <v>3</v>
      </c>
      <c r="AB1840" s="153"/>
      <c r="AC1840" s="454" t="str">
        <f t="shared" si="250"/>
        <v/>
      </c>
    </row>
    <row r="1841" spans="1:29" x14ac:dyDescent="0.35">
      <c r="A1841" s="111" t="str">
        <f t="shared" si="251"/>
        <v/>
      </c>
      <c r="B1841" s="222"/>
      <c r="C1841" s="14"/>
      <c r="D1841" s="14"/>
      <c r="E1841" s="14"/>
      <c r="F1841" s="14"/>
      <c r="G1841" s="14" t="s">
        <v>1911</v>
      </c>
      <c r="H1841" s="14"/>
      <c r="I1841" s="176"/>
      <c r="K1841" s="87"/>
      <c r="L1841" s="14"/>
      <c r="M1841" s="324">
        <f t="shared" si="248"/>
        <v>0</v>
      </c>
      <c r="N1841" s="14"/>
      <c r="O1841" s="14"/>
      <c r="P1841" s="167"/>
      <c r="Q1841" s="14"/>
      <c r="R1841" s="170">
        <f t="shared" si="252"/>
        <v>0</v>
      </c>
      <c r="S1841" s="108" t="str">
        <f t="shared" si="247"/>
        <v/>
      </c>
      <c r="T1841" s="14"/>
      <c r="U1841" s="14"/>
      <c r="V1841" s="14"/>
      <c r="W1841" s="14"/>
      <c r="X1841" s="14"/>
      <c r="Z1841" s="14"/>
      <c r="AA1841" s="2">
        <f t="shared" si="249"/>
        <v>3</v>
      </c>
      <c r="AB1841" s="153"/>
      <c r="AC1841" s="454" t="str">
        <f t="shared" si="250"/>
        <v/>
      </c>
    </row>
    <row r="1842" spans="1:29" x14ac:dyDescent="0.35">
      <c r="A1842" s="111" t="str">
        <f t="shared" si="251"/>
        <v/>
      </c>
      <c r="B1842" s="222"/>
      <c r="C1842" s="14"/>
      <c r="D1842" s="14"/>
      <c r="E1842" s="14"/>
      <c r="F1842" s="14"/>
      <c r="G1842" s="14" t="s">
        <v>1911</v>
      </c>
      <c r="H1842" s="14"/>
      <c r="I1842" s="176"/>
      <c r="K1842" s="87"/>
      <c r="L1842" s="14"/>
      <c r="M1842" s="324">
        <f t="shared" si="248"/>
        <v>0</v>
      </c>
      <c r="N1842" s="14"/>
      <c r="O1842" s="14"/>
      <c r="P1842" s="167"/>
      <c r="Q1842" s="14"/>
      <c r="R1842" s="170">
        <f t="shared" si="252"/>
        <v>0</v>
      </c>
      <c r="S1842" s="108" t="str">
        <f t="shared" si="247"/>
        <v/>
      </c>
      <c r="T1842" s="14"/>
      <c r="U1842" s="14"/>
      <c r="V1842" s="14"/>
      <c r="W1842" s="14"/>
      <c r="X1842" s="14"/>
      <c r="Z1842" s="14"/>
      <c r="AA1842" s="2">
        <f t="shared" si="249"/>
        <v>3</v>
      </c>
      <c r="AB1842" s="153"/>
      <c r="AC1842" s="454" t="str">
        <f t="shared" si="250"/>
        <v/>
      </c>
    </row>
    <row r="1843" spans="1:29" x14ac:dyDescent="0.35">
      <c r="A1843" s="111" t="str">
        <f t="shared" si="251"/>
        <v/>
      </c>
      <c r="B1843" s="222"/>
      <c r="C1843" s="14"/>
      <c r="D1843" s="14"/>
      <c r="E1843" s="14"/>
      <c r="F1843" s="14"/>
      <c r="G1843" s="14" t="s">
        <v>1911</v>
      </c>
      <c r="H1843" s="14"/>
      <c r="I1843" s="176"/>
      <c r="K1843" s="87"/>
      <c r="L1843" s="14"/>
      <c r="M1843" s="324">
        <f t="shared" si="248"/>
        <v>0</v>
      </c>
      <c r="N1843" s="14"/>
      <c r="O1843" s="14"/>
      <c r="P1843" s="167"/>
      <c r="Q1843" s="14"/>
      <c r="R1843" s="170">
        <f t="shared" si="252"/>
        <v>0</v>
      </c>
      <c r="S1843" s="108" t="str">
        <f t="shared" si="247"/>
        <v/>
      </c>
      <c r="T1843" s="14"/>
      <c r="U1843" s="14"/>
      <c r="V1843" s="14"/>
      <c r="W1843" s="14"/>
      <c r="X1843" s="14"/>
      <c r="Z1843" s="14"/>
      <c r="AA1843" s="2">
        <f t="shared" si="249"/>
        <v>3</v>
      </c>
      <c r="AB1843" s="153"/>
      <c r="AC1843" s="454" t="str">
        <f t="shared" si="250"/>
        <v/>
      </c>
    </row>
    <row r="1844" spans="1:29" x14ac:dyDescent="0.35">
      <c r="A1844" s="111" t="str">
        <f t="shared" si="251"/>
        <v/>
      </c>
      <c r="B1844" s="222"/>
      <c r="C1844" s="14"/>
      <c r="D1844" s="14"/>
      <c r="E1844" s="14"/>
      <c r="F1844" s="14"/>
      <c r="G1844" s="14" t="s">
        <v>1911</v>
      </c>
      <c r="H1844" s="14"/>
      <c r="I1844" s="176"/>
      <c r="K1844" s="87"/>
      <c r="L1844" s="14"/>
      <c r="M1844" s="324">
        <f t="shared" si="248"/>
        <v>0</v>
      </c>
      <c r="N1844" s="14"/>
      <c r="O1844" s="14"/>
      <c r="P1844" s="167"/>
      <c r="Q1844" s="14"/>
      <c r="R1844" s="170">
        <f t="shared" si="252"/>
        <v>0</v>
      </c>
      <c r="S1844" s="108" t="str">
        <f t="shared" si="247"/>
        <v/>
      </c>
      <c r="T1844" s="14"/>
      <c r="U1844" s="14"/>
      <c r="V1844" s="14"/>
      <c r="W1844" s="14"/>
      <c r="X1844" s="14"/>
      <c r="Z1844" s="14"/>
      <c r="AA1844" s="2">
        <f t="shared" si="249"/>
        <v>3</v>
      </c>
      <c r="AB1844" s="153"/>
      <c r="AC1844" s="454" t="str">
        <f t="shared" si="250"/>
        <v/>
      </c>
    </row>
    <row r="1845" spans="1:29" x14ac:dyDescent="0.35">
      <c r="A1845" s="111" t="str">
        <f t="shared" si="251"/>
        <v/>
      </c>
      <c r="B1845" s="222"/>
      <c r="C1845" s="14"/>
      <c r="D1845" s="14"/>
      <c r="E1845" s="14"/>
      <c r="F1845" s="14"/>
      <c r="G1845" s="14" t="s">
        <v>1911</v>
      </c>
      <c r="H1845" s="14"/>
      <c r="I1845" s="176"/>
      <c r="K1845" s="87"/>
      <c r="L1845" s="14"/>
      <c r="M1845" s="324">
        <f t="shared" si="248"/>
        <v>0</v>
      </c>
      <c r="N1845" s="14"/>
      <c r="O1845" s="14"/>
      <c r="P1845" s="167"/>
      <c r="Q1845" s="14"/>
      <c r="R1845" s="170">
        <f t="shared" si="252"/>
        <v>0</v>
      </c>
      <c r="S1845" s="108" t="str">
        <f t="shared" si="247"/>
        <v/>
      </c>
      <c r="T1845" s="14"/>
      <c r="U1845" s="14"/>
      <c r="V1845" s="14"/>
      <c r="W1845" s="14"/>
      <c r="X1845" s="14"/>
      <c r="Z1845" s="14"/>
      <c r="AA1845" s="2">
        <f t="shared" si="249"/>
        <v>3</v>
      </c>
      <c r="AB1845" s="153"/>
      <c r="AC1845" s="454" t="str">
        <f t="shared" si="250"/>
        <v/>
      </c>
    </row>
    <row r="1846" spans="1:29" x14ac:dyDescent="0.35">
      <c r="A1846" s="111" t="str">
        <f t="shared" si="251"/>
        <v/>
      </c>
      <c r="B1846" s="222"/>
      <c r="C1846" s="14"/>
      <c r="D1846" s="14"/>
      <c r="E1846" s="14"/>
      <c r="F1846" s="14"/>
      <c r="G1846" s="14" t="s">
        <v>1911</v>
      </c>
      <c r="H1846" s="14"/>
      <c r="I1846" s="176"/>
      <c r="K1846" s="87"/>
      <c r="L1846" s="14"/>
      <c r="M1846" s="324">
        <f t="shared" si="248"/>
        <v>0</v>
      </c>
      <c r="N1846" s="14"/>
      <c r="O1846" s="14"/>
      <c r="P1846" s="167"/>
      <c r="Q1846" s="14"/>
      <c r="R1846" s="170">
        <f t="shared" si="252"/>
        <v>0</v>
      </c>
      <c r="S1846" s="108" t="str">
        <f t="shared" si="247"/>
        <v/>
      </c>
      <c r="T1846" s="14"/>
      <c r="U1846" s="14"/>
      <c r="V1846" s="14"/>
      <c r="W1846" s="14"/>
      <c r="X1846" s="14"/>
      <c r="Z1846" s="14"/>
      <c r="AA1846" s="2">
        <f t="shared" si="249"/>
        <v>3</v>
      </c>
      <c r="AB1846" s="153"/>
      <c r="AC1846" s="454" t="str">
        <f t="shared" si="250"/>
        <v/>
      </c>
    </row>
    <row r="1847" spans="1:29" x14ac:dyDescent="0.35">
      <c r="A1847" s="111" t="str">
        <f t="shared" si="251"/>
        <v/>
      </c>
      <c r="B1847" s="222"/>
      <c r="C1847" s="14"/>
      <c r="D1847" s="14"/>
      <c r="E1847" s="14"/>
      <c r="F1847" s="14"/>
      <c r="G1847" s="14" t="s">
        <v>1911</v>
      </c>
      <c r="H1847" s="14"/>
      <c r="I1847" s="176"/>
      <c r="K1847" s="87"/>
      <c r="L1847" s="14"/>
      <c r="M1847" s="324">
        <f t="shared" si="248"/>
        <v>0</v>
      </c>
      <c r="N1847" s="14"/>
      <c r="O1847" s="14"/>
      <c r="P1847" s="167"/>
      <c r="Q1847" s="14"/>
      <c r="R1847" s="170">
        <f t="shared" si="252"/>
        <v>0</v>
      </c>
      <c r="S1847" s="108" t="str">
        <f t="shared" si="247"/>
        <v/>
      </c>
      <c r="T1847" s="14"/>
      <c r="U1847" s="14"/>
      <c r="V1847" s="14"/>
      <c r="W1847" s="14"/>
      <c r="X1847" s="14"/>
      <c r="Z1847" s="14"/>
      <c r="AA1847" s="2">
        <f t="shared" si="249"/>
        <v>3</v>
      </c>
      <c r="AB1847" s="153"/>
      <c r="AC1847" s="454" t="str">
        <f t="shared" si="250"/>
        <v/>
      </c>
    </row>
    <row r="1848" spans="1:29" x14ac:dyDescent="0.35">
      <c r="A1848" s="111" t="str">
        <f t="shared" si="251"/>
        <v/>
      </c>
      <c r="B1848" s="222"/>
      <c r="C1848" s="14"/>
      <c r="D1848" s="14"/>
      <c r="E1848" s="14"/>
      <c r="F1848" s="14"/>
      <c r="G1848" s="14" t="s">
        <v>1911</v>
      </c>
      <c r="H1848" s="14"/>
      <c r="I1848" s="176"/>
      <c r="K1848" s="87"/>
      <c r="L1848" s="14"/>
      <c r="M1848" s="324">
        <f t="shared" si="248"/>
        <v>0</v>
      </c>
      <c r="N1848" s="14"/>
      <c r="O1848" s="14"/>
      <c r="P1848" s="167"/>
      <c r="Q1848" s="14"/>
      <c r="R1848" s="170">
        <f t="shared" si="252"/>
        <v>0</v>
      </c>
      <c r="S1848" s="108" t="str">
        <f t="shared" si="247"/>
        <v/>
      </c>
      <c r="T1848" s="14"/>
      <c r="U1848" s="14"/>
      <c r="V1848" s="14"/>
      <c r="W1848" s="14"/>
      <c r="X1848" s="14"/>
      <c r="Z1848" s="14"/>
      <c r="AA1848" s="2">
        <f t="shared" si="249"/>
        <v>3</v>
      </c>
      <c r="AB1848" s="153"/>
      <c r="AC1848" s="454" t="str">
        <f t="shared" si="250"/>
        <v/>
      </c>
    </row>
    <row r="1849" spans="1:29" x14ac:dyDescent="0.35">
      <c r="A1849" s="111" t="str">
        <f t="shared" si="251"/>
        <v/>
      </c>
      <c r="B1849" s="222"/>
      <c r="C1849" s="14"/>
      <c r="D1849" s="14"/>
      <c r="E1849" s="14"/>
      <c r="F1849" s="14"/>
      <c r="G1849" s="14" t="s">
        <v>1911</v>
      </c>
      <c r="H1849" s="14"/>
      <c r="I1849" s="176"/>
      <c r="K1849" s="87"/>
      <c r="L1849" s="14"/>
      <c r="M1849" s="324">
        <f t="shared" si="248"/>
        <v>0</v>
      </c>
      <c r="N1849" s="14"/>
      <c r="O1849" s="14"/>
      <c r="P1849" s="167"/>
      <c r="Q1849" s="14"/>
      <c r="R1849" s="170">
        <f t="shared" si="252"/>
        <v>0</v>
      </c>
      <c r="S1849" s="108" t="str">
        <f t="shared" si="247"/>
        <v/>
      </c>
      <c r="T1849" s="14"/>
      <c r="U1849" s="14"/>
      <c r="V1849" s="14"/>
      <c r="W1849" s="14"/>
      <c r="X1849" s="14"/>
      <c r="Z1849" s="14"/>
      <c r="AA1849" s="2">
        <f t="shared" si="249"/>
        <v>3</v>
      </c>
      <c r="AB1849" s="153"/>
      <c r="AC1849" s="454" t="str">
        <f t="shared" si="250"/>
        <v/>
      </c>
    </row>
    <row r="1850" spans="1:29" x14ac:dyDescent="0.35">
      <c r="A1850" s="111" t="str">
        <f t="shared" si="251"/>
        <v/>
      </c>
      <c r="B1850" s="222"/>
      <c r="C1850" s="14"/>
      <c r="D1850" s="14"/>
      <c r="E1850" s="14"/>
      <c r="F1850" s="14"/>
      <c r="G1850" s="14" t="s">
        <v>1911</v>
      </c>
      <c r="H1850" s="14"/>
      <c r="I1850" s="176"/>
      <c r="K1850" s="87"/>
      <c r="L1850" s="14"/>
      <c r="M1850" s="324">
        <f t="shared" si="248"/>
        <v>0</v>
      </c>
      <c r="N1850" s="14"/>
      <c r="O1850" s="14"/>
      <c r="P1850" s="167"/>
      <c r="Q1850" s="14"/>
      <c r="R1850" s="170">
        <f t="shared" si="252"/>
        <v>0</v>
      </c>
      <c r="S1850" s="108" t="str">
        <f t="shared" si="247"/>
        <v/>
      </c>
      <c r="T1850" s="14"/>
      <c r="U1850" s="14"/>
      <c r="V1850" s="14"/>
      <c r="W1850" s="14"/>
      <c r="X1850" s="14"/>
      <c r="Z1850" s="14"/>
      <c r="AA1850" s="2">
        <f t="shared" si="249"/>
        <v>3</v>
      </c>
      <c r="AB1850" s="153"/>
      <c r="AC1850" s="454" t="str">
        <f t="shared" si="250"/>
        <v/>
      </c>
    </row>
    <row r="1851" spans="1:29" x14ac:dyDescent="0.35">
      <c r="A1851" s="111" t="str">
        <f t="shared" si="251"/>
        <v/>
      </c>
      <c r="B1851" s="222"/>
      <c r="C1851" s="14"/>
      <c r="D1851" s="14"/>
      <c r="E1851" s="14"/>
      <c r="F1851" s="14"/>
      <c r="G1851" s="14" t="s">
        <v>1911</v>
      </c>
      <c r="H1851" s="14"/>
      <c r="I1851" s="176"/>
      <c r="K1851" s="87"/>
      <c r="L1851" s="14"/>
      <c r="M1851" s="324">
        <f t="shared" si="248"/>
        <v>0</v>
      </c>
      <c r="N1851" s="14"/>
      <c r="O1851" s="14"/>
      <c r="P1851" s="167"/>
      <c r="Q1851" s="14"/>
      <c r="R1851" s="170">
        <f t="shared" si="252"/>
        <v>0</v>
      </c>
      <c r="S1851" s="108" t="str">
        <f t="shared" si="247"/>
        <v/>
      </c>
      <c r="T1851" s="14"/>
      <c r="U1851" s="14"/>
      <c r="V1851" s="14"/>
      <c r="W1851" s="14"/>
      <c r="X1851" s="14"/>
      <c r="Z1851" s="14"/>
      <c r="AA1851" s="2">
        <f t="shared" si="249"/>
        <v>3</v>
      </c>
      <c r="AB1851" s="153"/>
      <c r="AC1851" s="454" t="str">
        <f t="shared" si="250"/>
        <v/>
      </c>
    </row>
    <row r="1852" spans="1:29" x14ac:dyDescent="0.35">
      <c r="A1852" s="111" t="str">
        <f t="shared" si="251"/>
        <v/>
      </c>
      <c r="B1852" s="222"/>
      <c r="C1852" s="14"/>
      <c r="D1852" s="14"/>
      <c r="E1852" s="14"/>
      <c r="F1852" s="14"/>
      <c r="G1852" s="14" t="s">
        <v>1911</v>
      </c>
      <c r="H1852" s="14"/>
      <c r="I1852" s="176"/>
      <c r="K1852" s="87"/>
      <c r="L1852" s="14"/>
      <c r="M1852" s="324">
        <f t="shared" si="248"/>
        <v>0</v>
      </c>
      <c r="N1852" s="14"/>
      <c r="O1852" s="14"/>
      <c r="P1852" s="167"/>
      <c r="Q1852" s="14"/>
      <c r="R1852" s="170">
        <f t="shared" si="252"/>
        <v>0</v>
      </c>
      <c r="S1852" s="108" t="str">
        <f t="shared" si="247"/>
        <v/>
      </c>
      <c r="T1852" s="14"/>
      <c r="U1852" s="14"/>
      <c r="V1852" s="14"/>
      <c r="W1852" s="14"/>
      <c r="X1852" s="14"/>
      <c r="Z1852" s="14"/>
      <c r="AA1852" s="2">
        <f t="shared" si="249"/>
        <v>3</v>
      </c>
      <c r="AB1852" s="153"/>
      <c r="AC1852" s="454" t="str">
        <f t="shared" si="250"/>
        <v/>
      </c>
    </row>
    <row r="1853" spans="1:29" x14ac:dyDescent="0.35">
      <c r="A1853" s="111" t="str">
        <f t="shared" si="251"/>
        <v/>
      </c>
      <c r="B1853" s="222"/>
      <c r="C1853" s="14"/>
      <c r="D1853" s="14"/>
      <c r="E1853" s="14"/>
      <c r="F1853" s="14"/>
      <c r="G1853" s="14" t="s">
        <v>1911</v>
      </c>
      <c r="H1853" s="14"/>
      <c r="I1853" s="176"/>
      <c r="K1853" s="87"/>
      <c r="L1853" s="14"/>
      <c r="M1853" s="324">
        <f t="shared" si="248"/>
        <v>0</v>
      </c>
      <c r="N1853" s="14"/>
      <c r="O1853" s="14"/>
      <c r="P1853" s="167"/>
      <c r="Q1853" s="14"/>
      <c r="R1853" s="170">
        <f t="shared" si="252"/>
        <v>0</v>
      </c>
      <c r="S1853" s="108" t="str">
        <f t="shared" si="247"/>
        <v/>
      </c>
      <c r="T1853" s="14"/>
      <c r="U1853" s="14"/>
      <c r="V1853" s="14"/>
      <c r="W1853" s="14"/>
      <c r="X1853" s="14"/>
      <c r="Z1853" s="14"/>
      <c r="AA1853" s="2">
        <f t="shared" si="249"/>
        <v>3</v>
      </c>
      <c r="AB1853" s="153"/>
      <c r="AC1853" s="454" t="str">
        <f t="shared" si="250"/>
        <v/>
      </c>
    </row>
    <row r="1854" spans="1:29" x14ac:dyDescent="0.35">
      <c r="A1854" s="111" t="str">
        <f t="shared" si="251"/>
        <v/>
      </c>
      <c r="B1854" s="222"/>
      <c r="C1854" s="14"/>
      <c r="D1854" s="14"/>
      <c r="E1854" s="14"/>
      <c r="F1854" s="14"/>
      <c r="G1854" s="14" t="s">
        <v>1911</v>
      </c>
      <c r="H1854" s="14"/>
      <c r="I1854" s="176"/>
      <c r="K1854" s="87"/>
      <c r="L1854" s="14"/>
      <c r="M1854" s="324">
        <f t="shared" si="248"/>
        <v>0</v>
      </c>
      <c r="N1854" s="14"/>
      <c r="O1854" s="14"/>
      <c r="P1854" s="167"/>
      <c r="Q1854" s="14"/>
      <c r="R1854" s="170">
        <f t="shared" si="252"/>
        <v>0</v>
      </c>
      <c r="S1854" s="108" t="str">
        <f t="shared" si="247"/>
        <v/>
      </c>
      <c r="T1854" s="14"/>
      <c r="U1854" s="14"/>
      <c r="V1854" s="14"/>
      <c r="W1854" s="14"/>
      <c r="X1854" s="14"/>
      <c r="Z1854" s="14"/>
      <c r="AA1854" s="2">
        <f t="shared" si="249"/>
        <v>3</v>
      </c>
      <c r="AB1854" s="153"/>
      <c r="AC1854" s="454" t="str">
        <f t="shared" si="250"/>
        <v/>
      </c>
    </row>
    <row r="1855" spans="1:29" x14ac:dyDescent="0.35">
      <c r="A1855" s="111" t="str">
        <f t="shared" si="251"/>
        <v/>
      </c>
      <c r="B1855" s="222"/>
      <c r="C1855" s="14"/>
      <c r="D1855" s="14"/>
      <c r="E1855" s="14"/>
      <c r="F1855" s="14"/>
      <c r="G1855" s="14" t="s">
        <v>1911</v>
      </c>
      <c r="H1855" s="14"/>
      <c r="I1855" s="176"/>
      <c r="K1855" s="87"/>
      <c r="L1855" s="14"/>
      <c r="M1855" s="324">
        <f t="shared" si="248"/>
        <v>0</v>
      </c>
      <c r="N1855" s="14"/>
      <c r="O1855" s="14"/>
      <c r="P1855" s="167"/>
      <c r="Q1855" s="14"/>
      <c r="R1855" s="170">
        <f t="shared" si="252"/>
        <v>0</v>
      </c>
      <c r="S1855" s="108" t="str">
        <f t="shared" si="247"/>
        <v/>
      </c>
      <c r="T1855" s="14"/>
      <c r="U1855" s="14"/>
      <c r="V1855" s="14"/>
      <c r="W1855" s="14"/>
      <c r="X1855" s="14"/>
      <c r="Z1855" s="14"/>
      <c r="AA1855" s="2">
        <f t="shared" si="249"/>
        <v>3</v>
      </c>
      <c r="AB1855" s="153"/>
      <c r="AC1855" s="454" t="str">
        <f t="shared" si="250"/>
        <v/>
      </c>
    </row>
    <row r="1856" spans="1:29" x14ac:dyDescent="0.35">
      <c r="A1856" s="111" t="str">
        <f t="shared" si="251"/>
        <v/>
      </c>
      <c r="B1856" s="222"/>
      <c r="C1856" s="14"/>
      <c r="D1856" s="14"/>
      <c r="E1856" s="14"/>
      <c r="F1856" s="14"/>
      <c r="G1856" s="14" t="s">
        <v>1911</v>
      </c>
      <c r="H1856" s="14"/>
      <c r="I1856" s="176"/>
      <c r="K1856" s="87"/>
      <c r="L1856" s="14"/>
      <c r="M1856" s="324">
        <f t="shared" si="248"/>
        <v>0</v>
      </c>
      <c r="N1856" s="14"/>
      <c r="O1856" s="14"/>
      <c r="P1856" s="167"/>
      <c r="Q1856" s="14"/>
      <c r="R1856" s="170">
        <f t="shared" si="252"/>
        <v>0</v>
      </c>
      <c r="S1856" s="108" t="str">
        <f t="shared" si="247"/>
        <v/>
      </c>
      <c r="T1856" s="14"/>
      <c r="U1856" s="14"/>
      <c r="V1856" s="14"/>
      <c r="W1856" s="14"/>
      <c r="X1856" s="14"/>
      <c r="Z1856" s="14"/>
      <c r="AA1856" s="2">
        <f t="shared" si="249"/>
        <v>3</v>
      </c>
      <c r="AB1856" s="153"/>
      <c r="AC1856" s="454" t="str">
        <f t="shared" si="250"/>
        <v/>
      </c>
    </row>
    <row r="1857" spans="1:29" x14ac:dyDescent="0.35">
      <c r="A1857" s="111" t="str">
        <f t="shared" si="251"/>
        <v/>
      </c>
      <c r="B1857" s="222"/>
      <c r="C1857" s="14"/>
      <c r="D1857" s="14"/>
      <c r="E1857" s="14"/>
      <c r="F1857" s="14"/>
      <c r="G1857" s="14" t="s">
        <v>1911</v>
      </c>
      <c r="H1857" s="14"/>
      <c r="I1857" s="176"/>
      <c r="K1857" s="87"/>
      <c r="L1857" s="14"/>
      <c r="M1857" s="324">
        <f t="shared" si="248"/>
        <v>0</v>
      </c>
      <c r="N1857" s="14"/>
      <c r="O1857" s="14"/>
      <c r="P1857" s="167"/>
      <c r="Q1857" s="14"/>
      <c r="R1857" s="170">
        <f t="shared" si="252"/>
        <v>0</v>
      </c>
      <c r="S1857" s="108" t="str">
        <f t="shared" si="247"/>
        <v/>
      </c>
      <c r="T1857" s="14"/>
      <c r="U1857" s="14"/>
      <c r="V1857" s="14"/>
      <c r="W1857" s="14"/>
      <c r="X1857" s="14"/>
      <c r="Z1857" s="14"/>
      <c r="AA1857" s="2">
        <f t="shared" si="249"/>
        <v>3</v>
      </c>
      <c r="AB1857" s="153"/>
      <c r="AC1857" s="454" t="str">
        <f t="shared" si="250"/>
        <v/>
      </c>
    </row>
    <row r="1858" spans="1:29" x14ac:dyDescent="0.35">
      <c r="A1858" s="111" t="str">
        <f t="shared" si="251"/>
        <v/>
      </c>
      <c r="B1858" s="222"/>
      <c r="C1858" s="14"/>
      <c r="D1858" s="14"/>
      <c r="E1858" s="14"/>
      <c r="F1858" s="14"/>
      <c r="G1858" s="14" t="s">
        <v>1911</v>
      </c>
      <c r="H1858" s="14"/>
      <c r="I1858" s="176"/>
      <c r="K1858" s="87"/>
      <c r="L1858" s="14"/>
      <c r="M1858" s="324">
        <f t="shared" si="248"/>
        <v>0</v>
      </c>
      <c r="N1858" s="14"/>
      <c r="O1858" s="14"/>
      <c r="P1858" s="167"/>
      <c r="Q1858" s="14"/>
      <c r="R1858" s="170">
        <f t="shared" si="252"/>
        <v>0</v>
      </c>
      <c r="S1858" s="108" t="str">
        <f t="shared" si="247"/>
        <v/>
      </c>
      <c r="T1858" s="14"/>
      <c r="U1858" s="14"/>
      <c r="V1858" s="14"/>
      <c r="W1858" s="14"/>
      <c r="X1858" s="14"/>
      <c r="Z1858" s="14"/>
      <c r="AA1858" s="2">
        <f t="shared" si="249"/>
        <v>3</v>
      </c>
      <c r="AB1858" s="153"/>
      <c r="AC1858" s="454" t="str">
        <f t="shared" si="250"/>
        <v/>
      </c>
    </row>
    <row r="1859" spans="1:29" x14ac:dyDescent="0.35">
      <c r="A1859" s="111" t="str">
        <f t="shared" si="251"/>
        <v/>
      </c>
      <c r="B1859" s="222"/>
      <c r="C1859" s="14"/>
      <c r="D1859" s="14"/>
      <c r="E1859" s="14"/>
      <c r="F1859" s="14"/>
      <c r="G1859" s="14" t="s">
        <v>1911</v>
      </c>
      <c r="H1859" s="14"/>
      <c r="I1859" s="176"/>
      <c r="K1859" s="87"/>
      <c r="L1859" s="14"/>
      <c r="M1859" s="324">
        <f t="shared" si="248"/>
        <v>0</v>
      </c>
      <c r="N1859" s="14"/>
      <c r="O1859" s="14"/>
      <c r="P1859" s="167"/>
      <c r="Q1859" s="14"/>
      <c r="R1859" s="170">
        <f t="shared" si="252"/>
        <v>0</v>
      </c>
      <c r="S1859" s="108" t="str">
        <f t="shared" si="247"/>
        <v/>
      </c>
      <c r="T1859" s="14"/>
      <c r="U1859" s="14"/>
      <c r="V1859" s="14"/>
      <c r="W1859" s="14"/>
      <c r="X1859" s="14"/>
      <c r="Z1859" s="14"/>
      <c r="AA1859" s="2">
        <f t="shared" si="249"/>
        <v>3</v>
      </c>
      <c r="AB1859" s="153"/>
      <c r="AC1859" s="454" t="str">
        <f t="shared" si="250"/>
        <v/>
      </c>
    </row>
    <row r="1860" spans="1:29" x14ac:dyDescent="0.35">
      <c r="A1860" s="111" t="str">
        <f t="shared" si="251"/>
        <v/>
      </c>
      <c r="B1860" s="222"/>
      <c r="C1860" s="14"/>
      <c r="D1860" s="14"/>
      <c r="E1860" s="14"/>
      <c r="F1860" s="14"/>
      <c r="G1860" s="14" t="s">
        <v>1911</v>
      </c>
      <c r="H1860" s="14"/>
      <c r="I1860" s="176"/>
      <c r="K1860" s="87"/>
      <c r="L1860" s="14"/>
      <c r="M1860" s="324">
        <f t="shared" si="248"/>
        <v>0</v>
      </c>
      <c r="N1860" s="14"/>
      <c r="O1860" s="14"/>
      <c r="P1860" s="167"/>
      <c r="Q1860" s="14"/>
      <c r="R1860" s="170">
        <f t="shared" si="252"/>
        <v>0</v>
      </c>
      <c r="S1860" s="108" t="str">
        <f t="shared" si="247"/>
        <v/>
      </c>
      <c r="T1860" s="14"/>
      <c r="U1860" s="14"/>
      <c r="V1860" s="14"/>
      <c r="W1860" s="14"/>
      <c r="X1860" s="14"/>
      <c r="Z1860" s="14"/>
      <c r="AA1860" s="2">
        <f t="shared" si="249"/>
        <v>3</v>
      </c>
      <c r="AB1860" s="153"/>
      <c r="AC1860" s="454" t="str">
        <f t="shared" si="250"/>
        <v/>
      </c>
    </row>
    <row r="1861" spans="1:29" x14ac:dyDescent="0.35">
      <c r="A1861" s="111" t="str">
        <f t="shared" si="251"/>
        <v/>
      </c>
      <c r="B1861" s="222"/>
      <c r="C1861" s="14"/>
      <c r="D1861" s="14"/>
      <c r="E1861" s="14"/>
      <c r="F1861" s="14"/>
      <c r="G1861" s="14" t="s">
        <v>1911</v>
      </c>
      <c r="H1861" s="14"/>
      <c r="I1861" s="176"/>
      <c r="K1861" s="87"/>
      <c r="L1861" s="14"/>
      <c r="M1861" s="324">
        <f t="shared" si="248"/>
        <v>0</v>
      </c>
      <c r="N1861" s="14"/>
      <c r="O1861" s="14"/>
      <c r="P1861" s="167"/>
      <c r="Q1861" s="14"/>
      <c r="R1861" s="170">
        <f t="shared" si="252"/>
        <v>0</v>
      </c>
      <c r="S1861" s="108" t="str">
        <f t="shared" ref="S1861:S1924" si="253">IF(B1861="","",B1861+28)</f>
        <v/>
      </c>
      <c r="T1861" s="14"/>
      <c r="U1861" s="14"/>
      <c r="V1861" s="14"/>
      <c r="W1861" s="14"/>
      <c r="X1861" s="14"/>
      <c r="Z1861" s="14"/>
      <c r="AA1861" s="2">
        <f t="shared" si="249"/>
        <v>3</v>
      </c>
      <c r="AB1861" s="153"/>
      <c r="AC1861" s="454" t="str">
        <f t="shared" si="250"/>
        <v/>
      </c>
    </row>
    <row r="1862" spans="1:29" x14ac:dyDescent="0.35">
      <c r="A1862" s="111" t="str">
        <f t="shared" si="251"/>
        <v/>
      </c>
      <c r="B1862" s="222"/>
      <c r="C1862" s="14"/>
      <c r="D1862" s="14"/>
      <c r="E1862" s="14"/>
      <c r="F1862" s="14"/>
      <c r="G1862" s="14" t="s">
        <v>1911</v>
      </c>
      <c r="H1862" s="14"/>
      <c r="I1862" s="176"/>
      <c r="K1862" s="87"/>
      <c r="L1862" s="14"/>
      <c r="M1862" s="324">
        <f t="shared" si="248"/>
        <v>0</v>
      </c>
      <c r="N1862" s="14"/>
      <c r="O1862" s="14"/>
      <c r="P1862" s="167"/>
      <c r="Q1862" s="14"/>
      <c r="R1862" s="170">
        <f t="shared" si="252"/>
        <v>0</v>
      </c>
      <c r="S1862" s="108" t="str">
        <f t="shared" si="253"/>
        <v/>
      </c>
      <c r="T1862" s="14"/>
      <c r="U1862" s="14"/>
      <c r="V1862" s="14"/>
      <c r="W1862" s="14"/>
      <c r="X1862" s="14"/>
      <c r="Z1862" s="14"/>
      <c r="AA1862" s="2">
        <f t="shared" si="249"/>
        <v>3</v>
      </c>
      <c r="AB1862" s="153"/>
      <c r="AC1862" s="454" t="str">
        <f t="shared" si="250"/>
        <v/>
      </c>
    </row>
    <row r="1863" spans="1:29" x14ac:dyDescent="0.35">
      <c r="A1863" s="111" t="str">
        <f t="shared" si="251"/>
        <v/>
      </c>
      <c r="B1863" s="222"/>
      <c r="C1863" s="14"/>
      <c r="D1863" s="14"/>
      <c r="E1863" s="14"/>
      <c r="F1863" s="14"/>
      <c r="G1863" s="14" t="s">
        <v>1911</v>
      </c>
      <c r="H1863" s="14"/>
      <c r="I1863" s="176"/>
      <c r="K1863" s="87"/>
      <c r="L1863" s="14"/>
      <c r="M1863" s="324">
        <f t="shared" si="248"/>
        <v>0</v>
      </c>
      <c r="N1863" s="14"/>
      <c r="O1863" s="14"/>
      <c r="P1863" s="167"/>
      <c r="Q1863" s="14"/>
      <c r="R1863" s="170">
        <f t="shared" si="252"/>
        <v>0</v>
      </c>
      <c r="S1863" s="108" t="str">
        <f t="shared" si="253"/>
        <v/>
      </c>
      <c r="T1863" s="14"/>
      <c r="U1863" s="14"/>
      <c r="V1863" s="14"/>
      <c r="W1863" s="14"/>
      <c r="X1863" s="14"/>
      <c r="Z1863" s="14"/>
      <c r="AA1863" s="2">
        <f t="shared" si="249"/>
        <v>3</v>
      </c>
      <c r="AB1863" s="153"/>
      <c r="AC1863" s="454" t="str">
        <f t="shared" si="250"/>
        <v/>
      </c>
    </row>
    <row r="1864" spans="1:29" x14ac:dyDescent="0.35">
      <c r="A1864" s="111" t="str">
        <f t="shared" si="251"/>
        <v/>
      </c>
      <c r="B1864" s="222"/>
      <c r="C1864" s="14"/>
      <c r="D1864" s="14"/>
      <c r="E1864" s="14"/>
      <c r="F1864" s="14"/>
      <c r="G1864" s="14" t="s">
        <v>1911</v>
      </c>
      <c r="H1864" s="14"/>
      <c r="I1864" s="176"/>
      <c r="K1864" s="87"/>
      <c r="L1864" s="14"/>
      <c r="M1864" s="324">
        <f t="shared" si="248"/>
        <v>0</v>
      </c>
      <c r="N1864" s="14"/>
      <c r="O1864" s="14"/>
      <c r="P1864" s="167"/>
      <c r="Q1864" s="14"/>
      <c r="R1864" s="170">
        <f t="shared" si="252"/>
        <v>0</v>
      </c>
      <c r="S1864" s="108" t="str">
        <f t="shared" si="253"/>
        <v/>
      </c>
      <c r="T1864" s="14"/>
      <c r="U1864" s="14"/>
      <c r="V1864" s="14"/>
      <c r="W1864" s="14"/>
      <c r="X1864" s="14"/>
      <c r="Z1864" s="14"/>
      <c r="AA1864" s="2">
        <f t="shared" si="249"/>
        <v>3</v>
      </c>
      <c r="AB1864" s="153"/>
      <c r="AC1864" s="454" t="str">
        <f t="shared" si="250"/>
        <v/>
      </c>
    </row>
    <row r="1865" spans="1:29" x14ac:dyDescent="0.35">
      <c r="A1865" s="111" t="str">
        <f t="shared" si="251"/>
        <v/>
      </c>
      <c r="B1865" s="222"/>
      <c r="C1865" s="14"/>
      <c r="D1865" s="14"/>
      <c r="E1865" s="14"/>
      <c r="F1865" s="14"/>
      <c r="G1865" s="14" t="s">
        <v>1911</v>
      </c>
      <c r="H1865" s="14"/>
      <c r="I1865" s="176"/>
      <c r="K1865" s="87"/>
      <c r="L1865" s="14"/>
      <c r="M1865" s="324">
        <f t="shared" si="248"/>
        <v>0</v>
      </c>
      <c r="N1865" s="14"/>
      <c r="O1865" s="14"/>
      <c r="P1865" s="167"/>
      <c r="Q1865" s="14"/>
      <c r="R1865" s="170">
        <f t="shared" si="252"/>
        <v>0</v>
      </c>
      <c r="S1865" s="108" t="str">
        <f t="shared" si="253"/>
        <v/>
      </c>
      <c r="T1865" s="14"/>
      <c r="U1865" s="14"/>
      <c r="V1865" s="14"/>
      <c r="W1865" s="14"/>
      <c r="X1865" s="14"/>
      <c r="Z1865" s="14"/>
      <c r="AA1865" s="2">
        <f t="shared" si="249"/>
        <v>3</v>
      </c>
      <c r="AB1865" s="153"/>
      <c r="AC1865" s="454" t="str">
        <f t="shared" si="250"/>
        <v/>
      </c>
    </row>
    <row r="1866" spans="1:29" x14ac:dyDescent="0.35">
      <c r="A1866" s="111" t="str">
        <f t="shared" si="251"/>
        <v/>
      </c>
      <c r="B1866" s="222"/>
      <c r="C1866" s="14"/>
      <c r="D1866" s="14"/>
      <c r="E1866" s="14"/>
      <c r="F1866" s="14"/>
      <c r="G1866" s="14" t="s">
        <v>1911</v>
      </c>
      <c r="H1866" s="14"/>
      <c r="I1866" s="176"/>
      <c r="K1866" s="87"/>
      <c r="L1866" s="14"/>
      <c r="M1866" s="324">
        <f t="shared" si="248"/>
        <v>0</v>
      </c>
      <c r="N1866" s="14"/>
      <c r="O1866" s="14"/>
      <c r="P1866" s="167"/>
      <c r="Q1866" s="14"/>
      <c r="R1866" s="170">
        <f t="shared" si="252"/>
        <v>0</v>
      </c>
      <c r="S1866" s="108" t="str">
        <f t="shared" si="253"/>
        <v/>
      </c>
      <c r="T1866" s="14"/>
      <c r="U1866" s="14"/>
      <c r="V1866" s="14"/>
      <c r="W1866" s="14"/>
      <c r="X1866" s="14"/>
      <c r="Z1866" s="14"/>
      <c r="AA1866" s="2">
        <f t="shared" si="249"/>
        <v>3</v>
      </c>
      <c r="AB1866" s="153"/>
      <c r="AC1866" s="454" t="str">
        <f t="shared" si="250"/>
        <v/>
      </c>
    </row>
    <row r="1867" spans="1:29" x14ac:dyDescent="0.35">
      <c r="A1867" s="111" t="str">
        <f t="shared" si="251"/>
        <v/>
      </c>
      <c r="B1867" s="222"/>
      <c r="C1867" s="14"/>
      <c r="D1867" s="14"/>
      <c r="E1867" s="14"/>
      <c r="F1867" s="14"/>
      <c r="G1867" s="14" t="s">
        <v>1911</v>
      </c>
      <c r="H1867" s="14"/>
      <c r="I1867" s="176"/>
      <c r="K1867" s="87"/>
      <c r="L1867" s="14"/>
      <c r="M1867" s="324">
        <f t="shared" si="248"/>
        <v>0</v>
      </c>
      <c r="N1867" s="14"/>
      <c r="O1867" s="14"/>
      <c r="P1867" s="167"/>
      <c r="Q1867" s="14"/>
      <c r="R1867" s="170">
        <f t="shared" si="252"/>
        <v>0</v>
      </c>
      <c r="S1867" s="108" t="str">
        <f t="shared" si="253"/>
        <v/>
      </c>
      <c r="T1867" s="14"/>
      <c r="U1867" s="14"/>
      <c r="V1867" s="14"/>
      <c r="W1867" s="14"/>
      <c r="X1867" s="14"/>
      <c r="Z1867" s="14"/>
      <c r="AA1867" s="2">
        <f t="shared" si="249"/>
        <v>3</v>
      </c>
      <c r="AB1867" s="153"/>
      <c r="AC1867" s="454" t="str">
        <f t="shared" si="250"/>
        <v/>
      </c>
    </row>
    <row r="1868" spans="1:29" x14ac:dyDescent="0.35">
      <c r="A1868" s="111" t="str">
        <f t="shared" si="251"/>
        <v/>
      </c>
      <c r="B1868" s="222"/>
      <c r="C1868" s="14"/>
      <c r="D1868" s="14"/>
      <c r="E1868" s="14"/>
      <c r="F1868" s="14"/>
      <c r="G1868" s="14" t="s">
        <v>1911</v>
      </c>
      <c r="H1868" s="14"/>
      <c r="I1868" s="176"/>
      <c r="K1868" s="87"/>
      <c r="L1868" s="14"/>
      <c r="M1868" s="324">
        <f t="shared" si="248"/>
        <v>0</v>
      </c>
      <c r="N1868" s="14"/>
      <c r="O1868" s="14"/>
      <c r="P1868" s="167"/>
      <c r="Q1868" s="14"/>
      <c r="R1868" s="170">
        <f t="shared" si="252"/>
        <v>0</v>
      </c>
      <c r="S1868" s="108" t="str">
        <f t="shared" si="253"/>
        <v/>
      </c>
      <c r="T1868" s="14"/>
      <c r="U1868" s="14"/>
      <c r="V1868" s="14"/>
      <c r="W1868" s="14"/>
      <c r="X1868" s="14"/>
      <c r="Z1868" s="14"/>
      <c r="AA1868" s="2">
        <f t="shared" si="249"/>
        <v>3</v>
      </c>
      <c r="AB1868" s="153"/>
      <c r="AC1868" s="454" t="str">
        <f t="shared" si="250"/>
        <v/>
      </c>
    </row>
    <row r="1869" spans="1:29" x14ac:dyDescent="0.35">
      <c r="A1869" s="111" t="str">
        <f t="shared" si="251"/>
        <v/>
      </c>
      <c r="B1869" s="222"/>
      <c r="C1869" s="14"/>
      <c r="D1869" s="14"/>
      <c r="E1869" s="14"/>
      <c r="F1869" s="14"/>
      <c r="G1869" s="14" t="s">
        <v>1911</v>
      </c>
      <c r="H1869" s="14"/>
      <c r="I1869" s="176"/>
      <c r="K1869" s="87"/>
      <c r="L1869" s="14"/>
      <c r="M1869" s="324">
        <f t="shared" si="248"/>
        <v>0</v>
      </c>
      <c r="N1869" s="14"/>
      <c r="O1869" s="14"/>
      <c r="P1869" s="167"/>
      <c r="Q1869" s="14"/>
      <c r="R1869" s="170">
        <f t="shared" si="252"/>
        <v>0</v>
      </c>
      <c r="S1869" s="108" t="str">
        <f t="shared" si="253"/>
        <v/>
      </c>
      <c r="T1869" s="14"/>
      <c r="U1869" s="14"/>
      <c r="V1869" s="14"/>
      <c r="W1869" s="14"/>
      <c r="X1869" s="14"/>
      <c r="Z1869" s="14"/>
      <c r="AA1869" s="2">
        <f t="shared" si="249"/>
        <v>3</v>
      </c>
      <c r="AB1869" s="153"/>
      <c r="AC1869" s="454" t="str">
        <f t="shared" si="250"/>
        <v/>
      </c>
    </row>
    <row r="1870" spans="1:29" x14ac:dyDescent="0.35">
      <c r="A1870" s="111" t="str">
        <f t="shared" si="251"/>
        <v/>
      </c>
      <c r="B1870" s="222"/>
      <c r="C1870" s="14"/>
      <c r="D1870" s="14"/>
      <c r="E1870" s="14"/>
      <c r="F1870" s="14"/>
      <c r="G1870" s="14" t="s">
        <v>1911</v>
      </c>
      <c r="H1870" s="14"/>
      <c r="I1870" s="176"/>
      <c r="K1870" s="87"/>
      <c r="L1870" s="14"/>
      <c r="M1870" s="324">
        <f t="shared" si="248"/>
        <v>0</v>
      </c>
      <c r="N1870" s="14"/>
      <c r="O1870" s="14"/>
      <c r="P1870" s="167"/>
      <c r="Q1870" s="14"/>
      <c r="R1870" s="170">
        <f t="shared" si="252"/>
        <v>0</v>
      </c>
      <c r="S1870" s="108" t="str">
        <f t="shared" si="253"/>
        <v/>
      </c>
      <c r="T1870" s="14"/>
      <c r="U1870" s="14"/>
      <c r="V1870" s="14"/>
      <c r="W1870" s="14"/>
      <c r="X1870" s="14"/>
      <c r="Z1870" s="14"/>
      <c r="AA1870" s="2">
        <f t="shared" si="249"/>
        <v>3</v>
      </c>
      <c r="AB1870" s="153"/>
      <c r="AC1870" s="454" t="str">
        <f t="shared" si="250"/>
        <v/>
      </c>
    </row>
    <row r="1871" spans="1:29" x14ac:dyDescent="0.35">
      <c r="A1871" s="111" t="str">
        <f t="shared" si="251"/>
        <v/>
      </c>
      <c r="B1871" s="222"/>
      <c r="C1871" s="14"/>
      <c r="D1871" s="14"/>
      <c r="E1871" s="14"/>
      <c r="F1871" s="14"/>
      <c r="G1871" s="14" t="s">
        <v>1911</v>
      </c>
      <c r="H1871" s="14"/>
      <c r="I1871" s="176"/>
      <c r="K1871" s="87"/>
      <c r="L1871" s="14"/>
      <c r="M1871" s="324">
        <f t="shared" si="248"/>
        <v>0</v>
      </c>
      <c r="N1871" s="14"/>
      <c r="O1871" s="14"/>
      <c r="P1871" s="167"/>
      <c r="Q1871" s="14"/>
      <c r="R1871" s="170">
        <f t="shared" si="252"/>
        <v>0</v>
      </c>
      <c r="S1871" s="108" t="str">
        <f t="shared" si="253"/>
        <v/>
      </c>
      <c r="T1871" s="14"/>
      <c r="U1871" s="14"/>
      <c r="V1871" s="14"/>
      <c r="W1871" s="14"/>
      <c r="X1871" s="14"/>
      <c r="Z1871" s="14"/>
      <c r="AA1871" s="2">
        <f t="shared" si="249"/>
        <v>3</v>
      </c>
      <c r="AB1871" s="153"/>
      <c r="AC1871" s="454" t="str">
        <f t="shared" si="250"/>
        <v/>
      </c>
    </row>
    <row r="1872" spans="1:29" x14ac:dyDescent="0.35">
      <c r="A1872" s="111" t="str">
        <f t="shared" si="251"/>
        <v/>
      </c>
      <c r="B1872" s="222"/>
      <c r="C1872" s="14"/>
      <c r="D1872" s="14"/>
      <c r="E1872" s="14"/>
      <c r="F1872" s="14"/>
      <c r="G1872" s="14" t="s">
        <v>1911</v>
      </c>
      <c r="H1872" s="14"/>
      <c r="I1872" s="176"/>
      <c r="K1872" s="87"/>
      <c r="L1872" s="14"/>
      <c r="M1872" s="324">
        <f t="shared" si="248"/>
        <v>0</v>
      </c>
      <c r="N1872" s="14"/>
      <c r="O1872" s="14"/>
      <c r="P1872" s="167"/>
      <c r="Q1872" s="14"/>
      <c r="R1872" s="170">
        <f t="shared" si="252"/>
        <v>0</v>
      </c>
      <c r="S1872" s="108" t="str">
        <f t="shared" si="253"/>
        <v/>
      </c>
      <c r="T1872" s="14"/>
      <c r="U1872" s="14"/>
      <c r="V1872" s="14"/>
      <c r="W1872" s="14"/>
      <c r="X1872" s="14"/>
      <c r="Z1872" s="14"/>
      <c r="AA1872" s="2">
        <f t="shared" si="249"/>
        <v>3</v>
      </c>
      <c r="AB1872" s="153"/>
      <c r="AC1872" s="454" t="str">
        <f t="shared" si="250"/>
        <v/>
      </c>
    </row>
    <row r="1873" spans="1:29" x14ac:dyDescent="0.35">
      <c r="A1873" s="111" t="str">
        <f t="shared" si="251"/>
        <v/>
      </c>
      <c r="B1873" s="222"/>
      <c r="C1873" s="14"/>
      <c r="D1873" s="14"/>
      <c r="E1873" s="14"/>
      <c r="F1873" s="14"/>
      <c r="G1873" s="14" t="s">
        <v>1911</v>
      </c>
      <c r="H1873" s="14"/>
      <c r="I1873" s="176"/>
      <c r="K1873" s="87"/>
      <c r="L1873" s="14"/>
      <c r="M1873" s="324">
        <f t="shared" si="248"/>
        <v>0</v>
      </c>
      <c r="N1873" s="14"/>
      <c r="O1873" s="14"/>
      <c r="P1873" s="167"/>
      <c r="Q1873" s="14"/>
      <c r="R1873" s="170">
        <f t="shared" si="252"/>
        <v>0</v>
      </c>
      <c r="S1873" s="108" t="str">
        <f t="shared" si="253"/>
        <v/>
      </c>
      <c r="T1873" s="14"/>
      <c r="U1873" s="14"/>
      <c r="V1873" s="14"/>
      <c r="W1873" s="14"/>
      <c r="X1873" s="14"/>
      <c r="Z1873" s="14"/>
      <c r="AA1873" s="2">
        <f t="shared" si="249"/>
        <v>3</v>
      </c>
      <c r="AB1873" s="153"/>
      <c r="AC1873" s="454" t="str">
        <f t="shared" si="250"/>
        <v/>
      </c>
    </row>
    <row r="1874" spans="1:29" x14ac:dyDescent="0.35">
      <c r="A1874" s="111" t="str">
        <f t="shared" si="251"/>
        <v/>
      </c>
      <c r="B1874" s="222"/>
      <c r="C1874" s="14"/>
      <c r="D1874" s="14"/>
      <c r="E1874" s="14"/>
      <c r="F1874" s="14"/>
      <c r="G1874" s="14" t="s">
        <v>1911</v>
      </c>
      <c r="H1874" s="14"/>
      <c r="I1874" s="176"/>
      <c r="K1874" s="87"/>
      <c r="L1874" s="14"/>
      <c r="M1874" s="324">
        <f t="shared" si="248"/>
        <v>0</v>
      </c>
      <c r="N1874" s="14"/>
      <c r="O1874" s="14"/>
      <c r="P1874" s="167"/>
      <c r="Q1874" s="14"/>
      <c r="R1874" s="170">
        <f t="shared" si="252"/>
        <v>0</v>
      </c>
      <c r="S1874" s="108" t="str">
        <f t="shared" si="253"/>
        <v/>
      </c>
      <c r="T1874" s="14"/>
      <c r="U1874" s="14"/>
      <c r="V1874" s="14"/>
      <c r="W1874" s="14"/>
      <c r="X1874" s="14"/>
      <c r="Z1874" s="14"/>
      <c r="AA1874" s="2">
        <f t="shared" si="249"/>
        <v>3</v>
      </c>
      <c r="AB1874" s="153"/>
      <c r="AC1874" s="454" t="str">
        <f t="shared" si="250"/>
        <v/>
      </c>
    </row>
    <row r="1875" spans="1:29" x14ac:dyDescent="0.35">
      <c r="A1875" s="111" t="str">
        <f t="shared" si="251"/>
        <v/>
      </c>
      <c r="B1875" s="222"/>
      <c r="C1875" s="14"/>
      <c r="D1875" s="14"/>
      <c r="E1875" s="14"/>
      <c r="F1875" s="14"/>
      <c r="G1875" s="14" t="s">
        <v>1911</v>
      </c>
      <c r="H1875" s="14"/>
      <c r="I1875" s="176"/>
      <c r="K1875" s="87"/>
      <c r="L1875" s="14"/>
      <c r="M1875" s="324">
        <f t="shared" si="248"/>
        <v>0</v>
      </c>
      <c r="N1875" s="14"/>
      <c r="O1875" s="14"/>
      <c r="P1875" s="167"/>
      <c r="Q1875" s="14"/>
      <c r="R1875" s="170">
        <f t="shared" si="252"/>
        <v>0</v>
      </c>
      <c r="S1875" s="108" t="str">
        <f t="shared" si="253"/>
        <v/>
      </c>
      <c r="T1875" s="14"/>
      <c r="U1875" s="14"/>
      <c r="V1875" s="14"/>
      <c r="W1875" s="14"/>
      <c r="X1875" s="14"/>
      <c r="Z1875" s="14"/>
      <c r="AA1875" s="2">
        <f t="shared" si="249"/>
        <v>3</v>
      </c>
      <c r="AB1875" s="153"/>
      <c r="AC1875" s="454" t="str">
        <f t="shared" si="250"/>
        <v/>
      </c>
    </row>
    <row r="1876" spans="1:29" x14ac:dyDescent="0.35">
      <c r="A1876" s="111" t="str">
        <f t="shared" si="251"/>
        <v/>
      </c>
      <c r="B1876" s="222"/>
      <c r="C1876" s="14"/>
      <c r="D1876" s="14"/>
      <c r="E1876" s="14"/>
      <c r="F1876" s="14"/>
      <c r="G1876" s="14" t="s">
        <v>1911</v>
      </c>
      <c r="H1876" s="14"/>
      <c r="I1876" s="176"/>
      <c r="K1876" s="87"/>
      <c r="L1876" s="14"/>
      <c r="M1876" s="324">
        <f t="shared" ref="M1876:M1939" si="254">IF(I1876="Staff Accident","Entry Required",IF(I1876="Assaults","Entry Required",0))</f>
        <v>0</v>
      </c>
      <c r="N1876" s="14"/>
      <c r="O1876" s="14"/>
      <c r="P1876" s="167"/>
      <c r="Q1876" s="14"/>
      <c r="R1876" s="170">
        <f t="shared" si="252"/>
        <v>0</v>
      </c>
      <c r="S1876" s="108" t="str">
        <f t="shared" si="253"/>
        <v/>
      </c>
      <c r="T1876" s="14"/>
      <c r="U1876" s="14"/>
      <c r="V1876" s="14"/>
      <c r="W1876" s="14"/>
      <c r="X1876" s="14"/>
      <c r="Z1876" s="14"/>
      <c r="AA1876" s="2">
        <f t="shared" si="249"/>
        <v>3</v>
      </c>
      <c r="AB1876" s="153"/>
      <c r="AC1876" s="454" t="str">
        <f t="shared" si="250"/>
        <v/>
      </c>
    </row>
    <row r="1877" spans="1:29" x14ac:dyDescent="0.35">
      <c r="A1877" s="111" t="str">
        <f t="shared" si="251"/>
        <v/>
      </c>
      <c r="B1877" s="222"/>
      <c r="C1877" s="14"/>
      <c r="D1877" s="14"/>
      <c r="E1877" s="14"/>
      <c r="F1877" s="14"/>
      <c r="G1877" s="14" t="s">
        <v>1911</v>
      </c>
      <c r="H1877" s="14"/>
      <c r="I1877" s="176"/>
      <c r="K1877" s="87"/>
      <c r="L1877" s="14"/>
      <c r="M1877" s="324">
        <f t="shared" si="254"/>
        <v>0</v>
      </c>
      <c r="N1877" s="14"/>
      <c r="O1877" s="14"/>
      <c r="P1877" s="167"/>
      <c r="Q1877" s="14"/>
      <c r="R1877" s="170">
        <f t="shared" si="252"/>
        <v>0</v>
      </c>
      <c r="S1877" s="108" t="str">
        <f t="shared" si="253"/>
        <v/>
      </c>
      <c r="T1877" s="14"/>
      <c r="U1877" s="14"/>
      <c r="V1877" s="14"/>
      <c r="W1877" s="14"/>
      <c r="X1877" s="14"/>
      <c r="Z1877" s="14"/>
      <c r="AA1877" s="2">
        <f t="shared" si="249"/>
        <v>3</v>
      </c>
      <c r="AB1877" s="153"/>
      <c r="AC1877" s="454" t="str">
        <f t="shared" si="250"/>
        <v/>
      </c>
    </row>
    <row r="1878" spans="1:29" x14ac:dyDescent="0.35">
      <c r="A1878" s="111" t="str">
        <f t="shared" si="251"/>
        <v/>
      </c>
      <c r="B1878" s="222"/>
      <c r="C1878" s="14"/>
      <c r="D1878" s="14"/>
      <c r="E1878" s="14"/>
      <c r="F1878" s="14"/>
      <c r="G1878" s="14" t="s">
        <v>1911</v>
      </c>
      <c r="H1878" s="14"/>
      <c r="I1878" s="176"/>
      <c r="K1878" s="87"/>
      <c r="L1878" s="14"/>
      <c r="M1878" s="324">
        <f t="shared" si="254"/>
        <v>0</v>
      </c>
      <c r="N1878" s="14"/>
      <c r="O1878" s="14"/>
      <c r="P1878" s="167"/>
      <c r="Q1878" s="14"/>
      <c r="R1878" s="170">
        <f t="shared" si="252"/>
        <v>0</v>
      </c>
      <c r="S1878" s="108" t="str">
        <f t="shared" si="253"/>
        <v/>
      </c>
      <c r="T1878" s="14"/>
      <c r="U1878" s="14"/>
      <c r="V1878" s="14"/>
      <c r="W1878" s="14"/>
      <c r="X1878" s="14"/>
      <c r="Z1878" s="14"/>
      <c r="AA1878" s="2">
        <f t="shared" ref="AA1878:AA1941" si="255">IF(B1878="",3,IF(S1878&lt;$A$1,1,0))</f>
        <v>3</v>
      </c>
      <c r="AB1878" s="153"/>
      <c r="AC1878" s="454" t="str">
        <f t="shared" si="250"/>
        <v/>
      </c>
    </row>
    <row r="1879" spans="1:29" x14ac:dyDescent="0.35">
      <c r="A1879" s="111" t="str">
        <f t="shared" si="251"/>
        <v/>
      </c>
      <c r="B1879" s="222"/>
      <c r="C1879" s="14"/>
      <c r="D1879" s="14"/>
      <c r="E1879" s="14"/>
      <c r="F1879" s="14"/>
      <c r="G1879" s="14" t="s">
        <v>1911</v>
      </c>
      <c r="H1879" s="14"/>
      <c r="I1879" s="176"/>
      <c r="K1879" s="87"/>
      <c r="L1879" s="14"/>
      <c r="M1879" s="324">
        <f t="shared" si="254"/>
        <v>0</v>
      </c>
      <c r="N1879" s="14"/>
      <c r="O1879" s="14"/>
      <c r="P1879" s="167"/>
      <c r="Q1879" s="14"/>
      <c r="R1879" s="170">
        <f t="shared" si="252"/>
        <v>0</v>
      </c>
      <c r="S1879" s="108" t="str">
        <f t="shared" si="253"/>
        <v/>
      </c>
      <c r="T1879" s="14"/>
      <c r="U1879" s="14"/>
      <c r="V1879" s="14"/>
      <c r="W1879" s="14"/>
      <c r="X1879" s="14"/>
      <c r="Z1879" s="14"/>
      <c r="AA1879" s="2">
        <f t="shared" si="255"/>
        <v>3</v>
      </c>
      <c r="AB1879" s="153"/>
      <c r="AC1879" s="454" t="str">
        <f t="shared" si="250"/>
        <v/>
      </c>
    </row>
    <row r="1880" spans="1:29" x14ac:dyDescent="0.35">
      <c r="A1880" s="111" t="str">
        <f t="shared" si="251"/>
        <v/>
      </c>
      <c r="B1880" s="222"/>
      <c r="C1880" s="14"/>
      <c r="D1880" s="14"/>
      <c r="E1880" s="14"/>
      <c r="F1880" s="14"/>
      <c r="G1880" s="14" t="s">
        <v>1911</v>
      </c>
      <c r="H1880" s="14"/>
      <c r="I1880" s="176"/>
      <c r="K1880" s="87"/>
      <c r="L1880" s="14"/>
      <c r="M1880" s="324">
        <f t="shared" si="254"/>
        <v>0</v>
      </c>
      <c r="N1880" s="14"/>
      <c r="O1880" s="14"/>
      <c r="P1880" s="167"/>
      <c r="Q1880" s="14"/>
      <c r="R1880" s="170">
        <f t="shared" si="252"/>
        <v>0</v>
      </c>
      <c r="S1880" s="108" t="str">
        <f t="shared" si="253"/>
        <v/>
      </c>
      <c r="T1880" s="14"/>
      <c r="U1880" s="14"/>
      <c r="V1880" s="14"/>
      <c r="W1880" s="14"/>
      <c r="X1880" s="14"/>
      <c r="Z1880" s="14"/>
      <c r="AA1880" s="2">
        <f t="shared" si="255"/>
        <v>3</v>
      </c>
      <c r="AB1880" s="153"/>
      <c r="AC1880" s="454" t="str">
        <f t="shared" si="250"/>
        <v/>
      </c>
    </row>
    <row r="1881" spans="1:29" x14ac:dyDescent="0.35">
      <c r="A1881" s="111" t="str">
        <f t="shared" si="251"/>
        <v/>
      </c>
      <c r="B1881" s="222"/>
      <c r="C1881" s="14"/>
      <c r="D1881" s="14"/>
      <c r="E1881" s="14"/>
      <c r="F1881" s="14"/>
      <c r="G1881" s="14" t="s">
        <v>1911</v>
      </c>
      <c r="H1881" s="14"/>
      <c r="I1881" s="176"/>
      <c r="K1881" s="87"/>
      <c r="L1881" s="14"/>
      <c r="M1881" s="324">
        <f t="shared" si="254"/>
        <v>0</v>
      </c>
      <c r="N1881" s="14"/>
      <c r="O1881" s="14"/>
      <c r="P1881" s="167"/>
      <c r="Q1881" s="14"/>
      <c r="R1881" s="170">
        <f t="shared" si="252"/>
        <v>0</v>
      </c>
      <c r="S1881" s="108" t="str">
        <f t="shared" si="253"/>
        <v/>
      </c>
      <c r="T1881" s="14"/>
      <c r="U1881" s="14"/>
      <c r="V1881" s="14"/>
      <c r="W1881" s="14"/>
      <c r="X1881" s="14"/>
      <c r="Z1881" s="14"/>
      <c r="AA1881" s="2">
        <f t="shared" si="255"/>
        <v>3</v>
      </c>
      <c r="AB1881" s="153"/>
      <c r="AC1881" s="454" t="str">
        <f t="shared" si="250"/>
        <v/>
      </c>
    </row>
    <row r="1882" spans="1:29" x14ac:dyDescent="0.35">
      <c r="A1882" s="111" t="str">
        <f t="shared" si="251"/>
        <v/>
      </c>
      <c r="B1882" s="222"/>
      <c r="C1882" s="14"/>
      <c r="D1882" s="14"/>
      <c r="E1882" s="14"/>
      <c r="F1882" s="14"/>
      <c r="G1882" s="14" t="s">
        <v>1911</v>
      </c>
      <c r="H1882" s="14"/>
      <c r="I1882" s="176"/>
      <c r="K1882" s="87"/>
      <c r="L1882" s="14"/>
      <c r="M1882" s="324">
        <f t="shared" si="254"/>
        <v>0</v>
      </c>
      <c r="N1882" s="14"/>
      <c r="O1882" s="14"/>
      <c r="P1882" s="167"/>
      <c r="Q1882" s="14"/>
      <c r="R1882" s="170">
        <f t="shared" si="252"/>
        <v>0</v>
      </c>
      <c r="S1882" s="108" t="str">
        <f t="shared" si="253"/>
        <v/>
      </c>
      <c r="T1882" s="14"/>
      <c r="U1882" s="14"/>
      <c r="V1882" s="14"/>
      <c r="W1882" s="14"/>
      <c r="X1882" s="14"/>
      <c r="Z1882" s="14"/>
      <c r="AA1882" s="2">
        <f t="shared" si="255"/>
        <v>3</v>
      </c>
      <c r="AB1882" s="153"/>
      <c r="AC1882" s="454" t="str">
        <f t="shared" ref="AC1882:AC1945" si="256">LEFT(H1882,1)</f>
        <v/>
      </c>
    </row>
    <row r="1883" spans="1:29" x14ac:dyDescent="0.35">
      <c r="A1883" s="111" t="str">
        <f t="shared" si="251"/>
        <v/>
      </c>
      <c r="B1883" s="222"/>
      <c r="C1883" s="14"/>
      <c r="D1883" s="14"/>
      <c r="E1883" s="14"/>
      <c r="F1883" s="14"/>
      <c r="G1883" s="14" t="s">
        <v>1911</v>
      </c>
      <c r="H1883" s="14"/>
      <c r="I1883" s="176"/>
      <c r="K1883" s="87"/>
      <c r="L1883" s="14"/>
      <c r="M1883" s="324">
        <f t="shared" si="254"/>
        <v>0</v>
      </c>
      <c r="N1883" s="14"/>
      <c r="O1883" s="14"/>
      <c r="P1883" s="167"/>
      <c r="Q1883" s="14"/>
      <c r="R1883" s="170">
        <f t="shared" si="252"/>
        <v>0</v>
      </c>
      <c r="S1883" s="108" t="str">
        <f t="shared" si="253"/>
        <v/>
      </c>
      <c r="T1883" s="14"/>
      <c r="U1883" s="14"/>
      <c r="V1883" s="14"/>
      <c r="W1883" s="14"/>
      <c r="X1883" s="14"/>
      <c r="Z1883" s="14"/>
      <c r="AA1883" s="2">
        <f t="shared" si="255"/>
        <v>3</v>
      </c>
      <c r="AB1883" s="153"/>
      <c r="AC1883" s="454" t="str">
        <f t="shared" si="256"/>
        <v/>
      </c>
    </row>
    <row r="1884" spans="1:29" x14ac:dyDescent="0.35">
      <c r="A1884" s="111" t="str">
        <f t="shared" si="251"/>
        <v/>
      </c>
      <c r="B1884" s="222"/>
      <c r="C1884" s="14"/>
      <c r="D1884" s="14"/>
      <c r="E1884" s="14"/>
      <c r="F1884" s="14"/>
      <c r="G1884" s="14" t="s">
        <v>1911</v>
      </c>
      <c r="H1884" s="14"/>
      <c r="I1884" s="176"/>
      <c r="K1884" s="87"/>
      <c r="L1884" s="14"/>
      <c r="M1884" s="324">
        <f t="shared" si="254"/>
        <v>0</v>
      </c>
      <c r="N1884" s="14"/>
      <c r="O1884" s="14"/>
      <c r="P1884" s="167"/>
      <c r="Q1884" s="14"/>
      <c r="R1884" s="170">
        <f t="shared" si="252"/>
        <v>0</v>
      </c>
      <c r="S1884" s="108" t="str">
        <f t="shared" si="253"/>
        <v/>
      </c>
      <c r="T1884" s="14"/>
      <c r="U1884" s="14"/>
      <c r="V1884" s="14"/>
      <c r="W1884" s="14"/>
      <c r="X1884" s="14"/>
      <c r="Z1884" s="14"/>
      <c r="AA1884" s="2">
        <f t="shared" si="255"/>
        <v>3</v>
      </c>
      <c r="AB1884" s="153"/>
      <c r="AC1884" s="454" t="str">
        <f t="shared" si="256"/>
        <v/>
      </c>
    </row>
    <row r="1885" spans="1:29" x14ac:dyDescent="0.35">
      <c r="A1885" s="111" t="str">
        <f t="shared" si="251"/>
        <v/>
      </c>
      <c r="B1885" s="222"/>
      <c r="C1885" s="14"/>
      <c r="D1885" s="14"/>
      <c r="E1885" s="14"/>
      <c r="F1885" s="14"/>
      <c r="G1885" s="14" t="s">
        <v>1911</v>
      </c>
      <c r="H1885" s="14"/>
      <c r="I1885" s="176"/>
      <c r="K1885" s="87"/>
      <c r="L1885" s="14"/>
      <c r="M1885" s="324">
        <f t="shared" si="254"/>
        <v>0</v>
      </c>
      <c r="N1885" s="14"/>
      <c r="O1885" s="14"/>
      <c r="P1885" s="167"/>
      <c r="Q1885" s="14"/>
      <c r="R1885" s="170">
        <f t="shared" si="252"/>
        <v>0</v>
      </c>
      <c r="S1885" s="108" t="str">
        <f t="shared" si="253"/>
        <v/>
      </c>
      <c r="T1885" s="14"/>
      <c r="U1885" s="14"/>
      <c r="V1885" s="14"/>
      <c r="W1885" s="14"/>
      <c r="X1885" s="14"/>
      <c r="Z1885" s="14"/>
      <c r="AA1885" s="2">
        <f t="shared" si="255"/>
        <v>3</v>
      </c>
      <c r="AB1885" s="153"/>
      <c r="AC1885" s="454" t="str">
        <f t="shared" si="256"/>
        <v/>
      </c>
    </row>
    <row r="1886" spans="1:29" x14ac:dyDescent="0.35">
      <c r="A1886" s="111" t="str">
        <f t="shared" si="251"/>
        <v/>
      </c>
      <c r="B1886" s="222"/>
      <c r="C1886" s="14"/>
      <c r="D1886" s="14"/>
      <c r="E1886" s="14"/>
      <c r="F1886" s="14"/>
      <c r="G1886" s="14" t="s">
        <v>1911</v>
      </c>
      <c r="H1886" s="14"/>
      <c r="I1886" s="176"/>
      <c r="K1886" s="87"/>
      <c r="L1886" s="14"/>
      <c r="M1886" s="324">
        <f t="shared" si="254"/>
        <v>0</v>
      </c>
      <c r="N1886" s="14"/>
      <c r="O1886" s="14"/>
      <c r="P1886" s="167"/>
      <c r="Q1886" s="14"/>
      <c r="R1886" s="170">
        <f t="shared" si="252"/>
        <v>0</v>
      </c>
      <c r="S1886" s="108" t="str">
        <f t="shared" si="253"/>
        <v/>
      </c>
      <c r="T1886" s="14"/>
      <c r="U1886" s="14"/>
      <c r="V1886" s="14"/>
      <c r="W1886" s="14"/>
      <c r="X1886" s="14"/>
      <c r="Z1886" s="14"/>
      <c r="AA1886" s="2">
        <f t="shared" si="255"/>
        <v>3</v>
      </c>
      <c r="AB1886" s="153"/>
      <c r="AC1886" s="454" t="str">
        <f t="shared" si="256"/>
        <v/>
      </c>
    </row>
    <row r="1887" spans="1:29" x14ac:dyDescent="0.35">
      <c r="A1887" s="111" t="str">
        <f t="shared" ref="A1887:A1950" si="257">IF(T1887&gt;1,"Closed",IF(AA1887=1,"Overdue",IF(AA1887=3,"","Open")))</f>
        <v/>
      </c>
      <c r="B1887" s="222"/>
      <c r="C1887" s="14"/>
      <c r="D1887" s="14"/>
      <c r="E1887" s="14"/>
      <c r="F1887" s="14"/>
      <c r="G1887" s="14" t="s">
        <v>1911</v>
      </c>
      <c r="H1887" s="14"/>
      <c r="I1887" s="176"/>
      <c r="K1887" s="87"/>
      <c r="L1887" s="14"/>
      <c r="M1887" s="324">
        <f t="shared" si="254"/>
        <v>0</v>
      </c>
      <c r="N1887" s="14"/>
      <c r="O1887" s="14"/>
      <c r="P1887" s="167"/>
      <c r="Q1887" s="14"/>
      <c r="R1887" s="170">
        <f t="shared" si="252"/>
        <v>0</v>
      </c>
      <c r="S1887" s="108" t="str">
        <f t="shared" si="253"/>
        <v/>
      </c>
      <c r="T1887" s="14"/>
      <c r="U1887" s="14"/>
      <c r="V1887" s="14"/>
      <c r="W1887" s="14"/>
      <c r="X1887" s="14"/>
      <c r="Z1887" s="14"/>
      <c r="AA1887" s="2">
        <f t="shared" si="255"/>
        <v>3</v>
      </c>
      <c r="AB1887" s="153"/>
      <c r="AC1887" s="454" t="str">
        <f t="shared" si="256"/>
        <v/>
      </c>
    </row>
    <row r="1888" spans="1:29" x14ac:dyDescent="0.35">
      <c r="A1888" s="111" t="str">
        <f t="shared" si="257"/>
        <v/>
      </c>
      <c r="B1888" s="222"/>
      <c r="C1888" s="14"/>
      <c r="D1888" s="14"/>
      <c r="E1888" s="14"/>
      <c r="F1888" s="14"/>
      <c r="G1888" s="14" t="s">
        <v>1911</v>
      </c>
      <c r="H1888" s="14"/>
      <c r="I1888" s="176"/>
      <c r="K1888" s="87"/>
      <c r="L1888" s="14"/>
      <c r="M1888" s="324">
        <f t="shared" si="254"/>
        <v>0</v>
      </c>
      <c r="N1888" s="14"/>
      <c r="O1888" s="14"/>
      <c r="P1888" s="167"/>
      <c r="Q1888" s="14"/>
      <c r="R1888" s="170">
        <f t="shared" si="252"/>
        <v>0</v>
      </c>
      <c r="S1888" s="108" t="str">
        <f t="shared" si="253"/>
        <v/>
      </c>
      <c r="T1888" s="14"/>
      <c r="U1888" s="14"/>
      <c r="V1888" s="14"/>
      <c r="W1888" s="14"/>
      <c r="X1888" s="14"/>
      <c r="Z1888" s="14"/>
      <c r="AA1888" s="2">
        <f t="shared" si="255"/>
        <v>3</v>
      </c>
      <c r="AB1888" s="153"/>
      <c r="AC1888" s="454" t="str">
        <f t="shared" si="256"/>
        <v/>
      </c>
    </row>
    <row r="1889" spans="1:29" x14ac:dyDescent="0.35">
      <c r="A1889" s="111" t="str">
        <f t="shared" si="257"/>
        <v/>
      </c>
      <c r="B1889" s="222"/>
      <c r="C1889" s="14"/>
      <c r="D1889" s="14"/>
      <c r="E1889" s="14"/>
      <c r="F1889" s="14"/>
      <c r="G1889" s="14" t="s">
        <v>1911</v>
      </c>
      <c r="H1889" s="14"/>
      <c r="I1889" s="176"/>
      <c r="K1889" s="87"/>
      <c r="L1889" s="14"/>
      <c r="M1889" s="324">
        <f t="shared" si="254"/>
        <v>0</v>
      </c>
      <c r="N1889" s="14"/>
      <c r="O1889" s="14"/>
      <c r="P1889" s="167"/>
      <c r="Q1889" s="14"/>
      <c r="R1889" s="170">
        <f t="shared" si="252"/>
        <v>0</v>
      </c>
      <c r="S1889" s="108" t="str">
        <f t="shared" si="253"/>
        <v/>
      </c>
      <c r="T1889" s="14"/>
      <c r="U1889" s="14"/>
      <c r="V1889" s="14"/>
      <c r="W1889" s="14"/>
      <c r="X1889" s="14"/>
      <c r="Z1889" s="14"/>
      <c r="AA1889" s="2">
        <f t="shared" si="255"/>
        <v>3</v>
      </c>
      <c r="AB1889" s="153"/>
      <c r="AC1889" s="454" t="str">
        <f t="shared" si="256"/>
        <v/>
      </c>
    </row>
    <row r="1890" spans="1:29" x14ac:dyDescent="0.35">
      <c r="A1890" s="111" t="str">
        <f t="shared" si="257"/>
        <v/>
      </c>
      <c r="B1890" s="222"/>
      <c r="C1890" s="14"/>
      <c r="D1890" s="14"/>
      <c r="E1890" s="14"/>
      <c r="F1890" s="14"/>
      <c r="G1890" s="14" t="s">
        <v>1911</v>
      </c>
      <c r="H1890" s="14"/>
      <c r="I1890" s="176"/>
      <c r="K1890" s="87"/>
      <c r="L1890" s="14"/>
      <c r="M1890" s="324">
        <f t="shared" si="254"/>
        <v>0</v>
      </c>
      <c r="N1890" s="14"/>
      <c r="O1890" s="14"/>
      <c r="P1890" s="167"/>
      <c r="Q1890" s="14"/>
      <c r="R1890" s="170">
        <f t="shared" si="252"/>
        <v>0</v>
      </c>
      <c r="S1890" s="108" t="str">
        <f t="shared" si="253"/>
        <v/>
      </c>
      <c r="T1890" s="14"/>
      <c r="U1890" s="14"/>
      <c r="V1890" s="14"/>
      <c r="W1890" s="14"/>
      <c r="X1890" s="14"/>
      <c r="Z1890" s="14"/>
      <c r="AA1890" s="2">
        <f t="shared" si="255"/>
        <v>3</v>
      </c>
      <c r="AB1890" s="153"/>
      <c r="AC1890" s="454" t="str">
        <f t="shared" si="256"/>
        <v/>
      </c>
    </row>
    <row r="1891" spans="1:29" x14ac:dyDescent="0.35">
      <c r="A1891" s="111" t="str">
        <f t="shared" si="257"/>
        <v/>
      </c>
      <c r="B1891" s="222"/>
      <c r="C1891" s="14"/>
      <c r="D1891" s="14"/>
      <c r="E1891" s="14"/>
      <c r="F1891" s="14"/>
      <c r="G1891" s="14" t="s">
        <v>1911</v>
      </c>
      <c r="H1891" s="14"/>
      <c r="I1891" s="176"/>
      <c r="K1891" s="87"/>
      <c r="L1891" s="14"/>
      <c r="M1891" s="324">
        <f t="shared" si="254"/>
        <v>0</v>
      </c>
      <c r="N1891" s="14"/>
      <c r="O1891" s="14"/>
      <c r="P1891" s="167"/>
      <c r="Q1891" s="14"/>
      <c r="R1891" s="170">
        <f t="shared" si="252"/>
        <v>0</v>
      </c>
      <c r="S1891" s="108" t="str">
        <f t="shared" si="253"/>
        <v/>
      </c>
      <c r="T1891" s="14"/>
      <c r="U1891" s="14"/>
      <c r="V1891" s="14"/>
      <c r="W1891" s="14"/>
      <c r="X1891" s="14"/>
      <c r="Z1891" s="14"/>
      <c r="AA1891" s="2">
        <f t="shared" si="255"/>
        <v>3</v>
      </c>
      <c r="AB1891" s="153"/>
      <c r="AC1891" s="454" t="str">
        <f t="shared" si="256"/>
        <v/>
      </c>
    </row>
    <row r="1892" spans="1:29" x14ac:dyDescent="0.35">
      <c r="A1892" s="111" t="str">
        <f t="shared" si="257"/>
        <v/>
      </c>
      <c r="B1892" s="222"/>
      <c r="C1892" s="14"/>
      <c r="D1892" s="14"/>
      <c r="E1892" s="14"/>
      <c r="F1892" s="14"/>
      <c r="G1892" s="14" t="s">
        <v>1911</v>
      </c>
      <c r="H1892" s="14"/>
      <c r="I1892" s="176"/>
      <c r="K1892" s="87"/>
      <c r="L1892" s="14"/>
      <c r="M1892" s="324">
        <f t="shared" si="254"/>
        <v>0</v>
      </c>
      <c r="N1892" s="14"/>
      <c r="O1892" s="14"/>
      <c r="P1892" s="167"/>
      <c r="Q1892" s="14"/>
      <c r="R1892" s="170">
        <f t="shared" si="252"/>
        <v>0</v>
      </c>
      <c r="S1892" s="108" t="str">
        <f t="shared" si="253"/>
        <v/>
      </c>
      <c r="T1892" s="14"/>
      <c r="U1892" s="14"/>
      <c r="V1892" s="14"/>
      <c r="W1892" s="14"/>
      <c r="X1892" s="14"/>
      <c r="Z1892" s="14"/>
      <c r="AA1892" s="2">
        <f t="shared" si="255"/>
        <v>3</v>
      </c>
      <c r="AB1892" s="153"/>
      <c r="AC1892" s="454" t="str">
        <f t="shared" si="256"/>
        <v/>
      </c>
    </row>
    <row r="1893" spans="1:29" x14ac:dyDescent="0.35">
      <c r="A1893" s="111" t="str">
        <f t="shared" si="257"/>
        <v/>
      </c>
      <c r="B1893" s="222"/>
      <c r="C1893" s="14"/>
      <c r="D1893" s="14"/>
      <c r="E1893" s="14"/>
      <c r="F1893" s="14"/>
      <c r="G1893" s="14" t="s">
        <v>1911</v>
      </c>
      <c r="H1893" s="14"/>
      <c r="I1893" s="176"/>
      <c r="K1893" s="87"/>
      <c r="L1893" s="14"/>
      <c r="M1893" s="324">
        <f t="shared" si="254"/>
        <v>0</v>
      </c>
      <c r="N1893" s="14"/>
      <c r="O1893" s="14"/>
      <c r="P1893" s="167"/>
      <c r="Q1893" s="14"/>
      <c r="R1893" s="170">
        <f t="shared" si="252"/>
        <v>0</v>
      </c>
      <c r="S1893" s="108" t="str">
        <f t="shared" si="253"/>
        <v/>
      </c>
      <c r="T1893" s="14"/>
      <c r="U1893" s="14"/>
      <c r="V1893" s="14"/>
      <c r="W1893" s="14"/>
      <c r="X1893" s="14"/>
      <c r="Z1893" s="14"/>
      <c r="AA1893" s="2">
        <f t="shared" si="255"/>
        <v>3</v>
      </c>
      <c r="AB1893" s="153"/>
      <c r="AC1893" s="454" t="str">
        <f t="shared" si="256"/>
        <v/>
      </c>
    </row>
    <row r="1894" spans="1:29" x14ac:dyDescent="0.35">
      <c r="A1894" s="111" t="str">
        <f t="shared" si="257"/>
        <v/>
      </c>
      <c r="B1894" s="222"/>
      <c r="C1894" s="14"/>
      <c r="D1894" s="14"/>
      <c r="E1894" s="14"/>
      <c r="F1894" s="14"/>
      <c r="G1894" s="14" t="s">
        <v>1911</v>
      </c>
      <c r="H1894" s="14"/>
      <c r="I1894" s="176"/>
      <c r="K1894" s="87"/>
      <c r="L1894" s="14"/>
      <c r="M1894" s="324">
        <f t="shared" si="254"/>
        <v>0</v>
      </c>
      <c r="N1894" s="14"/>
      <c r="O1894" s="14"/>
      <c r="P1894" s="167"/>
      <c r="Q1894" s="14"/>
      <c r="R1894" s="170">
        <f t="shared" si="252"/>
        <v>0</v>
      </c>
      <c r="S1894" s="108" t="str">
        <f t="shared" si="253"/>
        <v/>
      </c>
      <c r="T1894" s="14"/>
      <c r="U1894" s="14"/>
      <c r="V1894" s="14"/>
      <c r="W1894" s="14"/>
      <c r="X1894" s="14"/>
      <c r="Z1894" s="14"/>
      <c r="AA1894" s="2">
        <f t="shared" si="255"/>
        <v>3</v>
      </c>
      <c r="AB1894" s="153"/>
      <c r="AC1894" s="454" t="str">
        <f t="shared" si="256"/>
        <v/>
      </c>
    </row>
    <row r="1895" spans="1:29" x14ac:dyDescent="0.35">
      <c r="A1895" s="111" t="str">
        <f t="shared" si="257"/>
        <v/>
      </c>
      <c r="B1895" s="222"/>
      <c r="C1895" s="14"/>
      <c r="D1895" s="14"/>
      <c r="E1895" s="14"/>
      <c r="F1895" s="14"/>
      <c r="G1895" s="14" t="s">
        <v>1911</v>
      </c>
      <c r="H1895" s="14"/>
      <c r="I1895" s="176"/>
      <c r="K1895" s="87"/>
      <c r="L1895" s="14"/>
      <c r="M1895" s="324">
        <f t="shared" si="254"/>
        <v>0</v>
      </c>
      <c r="N1895" s="14"/>
      <c r="O1895" s="14"/>
      <c r="P1895" s="167"/>
      <c r="Q1895" s="14"/>
      <c r="R1895" s="170">
        <f t="shared" si="252"/>
        <v>0</v>
      </c>
      <c r="S1895" s="108" t="str">
        <f t="shared" si="253"/>
        <v/>
      </c>
      <c r="T1895" s="14"/>
      <c r="U1895" s="14"/>
      <c r="V1895" s="14"/>
      <c r="W1895" s="14"/>
      <c r="X1895" s="14"/>
      <c r="Z1895" s="14"/>
      <c r="AA1895" s="2">
        <f t="shared" si="255"/>
        <v>3</v>
      </c>
      <c r="AB1895" s="153"/>
      <c r="AC1895" s="454" t="str">
        <f t="shared" si="256"/>
        <v/>
      </c>
    </row>
    <row r="1896" spans="1:29" x14ac:dyDescent="0.35">
      <c r="A1896" s="111" t="str">
        <f t="shared" si="257"/>
        <v/>
      </c>
      <c r="B1896" s="222"/>
      <c r="C1896" s="14"/>
      <c r="D1896" s="14"/>
      <c r="E1896" s="14"/>
      <c r="F1896" s="14"/>
      <c r="G1896" s="14" t="s">
        <v>1911</v>
      </c>
      <c r="H1896" s="14"/>
      <c r="I1896" s="176"/>
      <c r="K1896" s="87"/>
      <c r="L1896" s="14"/>
      <c r="M1896" s="324">
        <f t="shared" si="254"/>
        <v>0</v>
      </c>
      <c r="N1896" s="14"/>
      <c r="O1896" s="14"/>
      <c r="P1896" s="167"/>
      <c r="Q1896" s="14"/>
      <c r="R1896" s="170">
        <f t="shared" si="252"/>
        <v>0</v>
      </c>
      <c r="S1896" s="108" t="str">
        <f t="shared" si="253"/>
        <v/>
      </c>
      <c r="T1896" s="14"/>
      <c r="U1896" s="14"/>
      <c r="V1896" s="14"/>
      <c r="W1896" s="14"/>
      <c r="X1896" s="14"/>
      <c r="Z1896" s="14"/>
      <c r="AA1896" s="2">
        <f t="shared" si="255"/>
        <v>3</v>
      </c>
      <c r="AB1896" s="153"/>
      <c r="AC1896" s="454" t="str">
        <f t="shared" si="256"/>
        <v/>
      </c>
    </row>
    <row r="1897" spans="1:29" x14ac:dyDescent="0.35">
      <c r="A1897" s="111" t="str">
        <f t="shared" si="257"/>
        <v/>
      </c>
      <c r="B1897" s="222"/>
      <c r="C1897" s="14"/>
      <c r="D1897" s="14"/>
      <c r="E1897" s="14"/>
      <c r="F1897" s="14"/>
      <c r="G1897" s="14" t="s">
        <v>1911</v>
      </c>
      <c r="H1897" s="14"/>
      <c r="I1897" s="176"/>
      <c r="K1897" s="87"/>
      <c r="L1897" s="14"/>
      <c r="M1897" s="324">
        <f t="shared" si="254"/>
        <v>0</v>
      </c>
      <c r="N1897" s="14"/>
      <c r="O1897" s="14"/>
      <c r="P1897" s="167"/>
      <c r="Q1897" s="14"/>
      <c r="R1897" s="170">
        <f t="shared" si="252"/>
        <v>0</v>
      </c>
      <c r="S1897" s="108" t="str">
        <f t="shared" si="253"/>
        <v/>
      </c>
      <c r="T1897" s="14"/>
      <c r="U1897" s="14"/>
      <c r="V1897" s="14"/>
      <c r="W1897" s="14"/>
      <c r="X1897" s="14"/>
      <c r="Z1897" s="14"/>
      <c r="AA1897" s="2">
        <f t="shared" si="255"/>
        <v>3</v>
      </c>
      <c r="AB1897" s="153"/>
      <c r="AC1897" s="454" t="str">
        <f t="shared" si="256"/>
        <v/>
      </c>
    </row>
    <row r="1898" spans="1:29" x14ac:dyDescent="0.35">
      <c r="A1898" s="111" t="str">
        <f t="shared" si="257"/>
        <v/>
      </c>
      <c r="B1898" s="222"/>
      <c r="C1898" s="14"/>
      <c r="D1898" s="14"/>
      <c r="E1898" s="14"/>
      <c r="F1898" s="14"/>
      <c r="G1898" s="14" t="s">
        <v>1911</v>
      </c>
      <c r="H1898" s="14"/>
      <c r="I1898" s="176"/>
      <c r="K1898" s="87"/>
      <c r="L1898" s="14"/>
      <c r="M1898" s="324">
        <f t="shared" si="254"/>
        <v>0</v>
      </c>
      <c r="N1898" s="14"/>
      <c r="O1898" s="14"/>
      <c r="P1898" s="167"/>
      <c r="Q1898" s="14"/>
      <c r="R1898" s="170">
        <f t="shared" si="252"/>
        <v>0</v>
      </c>
      <c r="S1898" s="108" t="str">
        <f t="shared" si="253"/>
        <v/>
      </c>
      <c r="T1898" s="14"/>
      <c r="U1898" s="14"/>
      <c r="V1898" s="14"/>
      <c r="W1898" s="14"/>
      <c r="X1898" s="14"/>
      <c r="Z1898" s="14"/>
      <c r="AA1898" s="2">
        <f t="shared" si="255"/>
        <v>3</v>
      </c>
      <c r="AB1898" s="153"/>
      <c r="AC1898" s="454" t="str">
        <f t="shared" si="256"/>
        <v/>
      </c>
    </row>
    <row r="1899" spans="1:29" x14ac:dyDescent="0.35">
      <c r="A1899" s="111" t="str">
        <f t="shared" si="257"/>
        <v/>
      </c>
      <c r="B1899" s="222"/>
      <c r="C1899" s="14"/>
      <c r="D1899" s="14"/>
      <c r="E1899" s="14"/>
      <c r="F1899" s="14"/>
      <c r="G1899" s="14" t="s">
        <v>1911</v>
      </c>
      <c r="H1899" s="14"/>
      <c r="I1899" s="176"/>
      <c r="K1899" s="87"/>
      <c r="L1899" s="14"/>
      <c r="M1899" s="324">
        <f t="shared" si="254"/>
        <v>0</v>
      </c>
      <c r="N1899" s="14"/>
      <c r="O1899" s="14"/>
      <c r="P1899" s="167"/>
      <c r="Q1899" s="14"/>
      <c r="R1899" s="170">
        <f t="shared" si="252"/>
        <v>0</v>
      </c>
      <c r="S1899" s="108" t="str">
        <f t="shared" si="253"/>
        <v/>
      </c>
      <c r="T1899" s="14"/>
      <c r="U1899" s="14"/>
      <c r="V1899" s="14"/>
      <c r="W1899" s="14"/>
      <c r="X1899" s="14"/>
      <c r="Z1899" s="14"/>
      <c r="AA1899" s="2">
        <f t="shared" si="255"/>
        <v>3</v>
      </c>
      <c r="AB1899" s="153"/>
      <c r="AC1899" s="454" t="str">
        <f t="shared" si="256"/>
        <v/>
      </c>
    </row>
    <row r="1900" spans="1:29" x14ac:dyDescent="0.35">
      <c r="A1900" s="111" t="str">
        <f t="shared" si="257"/>
        <v/>
      </c>
      <c r="B1900" s="222"/>
      <c r="C1900" s="14"/>
      <c r="D1900" s="14"/>
      <c r="E1900" s="14"/>
      <c r="F1900" s="14"/>
      <c r="G1900" s="14" t="s">
        <v>1911</v>
      </c>
      <c r="H1900" s="14"/>
      <c r="I1900" s="176"/>
      <c r="K1900" s="87"/>
      <c r="L1900" s="14"/>
      <c r="M1900" s="324">
        <f t="shared" si="254"/>
        <v>0</v>
      </c>
      <c r="N1900" s="14"/>
      <c r="O1900" s="14"/>
      <c r="P1900" s="167"/>
      <c r="Q1900" s="14"/>
      <c r="R1900" s="170">
        <f t="shared" si="252"/>
        <v>0</v>
      </c>
      <c r="S1900" s="108" t="str">
        <f t="shared" si="253"/>
        <v/>
      </c>
      <c r="T1900" s="14"/>
      <c r="U1900" s="14"/>
      <c r="V1900" s="14"/>
      <c r="W1900" s="14"/>
      <c r="X1900" s="14"/>
      <c r="Z1900" s="14"/>
      <c r="AA1900" s="2">
        <f t="shared" si="255"/>
        <v>3</v>
      </c>
      <c r="AB1900" s="153"/>
      <c r="AC1900" s="454" t="str">
        <f t="shared" si="256"/>
        <v/>
      </c>
    </row>
    <row r="1901" spans="1:29" x14ac:dyDescent="0.35">
      <c r="A1901" s="111" t="str">
        <f t="shared" si="257"/>
        <v/>
      </c>
      <c r="B1901" s="222"/>
      <c r="C1901" s="14"/>
      <c r="D1901" s="14"/>
      <c r="E1901" s="14"/>
      <c r="F1901" s="14"/>
      <c r="G1901" s="14" t="s">
        <v>1911</v>
      </c>
      <c r="H1901" s="14"/>
      <c r="I1901" s="176"/>
      <c r="K1901" s="87"/>
      <c r="L1901" s="14"/>
      <c r="M1901" s="324">
        <f t="shared" si="254"/>
        <v>0</v>
      </c>
      <c r="N1901" s="14"/>
      <c r="O1901" s="14"/>
      <c r="P1901" s="167"/>
      <c r="Q1901" s="14"/>
      <c r="R1901" s="170">
        <f t="shared" ref="R1901:R1964" si="258">IF(I1901="Staff Accident","Entry Required",IF(I1901="Assaults","Entry Required",0))</f>
        <v>0</v>
      </c>
      <c r="S1901" s="108" t="str">
        <f t="shared" si="253"/>
        <v/>
      </c>
      <c r="T1901" s="14"/>
      <c r="U1901" s="14"/>
      <c r="V1901" s="14"/>
      <c r="W1901" s="14"/>
      <c r="X1901" s="14"/>
      <c r="Z1901" s="14"/>
      <c r="AA1901" s="2">
        <f t="shared" si="255"/>
        <v>3</v>
      </c>
      <c r="AB1901" s="153"/>
      <c r="AC1901" s="454" t="str">
        <f t="shared" si="256"/>
        <v/>
      </c>
    </row>
    <row r="1902" spans="1:29" x14ac:dyDescent="0.35">
      <c r="A1902" s="111" t="str">
        <f t="shared" si="257"/>
        <v/>
      </c>
      <c r="B1902" s="222"/>
      <c r="C1902" s="14"/>
      <c r="D1902" s="14"/>
      <c r="E1902" s="14"/>
      <c r="F1902" s="14"/>
      <c r="G1902" s="14" t="s">
        <v>1911</v>
      </c>
      <c r="H1902" s="14"/>
      <c r="I1902" s="176"/>
      <c r="K1902" s="87"/>
      <c r="L1902" s="14"/>
      <c r="M1902" s="324">
        <f t="shared" si="254"/>
        <v>0</v>
      </c>
      <c r="N1902" s="14"/>
      <c r="O1902" s="14"/>
      <c r="P1902" s="167"/>
      <c r="Q1902" s="14"/>
      <c r="R1902" s="170">
        <f t="shared" si="258"/>
        <v>0</v>
      </c>
      <c r="S1902" s="108" t="str">
        <f t="shared" si="253"/>
        <v/>
      </c>
      <c r="T1902" s="14"/>
      <c r="U1902" s="14"/>
      <c r="V1902" s="14"/>
      <c r="W1902" s="14"/>
      <c r="X1902" s="14"/>
      <c r="Z1902" s="14"/>
      <c r="AA1902" s="2">
        <f t="shared" si="255"/>
        <v>3</v>
      </c>
      <c r="AB1902" s="153"/>
      <c r="AC1902" s="454" t="str">
        <f t="shared" si="256"/>
        <v/>
      </c>
    </row>
    <row r="1903" spans="1:29" x14ac:dyDescent="0.35">
      <c r="A1903" s="111" t="str">
        <f t="shared" si="257"/>
        <v/>
      </c>
      <c r="B1903" s="222"/>
      <c r="C1903" s="14"/>
      <c r="D1903" s="14"/>
      <c r="E1903" s="14"/>
      <c r="F1903" s="14"/>
      <c r="G1903" s="14" t="s">
        <v>1911</v>
      </c>
      <c r="H1903" s="14"/>
      <c r="I1903" s="176"/>
      <c r="K1903" s="87"/>
      <c r="L1903" s="14"/>
      <c r="M1903" s="324">
        <f t="shared" si="254"/>
        <v>0</v>
      </c>
      <c r="N1903" s="14"/>
      <c r="O1903" s="14"/>
      <c r="P1903" s="167"/>
      <c r="Q1903" s="14"/>
      <c r="R1903" s="170">
        <f t="shared" si="258"/>
        <v>0</v>
      </c>
      <c r="S1903" s="108" t="str">
        <f t="shared" si="253"/>
        <v/>
      </c>
      <c r="T1903" s="14"/>
      <c r="U1903" s="14"/>
      <c r="V1903" s="14"/>
      <c r="W1903" s="14"/>
      <c r="X1903" s="14"/>
      <c r="Z1903" s="14"/>
      <c r="AA1903" s="2">
        <f t="shared" si="255"/>
        <v>3</v>
      </c>
      <c r="AB1903" s="153"/>
      <c r="AC1903" s="454" t="str">
        <f t="shared" si="256"/>
        <v/>
      </c>
    </row>
    <row r="1904" spans="1:29" x14ac:dyDescent="0.35">
      <c r="A1904" s="111" t="str">
        <f t="shared" si="257"/>
        <v/>
      </c>
      <c r="B1904" s="222"/>
      <c r="C1904" s="14"/>
      <c r="D1904" s="14"/>
      <c r="E1904" s="14"/>
      <c r="F1904" s="14"/>
      <c r="G1904" s="14" t="s">
        <v>1911</v>
      </c>
      <c r="H1904" s="14"/>
      <c r="I1904" s="176"/>
      <c r="K1904" s="87"/>
      <c r="L1904" s="14"/>
      <c r="M1904" s="324">
        <f t="shared" si="254"/>
        <v>0</v>
      </c>
      <c r="N1904" s="14"/>
      <c r="O1904" s="14"/>
      <c r="P1904" s="167"/>
      <c r="Q1904" s="14"/>
      <c r="R1904" s="170">
        <f t="shared" si="258"/>
        <v>0</v>
      </c>
      <c r="S1904" s="108" t="str">
        <f t="shared" si="253"/>
        <v/>
      </c>
      <c r="T1904" s="14"/>
      <c r="U1904" s="14"/>
      <c r="V1904" s="14"/>
      <c r="W1904" s="14"/>
      <c r="X1904" s="14"/>
      <c r="Z1904" s="14"/>
      <c r="AA1904" s="2">
        <f t="shared" si="255"/>
        <v>3</v>
      </c>
      <c r="AB1904" s="153"/>
      <c r="AC1904" s="454" t="str">
        <f t="shared" si="256"/>
        <v/>
      </c>
    </row>
    <row r="1905" spans="1:29" x14ac:dyDescent="0.35">
      <c r="A1905" s="111" t="str">
        <f t="shared" si="257"/>
        <v/>
      </c>
      <c r="B1905" s="222"/>
      <c r="C1905" s="14"/>
      <c r="D1905" s="14"/>
      <c r="E1905" s="14"/>
      <c r="F1905" s="14"/>
      <c r="G1905" s="14" t="s">
        <v>1911</v>
      </c>
      <c r="H1905" s="14"/>
      <c r="I1905" s="176"/>
      <c r="K1905" s="87"/>
      <c r="L1905" s="14"/>
      <c r="M1905" s="324">
        <f t="shared" si="254"/>
        <v>0</v>
      </c>
      <c r="N1905" s="14"/>
      <c r="O1905" s="14"/>
      <c r="P1905" s="167"/>
      <c r="Q1905" s="14"/>
      <c r="R1905" s="170">
        <f t="shared" si="258"/>
        <v>0</v>
      </c>
      <c r="S1905" s="108" t="str">
        <f t="shared" si="253"/>
        <v/>
      </c>
      <c r="T1905" s="14"/>
      <c r="U1905" s="14"/>
      <c r="V1905" s="14"/>
      <c r="W1905" s="14"/>
      <c r="X1905" s="14"/>
      <c r="Z1905" s="14"/>
      <c r="AA1905" s="2">
        <f t="shared" si="255"/>
        <v>3</v>
      </c>
      <c r="AB1905" s="153"/>
      <c r="AC1905" s="454" t="str">
        <f t="shared" si="256"/>
        <v/>
      </c>
    </row>
    <row r="1906" spans="1:29" x14ac:dyDescent="0.35">
      <c r="A1906" s="111" t="str">
        <f t="shared" si="257"/>
        <v/>
      </c>
      <c r="B1906" s="222"/>
      <c r="C1906" s="14"/>
      <c r="D1906" s="14"/>
      <c r="E1906" s="14"/>
      <c r="F1906" s="14"/>
      <c r="G1906" s="14" t="s">
        <v>1911</v>
      </c>
      <c r="H1906" s="14"/>
      <c r="I1906" s="176"/>
      <c r="K1906" s="87"/>
      <c r="L1906" s="14"/>
      <c r="M1906" s="324">
        <f t="shared" si="254"/>
        <v>0</v>
      </c>
      <c r="N1906" s="14"/>
      <c r="O1906" s="14"/>
      <c r="P1906" s="167"/>
      <c r="Q1906" s="14"/>
      <c r="R1906" s="170">
        <f t="shared" si="258"/>
        <v>0</v>
      </c>
      <c r="S1906" s="108" t="str">
        <f t="shared" si="253"/>
        <v/>
      </c>
      <c r="T1906" s="14"/>
      <c r="U1906" s="14"/>
      <c r="V1906" s="14"/>
      <c r="W1906" s="14"/>
      <c r="X1906" s="14"/>
      <c r="Z1906" s="14"/>
      <c r="AA1906" s="2">
        <f t="shared" si="255"/>
        <v>3</v>
      </c>
      <c r="AB1906" s="153"/>
      <c r="AC1906" s="454" t="str">
        <f t="shared" si="256"/>
        <v/>
      </c>
    </row>
    <row r="1907" spans="1:29" x14ac:dyDescent="0.35">
      <c r="A1907" s="111" t="str">
        <f t="shared" si="257"/>
        <v/>
      </c>
      <c r="B1907" s="222"/>
      <c r="C1907" s="14"/>
      <c r="D1907" s="14"/>
      <c r="E1907" s="14"/>
      <c r="F1907" s="14"/>
      <c r="G1907" s="14" t="s">
        <v>1911</v>
      </c>
      <c r="H1907" s="14"/>
      <c r="I1907" s="176"/>
      <c r="K1907" s="87"/>
      <c r="L1907" s="14"/>
      <c r="M1907" s="324">
        <f t="shared" si="254"/>
        <v>0</v>
      </c>
      <c r="N1907" s="14"/>
      <c r="O1907" s="14"/>
      <c r="P1907" s="167"/>
      <c r="Q1907" s="14"/>
      <c r="R1907" s="170">
        <f t="shared" si="258"/>
        <v>0</v>
      </c>
      <c r="S1907" s="108" t="str">
        <f t="shared" si="253"/>
        <v/>
      </c>
      <c r="T1907" s="14"/>
      <c r="U1907" s="14"/>
      <c r="V1907" s="14"/>
      <c r="W1907" s="14"/>
      <c r="X1907" s="14"/>
      <c r="Z1907" s="14"/>
      <c r="AA1907" s="2">
        <f t="shared" si="255"/>
        <v>3</v>
      </c>
      <c r="AB1907" s="153"/>
      <c r="AC1907" s="454" t="str">
        <f t="shared" si="256"/>
        <v/>
      </c>
    </row>
    <row r="1908" spans="1:29" x14ac:dyDescent="0.35">
      <c r="A1908" s="111" t="str">
        <f t="shared" si="257"/>
        <v/>
      </c>
      <c r="B1908" s="222"/>
      <c r="C1908" s="14"/>
      <c r="D1908" s="14"/>
      <c r="E1908" s="14"/>
      <c r="F1908" s="14"/>
      <c r="G1908" s="14" t="s">
        <v>1911</v>
      </c>
      <c r="H1908" s="14"/>
      <c r="I1908" s="176"/>
      <c r="K1908" s="87"/>
      <c r="L1908" s="14"/>
      <c r="M1908" s="324">
        <f t="shared" si="254"/>
        <v>0</v>
      </c>
      <c r="N1908" s="14"/>
      <c r="O1908" s="14"/>
      <c r="P1908" s="167"/>
      <c r="Q1908" s="14"/>
      <c r="R1908" s="170">
        <f t="shared" si="258"/>
        <v>0</v>
      </c>
      <c r="S1908" s="108" t="str">
        <f t="shared" si="253"/>
        <v/>
      </c>
      <c r="T1908" s="14"/>
      <c r="U1908" s="14"/>
      <c r="V1908" s="14"/>
      <c r="W1908" s="14"/>
      <c r="X1908" s="14"/>
      <c r="Z1908" s="14"/>
      <c r="AA1908" s="2">
        <f t="shared" si="255"/>
        <v>3</v>
      </c>
      <c r="AB1908" s="153"/>
      <c r="AC1908" s="454" t="str">
        <f t="shared" si="256"/>
        <v/>
      </c>
    </row>
    <row r="1909" spans="1:29" x14ac:dyDescent="0.35">
      <c r="A1909" s="111" t="str">
        <f t="shared" si="257"/>
        <v/>
      </c>
      <c r="B1909" s="222"/>
      <c r="C1909" s="14"/>
      <c r="D1909" s="14"/>
      <c r="E1909" s="14"/>
      <c r="F1909" s="14"/>
      <c r="G1909" s="14" t="s">
        <v>1911</v>
      </c>
      <c r="H1909" s="14"/>
      <c r="I1909" s="176"/>
      <c r="K1909" s="87"/>
      <c r="L1909" s="14"/>
      <c r="M1909" s="324">
        <f t="shared" si="254"/>
        <v>0</v>
      </c>
      <c r="N1909" s="14"/>
      <c r="O1909" s="14"/>
      <c r="P1909" s="167"/>
      <c r="Q1909" s="14"/>
      <c r="R1909" s="170">
        <f t="shared" si="258"/>
        <v>0</v>
      </c>
      <c r="S1909" s="108" t="str">
        <f t="shared" si="253"/>
        <v/>
      </c>
      <c r="T1909" s="14"/>
      <c r="U1909" s="14"/>
      <c r="V1909" s="14"/>
      <c r="W1909" s="14"/>
      <c r="X1909" s="14"/>
      <c r="Z1909" s="14"/>
      <c r="AA1909" s="2">
        <f t="shared" si="255"/>
        <v>3</v>
      </c>
      <c r="AB1909" s="153"/>
      <c r="AC1909" s="454" t="str">
        <f t="shared" si="256"/>
        <v/>
      </c>
    </row>
    <row r="1910" spans="1:29" x14ac:dyDescent="0.35">
      <c r="A1910" s="111" t="str">
        <f t="shared" si="257"/>
        <v/>
      </c>
      <c r="B1910" s="222"/>
      <c r="C1910" s="14"/>
      <c r="D1910" s="14"/>
      <c r="E1910" s="14"/>
      <c r="F1910" s="14"/>
      <c r="G1910" s="14" t="s">
        <v>1911</v>
      </c>
      <c r="H1910" s="14"/>
      <c r="I1910" s="176"/>
      <c r="K1910" s="87"/>
      <c r="L1910" s="14"/>
      <c r="M1910" s="324">
        <f t="shared" si="254"/>
        <v>0</v>
      </c>
      <c r="N1910" s="14"/>
      <c r="O1910" s="14"/>
      <c r="P1910" s="167"/>
      <c r="Q1910" s="14"/>
      <c r="R1910" s="170">
        <f t="shared" si="258"/>
        <v>0</v>
      </c>
      <c r="S1910" s="108" t="str">
        <f t="shared" si="253"/>
        <v/>
      </c>
      <c r="T1910" s="14"/>
      <c r="U1910" s="14"/>
      <c r="V1910" s="14"/>
      <c r="W1910" s="14"/>
      <c r="X1910" s="14"/>
      <c r="Z1910" s="14"/>
      <c r="AA1910" s="2">
        <f t="shared" si="255"/>
        <v>3</v>
      </c>
      <c r="AB1910" s="153"/>
      <c r="AC1910" s="454" t="str">
        <f t="shared" si="256"/>
        <v/>
      </c>
    </row>
    <row r="1911" spans="1:29" x14ac:dyDescent="0.35">
      <c r="A1911" s="111" t="str">
        <f t="shared" si="257"/>
        <v/>
      </c>
      <c r="B1911" s="222"/>
      <c r="C1911" s="14"/>
      <c r="D1911" s="14"/>
      <c r="E1911" s="14"/>
      <c r="F1911" s="14"/>
      <c r="G1911" s="14" t="s">
        <v>1911</v>
      </c>
      <c r="H1911" s="14"/>
      <c r="I1911" s="176"/>
      <c r="K1911" s="87"/>
      <c r="L1911" s="14"/>
      <c r="M1911" s="324">
        <f t="shared" si="254"/>
        <v>0</v>
      </c>
      <c r="N1911" s="14"/>
      <c r="O1911" s="14"/>
      <c r="P1911" s="167"/>
      <c r="Q1911" s="14"/>
      <c r="R1911" s="170">
        <f t="shared" si="258"/>
        <v>0</v>
      </c>
      <c r="S1911" s="108" t="str">
        <f t="shared" si="253"/>
        <v/>
      </c>
      <c r="T1911" s="14"/>
      <c r="U1911" s="14"/>
      <c r="V1911" s="14"/>
      <c r="W1911" s="14"/>
      <c r="X1911" s="14"/>
      <c r="Z1911" s="14"/>
      <c r="AA1911" s="2">
        <f t="shared" si="255"/>
        <v>3</v>
      </c>
      <c r="AB1911" s="153"/>
      <c r="AC1911" s="454" t="str">
        <f t="shared" si="256"/>
        <v/>
      </c>
    </row>
    <row r="1912" spans="1:29" x14ac:dyDescent="0.35">
      <c r="A1912" s="111" t="str">
        <f t="shared" si="257"/>
        <v/>
      </c>
      <c r="B1912" s="222"/>
      <c r="C1912" s="14"/>
      <c r="D1912" s="14"/>
      <c r="E1912" s="14"/>
      <c r="F1912" s="14"/>
      <c r="G1912" s="14" t="s">
        <v>1911</v>
      </c>
      <c r="H1912" s="14"/>
      <c r="I1912" s="176"/>
      <c r="K1912" s="87"/>
      <c r="L1912" s="14"/>
      <c r="M1912" s="324">
        <f t="shared" si="254"/>
        <v>0</v>
      </c>
      <c r="N1912" s="14"/>
      <c r="O1912" s="14"/>
      <c r="P1912" s="167"/>
      <c r="Q1912" s="14"/>
      <c r="R1912" s="170">
        <f t="shared" si="258"/>
        <v>0</v>
      </c>
      <c r="S1912" s="108" t="str">
        <f t="shared" si="253"/>
        <v/>
      </c>
      <c r="T1912" s="14"/>
      <c r="U1912" s="14"/>
      <c r="V1912" s="14"/>
      <c r="W1912" s="14"/>
      <c r="X1912" s="14"/>
      <c r="Z1912" s="14"/>
      <c r="AA1912" s="2">
        <f t="shared" si="255"/>
        <v>3</v>
      </c>
      <c r="AB1912" s="153"/>
      <c r="AC1912" s="454" t="str">
        <f t="shared" si="256"/>
        <v/>
      </c>
    </row>
    <row r="1913" spans="1:29" x14ac:dyDescent="0.35">
      <c r="A1913" s="111" t="str">
        <f t="shared" si="257"/>
        <v/>
      </c>
      <c r="B1913" s="222"/>
      <c r="C1913" s="14"/>
      <c r="D1913" s="14"/>
      <c r="E1913" s="14"/>
      <c r="F1913" s="14"/>
      <c r="G1913" s="14" t="s">
        <v>1911</v>
      </c>
      <c r="H1913" s="14"/>
      <c r="I1913" s="176"/>
      <c r="K1913" s="87"/>
      <c r="L1913" s="14"/>
      <c r="M1913" s="324">
        <f t="shared" si="254"/>
        <v>0</v>
      </c>
      <c r="N1913" s="14"/>
      <c r="O1913" s="14"/>
      <c r="P1913" s="167"/>
      <c r="Q1913" s="14"/>
      <c r="R1913" s="170">
        <f t="shared" si="258"/>
        <v>0</v>
      </c>
      <c r="S1913" s="108" t="str">
        <f t="shared" si="253"/>
        <v/>
      </c>
      <c r="T1913" s="14"/>
      <c r="U1913" s="14"/>
      <c r="V1913" s="14"/>
      <c r="W1913" s="14"/>
      <c r="X1913" s="14"/>
      <c r="Z1913" s="14"/>
      <c r="AA1913" s="2">
        <f t="shared" si="255"/>
        <v>3</v>
      </c>
      <c r="AB1913" s="153"/>
      <c r="AC1913" s="454" t="str">
        <f t="shared" si="256"/>
        <v/>
      </c>
    </row>
    <row r="1914" spans="1:29" x14ac:dyDescent="0.35">
      <c r="A1914" s="111" t="str">
        <f t="shared" si="257"/>
        <v/>
      </c>
      <c r="B1914" s="222"/>
      <c r="C1914" s="14"/>
      <c r="D1914" s="14"/>
      <c r="E1914" s="14"/>
      <c r="F1914" s="14"/>
      <c r="G1914" s="14" t="s">
        <v>1911</v>
      </c>
      <c r="H1914" s="14"/>
      <c r="I1914" s="176"/>
      <c r="K1914" s="87"/>
      <c r="L1914" s="14"/>
      <c r="M1914" s="324">
        <f t="shared" si="254"/>
        <v>0</v>
      </c>
      <c r="N1914" s="14"/>
      <c r="O1914" s="14"/>
      <c r="P1914" s="167"/>
      <c r="Q1914" s="14"/>
      <c r="R1914" s="170">
        <f t="shared" si="258"/>
        <v>0</v>
      </c>
      <c r="S1914" s="108" t="str">
        <f t="shared" si="253"/>
        <v/>
      </c>
      <c r="T1914" s="14"/>
      <c r="U1914" s="14"/>
      <c r="V1914" s="14"/>
      <c r="W1914" s="14"/>
      <c r="X1914" s="14"/>
      <c r="Z1914" s="14"/>
      <c r="AA1914" s="2">
        <f t="shared" si="255"/>
        <v>3</v>
      </c>
      <c r="AB1914" s="153"/>
      <c r="AC1914" s="454" t="str">
        <f t="shared" si="256"/>
        <v/>
      </c>
    </row>
    <row r="1915" spans="1:29" x14ac:dyDescent="0.35">
      <c r="A1915" s="111" t="str">
        <f t="shared" si="257"/>
        <v/>
      </c>
      <c r="B1915" s="222"/>
      <c r="C1915" s="14"/>
      <c r="D1915" s="14"/>
      <c r="E1915" s="14"/>
      <c r="F1915" s="14"/>
      <c r="G1915" s="14" t="s">
        <v>1911</v>
      </c>
      <c r="H1915" s="14"/>
      <c r="I1915" s="176"/>
      <c r="K1915" s="87"/>
      <c r="L1915" s="14"/>
      <c r="M1915" s="324">
        <f t="shared" si="254"/>
        <v>0</v>
      </c>
      <c r="N1915" s="14"/>
      <c r="O1915" s="14"/>
      <c r="P1915" s="167"/>
      <c r="Q1915" s="14"/>
      <c r="R1915" s="170">
        <f t="shared" si="258"/>
        <v>0</v>
      </c>
      <c r="S1915" s="108" t="str">
        <f t="shared" si="253"/>
        <v/>
      </c>
      <c r="T1915" s="14"/>
      <c r="U1915" s="14"/>
      <c r="V1915" s="14"/>
      <c r="W1915" s="14"/>
      <c r="X1915" s="14"/>
      <c r="Z1915" s="14"/>
      <c r="AA1915" s="2">
        <f t="shared" si="255"/>
        <v>3</v>
      </c>
      <c r="AB1915" s="153"/>
      <c r="AC1915" s="454" t="str">
        <f t="shared" si="256"/>
        <v/>
      </c>
    </row>
    <row r="1916" spans="1:29" x14ac:dyDescent="0.35">
      <c r="A1916" s="111" t="str">
        <f t="shared" si="257"/>
        <v/>
      </c>
      <c r="B1916" s="222"/>
      <c r="C1916" s="14"/>
      <c r="D1916" s="14"/>
      <c r="E1916" s="14"/>
      <c r="F1916" s="14"/>
      <c r="G1916" s="14" t="s">
        <v>1911</v>
      </c>
      <c r="H1916" s="14"/>
      <c r="I1916" s="176"/>
      <c r="K1916" s="87"/>
      <c r="L1916" s="14"/>
      <c r="M1916" s="324">
        <f t="shared" si="254"/>
        <v>0</v>
      </c>
      <c r="N1916" s="14"/>
      <c r="O1916" s="14"/>
      <c r="P1916" s="167"/>
      <c r="Q1916" s="14"/>
      <c r="R1916" s="170">
        <f t="shared" si="258"/>
        <v>0</v>
      </c>
      <c r="S1916" s="108" t="str">
        <f t="shared" si="253"/>
        <v/>
      </c>
      <c r="T1916" s="14"/>
      <c r="U1916" s="14"/>
      <c r="V1916" s="14"/>
      <c r="W1916" s="14"/>
      <c r="X1916" s="14"/>
      <c r="Z1916" s="14"/>
      <c r="AA1916" s="2">
        <f t="shared" si="255"/>
        <v>3</v>
      </c>
      <c r="AB1916" s="153"/>
      <c r="AC1916" s="454" t="str">
        <f t="shared" si="256"/>
        <v/>
      </c>
    </row>
    <row r="1917" spans="1:29" x14ac:dyDescent="0.35">
      <c r="A1917" s="111" t="str">
        <f t="shared" si="257"/>
        <v/>
      </c>
      <c r="B1917" s="222"/>
      <c r="C1917" s="14"/>
      <c r="D1917" s="14"/>
      <c r="E1917" s="14"/>
      <c r="F1917" s="14"/>
      <c r="G1917" s="14" t="s">
        <v>1911</v>
      </c>
      <c r="H1917" s="14"/>
      <c r="I1917" s="176"/>
      <c r="K1917" s="87"/>
      <c r="L1917" s="14"/>
      <c r="M1917" s="324">
        <f t="shared" si="254"/>
        <v>0</v>
      </c>
      <c r="N1917" s="14"/>
      <c r="O1917" s="14"/>
      <c r="P1917" s="167"/>
      <c r="Q1917" s="14"/>
      <c r="R1917" s="170">
        <f t="shared" si="258"/>
        <v>0</v>
      </c>
      <c r="S1917" s="108" t="str">
        <f t="shared" si="253"/>
        <v/>
      </c>
      <c r="T1917" s="14"/>
      <c r="U1917" s="14"/>
      <c r="V1917" s="14"/>
      <c r="W1917" s="14"/>
      <c r="X1917" s="14"/>
      <c r="Z1917" s="14"/>
      <c r="AA1917" s="2">
        <f t="shared" si="255"/>
        <v>3</v>
      </c>
      <c r="AB1917" s="153"/>
      <c r="AC1917" s="454" t="str">
        <f t="shared" si="256"/>
        <v/>
      </c>
    </row>
    <row r="1918" spans="1:29" x14ac:dyDescent="0.35">
      <c r="A1918" s="111" t="str">
        <f t="shared" si="257"/>
        <v/>
      </c>
      <c r="B1918" s="222"/>
      <c r="C1918" s="14"/>
      <c r="D1918" s="14"/>
      <c r="E1918" s="14"/>
      <c r="F1918" s="14"/>
      <c r="G1918" s="14" t="s">
        <v>1911</v>
      </c>
      <c r="H1918" s="14"/>
      <c r="I1918" s="176"/>
      <c r="K1918" s="87"/>
      <c r="L1918" s="14"/>
      <c r="M1918" s="324">
        <f t="shared" si="254"/>
        <v>0</v>
      </c>
      <c r="N1918" s="14"/>
      <c r="O1918" s="14"/>
      <c r="P1918" s="167"/>
      <c r="Q1918" s="14"/>
      <c r="R1918" s="170">
        <f t="shared" si="258"/>
        <v>0</v>
      </c>
      <c r="S1918" s="108" t="str">
        <f t="shared" si="253"/>
        <v/>
      </c>
      <c r="T1918" s="14"/>
      <c r="U1918" s="14"/>
      <c r="V1918" s="14"/>
      <c r="W1918" s="14"/>
      <c r="X1918" s="14"/>
      <c r="Z1918" s="14"/>
      <c r="AA1918" s="2">
        <f t="shared" si="255"/>
        <v>3</v>
      </c>
      <c r="AB1918" s="153"/>
      <c r="AC1918" s="454" t="str">
        <f t="shared" si="256"/>
        <v/>
      </c>
    </row>
    <row r="1919" spans="1:29" x14ac:dyDescent="0.35">
      <c r="A1919" s="111" t="str">
        <f t="shared" si="257"/>
        <v/>
      </c>
      <c r="B1919" s="222"/>
      <c r="C1919" s="14"/>
      <c r="D1919" s="14"/>
      <c r="E1919" s="14"/>
      <c r="F1919" s="14"/>
      <c r="G1919" s="14" t="s">
        <v>1911</v>
      </c>
      <c r="H1919" s="14"/>
      <c r="I1919" s="176"/>
      <c r="K1919" s="87"/>
      <c r="L1919" s="14"/>
      <c r="M1919" s="324">
        <f t="shared" si="254"/>
        <v>0</v>
      </c>
      <c r="N1919" s="14"/>
      <c r="O1919" s="14"/>
      <c r="P1919" s="167"/>
      <c r="Q1919" s="14"/>
      <c r="R1919" s="170">
        <f t="shared" si="258"/>
        <v>0</v>
      </c>
      <c r="S1919" s="108" t="str">
        <f t="shared" si="253"/>
        <v/>
      </c>
      <c r="T1919" s="14"/>
      <c r="U1919" s="14"/>
      <c r="V1919" s="14"/>
      <c r="W1919" s="14"/>
      <c r="X1919" s="14"/>
      <c r="Z1919" s="14"/>
      <c r="AA1919" s="2">
        <f t="shared" si="255"/>
        <v>3</v>
      </c>
      <c r="AB1919" s="153"/>
      <c r="AC1919" s="454" t="str">
        <f t="shared" si="256"/>
        <v/>
      </c>
    </row>
    <row r="1920" spans="1:29" x14ac:dyDescent="0.35">
      <c r="A1920" s="111" t="str">
        <f t="shared" si="257"/>
        <v/>
      </c>
      <c r="B1920" s="222"/>
      <c r="C1920" s="14"/>
      <c r="D1920" s="14"/>
      <c r="E1920" s="14"/>
      <c r="F1920" s="14"/>
      <c r="G1920" s="14" t="s">
        <v>1911</v>
      </c>
      <c r="H1920" s="14"/>
      <c r="I1920" s="176"/>
      <c r="K1920" s="87"/>
      <c r="L1920" s="14"/>
      <c r="M1920" s="324">
        <f t="shared" si="254"/>
        <v>0</v>
      </c>
      <c r="N1920" s="14"/>
      <c r="O1920" s="14"/>
      <c r="P1920" s="167"/>
      <c r="Q1920" s="14"/>
      <c r="R1920" s="170">
        <f t="shared" si="258"/>
        <v>0</v>
      </c>
      <c r="S1920" s="108" t="str">
        <f t="shared" si="253"/>
        <v/>
      </c>
      <c r="T1920" s="14"/>
      <c r="U1920" s="14"/>
      <c r="V1920" s="14"/>
      <c r="W1920" s="14"/>
      <c r="X1920" s="14"/>
      <c r="Z1920" s="14"/>
      <c r="AA1920" s="2">
        <f t="shared" si="255"/>
        <v>3</v>
      </c>
      <c r="AB1920" s="153"/>
      <c r="AC1920" s="454" t="str">
        <f t="shared" si="256"/>
        <v/>
      </c>
    </row>
    <row r="1921" spans="1:29" x14ac:dyDescent="0.35">
      <c r="A1921" s="111" t="str">
        <f t="shared" si="257"/>
        <v/>
      </c>
      <c r="B1921" s="222"/>
      <c r="C1921" s="14"/>
      <c r="D1921" s="14"/>
      <c r="E1921" s="14"/>
      <c r="F1921" s="14"/>
      <c r="G1921" s="14" t="s">
        <v>1911</v>
      </c>
      <c r="H1921" s="14"/>
      <c r="I1921" s="176"/>
      <c r="K1921" s="87"/>
      <c r="L1921" s="14"/>
      <c r="M1921" s="324">
        <f t="shared" si="254"/>
        <v>0</v>
      </c>
      <c r="N1921" s="14"/>
      <c r="O1921" s="14"/>
      <c r="P1921" s="167"/>
      <c r="Q1921" s="14"/>
      <c r="R1921" s="170">
        <f t="shared" si="258"/>
        <v>0</v>
      </c>
      <c r="S1921" s="108" t="str">
        <f t="shared" si="253"/>
        <v/>
      </c>
      <c r="T1921" s="14"/>
      <c r="U1921" s="14"/>
      <c r="V1921" s="14"/>
      <c r="W1921" s="14"/>
      <c r="X1921" s="14"/>
      <c r="Z1921" s="14"/>
      <c r="AA1921" s="2">
        <f t="shared" si="255"/>
        <v>3</v>
      </c>
      <c r="AB1921" s="153"/>
      <c r="AC1921" s="454" t="str">
        <f t="shared" si="256"/>
        <v/>
      </c>
    </row>
    <row r="1922" spans="1:29" x14ac:dyDescent="0.35">
      <c r="A1922" s="111" t="str">
        <f t="shared" si="257"/>
        <v/>
      </c>
      <c r="B1922" s="222"/>
      <c r="C1922" s="14"/>
      <c r="D1922" s="14"/>
      <c r="E1922" s="14"/>
      <c r="F1922" s="14"/>
      <c r="G1922" s="14" t="s">
        <v>1911</v>
      </c>
      <c r="H1922" s="14"/>
      <c r="I1922" s="176"/>
      <c r="K1922" s="87"/>
      <c r="L1922" s="14"/>
      <c r="M1922" s="324">
        <f t="shared" si="254"/>
        <v>0</v>
      </c>
      <c r="N1922" s="14"/>
      <c r="O1922" s="14"/>
      <c r="P1922" s="167"/>
      <c r="Q1922" s="14"/>
      <c r="R1922" s="170">
        <f t="shared" si="258"/>
        <v>0</v>
      </c>
      <c r="S1922" s="108" t="str">
        <f t="shared" si="253"/>
        <v/>
      </c>
      <c r="T1922" s="14"/>
      <c r="U1922" s="14"/>
      <c r="V1922" s="14"/>
      <c r="W1922" s="14"/>
      <c r="X1922" s="14"/>
      <c r="Z1922" s="14"/>
      <c r="AA1922" s="2">
        <f t="shared" si="255"/>
        <v>3</v>
      </c>
      <c r="AB1922" s="153"/>
      <c r="AC1922" s="454" t="str">
        <f t="shared" si="256"/>
        <v/>
      </c>
    </row>
    <row r="1923" spans="1:29" x14ac:dyDescent="0.35">
      <c r="A1923" s="111" t="str">
        <f t="shared" si="257"/>
        <v/>
      </c>
      <c r="B1923" s="222"/>
      <c r="C1923" s="14"/>
      <c r="D1923" s="14"/>
      <c r="E1923" s="14"/>
      <c r="F1923" s="14"/>
      <c r="G1923" s="14" t="s">
        <v>1911</v>
      </c>
      <c r="H1923" s="14"/>
      <c r="I1923" s="176"/>
      <c r="K1923" s="87"/>
      <c r="L1923" s="14"/>
      <c r="M1923" s="324">
        <f t="shared" si="254"/>
        <v>0</v>
      </c>
      <c r="N1923" s="14"/>
      <c r="O1923" s="14"/>
      <c r="P1923" s="167"/>
      <c r="Q1923" s="14"/>
      <c r="R1923" s="170">
        <f t="shared" si="258"/>
        <v>0</v>
      </c>
      <c r="S1923" s="108" t="str">
        <f t="shared" si="253"/>
        <v/>
      </c>
      <c r="T1923" s="14"/>
      <c r="U1923" s="14"/>
      <c r="V1923" s="14"/>
      <c r="W1923" s="14"/>
      <c r="X1923" s="14"/>
      <c r="Z1923" s="14"/>
      <c r="AA1923" s="2">
        <f t="shared" si="255"/>
        <v>3</v>
      </c>
      <c r="AB1923" s="153"/>
      <c r="AC1923" s="454" t="str">
        <f t="shared" si="256"/>
        <v/>
      </c>
    </row>
    <row r="1924" spans="1:29" x14ac:dyDescent="0.35">
      <c r="A1924" s="111" t="str">
        <f t="shared" si="257"/>
        <v/>
      </c>
      <c r="B1924" s="222"/>
      <c r="C1924" s="14"/>
      <c r="D1924" s="14"/>
      <c r="E1924" s="14"/>
      <c r="F1924" s="14"/>
      <c r="G1924" s="14" t="s">
        <v>1911</v>
      </c>
      <c r="H1924" s="14"/>
      <c r="I1924" s="176"/>
      <c r="K1924" s="87"/>
      <c r="L1924" s="14"/>
      <c r="M1924" s="324">
        <f t="shared" si="254"/>
        <v>0</v>
      </c>
      <c r="N1924" s="14"/>
      <c r="O1924" s="14"/>
      <c r="P1924" s="167"/>
      <c r="Q1924" s="14"/>
      <c r="R1924" s="170">
        <f t="shared" si="258"/>
        <v>0</v>
      </c>
      <c r="S1924" s="108" t="str">
        <f t="shared" si="253"/>
        <v/>
      </c>
      <c r="T1924" s="14"/>
      <c r="U1924" s="14"/>
      <c r="V1924" s="14"/>
      <c r="W1924" s="14"/>
      <c r="X1924" s="14"/>
      <c r="Z1924" s="14"/>
      <c r="AA1924" s="2">
        <f t="shared" si="255"/>
        <v>3</v>
      </c>
      <c r="AB1924" s="153"/>
      <c r="AC1924" s="454" t="str">
        <f t="shared" si="256"/>
        <v/>
      </c>
    </row>
    <row r="1925" spans="1:29" x14ac:dyDescent="0.35">
      <c r="A1925" s="111" t="str">
        <f t="shared" si="257"/>
        <v/>
      </c>
      <c r="B1925" s="222"/>
      <c r="C1925" s="14"/>
      <c r="D1925" s="14"/>
      <c r="E1925" s="14"/>
      <c r="F1925" s="14"/>
      <c r="G1925" s="14" t="s">
        <v>1911</v>
      </c>
      <c r="H1925" s="14"/>
      <c r="I1925" s="176"/>
      <c r="K1925" s="87"/>
      <c r="L1925" s="14"/>
      <c r="M1925" s="324">
        <f t="shared" si="254"/>
        <v>0</v>
      </c>
      <c r="N1925" s="14"/>
      <c r="O1925" s="14"/>
      <c r="P1925" s="167"/>
      <c r="Q1925" s="14"/>
      <c r="R1925" s="170">
        <f t="shared" si="258"/>
        <v>0</v>
      </c>
      <c r="S1925" s="108" t="str">
        <f t="shared" ref="S1925:S1988" si="259">IF(B1925="","",B1925+28)</f>
        <v/>
      </c>
      <c r="T1925" s="14"/>
      <c r="U1925" s="14"/>
      <c r="V1925" s="14"/>
      <c r="W1925" s="14"/>
      <c r="X1925" s="14"/>
      <c r="Z1925" s="14"/>
      <c r="AA1925" s="2">
        <f t="shared" si="255"/>
        <v>3</v>
      </c>
      <c r="AB1925" s="153"/>
      <c r="AC1925" s="454" t="str">
        <f t="shared" si="256"/>
        <v/>
      </c>
    </row>
    <row r="1926" spans="1:29" x14ac:dyDescent="0.35">
      <c r="A1926" s="111" t="str">
        <f t="shared" si="257"/>
        <v/>
      </c>
      <c r="B1926" s="222"/>
      <c r="C1926" s="14"/>
      <c r="D1926" s="14"/>
      <c r="E1926" s="14"/>
      <c r="F1926" s="14"/>
      <c r="G1926" s="14" t="s">
        <v>1911</v>
      </c>
      <c r="H1926" s="14"/>
      <c r="I1926" s="176"/>
      <c r="K1926" s="87"/>
      <c r="L1926" s="14"/>
      <c r="M1926" s="324">
        <f t="shared" si="254"/>
        <v>0</v>
      </c>
      <c r="N1926" s="14"/>
      <c r="O1926" s="14"/>
      <c r="P1926" s="167"/>
      <c r="Q1926" s="14"/>
      <c r="R1926" s="170">
        <f t="shared" si="258"/>
        <v>0</v>
      </c>
      <c r="S1926" s="108" t="str">
        <f t="shared" si="259"/>
        <v/>
      </c>
      <c r="T1926" s="14"/>
      <c r="U1926" s="14"/>
      <c r="V1926" s="14"/>
      <c r="W1926" s="14"/>
      <c r="X1926" s="14"/>
      <c r="Z1926" s="14"/>
      <c r="AA1926" s="2">
        <f t="shared" si="255"/>
        <v>3</v>
      </c>
      <c r="AB1926" s="153"/>
      <c r="AC1926" s="454" t="str">
        <f t="shared" si="256"/>
        <v/>
      </c>
    </row>
    <row r="1927" spans="1:29" x14ac:dyDescent="0.35">
      <c r="A1927" s="111" t="str">
        <f t="shared" si="257"/>
        <v/>
      </c>
      <c r="B1927" s="222"/>
      <c r="C1927" s="14"/>
      <c r="D1927" s="14"/>
      <c r="E1927" s="14"/>
      <c r="F1927" s="14"/>
      <c r="G1927" s="14" t="s">
        <v>1911</v>
      </c>
      <c r="H1927" s="14"/>
      <c r="I1927" s="176"/>
      <c r="K1927" s="87"/>
      <c r="L1927" s="14"/>
      <c r="M1927" s="324">
        <f t="shared" si="254"/>
        <v>0</v>
      </c>
      <c r="N1927" s="14"/>
      <c r="O1927" s="14"/>
      <c r="P1927" s="167"/>
      <c r="Q1927" s="14"/>
      <c r="R1927" s="170">
        <f t="shared" si="258"/>
        <v>0</v>
      </c>
      <c r="S1927" s="108" t="str">
        <f t="shared" si="259"/>
        <v/>
      </c>
      <c r="T1927" s="14"/>
      <c r="U1927" s="14"/>
      <c r="V1927" s="14"/>
      <c r="W1927" s="14"/>
      <c r="X1927" s="14"/>
      <c r="Z1927" s="14"/>
      <c r="AA1927" s="2">
        <f t="shared" si="255"/>
        <v>3</v>
      </c>
      <c r="AB1927" s="153"/>
      <c r="AC1927" s="454" t="str">
        <f t="shared" si="256"/>
        <v/>
      </c>
    </row>
    <row r="1928" spans="1:29" x14ac:dyDescent="0.35">
      <c r="A1928" s="111" t="str">
        <f t="shared" si="257"/>
        <v/>
      </c>
      <c r="B1928" s="222"/>
      <c r="C1928" s="14"/>
      <c r="D1928" s="14"/>
      <c r="E1928" s="14"/>
      <c r="F1928" s="14"/>
      <c r="G1928" s="14" t="s">
        <v>1911</v>
      </c>
      <c r="H1928" s="14"/>
      <c r="I1928" s="176"/>
      <c r="K1928" s="87"/>
      <c r="L1928" s="14"/>
      <c r="M1928" s="324">
        <f t="shared" si="254"/>
        <v>0</v>
      </c>
      <c r="N1928" s="14"/>
      <c r="O1928" s="14"/>
      <c r="P1928" s="167"/>
      <c r="Q1928" s="14"/>
      <c r="R1928" s="170">
        <f t="shared" si="258"/>
        <v>0</v>
      </c>
      <c r="S1928" s="108" t="str">
        <f t="shared" si="259"/>
        <v/>
      </c>
      <c r="T1928" s="14"/>
      <c r="U1928" s="14"/>
      <c r="V1928" s="14"/>
      <c r="W1928" s="14"/>
      <c r="X1928" s="14"/>
      <c r="Z1928" s="14"/>
      <c r="AA1928" s="2">
        <f t="shared" si="255"/>
        <v>3</v>
      </c>
      <c r="AB1928" s="153"/>
      <c r="AC1928" s="454" t="str">
        <f t="shared" si="256"/>
        <v/>
      </c>
    </row>
    <row r="1929" spans="1:29" x14ac:dyDescent="0.35">
      <c r="A1929" s="111" t="str">
        <f t="shared" si="257"/>
        <v/>
      </c>
      <c r="B1929" s="222"/>
      <c r="C1929" s="14"/>
      <c r="D1929" s="14"/>
      <c r="E1929" s="14"/>
      <c r="F1929" s="14"/>
      <c r="G1929" s="14" t="s">
        <v>1911</v>
      </c>
      <c r="H1929" s="14"/>
      <c r="I1929" s="176"/>
      <c r="K1929" s="87"/>
      <c r="L1929" s="14"/>
      <c r="M1929" s="324">
        <f t="shared" si="254"/>
        <v>0</v>
      </c>
      <c r="N1929" s="14"/>
      <c r="O1929" s="14"/>
      <c r="P1929" s="167"/>
      <c r="Q1929" s="14"/>
      <c r="R1929" s="170">
        <f t="shared" si="258"/>
        <v>0</v>
      </c>
      <c r="S1929" s="108" t="str">
        <f t="shared" si="259"/>
        <v/>
      </c>
      <c r="T1929" s="14"/>
      <c r="U1929" s="14"/>
      <c r="V1929" s="14"/>
      <c r="W1929" s="14"/>
      <c r="X1929" s="14"/>
      <c r="Z1929" s="14"/>
      <c r="AA1929" s="2">
        <f t="shared" si="255"/>
        <v>3</v>
      </c>
      <c r="AB1929" s="153"/>
      <c r="AC1929" s="454" t="str">
        <f t="shared" si="256"/>
        <v/>
      </c>
    </row>
    <row r="1930" spans="1:29" x14ac:dyDescent="0.35">
      <c r="A1930" s="111" t="str">
        <f t="shared" si="257"/>
        <v/>
      </c>
      <c r="B1930" s="222"/>
      <c r="C1930" s="14"/>
      <c r="D1930" s="14"/>
      <c r="E1930" s="14"/>
      <c r="F1930" s="14"/>
      <c r="G1930" s="14" t="s">
        <v>1911</v>
      </c>
      <c r="H1930" s="14"/>
      <c r="I1930" s="176"/>
      <c r="K1930" s="87"/>
      <c r="L1930" s="14"/>
      <c r="M1930" s="324">
        <f t="shared" si="254"/>
        <v>0</v>
      </c>
      <c r="N1930" s="14"/>
      <c r="O1930" s="14"/>
      <c r="P1930" s="167"/>
      <c r="Q1930" s="14"/>
      <c r="R1930" s="170">
        <f t="shared" si="258"/>
        <v>0</v>
      </c>
      <c r="S1930" s="108" t="str">
        <f t="shared" si="259"/>
        <v/>
      </c>
      <c r="T1930" s="14"/>
      <c r="U1930" s="14"/>
      <c r="V1930" s="14"/>
      <c r="W1930" s="14"/>
      <c r="X1930" s="14"/>
      <c r="Z1930" s="14"/>
      <c r="AA1930" s="2">
        <f t="shared" si="255"/>
        <v>3</v>
      </c>
      <c r="AB1930" s="153"/>
      <c r="AC1930" s="454" t="str">
        <f t="shared" si="256"/>
        <v/>
      </c>
    </row>
    <row r="1931" spans="1:29" x14ac:dyDescent="0.35">
      <c r="A1931" s="111" t="str">
        <f t="shared" si="257"/>
        <v/>
      </c>
      <c r="B1931" s="222"/>
      <c r="C1931" s="14"/>
      <c r="D1931" s="14"/>
      <c r="E1931" s="14"/>
      <c r="F1931" s="14"/>
      <c r="G1931" s="14" t="s">
        <v>1911</v>
      </c>
      <c r="H1931" s="14"/>
      <c r="I1931" s="176"/>
      <c r="K1931" s="87"/>
      <c r="L1931" s="14"/>
      <c r="M1931" s="324">
        <f t="shared" si="254"/>
        <v>0</v>
      </c>
      <c r="N1931" s="14"/>
      <c r="O1931" s="14"/>
      <c r="P1931" s="167"/>
      <c r="Q1931" s="14"/>
      <c r="R1931" s="170">
        <f t="shared" si="258"/>
        <v>0</v>
      </c>
      <c r="S1931" s="108" t="str">
        <f t="shared" si="259"/>
        <v/>
      </c>
      <c r="T1931" s="14"/>
      <c r="U1931" s="14"/>
      <c r="V1931" s="14"/>
      <c r="W1931" s="14"/>
      <c r="X1931" s="14"/>
      <c r="Z1931" s="14"/>
      <c r="AA1931" s="2">
        <f t="shared" si="255"/>
        <v>3</v>
      </c>
      <c r="AB1931" s="153"/>
      <c r="AC1931" s="454" t="str">
        <f t="shared" si="256"/>
        <v/>
      </c>
    </row>
    <row r="1932" spans="1:29" x14ac:dyDescent="0.35">
      <c r="A1932" s="111" t="str">
        <f t="shared" si="257"/>
        <v/>
      </c>
      <c r="B1932" s="222"/>
      <c r="C1932" s="14"/>
      <c r="D1932" s="14"/>
      <c r="E1932" s="14"/>
      <c r="F1932" s="14"/>
      <c r="G1932" s="14" t="s">
        <v>1911</v>
      </c>
      <c r="H1932" s="14"/>
      <c r="I1932" s="176"/>
      <c r="K1932" s="87"/>
      <c r="L1932" s="14"/>
      <c r="M1932" s="324">
        <f t="shared" si="254"/>
        <v>0</v>
      </c>
      <c r="N1932" s="14"/>
      <c r="O1932" s="14"/>
      <c r="P1932" s="167"/>
      <c r="Q1932" s="14"/>
      <c r="R1932" s="170">
        <f t="shared" si="258"/>
        <v>0</v>
      </c>
      <c r="S1932" s="108" t="str">
        <f t="shared" si="259"/>
        <v/>
      </c>
      <c r="T1932" s="14"/>
      <c r="U1932" s="14"/>
      <c r="V1932" s="14"/>
      <c r="W1932" s="14"/>
      <c r="X1932" s="14"/>
      <c r="Z1932" s="14"/>
      <c r="AA1932" s="2">
        <f t="shared" si="255"/>
        <v>3</v>
      </c>
      <c r="AB1932" s="153"/>
      <c r="AC1932" s="454" t="str">
        <f t="shared" si="256"/>
        <v/>
      </c>
    </row>
    <row r="1933" spans="1:29" x14ac:dyDescent="0.35">
      <c r="A1933" s="111" t="str">
        <f t="shared" si="257"/>
        <v/>
      </c>
      <c r="B1933" s="222"/>
      <c r="C1933" s="14"/>
      <c r="D1933" s="14"/>
      <c r="E1933" s="14"/>
      <c r="F1933" s="14"/>
      <c r="G1933" s="14" t="s">
        <v>1911</v>
      </c>
      <c r="H1933" s="14"/>
      <c r="I1933" s="176"/>
      <c r="K1933" s="87"/>
      <c r="L1933" s="14"/>
      <c r="M1933" s="324">
        <f t="shared" si="254"/>
        <v>0</v>
      </c>
      <c r="N1933" s="14"/>
      <c r="O1933" s="14"/>
      <c r="P1933" s="167"/>
      <c r="Q1933" s="14"/>
      <c r="R1933" s="170">
        <f t="shared" si="258"/>
        <v>0</v>
      </c>
      <c r="S1933" s="108" t="str">
        <f t="shared" si="259"/>
        <v/>
      </c>
      <c r="T1933" s="14"/>
      <c r="U1933" s="14"/>
      <c r="V1933" s="14"/>
      <c r="W1933" s="14"/>
      <c r="X1933" s="14"/>
      <c r="Z1933" s="14"/>
      <c r="AA1933" s="2">
        <f t="shared" si="255"/>
        <v>3</v>
      </c>
      <c r="AB1933" s="153"/>
      <c r="AC1933" s="454" t="str">
        <f t="shared" si="256"/>
        <v/>
      </c>
    </row>
    <row r="1934" spans="1:29" x14ac:dyDescent="0.35">
      <c r="A1934" s="111" t="str">
        <f t="shared" si="257"/>
        <v/>
      </c>
      <c r="B1934" s="222"/>
      <c r="C1934" s="14"/>
      <c r="D1934" s="14"/>
      <c r="E1934" s="14"/>
      <c r="F1934" s="14"/>
      <c r="G1934" s="14" t="s">
        <v>1911</v>
      </c>
      <c r="H1934" s="14"/>
      <c r="I1934" s="176"/>
      <c r="K1934" s="87"/>
      <c r="L1934" s="14"/>
      <c r="M1934" s="324">
        <f t="shared" si="254"/>
        <v>0</v>
      </c>
      <c r="N1934" s="14"/>
      <c r="O1934" s="14"/>
      <c r="P1934" s="167"/>
      <c r="Q1934" s="14"/>
      <c r="R1934" s="170">
        <f t="shared" si="258"/>
        <v>0</v>
      </c>
      <c r="S1934" s="108" t="str">
        <f t="shared" si="259"/>
        <v/>
      </c>
      <c r="T1934" s="14"/>
      <c r="U1934" s="14"/>
      <c r="V1934" s="14"/>
      <c r="W1934" s="14"/>
      <c r="X1934" s="14"/>
      <c r="Z1934" s="14"/>
      <c r="AA1934" s="2">
        <f t="shared" si="255"/>
        <v>3</v>
      </c>
      <c r="AB1934" s="153"/>
      <c r="AC1934" s="454" t="str">
        <f t="shared" si="256"/>
        <v/>
      </c>
    </row>
    <row r="1935" spans="1:29" x14ac:dyDescent="0.35">
      <c r="A1935" s="111" t="str">
        <f t="shared" si="257"/>
        <v/>
      </c>
      <c r="B1935" s="222"/>
      <c r="C1935" s="14"/>
      <c r="D1935" s="14"/>
      <c r="E1935" s="14"/>
      <c r="F1935" s="14"/>
      <c r="G1935" s="14" t="s">
        <v>1911</v>
      </c>
      <c r="H1935" s="14"/>
      <c r="I1935" s="176"/>
      <c r="K1935" s="87"/>
      <c r="L1935" s="14"/>
      <c r="M1935" s="324">
        <f t="shared" si="254"/>
        <v>0</v>
      </c>
      <c r="N1935" s="14"/>
      <c r="O1935" s="14"/>
      <c r="P1935" s="167"/>
      <c r="Q1935" s="14"/>
      <c r="R1935" s="170">
        <f t="shared" si="258"/>
        <v>0</v>
      </c>
      <c r="S1935" s="108" t="str">
        <f t="shared" si="259"/>
        <v/>
      </c>
      <c r="T1935" s="14"/>
      <c r="U1935" s="14"/>
      <c r="V1935" s="14"/>
      <c r="W1935" s="14"/>
      <c r="X1935" s="14"/>
      <c r="Z1935" s="14"/>
      <c r="AA1935" s="2">
        <f t="shared" si="255"/>
        <v>3</v>
      </c>
      <c r="AB1935" s="153"/>
      <c r="AC1935" s="454" t="str">
        <f t="shared" si="256"/>
        <v/>
      </c>
    </row>
    <row r="1936" spans="1:29" x14ac:dyDescent="0.35">
      <c r="A1936" s="111" t="str">
        <f t="shared" si="257"/>
        <v/>
      </c>
      <c r="B1936" s="222"/>
      <c r="C1936" s="14"/>
      <c r="D1936" s="14"/>
      <c r="E1936" s="14"/>
      <c r="F1936" s="14"/>
      <c r="G1936" s="14" t="s">
        <v>1911</v>
      </c>
      <c r="H1936" s="14"/>
      <c r="I1936" s="176"/>
      <c r="K1936" s="87"/>
      <c r="L1936" s="14"/>
      <c r="M1936" s="324">
        <f t="shared" si="254"/>
        <v>0</v>
      </c>
      <c r="N1936" s="14"/>
      <c r="O1936" s="14"/>
      <c r="P1936" s="167"/>
      <c r="Q1936" s="14"/>
      <c r="R1936" s="170">
        <f t="shared" si="258"/>
        <v>0</v>
      </c>
      <c r="S1936" s="108" t="str">
        <f t="shared" si="259"/>
        <v/>
      </c>
      <c r="T1936" s="14"/>
      <c r="U1936" s="14"/>
      <c r="V1936" s="14"/>
      <c r="W1936" s="14"/>
      <c r="X1936" s="14"/>
      <c r="Z1936" s="14"/>
      <c r="AA1936" s="2">
        <f t="shared" si="255"/>
        <v>3</v>
      </c>
      <c r="AB1936" s="153"/>
      <c r="AC1936" s="454" t="str">
        <f t="shared" si="256"/>
        <v/>
      </c>
    </row>
    <row r="1937" spans="1:29" x14ac:dyDescent="0.35">
      <c r="A1937" s="111" t="str">
        <f t="shared" si="257"/>
        <v/>
      </c>
      <c r="B1937" s="222"/>
      <c r="C1937" s="14"/>
      <c r="D1937" s="14"/>
      <c r="E1937" s="14"/>
      <c r="F1937" s="14"/>
      <c r="G1937" s="14" t="s">
        <v>1911</v>
      </c>
      <c r="H1937" s="14"/>
      <c r="I1937" s="176"/>
      <c r="K1937" s="87"/>
      <c r="L1937" s="14"/>
      <c r="M1937" s="324">
        <f t="shared" si="254"/>
        <v>0</v>
      </c>
      <c r="N1937" s="14"/>
      <c r="O1937" s="14"/>
      <c r="P1937" s="167"/>
      <c r="Q1937" s="14"/>
      <c r="R1937" s="170">
        <f t="shared" si="258"/>
        <v>0</v>
      </c>
      <c r="S1937" s="108" t="str">
        <f t="shared" si="259"/>
        <v/>
      </c>
      <c r="T1937" s="14"/>
      <c r="U1937" s="14"/>
      <c r="V1937" s="14"/>
      <c r="W1937" s="14"/>
      <c r="X1937" s="14"/>
      <c r="Z1937" s="14"/>
      <c r="AA1937" s="2">
        <f t="shared" si="255"/>
        <v>3</v>
      </c>
      <c r="AB1937" s="153"/>
      <c r="AC1937" s="454" t="str">
        <f t="shared" si="256"/>
        <v/>
      </c>
    </row>
    <row r="1938" spans="1:29" x14ac:dyDescent="0.35">
      <c r="A1938" s="111" t="str">
        <f t="shared" si="257"/>
        <v/>
      </c>
      <c r="B1938" s="222"/>
      <c r="C1938" s="14"/>
      <c r="D1938" s="14"/>
      <c r="E1938" s="14"/>
      <c r="F1938" s="14"/>
      <c r="G1938" s="14" t="s">
        <v>1911</v>
      </c>
      <c r="H1938" s="14"/>
      <c r="I1938" s="176"/>
      <c r="K1938" s="87"/>
      <c r="L1938" s="14"/>
      <c r="M1938" s="324">
        <f t="shared" si="254"/>
        <v>0</v>
      </c>
      <c r="N1938" s="14"/>
      <c r="O1938" s="14"/>
      <c r="P1938" s="167"/>
      <c r="Q1938" s="14"/>
      <c r="R1938" s="170">
        <f t="shared" si="258"/>
        <v>0</v>
      </c>
      <c r="S1938" s="108" t="str">
        <f t="shared" si="259"/>
        <v/>
      </c>
      <c r="T1938" s="14"/>
      <c r="U1938" s="14"/>
      <c r="V1938" s="14"/>
      <c r="W1938" s="14"/>
      <c r="X1938" s="14"/>
      <c r="Z1938" s="14"/>
      <c r="AA1938" s="2">
        <f t="shared" si="255"/>
        <v>3</v>
      </c>
      <c r="AB1938" s="153"/>
      <c r="AC1938" s="454" t="str">
        <f t="shared" si="256"/>
        <v/>
      </c>
    </row>
    <row r="1939" spans="1:29" x14ac:dyDescent="0.35">
      <c r="A1939" s="111" t="str">
        <f t="shared" si="257"/>
        <v/>
      </c>
      <c r="B1939" s="222"/>
      <c r="C1939" s="14"/>
      <c r="D1939" s="14"/>
      <c r="E1939" s="14"/>
      <c r="F1939" s="14"/>
      <c r="G1939" s="14" t="s">
        <v>1911</v>
      </c>
      <c r="H1939" s="14"/>
      <c r="I1939" s="176"/>
      <c r="K1939" s="87"/>
      <c r="L1939" s="14"/>
      <c r="M1939" s="324">
        <f t="shared" si="254"/>
        <v>0</v>
      </c>
      <c r="N1939" s="14"/>
      <c r="O1939" s="14"/>
      <c r="P1939" s="167"/>
      <c r="Q1939" s="14"/>
      <c r="R1939" s="170">
        <f t="shared" si="258"/>
        <v>0</v>
      </c>
      <c r="S1939" s="108" t="str">
        <f t="shared" si="259"/>
        <v/>
      </c>
      <c r="T1939" s="14"/>
      <c r="U1939" s="14"/>
      <c r="V1939" s="14"/>
      <c r="W1939" s="14"/>
      <c r="X1939" s="14"/>
      <c r="Z1939" s="14"/>
      <c r="AA1939" s="2">
        <f t="shared" si="255"/>
        <v>3</v>
      </c>
      <c r="AB1939" s="153"/>
      <c r="AC1939" s="454" t="str">
        <f t="shared" si="256"/>
        <v/>
      </c>
    </row>
    <row r="1940" spans="1:29" x14ac:dyDescent="0.35">
      <c r="A1940" s="111" t="str">
        <f t="shared" si="257"/>
        <v/>
      </c>
      <c r="B1940" s="222"/>
      <c r="C1940" s="14"/>
      <c r="D1940" s="14"/>
      <c r="E1940" s="14"/>
      <c r="F1940" s="14"/>
      <c r="G1940" s="14" t="s">
        <v>1911</v>
      </c>
      <c r="H1940" s="14"/>
      <c r="I1940" s="176"/>
      <c r="K1940" s="87"/>
      <c r="L1940" s="14"/>
      <c r="M1940" s="324">
        <f t="shared" ref="M1940:M2003" si="260">IF(I1940="Staff Accident","Entry Required",IF(I1940="Assaults","Entry Required",0))</f>
        <v>0</v>
      </c>
      <c r="N1940" s="14"/>
      <c r="O1940" s="14"/>
      <c r="P1940" s="167"/>
      <c r="Q1940" s="14"/>
      <c r="R1940" s="170">
        <f t="shared" si="258"/>
        <v>0</v>
      </c>
      <c r="S1940" s="108" t="str">
        <f t="shared" si="259"/>
        <v/>
      </c>
      <c r="T1940" s="14"/>
      <c r="U1940" s="14"/>
      <c r="V1940" s="14"/>
      <c r="W1940" s="14"/>
      <c r="X1940" s="14"/>
      <c r="Z1940" s="14"/>
      <c r="AA1940" s="2">
        <f t="shared" si="255"/>
        <v>3</v>
      </c>
      <c r="AB1940" s="153"/>
      <c r="AC1940" s="454" t="str">
        <f t="shared" si="256"/>
        <v/>
      </c>
    </row>
    <row r="1941" spans="1:29" x14ac:dyDescent="0.35">
      <c r="A1941" s="111" t="str">
        <f t="shared" si="257"/>
        <v/>
      </c>
      <c r="B1941" s="222"/>
      <c r="C1941" s="14"/>
      <c r="D1941" s="14"/>
      <c r="E1941" s="14"/>
      <c r="F1941" s="14"/>
      <c r="G1941" s="14" t="s">
        <v>1911</v>
      </c>
      <c r="H1941" s="14"/>
      <c r="I1941" s="176"/>
      <c r="K1941" s="87"/>
      <c r="L1941" s="14"/>
      <c r="M1941" s="324">
        <f t="shared" si="260"/>
        <v>0</v>
      </c>
      <c r="N1941" s="14"/>
      <c r="O1941" s="14"/>
      <c r="P1941" s="167"/>
      <c r="Q1941" s="14"/>
      <c r="R1941" s="170">
        <f t="shared" si="258"/>
        <v>0</v>
      </c>
      <c r="S1941" s="108" t="str">
        <f t="shared" si="259"/>
        <v/>
      </c>
      <c r="T1941" s="14"/>
      <c r="U1941" s="14"/>
      <c r="V1941" s="14"/>
      <c r="W1941" s="14"/>
      <c r="X1941" s="14"/>
      <c r="Z1941" s="14"/>
      <c r="AA1941" s="2">
        <f t="shared" si="255"/>
        <v>3</v>
      </c>
      <c r="AB1941" s="153"/>
      <c r="AC1941" s="454" t="str">
        <f t="shared" si="256"/>
        <v/>
      </c>
    </row>
    <row r="1942" spans="1:29" x14ac:dyDescent="0.35">
      <c r="A1942" s="111" t="str">
        <f t="shared" si="257"/>
        <v/>
      </c>
      <c r="B1942" s="222"/>
      <c r="C1942" s="14"/>
      <c r="D1942" s="14"/>
      <c r="E1942" s="14"/>
      <c r="F1942" s="14"/>
      <c r="G1942" s="14" t="s">
        <v>1911</v>
      </c>
      <c r="H1942" s="14"/>
      <c r="I1942" s="176"/>
      <c r="K1942" s="87"/>
      <c r="L1942" s="14"/>
      <c r="M1942" s="324">
        <f t="shared" si="260"/>
        <v>0</v>
      </c>
      <c r="N1942" s="14"/>
      <c r="O1942" s="14"/>
      <c r="P1942" s="167"/>
      <c r="Q1942" s="14"/>
      <c r="R1942" s="170">
        <f t="shared" si="258"/>
        <v>0</v>
      </c>
      <c r="S1942" s="108" t="str">
        <f t="shared" si="259"/>
        <v/>
      </c>
      <c r="T1942" s="14"/>
      <c r="U1942" s="14"/>
      <c r="V1942" s="14"/>
      <c r="W1942" s="14"/>
      <c r="X1942" s="14"/>
      <c r="Z1942" s="14"/>
      <c r="AA1942" s="2">
        <f t="shared" ref="AA1942:AA2005" si="261">IF(B1942="",3,IF(S1942&lt;$A$1,1,0))</f>
        <v>3</v>
      </c>
      <c r="AB1942" s="153"/>
      <c r="AC1942" s="454" t="str">
        <f t="shared" si="256"/>
        <v/>
      </c>
    </row>
    <row r="1943" spans="1:29" x14ac:dyDescent="0.35">
      <c r="A1943" s="111" t="str">
        <f t="shared" si="257"/>
        <v/>
      </c>
      <c r="B1943" s="222"/>
      <c r="C1943" s="14"/>
      <c r="D1943" s="14"/>
      <c r="E1943" s="14"/>
      <c r="F1943" s="14"/>
      <c r="G1943" s="14" t="s">
        <v>1911</v>
      </c>
      <c r="H1943" s="14"/>
      <c r="I1943" s="176"/>
      <c r="K1943" s="87"/>
      <c r="L1943" s="14"/>
      <c r="M1943" s="324">
        <f t="shared" si="260"/>
        <v>0</v>
      </c>
      <c r="N1943" s="14"/>
      <c r="O1943" s="14"/>
      <c r="P1943" s="167"/>
      <c r="Q1943" s="14"/>
      <c r="R1943" s="170">
        <f t="shared" si="258"/>
        <v>0</v>
      </c>
      <c r="S1943" s="108" t="str">
        <f t="shared" si="259"/>
        <v/>
      </c>
      <c r="T1943" s="14"/>
      <c r="U1943" s="14"/>
      <c r="V1943" s="14"/>
      <c r="W1943" s="14"/>
      <c r="X1943" s="14"/>
      <c r="Z1943" s="14"/>
      <c r="AA1943" s="2">
        <f t="shared" si="261"/>
        <v>3</v>
      </c>
      <c r="AB1943" s="153"/>
      <c r="AC1943" s="454" t="str">
        <f t="shared" si="256"/>
        <v/>
      </c>
    </row>
    <row r="1944" spans="1:29" x14ac:dyDescent="0.35">
      <c r="A1944" s="111" t="str">
        <f t="shared" si="257"/>
        <v/>
      </c>
      <c r="B1944" s="222"/>
      <c r="C1944" s="14"/>
      <c r="D1944" s="14"/>
      <c r="E1944" s="14"/>
      <c r="F1944" s="14"/>
      <c r="G1944" s="14" t="s">
        <v>1911</v>
      </c>
      <c r="H1944" s="14"/>
      <c r="I1944" s="176"/>
      <c r="K1944" s="87"/>
      <c r="L1944" s="14"/>
      <c r="M1944" s="324">
        <f t="shared" si="260"/>
        <v>0</v>
      </c>
      <c r="N1944" s="14"/>
      <c r="O1944" s="14"/>
      <c r="P1944" s="167"/>
      <c r="Q1944" s="14"/>
      <c r="R1944" s="170">
        <f t="shared" si="258"/>
        <v>0</v>
      </c>
      <c r="S1944" s="108" t="str">
        <f t="shared" si="259"/>
        <v/>
      </c>
      <c r="T1944" s="14"/>
      <c r="U1944" s="14"/>
      <c r="V1944" s="14"/>
      <c r="W1944" s="14"/>
      <c r="X1944" s="14"/>
      <c r="Z1944" s="14"/>
      <c r="AA1944" s="2">
        <f t="shared" si="261"/>
        <v>3</v>
      </c>
      <c r="AB1944" s="153"/>
      <c r="AC1944" s="454" t="str">
        <f t="shared" si="256"/>
        <v/>
      </c>
    </row>
    <row r="1945" spans="1:29" x14ac:dyDescent="0.35">
      <c r="A1945" s="111" t="str">
        <f t="shared" si="257"/>
        <v/>
      </c>
      <c r="B1945" s="222"/>
      <c r="C1945" s="14"/>
      <c r="D1945" s="14"/>
      <c r="E1945" s="14"/>
      <c r="F1945" s="14"/>
      <c r="G1945" s="14" t="s">
        <v>1911</v>
      </c>
      <c r="H1945" s="14"/>
      <c r="I1945" s="176"/>
      <c r="K1945" s="87"/>
      <c r="L1945" s="14"/>
      <c r="M1945" s="324">
        <f t="shared" si="260"/>
        <v>0</v>
      </c>
      <c r="N1945" s="14"/>
      <c r="O1945" s="14"/>
      <c r="P1945" s="167"/>
      <c r="Q1945" s="14"/>
      <c r="R1945" s="170">
        <f t="shared" si="258"/>
        <v>0</v>
      </c>
      <c r="S1945" s="108" t="str">
        <f t="shared" si="259"/>
        <v/>
      </c>
      <c r="T1945" s="14"/>
      <c r="U1945" s="14"/>
      <c r="V1945" s="14"/>
      <c r="W1945" s="14"/>
      <c r="X1945" s="14"/>
      <c r="Z1945" s="14"/>
      <c r="AA1945" s="2">
        <f t="shared" si="261"/>
        <v>3</v>
      </c>
      <c r="AB1945" s="153"/>
      <c r="AC1945" s="454" t="str">
        <f t="shared" si="256"/>
        <v/>
      </c>
    </row>
    <row r="1946" spans="1:29" x14ac:dyDescent="0.35">
      <c r="A1946" s="111" t="str">
        <f t="shared" si="257"/>
        <v/>
      </c>
      <c r="B1946" s="222"/>
      <c r="C1946" s="14"/>
      <c r="D1946" s="14"/>
      <c r="E1946" s="14"/>
      <c r="F1946" s="14"/>
      <c r="G1946" s="14" t="s">
        <v>1911</v>
      </c>
      <c r="H1946" s="14"/>
      <c r="I1946" s="176"/>
      <c r="K1946" s="87"/>
      <c r="L1946" s="14"/>
      <c r="M1946" s="324">
        <f t="shared" si="260"/>
        <v>0</v>
      </c>
      <c r="N1946" s="14"/>
      <c r="O1946" s="14"/>
      <c r="P1946" s="167"/>
      <c r="Q1946" s="14"/>
      <c r="R1946" s="170">
        <f t="shared" si="258"/>
        <v>0</v>
      </c>
      <c r="S1946" s="108" t="str">
        <f t="shared" si="259"/>
        <v/>
      </c>
      <c r="T1946" s="14"/>
      <c r="U1946" s="14"/>
      <c r="V1946" s="14"/>
      <c r="W1946" s="14"/>
      <c r="X1946" s="14"/>
      <c r="Z1946" s="14"/>
      <c r="AA1946" s="2">
        <f t="shared" si="261"/>
        <v>3</v>
      </c>
      <c r="AB1946" s="153"/>
      <c r="AC1946" s="454" t="str">
        <f t="shared" ref="AC1946:AC2009" si="262">LEFT(H1946,1)</f>
        <v/>
      </c>
    </row>
    <row r="1947" spans="1:29" x14ac:dyDescent="0.35">
      <c r="A1947" s="111" t="str">
        <f t="shared" si="257"/>
        <v/>
      </c>
      <c r="B1947" s="222"/>
      <c r="C1947" s="14"/>
      <c r="D1947" s="14"/>
      <c r="E1947" s="14"/>
      <c r="F1947" s="14"/>
      <c r="G1947" s="14" t="s">
        <v>1911</v>
      </c>
      <c r="H1947" s="14"/>
      <c r="I1947" s="176"/>
      <c r="K1947" s="87"/>
      <c r="L1947" s="14"/>
      <c r="M1947" s="324">
        <f t="shared" si="260"/>
        <v>0</v>
      </c>
      <c r="N1947" s="14"/>
      <c r="O1947" s="14"/>
      <c r="P1947" s="167"/>
      <c r="Q1947" s="14"/>
      <c r="R1947" s="170">
        <f t="shared" si="258"/>
        <v>0</v>
      </c>
      <c r="S1947" s="108" t="str">
        <f t="shared" si="259"/>
        <v/>
      </c>
      <c r="T1947" s="14"/>
      <c r="U1947" s="14"/>
      <c r="V1947" s="14"/>
      <c r="W1947" s="14"/>
      <c r="X1947" s="14"/>
      <c r="Z1947" s="14"/>
      <c r="AA1947" s="2">
        <f t="shared" si="261"/>
        <v>3</v>
      </c>
      <c r="AB1947" s="153"/>
      <c r="AC1947" s="454" t="str">
        <f t="shared" si="262"/>
        <v/>
      </c>
    </row>
    <row r="1948" spans="1:29" x14ac:dyDescent="0.35">
      <c r="A1948" s="111" t="str">
        <f t="shared" si="257"/>
        <v/>
      </c>
      <c r="B1948" s="222"/>
      <c r="C1948" s="14"/>
      <c r="D1948" s="14"/>
      <c r="E1948" s="14"/>
      <c r="F1948" s="14"/>
      <c r="G1948" s="14" t="s">
        <v>1911</v>
      </c>
      <c r="H1948" s="14"/>
      <c r="I1948" s="176"/>
      <c r="K1948" s="87"/>
      <c r="L1948" s="14"/>
      <c r="M1948" s="324">
        <f t="shared" si="260"/>
        <v>0</v>
      </c>
      <c r="N1948" s="14"/>
      <c r="O1948" s="14"/>
      <c r="P1948" s="167"/>
      <c r="Q1948" s="14"/>
      <c r="R1948" s="170">
        <f t="shared" si="258"/>
        <v>0</v>
      </c>
      <c r="S1948" s="108" t="str">
        <f t="shared" si="259"/>
        <v/>
      </c>
      <c r="T1948" s="14"/>
      <c r="U1948" s="14"/>
      <c r="V1948" s="14"/>
      <c r="W1948" s="14"/>
      <c r="X1948" s="14"/>
      <c r="Z1948" s="14"/>
      <c r="AA1948" s="2">
        <f t="shared" si="261"/>
        <v>3</v>
      </c>
      <c r="AB1948" s="153"/>
      <c r="AC1948" s="454" t="str">
        <f t="shared" si="262"/>
        <v/>
      </c>
    </row>
    <row r="1949" spans="1:29" x14ac:dyDescent="0.35">
      <c r="A1949" s="111" t="str">
        <f t="shared" si="257"/>
        <v/>
      </c>
      <c r="B1949" s="222"/>
      <c r="C1949" s="14"/>
      <c r="D1949" s="14"/>
      <c r="E1949" s="14"/>
      <c r="F1949" s="14"/>
      <c r="G1949" s="14" t="s">
        <v>1911</v>
      </c>
      <c r="H1949" s="14"/>
      <c r="I1949" s="176"/>
      <c r="K1949" s="87"/>
      <c r="L1949" s="14"/>
      <c r="M1949" s="324">
        <f t="shared" si="260"/>
        <v>0</v>
      </c>
      <c r="N1949" s="14"/>
      <c r="O1949" s="14"/>
      <c r="P1949" s="167"/>
      <c r="Q1949" s="14"/>
      <c r="R1949" s="170">
        <f t="shared" si="258"/>
        <v>0</v>
      </c>
      <c r="S1949" s="108" t="str">
        <f t="shared" si="259"/>
        <v/>
      </c>
      <c r="T1949" s="14"/>
      <c r="U1949" s="14"/>
      <c r="V1949" s="14"/>
      <c r="W1949" s="14"/>
      <c r="X1949" s="14"/>
      <c r="Z1949" s="14"/>
      <c r="AA1949" s="2">
        <f t="shared" si="261"/>
        <v>3</v>
      </c>
      <c r="AB1949" s="153"/>
      <c r="AC1949" s="454" t="str">
        <f t="shared" si="262"/>
        <v/>
      </c>
    </row>
    <row r="1950" spans="1:29" x14ac:dyDescent="0.35">
      <c r="A1950" s="111" t="str">
        <f t="shared" si="257"/>
        <v/>
      </c>
      <c r="B1950" s="222"/>
      <c r="C1950" s="14"/>
      <c r="D1950" s="14"/>
      <c r="E1950" s="14"/>
      <c r="F1950" s="14"/>
      <c r="G1950" s="14" t="s">
        <v>1911</v>
      </c>
      <c r="H1950" s="14"/>
      <c r="I1950" s="176"/>
      <c r="K1950" s="87"/>
      <c r="L1950" s="14"/>
      <c r="M1950" s="324">
        <f t="shared" si="260"/>
        <v>0</v>
      </c>
      <c r="N1950" s="14"/>
      <c r="O1950" s="14"/>
      <c r="P1950" s="167"/>
      <c r="Q1950" s="14"/>
      <c r="R1950" s="170">
        <f t="shared" si="258"/>
        <v>0</v>
      </c>
      <c r="S1950" s="108" t="str">
        <f t="shared" si="259"/>
        <v/>
      </c>
      <c r="T1950" s="14"/>
      <c r="U1950" s="14"/>
      <c r="V1950" s="14"/>
      <c r="W1950" s="14"/>
      <c r="X1950" s="14"/>
      <c r="Z1950" s="14"/>
      <c r="AA1950" s="2">
        <f t="shared" si="261"/>
        <v>3</v>
      </c>
      <c r="AB1950" s="153"/>
      <c r="AC1950" s="454" t="str">
        <f t="shared" si="262"/>
        <v/>
      </c>
    </row>
    <row r="1951" spans="1:29" x14ac:dyDescent="0.35">
      <c r="A1951" s="111" t="str">
        <f t="shared" ref="A1951:A2014" si="263">IF(T1951&gt;1,"Closed",IF(AA1951=1,"Overdue",IF(AA1951=3,"","Open")))</f>
        <v/>
      </c>
      <c r="B1951" s="222"/>
      <c r="C1951" s="14"/>
      <c r="D1951" s="14"/>
      <c r="E1951" s="14"/>
      <c r="F1951" s="14"/>
      <c r="G1951" s="14" t="s">
        <v>1911</v>
      </c>
      <c r="H1951" s="14"/>
      <c r="I1951" s="176"/>
      <c r="K1951" s="87"/>
      <c r="L1951" s="14"/>
      <c r="M1951" s="324">
        <f t="shared" si="260"/>
        <v>0</v>
      </c>
      <c r="N1951" s="14"/>
      <c r="O1951" s="14"/>
      <c r="P1951" s="167"/>
      <c r="Q1951" s="14"/>
      <c r="R1951" s="170">
        <f t="shared" si="258"/>
        <v>0</v>
      </c>
      <c r="S1951" s="108" t="str">
        <f t="shared" si="259"/>
        <v/>
      </c>
      <c r="T1951" s="14"/>
      <c r="U1951" s="14"/>
      <c r="V1951" s="14"/>
      <c r="W1951" s="14"/>
      <c r="X1951" s="14"/>
      <c r="Z1951" s="14"/>
      <c r="AA1951" s="2">
        <f t="shared" si="261"/>
        <v>3</v>
      </c>
      <c r="AB1951" s="153"/>
      <c r="AC1951" s="454" t="str">
        <f t="shared" si="262"/>
        <v/>
      </c>
    </row>
    <row r="1952" spans="1:29" x14ac:dyDescent="0.35">
      <c r="A1952" s="111" t="str">
        <f t="shared" si="263"/>
        <v/>
      </c>
      <c r="B1952" s="222"/>
      <c r="C1952" s="14"/>
      <c r="D1952" s="14"/>
      <c r="E1952" s="14"/>
      <c r="F1952" s="14"/>
      <c r="G1952" s="14" t="s">
        <v>1911</v>
      </c>
      <c r="H1952" s="14"/>
      <c r="I1952" s="176"/>
      <c r="K1952" s="87"/>
      <c r="L1952" s="14"/>
      <c r="M1952" s="324">
        <f t="shared" si="260"/>
        <v>0</v>
      </c>
      <c r="N1952" s="14"/>
      <c r="O1952" s="14"/>
      <c r="P1952" s="167"/>
      <c r="Q1952" s="14"/>
      <c r="R1952" s="170">
        <f t="shared" si="258"/>
        <v>0</v>
      </c>
      <c r="S1952" s="108" t="str">
        <f t="shared" si="259"/>
        <v/>
      </c>
      <c r="T1952" s="14"/>
      <c r="U1952" s="14"/>
      <c r="V1952" s="14"/>
      <c r="W1952" s="14"/>
      <c r="X1952" s="14"/>
      <c r="Z1952" s="14"/>
      <c r="AA1952" s="2">
        <f t="shared" si="261"/>
        <v>3</v>
      </c>
      <c r="AB1952" s="153"/>
      <c r="AC1952" s="454" t="str">
        <f t="shared" si="262"/>
        <v/>
      </c>
    </row>
    <row r="1953" spans="1:29" x14ac:dyDescent="0.35">
      <c r="A1953" s="111" t="str">
        <f t="shared" si="263"/>
        <v/>
      </c>
      <c r="B1953" s="222"/>
      <c r="C1953" s="14"/>
      <c r="D1953" s="14"/>
      <c r="E1953" s="14"/>
      <c r="F1953" s="14"/>
      <c r="G1953" s="14" t="s">
        <v>1911</v>
      </c>
      <c r="H1953" s="14"/>
      <c r="I1953" s="176"/>
      <c r="K1953" s="87"/>
      <c r="L1953" s="14"/>
      <c r="M1953" s="324">
        <f t="shared" si="260"/>
        <v>0</v>
      </c>
      <c r="N1953" s="14"/>
      <c r="O1953" s="14"/>
      <c r="P1953" s="167"/>
      <c r="Q1953" s="14"/>
      <c r="R1953" s="170">
        <f t="shared" si="258"/>
        <v>0</v>
      </c>
      <c r="S1953" s="108" t="str">
        <f t="shared" si="259"/>
        <v/>
      </c>
      <c r="T1953" s="14"/>
      <c r="U1953" s="14"/>
      <c r="V1953" s="14"/>
      <c r="W1953" s="14"/>
      <c r="X1953" s="14"/>
      <c r="Z1953" s="14"/>
      <c r="AA1953" s="2">
        <f t="shared" si="261"/>
        <v>3</v>
      </c>
      <c r="AB1953" s="153"/>
      <c r="AC1953" s="454" t="str">
        <f t="shared" si="262"/>
        <v/>
      </c>
    </row>
    <row r="1954" spans="1:29" x14ac:dyDescent="0.35">
      <c r="A1954" s="111" t="str">
        <f t="shared" si="263"/>
        <v/>
      </c>
      <c r="B1954" s="222"/>
      <c r="C1954" s="14"/>
      <c r="D1954" s="14"/>
      <c r="E1954" s="14"/>
      <c r="F1954" s="14"/>
      <c r="G1954" s="14" t="s">
        <v>1911</v>
      </c>
      <c r="H1954" s="14"/>
      <c r="I1954" s="176"/>
      <c r="K1954" s="87"/>
      <c r="L1954" s="14"/>
      <c r="M1954" s="324">
        <f t="shared" si="260"/>
        <v>0</v>
      </c>
      <c r="N1954" s="14"/>
      <c r="O1954" s="14"/>
      <c r="P1954" s="167"/>
      <c r="Q1954" s="14"/>
      <c r="R1954" s="170">
        <f t="shared" si="258"/>
        <v>0</v>
      </c>
      <c r="S1954" s="108" t="str">
        <f t="shared" si="259"/>
        <v/>
      </c>
      <c r="T1954" s="14"/>
      <c r="U1954" s="14"/>
      <c r="V1954" s="14"/>
      <c r="W1954" s="14"/>
      <c r="X1954" s="14"/>
      <c r="Z1954" s="14"/>
      <c r="AA1954" s="2">
        <f t="shared" si="261"/>
        <v>3</v>
      </c>
      <c r="AB1954" s="153"/>
      <c r="AC1954" s="454" t="str">
        <f t="shared" si="262"/>
        <v/>
      </c>
    </row>
    <row r="1955" spans="1:29" x14ac:dyDescent="0.35">
      <c r="A1955" s="111" t="str">
        <f t="shared" si="263"/>
        <v/>
      </c>
      <c r="B1955" s="222"/>
      <c r="C1955" s="14"/>
      <c r="D1955" s="14"/>
      <c r="E1955" s="14"/>
      <c r="F1955" s="14"/>
      <c r="G1955" s="14" t="s">
        <v>1911</v>
      </c>
      <c r="H1955" s="14"/>
      <c r="I1955" s="176"/>
      <c r="K1955" s="87"/>
      <c r="L1955" s="14"/>
      <c r="M1955" s="324">
        <f t="shared" si="260"/>
        <v>0</v>
      </c>
      <c r="N1955" s="14"/>
      <c r="O1955" s="14"/>
      <c r="P1955" s="167"/>
      <c r="Q1955" s="14"/>
      <c r="R1955" s="170">
        <f t="shared" si="258"/>
        <v>0</v>
      </c>
      <c r="S1955" s="108" t="str">
        <f t="shared" si="259"/>
        <v/>
      </c>
      <c r="T1955" s="14"/>
      <c r="U1955" s="14"/>
      <c r="V1955" s="14"/>
      <c r="W1955" s="14"/>
      <c r="X1955" s="14"/>
      <c r="Z1955" s="14"/>
      <c r="AA1955" s="2">
        <f t="shared" si="261"/>
        <v>3</v>
      </c>
      <c r="AB1955" s="153"/>
      <c r="AC1955" s="454" t="str">
        <f t="shared" si="262"/>
        <v/>
      </c>
    </row>
    <row r="1956" spans="1:29" x14ac:dyDescent="0.35">
      <c r="A1956" s="111" t="str">
        <f t="shared" si="263"/>
        <v/>
      </c>
      <c r="B1956" s="222"/>
      <c r="C1956" s="14"/>
      <c r="D1956" s="14"/>
      <c r="E1956" s="14"/>
      <c r="F1956" s="14"/>
      <c r="G1956" s="14" t="s">
        <v>1911</v>
      </c>
      <c r="H1956" s="14"/>
      <c r="I1956" s="176"/>
      <c r="K1956" s="87"/>
      <c r="L1956" s="14"/>
      <c r="M1956" s="324">
        <f t="shared" si="260"/>
        <v>0</v>
      </c>
      <c r="N1956" s="14"/>
      <c r="O1956" s="14"/>
      <c r="P1956" s="167"/>
      <c r="Q1956" s="14"/>
      <c r="R1956" s="170">
        <f t="shared" si="258"/>
        <v>0</v>
      </c>
      <c r="S1956" s="108" t="str">
        <f t="shared" si="259"/>
        <v/>
      </c>
      <c r="T1956" s="14"/>
      <c r="U1956" s="14"/>
      <c r="V1956" s="14"/>
      <c r="W1956" s="14"/>
      <c r="X1956" s="14"/>
      <c r="Z1956" s="14"/>
      <c r="AA1956" s="2">
        <f t="shared" si="261"/>
        <v>3</v>
      </c>
      <c r="AB1956" s="153"/>
      <c r="AC1956" s="454" t="str">
        <f t="shared" si="262"/>
        <v/>
      </c>
    </row>
    <row r="1957" spans="1:29" x14ac:dyDescent="0.35">
      <c r="A1957" s="111" t="str">
        <f t="shared" si="263"/>
        <v/>
      </c>
      <c r="B1957" s="222"/>
      <c r="C1957" s="14"/>
      <c r="D1957" s="14"/>
      <c r="E1957" s="14"/>
      <c r="F1957" s="14"/>
      <c r="G1957" s="14" t="s">
        <v>1911</v>
      </c>
      <c r="H1957" s="14"/>
      <c r="I1957" s="176"/>
      <c r="K1957" s="87"/>
      <c r="L1957" s="14"/>
      <c r="M1957" s="324">
        <f t="shared" si="260"/>
        <v>0</v>
      </c>
      <c r="N1957" s="14"/>
      <c r="O1957" s="14"/>
      <c r="P1957" s="167"/>
      <c r="Q1957" s="14"/>
      <c r="R1957" s="170">
        <f t="shared" si="258"/>
        <v>0</v>
      </c>
      <c r="S1957" s="108" t="str">
        <f t="shared" si="259"/>
        <v/>
      </c>
      <c r="T1957" s="14"/>
      <c r="U1957" s="14"/>
      <c r="V1957" s="14"/>
      <c r="W1957" s="14"/>
      <c r="X1957" s="14"/>
      <c r="Z1957" s="14"/>
      <c r="AA1957" s="2">
        <f t="shared" si="261"/>
        <v>3</v>
      </c>
      <c r="AB1957" s="153"/>
      <c r="AC1957" s="454" t="str">
        <f t="shared" si="262"/>
        <v/>
      </c>
    </row>
    <row r="1958" spans="1:29" x14ac:dyDescent="0.35">
      <c r="A1958" s="111" t="str">
        <f t="shared" si="263"/>
        <v/>
      </c>
      <c r="B1958" s="222"/>
      <c r="C1958" s="14"/>
      <c r="D1958" s="14"/>
      <c r="E1958" s="14"/>
      <c r="F1958" s="14"/>
      <c r="G1958" s="14" t="s">
        <v>1911</v>
      </c>
      <c r="H1958" s="14"/>
      <c r="I1958" s="176"/>
      <c r="K1958" s="87"/>
      <c r="L1958" s="14"/>
      <c r="M1958" s="324">
        <f t="shared" si="260"/>
        <v>0</v>
      </c>
      <c r="N1958" s="14"/>
      <c r="O1958" s="14"/>
      <c r="P1958" s="167"/>
      <c r="Q1958" s="14"/>
      <c r="R1958" s="170">
        <f t="shared" si="258"/>
        <v>0</v>
      </c>
      <c r="S1958" s="108" t="str">
        <f t="shared" si="259"/>
        <v/>
      </c>
      <c r="T1958" s="14"/>
      <c r="U1958" s="14"/>
      <c r="V1958" s="14"/>
      <c r="W1958" s="14"/>
      <c r="X1958" s="14"/>
      <c r="Z1958" s="14"/>
      <c r="AA1958" s="2">
        <f t="shared" si="261"/>
        <v>3</v>
      </c>
      <c r="AB1958" s="153"/>
      <c r="AC1958" s="454" t="str">
        <f t="shared" si="262"/>
        <v/>
      </c>
    </row>
    <row r="1959" spans="1:29" x14ac:dyDescent="0.35">
      <c r="A1959" s="111" t="str">
        <f t="shared" si="263"/>
        <v/>
      </c>
      <c r="B1959" s="222"/>
      <c r="C1959" s="14"/>
      <c r="D1959" s="14"/>
      <c r="E1959" s="14"/>
      <c r="F1959" s="14"/>
      <c r="G1959" s="14" t="s">
        <v>1911</v>
      </c>
      <c r="H1959" s="14"/>
      <c r="I1959" s="176"/>
      <c r="K1959" s="87"/>
      <c r="L1959" s="14"/>
      <c r="M1959" s="324">
        <f t="shared" si="260"/>
        <v>0</v>
      </c>
      <c r="N1959" s="14"/>
      <c r="O1959" s="14"/>
      <c r="P1959" s="167"/>
      <c r="Q1959" s="14"/>
      <c r="R1959" s="170">
        <f t="shared" si="258"/>
        <v>0</v>
      </c>
      <c r="S1959" s="108" t="str">
        <f t="shared" si="259"/>
        <v/>
      </c>
      <c r="T1959" s="14"/>
      <c r="U1959" s="14"/>
      <c r="V1959" s="14"/>
      <c r="W1959" s="14"/>
      <c r="X1959" s="14"/>
      <c r="Z1959" s="14"/>
      <c r="AA1959" s="2">
        <f t="shared" si="261"/>
        <v>3</v>
      </c>
      <c r="AB1959" s="153"/>
      <c r="AC1959" s="454" t="str">
        <f t="shared" si="262"/>
        <v/>
      </c>
    </row>
    <row r="1960" spans="1:29" x14ac:dyDescent="0.35">
      <c r="A1960" s="111" t="str">
        <f t="shared" si="263"/>
        <v/>
      </c>
      <c r="B1960" s="222"/>
      <c r="C1960" s="14"/>
      <c r="D1960" s="14"/>
      <c r="E1960" s="14"/>
      <c r="F1960" s="14"/>
      <c r="G1960" s="14" t="s">
        <v>1911</v>
      </c>
      <c r="H1960" s="14"/>
      <c r="I1960" s="176"/>
      <c r="K1960" s="87"/>
      <c r="L1960" s="14"/>
      <c r="M1960" s="324">
        <f t="shared" si="260"/>
        <v>0</v>
      </c>
      <c r="N1960" s="14"/>
      <c r="O1960" s="14"/>
      <c r="P1960" s="167"/>
      <c r="Q1960" s="14"/>
      <c r="R1960" s="170">
        <f t="shared" si="258"/>
        <v>0</v>
      </c>
      <c r="S1960" s="108" t="str">
        <f t="shared" si="259"/>
        <v/>
      </c>
      <c r="T1960" s="14"/>
      <c r="U1960" s="14"/>
      <c r="V1960" s="14"/>
      <c r="W1960" s="14"/>
      <c r="X1960" s="14"/>
      <c r="Z1960" s="14"/>
      <c r="AA1960" s="2">
        <f t="shared" si="261"/>
        <v>3</v>
      </c>
      <c r="AB1960" s="153"/>
      <c r="AC1960" s="454" t="str">
        <f t="shared" si="262"/>
        <v/>
      </c>
    </row>
    <row r="1961" spans="1:29" x14ac:dyDescent="0.35">
      <c r="A1961" s="111" t="str">
        <f t="shared" si="263"/>
        <v/>
      </c>
      <c r="B1961" s="222"/>
      <c r="C1961" s="14"/>
      <c r="D1961" s="14"/>
      <c r="E1961" s="14"/>
      <c r="F1961" s="14"/>
      <c r="G1961" s="14" t="s">
        <v>1911</v>
      </c>
      <c r="H1961" s="14"/>
      <c r="I1961" s="176"/>
      <c r="K1961" s="87"/>
      <c r="L1961" s="14"/>
      <c r="M1961" s="324">
        <f t="shared" si="260"/>
        <v>0</v>
      </c>
      <c r="N1961" s="14"/>
      <c r="O1961" s="14"/>
      <c r="P1961" s="167"/>
      <c r="Q1961" s="14"/>
      <c r="R1961" s="170">
        <f t="shared" si="258"/>
        <v>0</v>
      </c>
      <c r="S1961" s="108" t="str">
        <f t="shared" si="259"/>
        <v/>
      </c>
      <c r="T1961" s="14"/>
      <c r="U1961" s="14"/>
      <c r="V1961" s="14"/>
      <c r="W1961" s="14"/>
      <c r="X1961" s="14"/>
      <c r="Z1961" s="14"/>
      <c r="AA1961" s="2">
        <f t="shared" si="261"/>
        <v>3</v>
      </c>
      <c r="AB1961" s="153"/>
      <c r="AC1961" s="454" t="str">
        <f t="shared" si="262"/>
        <v/>
      </c>
    </row>
    <row r="1962" spans="1:29" x14ac:dyDescent="0.35">
      <c r="A1962" s="111" t="str">
        <f t="shared" si="263"/>
        <v/>
      </c>
      <c r="B1962" s="222"/>
      <c r="C1962" s="14"/>
      <c r="D1962" s="14"/>
      <c r="E1962" s="14"/>
      <c r="F1962" s="14"/>
      <c r="G1962" s="14" t="s">
        <v>1911</v>
      </c>
      <c r="H1962" s="14"/>
      <c r="I1962" s="176"/>
      <c r="K1962" s="87"/>
      <c r="L1962" s="14"/>
      <c r="M1962" s="324">
        <f t="shared" si="260"/>
        <v>0</v>
      </c>
      <c r="N1962" s="14"/>
      <c r="O1962" s="14"/>
      <c r="P1962" s="167"/>
      <c r="Q1962" s="14"/>
      <c r="R1962" s="170">
        <f t="shared" si="258"/>
        <v>0</v>
      </c>
      <c r="S1962" s="108" t="str">
        <f t="shared" si="259"/>
        <v/>
      </c>
      <c r="T1962" s="14"/>
      <c r="U1962" s="14"/>
      <c r="V1962" s="14"/>
      <c r="W1962" s="14"/>
      <c r="X1962" s="14"/>
      <c r="Z1962" s="14"/>
      <c r="AA1962" s="2">
        <f t="shared" si="261"/>
        <v>3</v>
      </c>
      <c r="AB1962" s="153"/>
      <c r="AC1962" s="454" t="str">
        <f t="shared" si="262"/>
        <v/>
      </c>
    </row>
    <row r="1963" spans="1:29" x14ac:dyDescent="0.35">
      <c r="A1963" s="111" t="str">
        <f t="shared" si="263"/>
        <v/>
      </c>
      <c r="B1963" s="222"/>
      <c r="C1963" s="14"/>
      <c r="D1963" s="14"/>
      <c r="E1963" s="14"/>
      <c r="F1963" s="14"/>
      <c r="G1963" s="14" t="s">
        <v>1911</v>
      </c>
      <c r="H1963" s="14"/>
      <c r="I1963" s="176"/>
      <c r="K1963" s="87"/>
      <c r="L1963" s="14"/>
      <c r="M1963" s="324">
        <f t="shared" si="260"/>
        <v>0</v>
      </c>
      <c r="N1963" s="14"/>
      <c r="O1963" s="14"/>
      <c r="P1963" s="167"/>
      <c r="Q1963" s="14"/>
      <c r="R1963" s="170">
        <f t="shared" si="258"/>
        <v>0</v>
      </c>
      <c r="S1963" s="108" t="str">
        <f t="shared" si="259"/>
        <v/>
      </c>
      <c r="T1963" s="14"/>
      <c r="U1963" s="14"/>
      <c r="V1963" s="14"/>
      <c r="W1963" s="14"/>
      <c r="X1963" s="14"/>
      <c r="Z1963" s="14"/>
      <c r="AA1963" s="2">
        <f t="shared" si="261"/>
        <v>3</v>
      </c>
      <c r="AB1963" s="153"/>
      <c r="AC1963" s="454" t="str">
        <f t="shared" si="262"/>
        <v/>
      </c>
    </row>
    <row r="1964" spans="1:29" x14ac:dyDescent="0.35">
      <c r="A1964" s="111" t="str">
        <f t="shared" si="263"/>
        <v/>
      </c>
      <c r="B1964" s="222"/>
      <c r="C1964" s="14"/>
      <c r="D1964" s="14"/>
      <c r="E1964" s="14"/>
      <c r="F1964" s="14"/>
      <c r="G1964" s="14" t="s">
        <v>1911</v>
      </c>
      <c r="H1964" s="14"/>
      <c r="I1964" s="176"/>
      <c r="K1964" s="87"/>
      <c r="L1964" s="14"/>
      <c r="M1964" s="324">
        <f t="shared" si="260"/>
        <v>0</v>
      </c>
      <c r="N1964" s="14"/>
      <c r="O1964" s="14"/>
      <c r="P1964" s="167"/>
      <c r="Q1964" s="14"/>
      <c r="R1964" s="170">
        <f t="shared" si="258"/>
        <v>0</v>
      </c>
      <c r="S1964" s="108" t="str">
        <f t="shared" si="259"/>
        <v/>
      </c>
      <c r="T1964" s="14"/>
      <c r="U1964" s="14"/>
      <c r="V1964" s="14"/>
      <c r="W1964" s="14"/>
      <c r="X1964" s="14"/>
      <c r="Z1964" s="14"/>
      <c r="AA1964" s="2">
        <f t="shared" si="261"/>
        <v>3</v>
      </c>
      <c r="AB1964" s="153"/>
      <c r="AC1964" s="454" t="str">
        <f t="shared" si="262"/>
        <v/>
      </c>
    </row>
    <row r="1965" spans="1:29" x14ac:dyDescent="0.35">
      <c r="A1965" s="111" t="str">
        <f t="shared" si="263"/>
        <v/>
      </c>
      <c r="B1965" s="222"/>
      <c r="C1965" s="14"/>
      <c r="D1965" s="14"/>
      <c r="E1965" s="14"/>
      <c r="F1965" s="14"/>
      <c r="G1965" s="14" t="s">
        <v>1911</v>
      </c>
      <c r="H1965" s="14"/>
      <c r="I1965" s="176"/>
      <c r="K1965" s="87"/>
      <c r="L1965" s="14"/>
      <c r="M1965" s="324">
        <f t="shared" si="260"/>
        <v>0</v>
      </c>
      <c r="N1965" s="14"/>
      <c r="O1965" s="14"/>
      <c r="P1965" s="167"/>
      <c r="Q1965" s="14"/>
      <c r="R1965" s="170">
        <f t="shared" ref="R1965:R2028" si="264">IF(I1965="Staff Accident","Entry Required",IF(I1965="Assaults","Entry Required",0))</f>
        <v>0</v>
      </c>
      <c r="S1965" s="108" t="str">
        <f t="shared" si="259"/>
        <v/>
      </c>
      <c r="T1965" s="14"/>
      <c r="U1965" s="14"/>
      <c r="V1965" s="14"/>
      <c r="W1965" s="14"/>
      <c r="X1965" s="14"/>
      <c r="Z1965" s="14"/>
      <c r="AA1965" s="2">
        <f t="shared" si="261"/>
        <v>3</v>
      </c>
      <c r="AB1965" s="153"/>
      <c r="AC1965" s="454" t="str">
        <f t="shared" si="262"/>
        <v/>
      </c>
    </row>
    <row r="1966" spans="1:29" x14ac:dyDescent="0.35">
      <c r="A1966" s="111" t="str">
        <f t="shared" si="263"/>
        <v/>
      </c>
      <c r="B1966" s="222"/>
      <c r="C1966" s="14"/>
      <c r="D1966" s="14"/>
      <c r="E1966" s="14"/>
      <c r="F1966" s="14"/>
      <c r="G1966" s="14" t="s">
        <v>1911</v>
      </c>
      <c r="H1966" s="14"/>
      <c r="I1966" s="176"/>
      <c r="K1966" s="87"/>
      <c r="L1966" s="14"/>
      <c r="M1966" s="324">
        <f t="shared" si="260"/>
        <v>0</v>
      </c>
      <c r="N1966" s="14"/>
      <c r="O1966" s="14"/>
      <c r="P1966" s="167"/>
      <c r="Q1966" s="14"/>
      <c r="R1966" s="170">
        <f t="shared" si="264"/>
        <v>0</v>
      </c>
      <c r="S1966" s="108" t="str">
        <f t="shared" si="259"/>
        <v/>
      </c>
      <c r="T1966" s="14"/>
      <c r="U1966" s="14"/>
      <c r="V1966" s="14"/>
      <c r="W1966" s="14"/>
      <c r="X1966" s="14"/>
      <c r="Z1966" s="14"/>
      <c r="AA1966" s="2">
        <f t="shared" si="261"/>
        <v>3</v>
      </c>
      <c r="AB1966" s="153"/>
      <c r="AC1966" s="454" t="str">
        <f t="shared" si="262"/>
        <v/>
      </c>
    </row>
    <row r="1967" spans="1:29" x14ac:dyDescent="0.35">
      <c r="A1967" s="111" t="str">
        <f t="shared" si="263"/>
        <v/>
      </c>
      <c r="B1967" s="222"/>
      <c r="C1967" s="14"/>
      <c r="D1967" s="14"/>
      <c r="E1967" s="14"/>
      <c r="F1967" s="14"/>
      <c r="G1967" s="14" t="s">
        <v>1911</v>
      </c>
      <c r="H1967" s="14"/>
      <c r="I1967" s="176"/>
      <c r="K1967" s="87"/>
      <c r="L1967" s="14"/>
      <c r="M1967" s="324">
        <f t="shared" si="260"/>
        <v>0</v>
      </c>
      <c r="N1967" s="14"/>
      <c r="O1967" s="14"/>
      <c r="P1967" s="167"/>
      <c r="Q1967" s="14"/>
      <c r="R1967" s="170">
        <f t="shared" si="264"/>
        <v>0</v>
      </c>
      <c r="S1967" s="108" t="str">
        <f t="shared" si="259"/>
        <v/>
      </c>
      <c r="T1967" s="14"/>
      <c r="U1967" s="14"/>
      <c r="V1967" s="14"/>
      <c r="W1967" s="14"/>
      <c r="X1967" s="14"/>
      <c r="Z1967" s="14"/>
      <c r="AA1967" s="2">
        <f t="shared" si="261"/>
        <v>3</v>
      </c>
      <c r="AB1967" s="153"/>
      <c r="AC1967" s="454" t="str">
        <f t="shared" si="262"/>
        <v/>
      </c>
    </row>
    <row r="1968" spans="1:29" x14ac:dyDescent="0.35">
      <c r="A1968" s="111" t="str">
        <f t="shared" si="263"/>
        <v/>
      </c>
      <c r="B1968" s="222"/>
      <c r="C1968" s="14"/>
      <c r="D1968" s="14"/>
      <c r="E1968" s="14"/>
      <c r="F1968" s="14"/>
      <c r="G1968" s="14" t="s">
        <v>1911</v>
      </c>
      <c r="H1968" s="14"/>
      <c r="I1968" s="176"/>
      <c r="K1968" s="87"/>
      <c r="L1968" s="14"/>
      <c r="M1968" s="324">
        <f t="shared" si="260"/>
        <v>0</v>
      </c>
      <c r="N1968" s="14"/>
      <c r="O1968" s="14"/>
      <c r="P1968" s="167"/>
      <c r="Q1968" s="14"/>
      <c r="R1968" s="170">
        <f t="shared" si="264"/>
        <v>0</v>
      </c>
      <c r="S1968" s="108" t="str">
        <f t="shared" si="259"/>
        <v/>
      </c>
      <c r="T1968" s="14"/>
      <c r="U1968" s="14"/>
      <c r="V1968" s="14"/>
      <c r="W1968" s="14"/>
      <c r="X1968" s="14"/>
      <c r="Z1968" s="14"/>
      <c r="AA1968" s="2">
        <f t="shared" si="261"/>
        <v>3</v>
      </c>
      <c r="AB1968" s="153"/>
      <c r="AC1968" s="454" t="str">
        <f t="shared" si="262"/>
        <v/>
      </c>
    </row>
    <row r="1969" spans="1:29" x14ac:dyDescent="0.35">
      <c r="A1969" s="111" t="str">
        <f t="shared" si="263"/>
        <v/>
      </c>
      <c r="B1969" s="222"/>
      <c r="C1969" s="14"/>
      <c r="D1969" s="14"/>
      <c r="E1969" s="14"/>
      <c r="F1969" s="14"/>
      <c r="G1969" s="14" t="s">
        <v>1911</v>
      </c>
      <c r="H1969" s="14"/>
      <c r="I1969" s="176"/>
      <c r="K1969" s="87"/>
      <c r="L1969" s="14"/>
      <c r="M1969" s="324">
        <f t="shared" si="260"/>
        <v>0</v>
      </c>
      <c r="N1969" s="14"/>
      <c r="O1969" s="14"/>
      <c r="P1969" s="167"/>
      <c r="Q1969" s="14"/>
      <c r="R1969" s="170">
        <f t="shared" si="264"/>
        <v>0</v>
      </c>
      <c r="S1969" s="108" t="str">
        <f t="shared" si="259"/>
        <v/>
      </c>
      <c r="T1969" s="14"/>
      <c r="U1969" s="14"/>
      <c r="V1969" s="14"/>
      <c r="W1969" s="14"/>
      <c r="X1969" s="14"/>
      <c r="Z1969" s="14"/>
      <c r="AA1969" s="2">
        <f t="shared" si="261"/>
        <v>3</v>
      </c>
      <c r="AB1969" s="153"/>
      <c r="AC1969" s="454" t="str">
        <f t="shared" si="262"/>
        <v/>
      </c>
    </row>
    <row r="1970" spans="1:29" x14ac:dyDescent="0.35">
      <c r="A1970" s="111" t="str">
        <f t="shared" si="263"/>
        <v/>
      </c>
      <c r="B1970" s="222"/>
      <c r="C1970" s="14"/>
      <c r="D1970" s="14"/>
      <c r="E1970" s="14"/>
      <c r="F1970" s="14"/>
      <c r="G1970" s="14" t="s">
        <v>1911</v>
      </c>
      <c r="H1970" s="14"/>
      <c r="I1970" s="176"/>
      <c r="K1970" s="87"/>
      <c r="L1970" s="14"/>
      <c r="M1970" s="324">
        <f t="shared" si="260"/>
        <v>0</v>
      </c>
      <c r="N1970" s="14"/>
      <c r="O1970" s="14"/>
      <c r="P1970" s="167"/>
      <c r="Q1970" s="14"/>
      <c r="R1970" s="170">
        <f t="shared" si="264"/>
        <v>0</v>
      </c>
      <c r="S1970" s="108" t="str">
        <f t="shared" si="259"/>
        <v/>
      </c>
      <c r="T1970" s="14"/>
      <c r="U1970" s="14"/>
      <c r="V1970" s="14"/>
      <c r="W1970" s="14"/>
      <c r="X1970" s="14"/>
      <c r="Z1970" s="14"/>
      <c r="AA1970" s="2">
        <f t="shared" si="261"/>
        <v>3</v>
      </c>
      <c r="AB1970" s="153"/>
      <c r="AC1970" s="454" t="str">
        <f t="shared" si="262"/>
        <v/>
      </c>
    </row>
    <row r="1971" spans="1:29" x14ac:dyDescent="0.35">
      <c r="A1971" s="111" t="str">
        <f t="shared" si="263"/>
        <v/>
      </c>
      <c r="B1971" s="222"/>
      <c r="C1971" s="14"/>
      <c r="D1971" s="14"/>
      <c r="E1971" s="14"/>
      <c r="F1971" s="14"/>
      <c r="G1971" s="14" t="s">
        <v>1911</v>
      </c>
      <c r="H1971" s="14"/>
      <c r="I1971" s="176"/>
      <c r="K1971" s="87"/>
      <c r="L1971" s="14"/>
      <c r="M1971" s="324">
        <f t="shared" si="260"/>
        <v>0</v>
      </c>
      <c r="N1971" s="14"/>
      <c r="O1971" s="14"/>
      <c r="P1971" s="167"/>
      <c r="Q1971" s="14"/>
      <c r="R1971" s="170">
        <f t="shared" si="264"/>
        <v>0</v>
      </c>
      <c r="S1971" s="108" t="str">
        <f t="shared" si="259"/>
        <v/>
      </c>
      <c r="T1971" s="14"/>
      <c r="U1971" s="14"/>
      <c r="V1971" s="14"/>
      <c r="W1971" s="14"/>
      <c r="X1971" s="14"/>
      <c r="Z1971" s="14"/>
      <c r="AA1971" s="2">
        <f t="shared" si="261"/>
        <v>3</v>
      </c>
      <c r="AB1971" s="153"/>
      <c r="AC1971" s="454" t="str">
        <f t="shared" si="262"/>
        <v/>
      </c>
    </row>
    <row r="1972" spans="1:29" x14ac:dyDescent="0.35">
      <c r="A1972" s="111" t="str">
        <f t="shared" si="263"/>
        <v/>
      </c>
      <c r="B1972" s="222"/>
      <c r="C1972" s="14"/>
      <c r="D1972" s="14"/>
      <c r="E1972" s="14"/>
      <c r="F1972" s="14"/>
      <c r="G1972" s="14" t="s">
        <v>1911</v>
      </c>
      <c r="H1972" s="14"/>
      <c r="I1972" s="176"/>
      <c r="K1972" s="87"/>
      <c r="L1972" s="14"/>
      <c r="M1972" s="324">
        <f t="shared" si="260"/>
        <v>0</v>
      </c>
      <c r="N1972" s="14"/>
      <c r="O1972" s="14"/>
      <c r="P1972" s="167"/>
      <c r="Q1972" s="14"/>
      <c r="R1972" s="170">
        <f t="shared" si="264"/>
        <v>0</v>
      </c>
      <c r="S1972" s="108" t="str">
        <f t="shared" si="259"/>
        <v/>
      </c>
      <c r="T1972" s="14"/>
      <c r="U1972" s="14"/>
      <c r="V1972" s="14"/>
      <c r="W1972" s="14"/>
      <c r="X1972" s="14"/>
      <c r="Z1972" s="14"/>
      <c r="AA1972" s="2">
        <f t="shared" si="261"/>
        <v>3</v>
      </c>
      <c r="AB1972" s="153"/>
      <c r="AC1972" s="454" t="str">
        <f t="shared" si="262"/>
        <v/>
      </c>
    </row>
    <row r="1973" spans="1:29" x14ac:dyDescent="0.35">
      <c r="A1973" s="111" t="str">
        <f t="shared" si="263"/>
        <v/>
      </c>
      <c r="B1973" s="222"/>
      <c r="C1973" s="14"/>
      <c r="D1973" s="14"/>
      <c r="E1973" s="14"/>
      <c r="F1973" s="14"/>
      <c r="G1973" s="14" t="s">
        <v>1911</v>
      </c>
      <c r="H1973" s="14"/>
      <c r="I1973" s="176"/>
      <c r="K1973" s="87"/>
      <c r="L1973" s="14"/>
      <c r="M1973" s="324">
        <f t="shared" si="260"/>
        <v>0</v>
      </c>
      <c r="N1973" s="14"/>
      <c r="O1973" s="14"/>
      <c r="P1973" s="167"/>
      <c r="Q1973" s="14"/>
      <c r="R1973" s="170">
        <f t="shared" si="264"/>
        <v>0</v>
      </c>
      <c r="S1973" s="108" t="str">
        <f t="shared" si="259"/>
        <v/>
      </c>
      <c r="T1973" s="14"/>
      <c r="U1973" s="14"/>
      <c r="V1973" s="14"/>
      <c r="W1973" s="14"/>
      <c r="X1973" s="14"/>
      <c r="Z1973" s="14"/>
      <c r="AA1973" s="2">
        <f t="shared" si="261"/>
        <v>3</v>
      </c>
      <c r="AB1973" s="153"/>
      <c r="AC1973" s="454" t="str">
        <f t="shared" si="262"/>
        <v/>
      </c>
    </row>
    <row r="1974" spans="1:29" x14ac:dyDescent="0.35">
      <c r="A1974" s="111" t="str">
        <f t="shared" si="263"/>
        <v/>
      </c>
      <c r="B1974" s="222"/>
      <c r="C1974" s="14"/>
      <c r="D1974" s="14"/>
      <c r="E1974" s="14"/>
      <c r="F1974" s="14"/>
      <c r="G1974" s="14" t="s">
        <v>1911</v>
      </c>
      <c r="H1974" s="14"/>
      <c r="I1974" s="176"/>
      <c r="K1974" s="87"/>
      <c r="L1974" s="14"/>
      <c r="M1974" s="324">
        <f t="shared" si="260"/>
        <v>0</v>
      </c>
      <c r="N1974" s="14"/>
      <c r="O1974" s="14"/>
      <c r="P1974" s="167"/>
      <c r="Q1974" s="14"/>
      <c r="R1974" s="170">
        <f t="shared" si="264"/>
        <v>0</v>
      </c>
      <c r="S1974" s="108" t="str">
        <f t="shared" si="259"/>
        <v/>
      </c>
      <c r="T1974" s="14"/>
      <c r="U1974" s="14"/>
      <c r="V1974" s="14"/>
      <c r="W1974" s="14"/>
      <c r="X1974" s="14"/>
      <c r="Z1974" s="14"/>
      <c r="AA1974" s="2">
        <f t="shared" si="261"/>
        <v>3</v>
      </c>
      <c r="AB1974" s="153"/>
      <c r="AC1974" s="454" t="str">
        <f t="shared" si="262"/>
        <v/>
      </c>
    </row>
    <row r="1975" spans="1:29" x14ac:dyDescent="0.35">
      <c r="A1975" s="111" t="str">
        <f t="shared" si="263"/>
        <v/>
      </c>
      <c r="B1975" s="222"/>
      <c r="C1975" s="14"/>
      <c r="D1975" s="14"/>
      <c r="E1975" s="14"/>
      <c r="F1975" s="14"/>
      <c r="G1975" s="14" t="s">
        <v>1911</v>
      </c>
      <c r="H1975" s="14"/>
      <c r="I1975" s="176"/>
      <c r="K1975" s="87"/>
      <c r="L1975" s="14"/>
      <c r="M1975" s="324">
        <f t="shared" si="260"/>
        <v>0</v>
      </c>
      <c r="N1975" s="14"/>
      <c r="O1975" s="14"/>
      <c r="P1975" s="167"/>
      <c r="Q1975" s="14"/>
      <c r="R1975" s="170">
        <f t="shared" si="264"/>
        <v>0</v>
      </c>
      <c r="S1975" s="108" t="str">
        <f t="shared" si="259"/>
        <v/>
      </c>
      <c r="T1975" s="14"/>
      <c r="U1975" s="14"/>
      <c r="V1975" s="14"/>
      <c r="W1975" s="14"/>
      <c r="X1975" s="14"/>
      <c r="Z1975" s="14"/>
      <c r="AA1975" s="2">
        <f t="shared" si="261"/>
        <v>3</v>
      </c>
      <c r="AB1975" s="153"/>
      <c r="AC1975" s="454" t="str">
        <f t="shared" si="262"/>
        <v/>
      </c>
    </row>
    <row r="1976" spans="1:29" x14ac:dyDescent="0.35">
      <c r="A1976" s="111" t="str">
        <f t="shared" si="263"/>
        <v/>
      </c>
      <c r="B1976" s="222"/>
      <c r="C1976" s="14"/>
      <c r="D1976" s="14"/>
      <c r="E1976" s="14"/>
      <c r="F1976" s="14"/>
      <c r="G1976" s="14" t="s">
        <v>1911</v>
      </c>
      <c r="H1976" s="14"/>
      <c r="I1976" s="176"/>
      <c r="K1976" s="87"/>
      <c r="L1976" s="14"/>
      <c r="M1976" s="324">
        <f t="shared" si="260"/>
        <v>0</v>
      </c>
      <c r="N1976" s="14"/>
      <c r="O1976" s="14"/>
      <c r="P1976" s="167"/>
      <c r="Q1976" s="14"/>
      <c r="R1976" s="170">
        <f t="shared" si="264"/>
        <v>0</v>
      </c>
      <c r="S1976" s="108" t="str">
        <f t="shared" si="259"/>
        <v/>
      </c>
      <c r="T1976" s="14"/>
      <c r="U1976" s="14"/>
      <c r="V1976" s="14"/>
      <c r="W1976" s="14"/>
      <c r="X1976" s="14"/>
      <c r="Z1976" s="14"/>
      <c r="AA1976" s="2">
        <f t="shared" si="261"/>
        <v>3</v>
      </c>
      <c r="AB1976" s="153"/>
      <c r="AC1976" s="454" t="str">
        <f t="shared" si="262"/>
        <v/>
      </c>
    </row>
    <row r="1977" spans="1:29" x14ac:dyDescent="0.35">
      <c r="A1977" s="111" t="str">
        <f t="shared" si="263"/>
        <v/>
      </c>
      <c r="B1977" s="222"/>
      <c r="C1977" s="14"/>
      <c r="D1977" s="14"/>
      <c r="E1977" s="14"/>
      <c r="F1977" s="14"/>
      <c r="G1977" s="14" t="s">
        <v>1911</v>
      </c>
      <c r="H1977" s="14"/>
      <c r="I1977" s="176"/>
      <c r="K1977" s="87"/>
      <c r="L1977" s="14"/>
      <c r="M1977" s="324">
        <f t="shared" si="260"/>
        <v>0</v>
      </c>
      <c r="N1977" s="14"/>
      <c r="O1977" s="14"/>
      <c r="P1977" s="167"/>
      <c r="Q1977" s="14"/>
      <c r="R1977" s="170">
        <f t="shared" si="264"/>
        <v>0</v>
      </c>
      <c r="S1977" s="108" t="str">
        <f t="shared" si="259"/>
        <v/>
      </c>
      <c r="T1977" s="14"/>
      <c r="U1977" s="14"/>
      <c r="V1977" s="14"/>
      <c r="W1977" s="14"/>
      <c r="X1977" s="14"/>
      <c r="Z1977" s="14"/>
      <c r="AA1977" s="2">
        <f t="shared" si="261"/>
        <v>3</v>
      </c>
      <c r="AB1977" s="153"/>
      <c r="AC1977" s="454" t="str">
        <f t="shared" si="262"/>
        <v/>
      </c>
    </row>
    <row r="1978" spans="1:29" x14ac:dyDescent="0.35">
      <c r="A1978" s="111" t="str">
        <f t="shared" si="263"/>
        <v/>
      </c>
      <c r="B1978" s="222"/>
      <c r="C1978" s="14"/>
      <c r="D1978" s="14"/>
      <c r="E1978" s="14"/>
      <c r="F1978" s="14"/>
      <c r="G1978" s="14" t="s">
        <v>1911</v>
      </c>
      <c r="H1978" s="14"/>
      <c r="I1978" s="176"/>
      <c r="K1978" s="87"/>
      <c r="L1978" s="14"/>
      <c r="M1978" s="324">
        <f t="shared" si="260"/>
        <v>0</v>
      </c>
      <c r="N1978" s="14"/>
      <c r="O1978" s="14"/>
      <c r="P1978" s="167"/>
      <c r="Q1978" s="14"/>
      <c r="R1978" s="170">
        <f t="shared" si="264"/>
        <v>0</v>
      </c>
      <c r="S1978" s="108" t="str">
        <f t="shared" si="259"/>
        <v/>
      </c>
      <c r="T1978" s="14"/>
      <c r="U1978" s="14"/>
      <c r="V1978" s="14"/>
      <c r="W1978" s="14"/>
      <c r="X1978" s="14"/>
      <c r="Z1978" s="14"/>
      <c r="AA1978" s="2">
        <f t="shared" si="261"/>
        <v>3</v>
      </c>
      <c r="AB1978" s="153"/>
      <c r="AC1978" s="454" t="str">
        <f t="shared" si="262"/>
        <v/>
      </c>
    </row>
    <row r="1979" spans="1:29" x14ac:dyDescent="0.35">
      <c r="A1979" s="111" t="str">
        <f t="shared" si="263"/>
        <v/>
      </c>
      <c r="B1979" s="222"/>
      <c r="C1979" s="14"/>
      <c r="D1979" s="14"/>
      <c r="E1979" s="14"/>
      <c r="F1979" s="14"/>
      <c r="G1979" s="14" t="s">
        <v>1911</v>
      </c>
      <c r="H1979" s="14"/>
      <c r="I1979" s="176"/>
      <c r="K1979" s="87"/>
      <c r="L1979" s="14"/>
      <c r="M1979" s="324">
        <f t="shared" si="260"/>
        <v>0</v>
      </c>
      <c r="N1979" s="14"/>
      <c r="O1979" s="14"/>
      <c r="P1979" s="167"/>
      <c r="Q1979" s="14"/>
      <c r="R1979" s="170">
        <f t="shared" si="264"/>
        <v>0</v>
      </c>
      <c r="S1979" s="108" t="str">
        <f t="shared" si="259"/>
        <v/>
      </c>
      <c r="T1979" s="14"/>
      <c r="U1979" s="14"/>
      <c r="V1979" s="14"/>
      <c r="W1979" s="14"/>
      <c r="X1979" s="14"/>
      <c r="Z1979" s="14"/>
      <c r="AA1979" s="2">
        <f t="shared" si="261"/>
        <v>3</v>
      </c>
      <c r="AB1979" s="153"/>
      <c r="AC1979" s="454" t="str">
        <f t="shared" si="262"/>
        <v/>
      </c>
    </row>
    <row r="1980" spans="1:29" x14ac:dyDescent="0.35">
      <c r="A1980" s="111" t="str">
        <f t="shared" si="263"/>
        <v/>
      </c>
      <c r="B1980" s="222"/>
      <c r="C1980" s="14"/>
      <c r="D1980" s="14"/>
      <c r="E1980" s="14"/>
      <c r="F1980" s="14"/>
      <c r="G1980" s="14" t="s">
        <v>1911</v>
      </c>
      <c r="H1980" s="14"/>
      <c r="I1980" s="176"/>
      <c r="K1980" s="87"/>
      <c r="L1980" s="14"/>
      <c r="M1980" s="324">
        <f t="shared" si="260"/>
        <v>0</v>
      </c>
      <c r="N1980" s="14"/>
      <c r="O1980" s="14"/>
      <c r="P1980" s="167"/>
      <c r="Q1980" s="14"/>
      <c r="R1980" s="170">
        <f t="shared" si="264"/>
        <v>0</v>
      </c>
      <c r="S1980" s="108" t="str">
        <f t="shared" si="259"/>
        <v/>
      </c>
      <c r="T1980" s="14"/>
      <c r="U1980" s="14"/>
      <c r="V1980" s="14"/>
      <c r="W1980" s="14"/>
      <c r="X1980" s="14"/>
      <c r="Z1980" s="14"/>
      <c r="AA1980" s="2">
        <f t="shared" si="261"/>
        <v>3</v>
      </c>
      <c r="AB1980" s="153"/>
      <c r="AC1980" s="454" t="str">
        <f t="shared" si="262"/>
        <v/>
      </c>
    </row>
    <row r="1981" spans="1:29" x14ac:dyDescent="0.35">
      <c r="A1981" s="111" t="str">
        <f t="shared" si="263"/>
        <v/>
      </c>
      <c r="B1981" s="222"/>
      <c r="C1981" s="14"/>
      <c r="D1981" s="14"/>
      <c r="E1981" s="14"/>
      <c r="F1981" s="14"/>
      <c r="G1981" s="14" t="s">
        <v>1911</v>
      </c>
      <c r="H1981" s="14"/>
      <c r="I1981" s="176"/>
      <c r="K1981" s="87"/>
      <c r="L1981" s="14"/>
      <c r="M1981" s="324">
        <f t="shared" si="260"/>
        <v>0</v>
      </c>
      <c r="N1981" s="14"/>
      <c r="O1981" s="14"/>
      <c r="P1981" s="167"/>
      <c r="Q1981" s="14"/>
      <c r="R1981" s="170">
        <f t="shared" si="264"/>
        <v>0</v>
      </c>
      <c r="S1981" s="108" t="str">
        <f t="shared" si="259"/>
        <v/>
      </c>
      <c r="T1981" s="14"/>
      <c r="U1981" s="14"/>
      <c r="V1981" s="14"/>
      <c r="W1981" s="14"/>
      <c r="X1981" s="14"/>
      <c r="Z1981" s="14"/>
      <c r="AA1981" s="2">
        <f t="shared" si="261"/>
        <v>3</v>
      </c>
      <c r="AB1981" s="153"/>
      <c r="AC1981" s="454" t="str">
        <f t="shared" si="262"/>
        <v/>
      </c>
    </row>
    <row r="1982" spans="1:29" x14ac:dyDescent="0.35">
      <c r="A1982" s="111" t="str">
        <f t="shared" si="263"/>
        <v/>
      </c>
      <c r="B1982" s="222"/>
      <c r="C1982" s="14"/>
      <c r="D1982" s="14"/>
      <c r="E1982" s="14"/>
      <c r="F1982" s="14"/>
      <c r="G1982" s="14" t="s">
        <v>1911</v>
      </c>
      <c r="H1982" s="14"/>
      <c r="I1982" s="176"/>
      <c r="K1982" s="87"/>
      <c r="L1982" s="14"/>
      <c r="M1982" s="324">
        <f t="shared" si="260"/>
        <v>0</v>
      </c>
      <c r="N1982" s="14"/>
      <c r="O1982" s="14"/>
      <c r="P1982" s="167"/>
      <c r="Q1982" s="14"/>
      <c r="R1982" s="170">
        <f t="shared" si="264"/>
        <v>0</v>
      </c>
      <c r="S1982" s="108" t="str">
        <f t="shared" si="259"/>
        <v/>
      </c>
      <c r="T1982" s="14"/>
      <c r="U1982" s="14"/>
      <c r="V1982" s="14"/>
      <c r="W1982" s="14"/>
      <c r="X1982" s="14"/>
      <c r="Z1982" s="14"/>
      <c r="AA1982" s="2">
        <f t="shared" si="261"/>
        <v>3</v>
      </c>
      <c r="AB1982" s="153"/>
      <c r="AC1982" s="454" t="str">
        <f t="shared" si="262"/>
        <v/>
      </c>
    </row>
    <row r="1983" spans="1:29" x14ac:dyDescent="0.35">
      <c r="A1983" s="111" t="str">
        <f t="shared" si="263"/>
        <v/>
      </c>
      <c r="B1983" s="222"/>
      <c r="C1983" s="14"/>
      <c r="D1983" s="14"/>
      <c r="E1983" s="14"/>
      <c r="F1983" s="14"/>
      <c r="G1983" s="14" t="s">
        <v>1911</v>
      </c>
      <c r="H1983" s="14"/>
      <c r="I1983" s="176"/>
      <c r="K1983" s="87"/>
      <c r="L1983" s="14"/>
      <c r="M1983" s="324">
        <f t="shared" si="260"/>
        <v>0</v>
      </c>
      <c r="N1983" s="14"/>
      <c r="O1983" s="14"/>
      <c r="P1983" s="167"/>
      <c r="Q1983" s="14"/>
      <c r="R1983" s="170">
        <f t="shared" si="264"/>
        <v>0</v>
      </c>
      <c r="S1983" s="108" t="str">
        <f t="shared" si="259"/>
        <v/>
      </c>
      <c r="T1983" s="14"/>
      <c r="U1983" s="14"/>
      <c r="V1983" s="14"/>
      <c r="W1983" s="14"/>
      <c r="X1983" s="14"/>
      <c r="Z1983" s="14"/>
      <c r="AA1983" s="2">
        <f t="shared" si="261"/>
        <v>3</v>
      </c>
      <c r="AB1983" s="153"/>
      <c r="AC1983" s="454" t="str">
        <f t="shared" si="262"/>
        <v/>
      </c>
    </row>
    <row r="1984" spans="1:29" x14ac:dyDescent="0.35">
      <c r="A1984" s="111" t="str">
        <f t="shared" si="263"/>
        <v/>
      </c>
      <c r="B1984" s="222"/>
      <c r="C1984" s="14"/>
      <c r="D1984" s="14"/>
      <c r="E1984" s="14"/>
      <c r="F1984" s="14"/>
      <c r="G1984" s="14" t="s">
        <v>1911</v>
      </c>
      <c r="H1984" s="14"/>
      <c r="I1984" s="176"/>
      <c r="K1984" s="87"/>
      <c r="L1984" s="14"/>
      <c r="M1984" s="324">
        <f t="shared" si="260"/>
        <v>0</v>
      </c>
      <c r="N1984" s="14"/>
      <c r="O1984" s="14"/>
      <c r="P1984" s="167"/>
      <c r="Q1984" s="14"/>
      <c r="R1984" s="170">
        <f t="shared" si="264"/>
        <v>0</v>
      </c>
      <c r="S1984" s="108" t="str">
        <f t="shared" si="259"/>
        <v/>
      </c>
      <c r="T1984" s="14"/>
      <c r="U1984" s="14"/>
      <c r="V1984" s="14"/>
      <c r="W1984" s="14"/>
      <c r="X1984" s="14"/>
      <c r="Z1984" s="14"/>
      <c r="AA1984" s="2">
        <f t="shared" si="261"/>
        <v>3</v>
      </c>
      <c r="AB1984" s="153"/>
      <c r="AC1984" s="454" t="str">
        <f t="shared" si="262"/>
        <v/>
      </c>
    </row>
    <row r="1985" spans="1:29" x14ac:dyDescent="0.35">
      <c r="A1985" s="111" t="str">
        <f t="shared" si="263"/>
        <v/>
      </c>
      <c r="B1985" s="222"/>
      <c r="C1985" s="14"/>
      <c r="D1985" s="14"/>
      <c r="E1985" s="14"/>
      <c r="F1985" s="14"/>
      <c r="G1985" s="14" t="s">
        <v>1911</v>
      </c>
      <c r="H1985" s="14"/>
      <c r="I1985" s="176"/>
      <c r="K1985" s="87"/>
      <c r="L1985" s="14"/>
      <c r="M1985" s="324">
        <f t="shared" si="260"/>
        <v>0</v>
      </c>
      <c r="N1985" s="14"/>
      <c r="O1985" s="14"/>
      <c r="P1985" s="167"/>
      <c r="Q1985" s="14"/>
      <c r="R1985" s="170">
        <f t="shared" si="264"/>
        <v>0</v>
      </c>
      <c r="S1985" s="108" t="str">
        <f t="shared" si="259"/>
        <v/>
      </c>
      <c r="T1985" s="14"/>
      <c r="U1985" s="14"/>
      <c r="V1985" s="14"/>
      <c r="W1985" s="14"/>
      <c r="X1985" s="14"/>
      <c r="Z1985" s="14"/>
      <c r="AA1985" s="2">
        <f t="shared" si="261"/>
        <v>3</v>
      </c>
      <c r="AB1985" s="153"/>
      <c r="AC1985" s="454" t="str">
        <f t="shared" si="262"/>
        <v/>
      </c>
    </row>
    <row r="1986" spans="1:29" x14ac:dyDescent="0.35">
      <c r="A1986" s="111" t="str">
        <f t="shared" si="263"/>
        <v/>
      </c>
      <c r="B1986" s="222"/>
      <c r="C1986" s="14"/>
      <c r="D1986" s="14"/>
      <c r="E1986" s="14"/>
      <c r="F1986" s="14"/>
      <c r="G1986" s="14" t="s">
        <v>1911</v>
      </c>
      <c r="H1986" s="14"/>
      <c r="I1986" s="176"/>
      <c r="K1986" s="87"/>
      <c r="L1986" s="14"/>
      <c r="M1986" s="324">
        <f t="shared" si="260"/>
        <v>0</v>
      </c>
      <c r="N1986" s="14"/>
      <c r="O1986" s="14"/>
      <c r="P1986" s="167"/>
      <c r="Q1986" s="14"/>
      <c r="R1986" s="170">
        <f t="shared" si="264"/>
        <v>0</v>
      </c>
      <c r="S1986" s="108" t="str">
        <f t="shared" si="259"/>
        <v/>
      </c>
      <c r="T1986" s="14"/>
      <c r="U1986" s="14"/>
      <c r="V1986" s="14"/>
      <c r="W1986" s="14"/>
      <c r="X1986" s="14"/>
      <c r="Z1986" s="14"/>
      <c r="AA1986" s="2">
        <f t="shared" si="261"/>
        <v>3</v>
      </c>
      <c r="AB1986" s="153"/>
      <c r="AC1986" s="454" t="str">
        <f t="shared" si="262"/>
        <v/>
      </c>
    </row>
    <row r="1987" spans="1:29" x14ac:dyDescent="0.35">
      <c r="A1987" s="111" t="str">
        <f t="shared" si="263"/>
        <v/>
      </c>
      <c r="B1987" s="222"/>
      <c r="C1987" s="14"/>
      <c r="D1987" s="14"/>
      <c r="E1987" s="14"/>
      <c r="F1987" s="14"/>
      <c r="G1987" s="14" t="s">
        <v>1911</v>
      </c>
      <c r="H1987" s="14"/>
      <c r="I1987" s="176"/>
      <c r="K1987" s="87"/>
      <c r="L1987" s="14"/>
      <c r="M1987" s="324">
        <f t="shared" si="260"/>
        <v>0</v>
      </c>
      <c r="N1987" s="14"/>
      <c r="O1987" s="14"/>
      <c r="P1987" s="167"/>
      <c r="Q1987" s="14"/>
      <c r="R1987" s="170">
        <f t="shared" si="264"/>
        <v>0</v>
      </c>
      <c r="S1987" s="108" t="str">
        <f t="shared" si="259"/>
        <v/>
      </c>
      <c r="T1987" s="14"/>
      <c r="U1987" s="14"/>
      <c r="V1987" s="14"/>
      <c r="W1987" s="14"/>
      <c r="X1987" s="14"/>
      <c r="Z1987" s="14"/>
      <c r="AA1987" s="2">
        <f t="shared" si="261"/>
        <v>3</v>
      </c>
      <c r="AB1987" s="153"/>
      <c r="AC1987" s="454" t="str">
        <f t="shared" si="262"/>
        <v/>
      </c>
    </row>
    <row r="1988" spans="1:29" x14ac:dyDescent="0.35">
      <c r="A1988" s="111" t="str">
        <f t="shared" si="263"/>
        <v/>
      </c>
      <c r="B1988" s="222"/>
      <c r="C1988" s="14"/>
      <c r="D1988" s="14"/>
      <c r="E1988" s="14"/>
      <c r="F1988" s="14"/>
      <c r="G1988" s="14" t="s">
        <v>1911</v>
      </c>
      <c r="H1988" s="14"/>
      <c r="I1988" s="176"/>
      <c r="K1988" s="87"/>
      <c r="L1988" s="14"/>
      <c r="M1988" s="324">
        <f t="shared" si="260"/>
        <v>0</v>
      </c>
      <c r="N1988" s="14"/>
      <c r="O1988" s="14"/>
      <c r="P1988" s="167"/>
      <c r="Q1988" s="14"/>
      <c r="R1988" s="170">
        <f t="shared" si="264"/>
        <v>0</v>
      </c>
      <c r="S1988" s="108" t="str">
        <f t="shared" si="259"/>
        <v/>
      </c>
      <c r="T1988" s="14"/>
      <c r="U1988" s="14"/>
      <c r="V1988" s="14"/>
      <c r="W1988" s="14"/>
      <c r="X1988" s="14"/>
      <c r="Z1988" s="14"/>
      <c r="AA1988" s="2">
        <f t="shared" si="261"/>
        <v>3</v>
      </c>
      <c r="AB1988" s="153"/>
      <c r="AC1988" s="454" t="str">
        <f t="shared" si="262"/>
        <v/>
      </c>
    </row>
    <row r="1989" spans="1:29" x14ac:dyDescent="0.35">
      <c r="A1989" s="111" t="str">
        <f t="shared" si="263"/>
        <v/>
      </c>
      <c r="B1989" s="222"/>
      <c r="C1989" s="14"/>
      <c r="D1989" s="14"/>
      <c r="E1989" s="14"/>
      <c r="F1989" s="14"/>
      <c r="G1989" s="14" t="s">
        <v>1911</v>
      </c>
      <c r="H1989" s="14"/>
      <c r="I1989" s="176"/>
      <c r="K1989" s="87"/>
      <c r="L1989" s="14"/>
      <c r="M1989" s="324">
        <f t="shared" si="260"/>
        <v>0</v>
      </c>
      <c r="N1989" s="14"/>
      <c r="O1989" s="14"/>
      <c r="P1989" s="167"/>
      <c r="Q1989" s="14"/>
      <c r="R1989" s="170">
        <f t="shared" si="264"/>
        <v>0</v>
      </c>
      <c r="S1989" s="108" t="str">
        <f t="shared" ref="S1989:S2052" si="265">IF(B1989="","",B1989+28)</f>
        <v/>
      </c>
      <c r="T1989" s="14"/>
      <c r="U1989" s="14"/>
      <c r="V1989" s="14"/>
      <c r="W1989" s="14"/>
      <c r="X1989" s="14"/>
      <c r="Z1989" s="14"/>
      <c r="AA1989" s="2">
        <f t="shared" si="261"/>
        <v>3</v>
      </c>
      <c r="AB1989" s="153"/>
      <c r="AC1989" s="454" t="str">
        <f t="shared" si="262"/>
        <v/>
      </c>
    </row>
    <row r="1990" spans="1:29" x14ac:dyDescent="0.35">
      <c r="A1990" s="111" t="str">
        <f t="shared" si="263"/>
        <v/>
      </c>
      <c r="B1990" s="222"/>
      <c r="C1990" s="14"/>
      <c r="D1990" s="14"/>
      <c r="E1990" s="14"/>
      <c r="F1990" s="14"/>
      <c r="G1990" s="14" t="s">
        <v>1911</v>
      </c>
      <c r="H1990" s="14"/>
      <c r="I1990" s="176"/>
      <c r="K1990" s="87"/>
      <c r="L1990" s="14"/>
      <c r="M1990" s="324">
        <f t="shared" si="260"/>
        <v>0</v>
      </c>
      <c r="N1990" s="14"/>
      <c r="O1990" s="14"/>
      <c r="P1990" s="167"/>
      <c r="Q1990" s="14"/>
      <c r="R1990" s="170">
        <f t="shared" si="264"/>
        <v>0</v>
      </c>
      <c r="S1990" s="108" t="str">
        <f t="shared" si="265"/>
        <v/>
      </c>
      <c r="T1990" s="14"/>
      <c r="U1990" s="14"/>
      <c r="V1990" s="14"/>
      <c r="W1990" s="14"/>
      <c r="X1990" s="14"/>
      <c r="Z1990" s="14"/>
      <c r="AA1990" s="2">
        <f t="shared" si="261"/>
        <v>3</v>
      </c>
      <c r="AB1990" s="153"/>
      <c r="AC1990" s="454" t="str">
        <f t="shared" si="262"/>
        <v/>
      </c>
    </row>
    <row r="1991" spans="1:29" x14ac:dyDescent="0.35">
      <c r="A1991" s="111" t="str">
        <f t="shared" si="263"/>
        <v/>
      </c>
      <c r="B1991" s="222"/>
      <c r="C1991" s="14"/>
      <c r="D1991" s="14"/>
      <c r="E1991" s="14"/>
      <c r="F1991" s="14"/>
      <c r="G1991" s="14" t="s">
        <v>1911</v>
      </c>
      <c r="H1991" s="14"/>
      <c r="I1991" s="176"/>
      <c r="K1991" s="87"/>
      <c r="L1991" s="14"/>
      <c r="M1991" s="324">
        <f t="shared" si="260"/>
        <v>0</v>
      </c>
      <c r="N1991" s="14"/>
      <c r="O1991" s="14"/>
      <c r="P1991" s="167"/>
      <c r="Q1991" s="14"/>
      <c r="R1991" s="170">
        <f t="shared" si="264"/>
        <v>0</v>
      </c>
      <c r="S1991" s="108" t="str">
        <f t="shared" si="265"/>
        <v/>
      </c>
      <c r="T1991" s="14"/>
      <c r="U1991" s="14"/>
      <c r="V1991" s="14"/>
      <c r="W1991" s="14"/>
      <c r="X1991" s="14"/>
      <c r="Z1991" s="14"/>
      <c r="AA1991" s="2">
        <f t="shared" si="261"/>
        <v>3</v>
      </c>
      <c r="AB1991" s="153"/>
      <c r="AC1991" s="454" t="str">
        <f t="shared" si="262"/>
        <v/>
      </c>
    </row>
    <row r="1992" spans="1:29" x14ac:dyDescent="0.35">
      <c r="A1992" s="111" t="str">
        <f t="shared" si="263"/>
        <v/>
      </c>
      <c r="B1992" s="222"/>
      <c r="C1992" s="14"/>
      <c r="D1992" s="14"/>
      <c r="E1992" s="14"/>
      <c r="F1992" s="14"/>
      <c r="G1992" s="14" t="s">
        <v>1911</v>
      </c>
      <c r="H1992" s="14"/>
      <c r="I1992" s="176"/>
      <c r="K1992" s="87"/>
      <c r="L1992" s="14"/>
      <c r="M1992" s="324">
        <f t="shared" si="260"/>
        <v>0</v>
      </c>
      <c r="N1992" s="14"/>
      <c r="O1992" s="14"/>
      <c r="P1992" s="167"/>
      <c r="Q1992" s="14"/>
      <c r="R1992" s="170">
        <f t="shared" si="264"/>
        <v>0</v>
      </c>
      <c r="S1992" s="108" t="str">
        <f t="shared" si="265"/>
        <v/>
      </c>
      <c r="T1992" s="14"/>
      <c r="U1992" s="14"/>
      <c r="V1992" s="14"/>
      <c r="W1992" s="14"/>
      <c r="X1992" s="14"/>
      <c r="Z1992" s="14"/>
      <c r="AA1992" s="2">
        <f t="shared" si="261"/>
        <v>3</v>
      </c>
      <c r="AB1992" s="153"/>
      <c r="AC1992" s="454" t="str">
        <f t="shared" si="262"/>
        <v/>
      </c>
    </row>
    <row r="1993" spans="1:29" x14ac:dyDescent="0.35">
      <c r="A1993" s="111" t="str">
        <f t="shared" si="263"/>
        <v/>
      </c>
      <c r="B1993" s="222"/>
      <c r="C1993" s="14"/>
      <c r="D1993" s="14"/>
      <c r="E1993" s="14"/>
      <c r="F1993" s="14"/>
      <c r="G1993" s="14" t="s">
        <v>1911</v>
      </c>
      <c r="H1993" s="14"/>
      <c r="I1993" s="176"/>
      <c r="K1993" s="87"/>
      <c r="L1993" s="14"/>
      <c r="M1993" s="324">
        <f t="shared" si="260"/>
        <v>0</v>
      </c>
      <c r="N1993" s="14"/>
      <c r="O1993" s="14"/>
      <c r="P1993" s="167"/>
      <c r="Q1993" s="14"/>
      <c r="R1993" s="170">
        <f t="shared" si="264"/>
        <v>0</v>
      </c>
      <c r="S1993" s="108" t="str">
        <f t="shared" si="265"/>
        <v/>
      </c>
      <c r="T1993" s="14"/>
      <c r="U1993" s="14"/>
      <c r="V1993" s="14"/>
      <c r="W1993" s="14"/>
      <c r="X1993" s="14"/>
      <c r="Z1993" s="14"/>
      <c r="AA1993" s="2">
        <f t="shared" si="261"/>
        <v>3</v>
      </c>
      <c r="AB1993" s="153"/>
      <c r="AC1993" s="454" t="str">
        <f t="shared" si="262"/>
        <v/>
      </c>
    </row>
    <row r="1994" spans="1:29" x14ac:dyDescent="0.35">
      <c r="A1994" s="111" t="str">
        <f t="shared" si="263"/>
        <v/>
      </c>
      <c r="B1994" s="222"/>
      <c r="C1994" s="14"/>
      <c r="D1994" s="14"/>
      <c r="E1994" s="14"/>
      <c r="F1994" s="14"/>
      <c r="G1994" s="14" t="s">
        <v>1911</v>
      </c>
      <c r="H1994" s="14"/>
      <c r="I1994" s="176"/>
      <c r="K1994" s="87"/>
      <c r="L1994" s="14"/>
      <c r="M1994" s="324">
        <f t="shared" si="260"/>
        <v>0</v>
      </c>
      <c r="N1994" s="14"/>
      <c r="O1994" s="14"/>
      <c r="P1994" s="167"/>
      <c r="Q1994" s="14"/>
      <c r="R1994" s="170">
        <f t="shared" si="264"/>
        <v>0</v>
      </c>
      <c r="S1994" s="108" t="str">
        <f t="shared" si="265"/>
        <v/>
      </c>
      <c r="T1994" s="14"/>
      <c r="U1994" s="14"/>
      <c r="V1994" s="14"/>
      <c r="W1994" s="14"/>
      <c r="X1994" s="14"/>
      <c r="Z1994" s="14"/>
      <c r="AA1994" s="2">
        <f t="shared" si="261"/>
        <v>3</v>
      </c>
      <c r="AB1994" s="153"/>
      <c r="AC1994" s="454" t="str">
        <f t="shared" si="262"/>
        <v/>
      </c>
    </row>
    <row r="1995" spans="1:29" x14ac:dyDescent="0.35">
      <c r="A1995" s="111" t="str">
        <f t="shared" si="263"/>
        <v/>
      </c>
      <c r="B1995" s="222"/>
      <c r="C1995" s="14"/>
      <c r="D1995" s="14"/>
      <c r="E1995" s="14"/>
      <c r="F1995" s="14"/>
      <c r="G1995" s="14" t="s">
        <v>1911</v>
      </c>
      <c r="H1995" s="14"/>
      <c r="I1995" s="176"/>
      <c r="K1995" s="87"/>
      <c r="L1995" s="14"/>
      <c r="M1995" s="324">
        <f t="shared" si="260"/>
        <v>0</v>
      </c>
      <c r="N1995" s="14"/>
      <c r="O1995" s="14"/>
      <c r="P1995" s="167"/>
      <c r="Q1995" s="14"/>
      <c r="R1995" s="170">
        <f t="shared" si="264"/>
        <v>0</v>
      </c>
      <c r="S1995" s="108" t="str">
        <f t="shared" si="265"/>
        <v/>
      </c>
      <c r="T1995" s="14"/>
      <c r="U1995" s="14"/>
      <c r="V1995" s="14"/>
      <c r="W1995" s="14"/>
      <c r="X1995" s="14"/>
      <c r="Z1995" s="14"/>
      <c r="AA1995" s="2">
        <f t="shared" si="261"/>
        <v>3</v>
      </c>
      <c r="AB1995" s="153"/>
      <c r="AC1995" s="454" t="str">
        <f t="shared" si="262"/>
        <v/>
      </c>
    </row>
    <row r="1996" spans="1:29" x14ac:dyDescent="0.35">
      <c r="A1996" s="111" t="str">
        <f t="shared" si="263"/>
        <v/>
      </c>
      <c r="B1996" s="222"/>
      <c r="C1996" s="14"/>
      <c r="D1996" s="14"/>
      <c r="E1996" s="14"/>
      <c r="F1996" s="14"/>
      <c r="G1996" s="14" t="s">
        <v>1911</v>
      </c>
      <c r="H1996" s="14"/>
      <c r="I1996" s="176"/>
      <c r="K1996" s="87"/>
      <c r="L1996" s="14"/>
      <c r="M1996" s="324">
        <f t="shared" si="260"/>
        <v>0</v>
      </c>
      <c r="N1996" s="14"/>
      <c r="O1996" s="14"/>
      <c r="P1996" s="167"/>
      <c r="Q1996" s="14"/>
      <c r="R1996" s="170">
        <f t="shared" si="264"/>
        <v>0</v>
      </c>
      <c r="S1996" s="108" t="str">
        <f t="shared" si="265"/>
        <v/>
      </c>
      <c r="T1996" s="14"/>
      <c r="U1996" s="14"/>
      <c r="V1996" s="14"/>
      <c r="W1996" s="14"/>
      <c r="X1996" s="14"/>
      <c r="Z1996" s="14"/>
      <c r="AA1996" s="2">
        <f t="shared" si="261"/>
        <v>3</v>
      </c>
      <c r="AB1996" s="153"/>
      <c r="AC1996" s="454" t="str">
        <f t="shared" si="262"/>
        <v/>
      </c>
    </row>
    <row r="1997" spans="1:29" x14ac:dyDescent="0.35">
      <c r="A1997" s="111" t="str">
        <f t="shared" si="263"/>
        <v/>
      </c>
      <c r="B1997" s="222"/>
      <c r="C1997" s="14"/>
      <c r="D1997" s="14"/>
      <c r="E1997" s="14"/>
      <c r="F1997" s="14"/>
      <c r="G1997" s="14" t="s">
        <v>1911</v>
      </c>
      <c r="H1997" s="14"/>
      <c r="I1997" s="176"/>
      <c r="K1997" s="87"/>
      <c r="L1997" s="14"/>
      <c r="M1997" s="324">
        <f t="shared" si="260"/>
        <v>0</v>
      </c>
      <c r="N1997" s="14"/>
      <c r="O1997" s="14"/>
      <c r="P1997" s="167"/>
      <c r="Q1997" s="14"/>
      <c r="R1997" s="170">
        <f t="shared" si="264"/>
        <v>0</v>
      </c>
      <c r="S1997" s="108" t="str">
        <f t="shared" si="265"/>
        <v/>
      </c>
      <c r="T1997" s="14"/>
      <c r="U1997" s="14"/>
      <c r="V1997" s="14"/>
      <c r="W1997" s="14"/>
      <c r="X1997" s="14"/>
      <c r="Z1997" s="14"/>
      <c r="AA1997" s="2">
        <f t="shared" si="261"/>
        <v>3</v>
      </c>
      <c r="AB1997" s="153"/>
      <c r="AC1997" s="454" t="str">
        <f t="shared" si="262"/>
        <v/>
      </c>
    </row>
    <row r="1998" spans="1:29" x14ac:dyDescent="0.35">
      <c r="A1998" s="111" t="str">
        <f t="shared" si="263"/>
        <v/>
      </c>
      <c r="B1998" s="222"/>
      <c r="C1998" s="14"/>
      <c r="D1998" s="14"/>
      <c r="E1998" s="14"/>
      <c r="F1998" s="14"/>
      <c r="G1998" s="14" t="s">
        <v>1911</v>
      </c>
      <c r="H1998" s="14"/>
      <c r="I1998" s="176"/>
      <c r="K1998" s="87"/>
      <c r="L1998" s="14"/>
      <c r="M1998" s="324">
        <f t="shared" si="260"/>
        <v>0</v>
      </c>
      <c r="N1998" s="14"/>
      <c r="O1998" s="14"/>
      <c r="P1998" s="167"/>
      <c r="Q1998" s="14"/>
      <c r="R1998" s="170">
        <f t="shared" si="264"/>
        <v>0</v>
      </c>
      <c r="S1998" s="108" t="str">
        <f t="shared" si="265"/>
        <v/>
      </c>
      <c r="T1998" s="14"/>
      <c r="U1998" s="14"/>
      <c r="V1998" s="14"/>
      <c r="W1998" s="14"/>
      <c r="X1998" s="14"/>
      <c r="Z1998" s="14"/>
      <c r="AA1998" s="2">
        <f t="shared" si="261"/>
        <v>3</v>
      </c>
      <c r="AB1998" s="153"/>
      <c r="AC1998" s="454" t="str">
        <f t="shared" si="262"/>
        <v/>
      </c>
    </row>
    <row r="1999" spans="1:29" x14ac:dyDescent="0.35">
      <c r="A1999" s="111" t="str">
        <f t="shared" si="263"/>
        <v/>
      </c>
      <c r="B1999" s="222"/>
      <c r="C1999" s="14"/>
      <c r="D1999" s="14"/>
      <c r="E1999" s="14"/>
      <c r="F1999" s="14"/>
      <c r="G1999" s="14" t="s">
        <v>1911</v>
      </c>
      <c r="H1999" s="14"/>
      <c r="I1999" s="176"/>
      <c r="K1999" s="87"/>
      <c r="L1999" s="14"/>
      <c r="M1999" s="324">
        <f t="shared" si="260"/>
        <v>0</v>
      </c>
      <c r="N1999" s="14"/>
      <c r="O1999" s="14"/>
      <c r="P1999" s="167"/>
      <c r="Q1999" s="14"/>
      <c r="R1999" s="170">
        <f t="shared" si="264"/>
        <v>0</v>
      </c>
      <c r="S1999" s="108" t="str">
        <f t="shared" si="265"/>
        <v/>
      </c>
      <c r="T1999" s="14"/>
      <c r="U1999" s="14"/>
      <c r="V1999" s="14"/>
      <c r="W1999" s="14"/>
      <c r="X1999" s="14"/>
      <c r="Z1999" s="14"/>
      <c r="AA1999" s="2">
        <f t="shared" si="261"/>
        <v>3</v>
      </c>
      <c r="AB1999" s="153"/>
      <c r="AC1999" s="454" t="str">
        <f t="shared" si="262"/>
        <v/>
      </c>
    </row>
    <row r="2000" spans="1:29" x14ac:dyDescent="0.35">
      <c r="A2000" s="111" t="str">
        <f t="shared" si="263"/>
        <v/>
      </c>
      <c r="B2000" s="222"/>
      <c r="C2000" s="14"/>
      <c r="D2000" s="14"/>
      <c r="E2000" s="14"/>
      <c r="F2000" s="14"/>
      <c r="G2000" s="14" t="s">
        <v>1911</v>
      </c>
      <c r="H2000" s="14"/>
      <c r="I2000" s="176"/>
      <c r="K2000" s="87"/>
      <c r="L2000" s="14"/>
      <c r="M2000" s="324">
        <f t="shared" si="260"/>
        <v>0</v>
      </c>
      <c r="N2000" s="14"/>
      <c r="O2000" s="14"/>
      <c r="P2000" s="167"/>
      <c r="Q2000" s="14"/>
      <c r="R2000" s="170">
        <f t="shared" si="264"/>
        <v>0</v>
      </c>
      <c r="S2000" s="108" t="str">
        <f t="shared" si="265"/>
        <v/>
      </c>
      <c r="T2000" s="14"/>
      <c r="U2000" s="14"/>
      <c r="V2000" s="14"/>
      <c r="W2000" s="14"/>
      <c r="X2000" s="14"/>
      <c r="Z2000" s="14"/>
      <c r="AA2000" s="2">
        <f t="shared" si="261"/>
        <v>3</v>
      </c>
      <c r="AB2000" s="153"/>
      <c r="AC2000" s="454" t="str">
        <f t="shared" si="262"/>
        <v/>
      </c>
    </row>
    <row r="2001" spans="1:29" x14ac:dyDescent="0.35">
      <c r="A2001" s="111" t="str">
        <f t="shared" si="263"/>
        <v/>
      </c>
      <c r="B2001" s="222"/>
      <c r="C2001" s="14"/>
      <c r="D2001" s="14"/>
      <c r="E2001" s="14"/>
      <c r="F2001" s="14"/>
      <c r="G2001" s="14" t="s">
        <v>1911</v>
      </c>
      <c r="H2001" s="14"/>
      <c r="I2001" s="176"/>
      <c r="K2001" s="87"/>
      <c r="L2001" s="14"/>
      <c r="M2001" s="324">
        <f t="shared" si="260"/>
        <v>0</v>
      </c>
      <c r="N2001" s="14"/>
      <c r="O2001" s="14"/>
      <c r="P2001" s="167"/>
      <c r="Q2001" s="14"/>
      <c r="R2001" s="170">
        <f t="shared" si="264"/>
        <v>0</v>
      </c>
      <c r="S2001" s="108" t="str">
        <f t="shared" si="265"/>
        <v/>
      </c>
      <c r="T2001" s="14"/>
      <c r="U2001" s="14"/>
      <c r="V2001" s="14"/>
      <c r="W2001" s="14"/>
      <c r="X2001" s="14"/>
      <c r="Z2001" s="14"/>
      <c r="AA2001" s="2">
        <f t="shared" si="261"/>
        <v>3</v>
      </c>
      <c r="AB2001" s="153"/>
      <c r="AC2001" s="454" t="str">
        <f t="shared" si="262"/>
        <v/>
      </c>
    </row>
    <row r="2002" spans="1:29" x14ac:dyDescent="0.35">
      <c r="A2002" s="111" t="str">
        <f t="shared" si="263"/>
        <v/>
      </c>
      <c r="B2002" s="222"/>
      <c r="C2002" s="14"/>
      <c r="D2002" s="14"/>
      <c r="E2002" s="14"/>
      <c r="F2002" s="14"/>
      <c r="G2002" s="14" t="s">
        <v>1911</v>
      </c>
      <c r="H2002" s="14"/>
      <c r="I2002" s="176"/>
      <c r="K2002" s="87"/>
      <c r="L2002" s="14"/>
      <c r="M2002" s="324">
        <f t="shared" si="260"/>
        <v>0</v>
      </c>
      <c r="N2002" s="14"/>
      <c r="O2002" s="14"/>
      <c r="P2002" s="167"/>
      <c r="Q2002" s="14"/>
      <c r="R2002" s="170">
        <f t="shared" si="264"/>
        <v>0</v>
      </c>
      <c r="S2002" s="108" t="str">
        <f t="shared" si="265"/>
        <v/>
      </c>
      <c r="T2002" s="14"/>
      <c r="U2002" s="14"/>
      <c r="V2002" s="14"/>
      <c r="W2002" s="14"/>
      <c r="X2002" s="14"/>
      <c r="Z2002" s="14"/>
      <c r="AA2002" s="2">
        <f t="shared" si="261"/>
        <v>3</v>
      </c>
      <c r="AB2002" s="153"/>
      <c r="AC2002" s="454" t="str">
        <f t="shared" si="262"/>
        <v/>
      </c>
    </row>
    <row r="2003" spans="1:29" x14ac:dyDescent="0.35">
      <c r="A2003" s="111" t="str">
        <f t="shared" si="263"/>
        <v/>
      </c>
      <c r="B2003" s="222"/>
      <c r="C2003" s="14"/>
      <c r="D2003" s="14"/>
      <c r="E2003" s="14"/>
      <c r="F2003" s="14"/>
      <c r="G2003" s="14" t="s">
        <v>1911</v>
      </c>
      <c r="H2003" s="14"/>
      <c r="I2003" s="176"/>
      <c r="K2003" s="87"/>
      <c r="L2003" s="14"/>
      <c r="M2003" s="324">
        <f t="shared" si="260"/>
        <v>0</v>
      </c>
      <c r="N2003" s="14"/>
      <c r="O2003" s="14"/>
      <c r="P2003" s="167"/>
      <c r="Q2003" s="14"/>
      <c r="R2003" s="170">
        <f t="shared" si="264"/>
        <v>0</v>
      </c>
      <c r="S2003" s="108" t="str">
        <f t="shared" si="265"/>
        <v/>
      </c>
      <c r="T2003" s="14"/>
      <c r="U2003" s="14"/>
      <c r="V2003" s="14"/>
      <c r="W2003" s="14"/>
      <c r="X2003" s="14"/>
      <c r="Z2003" s="14"/>
      <c r="AA2003" s="2">
        <f t="shared" si="261"/>
        <v>3</v>
      </c>
      <c r="AB2003" s="153"/>
      <c r="AC2003" s="454" t="str">
        <f t="shared" si="262"/>
        <v/>
      </c>
    </row>
    <row r="2004" spans="1:29" x14ac:dyDescent="0.35">
      <c r="A2004" s="111" t="str">
        <f t="shared" si="263"/>
        <v/>
      </c>
      <c r="B2004" s="222"/>
      <c r="C2004" s="14"/>
      <c r="D2004" s="14"/>
      <c r="E2004" s="14"/>
      <c r="F2004" s="14"/>
      <c r="G2004" s="14" t="s">
        <v>1911</v>
      </c>
      <c r="H2004" s="14"/>
      <c r="I2004" s="176"/>
      <c r="K2004" s="87"/>
      <c r="L2004" s="14"/>
      <c r="M2004" s="324">
        <f t="shared" ref="M2004:M2067" si="266">IF(I2004="Staff Accident","Entry Required",IF(I2004="Assaults","Entry Required",0))</f>
        <v>0</v>
      </c>
      <c r="N2004" s="14"/>
      <c r="O2004" s="14"/>
      <c r="P2004" s="167"/>
      <c r="Q2004" s="14"/>
      <c r="R2004" s="170">
        <f t="shared" si="264"/>
        <v>0</v>
      </c>
      <c r="S2004" s="108" t="str">
        <f t="shared" si="265"/>
        <v/>
      </c>
      <c r="T2004" s="14"/>
      <c r="U2004" s="14"/>
      <c r="V2004" s="14"/>
      <c r="W2004" s="14"/>
      <c r="X2004" s="14"/>
      <c r="Z2004" s="14"/>
      <c r="AA2004" s="2">
        <f t="shared" si="261"/>
        <v>3</v>
      </c>
      <c r="AB2004" s="153"/>
      <c r="AC2004" s="454" t="str">
        <f t="shared" si="262"/>
        <v/>
      </c>
    </row>
    <row r="2005" spans="1:29" x14ac:dyDescent="0.35">
      <c r="A2005" s="111" t="str">
        <f t="shared" si="263"/>
        <v/>
      </c>
      <c r="B2005" s="222"/>
      <c r="C2005" s="14"/>
      <c r="D2005" s="14"/>
      <c r="E2005" s="14"/>
      <c r="F2005" s="14"/>
      <c r="G2005" s="14" t="s">
        <v>1911</v>
      </c>
      <c r="H2005" s="14"/>
      <c r="I2005" s="176"/>
      <c r="K2005" s="87"/>
      <c r="L2005" s="14"/>
      <c r="M2005" s="324">
        <f t="shared" si="266"/>
        <v>0</v>
      </c>
      <c r="N2005" s="14"/>
      <c r="O2005" s="14"/>
      <c r="P2005" s="167"/>
      <c r="Q2005" s="14"/>
      <c r="R2005" s="170">
        <f t="shared" si="264"/>
        <v>0</v>
      </c>
      <c r="S2005" s="108" t="str">
        <f t="shared" si="265"/>
        <v/>
      </c>
      <c r="T2005" s="14"/>
      <c r="U2005" s="14"/>
      <c r="V2005" s="14"/>
      <c r="W2005" s="14"/>
      <c r="X2005" s="14"/>
      <c r="Z2005" s="14"/>
      <c r="AA2005" s="2">
        <f t="shared" si="261"/>
        <v>3</v>
      </c>
      <c r="AB2005" s="153"/>
      <c r="AC2005" s="454" t="str">
        <f t="shared" si="262"/>
        <v/>
      </c>
    </row>
    <row r="2006" spans="1:29" x14ac:dyDescent="0.35">
      <c r="A2006" s="111" t="str">
        <f t="shared" si="263"/>
        <v/>
      </c>
      <c r="B2006" s="222"/>
      <c r="C2006" s="14"/>
      <c r="D2006" s="14"/>
      <c r="E2006" s="14"/>
      <c r="F2006" s="14"/>
      <c r="G2006" s="14" t="s">
        <v>1911</v>
      </c>
      <c r="H2006" s="14"/>
      <c r="I2006" s="176"/>
      <c r="K2006" s="87"/>
      <c r="L2006" s="14"/>
      <c r="M2006" s="324">
        <f t="shared" si="266"/>
        <v>0</v>
      </c>
      <c r="N2006" s="14"/>
      <c r="O2006" s="14"/>
      <c r="P2006" s="167"/>
      <c r="Q2006" s="14"/>
      <c r="R2006" s="170">
        <f t="shared" si="264"/>
        <v>0</v>
      </c>
      <c r="S2006" s="108" t="str">
        <f t="shared" si="265"/>
        <v/>
      </c>
      <c r="T2006" s="14"/>
      <c r="U2006" s="14"/>
      <c r="V2006" s="14"/>
      <c r="W2006" s="14"/>
      <c r="X2006" s="14"/>
      <c r="Z2006" s="14"/>
      <c r="AA2006" s="2">
        <f t="shared" ref="AA2006:AA2069" si="267">IF(B2006="",3,IF(S2006&lt;$A$1,1,0))</f>
        <v>3</v>
      </c>
      <c r="AB2006" s="153"/>
      <c r="AC2006" s="454" t="str">
        <f t="shared" si="262"/>
        <v/>
      </c>
    </row>
    <row r="2007" spans="1:29" x14ac:dyDescent="0.35">
      <c r="A2007" s="111" t="str">
        <f t="shared" si="263"/>
        <v/>
      </c>
      <c r="B2007" s="222"/>
      <c r="C2007" s="14"/>
      <c r="D2007" s="14"/>
      <c r="E2007" s="14"/>
      <c r="F2007" s="14"/>
      <c r="G2007" s="14" t="s">
        <v>1911</v>
      </c>
      <c r="H2007" s="14"/>
      <c r="I2007" s="176"/>
      <c r="K2007" s="87"/>
      <c r="L2007" s="14"/>
      <c r="M2007" s="324">
        <f t="shared" si="266"/>
        <v>0</v>
      </c>
      <c r="N2007" s="14"/>
      <c r="O2007" s="14"/>
      <c r="P2007" s="167"/>
      <c r="Q2007" s="14"/>
      <c r="R2007" s="170">
        <f t="shared" si="264"/>
        <v>0</v>
      </c>
      <c r="S2007" s="108" t="str">
        <f t="shared" si="265"/>
        <v/>
      </c>
      <c r="T2007" s="14"/>
      <c r="U2007" s="14"/>
      <c r="V2007" s="14"/>
      <c r="W2007" s="14"/>
      <c r="X2007" s="14"/>
      <c r="Z2007" s="14"/>
      <c r="AA2007" s="2">
        <f t="shared" si="267"/>
        <v>3</v>
      </c>
      <c r="AB2007" s="153"/>
      <c r="AC2007" s="454" t="str">
        <f t="shared" si="262"/>
        <v/>
      </c>
    </row>
    <row r="2008" spans="1:29" x14ac:dyDescent="0.35">
      <c r="A2008" s="111" t="str">
        <f t="shared" si="263"/>
        <v/>
      </c>
      <c r="B2008" s="222"/>
      <c r="C2008" s="14"/>
      <c r="D2008" s="14"/>
      <c r="E2008" s="14"/>
      <c r="F2008" s="14"/>
      <c r="G2008" s="14" t="s">
        <v>1911</v>
      </c>
      <c r="H2008" s="14"/>
      <c r="I2008" s="176"/>
      <c r="K2008" s="87"/>
      <c r="L2008" s="14"/>
      <c r="M2008" s="324">
        <f t="shared" si="266"/>
        <v>0</v>
      </c>
      <c r="N2008" s="14"/>
      <c r="O2008" s="14"/>
      <c r="P2008" s="167"/>
      <c r="Q2008" s="14"/>
      <c r="R2008" s="170">
        <f t="shared" si="264"/>
        <v>0</v>
      </c>
      <c r="S2008" s="108" t="str">
        <f t="shared" si="265"/>
        <v/>
      </c>
      <c r="T2008" s="14"/>
      <c r="U2008" s="14"/>
      <c r="V2008" s="14"/>
      <c r="W2008" s="14"/>
      <c r="X2008" s="14"/>
      <c r="Z2008" s="14"/>
      <c r="AA2008" s="2">
        <f t="shared" si="267"/>
        <v>3</v>
      </c>
      <c r="AB2008" s="153"/>
      <c r="AC2008" s="454" t="str">
        <f t="shared" si="262"/>
        <v/>
      </c>
    </row>
    <row r="2009" spans="1:29" x14ac:dyDescent="0.35">
      <c r="A2009" s="111" t="str">
        <f t="shared" si="263"/>
        <v/>
      </c>
      <c r="B2009" s="222"/>
      <c r="C2009" s="14"/>
      <c r="D2009" s="14"/>
      <c r="E2009" s="14"/>
      <c r="F2009" s="14"/>
      <c r="G2009" s="14" t="s">
        <v>1911</v>
      </c>
      <c r="H2009" s="14"/>
      <c r="I2009" s="176"/>
      <c r="K2009" s="87"/>
      <c r="L2009" s="14"/>
      <c r="M2009" s="324">
        <f t="shared" si="266"/>
        <v>0</v>
      </c>
      <c r="N2009" s="14"/>
      <c r="O2009" s="14"/>
      <c r="P2009" s="167"/>
      <c r="Q2009" s="14"/>
      <c r="R2009" s="170">
        <f t="shared" si="264"/>
        <v>0</v>
      </c>
      <c r="S2009" s="108" t="str">
        <f t="shared" si="265"/>
        <v/>
      </c>
      <c r="T2009" s="14"/>
      <c r="U2009" s="14"/>
      <c r="V2009" s="14"/>
      <c r="W2009" s="14"/>
      <c r="X2009" s="14"/>
      <c r="Z2009" s="14"/>
      <c r="AA2009" s="2">
        <f t="shared" si="267"/>
        <v>3</v>
      </c>
      <c r="AB2009" s="153"/>
      <c r="AC2009" s="454" t="str">
        <f t="shared" si="262"/>
        <v/>
      </c>
    </row>
    <row r="2010" spans="1:29" x14ac:dyDescent="0.35">
      <c r="A2010" s="111" t="str">
        <f t="shared" si="263"/>
        <v/>
      </c>
      <c r="B2010" s="222"/>
      <c r="C2010" s="14"/>
      <c r="D2010" s="14"/>
      <c r="E2010" s="14"/>
      <c r="F2010" s="14"/>
      <c r="G2010" s="14" t="s">
        <v>1911</v>
      </c>
      <c r="H2010" s="14"/>
      <c r="I2010" s="176"/>
      <c r="K2010" s="87"/>
      <c r="L2010" s="14"/>
      <c r="M2010" s="324">
        <f t="shared" si="266"/>
        <v>0</v>
      </c>
      <c r="N2010" s="14"/>
      <c r="O2010" s="14"/>
      <c r="P2010" s="167"/>
      <c r="Q2010" s="14"/>
      <c r="R2010" s="170">
        <f t="shared" si="264"/>
        <v>0</v>
      </c>
      <c r="S2010" s="108" t="str">
        <f t="shared" si="265"/>
        <v/>
      </c>
      <c r="T2010" s="14"/>
      <c r="U2010" s="14"/>
      <c r="V2010" s="14"/>
      <c r="W2010" s="14"/>
      <c r="X2010" s="14"/>
      <c r="Z2010" s="14"/>
      <c r="AA2010" s="2">
        <f t="shared" si="267"/>
        <v>3</v>
      </c>
      <c r="AB2010" s="153"/>
      <c r="AC2010" s="454" t="str">
        <f t="shared" ref="AC2010:AC2073" si="268">LEFT(H2010,1)</f>
        <v/>
      </c>
    </row>
    <row r="2011" spans="1:29" x14ac:dyDescent="0.35">
      <c r="A2011" s="111" t="str">
        <f t="shared" si="263"/>
        <v/>
      </c>
      <c r="B2011" s="222"/>
      <c r="C2011" s="14"/>
      <c r="D2011" s="14"/>
      <c r="E2011" s="14"/>
      <c r="F2011" s="14"/>
      <c r="G2011" s="14" t="s">
        <v>1911</v>
      </c>
      <c r="H2011" s="14"/>
      <c r="I2011" s="176"/>
      <c r="K2011" s="87"/>
      <c r="L2011" s="14"/>
      <c r="M2011" s="324">
        <f t="shared" si="266"/>
        <v>0</v>
      </c>
      <c r="N2011" s="14"/>
      <c r="O2011" s="14"/>
      <c r="P2011" s="167"/>
      <c r="Q2011" s="14"/>
      <c r="R2011" s="170">
        <f t="shared" si="264"/>
        <v>0</v>
      </c>
      <c r="S2011" s="108" t="str">
        <f t="shared" si="265"/>
        <v/>
      </c>
      <c r="T2011" s="14"/>
      <c r="U2011" s="14"/>
      <c r="V2011" s="14"/>
      <c r="W2011" s="14"/>
      <c r="X2011" s="14"/>
      <c r="Z2011" s="14"/>
      <c r="AA2011" s="2">
        <f t="shared" si="267"/>
        <v>3</v>
      </c>
      <c r="AB2011" s="153"/>
      <c r="AC2011" s="454" t="str">
        <f t="shared" si="268"/>
        <v/>
      </c>
    </row>
    <row r="2012" spans="1:29" x14ac:dyDescent="0.35">
      <c r="A2012" s="111" t="str">
        <f t="shared" si="263"/>
        <v/>
      </c>
      <c r="B2012" s="222"/>
      <c r="C2012" s="14"/>
      <c r="D2012" s="14"/>
      <c r="E2012" s="14"/>
      <c r="F2012" s="14"/>
      <c r="G2012" s="14" t="s">
        <v>1911</v>
      </c>
      <c r="H2012" s="14"/>
      <c r="I2012" s="176"/>
      <c r="K2012" s="87"/>
      <c r="L2012" s="14"/>
      <c r="M2012" s="324">
        <f t="shared" si="266"/>
        <v>0</v>
      </c>
      <c r="N2012" s="14"/>
      <c r="O2012" s="14"/>
      <c r="P2012" s="167"/>
      <c r="Q2012" s="14"/>
      <c r="R2012" s="170">
        <f t="shared" si="264"/>
        <v>0</v>
      </c>
      <c r="S2012" s="108" t="str">
        <f t="shared" si="265"/>
        <v/>
      </c>
      <c r="T2012" s="14"/>
      <c r="U2012" s="14"/>
      <c r="V2012" s="14"/>
      <c r="W2012" s="14"/>
      <c r="X2012" s="14"/>
      <c r="Z2012" s="14"/>
      <c r="AA2012" s="2">
        <f t="shared" si="267"/>
        <v>3</v>
      </c>
      <c r="AB2012" s="153"/>
      <c r="AC2012" s="454" t="str">
        <f t="shared" si="268"/>
        <v/>
      </c>
    </row>
    <row r="2013" spans="1:29" x14ac:dyDescent="0.35">
      <c r="A2013" s="111" t="str">
        <f t="shared" si="263"/>
        <v/>
      </c>
      <c r="B2013" s="222"/>
      <c r="C2013" s="14"/>
      <c r="D2013" s="14"/>
      <c r="E2013" s="14"/>
      <c r="F2013" s="14"/>
      <c r="G2013" s="14" t="s">
        <v>1911</v>
      </c>
      <c r="H2013" s="14"/>
      <c r="I2013" s="176"/>
      <c r="K2013" s="87"/>
      <c r="L2013" s="14"/>
      <c r="M2013" s="324">
        <f t="shared" si="266"/>
        <v>0</v>
      </c>
      <c r="N2013" s="14"/>
      <c r="O2013" s="14"/>
      <c r="P2013" s="167"/>
      <c r="Q2013" s="14"/>
      <c r="R2013" s="170">
        <f t="shared" si="264"/>
        <v>0</v>
      </c>
      <c r="S2013" s="108" t="str">
        <f t="shared" si="265"/>
        <v/>
      </c>
      <c r="T2013" s="14"/>
      <c r="U2013" s="14"/>
      <c r="V2013" s="14"/>
      <c r="W2013" s="14"/>
      <c r="X2013" s="14"/>
      <c r="Z2013" s="14"/>
      <c r="AA2013" s="2">
        <f t="shared" si="267"/>
        <v>3</v>
      </c>
      <c r="AB2013" s="153"/>
      <c r="AC2013" s="454" t="str">
        <f t="shared" si="268"/>
        <v/>
      </c>
    </row>
    <row r="2014" spans="1:29" x14ac:dyDescent="0.35">
      <c r="A2014" s="111" t="str">
        <f t="shared" si="263"/>
        <v/>
      </c>
      <c r="B2014" s="222"/>
      <c r="C2014" s="14"/>
      <c r="D2014" s="14"/>
      <c r="E2014" s="14"/>
      <c r="F2014" s="14"/>
      <c r="G2014" s="14" t="s">
        <v>1911</v>
      </c>
      <c r="H2014" s="14"/>
      <c r="I2014" s="176"/>
      <c r="K2014" s="87"/>
      <c r="L2014" s="14"/>
      <c r="M2014" s="324">
        <f t="shared" si="266"/>
        <v>0</v>
      </c>
      <c r="N2014" s="14"/>
      <c r="O2014" s="14"/>
      <c r="P2014" s="167"/>
      <c r="Q2014" s="14"/>
      <c r="R2014" s="170">
        <f t="shared" si="264"/>
        <v>0</v>
      </c>
      <c r="S2014" s="108" t="str">
        <f t="shared" si="265"/>
        <v/>
      </c>
      <c r="T2014" s="14"/>
      <c r="U2014" s="14"/>
      <c r="V2014" s="14"/>
      <c r="W2014" s="14"/>
      <c r="X2014" s="14"/>
      <c r="Z2014" s="14"/>
      <c r="AA2014" s="2">
        <f t="shared" si="267"/>
        <v>3</v>
      </c>
      <c r="AB2014" s="153"/>
      <c r="AC2014" s="454" t="str">
        <f t="shared" si="268"/>
        <v/>
      </c>
    </row>
    <row r="2015" spans="1:29" x14ac:dyDescent="0.35">
      <c r="A2015" s="111" t="str">
        <f t="shared" ref="A2015:A2078" si="269">IF(T2015&gt;1,"Closed",IF(AA2015=1,"Overdue",IF(AA2015=3,"","Open")))</f>
        <v/>
      </c>
      <c r="B2015" s="222"/>
      <c r="C2015" s="14"/>
      <c r="D2015" s="14"/>
      <c r="E2015" s="14"/>
      <c r="F2015" s="14"/>
      <c r="G2015" s="14" t="s">
        <v>1911</v>
      </c>
      <c r="H2015" s="14"/>
      <c r="I2015" s="176"/>
      <c r="K2015" s="87"/>
      <c r="L2015" s="14"/>
      <c r="M2015" s="324">
        <f t="shared" si="266"/>
        <v>0</v>
      </c>
      <c r="N2015" s="14"/>
      <c r="O2015" s="14"/>
      <c r="P2015" s="167"/>
      <c r="Q2015" s="14"/>
      <c r="R2015" s="170">
        <f t="shared" si="264"/>
        <v>0</v>
      </c>
      <c r="S2015" s="108" t="str">
        <f t="shared" si="265"/>
        <v/>
      </c>
      <c r="T2015" s="14"/>
      <c r="U2015" s="14"/>
      <c r="V2015" s="14"/>
      <c r="W2015" s="14"/>
      <c r="X2015" s="14"/>
      <c r="Z2015" s="14"/>
      <c r="AA2015" s="2">
        <f t="shared" si="267"/>
        <v>3</v>
      </c>
      <c r="AB2015" s="153"/>
      <c r="AC2015" s="454" t="str">
        <f t="shared" si="268"/>
        <v/>
      </c>
    </row>
    <row r="2016" spans="1:29" x14ac:dyDescent="0.35">
      <c r="A2016" s="111" t="str">
        <f t="shared" si="269"/>
        <v/>
      </c>
      <c r="B2016" s="222"/>
      <c r="C2016" s="14"/>
      <c r="D2016" s="14"/>
      <c r="E2016" s="14"/>
      <c r="F2016" s="14"/>
      <c r="G2016" s="14" t="s">
        <v>1911</v>
      </c>
      <c r="H2016" s="14"/>
      <c r="I2016" s="176"/>
      <c r="K2016" s="87"/>
      <c r="L2016" s="14"/>
      <c r="M2016" s="324">
        <f t="shared" si="266"/>
        <v>0</v>
      </c>
      <c r="N2016" s="14"/>
      <c r="O2016" s="14"/>
      <c r="P2016" s="167"/>
      <c r="Q2016" s="14"/>
      <c r="R2016" s="170">
        <f t="shared" si="264"/>
        <v>0</v>
      </c>
      <c r="S2016" s="108" t="str">
        <f t="shared" si="265"/>
        <v/>
      </c>
      <c r="T2016" s="14"/>
      <c r="U2016" s="14"/>
      <c r="V2016" s="14"/>
      <c r="W2016" s="14"/>
      <c r="X2016" s="14"/>
      <c r="Z2016" s="14"/>
      <c r="AA2016" s="2">
        <f t="shared" si="267"/>
        <v>3</v>
      </c>
      <c r="AB2016" s="153"/>
      <c r="AC2016" s="454" t="str">
        <f t="shared" si="268"/>
        <v/>
      </c>
    </row>
    <row r="2017" spans="1:29" x14ac:dyDescent="0.35">
      <c r="A2017" s="111" t="str">
        <f t="shared" si="269"/>
        <v/>
      </c>
      <c r="B2017" s="222"/>
      <c r="C2017" s="14"/>
      <c r="D2017" s="14"/>
      <c r="E2017" s="14"/>
      <c r="F2017" s="14"/>
      <c r="G2017" s="14" t="s">
        <v>1911</v>
      </c>
      <c r="H2017" s="14"/>
      <c r="I2017" s="176"/>
      <c r="K2017" s="87"/>
      <c r="L2017" s="14"/>
      <c r="M2017" s="324">
        <f t="shared" si="266"/>
        <v>0</v>
      </c>
      <c r="N2017" s="14"/>
      <c r="O2017" s="14"/>
      <c r="P2017" s="167"/>
      <c r="Q2017" s="14"/>
      <c r="R2017" s="170">
        <f t="shared" si="264"/>
        <v>0</v>
      </c>
      <c r="S2017" s="108" t="str">
        <f t="shared" si="265"/>
        <v/>
      </c>
      <c r="T2017" s="14"/>
      <c r="U2017" s="14"/>
      <c r="V2017" s="14"/>
      <c r="W2017" s="14"/>
      <c r="X2017" s="14"/>
      <c r="Z2017" s="14"/>
      <c r="AA2017" s="2">
        <f t="shared" si="267"/>
        <v>3</v>
      </c>
      <c r="AB2017" s="153"/>
      <c r="AC2017" s="454" t="str">
        <f t="shared" si="268"/>
        <v/>
      </c>
    </row>
    <row r="2018" spans="1:29" x14ac:dyDescent="0.35">
      <c r="A2018" s="111" t="str">
        <f t="shared" si="269"/>
        <v/>
      </c>
      <c r="B2018" s="222"/>
      <c r="C2018" s="14"/>
      <c r="D2018" s="14"/>
      <c r="E2018" s="14"/>
      <c r="F2018" s="14"/>
      <c r="G2018" s="14" t="s">
        <v>1911</v>
      </c>
      <c r="H2018" s="14"/>
      <c r="I2018" s="176"/>
      <c r="K2018" s="87"/>
      <c r="L2018" s="14"/>
      <c r="M2018" s="324">
        <f t="shared" si="266"/>
        <v>0</v>
      </c>
      <c r="N2018" s="14"/>
      <c r="O2018" s="14"/>
      <c r="P2018" s="167"/>
      <c r="Q2018" s="14"/>
      <c r="R2018" s="170">
        <f t="shared" si="264"/>
        <v>0</v>
      </c>
      <c r="S2018" s="108" t="str">
        <f t="shared" si="265"/>
        <v/>
      </c>
      <c r="T2018" s="14"/>
      <c r="U2018" s="14"/>
      <c r="V2018" s="14"/>
      <c r="W2018" s="14"/>
      <c r="X2018" s="14"/>
      <c r="Z2018" s="14"/>
      <c r="AA2018" s="2">
        <f t="shared" si="267"/>
        <v>3</v>
      </c>
      <c r="AB2018" s="153"/>
      <c r="AC2018" s="454" t="str">
        <f t="shared" si="268"/>
        <v/>
      </c>
    </row>
    <row r="2019" spans="1:29" x14ac:dyDescent="0.35">
      <c r="A2019" s="111" t="str">
        <f t="shared" si="269"/>
        <v/>
      </c>
      <c r="B2019" s="222"/>
      <c r="C2019" s="14"/>
      <c r="D2019" s="14"/>
      <c r="E2019" s="14"/>
      <c r="F2019" s="14"/>
      <c r="G2019" s="14" t="s">
        <v>1911</v>
      </c>
      <c r="H2019" s="14"/>
      <c r="I2019" s="176"/>
      <c r="K2019" s="87"/>
      <c r="L2019" s="14"/>
      <c r="M2019" s="324">
        <f t="shared" si="266"/>
        <v>0</v>
      </c>
      <c r="N2019" s="14"/>
      <c r="O2019" s="14"/>
      <c r="P2019" s="167"/>
      <c r="Q2019" s="14"/>
      <c r="R2019" s="170">
        <f t="shared" si="264"/>
        <v>0</v>
      </c>
      <c r="S2019" s="108" t="str">
        <f t="shared" si="265"/>
        <v/>
      </c>
      <c r="T2019" s="14"/>
      <c r="U2019" s="14"/>
      <c r="V2019" s="14"/>
      <c r="W2019" s="14"/>
      <c r="X2019" s="14"/>
      <c r="Z2019" s="14"/>
      <c r="AA2019" s="2">
        <f t="shared" si="267"/>
        <v>3</v>
      </c>
      <c r="AB2019" s="153"/>
      <c r="AC2019" s="454" t="str">
        <f t="shared" si="268"/>
        <v/>
      </c>
    </row>
    <row r="2020" spans="1:29" x14ac:dyDescent="0.35">
      <c r="A2020" s="111" t="str">
        <f t="shared" si="269"/>
        <v/>
      </c>
      <c r="B2020" s="222"/>
      <c r="C2020" s="14"/>
      <c r="D2020" s="14"/>
      <c r="E2020" s="14"/>
      <c r="F2020" s="14"/>
      <c r="G2020" s="14" t="s">
        <v>1911</v>
      </c>
      <c r="H2020" s="14"/>
      <c r="I2020" s="176"/>
      <c r="K2020" s="87"/>
      <c r="L2020" s="14"/>
      <c r="M2020" s="324">
        <f t="shared" si="266"/>
        <v>0</v>
      </c>
      <c r="N2020" s="14"/>
      <c r="O2020" s="14"/>
      <c r="P2020" s="167"/>
      <c r="Q2020" s="14"/>
      <c r="R2020" s="170">
        <f t="shared" si="264"/>
        <v>0</v>
      </c>
      <c r="S2020" s="108" t="str">
        <f t="shared" si="265"/>
        <v/>
      </c>
      <c r="T2020" s="14"/>
      <c r="U2020" s="14"/>
      <c r="V2020" s="14"/>
      <c r="W2020" s="14"/>
      <c r="X2020" s="14"/>
      <c r="Z2020" s="14"/>
      <c r="AA2020" s="2">
        <f t="shared" si="267"/>
        <v>3</v>
      </c>
      <c r="AB2020" s="153"/>
      <c r="AC2020" s="454" t="str">
        <f t="shared" si="268"/>
        <v/>
      </c>
    </row>
    <row r="2021" spans="1:29" x14ac:dyDescent="0.35">
      <c r="A2021" s="111" t="str">
        <f t="shared" si="269"/>
        <v/>
      </c>
      <c r="B2021" s="222"/>
      <c r="C2021" s="14"/>
      <c r="D2021" s="14"/>
      <c r="E2021" s="14"/>
      <c r="F2021" s="14"/>
      <c r="G2021" s="14" t="s">
        <v>1911</v>
      </c>
      <c r="H2021" s="14"/>
      <c r="I2021" s="176"/>
      <c r="K2021" s="87"/>
      <c r="L2021" s="14"/>
      <c r="M2021" s="324">
        <f t="shared" si="266"/>
        <v>0</v>
      </c>
      <c r="N2021" s="14"/>
      <c r="O2021" s="14"/>
      <c r="P2021" s="167"/>
      <c r="Q2021" s="14"/>
      <c r="R2021" s="170">
        <f t="shared" si="264"/>
        <v>0</v>
      </c>
      <c r="S2021" s="108" t="str">
        <f t="shared" si="265"/>
        <v/>
      </c>
      <c r="T2021" s="14"/>
      <c r="U2021" s="14"/>
      <c r="V2021" s="14"/>
      <c r="W2021" s="14"/>
      <c r="X2021" s="14"/>
      <c r="Z2021" s="14"/>
      <c r="AA2021" s="2">
        <f t="shared" si="267"/>
        <v>3</v>
      </c>
      <c r="AB2021" s="153"/>
      <c r="AC2021" s="454" t="str">
        <f t="shared" si="268"/>
        <v/>
      </c>
    </row>
    <row r="2022" spans="1:29" x14ac:dyDescent="0.35">
      <c r="A2022" s="111" t="str">
        <f t="shared" si="269"/>
        <v/>
      </c>
      <c r="B2022" s="222"/>
      <c r="C2022" s="14"/>
      <c r="D2022" s="14"/>
      <c r="E2022" s="14"/>
      <c r="F2022" s="14"/>
      <c r="G2022" s="14" t="s">
        <v>1911</v>
      </c>
      <c r="H2022" s="14"/>
      <c r="I2022" s="176"/>
      <c r="K2022" s="87"/>
      <c r="L2022" s="14"/>
      <c r="M2022" s="324">
        <f t="shared" si="266"/>
        <v>0</v>
      </c>
      <c r="N2022" s="14"/>
      <c r="O2022" s="14"/>
      <c r="P2022" s="167"/>
      <c r="Q2022" s="14"/>
      <c r="R2022" s="170">
        <f t="shared" si="264"/>
        <v>0</v>
      </c>
      <c r="S2022" s="108" t="str">
        <f t="shared" si="265"/>
        <v/>
      </c>
      <c r="T2022" s="14"/>
      <c r="U2022" s="14"/>
      <c r="V2022" s="14"/>
      <c r="W2022" s="14"/>
      <c r="X2022" s="14"/>
      <c r="Z2022" s="14"/>
      <c r="AA2022" s="2">
        <f t="shared" si="267"/>
        <v>3</v>
      </c>
      <c r="AB2022" s="153"/>
      <c r="AC2022" s="454" t="str">
        <f t="shared" si="268"/>
        <v/>
      </c>
    </row>
    <row r="2023" spans="1:29" x14ac:dyDescent="0.35">
      <c r="A2023" s="111" t="str">
        <f t="shared" si="269"/>
        <v/>
      </c>
      <c r="B2023" s="222"/>
      <c r="C2023" s="14"/>
      <c r="D2023" s="14"/>
      <c r="E2023" s="14"/>
      <c r="F2023" s="14"/>
      <c r="G2023" s="14" t="s">
        <v>1911</v>
      </c>
      <c r="H2023" s="14"/>
      <c r="I2023" s="176"/>
      <c r="K2023" s="87"/>
      <c r="L2023" s="14"/>
      <c r="M2023" s="324">
        <f t="shared" si="266"/>
        <v>0</v>
      </c>
      <c r="N2023" s="14"/>
      <c r="O2023" s="14"/>
      <c r="P2023" s="167"/>
      <c r="Q2023" s="14"/>
      <c r="R2023" s="170">
        <f t="shared" si="264"/>
        <v>0</v>
      </c>
      <c r="S2023" s="108" t="str">
        <f t="shared" si="265"/>
        <v/>
      </c>
      <c r="T2023" s="14"/>
      <c r="U2023" s="14"/>
      <c r="V2023" s="14"/>
      <c r="W2023" s="14"/>
      <c r="X2023" s="14"/>
      <c r="Z2023" s="14"/>
      <c r="AA2023" s="2">
        <f t="shared" si="267"/>
        <v>3</v>
      </c>
      <c r="AB2023" s="153"/>
      <c r="AC2023" s="454" t="str">
        <f t="shared" si="268"/>
        <v/>
      </c>
    </row>
    <row r="2024" spans="1:29" x14ac:dyDescent="0.35">
      <c r="A2024" s="111" t="str">
        <f t="shared" si="269"/>
        <v/>
      </c>
      <c r="B2024" s="222"/>
      <c r="C2024" s="14"/>
      <c r="D2024" s="14"/>
      <c r="E2024" s="14"/>
      <c r="F2024" s="14"/>
      <c r="G2024" s="14" t="s">
        <v>1911</v>
      </c>
      <c r="H2024" s="14"/>
      <c r="I2024" s="176"/>
      <c r="K2024" s="87"/>
      <c r="L2024" s="14"/>
      <c r="M2024" s="324">
        <f t="shared" si="266"/>
        <v>0</v>
      </c>
      <c r="N2024" s="14"/>
      <c r="O2024" s="14"/>
      <c r="P2024" s="167"/>
      <c r="Q2024" s="14"/>
      <c r="R2024" s="170">
        <f t="shared" si="264"/>
        <v>0</v>
      </c>
      <c r="S2024" s="108" t="str">
        <f t="shared" si="265"/>
        <v/>
      </c>
      <c r="T2024" s="14"/>
      <c r="U2024" s="14"/>
      <c r="V2024" s="14"/>
      <c r="W2024" s="14"/>
      <c r="X2024" s="14"/>
      <c r="Z2024" s="14"/>
      <c r="AA2024" s="2">
        <f t="shared" si="267"/>
        <v>3</v>
      </c>
      <c r="AB2024" s="153"/>
      <c r="AC2024" s="454" t="str">
        <f t="shared" si="268"/>
        <v/>
      </c>
    </row>
    <row r="2025" spans="1:29" x14ac:dyDescent="0.35">
      <c r="A2025" s="111" t="str">
        <f t="shared" si="269"/>
        <v/>
      </c>
      <c r="B2025" s="222"/>
      <c r="C2025" s="14"/>
      <c r="D2025" s="14"/>
      <c r="E2025" s="14"/>
      <c r="F2025" s="14"/>
      <c r="G2025" s="14" t="s">
        <v>1911</v>
      </c>
      <c r="H2025" s="14"/>
      <c r="I2025" s="176"/>
      <c r="K2025" s="87"/>
      <c r="L2025" s="14"/>
      <c r="M2025" s="324">
        <f t="shared" si="266"/>
        <v>0</v>
      </c>
      <c r="N2025" s="14"/>
      <c r="O2025" s="14"/>
      <c r="P2025" s="167"/>
      <c r="Q2025" s="14"/>
      <c r="R2025" s="170">
        <f t="shared" si="264"/>
        <v>0</v>
      </c>
      <c r="S2025" s="108" t="str">
        <f t="shared" si="265"/>
        <v/>
      </c>
      <c r="T2025" s="14"/>
      <c r="U2025" s="14"/>
      <c r="V2025" s="14"/>
      <c r="W2025" s="14"/>
      <c r="X2025" s="14"/>
      <c r="Z2025" s="14"/>
      <c r="AA2025" s="2">
        <f t="shared" si="267"/>
        <v>3</v>
      </c>
      <c r="AB2025" s="153"/>
      <c r="AC2025" s="454" t="str">
        <f t="shared" si="268"/>
        <v/>
      </c>
    </row>
    <row r="2026" spans="1:29" x14ac:dyDescent="0.35">
      <c r="A2026" s="111" t="str">
        <f t="shared" si="269"/>
        <v/>
      </c>
      <c r="B2026" s="222"/>
      <c r="C2026" s="14"/>
      <c r="D2026" s="14"/>
      <c r="E2026" s="14"/>
      <c r="F2026" s="14"/>
      <c r="G2026" s="14" t="s">
        <v>1911</v>
      </c>
      <c r="H2026" s="14"/>
      <c r="I2026" s="176"/>
      <c r="K2026" s="87"/>
      <c r="L2026" s="14"/>
      <c r="M2026" s="324">
        <f t="shared" si="266"/>
        <v>0</v>
      </c>
      <c r="N2026" s="14"/>
      <c r="O2026" s="14"/>
      <c r="P2026" s="167"/>
      <c r="Q2026" s="14"/>
      <c r="R2026" s="170">
        <f t="shared" si="264"/>
        <v>0</v>
      </c>
      <c r="S2026" s="108" t="str">
        <f t="shared" si="265"/>
        <v/>
      </c>
      <c r="T2026" s="14"/>
      <c r="U2026" s="14"/>
      <c r="V2026" s="14"/>
      <c r="W2026" s="14"/>
      <c r="X2026" s="14"/>
      <c r="Z2026" s="14"/>
      <c r="AA2026" s="2">
        <f t="shared" si="267"/>
        <v>3</v>
      </c>
      <c r="AB2026" s="153"/>
      <c r="AC2026" s="454" t="str">
        <f t="shared" si="268"/>
        <v/>
      </c>
    </row>
    <row r="2027" spans="1:29" x14ac:dyDescent="0.35">
      <c r="A2027" s="111" t="str">
        <f t="shared" si="269"/>
        <v/>
      </c>
      <c r="B2027" s="222"/>
      <c r="C2027" s="14"/>
      <c r="D2027" s="14"/>
      <c r="E2027" s="14"/>
      <c r="F2027" s="14"/>
      <c r="G2027" s="14" t="s">
        <v>1911</v>
      </c>
      <c r="H2027" s="14"/>
      <c r="I2027" s="176"/>
      <c r="K2027" s="87"/>
      <c r="L2027" s="14"/>
      <c r="M2027" s="324">
        <f t="shared" si="266"/>
        <v>0</v>
      </c>
      <c r="N2027" s="14"/>
      <c r="O2027" s="14"/>
      <c r="P2027" s="167"/>
      <c r="Q2027" s="14"/>
      <c r="R2027" s="170">
        <f t="shared" si="264"/>
        <v>0</v>
      </c>
      <c r="S2027" s="108" t="str">
        <f t="shared" si="265"/>
        <v/>
      </c>
      <c r="T2027" s="14"/>
      <c r="U2027" s="14"/>
      <c r="V2027" s="14"/>
      <c r="W2027" s="14"/>
      <c r="X2027" s="14"/>
      <c r="Z2027" s="14"/>
      <c r="AA2027" s="2">
        <f t="shared" si="267"/>
        <v>3</v>
      </c>
      <c r="AB2027" s="153"/>
      <c r="AC2027" s="454" t="str">
        <f t="shared" si="268"/>
        <v/>
      </c>
    </row>
    <row r="2028" spans="1:29" x14ac:dyDescent="0.35">
      <c r="A2028" s="111" t="str">
        <f t="shared" si="269"/>
        <v/>
      </c>
      <c r="B2028" s="222"/>
      <c r="C2028" s="14"/>
      <c r="D2028" s="14"/>
      <c r="E2028" s="14"/>
      <c r="F2028" s="14"/>
      <c r="G2028" s="14" t="s">
        <v>1911</v>
      </c>
      <c r="H2028" s="14"/>
      <c r="I2028" s="176"/>
      <c r="K2028" s="87"/>
      <c r="L2028" s="14"/>
      <c r="M2028" s="324">
        <f t="shared" si="266"/>
        <v>0</v>
      </c>
      <c r="N2028" s="14"/>
      <c r="O2028" s="14"/>
      <c r="P2028" s="167"/>
      <c r="Q2028" s="14"/>
      <c r="R2028" s="170">
        <f t="shared" si="264"/>
        <v>0</v>
      </c>
      <c r="S2028" s="108" t="str">
        <f t="shared" si="265"/>
        <v/>
      </c>
      <c r="T2028" s="14"/>
      <c r="U2028" s="14"/>
      <c r="V2028" s="14"/>
      <c r="W2028" s="14"/>
      <c r="X2028" s="14"/>
      <c r="Z2028" s="14"/>
      <c r="AA2028" s="2">
        <f t="shared" si="267"/>
        <v>3</v>
      </c>
      <c r="AB2028" s="153"/>
      <c r="AC2028" s="454" t="str">
        <f t="shared" si="268"/>
        <v/>
      </c>
    </row>
    <row r="2029" spans="1:29" x14ac:dyDescent="0.35">
      <c r="A2029" s="111" t="str">
        <f t="shared" si="269"/>
        <v/>
      </c>
      <c r="B2029" s="222"/>
      <c r="C2029" s="14"/>
      <c r="D2029" s="14"/>
      <c r="E2029" s="14"/>
      <c r="F2029" s="14"/>
      <c r="G2029" s="14" t="s">
        <v>1911</v>
      </c>
      <c r="H2029" s="14"/>
      <c r="I2029" s="176"/>
      <c r="K2029" s="87"/>
      <c r="L2029" s="14"/>
      <c r="M2029" s="324">
        <f t="shared" si="266"/>
        <v>0</v>
      </c>
      <c r="N2029" s="14"/>
      <c r="O2029" s="14"/>
      <c r="P2029" s="167"/>
      <c r="Q2029" s="14"/>
      <c r="R2029" s="170">
        <f t="shared" ref="R2029:R2092" si="270">IF(I2029="Staff Accident","Entry Required",IF(I2029="Assaults","Entry Required",0))</f>
        <v>0</v>
      </c>
      <c r="S2029" s="108" t="str">
        <f t="shared" si="265"/>
        <v/>
      </c>
      <c r="T2029" s="14"/>
      <c r="U2029" s="14"/>
      <c r="V2029" s="14"/>
      <c r="W2029" s="14"/>
      <c r="X2029" s="14"/>
      <c r="Z2029" s="14"/>
      <c r="AA2029" s="2">
        <f t="shared" si="267"/>
        <v>3</v>
      </c>
      <c r="AB2029" s="153"/>
      <c r="AC2029" s="454" t="str">
        <f t="shared" si="268"/>
        <v/>
      </c>
    </row>
    <row r="2030" spans="1:29" x14ac:dyDescent="0.35">
      <c r="A2030" s="111" t="str">
        <f t="shared" si="269"/>
        <v/>
      </c>
      <c r="B2030" s="222"/>
      <c r="C2030" s="14"/>
      <c r="D2030" s="14"/>
      <c r="E2030" s="14"/>
      <c r="F2030" s="14"/>
      <c r="G2030" s="14" t="s">
        <v>1911</v>
      </c>
      <c r="H2030" s="14"/>
      <c r="I2030" s="176"/>
      <c r="K2030" s="87"/>
      <c r="L2030" s="14"/>
      <c r="M2030" s="324">
        <f t="shared" si="266"/>
        <v>0</v>
      </c>
      <c r="N2030" s="14"/>
      <c r="O2030" s="14"/>
      <c r="P2030" s="167"/>
      <c r="Q2030" s="14"/>
      <c r="R2030" s="170">
        <f t="shared" si="270"/>
        <v>0</v>
      </c>
      <c r="S2030" s="108" t="str">
        <f t="shared" si="265"/>
        <v/>
      </c>
      <c r="T2030" s="14"/>
      <c r="U2030" s="14"/>
      <c r="V2030" s="14"/>
      <c r="W2030" s="14"/>
      <c r="X2030" s="14"/>
      <c r="Z2030" s="14"/>
      <c r="AA2030" s="2">
        <f t="shared" si="267"/>
        <v>3</v>
      </c>
      <c r="AB2030" s="153"/>
      <c r="AC2030" s="454" t="str">
        <f t="shared" si="268"/>
        <v/>
      </c>
    </row>
    <row r="2031" spans="1:29" x14ac:dyDescent="0.35">
      <c r="A2031" s="111" t="str">
        <f t="shared" si="269"/>
        <v/>
      </c>
      <c r="B2031" s="222"/>
      <c r="C2031" s="14"/>
      <c r="D2031" s="14"/>
      <c r="E2031" s="14"/>
      <c r="F2031" s="14"/>
      <c r="G2031" s="14" t="s">
        <v>1911</v>
      </c>
      <c r="H2031" s="14"/>
      <c r="I2031" s="176"/>
      <c r="K2031" s="87"/>
      <c r="L2031" s="14"/>
      <c r="M2031" s="324">
        <f t="shared" si="266"/>
        <v>0</v>
      </c>
      <c r="N2031" s="14"/>
      <c r="O2031" s="14"/>
      <c r="P2031" s="167"/>
      <c r="Q2031" s="14"/>
      <c r="R2031" s="170">
        <f t="shared" si="270"/>
        <v>0</v>
      </c>
      <c r="S2031" s="108" t="str">
        <f t="shared" si="265"/>
        <v/>
      </c>
      <c r="T2031" s="14"/>
      <c r="U2031" s="14"/>
      <c r="V2031" s="14"/>
      <c r="W2031" s="14"/>
      <c r="X2031" s="14"/>
      <c r="Z2031" s="14"/>
      <c r="AA2031" s="2">
        <f t="shared" si="267"/>
        <v>3</v>
      </c>
      <c r="AB2031" s="153"/>
      <c r="AC2031" s="454" t="str">
        <f t="shared" si="268"/>
        <v/>
      </c>
    </row>
    <row r="2032" spans="1:29" x14ac:dyDescent="0.35">
      <c r="A2032" s="111" t="str">
        <f t="shared" si="269"/>
        <v/>
      </c>
      <c r="B2032" s="222"/>
      <c r="C2032" s="14"/>
      <c r="D2032" s="14"/>
      <c r="E2032" s="14"/>
      <c r="F2032" s="14"/>
      <c r="G2032" s="14" t="s">
        <v>1911</v>
      </c>
      <c r="H2032" s="14"/>
      <c r="I2032" s="176"/>
      <c r="K2032" s="87"/>
      <c r="L2032" s="14"/>
      <c r="M2032" s="324">
        <f t="shared" si="266"/>
        <v>0</v>
      </c>
      <c r="N2032" s="14"/>
      <c r="O2032" s="14"/>
      <c r="P2032" s="167"/>
      <c r="Q2032" s="14"/>
      <c r="R2032" s="170">
        <f t="shared" si="270"/>
        <v>0</v>
      </c>
      <c r="S2032" s="108" t="str">
        <f t="shared" si="265"/>
        <v/>
      </c>
      <c r="T2032" s="14"/>
      <c r="U2032" s="14"/>
      <c r="V2032" s="14"/>
      <c r="W2032" s="14"/>
      <c r="X2032" s="14"/>
      <c r="Z2032" s="14"/>
      <c r="AA2032" s="2">
        <f t="shared" si="267"/>
        <v>3</v>
      </c>
      <c r="AB2032" s="153"/>
      <c r="AC2032" s="454" t="str">
        <f t="shared" si="268"/>
        <v/>
      </c>
    </row>
    <row r="2033" spans="1:29" x14ac:dyDescent="0.35">
      <c r="A2033" s="111" t="str">
        <f t="shared" si="269"/>
        <v/>
      </c>
      <c r="B2033" s="222"/>
      <c r="C2033" s="14"/>
      <c r="D2033" s="14"/>
      <c r="E2033" s="14"/>
      <c r="F2033" s="14"/>
      <c r="G2033" s="14" t="s">
        <v>1911</v>
      </c>
      <c r="H2033" s="14"/>
      <c r="I2033" s="176"/>
      <c r="K2033" s="87"/>
      <c r="L2033" s="14"/>
      <c r="M2033" s="324">
        <f t="shared" si="266"/>
        <v>0</v>
      </c>
      <c r="N2033" s="14"/>
      <c r="O2033" s="14"/>
      <c r="P2033" s="167"/>
      <c r="Q2033" s="14"/>
      <c r="R2033" s="170">
        <f t="shared" si="270"/>
        <v>0</v>
      </c>
      <c r="S2033" s="108" t="str">
        <f t="shared" si="265"/>
        <v/>
      </c>
      <c r="T2033" s="14"/>
      <c r="U2033" s="14"/>
      <c r="V2033" s="14"/>
      <c r="W2033" s="14"/>
      <c r="X2033" s="14"/>
      <c r="Z2033" s="14"/>
      <c r="AA2033" s="2">
        <f t="shared" si="267"/>
        <v>3</v>
      </c>
      <c r="AB2033" s="153"/>
      <c r="AC2033" s="454" t="str">
        <f t="shared" si="268"/>
        <v/>
      </c>
    </row>
    <row r="2034" spans="1:29" x14ac:dyDescent="0.35">
      <c r="A2034" s="111" t="str">
        <f t="shared" si="269"/>
        <v/>
      </c>
      <c r="B2034" s="222"/>
      <c r="C2034" s="14"/>
      <c r="D2034" s="14"/>
      <c r="E2034" s="14"/>
      <c r="F2034" s="14"/>
      <c r="G2034" s="14" t="s">
        <v>1911</v>
      </c>
      <c r="H2034" s="14"/>
      <c r="I2034" s="176"/>
      <c r="K2034" s="87"/>
      <c r="L2034" s="14"/>
      <c r="M2034" s="324">
        <f t="shared" si="266"/>
        <v>0</v>
      </c>
      <c r="N2034" s="14"/>
      <c r="O2034" s="14"/>
      <c r="P2034" s="167"/>
      <c r="Q2034" s="14"/>
      <c r="R2034" s="170">
        <f t="shared" si="270"/>
        <v>0</v>
      </c>
      <c r="S2034" s="108" t="str">
        <f t="shared" si="265"/>
        <v/>
      </c>
      <c r="T2034" s="14"/>
      <c r="U2034" s="14"/>
      <c r="V2034" s="14"/>
      <c r="W2034" s="14"/>
      <c r="X2034" s="14"/>
      <c r="Z2034" s="14"/>
      <c r="AA2034" s="2">
        <f t="shared" si="267"/>
        <v>3</v>
      </c>
      <c r="AB2034" s="153"/>
      <c r="AC2034" s="454" t="str">
        <f t="shared" si="268"/>
        <v/>
      </c>
    </row>
    <row r="2035" spans="1:29" x14ac:dyDescent="0.35">
      <c r="A2035" s="111" t="str">
        <f t="shared" si="269"/>
        <v/>
      </c>
      <c r="B2035" s="222"/>
      <c r="C2035" s="14"/>
      <c r="D2035" s="14"/>
      <c r="E2035" s="14"/>
      <c r="F2035" s="14"/>
      <c r="G2035" s="14" t="s">
        <v>1911</v>
      </c>
      <c r="H2035" s="14"/>
      <c r="I2035" s="176"/>
      <c r="K2035" s="87"/>
      <c r="L2035" s="14"/>
      <c r="M2035" s="324">
        <f t="shared" si="266"/>
        <v>0</v>
      </c>
      <c r="N2035" s="14"/>
      <c r="O2035" s="14"/>
      <c r="P2035" s="167"/>
      <c r="Q2035" s="14"/>
      <c r="R2035" s="170">
        <f t="shared" si="270"/>
        <v>0</v>
      </c>
      <c r="S2035" s="108" t="str">
        <f t="shared" si="265"/>
        <v/>
      </c>
      <c r="T2035" s="14"/>
      <c r="U2035" s="14"/>
      <c r="V2035" s="14"/>
      <c r="W2035" s="14"/>
      <c r="X2035" s="14"/>
      <c r="Z2035" s="14"/>
      <c r="AA2035" s="2">
        <f t="shared" si="267"/>
        <v>3</v>
      </c>
      <c r="AB2035" s="153"/>
      <c r="AC2035" s="454" t="str">
        <f t="shared" si="268"/>
        <v/>
      </c>
    </row>
    <row r="2036" spans="1:29" x14ac:dyDescent="0.35">
      <c r="A2036" s="111" t="str">
        <f t="shared" si="269"/>
        <v/>
      </c>
      <c r="B2036" s="222"/>
      <c r="C2036" s="14"/>
      <c r="D2036" s="14"/>
      <c r="E2036" s="14"/>
      <c r="F2036" s="14"/>
      <c r="G2036" s="14" t="s">
        <v>1911</v>
      </c>
      <c r="H2036" s="14"/>
      <c r="I2036" s="176"/>
      <c r="K2036" s="87"/>
      <c r="L2036" s="14"/>
      <c r="M2036" s="324">
        <f t="shared" si="266"/>
        <v>0</v>
      </c>
      <c r="N2036" s="14"/>
      <c r="O2036" s="14"/>
      <c r="P2036" s="167"/>
      <c r="Q2036" s="14"/>
      <c r="R2036" s="170">
        <f t="shared" si="270"/>
        <v>0</v>
      </c>
      <c r="S2036" s="108" t="str">
        <f t="shared" si="265"/>
        <v/>
      </c>
      <c r="T2036" s="14"/>
      <c r="U2036" s="14"/>
      <c r="V2036" s="14"/>
      <c r="W2036" s="14"/>
      <c r="X2036" s="14"/>
      <c r="Z2036" s="14"/>
      <c r="AA2036" s="2">
        <f t="shared" si="267"/>
        <v>3</v>
      </c>
      <c r="AB2036" s="153"/>
      <c r="AC2036" s="454" t="str">
        <f t="shared" si="268"/>
        <v/>
      </c>
    </row>
    <row r="2037" spans="1:29" x14ac:dyDescent="0.35">
      <c r="A2037" s="111" t="str">
        <f t="shared" si="269"/>
        <v/>
      </c>
      <c r="B2037" s="222"/>
      <c r="C2037" s="14"/>
      <c r="D2037" s="14"/>
      <c r="E2037" s="14"/>
      <c r="F2037" s="14"/>
      <c r="G2037" s="14" t="s">
        <v>1911</v>
      </c>
      <c r="H2037" s="14"/>
      <c r="I2037" s="176"/>
      <c r="K2037" s="87"/>
      <c r="L2037" s="14"/>
      <c r="M2037" s="324">
        <f t="shared" si="266"/>
        <v>0</v>
      </c>
      <c r="N2037" s="14"/>
      <c r="O2037" s="14"/>
      <c r="P2037" s="167"/>
      <c r="Q2037" s="14"/>
      <c r="R2037" s="170">
        <f t="shared" si="270"/>
        <v>0</v>
      </c>
      <c r="S2037" s="108" t="str">
        <f t="shared" si="265"/>
        <v/>
      </c>
      <c r="T2037" s="14"/>
      <c r="U2037" s="14"/>
      <c r="V2037" s="14"/>
      <c r="W2037" s="14"/>
      <c r="X2037" s="14"/>
      <c r="Z2037" s="14"/>
      <c r="AA2037" s="2">
        <f t="shared" si="267"/>
        <v>3</v>
      </c>
      <c r="AB2037" s="153"/>
      <c r="AC2037" s="454" t="str">
        <f t="shared" si="268"/>
        <v/>
      </c>
    </row>
    <row r="2038" spans="1:29" x14ac:dyDescent="0.35">
      <c r="A2038" s="111" t="str">
        <f t="shared" si="269"/>
        <v/>
      </c>
      <c r="B2038" s="222"/>
      <c r="C2038" s="14"/>
      <c r="D2038" s="14"/>
      <c r="E2038" s="14"/>
      <c r="F2038" s="14"/>
      <c r="G2038" s="14" t="s">
        <v>1911</v>
      </c>
      <c r="H2038" s="14"/>
      <c r="I2038" s="176"/>
      <c r="K2038" s="87"/>
      <c r="L2038" s="14"/>
      <c r="M2038" s="324">
        <f t="shared" si="266"/>
        <v>0</v>
      </c>
      <c r="N2038" s="14"/>
      <c r="O2038" s="14"/>
      <c r="P2038" s="167"/>
      <c r="Q2038" s="14"/>
      <c r="R2038" s="170">
        <f t="shared" si="270"/>
        <v>0</v>
      </c>
      <c r="S2038" s="108" t="str">
        <f t="shared" si="265"/>
        <v/>
      </c>
      <c r="T2038" s="14"/>
      <c r="U2038" s="14"/>
      <c r="V2038" s="14"/>
      <c r="W2038" s="14"/>
      <c r="X2038" s="14"/>
      <c r="Z2038" s="14"/>
      <c r="AA2038" s="2">
        <f t="shared" si="267"/>
        <v>3</v>
      </c>
      <c r="AB2038" s="153"/>
      <c r="AC2038" s="454" t="str">
        <f t="shared" si="268"/>
        <v/>
      </c>
    </row>
    <row r="2039" spans="1:29" x14ac:dyDescent="0.35">
      <c r="A2039" s="111" t="str">
        <f t="shared" si="269"/>
        <v/>
      </c>
      <c r="B2039" s="222"/>
      <c r="C2039" s="14"/>
      <c r="D2039" s="14"/>
      <c r="E2039" s="14"/>
      <c r="F2039" s="14"/>
      <c r="G2039" s="14" t="s">
        <v>1911</v>
      </c>
      <c r="H2039" s="14"/>
      <c r="I2039" s="176"/>
      <c r="K2039" s="87"/>
      <c r="L2039" s="14"/>
      <c r="M2039" s="324">
        <f t="shared" si="266"/>
        <v>0</v>
      </c>
      <c r="N2039" s="14"/>
      <c r="O2039" s="14"/>
      <c r="P2039" s="167"/>
      <c r="Q2039" s="14"/>
      <c r="R2039" s="170">
        <f t="shared" si="270"/>
        <v>0</v>
      </c>
      <c r="S2039" s="108" t="str">
        <f t="shared" si="265"/>
        <v/>
      </c>
      <c r="T2039" s="14"/>
      <c r="U2039" s="14"/>
      <c r="V2039" s="14"/>
      <c r="W2039" s="14"/>
      <c r="X2039" s="14"/>
      <c r="Z2039" s="14"/>
      <c r="AA2039" s="2">
        <f t="shared" si="267"/>
        <v>3</v>
      </c>
      <c r="AB2039" s="153"/>
      <c r="AC2039" s="454" t="str">
        <f t="shared" si="268"/>
        <v/>
      </c>
    </row>
    <row r="2040" spans="1:29" x14ac:dyDescent="0.35">
      <c r="A2040" s="111" t="str">
        <f t="shared" si="269"/>
        <v/>
      </c>
      <c r="B2040" s="222"/>
      <c r="C2040" s="14"/>
      <c r="D2040" s="14"/>
      <c r="E2040" s="14"/>
      <c r="F2040" s="14"/>
      <c r="G2040" s="14" t="s">
        <v>1911</v>
      </c>
      <c r="H2040" s="14"/>
      <c r="I2040" s="176"/>
      <c r="K2040" s="87"/>
      <c r="L2040" s="14"/>
      <c r="M2040" s="324">
        <f t="shared" si="266"/>
        <v>0</v>
      </c>
      <c r="N2040" s="14"/>
      <c r="O2040" s="14"/>
      <c r="P2040" s="167"/>
      <c r="Q2040" s="14"/>
      <c r="R2040" s="170">
        <f t="shared" si="270"/>
        <v>0</v>
      </c>
      <c r="S2040" s="108" t="str">
        <f t="shared" si="265"/>
        <v/>
      </c>
      <c r="T2040" s="14"/>
      <c r="U2040" s="14"/>
      <c r="V2040" s="14"/>
      <c r="W2040" s="14"/>
      <c r="X2040" s="14"/>
      <c r="Z2040" s="14"/>
      <c r="AA2040" s="2">
        <f t="shared" si="267"/>
        <v>3</v>
      </c>
      <c r="AB2040" s="153"/>
      <c r="AC2040" s="454" t="str">
        <f t="shared" si="268"/>
        <v/>
      </c>
    </row>
    <row r="2041" spans="1:29" x14ac:dyDescent="0.35">
      <c r="A2041" s="111" t="str">
        <f t="shared" si="269"/>
        <v/>
      </c>
      <c r="B2041" s="222"/>
      <c r="C2041" s="14"/>
      <c r="D2041" s="14"/>
      <c r="E2041" s="14"/>
      <c r="F2041" s="14"/>
      <c r="G2041" s="14" t="s">
        <v>1911</v>
      </c>
      <c r="H2041" s="14"/>
      <c r="I2041" s="176"/>
      <c r="K2041" s="87"/>
      <c r="L2041" s="14"/>
      <c r="M2041" s="324">
        <f t="shared" si="266"/>
        <v>0</v>
      </c>
      <c r="N2041" s="14"/>
      <c r="O2041" s="14"/>
      <c r="P2041" s="167"/>
      <c r="Q2041" s="14"/>
      <c r="R2041" s="170">
        <f t="shared" si="270"/>
        <v>0</v>
      </c>
      <c r="S2041" s="108" t="str">
        <f t="shared" si="265"/>
        <v/>
      </c>
      <c r="T2041" s="14"/>
      <c r="U2041" s="14"/>
      <c r="V2041" s="14"/>
      <c r="W2041" s="14"/>
      <c r="X2041" s="14"/>
      <c r="Z2041" s="14"/>
      <c r="AA2041" s="2">
        <f t="shared" si="267"/>
        <v>3</v>
      </c>
      <c r="AB2041" s="153"/>
      <c r="AC2041" s="454" t="str">
        <f t="shared" si="268"/>
        <v/>
      </c>
    </row>
    <row r="2042" spans="1:29" x14ac:dyDescent="0.35">
      <c r="A2042" s="111" t="str">
        <f t="shared" si="269"/>
        <v/>
      </c>
      <c r="B2042" s="222"/>
      <c r="C2042" s="14"/>
      <c r="D2042" s="14"/>
      <c r="E2042" s="14"/>
      <c r="F2042" s="14"/>
      <c r="G2042" s="14" t="s">
        <v>1911</v>
      </c>
      <c r="H2042" s="14"/>
      <c r="I2042" s="176"/>
      <c r="K2042" s="87"/>
      <c r="L2042" s="14"/>
      <c r="M2042" s="324">
        <f t="shared" si="266"/>
        <v>0</v>
      </c>
      <c r="N2042" s="14"/>
      <c r="O2042" s="14"/>
      <c r="P2042" s="167"/>
      <c r="Q2042" s="14"/>
      <c r="R2042" s="170">
        <f t="shared" si="270"/>
        <v>0</v>
      </c>
      <c r="S2042" s="108" t="str">
        <f t="shared" si="265"/>
        <v/>
      </c>
      <c r="T2042" s="14"/>
      <c r="U2042" s="14"/>
      <c r="V2042" s="14"/>
      <c r="W2042" s="14"/>
      <c r="X2042" s="14"/>
      <c r="Z2042" s="14"/>
      <c r="AA2042" s="2">
        <f t="shared" si="267"/>
        <v>3</v>
      </c>
      <c r="AB2042" s="153"/>
      <c r="AC2042" s="454" t="str">
        <f t="shared" si="268"/>
        <v/>
      </c>
    </row>
    <row r="2043" spans="1:29" x14ac:dyDescent="0.35">
      <c r="A2043" s="111" t="str">
        <f t="shared" si="269"/>
        <v/>
      </c>
      <c r="B2043" s="222"/>
      <c r="C2043" s="14"/>
      <c r="D2043" s="14"/>
      <c r="E2043" s="14"/>
      <c r="F2043" s="14"/>
      <c r="G2043" s="14" t="s">
        <v>1911</v>
      </c>
      <c r="H2043" s="14"/>
      <c r="I2043" s="176"/>
      <c r="K2043" s="87"/>
      <c r="L2043" s="14"/>
      <c r="M2043" s="324">
        <f t="shared" si="266"/>
        <v>0</v>
      </c>
      <c r="N2043" s="14"/>
      <c r="O2043" s="14"/>
      <c r="P2043" s="167"/>
      <c r="Q2043" s="14"/>
      <c r="R2043" s="170">
        <f t="shared" si="270"/>
        <v>0</v>
      </c>
      <c r="S2043" s="108" t="str">
        <f t="shared" si="265"/>
        <v/>
      </c>
      <c r="T2043" s="14"/>
      <c r="U2043" s="14"/>
      <c r="V2043" s="14"/>
      <c r="W2043" s="14"/>
      <c r="X2043" s="14"/>
      <c r="Z2043" s="14"/>
      <c r="AA2043" s="2">
        <f t="shared" si="267"/>
        <v>3</v>
      </c>
      <c r="AB2043" s="153"/>
      <c r="AC2043" s="454" t="str">
        <f t="shared" si="268"/>
        <v/>
      </c>
    </row>
    <row r="2044" spans="1:29" x14ac:dyDescent="0.35">
      <c r="A2044" s="111" t="str">
        <f t="shared" si="269"/>
        <v/>
      </c>
      <c r="B2044" s="222"/>
      <c r="C2044" s="14"/>
      <c r="D2044" s="14"/>
      <c r="E2044" s="14"/>
      <c r="F2044" s="14"/>
      <c r="G2044" s="14" t="s">
        <v>1911</v>
      </c>
      <c r="H2044" s="14"/>
      <c r="I2044" s="176"/>
      <c r="K2044" s="87"/>
      <c r="L2044" s="14"/>
      <c r="M2044" s="324">
        <f t="shared" si="266"/>
        <v>0</v>
      </c>
      <c r="N2044" s="14"/>
      <c r="O2044" s="14"/>
      <c r="P2044" s="167"/>
      <c r="Q2044" s="14"/>
      <c r="R2044" s="170">
        <f t="shared" si="270"/>
        <v>0</v>
      </c>
      <c r="S2044" s="108" t="str">
        <f t="shared" si="265"/>
        <v/>
      </c>
      <c r="T2044" s="14"/>
      <c r="U2044" s="14"/>
      <c r="V2044" s="14"/>
      <c r="W2044" s="14"/>
      <c r="X2044" s="14"/>
      <c r="Z2044" s="14"/>
      <c r="AA2044" s="2">
        <f t="shared" si="267"/>
        <v>3</v>
      </c>
      <c r="AB2044" s="153"/>
      <c r="AC2044" s="454" t="str">
        <f t="shared" si="268"/>
        <v/>
      </c>
    </row>
    <row r="2045" spans="1:29" x14ac:dyDescent="0.35">
      <c r="A2045" s="111" t="str">
        <f t="shared" si="269"/>
        <v/>
      </c>
      <c r="B2045" s="222"/>
      <c r="C2045" s="14"/>
      <c r="D2045" s="14"/>
      <c r="E2045" s="14"/>
      <c r="F2045" s="14"/>
      <c r="G2045" s="14" t="s">
        <v>1911</v>
      </c>
      <c r="H2045" s="14"/>
      <c r="I2045" s="176"/>
      <c r="K2045" s="87"/>
      <c r="L2045" s="14"/>
      <c r="M2045" s="324">
        <f t="shared" si="266"/>
        <v>0</v>
      </c>
      <c r="N2045" s="14"/>
      <c r="O2045" s="14"/>
      <c r="P2045" s="167"/>
      <c r="Q2045" s="14"/>
      <c r="R2045" s="170">
        <f t="shared" si="270"/>
        <v>0</v>
      </c>
      <c r="S2045" s="108" t="str">
        <f t="shared" si="265"/>
        <v/>
      </c>
      <c r="T2045" s="14"/>
      <c r="U2045" s="14"/>
      <c r="V2045" s="14"/>
      <c r="W2045" s="14"/>
      <c r="X2045" s="14"/>
      <c r="Z2045" s="14"/>
      <c r="AA2045" s="2">
        <f t="shared" si="267"/>
        <v>3</v>
      </c>
      <c r="AB2045" s="153"/>
      <c r="AC2045" s="454" t="str">
        <f t="shared" si="268"/>
        <v/>
      </c>
    </row>
    <row r="2046" spans="1:29" x14ac:dyDescent="0.35">
      <c r="A2046" s="111" t="str">
        <f t="shared" si="269"/>
        <v/>
      </c>
      <c r="B2046" s="222"/>
      <c r="C2046" s="14"/>
      <c r="D2046" s="14"/>
      <c r="E2046" s="14"/>
      <c r="F2046" s="14"/>
      <c r="G2046" s="14" t="s">
        <v>1911</v>
      </c>
      <c r="H2046" s="14"/>
      <c r="I2046" s="176"/>
      <c r="K2046" s="87"/>
      <c r="L2046" s="14"/>
      <c r="M2046" s="324">
        <f t="shared" si="266"/>
        <v>0</v>
      </c>
      <c r="N2046" s="14"/>
      <c r="O2046" s="14"/>
      <c r="P2046" s="167"/>
      <c r="Q2046" s="14"/>
      <c r="R2046" s="170">
        <f t="shared" si="270"/>
        <v>0</v>
      </c>
      <c r="S2046" s="108" t="str">
        <f t="shared" si="265"/>
        <v/>
      </c>
      <c r="T2046" s="14"/>
      <c r="U2046" s="14"/>
      <c r="V2046" s="14"/>
      <c r="W2046" s="14"/>
      <c r="X2046" s="14"/>
      <c r="Z2046" s="14"/>
      <c r="AA2046" s="2">
        <f t="shared" si="267"/>
        <v>3</v>
      </c>
      <c r="AB2046" s="153"/>
      <c r="AC2046" s="454" t="str">
        <f t="shared" si="268"/>
        <v/>
      </c>
    </row>
    <row r="2047" spans="1:29" x14ac:dyDescent="0.35">
      <c r="A2047" s="111" t="str">
        <f t="shared" si="269"/>
        <v/>
      </c>
      <c r="B2047" s="222"/>
      <c r="C2047" s="14"/>
      <c r="D2047" s="14"/>
      <c r="E2047" s="14"/>
      <c r="F2047" s="14"/>
      <c r="G2047" s="14" t="s">
        <v>1911</v>
      </c>
      <c r="H2047" s="14"/>
      <c r="I2047" s="176"/>
      <c r="K2047" s="87"/>
      <c r="L2047" s="14"/>
      <c r="M2047" s="324">
        <f t="shared" si="266"/>
        <v>0</v>
      </c>
      <c r="N2047" s="14"/>
      <c r="O2047" s="14"/>
      <c r="P2047" s="167"/>
      <c r="Q2047" s="14"/>
      <c r="R2047" s="170">
        <f t="shared" si="270"/>
        <v>0</v>
      </c>
      <c r="S2047" s="108" t="str">
        <f t="shared" si="265"/>
        <v/>
      </c>
      <c r="T2047" s="14"/>
      <c r="U2047" s="14"/>
      <c r="V2047" s="14"/>
      <c r="W2047" s="14"/>
      <c r="X2047" s="14"/>
      <c r="Z2047" s="14"/>
      <c r="AA2047" s="2">
        <f t="shared" si="267"/>
        <v>3</v>
      </c>
      <c r="AB2047" s="153"/>
      <c r="AC2047" s="454" t="str">
        <f t="shared" si="268"/>
        <v/>
      </c>
    </row>
    <row r="2048" spans="1:29" x14ac:dyDescent="0.35">
      <c r="A2048" s="111" t="str">
        <f t="shared" si="269"/>
        <v/>
      </c>
      <c r="B2048" s="222"/>
      <c r="C2048" s="14"/>
      <c r="D2048" s="14"/>
      <c r="E2048" s="14"/>
      <c r="F2048" s="14"/>
      <c r="G2048" s="14" t="s">
        <v>1911</v>
      </c>
      <c r="H2048" s="14"/>
      <c r="I2048" s="176"/>
      <c r="K2048" s="87"/>
      <c r="L2048" s="14"/>
      <c r="M2048" s="324">
        <f t="shared" si="266"/>
        <v>0</v>
      </c>
      <c r="N2048" s="14"/>
      <c r="O2048" s="14"/>
      <c r="P2048" s="167"/>
      <c r="Q2048" s="14"/>
      <c r="R2048" s="170">
        <f t="shared" si="270"/>
        <v>0</v>
      </c>
      <c r="S2048" s="108" t="str">
        <f t="shared" si="265"/>
        <v/>
      </c>
      <c r="T2048" s="14"/>
      <c r="U2048" s="14"/>
      <c r="V2048" s="14"/>
      <c r="W2048" s="14"/>
      <c r="X2048" s="14"/>
      <c r="Z2048" s="14"/>
      <c r="AA2048" s="2">
        <f t="shared" si="267"/>
        <v>3</v>
      </c>
      <c r="AB2048" s="153"/>
      <c r="AC2048" s="454" t="str">
        <f t="shared" si="268"/>
        <v/>
      </c>
    </row>
    <row r="2049" spans="1:29" x14ac:dyDescent="0.35">
      <c r="A2049" s="111" t="str">
        <f t="shared" si="269"/>
        <v/>
      </c>
      <c r="B2049" s="222"/>
      <c r="C2049" s="14"/>
      <c r="D2049" s="14"/>
      <c r="E2049" s="14"/>
      <c r="F2049" s="14"/>
      <c r="G2049" s="14" t="s">
        <v>1911</v>
      </c>
      <c r="H2049" s="14"/>
      <c r="I2049" s="176"/>
      <c r="K2049" s="87"/>
      <c r="L2049" s="14"/>
      <c r="M2049" s="324">
        <f t="shared" si="266"/>
        <v>0</v>
      </c>
      <c r="N2049" s="14"/>
      <c r="O2049" s="14"/>
      <c r="P2049" s="167"/>
      <c r="Q2049" s="14"/>
      <c r="R2049" s="170">
        <f t="shared" si="270"/>
        <v>0</v>
      </c>
      <c r="S2049" s="108" t="str">
        <f t="shared" si="265"/>
        <v/>
      </c>
      <c r="T2049" s="14"/>
      <c r="U2049" s="14"/>
      <c r="V2049" s="14"/>
      <c r="W2049" s="14"/>
      <c r="X2049" s="14"/>
      <c r="Z2049" s="14"/>
      <c r="AA2049" s="2">
        <f t="shared" si="267"/>
        <v>3</v>
      </c>
      <c r="AB2049" s="153"/>
      <c r="AC2049" s="454" t="str">
        <f t="shared" si="268"/>
        <v/>
      </c>
    </row>
    <row r="2050" spans="1:29" x14ac:dyDescent="0.35">
      <c r="A2050" s="111" t="str">
        <f t="shared" si="269"/>
        <v/>
      </c>
      <c r="B2050" s="222"/>
      <c r="C2050" s="14"/>
      <c r="D2050" s="14"/>
      <c r="E2050" s="14"/>
      <c r="F2050" s="14"/>
      <c r="G2050" s="14" t="s">
        <v>1911</v>
      </c>
      <c r="H2050" s="14"/>
      <c r="I2050" s="176"/>
      <c r="K2050" s="87"/>
      <c r="L2050" s="14"/>
      <c r="M2050" s="324">
        <f t="shared" si="266"/>
        <v>0</v>
      </c>
      <c r="N2050" s="14"/>
      <c r="O2050" s="14"/>
      <c r="P2050" s="167"/>
      <c r="Q2050" s="14"/>
      <c r="R2050" s="170">
        <f t="shared" si="270"/>
        <v>0</v>
      </c>
      <c r="S2050" s="108" t="str">
        <f t="shared" si="265"/>
        <v/>
      </c>
      <c r="T2050" s="14"/>
      <c r="U2050" s="14"/>
      <c r="V2050" s="14"/>
      <c r="W2050" s="14"/>
      <c r="X2050" s="14"/>
      <c r="Z2050" s="14"/>
      <c r="AA2050" s="2">
        <f t="shared" si="267"/>
        <v>3</v>
      </c>
      <c r="AB2050" s="153"/>
      <c r="AC2050" s="454" t="str">
        <f t="shared" si="268"/>
        <v/>
      </c>
    </row>
    <row r="2051" spans="1:29" x14ac:dyDescent="0.35">
      <c r="A2051" s="111" t="str">
        <f t="shared" si="269"/>
        <v/>
      </c>
      <c r="B2051" s="222"/>
      <c r="C2051" s="14"/>
      <c r="D2051" s="14"/>
      <c r="E2051" s="14"/>
      <c r="F2051" s="14"/>
      <c r="G2051" s="14" t="s">
        <v>1911</v>
      </c>
      <c r="H2051" s="14"/>
      <c r="I2051" s="176"/>
      <c r="K2051" s="87"/>
      <c r="L2051" s="14"/>
      <c r="M2051" s="324">
        <f t="shared" si="266"/>
        <v>0</v>
      </c>
      <c r="N2051" s="14"/>
      <c r="O2051" s="14"/>
      <c r="P2051" s="167"/>
      <c r="Q2051" s="14"/>
      <c r="R2051" s="170">
        <f t="shared" si="270"/>
        <v>0</v>
      </c>
      <c r="S2051" s="108" t="str">
        <f t="shared" si="265"/>
        <v/>
      </c>
      <c r="T2051" s="14"/>
      <c r="U2051" s="14"/>
      <c r="V2051" s="14"/>
      <c r="W2051" s="14"/>
      <c r="X2051" s="14"/>
      <c r="Z2051" s="14"/>
      <c r="AA2051" s="2">
        <f t="shared" si="267"/>
        <v>3</v>
      </c>
      <c r="AB2051" s="153"/>
      <c r="AC2051" s="454" t="str">
        <f t="shared" si="268"/>
        <v/>
      </c>
    </row>
    <row r="2052" spans="1:29" x14ac:dyDescent="0.35">
      <c r="A2052" s="111" t="str">
        <f t="shared" si="269"/>
        <v/>
      </c>
      <c r="B2052" s="222"/>
      <c r="C2052" s="14"/>
      <c r="D2052" s="14"/>
      <c r="E2052" s="14"/>
      <c r="F2052" s="14"/>
      <c r="G2052" s="14" t="s">
        <v>1911</v>
      </c>
      <c r="H2052" s="14"/>
      <c r="I2052" s="176"/>
      <c r="K2052" s="87"/>
      <c r="L2052" s="14"/>
      <c r="M2052" s="324">
        <f t="shared" si="266"/>
        <v>0</v>
      </c>
      <c r="N2052" s="14"/>
      <c r="O2052" s="14"/>
      <c r="P2052" s="167"/>
      <c r="Q2052" s="14"/>
      <c r="R2052" s="170">
        <f t="shared" si="270"/>
        <v>0</v>
      </c>
      <c r="S2052" s="108" t="str">
        <f t="shared" si="265"/>
        <v/>
      </c>
      <c r="T2052" s="14"/>
      <c r="U2052" s="14"/>
      <c r="V2052" s="14"/>
      <c r="W2052" s="14"/>
      <c r="X2052" s="14"/>
      <c r="Z2052" s="14"/>
      <c r="AA2052" s="2">
        <f t="shared" si="267"/>
        <v>3</v>
      </c>
      <c r="AB2052" s="153"/>
      <c r="AC2052" s="454" t="str">
        <f t="shared" si="268"/>
        <v/>
      </c>
    </row>
    <row r="2053" spans="1:29" x14ac:dyDescent="0.35">
      <c r="A2053" s="111" t="str">
        <f t="shared" si="269"/>
        <v/>
      </c>
      <c r="B2053" s="222"/>
      <c r="C2053" s="14"/>
      <c r="D2053" s="14"/>
      <c r="E2053" s="14"/>
      <c r="F2053" s="14"/>
      <c r="G2053" s="14" t="s">
        <v>1911</v>
      </c>
      <c r="H2053" s="14"/>
      <c r="I2053" s="176"/>
      <c r="K2053" s="87"/>
      <c r="L2053" s="14"/>
      <c r="M2053" s="324">
        <f t="shared" si="266"/>
        <v>0</v>
      </c>
      <c r="N2053" s="14"/>
      <c r="O2053" s="14"/>
      <c r="P2053" s="167"/>
      <c r="Q2053" s="14"/>
      <c r="R2053" s="170">
        <f t="shared" si="270"/>
        <v>0</v>
      </c>
      <c r="S2053" s="108" t="str">
        <f t="shared" ref="S2053:S2116" si="271">IF(B2053="","",B2053+28)</f>
        <v/>
      </c>
      <c r="T2053" s="14"/>
      <c r="U2053" s="14"/>
      <c r="V2053" s="14"/>
      <c r="W2053" s="14"/>
      <c r="X2053" s="14"/>
      <c r="Z2053" s="14"/>
      <c r="AA2053" s="2">
        <f t="shared" si="267"/>
        <v>3</v>
      </c>
      <c r="AB2053" s="153"/>
      <c r="AC2053" s="454" t="str">
        <f t="shared" si="268"/>
        <v/>
      </c>
    </row>
    <row r="2054" spans="1:29" x14ac:dyDescent="0.35">
      <c r="A2054" s="111" t="str">
        <f t="shared" si="269"/>
        <v/>
      </c>
      <c r="B2054" s="222"/>
      <c r="C2054" s="14"/>
      <c r="D2054" s="14"/>
      <c r="E2054" s="14"/>
      <c r="F2054" s="14"/>
      <c r="G2054" s="14" t="s">
        <v>1911</v>
      </c>
      <c r="H2054" s="14"/>
      <c r="I2054" s="176"/>
      <c r="K2054" s="87"/>
      <c r="L2054" s="14"/>
      <c r="M2054" s="324">
        <f t="shared" si="266"/>
        <v>0</v>
      </c>
      <c r="N2054" s="14"/>
      <c r="O2054" s="14"/>
      <c r="P2054" s="167"/>
      <c r="Q2054" s="14"/>
      <c r="R2054" s="170">
        <f t="shared" si="270"/>
        <v>0</v>
      </c>
      <c r="S2054" s="108" t="str">
        <f t="shared" si="271"/>
        <v/>
      </c>
      <c r="T2054" s="14"/>
      <c r="U2054" s="14"/>
      <c r="V2054" s="14"/>
      <c r="W2054" s="14"/>
      <c r="X2054" s="14"/>
      <c r="Z2054" s="14"/>
      <c r="AA2054" s="2">
        <f t="shared" si="267"/>
        <v>3</v>
      </c>
      <c r="AB2054" s="153"/>
      <c r="AC2054" s="454" t="str">
        <f t="shared" si="268"/>
        <v/>
      </c>
    </row>
    <row r="2055" spans="1:29" x14ac:dyDescent="0.35">
      <c r="A2055" s="111" t="str">
        <f t="shared" si="269"/>
        <v/>
      </c>
      <c r="B2055" s="222"/>
      <c r="C2055" s="14"/>
      <c r="D2055" s="14"/>
      <c r="E2055" s="14"/>
      <c r="F2055" s="14"/>
      <c r="G2055" s="14" t="s">
        <v>1911</v>
      </c>
      <c r="H2055" s="14"/>
      <c r="I2055" s="176"/>
      <c r="K2055" s="87"/>
      <c r="L2055" s="14"/>
      <c r="M2055" s="324">
        <f t="shared" si="266"/>
        <v>0</v>
      </c>
      <c r="N2055" s="14"/>
      <c r="O2055" s="14"/>
      <c r="P2055" s="167"/>
      <c r="Q2055" s="14"/>
      <c r="R2055" s="170">
        <f t="shared" si="270"/>
        <v>0</v>
      </c>
      <c r="S2055" s="108" t="str">
        <f t="shared" si="271"/>
        <v/>
      </c>
      <c r="T2055" s="14"/>
      <c r="U2055" s="14"/>
      <c r="V2055" s="14"/>
      <c r="W2055" s="14"/>
      <c r="X2055" s="14"/>
      <c r="Z2055" s="14"/>
      <c r="AA2055" s="2">
        <f t="shared" si="267"/>
        <v>3</v>
      </c>
      <c r="AB2055" s="153"/>
      <c r="AC2055" s="454" t="str">
        <f t="shared" si="268"/>
        <v/>
      </c>
    </row>
    <row r="2056" spans="1:29" x14ac:dyDescent="0.35">
      <c r="A2056" s="111" t="str">
        <f t="shared" si="269"/>
        <v/>
      </c>
      <c r="B2056" s="222"/>
      <c r="C2056" s="14"/>
      <c r="D2056" s="14"/>
      <c r="E2056" s="14"/>
      <c r="F2056" s="14"/>
      <c r="G2056" s="14" t="s">
        <v>1911</v>
      </c>
      <c r="H2056" s="14"/>
      <c r="I2056" s="176"/>
      <c r="K2056" s="87"/>
      <c r="L2056" s="14"/>
      <c r="M2056" s="324">
        <f t="shared" si="266"/>
        <v>0</v>
      </c>
      <c r="N2056" s="14"/>
      <c r="O2056" s="14"/>
      <c r="P2056" s="167"/>
      <c r="Q2056" s="14"/>
      <c r="R2056" s="170">
        <f t="shared" si="270"/>
        <v>0</v>
      </c>
      <c r="S2056" s="108" t="str">
        <f t="shared" si="271"/>
        <v/>
      </c>
      <c r="T2056" s="14"/>
      <c r="U2056" s="14"/>
      <c r="V2056" s="14"/>
      <c r="W2056" s="14"/>
      <c r="X2056" s="14"/>
      <c r="Z2056" s="14"/>
      <c r="AA2056" s="2">
        <f t="shared" si="267"/>
        <v>3</v>
      </c>
      <c r="AB2056" s="153"/>
      <c r="AC2056" s="454" t="str">
        <f t="shared" si="268"/>
        <v/>
      </c>
    </row>
    <row r="2057" spans="1:29" x14ac:dyDescent="0.35">
      <c r="A2057" s="111" t="str">
        <f t="shared" si="269"/>
        <v/>
      </c>
      <c r="B2057" s="222"/>
      <c r="C2057" s="14"/>
      <c r="D2057" s="14"/>
      <c r="E2057" s="14"/>
      <c r="F2057" s="14"/>
      <c r="G2057" s="14" t="s">
        <v>1911</v>
      </c>
      <c r="H2057" s="14"/>
      <c r="I2057" s="176"/>
      <c r="K2057" s="87"/>
      <c r="L2057" s="14"/>
      <c r="M2057" s="324">
        <f t="shared" si="266"/>
        <v>0</v>
      </c>
      <c r="N2057" s="14"/>
      <c r="O2057" s="14"/>
      <c r="P2057" s="167"/>
      <c r="Q2057" s="14"/>
      <c r="R2057" s="170">
        <f t="shared" si="270"/>
        <v>0</v>
      </c>
      <c r="S2057" s="108" t="str">
        <f t="shared" si="271"/>
        <v/>
      </c>
      <c r="T2057" s="14"/>
      <c r="U2057" s="14"/>
      <c r="V2057" s="14"/>
      <c r="W2057" s="14"/>
      <c r="X2057" s="14"/>
      <c r="Z2057" s="14"/>
      <c r="AA2057" s="2">
        <f t="shared" si="267"/>
        <v>3</v>
      </c>
      <c r="AB2057" s="153"/>
      <c r="AC2057" s="454" t="str">
        <f t="shared" si="268"/>
        <v/>
      </c>
    </row>
    <row r="2058" spans="1:29" x14ac:dyDescent="0.35">
      <c r="A2058" s="111" t="str">
        <f t="shared" si="269"/>
        <v/>
      </c>
      <c r="B2058" s="222"/>
      <c r="C2058" s="14"/>
      <c r="D2058" s="14"/>
      <c r="E2058" s="14"/>
      <c r="F2058" s="14"/>
      <c r="G2058" s="14" t="s">
        <v>1911</v>
      </c>
      <c r="H2058" s="14"/>
      <c r="I2058" s="176"/>
      <c r="K2058" s="87"/>
      <c r="L2058" s="14"/>
      <c r="M2058" s="324">
        <f t="shared" si="266"/>
        <v>0</v>
      </c>
      <c r="N2058" s="14"/>
      <c r="O2058" s="14"/>
      <c r="P2058" s="167"/>
      <c r="Q2058" s="14"/>
      <c r="R2058" s="170">
        <f t="shared" si="270"/>
        <v>0</v>
      </c>
      <c r="S2058" s="108" t="str">
        <f t="shared" si="271"/>
        <v/>
      </c>
      <c r="T2058" s="14"/>
      <c r="U2058" s="14"/>
      <c r="V2058" s="14"/>
      <c r="W2058" s="14"/>
      <c r="X2058" s="14"/>
      <c r="Z2058" s="14"/>
      <c r="AA2058" s="2">
        <f t="shared" si="267"/>
        <v>3</v>
      </c>
      <c r="AB2058" s="153"/>
      <c r="AC2058" s="454" t="str">
        <f t="shared" si="268"/>
        <v/>
      </c>
    </row>
    <row r="2059" spans="1:29" x14ac:dyDescent="0.35">
      <c r="A2059" s="111" t="str">
        <f t="shared" si="269"/>
        <v/>
      </c>
      <c r="B2059" s="222"/>
      <c r="C2059" s="14"/>
      <c r="D2059" s="14"/>
      <c r="E2059" s="14"/>
      <c r="F2059" s="14"/>
      <c r="G2059" s="14" t="s">
        <v>1911</v>
      </c>
      <c r="H2059" s="14"/>
      <c r="I2059" s="176"/>
      <c r="K2059" s="87"/>
      <c r="L2059" s="14"/>
      <c r="M2059" s="324">
        <f t="shared" si="266"/>
        <v>0</v>
      </c>
      <c r="N2059" s="14"/>
      <c r="O2059" s="14"/>
      <c r="P2059" s="167"/>
      <c r="Q2059" s="14"/>
      <c r="R2059" s="170">
        <f t="shared" si="270"/>
        <v>0</v>
      </c>
      <c r="S2059" s="108" t="str">
        <f t="shared" si="271"/>
        <v/>
      </c>
      <c r="T2059" s="14"/>
      <c r="U2059" s="14"/>
      <c r="V2059" s="14"/>
      <c r="W2059" s="14"/>
      <c r="X2059" s="14"/>
      <c r="Z2059" s="14"/>
      <c r="AA2059" s="2">
        <f t="shared" si="267"/>
        <v>3</v>
      </c>
      <c r="AB2059" s="153"/>
      <c r="AC2059" s="454" t="str">
        <f t="shared" si="268"/>
        <v/>
      </c>
    </row>
    <row r="2060" spans="1:29" x14ac:dyDescent="0.35">
      <c r="A2060" s="111" t="str">
        <f t="shared" si="269"/>
        <v/>
      </c>
      <c r="B2060" s="222"/>
      <c r="C2060" s="14"/>
      <c r="D2060" s="14"/>
      <c r="E2060" s="14"/>
      <c r="F2060" s="14"/>
      <c r="G2060" s="14" t="s">
        <v>1911</v>
      </c>
      <c r="H2060" s="14"/>
      <c r="I2060" s="176"/>
      <c r="K2060" s="87"/>
      <c r="L2060" s="14"/>
      <c r="M2060" s="324">
        <f t="shared" si="266"/>
        <v>0</v>
      </c>
      <c r="N2060" s="14"/>
      <c r="O2060" s="14"/>
      <c r="P2060" s="167"/>
      <c r="Q2060" s="14"/>
      <c r="R2060" s="170">
        <f t="shared" si="270"/>
        <v>0</v>
      </c>
      <c r="S2060" s="108" t="str">
        <f t="shared" si="271"/>
        <v/>
      </c>
      <c r="T2060" s="14"/>
      <c r="U2060" s="14"/>
      <c r="V2060" s="14"/>
      <c r="W2060" s="14"/>
      <c r="X2060" s="14"/>
      <c r="Z2060" s="14"/>
      <c r="AA2060" s="2">
        <f t="shared" si="267"/>
        <v>3</v>
      </c>
      <c r="AB2060" s="153"/>
      <c r="AC2060" s="454" t="str">
        <f t="shared" si="268"/>
        <v/>
      </c>
    </row>
    <row r="2061" spans="1:29" x14ac:dyDescent="0.35">
      <c r="A2061" s="111" t="str">
        <f t="shared" si="269"/>
        <v/>
      </c>
      <c r="B2061" s="222"/>
      <c r="C2061" s="14"/>
      <c r="D2061" s="14"/>
      <c r="E2061" s="14"/>
      <c r="F2061" s="14"/>
      <c r="G2061" s="14" t="s">
        <v>1911</v>
      </c>
      <c r="H2061" s="14"/>
      <c r="I2061" s="176"/>
      <c r="K2061" s="87"/>
      <c r="L2061" s="14"/>
      <c r="M2061" s="324">
        <f t="shared" si="266"/>
        <v>0</v>
      </c>
      <c r="N2061" s="14"/>
      <c r="O2061" s="14"/>
      <c r="P2061" s="167"/>
      <c r="Q2061" s="14"/>
      <c r="R2061" s="170">
        <f t="shared" si="270"/>
        <v>0</v>
      </c>
      <c r="S2061" s="108" t="str">
        <f t="shared" si="271"/>
        <v/>
      </c>
      <c r="T2061" s="14"/>
      <c r="U2061" s="14"/>
      <c r="V2061" s="14"/>
      <c r="W2061" s="14"/>
      <c r="X2061" s="14"/>
      <c r="Z2061" s="14"/>
      <c r="AA2061" s="2">
        <f t="shared" si="267"/>
        <v>3</v>
      </c>
      <c r="AB2061" s="153"/>
      <c r="AC2061" s="454" t="str">
        <f t="shared" si="268"/>
        <v/>
      </c>
    </row>
    <row r="2062" spans="1:29" x14ac:dyDescent="0.35">
      <c r="A2062" s="111" t="str">
        <f t="shared" si="269"/>
        <v/>
      </c>
      <c r="B2062" s="222"/>
      <c r="C2062" s="14"/>
      <c r="D2062" s="14"/>
      <c r="E2062" s="14"/>
      <c r="F2062" s="14"/>
      <c r="G2062" s="14" t="s">
        <v>1911</v>
      </c>
      <c r="H2062" s="14"/>
      <c r="I2062" s="176"/>
      <c r="K2062" s="87"/>
      <c r="L2062" s="14"/>
      <c r="M2062" s="324">
        <f t="shared" si="266"/>
        <v>0</v>
      </c>
      <c r="N2062" s="14"/>
      <c r="O2062" s="14"/>
      <c r="P2062" s="167"/>
      <c r="Q2062" s="14"/>
      <c r="R2062" s="170">
        <f t="shared" si="270"/>
        <v>0</v>
      </c>
      <c r="S2062" s="108" t="str">
        <f t="shared" si="271"/>
        <v/>
      </c>
      <c r="T2062" s="14"/>
      <c r="U2062" s="14"/>
      <c r="V2062" s="14"/>
      <c r="W2062" s="14"/>
      <c r="X2062" s="14"/>
      <c r="Z2062" s="14"/>
      <c r="AA2062" s="2">
        <f t="shared" si="267"/>
        <v>3</v>
      </c>
      <c r="AB2062" s="153"/>
      <c r="AC2062" s="454" t="str">
        <f t="shared" si="268"/>
        <v/>
      </c>
    </row>
    <row r="2063" spans="1:29" x14ac:dyDescent="0.35">
      <c r="A2063" s="111" t="str">
        <f t="shared" si="269"/>
        <v/>
      </c>
      <c r="B2063" s="222"/>
      <c r="C2063" s="14"/>
      <c r="D2063" s="14"/>
      <c r="E2063" s="14"/>
      <c r="F2063" s="14"/>
      <c r="G2063" s="14" t="s">
        <v>1911</v>
      </c>
      <c r="H2063" s="14"/>
      <c r="I2063" s="176"/>
      <c r="K2063" s="87"/>
      <c r="L2063" s="14"/>
      <c r="M2063" s="324">
        <f t="shared" si="266"/>
        <v>0</v>
      </c>
      <c r="N2063" s="14"/>
      <c r="O2063" s="14"/>
      <c r="P2063" s="167"/>
      <c r="Q2063" s="14"/>
      <c r="R2063" s="170">
        <f t="shared" si="270"/>
        <v>0</v>
      </c>
      <c r="S2063" s="108" t="str">
        <f t="shared" si="271"/>
        <v/>
      </c>
      <c r="T2063" s="14"/>
      <c r="U2063" s="14"/>
      <c r="V2063" s="14"/>
      <c r="W2063" s="14"/>
      <c r="X2063" s="14"/>
      <c r="Z2063" s="14"/>
      <c r="AA2063" s="2">
        <f t="shared" si="267"/>
        <v>3</v>
      </c>
      <c r="AB2063" s="153"/>
      <c r="AC2063" s="454" t="str">
        <f t="shared" si="268"/>
        <v/>
      </c>
    </row>
    <row r="2064" spans="1:29" x14ac:dyDescent="0.35">
      <c r="A2064" s="111" t="str">
        <f t="shared" si="269"/>
        <v/>
      </c>
      <c r="B2064" s="222"/>
      <c r="C2064" s="14"/>
      <c r="D2064" s="14"/>
      <c r="E2064" s="14"/>
      <c r="F2064" s="14"/>
      <c r="G2064" s="14" t="s">
        <v>1911</v>
      </c>
      <c r="H2064" s="14"/>
      <c r="I2064" s="176"/>
      <c r="K2064" s="87"/>
      <c r="L2064" s="14"/>
      <c r="M2064" s="324">
        <f t="shared" si="266"/>
        <v>0</v>
      </c>
      <c r="N2064" s="14"/>
      <c r="O2064" s="14"/>
      <c r="P2064" s="167"/>
      <c r="Q2064" s="14"/>
      <c r="R2064" s="170">
        <f t="shared" si="270"/>
        <v>0</v>
      </c>
      <c r="S2064" s="108" t="str">
        <f t="shared" si="271"/>
        <v/>
      </c>
      <c r="T2064" s="14"/>
      <c r="U2064" s="14"/>
      <c r="V2064" s="14"/>
      <c r="W2064" s="14"/>
      <c r="X2064" s="14"/>
      <c r="Z2064" s="14"/>
      <c r="AA2064" s="2">
        <f t="shared" si="267"/>
        <v>3</v>
      </c>
      <c r="AB2064" s="153"/>
      <c r="AC2064" s="454" t="str">
        <f t="shared" si="268"/>
        <v/>
      </c>
    </row>
    <row r="2065" spans="1:29" x14ac:dyDescent="0.35">
      <c r="A2065" s="111" t="str">
        <f t="shared" si="269"/>
        <v/>
      </c>
      <c r="B2065" s="222"/>
      <c r="C2065" s="14"/>
      <c r="D2065" s="14"/>
      <c r="E2065" s="14"/>
      <c r="F2065" s="14"/>
      <c r="G2065" s="14" t="s">
        <v>1911</v>
      </c>
      <c r="H2065" s="14"/>
      <c r="I2065" s="176"/>
      <c r="K2065" s="87"/>
      <c r="L2065" s="14"/>
      <c r="M2065" s="324">
        <f t="shared" si="266"/>
        <v>0</v>
      </c>
      <c r="N2065" s="14"/>
      <c r="O2065" s="14"/>
      <c r="P2065" s="167"/>
      <c r="Q2065" s="14"/>
      <c r="R2065" s="170">
        <f t="shared" si="270"/>
        <v>0</v>
      </c>
      <c r="S2065" s="108" t="str">
        <f t="shared" si="271"/>
        <v/>
      </c>
      <c r="T2065" s="14"/>
      <c r="U2065" s="14"/>
      <c r="V2065" s="14"/>
      <c r="W2065" s="14"/>
      <c r="X2065" s="14"/>
      <c r="Z2065" s="14"/>
      <c r="AA2065" s="2">
        <f t="shared" si="267"/>
        <v>3</v>
      </c>
      <c r="AB2065" s="153"/>
      <c r="AC2065" s="454" t="str">
        <f t="shared" si="268"/>
        <v/>
      </c>
    </row>
    <row r="2066" spans="1:29" x14ac:dyDescent="0.35">
      <c r="A2066" s="111" t="str">
        <f t="shared" si="269"/>
        <v/>
      </c>
      <c r="B2066" s="222"/>
      <c r="C2066" s="14"/>
      <c r="D2066" s="14"/>
      <c r="E2066" s="14"/>
      <c r="F2066" s="14"/>
      <c r="G2066" s="14" t="s">
        <v>1911</v>
      </c>
      <c r="H2066" s="14"/>
      <c r="I2066" s="176"/>
      <c r="K2066" s="87"/>
      <c r="L2066" s="14"/>
      <c r="M2066" s="324">
        <f t="shared" si="266"/>
        <v>0</v>
      </c>
      <c r="N2066" s="14"/>
      <c r="O2066" s="14"/>
      <c r="P2066" s="167"/>
      <c r="Q2066" s="14"/>
      <c r="R2066" s="170">
        <f t="shared" si="270"/>
        <v>0</v>
      </c>
      <c r="S2066" s="108" t="str">
        <f t="shared" si="271"/>
        <v/>
      </c>
      <c r="T2066" s="14"/>
      <c r="U2066" s="14"/>
      <c r="V2066" s="14"/>
      <c r="W2066" s="14"/>
      <c r="X2066" s="14"/>
      <c r="Z2066" s="14"/>
      <c r="AA2066" s="2">
        <f t="shared" si="267"/>
        <v>3</v>
      </c>
      <c r="AB2066" s="153"/>
      <c r="AC2066" s="454" t="str">
        <f t="shared" si="268"/>
        <v/>
      </c>
    </row>
    <row r="2067" spans="1:29" x14ac:dyDescent="0.35">
      <c r="A2067" s="111" t="str">
        <f t="shared" si="269"/>
        <v/>
      </c>
      <c r="B2067" s="222"/>
      <c r="C2067" s="14"/>
      <c r="D2067" s="14"/>
      <c r="E2067" s="14"/>
      <c r="F2067" s="14"/>
      <c r="G2067" s="14" t="s">
        <v>1911</v>
      </c>
      <c r="H2067" s="14"/>
      <c r="I2067" s="176"/>
      <c r="K2067" s="87"/>
      <c r="L2067" s="14"/>
      <c r="M2067" s="324">
        <f t="shared" si="266"/>
        <v>0</v>
      </c>
      <c r="N2067" s="14"/>
      <c r="O2067" s="14"/>
      <c r="P2067" s="167"/>
      <c r="Q2067" s="14"/>
      <c r="R2067" s="170">
        <f t="shared" si="270"/>
        <v>0</v>
      </c>
      <c r="S2067" s="108" t="str">
        <f t="shared" si="271"/>
        <v/>
      </c>
      <c r="T2067" s="14"/>
      <c r="U2067" s="14"/>
      <c r="V2067" s="14"/>
      <c r="W2067" s="14"/>
      <c r="X2067" s="14"/>
      <c r="Z2067" s="14"/>
      <c r="AA2067" s="2">
        <f t="shared" si="267"/>
        <v>3</v>
      </c>
      <c r="AB2067" s="153"/>
      <c r="AC2067" s="454" t="str">
        <f t="shared" si="268"/>
        <v/>
      </c>
    </row>
    <row r="2068" spans="1:29" x14ac:dyDescent="0.35">
      <c r="A2068" s="111" t="str">
        <f t="shared" si="269"/>
        <v/>
      </c>
      <c r="B2068" s="222"/>
      <c r="C2068" s="14"/>
      <c r="D2068" s="14"/>
      <c r="E2068" s="14"/>
      <c r="F2068" s="14"/>
      <c r="G2068" s="14" t="s">
        <v>1911</v>
      </c>
      <c r="H2068" s="14"/>
      <c r="I2068" s="176"/>
      <c r="K2068" s="87"/>
      <c r="L2068" s="14"/>
      <c r="M2068" s="324">
        <f t="shared" ref="M2068:M2131" si="272">IF(I2068="Staff Accident","Entry Required",IF(I2068="Assaults","Entry Required",0))</f>
        <v>0</v>
      </c>
      <c r="N2068" s="14"/>
      <c r="O2068" s="14"/>
      <c r="P2068" s="167"/>
      <c r="Q2068" s="14"/>
      <c r="R2068" s="170">
        <f t="shared" si="270"/>
        <v>0</v>
      </c>
      <c r="S2068" s="108" t="str">
        <f t="shared" si="271"/>
        <v/>
      </c>
      <c r="T2068" s="14"/>
      <c r="U2068" s="14"/>
      <c r="V2068" s="14"/>
      <c r="W2068" s="14"/>
      <c r="X2068" s="14"/>
      <c r="Z2068" s="14"/>
      <c r="AA2068" s="2">
        <f t="shared" si="267"/>
        <v>3</v>
      </c>
      <c r="AB2068" s="153"/>
      <c r="AC2068" s="454" t="str">
        <f t="shared" si="268"/>
        <v/>
      </c>
    </row>
    <row r="2069" spans="1:29" x14ac:dyDescent="0.35">
      <c r="A2069" s="111" t="str">
        <f t="shared" si="269"/>
        <v/>
      </c>
      <c r="B2069" s="222"/>
      <c r="C2069" s="14"/>
      <c r="D2069" s="14"/>
      <c r="E2069" s="14"/>
      <c r="F2069" s="14"/>
      <c r="G2069" s="14" t="s">
        <v>1911</v>
      </c>
      <c r="H2069" s="14"/>
      <c r="I2069" s="176"/>
      <c r="K2069" s="87"/>
      <c r="L2069" s="14"/>
      <c r="M2069" s="324">
        <f t="shared" si="272"/>
        <v>0</v>
      </c>
      <c r="N2069" s="14"/>
      <c r="O2069" s="14"/>
      <c r="P2069" s="167"/>
      <c r="Q2069" s="14"/>
      <c r="R2069" s="170">
        <f t="shared" si="270"/>
        <v>0</v>
      </c>
      <c r="S2069" s="108" t="str">
        <f t="shared" si="271"/>
        <v/>
      </c>
      <c r="T2069" s="14"/>
      <c r="U2069" s="14"/>
      <c r="V2069" s="14"/>
      <c r="W2069" s="14"/>
      <c r="X2069" s="14"/>
      <c r="Z2069" s="14"/>
      <c r="AA2069" s="2">
        <f t="shared" si="267"/>
        <v>3</v>
      </c>
      <c r="AB2069" s="153"/>
      <c r="AC2069" s="454" t="str">
        <f t="shared" si="268"/>
        <v/>
      </c>
    </row>
    <row r="2070" spans="1:29" x14ac:dyDescent="0.35">
      <c r="A2070" s="111" t="str">
        <f t="shared" si="269"/>
        <v/>
      </c>
      <c r="B2070" s="222"/>
      <c r="C2070" s="14"/>
      <c r="D2070" s="14"/>
      <c r="E2070" s="14"/>
      <c r="F2070" s="14"/>
      <c r="G2070" s="14" t="s">
        <v>1911</v>
      </c>
      <c r="H2070" s="14"/>
      <c r="I2070" s="176"/>
      <c r="K2070" s="87"/>
      <c r="L2070" s="14"/>
      <c r="M2070" s="324">
        <f t="shared" si="272"/>
        <v>0</v>
      </c>
      <c r="N2070" s="14"/>
      <c r="O2070" s="14"/>
      <c r="P2070" s="167"/>
      <c r="Q2070" s="14"/>
      <c r="R2070" s="170">
        <f t="shared" si="270"/>
        <v>0</v>
      </c>
      <c r="S2070" s="108" t="str">
        <f t="shared" si="271"/>
        <v/>
      </c>
      <c r="T2070" s="14"/>
      <c r="U2070" s="14"/>
      <c r="V2070" s="14"/>
      <c r="W2070" s="14"/>
      <c r="X2070" s="14"/>
      <c r="Z2070" s="14"/>
      <c r="AA2070" s="2">
        <f t="shared" ref="AA2070:AA2133" si="273">IF(B2070="",3,IF(S2070&lt;$A$1,1,0))</f>
        <v>3</v>
      </c>
      <c r="AB2070" s="153"/>
      <c r="AC2070" s="454" t="str">
        <f t="shared" si="268"/>
        <v/>
      </c>
    </row>
    <row r="2071" spans="1:29" x14ac:dyDescent="0.35">
      <c r="A2071" s="111" t="str">
        <f t="shared" si="269"/>
        <v/>
      </c>
      <c r="B2071" s="222"/>
      <c r="C2071" s="14"/>
      <c r="D2071" s="14"/>
      <c r="E2071" s="14"/>
      <c r="F2071" s="14"/>
      <c r="G2071" s="14" t="s">
        <v>1911</v>
      </c>
      <c r="H2071" s="14"/>
      <c r="I2071" s="176"/>
      <c r="K2071" s="87"/>
      <c r="L2071" s="14"/>
      <c r="M2071" s="324">
        <f t="shared" si="272"/>
        <v>0</v>
      </c>
      <c r="N2071" s="14"/>
      <c r="O2071" s="14"/>
      <c r="P2071" s="167"/>
      <c r="Q2071" s="14"/>
      <c r="R2071" s="170">
        <f t="shared" si="270"/>
        <v>0</v>
      </c>
      <c r="S2071" s="108" t="str">
        <f t="shared" si="271"/>
        <v/>
      </c>
      <c r="T2071" s="14"/>
      <c r="U2071" s="14"/>
      <c r="V2071" s="14"/>
      <c r="W2071" s="14"/>
      <c r="X2071" s="14"/>
      <c r="Z2071" s="14"/>
      <c r="AA2071" s="2">
        <f t="shared" si="273"/>
        <v>3</v>
      </c>
      <c r="AB2071" s="153"/>
      <c r="AC2071" s="454" t="str">
        <f t="shared" si="268"/>
        <v/>
      </c>
    </row>
    <row r="2072" spans="1:29" x14ac:dyDescent="0.35">
      <c r="A2072" s="111" t="str">
        <f t="shared" si="269"/>
        <v/>
      </c>
      <c r="B2072" s="222"/>
      <c r="C2072" s="14"/>
      <c r="D2072" s="14"/>
      <c r="E2072" s="14"/>
      <c r="F2072" s="14"/>
      <c r="G2072" s="14" t="s">
        <v>1911</v>
      </c>
      <c r="H2072" s="14"/>
      <c r="I2072" s="176"/>
      <c r="K2072" s="87"/>
      <c r="L2072" s="14"/>
      <c r="M2072" s="324">
        <f t="shared" si="272"/>
        <v>0</v>
      </c>
      <c r="N2072" s="14"/>
      <c r="O2072" s="14"/>
      <c r="P2072" s="167"/>
      <c r="Q2072" s="14"/>
      <c r="R2072" s="170">
        <f t="shared" si="270"/>
        <v>0</v>
      </c>
      <c r="S2072" s="108" t="str">
        <f t="shared" si="271"/>
        <v/>
      </c>
      <c r="T2072" s="14"/>
      <c r="U2072" s="14"/>
      <c r="V2072" s="14"/>
      <c r="W2072" s="14"/>
      <c r="X2072" s="14"/>
      <c r="Z2072" s="14"/>
      <c r="AA2072" s="2">
        <f t="shared" si="273"/>
        <v>3</v>
      </c>
      <c r="AB2072" s="153"/>
      <c r="AC2072" s="454" t="str">
        <f t="shared" si="268"/>
        <v/>
      </c>
    </row>
    <row r="2073" spans="1:29" x14ac:dyDescent="0.35">
      <c r="A2073" s="111" t="str">
        <f t="shared" si="269"/>
        <v/>
      </c>
      <c r="B2073" s="222"/>
      <c r="C2073" s="14"/>
      <c r="D2073" s="14"/>
      <c r="E2073" s="14"/>
      <c r="F2073" s="14"/>
      <c r="G2073" s="14" t="s">
        <v>1911</v>
      </c>
      <c r="H2073" s="14"/>
      <c r="I2073" s="176"/>
      <c r="K2073" s="87"/>
      <c r="L2073" s="14"/>
      <c r="M2073" s="324">
        <f t="shared" si="272"/>
        <v>0</v>
      </c>
      <c r="N2073" s="14"/>
      <c r="O2073" s="14"/>
      <c r="P2073" s="167"/>
      <c r="Q2073" s="14"/>
      <c r="R2073" s="170">
        <f t="shared" si="270"/>
        <v>0</v>
      </c>
      <c r="S2073" s="108" t="str">
        <f t="shared" si="271"/>
        <v/>
      </c>
      <c r="T2073" s="14"/>
      <c r="U2073" s="14"/>
      <c r="V2073" s="14"/>
      <c r="W2073" s="14"/>
      <c r="X2073" s="14"/>
      <c r="Z2073" s="14"/>
      <c r="AA2073" s="2">
        <f t="shared" si="273"/>
        <v>3</v>
      </c>
      <c r="AB2073" s="153"/>
      <c r="AC2073" s="454" t="str">
        <f t="shared" si="268"/>
        <v/>
      </c>
    </row>
    <row r="2074" spans="1:29" x14ac:dyDescent="0.35">
      <c r="A2074" s="111" t="str">
        <f t="shared" si="269"/>
        <v/>
      </c>
      <c r="B2074" s="222"/>
      <c r="C2074" s="14"/>
      <c r="D2074" s="14"/>
      <c r="E2074" s="14"/>
      <c r="F2074" s="14"/>
      <c r="G2074" s="14" t="s">
        <v>1911</v>
      </c>
      <c r="H2074" s="14"/>
      <c r="I2074" s="176"/>
      <c r="K2074" s="87"/>
      <c r="L2074" s="14"/>
      <c r="M2074" s="324">
        <f t="shared" si="272"/>
        <v>0</v>
      </c>
      <c r="N2074" s="14"/>
      <c r="O2074" s="14"/>
      <c r="P2074" s="167"/>
      <c r="Q2074" s="14"/>
      <c r="R2074" s="170">
        <f t="shared" si="270"/>
        <v>0</v>
      </c>
      <c r="S2074" s="108" t="str">
        <f t="shared" si="271"/>
        <v/>
      </c>
      <c r="T2074" s="14"/>
      <c r="U2074" s="14"/>
      <c r="V2074" s="14"/>
      <c r="W2074" s="14"/>
      <c r="X2074" s="14"/>
      <c r="Z2074" s="14"/>
      <c r="AA2074" s="2">
        <f t="shared" si="273"/>
        <v>3</v>
      </c>
      <c r="AB2074" s="153"/>
      <c r="AC2074" s="454" t="str">
        <f t="shared" ref="AC2074:AC2137" si="274">LEFT(H2074,1)</f>
        <v/>
      </c>
    </row>
    <row r="2075" spans="1:29" x14ac:dyDescent="0.35">
      <c r="A2075" s="111" t="str">
        <f t="shared" si="269"/>
        <v/>
      </c>
      <c r="B2075" s="222"/>
      <c r="C2075" s="14"/>
      <c r="D2075" s="14"/>
      <c r="E2075" s="14"/>
      <c r="F2075" s="14"/>
      <c r="G2075" s="14" t="s">
        <v>1911</v>
      </c>
      <c r="H2075" s="14"/>
      <c r="I2075" s="176"/>
      <c r="K2075" s="87"/>
      <c r="L2075" s="14"/>
      <c r="M2075" s="324">
        <f t="shared" si="272"/>
        <v>0</v>
      </c>
      <c r="N2075" s="14"/>
      <c r="O2075" s="14"/>
      <c r="P2075" s="167"/>
      <c r="Q2075" s="14"/>
      <c r="R2075" s="170">
        <f t="shared" si="270"/>
        <v>0</v>
      </c>
      <c r="S2075" s="108" t="str">
        <f t="shared" si="271"/>
        <v/>
      </c>
      <c r="T2075" s="14"/>
      <c r="U2075" s="14"/>
      <c r="V2075" s="14"/>
      <c r="W2075" s="14"/>
      <c r="X2075" s="14"/>
      <c r="Z2075" s="14"/>
      <c r="AA2075" s="2">
        <f t="shared" si="273"/>
        <v>3</v>
      </c>
      <c r="AB2075" s="153"/>
      <c r="AC2075" s="454" t="str">
        <f t="shared" si="274"/>
        <v/>
      </c>
    </row>
    <row r="2076" spans="1:29" x14ac:dyDescent="0.35">
      <c r="A2076" s="111" t="str">
        <f t="shared" si="269"/>
        <v/>
      </c>
      <c r="B2076" s="222"/>
      <c r="C2076" s="14"/>
      <c r="D2076" s="14"/>
      <c r="E2076" s="14"/>
      <c r="F2076" s="14"/>
      <c r="G2076" s="14" t="s">
        <v>1911</v>
      </c>
      <c r="H2076" s="14"/>
      <c r="I2076" s="176"/>
      <c r="K2076" s="87"/>
      <c r="L2076" s="14"/>
      <c r="M2076" s="324">
        <f t="shared" si="272"/>
        <v>0</v>
      </c>
      <c r="N2076" s="14"/>
      <c r="O2076" s="14"/>
      <c r="P2076" s="167"/>
      <c r="Q2076" s="14"/>
      <c r="R2076" s="170">
        <f t="shared" si="270"/>
        <v>0</v>
      </c>
      <c r="S2076" s="108" t="str">
        <f t="shared" si="271"/>
        <v/>
      </c>
      <c r="T2076" s="14"/>
      <c r="U2076" s="14"/>
      <c r="V2076" s="14"/>
      <c r="W2076" s="14"/>
      <c r="X2076" s="14"/>
      <c r="Z2076" s="14"/>
      <c r="AA2076" s="2">
        <f t="shared" si="273"/>
        <v>3</v>
      </c>
      <c r="AB2076" s="153"/>
      <c r="AC2076" s="454" t="str">
        <f t="shared" si="274"/>
        <v/>
      </c>
    </row>
    <row r="2077" spans="1:29" x14ac:dyDescent="0.35">
      <c r="A2077" s="111" t="str">
        <f t="shared" si="269"/>
        <v/>
      </c>
      <c r="B2077" s="222"/>
      <c r="C2077" s="14"/>
      <c r="D2077" s="14"/>
      <c r="E2077" s="14"/>
      <c r="F2077" s="14"/>
      <c r="G2077" s="14" t="s">
        <v>1911</v>
      </c>
      <c r="H2077" s="14"/>
      <c r="I2077" s="176"/>
      <c r="K2077" s="87"/>
      <c r="L2077" s="14"/>
      <c r="M2077" s="324">
        <f t="shared" si="272"/>
        <v>0</v>
      </c>
      <c r="N2077" s="14"/>
      <c r="O2077" s="14"/>
      <c r="P2077" s="167"/>
      <c r="Q2077" s="14"/>
      <c r="R2077" s="170">
        <f t="shared" si="270"/>
        <v>0</v>
      </c>
      <c r="S2077" s="108" t="str">
        <f t="shared" si="271"/>
        <v/>
      </c>
      <c r="T2077" s="14"/>
      <c r="U2077" s="14"/>
      <c r="V2077" s="14"/>
      <c r="W2077" s="14"/>
      <c r="X2077" s="14"/>
      <c r="Z2077" s="14"/>
      <c r="AA2077" s="2">
        <f t="shared" si="273"/>
        <v>3</v>
      </c>
      <c r="AB2077" s="153"/>
      <c r="AC2077" s="454" t="str">
        <f t="shared" si="274"/>
        <v/>
      </c>
    </row>
    <row r="2078" spans="1:29" x14ac:dyDescent="0.35">
      <c r="A2078" s="111" t="str">
        <f t="shared" si="269"/>
        <v/>
      </c>
      <c r="B2078" s="222"/>
      <c r="C2078" s="14"/>
      <c r="D2078" s="14"/>
      <c r="E2078" s="14"/>
      <c r="F2078" s="14"/>
      <c r="G2078" s="14" t="s">
        <v>1911</v>
      </c>
      <c r="H2078" s="14"/>
      <c r="I2078" s="176"/>
      <c r="K2078" s="87"/>
      <c r="L2078" s="14"/>
      <c r="M2078" s="324">
        <f t="shared" si="272"/>
        <v>0</v>
      </c>
      <c r="N2078" s="14"/>
      <c r="O2078" s="14"/>
      <c r="P2078" s="167"/>
      <c r="Q2078" s="14"/>
      <c r="R2078" s="170">
        <f t="shared" si="270"/>
        <v>0</v>
      </c>
      <c r="S2078" s="108" t="str">
        <f t="shared" si="271"/>
        <v/>
      </c>
      <c r="T2078" s="14"/>
      <c r="U2078" s="14"/>
      <c r="V2078" s="14"/>
      <c r="W2078" s="14"/>
      <c r="X2078" s="14"/>
      <c r="Z2078" s="14"/>
      <c r="AA2078" s="2">
        <f t="shared" si="273"/>
        <v>3</v>
      </c>
      <c r="AB2078" s="153"/>
      <c r="AC2078" s="454" t="str">
        <f t="shared" si="274"/>
        <v/>
      </c>
    </row>
    <row r="2079" spans="1:29" x14ac:dyDescent="0.35">
      <c r="A2079" s="111" t="str">
        <f t="shared" ref="A2079:A2142" si="275">IF(T2079&gt;1,"Closed",IF(AA2079=1,"Overdue",IF(AA2079=3,"","Open")))</f>
        <v/>
      </c>
      <c r="B2079" s="222"/>
      <c r="C2079" s="14"/>
      <c r="D2079" s="14"/>
      <c r="E2079" s="14"/>
      <c r="F2079" s="14"/>
      <c r="G2079" s="14" t="s">
        <v>1911</v>
      </c>
      <c r="H2079" s="14"/>
      <c r="I2079" s="176"/>
      <c r="K2079" s="87"/>
      <c r="L2079" s="14"/>
      <c r="M2079" s="324">
        <f t="shared" si="272"/>
        <v>0</v>
      </c>
      <c r="N2079" s="14"/>
      <c r="O2079" s="14"/>
      <c r="P2079" s="167"/>
      <c r="Q2079" s="14"/>
      <c r="R2079" s="170">
        <f t="shared" si="270"/>
        <v>0</v>
      </c>
      <c r="S2079" s="108" t="str">
        <f t="shared" si="271"/>
        <v/>
      </c>
      <c r="T2079" s="14"/>
      <c r="U2079" s="14"/>
      <c r="V2079" s="14"/>
      <c r="W2079" s="14"/>
      <c r="X2079" s="14"/>
      <c r="Z2079" s="14"/>
      <c r="AA2079" s="2">
        <f t="shared" si="273"/>
        <v>3</v>
      </c>
      <c r="AB2079" s="153"/>
      <c r="AC2079" s="454" t="str">
        <f t="shared" si="274"/>
        <v/>
      </c>
    </row>
    <row r="2080" spans="1:29" x14ac:dyDescent="0.35">
      <c r="A2080" s="111" t="str">
        <f t="shared" si="275"/>
        <v/>
      </c>
      <c r="B2080" s="222"/>
      <c r="C2080" s="14"/>
      <c r="D2080" s="14"/>
      <c r="E2080" s="14"/>
      <c r="F2080" s="14"/>
      <c r="G2080" s="14" t="s">
        <v>1911</v>
      </c>
      <c r="H2080" s="14"/>
      <c r="I2080" s="176"/>
      <c r="K2080" s="87"/>
      <c r="L2080" s="14"/>
      <c r="M2080" s="324">
        <f t="shared" si="272"/>
        <v>0</v>
      </c>
      <c r="N2080" s="14"/>
      <c r="O2080" s="14"/>
      <c r="P2080" s="167"/>
      <c r="Q2080" s="14"/>
      <c r="R2080" s="170">
        <f t="shared" si="270"/>
        <v>0</v>
      </c>
      <c r="S2080" s="108" t="str">
        <f t="shared" si="271"/>
        <v/>
      </c>
      <c r="T2080" s="14"/>
      <c r="U2080" s="14"/>
      <c r="V2080" s="14"/>
      <c r="W2080" s="14"/>
      <c r="X2080" s="14"/>
      <c r="Z2080" s="14"/>
      <c r="AA2080" s="2">
        <f t="shared" si="273"/>
        <v>3</v>
      </c>
      <c r="AB2080" s="153"/>
      <c r="AC2080" s="454" t="str">
        <f t="shared" si="274"/>
        <v/>
      </c>
    </row>
    <row r="2081" spans="1:29" x14ac:dyDescent="0.35">
      <c r="A2081" s="111" t="str">
        <f t="shared" si="275"/>
        <v/>
      </c>
      <c r="B2081" s="222"/>
      <c r="C2081" s="14"/>
      <c r="D2081" s="14"/>
      <c r="E2081" s="14"/>
      <c r="F2081" s="14"/>
      <c r="G2081" s="14" t="s">
        <v>1911</v>
      </c>
      <c r="H2081" s="14"/>
      <c r="I2081" s="176"/>
      <c r="K2081" s="87"/>
      <c r="L2081" s="14"/>
      <c r="M2081" s="324">
        <f t="shared" si="272"/>
        <v>0</v>
      </c>
      <c r="N2081" s="14"/>
      <c r="O2081" s="14"/>
      <c r="P2081" s="167"/>
      <c r="Q2081" s="14"/>
      <c r="R2081" s="170">
        <f t="shared" si="270"/>
        <v>0</v>
      </c>
      <c r="S2081" s="108" t="str">
        <f t="shared" si="271"/>
        <v/>
      </c>
      <c r="T2081" s="14"/>
      <c r="U2081" s="14"/>
      <c r="V2081" s="14"/>
      <c r="W2081" s="14"/>
      <c r="X2081" s="14"/>
      <c r="Z2081" s="14"/>
      <c r="AA2081" s="2">
        <f t="shared" si="273"/>
        <v>3</v>
      </c>
      <c r="AB2081" s="153"/>
      <c r="AC2081" s="454" t="str">
        <f t="shared" si="274"/>
        <v/>
      </c>
    </row>
    <row r="2082" spans="1:29" x14ac:dyDescent="0.35">
      <c r="A2082" s="111" t="str">
        <f t="shared" si="275"/>
        <v/>
      </c>
      <c r="B2082" s="222"/>
      <c r="C2082" s="14"/>
      <c r="D2082" s="14"/>
      <c r="E2082" s="14"/>
      <c r="F2082" s="14"/>
      <c r="G2082" s="14" t="s">
        <v>1911</v>
      </c>
      <c r="H2082" s="14"/>
      <c r="I2082" s="176"/>
      <c r="K2082" s="87"/>
      <c r="L2082" s="14"/>
      <c r="M2082" s="324">
        <f t="shared" si="272"/>
        <v>0</v>
      </c>
      <c r="N2082" s="14"/>
      <c r="O2082" s="14"/>
      <c r="P2082" s="167"/>
      <c r="Q2082" s="14"/>
      <c r="R2082" s="170">
        <f t="shared" si="270"/>
        <v>0</v>
      </c>
      <c r="S2082" s="108" t="str">
        <f t="shared" si="271"/>
        <v/>
      </c>
      <c r="T2082" s="14"/>
      <c r="U2082" s="14"/>
      <c r="V2082" s="14"/>
      <c r="W2082" s="14"/>
      <c r="X2082" s="14"/>
      <c r="Z2082" s="14"/>
      <c r="AA2082" s="2">
        <f t="shared" si="273"/>
        <v>3</v>
      </c>
      <c r="AB2082" s="153"/>
      <c r="AC2082" s="454" t="str">
        <f t="shared" si="274"/>
        <v/>
      </c>
    </row>
    <row r="2083" spans="1:29" x14ac:dyDescent="0.35">
      <c r="A2083" s="111" t="str">
        <f t="shared" si="275"/>
        <v/>
      </c>
      <c r="B2083" s="222"/>
      <c r="C2083" s="14"/>
      <c r="D2083" s="14"/>
      <c r="E2083" s="14"/>
      <c r="F2083" s="14"/>
      <c r="G2083" s="14" t="s">
        <v>1911</v>
      </c>
      <c r="H2083" s="14"/>
      <c r="I2083" s="176"/>
      <c r="K2083" s="87"/>
      <c r="L2083" s="14"/>
      <c r="M2083" s="324">
        <f t="shared" si="272"/>
        <v>0</v>
      </c>
      <c r="N2083" s="14"/>
      <c r="O2083" s="14"/>
      <c r="P2083" s="167"/>
      <c r="Q2083" s="14"/>
      <c r="R2083" s="170">
        <f t="shared" si="270"/>
        <v>0</v>
      </c>
      <c r="S2083" s="108" t="str">
        <f t="shared" si="271"/>
        <v/>
      </c>
      <c r="T2083" s="14"/>
      <c r="U2083" s="14"/>
      <c r="V2083" s="14"/>
      <c r="W2083" s="14"/>
      <c r="X2083" s="14"/>
      <c r="Z2083" s="14"/>
      <c r="AA2083" s="2">
        <f t="shared" si="273"/>
        <v>3</v>
      </c>
      <c r="AB2083" s="153"/>
      <c r="AC2083" s="454" t="str">
        <f t="shared" si="274"/>
        <v/>
      </c>
    </row>
    <row r="2084" spans="1:29" x14ac:dyDescent="0.35">
      <c r="A2084" s="111" t="str">
        <f t="shared" si="275"/>
        <v/>
      </c>
      <c r="B2084" s="222"/>
      <c r="C2084" s="14"/>
      <c r="D2084" s="14"/>
      <c r="E2084" s="14"/>
      <c r="F2084" s="14"/>
      <c r="G2084" s="14" t="s">
        <v>1911</v>
      </c>
      <c r="H2084" s="14"/>
      <c r="I2084" s="176"/>
      <c r="K2084" s="87"/>
      <c r="L2084" s="14"/>
      <c r="M2084" s="324">
        <f t="shared" si="272"/>
        <v>0</v>
      </c>
      <c r="N2084" s="14"/>
      <c r="O2084" s="14"/>
      <c r="P2084" s="167"/>
      <c r="Q2084" s="14"/>
      <c r="R2084" s="170">
        <f t="shared" si="270"/>
        <v>0</v>
      </c>
      <c r="S2084" s="108" t="str">
        <f t="shared" si="271"/>
        <v/>
      </c>
      <c r="T2084" s="14"/>
      <c r="U2084" s="14"/>
      <c r="V2084" s="14"/>
      <c r="W2084" s="14"/>
      <c r="X2084" s="14"/>
      <c r="Z2084" s="14"/>
      <c r="AA2084" s="2">
        <f t="shared" si="273"/>
        <v>3</v>
      </c>
      <c r="AB2084" s="153"/>
      <c r="AC2084" s="454" t="str">
        <f t="shared" si="274"/>
        <v/>
      </c>
    </row>
    <row r="2085" spans="1:29" x14ac:dyDescent="0.35">
      <c r="A2085" s="111" t="str">
        <f t="shared" si="275"/>
        <v/>
      </c>
      <c r="B2085" s="222"/>
      <c r="C2085" s="14"/>
      <c r="D2085" s="14"/>
      <c r="E2085" s="14"/>
      <c r="F2085" s="14"/>
      <c r="G2085" s="14" t="s">
        <v>1911</v>
      </c>
      <c r="H2085" s="14"/>
      <c r="I2085" s="176"/>
      <c r="K2085" s="87"/>
      <c r="L2085" s="14"/>
      <c r="M2085" s="324">
        <f t="shared" si="272"/>
        <v>0</v>
      </c>
      <c r="N2085" s="14"/>
      <c r="O2085" s="14"/>
      <c r="P2085" s="167"/>
      <c r="Q2085" s="14"/>
      <c r="R2085" s="170">
        <f t="shared" si="270"/>
        <v>0</v>
      </c>
      <c r="S2085" s="108" t="str">
        <f t="shared" si="271"/>
        <v/>
      </c>
      <c r="T2085" s="14"/>
      <c r="U2085" s="14"/>
      <c r="V2085" s="14"/>
      <c r="W2085" s="14"/>
      <c r="X2085" s="14"/>
      <c r="Z2085" s="14"/>
      <c r="AA2085" s="2">
        <f t="shared" si="273"/>
        <v>3</v>
      </c>
      <c r="AB2085" s="153"/>
      <c r="AC2085" s="454" t="str">
        <f t="shared" si="274"/>
        <v/>
      </c>
    </row>
    <row r="2086" spans="1:29" x14ac:dyDescent="0.35">
      <c r="A2086" s="111" t="str">
        <f t="shared" si="275"/>
        <v/>
      </c>
      <c r="B2086" s="222"/>
      <c r="C2086" s="14"/>
      <c r="D2086" s="14"/>
      <c r="E2086" s="14"/>
      <c r="F2086" s="14"/>
      <c r="G2086" s="14" t="s">
        <v>1911</v>
      </c>
      <c r="H2086" s="14"/>
      <c r="I2086" s="176"/>
      <c r="K2086" s="87"/>
      <c r="L2086" s="14"/>
      <c r="M2086" s="324">
        <f t="shared" si="272"/>
        <v>0</v>
      </c>
      <c r="N2086" s="14"/>
      <c r="O2086" s="14"/>
      <c r="P2086" s="167"/>
      <c r="Q2086" s="14"/>
      <c r="R2086" s="170">
        <f t="shared" si="270"/>
        <v>0</v>
      </c>
      <c r="S2086" s="108" t="str">
        <f t="shared" si="271"/>
        <v/>
      </c>
      <c r="T2086" s="14"/>
      <c r="U2086" s="14"/>
      <c r="V2086" s="14"/>
      <c r="W2086" s="14"/>
      <c r="X2086" s="14"/>
      <c r="Z2086" s="14"/>
      <c r="AA2086" s="2">
        <f t="shared" si="273"/>
        <v>3</v>
      </c>
      <c r="AB2086" s="153"/>
      <c r="AC2086" s="454" t="str">
        <f t="shared" si="274"/>
        <v/>
      </c>
    </row>
    <row r="2087" spans="1:29" x14ac:dyDescent="0.35">
      <c r="A2087" s="111" t="str">
        <f t="shared" si="275"/>
        <v/>
      </c>
      <c r="B2087" s="222"/>
      <c r="C2087" s="14"/>
      <c r="D2087" s="14"/>
      <c r="E2087" s="14"/>
      <c r="F2087" s="14"/>
      <c r="G2087" s="14" t="s">
        <v>1911</v>
      </c>
      <c r="H2087" s="14"/>
      <c r="I2087" s="176"/>
      <c r="K2087" s="87"/>
      <c r="L2087" s="14"/>
      <c r="M2087" s="324">
        <f t="shared" si="272"/>
        <v>0</v>
      </c>
      <c r="N2087" s="14"/>
      <c r="O2087" s="14"/>
      <c r="P2087" s="167"/>
      <c r="Q2087" s="14"/>
      <c r="R2087" s="170">
        <f t="shared" si="270"/>
        <v>0</v>
      </c>
      <c r="S2087" s="108" t="str">
        <f t="shared" si="271"/>
        <v/>
      </c>
      <c r="T2087" s="14"/>
      <c r="U2087" s="14"/>
      <c r="V2087" s="14"/>
      <c r="W2087" s="14"/>
      <c r="X2087" s="14"/>
      <c r="Z2087" s="14"/>
      <c r="AA2087" s="2">
        <f t="shared" si="273"/>
        <v>3</v>
      </c>
      <c r="AB2087" s="153"/>
      <c r="AC2087" s="454" t="str">
        <f t="shared" si="274"/>
        <v/>
      </c>
    </row>
    <row r="2088" spans="1:29" x14ac:dyDescent="0.35">
      <c r="A2088" s="111" t="str">
        <f t="shared" si="275"/>
        <v/>
      </c>
      <c r="B2088" s="222"/>
      <c r="C2088" s="14"/>
      <c r="D2088" s="14"/>
      <c r="E2088" s="14"/>
      <c r="F2088" s="14"/>
      <c r="G2088" s="14" t="s">
        <v>1911</v>
      </c>
      <c r="H2088" s="14"/>
      <c r="I2088" s="176"/>
      <c r="K2088" s="87"/>
      <c r="L2088" s="14"/>
      <c r="M2088" s="324">
        <f t="shared" si="272"/>
        <v>0</v>
      </c>
      <c r="N2088" s="14"/>
      <c r="O2088" s="14"/>
      <c r="P2088" s="167"/>
      <c r="Q2088" s="14"/>
      <c r="R2088" s="170">
        <f t="shared" si="270"/>
        <v>0</v>
      </c>
      <c r="S2088" s="108" t="str">
        <f t="shared" si="271"/>
        <v/>
      </c>
      <c r="T2088" s="14"/>
      <c r="U2088" s="14"/>
      <c r="V2088" s="14"/>
      <c r="W2088" s="14"/>
      <c r="X2088" s="14"/>
      <c r="Z2088" s="14"/>
      <c r="AA2088" s="2">
        <f t="shared" si="273"/>
        <v>3</v>
      </c>
      <c r="AB2088" s="153"/>
      <c r="AC2088" s="454" t="str">
        <f t="shared" si="274"/>
        <v/>
      </c>
    </row>
    <row r="2089" spans="1:29" x14ac:dyDescent="0.35">
      <c r="A2089" s="111" t="str">
        <f t="shared" si="275"/>
        <v/>
      </c>
      <c r="B2089" s="222"/>
      <c r="C2089" s="14"/>
      <c r="D2089" s="14"/>
      <c r="E2089" s="14"/>
      <c r="F2089" s="14"/>
      <c r="G2089" s="14" t="s">
        <v>1911</v>
      </c>
      <c r="H2089" s="14"/>
      <c r="I2089" s="176"/>
      <c r="K2089" s="87"/>
      <c r="L2089" s="14"/>
      <c r="M2089" s="324">
        <f t="shared" si="272"/>
        <v>0</v>
      </c>
      <c r="N2089" s="14"/>
      <c r="O2089" s="14"/>
      <c r="P2089" s="167"/>
      <c r="Q2089" s="14"/>
      <c r="R2089" s="170">
        <f t="shared" si="270"/>
        <v>0</v>
      </c>
      <c r="S2089" s="108" t="str">
        <f t="shared" si="271"/>
        <v/>
      </c>
      <c r="T2089" s="14"/>
      <c r="U2089" s="14"/>
      <c r="V2089" s="14"/>
      <c r="W2089" s="14"/>
      <c r="X2089" s="14"/>
      <c r="Z2089" s="14"/>
      <c r="AA2089" s="2">
        <f t="shared" si="273"/>
        <v>3</v>
      </c>
      <c r="AB2089" s="153"/>
      <c r="AC2089" s="454" t="str">
        <f t="shared" si="274"/>
        <v/>
      </c>
    </row>
    <row r="2090" spans="1:29" x14ac:dyDescent="0.35">
      <c r="A2090" s="111" t="str">
        <f t="shared" si="275"/>
        <v/>
      </c>
      <c r="B2090" s="222"/>
      <c r="C2090" s="14"/>
      <c r="D2090" s="14"/>
      <c r="E2090" s="14"/>
      <c r="F2090" s="14"/>
      <c r="G2090" s="14" t="s">
        <v>1911</v>
      </c>
      <c r="H2090" s="14"/>
      <c r="I2090" s="176"/>
      <c r="K2090" s="87"/>
      <c r="L2090" s="14"/>
      <c r="M2090" s="324">
        <f t="shared" si="272"/>
        <v>0</v>
      </c>
      <c r="N2090" s="14"/>
      <c r="O2090" s="14"/>
      <c r="P2090" s="167"/>
      <c r="Q2090" s="14"/>
      <c r="R2090" s="170">
        <f t="shared" si="270"/>
        <v>0</v>
      </c>
      <c r="S2090" s="108" t="str">
        <f t="shared" si="271"/>
        <v/>
      </c>
      <c r="T2090" s="14"/>
      <c r="U2090" s="14"/>
      <c r="V2090" s="14"/>
      <c r="W2090" s="14"/>
      <c r="X2090" s="14"/>
      <c r="Z2090" s="14"/>
      <c r="AA2090" s="2">
        <f t="shared" si="273"/>
        <v>3</v>
      </c>
      <c r="AB2090" s="153"/>
      <c r="AC2090" s="454" t="str">
        <f t="shared" si="274"/>
        <v/>
      </c>
    </row>
    <row r="2091" spans="1:29" x14ac:dyDescent="0.35">
      <c r="A2091" s="111" t="str">
        <f t="shared" si="275"/>
        <v/>
      </c>
      <c r="B2091" s="222"/>
      <c r="C2091" s="14"/>
      <c r="D2091" s="14"/>
      <c r="E2091" s="14"/>
      <c r="F2091" s="14"/>
      <c r="G2091" s="14" t="s">
        <v>1911</v>
      </c>
      <c r="H2091" s="14"/>
      <c r="I2091" s="176"/>
      <c r="K2091" s="87"/>
      <c r="L2091" s="14"/>
      <c r="M2091" s="324">
        <f t="shared" si="272"/>
        <v>0</v>
      </c>
      <c r="N2091" s="14"/>
      <c r="O2091" s="14"/>
      <c r="P2091" s="167"/>
      <c r="Q2091" s="14"/>
      <c r="R2091" s="170">
        <f t="shared" si="270"/>
        <v>0</v>
      </c>
      <c r="S2091" s="108" t="str">
        <f t="shared" si="271"/>
        <v/>
      </c>
      <c r="T2091" s="14"/>
      <c r="U2091" s="14"/>
      <c r="V2091" s="14"/>
      <c r="W2091" s="14"/>
      <c r="X2091" s="14"/>
      <c r="Z2091" s="14"/>
      <c r="AA2091" s="2">
        <f t="shared" si="273"/>
        <v>3</v>
      </c>
      <c r="AB2091" s="153"/>
      <c r="AC2091" s="454" t="str">
        <f t="shared" si="274"/>
        <v/>
      </c>
    </row>
    <row r="2092" spans="1:29" x14ac:dyDescent="0.35">
      <c r="A2092" s="111" t="str">
        <f t="shared" si="275"/>
        <v/>
      </c>
      <c r="B2092" s="222"/>
      <c r="C2092" s="14"/>
      <c r="D2092" s="14"/>
      <c r="E2092" s="14"/>
      <c r="F2092" s="14"/>
      <c r="G2092" s="14" t="s">
        <v>1911</v>
      </c>
      <c r="H2092" s="14"/>
      <c r="I2092" s="176"/>
      <c r="K2092" s="87"/>
      <c r="L2092" s="14"/>
      <c r="M2092" s="324">
        <f t="shared" si="272"/>
        <v>0</v>
      </c>
      <c r="N2092" s="14"/>
      <c r="O2092" s="14"/>
      <c r="P2092" s="167"/>
      <c r="Q2092" s="14"/>
      <c r="R2092" s="170">
        <f t="shared" si="270"/>
        <v>0</v>
      </c>
      <c r="S2092" s="108" t="str">
        <f t="shared" si="271"/>
        <v/>
      </c>
      <c r="T2092" s="14"/>
      <c r="U2092" s="14"/>
      <c r="V2092" s="14"/>
      <c r="W2092" s="14"/>
      <c r="X2092" s="14"/>
      <c r="Z2092" s="14"/>
      <c r="AA2092" s="2">
        <f t="shared" si="273"/>
        <v>3</v>
      </c>
      <c r="AB2092" s="153"/>
      <c r="AC2092" s="454" t="str">
        <f t="shared" si="274"/>
        <v/>
      </c>
    </row>
    <row r="2093" spans="1:29" x14ac:dyDescent="0.35">
      <c r="A2093" s="111" t="str">
        <f t="shared" si="275"/>
        <v/>
      </c>
      <c r="B2093" s="222"/>
      <c r="C2093" s="14"/>
      <c r="D2093" s="14"/>
      <c r="E2093" s="14"/>
      <c r="F2093" s="14"/>
      <c r="G2093" s="14" t="s">
        <v>1911</v>
      </c>
      <c r="H2093" s="14"/>
      <c r="I2093" s="176"/>
      <c r="K2093" s="87"/>
      <c r="L2093" s="14"/>
      <c r="M2093" s="324">
        <f t="shared" si="272"/>
        <v>0</v>
      </c>
      <c r="N2093" s="14"/>
      <c r="O2093" s="14"/>
      <c r="P2093" s="167"/>
      <c r="Q2093" s="14"/>
      <c r="R2093" s="170">
        <f t="shared" ref="R2093:R2156" si="276">IF(I2093="Staff Accident","Entry Required",IF(I2093="Assaults","Entry Required",0))</f>
        <v>0</v>
      </c>
      <c r="S2093" s="108" t="str">
        <f t="shared" si="271"/>
        <v/>
      </c>
      <c r="T2093" s="14"/>
      <c r="U2093" s="14"/>
      <c r="V2093" s="14"/>
      <c r="W2093" s="14"/>
      <c r="X2093" s="14"/>
      <c r="Z2093" s="14"/>
      <c r="AA2093" s="2">
        <f t="shared" si="273"/>
        <v>3</v>
      </c>
      <c r="AB2093" s="153"/>
      <c r="AC2093" s="454" t="str">
        <f t="shared" si="274"/>
        <v/>
      </c>
    </row>
    <row r="2094" spans="1:29" x14ac:dyDescent="0.35">
      <c r="A2094" s="111" t="str">
        <f t="shared" si="275"/>
        <v/>
      </c>
      <c r="B2094" s="222"/>
      <c r="C2094" s="14"/>
      <c r="D2094" s="14"/>
      <c r="E2094" s="14"/>
      <c r="F2094" s="14"/>
      <c r="G2094" s="14" t="s">
        <v>1911</v>
      </c>
      <c r="H2094" s="14"/>
      <c r="I2094" s="176"/>
      <c r="K2094" s="87"/>
      <c r="L2094" s="14"/>
      <c r="M2094" s="324">
        <f t="shared" si="272"/>
        <v>0</v>
      </c>
      <c r="N2094" s="14"/>
      <c r="O2094" s="14"/>
      <c r="P2094" s="167"/>
      <c r="Q2094" s="14"/>
      <c r="R2094" s="170">
        <f t="shared" si="276"/>
        <v>0</v>
      </c>
      <c r="S2094" s="108" t="str">
        <f t="shared" si="271"/>
        <v/>
      </c>
      <c r="T2094" s="14"/>
      <c r="U2094" s="14"/>
      <c r="V2094" s="14"/>
      <c r="W2094" s="14"/>
      <c r="X2094" s="14"/>
      <c r="Z2094" s="14"/>
      <c r="AA2094" s="2">
        <f t="shared" si="273"/>
        <v>3</v>
      </c>
      <c r="AB2094" s="153"/>
      <c r="AC2094" s="454" t="str">
        <f t="shared" si="274"/>
        <v/>
      </c>
    </row>
    <row r="2095" spans="1:29" x14ac:dyDescent="0.35">
      <c r="A2095" s="111" t="str">
        <f t="shared" si="275"/>
        <v/>
      </c>
      <c r="B2095" s="222"/>
      <c r="C2095" s="14"/>
      <c r="D2095" s="14"/>
      <c r="E2095" s="14"/>
      <c r="F2095" s="14"/>
      <c r="G2095" s="14" t="s">
        <v>1911</v>
      </c>
      <c r="H2095" s="14"/>
      <c r="I2095" s="176"/>
      <c r="K2095" s="87"/>
      <c r="L2095" s="14"/>
      <c r="M2095" s="324">
        <f t="shared" si="272"/>
        <v>0</v>
      </c>
      <c r="N2095" s="14"/>
      <c r="O2095" s="14"/>
      <c r="P2095" s="167"/>
      <c r="Q2095" s="14"/>
      <c r="R2095" s="170">
        <f t="shared" si="276"/>
        <v>0</v>
      </c>
      <c r="S2095" s="108" t="str">
        <f t="shared" si="271"/>
        <v/>
      </c>
      <c r="T2095" s="14"/>
      <c r="U2095" s="14"/>
      <c r="V2095" s="14"/>
      <c r="W2095" s="14"/>
      <c r="X2095" s="14"/>
      <c r="Z2095" s="14"/>
      <c r="AA2095" s="2">
        <f t="shared" si="273"/>
        <v>3</v>
      </c>
      <c r="AB2095" s="153"/>
      <c r="AC2095" s="454" t="str">
        <f t="shared" si="274"/>
        <v/>
      </c>
    </row>
    <row r="2096" spans="1:29" x14ac:dyDescent="0.35">
      <c r="A2096" s="111" t="str">
        <f t="shared" si="275"/>
        <v/>
      </c>
      <c r="B2096" s="222"/>
      <c r="C2096" s="14"/>
      <c r="D2096" s="14"/>
      <c r="E2096" s="14"/>
      <c r="F2096" s="14"/>
      <c r="G2096" s="14" t="s">
        <v>1911</v>
      </c>
      <c r="H2096" s="14"/>
      <c r="I2096" s="176"/>
      <c r="K2096" s="87"/>
      <c r="L2096" s="14"/>
      <c r="M2096" s="324">
        <f t="shared" si="272"/>
        <v>0</v>
      </c>
      <c r="N2096" s="14"/>
      <c r="O2096" s="14"/>
      <c r="P2096" s="167"/>
      <c r="Q2096" s="14"/>
      <c r="R2096" s="170">
        <f t="shared" si="276"/>
        <v>0</v>
      </c>
      <c r="S2096" s="108" t="str">
        <f t="shared" si="271"/>
        <v/>
      </c>
      <c r="T2096" s="14"/>
      <c r="U2096" s="14"/>
      <c r="V2096" s="14"/>
      <c r="W2096" s="14"/>
      <c r="X2096" s="14"/>
      <c r="Z2096" s="14"/>
      <c r="AA2096" s="2">
        <f t="shared" si="273"/>
        <v>3</v>
      </c>
      <c r="AB2096" s="153"/>
      <c r="AC2096" s="454" t="str">
        <f t="shared" si="274"/>
        <v/>
      </c>
    </row>
    <row r="2097" spans="1:29" x14ac:dyDescent="0.35">
      <c r="A2097" s="111" t="str">
        <f t="shared" si="275"/>
        <v/>
      </c>
      <c r="B2097" s="222"/>
      <c r="C2097" s="14"/>
      <c r="D2097" s="14"/>
      <c r="E2097" s="14"/>
      <c r="F2097" s="14"/>
      <c r="G2097" s="14" t="s">
        <v>1911</v>
      </c>
      <c r="H2097" s="14"/>
      <c r="I2097" s="176"/>
      <c r="K2097" s="87"/>
      <c r="L2097" s="14"/>
      <c r="M2097" s="324">
        <f t="shared" si="272"/>
        <v>0</v>
      </c>
      <c r="N2097" s="14"/>
      <c r="O2097" s="14"/>
      <c r="P2097" s="167"/>
      <c r="Q2097" s="14"/>
      <c r="R2097" s="170">
        <f t="shared" si="276"/>
        <v>0</v>
      </c>
      <c r="S2097" s="108" t="str">
        <f t="shared" si="271"/>
        <v/>
      </c>
      <c r="T2097" s="14"/>
      <c r="U2097" s="14"/>
      <c r="V2097" s="14"/>
      <c r="W2097" s="14"/>
      <c r="X2097" s="14"/>
      <c r="Z2097" s="14"/>
      <c r="AA2097" s="2">
        <f t="shared" si="273"/>
        <v>3</v>
      </c>
      <c r="AB2097" s="153"/>
      <c r="AC2097" s="454" t="str">
        <f t="shared" si="274"/>
        <v/>
      </c>
    </row>
    <row r="2098" spans="1:29" x14ac:dyDescent="0.35">
      <c r="A2098" s="111" t="str">
        <f t="shared" si="275"/>
        <v/>
      </c>
      <c r="B2098" s="222"/>
      <c r="C2098" s="14"/>
      <c r="D2098" s="14"/>
      <c r="E2098" s="14"/>
      <c r="F2098" s="14"/>
      <c r="G2098" s="14" t="s">
        <v>1911</v>
      </c>
      <c r="H2098" s="14"/>
      <c r="I2098" s="176"/>
      <c r="K2098" s="87"/>
      <c r="L2098" s="14"/>
      <c r="M2098" s="324">
        <f t="shared" si="272"/>
        <v>0</v>
      </c>
      <c r="N2098" s="14"/>
      <c r="O2098" s="14"/>
      <c r="P2098" s="167"/>
      <c r="Q2098" s="14"/>
      <c r="R2098" s="170">
        <f t="shared" si="276"/>
        <v>0</v>
      </c>
      <c r="S2098" s="108" t="str">
        <f t="shared" si="271"/>
        <v/>
      </c>
      <c r="T2098" s="14"/>
      <c r="U2098" s="14"/>
      <c r="V2098" s="14"/>
      <c r="W2098" s="14"/>
      <c r="X2098" s="14"/>
      <c r="Z2098" s="14"/>
      <c r="AA2098" s="2">
        <f t="shared" si="273"/>
        <v>3</v>
      </c>
      <c r="AB2098" s="153"/>
      <c r="AC2098" s="454" t="str">
        <f t="shared" si="274"/>
        <v/>
      </c>
    </row>
    <row r="2099" spans="1:29" x14ac:dyDescent="0.35">
      <c r="A2099" s="111" t="str">
        <f t="shared" si="275"/>
        <v/>
      </c>
      <c r="B2099" s="222"/>
      <c r="C2099" s="14"/>
      <c r="D2099" s="14"/>
      <c r="E2099" s="14"/>
      <c r="F2099" s="14"/>
      <c r="G2099" s="14" t="s">
        <v>1911</v>
      </c>
      <c r="H2099" s="14"/>
      <c r="I2099" s="176"/>
      <c r="K2099" s="87"/>
      <c r="L2099" s="14"/>
      <c r="M2099" s="324">
        <f t="shared" si="272"/>
        <v>0</v>
      </c>
      <c r="N2099" s="14"/>
      <c r="O2099" s="14"/>
      <c r="P2099" s="167"/>
      <c r="Q2099" s="14"/>
      <c r="R2099" s="170">
        <f t="shared" si="276"/>
        <v>0</v>
      </c>
      <c r="S2099" s="108" t="str">
        <f t="shared" si="271"/>
        <v/>
      </c>
      <c r="T2099" s="14"/>
      <c r="U2099" s="14"/>
      <c r="V2099" s="14"/>
      <c r="W2099" s="14"/>
      <c r="X2099" s="14"/>
      <c r="Z2099" s="14"/>
      <c r="AA2099" s="2">
        <f t="shared" si="273"/>
        <v>3</v>
      </c>
      <c r="AB2099" s="153"/>
      <c r="AC2099" s="454" t="str">
        <f t="shared" si="274"/>
        <v/>
      </c>
    </row>
    <row r="2100" spans="1:29" x14ac:dyDescent="0.35">
      <c r="A2100" s="111" t="str">
        <f t="shared" si="275"/>
        <v/>
      </c>
      <c r="B2100" s="222"/>
      <c r="C2100" s="14"/>
      <c r="D2100" s="14"/>
      <c r="E2100" s="14"/>
      <c r="F2100" s="14"/>
      <c r="G2100" s="14" t="s">
        <v>1911</v>
      </c>
      <c r="H2100" s="14"/>
      <c r="I2100" s="176"/>
      <c r="K2100" s="87"/>
      <c r="L2100" s="14"/>
      <c r="M2100" s="324">
        <f t="shared" si="272"/>
        <v>0</v>
      </c>
      <c r="N2100" s="14"/>
      <c r="O2100" s="14"/>
      <c r="P2100" s="167"/>
      <c r="Q2100" s="14"/>
      <c r="R2100" s="170">
        <f t="shared" si="276"/>
        <v>0</v>
      </c>
      <c r="S2100" s="108" t="str">
        <f t="shared" si="271"/>
        <v/>
      </c>
      <c r="T2100" s="14"/>
      <c r="U2100" s="14"/>
      <c r="V2100" s="14"/>
      <c r="W2100" s="14"/>
      <c r="X2100" s="14"/>
      <c r="Z2100" s="14"/>
      <c r="AA2100" s="2">
        <f t="shared" si="273"/>
        <v>3</v>
      </c>
      <c r="AB2100" s="153"/>
      <c r="AC2100" s="454" t="str">
        <f t="shared" si="274"/>
        <v/>
      </c>
    </row>
    <row r="2101" spans="1:29" x14ac:dyDescent="0.35">
      <c r="A2101" s="111" t="str">
        <f t="shared" si="275"/>
        <v/>
      </c>
      <c r="B2101" s="222"/>
      <c r="C2101" s="14"/>
      <c r="D2101" s="14"/>
      <c r="E2101" s="14"/>
      <c r="F2101" s="14"/>
      <c r="G2101" s="14" t="s">
        <v>1911</v>
      </c>
      <c r="H2101" s="14"/>
      <c r="I2101" s="176"/>
      <c r="K2101" s="87"/>
      <c r="L2101" s="14"/>
      <c r="M2101" s="324">
        <f t="shared" si="272"/>
        <v>0</v>
      </c>
      <c r="N2101" s="14"/>
      <c r="O2101" s="14"/>
      <c r="P2101" s="167"/>
      <c r="Q2101" s="14"/>
      <c r="R2101" s="170">
        <f t="shared" si="276"/>
        <v>0</v>
      </c>
      <c r="S2101" s="108" t="str">
        <f t="shared" si="271"/>
        <v/>
      </c>
      <c r="T2101" s="14"/>
      <c r="U2101" s="14"/>
      <c r="V2101" s="14"/>
      <c r="W2101" s="14"/>
      <c r="X2101" s="14"/>
      <c r="Z2101" s="14"/>
      <c r="AA2101" s="2">
        <f t="shared" si="273"/>
        <v>3</v>
      </c>
      <c r="AB2101" s="153"/>
      <c r="AC2101" s="454" t="str">
        <f t="shared" si="274"/>
        <v/>
      </c>
    </row>
    <row r="2102" spans="1:29" x14ac:dyDescent="0.35">
      <c r="A2102" s="111" t="str">
        <f t="shared" si="275"/>
        <v/>
      </c>
      <c r="B2102" s="222"/>
      <c r="C2102" s="14"/>
      <c r="D2102" s="14"/>
      <c r="E2102" s="14"/>
      <c r="F2102" s="14"/>
      <c r="G2102" s="14" t="s">
        <v>1911</v>
      </c>
      <c r="H2102" s="14"/>
      <c r="I2102" s="176"/>
      <c r="K2102" s="87"/>
      <c r="L2102" s="14"/>
      <c r="M2102" s="324">
        <f t="shared" si="272"/>
        <v>0</v>
      </c>
      <c r="N2102" s="14"/>
      <c r="O2102" s="14"/>
      <c r="P2102" s="167"/>
      <c r="Q2102" s="14"/>
      <c r="R2102" s="170">
        <f t="shared" si="276"/>
        <v>0</v>
      </c>
      <c r="S2102" s="108" t="str">
        <f t="shared" si="271"/>
        <v/>
      </c>
      <c r="T2102" s="14"/>
      <c r="U2102" s="14"/>
      <c r="V2102" s="14"/>
      <c r="W2102" s="14"/>
      <c r="X2102" s="14"/>
      <c r="Z2102" s="14"/>
      <c r="AA2102" s="2">
        <f t="shared" si="273"/>
        <v>3</v>
      </c>
      <c r="AB2102" s="153"/>
      <c r="AC2102" s="454" t="str">
        <f t="shared" si="274"/>
        <v/>
      </c>
    </row>
    <row r="2103" spans="1:29" x14ac:dyDescent="0.35">
      <c r="A2103" s="111" t="str">
        <f t="shared" si="275"/>
        <v/>
      </c>
      <c r="B2103" s="222"/>
      <c r="C2103" s="14"/>
      <c r="D2103" s="14"/>
      <c r="E2103" s="14"/>
      <c r="F2103" s="14"/>
      <c r="G2103" s="14" t="s">
        <v>1911</v>
      </c>
      <c r="H2103" s="14"/>
      <c r="I2103" s="176"/>
      <c r="K2103" s="87"/>
      <c r="L2103" s="14"/>
      <c r="M2103" s="324">
        <f t="shared" si="272"/>
        <v>0</v>
      </c>
      <c r="N2103" s="14"/>
      <c r="O2103" s="14"/>
      <c r="P2103" s="167"/>
      <c r="Q2103" s="14"/>
      <c r="R2103" s="170">
        <f t="shared" si="276"/>
        <v>0</v>
      </c>
      <c r="S2103" s="108" t="str">
        <f t="shared" si="271"/>
        <v/>
      </c>
      <c r="T2103" s="14"/>
      <c r="U2103" s="14"/>
      <c r="V2103" s="14"/>
      <c r="W2103" s="14"/>
      <c r="X2103" s="14"/>
      <c r="Z2103" s="14"/>
      <c r="AA2103" s="2">
        <f t="shared" si="273"/>
        <v>3</v>
      </c>
      <c r="AB2103" s="153"/>
      <c r="AC2103" s="454" t="str">
        <f t="shared" si="274"/>
        <v/>
      </c>
    </row>
    <row r="2104" spans="1:29" x14ac:dyDescent="0.35">
      <c r="A2104" s="111" t="str">
        <f t="shared" si="275"/>
        <v/>
      </c>
      <c r="B2104" s="222"/>
      <c r="C2104" s="14"/>
      <c r="D2104" s="14"/>
      <c r="E2104" s="14"/>
      <c r="F2104" s="14"/>
      <c r="G2104" s="14" t="s">
        <v>1911</v>
      </c>
      <c r="H2104" s="14"/>
      <c r="I2104" s="176"/>
      <c r="K2104" s="87"/>
      <c r="L2104" s="14"/>
      <c r="M2104" s="324">
        <f t="shared" si="272"/>
        <v>0</v>
      </c>
      <c r="N2104" s="14"/>
      <c r="O2104" s="14"/>
      <c r="P2104" s="167"/>
      <c r="Q2104" s="14"/>
      <c r="R2104" s="170">
        <f t="shared" si="276"/>
        <v>0</v>
      </c>
      <c r="S2104" s="108" t="str">
        <f t="shared" si="271"/>
        <v/>
      </c>
      <c r="T2104" s="14"/>
      <c r="U2104" s="14"/>
      <c r="V2104" s="14"/>
      <c r="W2104" s="14"/>
      <c r="X2104" s="14"/>
      <c r="Z2104" s="14"/>
      <c r="AA2104" s="2">
        <f t="shared" si="273"/>
        <v>3</v>
      </c>
      <c r="AB2104" s="153"/>
      <c r="AC2104" s="454" t="str">
        <f t="shared" si="274"/>
        <v/>
      </c>
    </row>
    <row r="2105" spans="1:29" x14ac:dyDescent="0.35">
      <c r="A2105" s="111" t="str">
        <f t="shared" si="275"/>
        <v/>
      </c>
      <c r="B2105" s="222"/>
      <c r="C2105" s="14"/>
      <c r="D2105" s="14"/>
      <c r="E2105" s="14"/>
      <c r="F2105" s="14"/>
      <c r="G2105" s="14" t="s">
        <v>1911</v>
      </c>
      <c r="H2105" s="14"/>
      <c r="I2105" s="176"/>
      <c r="K2105" s="87"/>
      <c r="L2105" s="14"/>
      <c r="M2105" s="324">
        <f t="shared" si="272"/>
        <v>0</v>
      </c>
      <c r="N2105" s="14"/>
      <c r="O2105" s="14"/>
      <c r="P2105" s="167"/>
      <c r="Q2105" s="14"/>
      <c r="R2105" s="170">
        <f t="shared" si="276"/>
        <v>0</v>
      </c>
      <c r="S2105" s="108" t="str">
        <f t="shared" si="271"/>
        <v/>
      </c>
      <c r="T2105" s="14"/>
      <c r="U2105" s="14"/>
      <c r="V2105" s="14"/>
      <c r="W2105" s="14"/>
      <c r="X2105" s="14"/>
      <c r="Z2105" s="14"/>
      <c r="AA2105" s="2">
        <f t="shared" si="273"/>
        <v>3</v>
      </c>
      <c r="AB2105" s="153"/>
      <c r="AC2105" s="454" t="str">
        <f t="shared" si="274"/>
        <v/>
      </c>
    </row>
    <row r="2106" spans="1:29" x14ac:dyDescent="0.35">
      <c r="A2106" s="111" t="str">
        <f t="shared" si="275"/>
        <v/>
      </c>
      <c r="B2106" s="222"/>
      <c r="C2106" s="14"/>
      <c r="D2106" s="14"/>
      <c r="E2106" s="14"/>
      <c r="F2106" s="14"/>
      <c r="G2106" s="14" t="s">
        <v>1911</v>
      </c>
      <c r="H2106" s="14"/>
      <c r="I2106" s="176"/>
      <c r="K2106" s="87"/>
      <c r="L2106" s="14"/>
      <c r="M2106" s="324">
        <f t="shared" si="272"/>
        <v>0</v>
      </c>
      <c r="N2106" s="14"/>
      <c r="O2106" s="14"/>
      <c r="P2106" s="167"/>
      <c r="Q2106" s="14"/>
      <c r="R2106" s="170">
        <f t="shared" si="276"/>
        <v>0</v>
      </c>
      <c r="S2106" s="108" t="str">
        <f t="shared" si="271"/>
        <v/>
      </c>
      <c r="T2106" s="14"/>
      <c r="U2106" s="14"/>
      <c r="V2106" s="14"/>
      <c r="W2106" s="14"/>
      <c r="X2106" s="14"/>
      <c r="Z2106" s="14"/>
      <c r="AA2106" s="2">
        <f t="shared" si="273"/>
        <v>3</v>
      </c>
      <c r="AB2106" s="153"/>
      <c r="AC2106" s="454" t="str">
        <f t="shared" si="274"/>
        <v/>
      </c>
    </row>
    <row r="2107" spans="1:29" x14ac:dyDescent="0.35">
      <c r="A2107" s="111" t="str">
        <f t="shared" si="275"/>
        <v/>
      </c>
      <c r="B2107" s="222"/>
      <c r="C2107" s="14"/>
      <c r="D2107" s="14"/>
      <c r="E2107" s="14"/>
      <c r="F2107" s="14"/>
      <c r="G2107" s="14" t="s">
        <v>1911</v>
      </c>
      <c r="H2107" s="14"/>
      <c r="I2107" s="176"/>
      <c r="K2107" s="87"/>
      <c r="L2107" s="14"/>
      <c r="M2107" s="324">
        <f t="shared" si="272"/>
        <v>0</v>
      </c>
      <c r="N2107" s="14"/>
      <c r="O2107" s="14"/>
      <c r="P2107" s="167"/>
      <c r="Q2107" s="14"/>
      <c r="R2107" s="170">
        <f t="shared" si="276"/>
        <v>0</v>
      </c>
      <c r="S2107" s="108" t="str">
        <f t="shared" si="271"/>
        <v/>
      </c>
      <c r="T2107" s="14"/>
      <c r="U2107" s="14"/>
      <c r="V2107" s="14"/>
      <c r="W2107" s="14"/>
      <c r="X2107" s="14"/>
      <c r="Z2107" s="14"/>
      <c r="AA2107" s="2">
        <f t="shared" si="273"/>
        <v>3</v>
      </c>
      <c r="AB2107" s="153"/>
      <c r="AC2107" s="454" t="str">
        <f t="shared" si="274"/>
        <v/>
      </c>
    </row>
    <row r="2108" spans="1:29" x14ac:dyDescent="0.35">
      <c r="A2108" s="111" t="str">
        <f t="shared" si="275"/>
        <v/>
      </c>
      <c r="B2108" s="222"/>
      <c r="C2108" s="14"/>
      <c r="D2108" s="14"/>
      <c r="E2108" s="14"/>
      <c r="F2108" s="14"/>
      <c r="G2108" s="14" t="s">
        <v>1911</v>
      </c>
      <c r="H2108" s="14"/>
      <c r="I2108" s="176"/>
      <c r="K2108" s="87"/>
      <c r="L2108" s="14"/>
      <c r="M2108" s="324">
        <f t="shared" si="272"/>
        <v>0</v>
      </c>
      <c r="N2108" s="14"/>
      <c r="O2108" s="14"/>
      <c r="P2108" s="167"/>
      <c r="Q2108" s="14"/>
      <c r="R2108" s="170">
        <f t="shared" si="276"/>
        <v>0</v>
      </c>
      <c r="S2108" s="108" t="str">
        <f t="shared" si="271"/>
        <v/>
      </c>
      <c r="T2108" s="14"/>
      <c r="U2108" s="14"/>
      <c r="V2108" s="14"/>
      <c r="W2108" s="14"/>
      <c r="X2108" s="14"/>
      <c r="Z2108" s="14"/>
      <c r="AA2108" s="2">
        <f t="shared" si="273"/>
        <v>3</v>
      </c>
      <c r="AB2108" s="153"/>
      <c r="AC2108" s="454" t="str">
        <f t="shared" si="274"/>
        <v/>
      </c>
    </row>
    <row r="2109" spans="1:29" x14ac:dyDescent="0.35">
      <c r="A2109" s="111" t="str">
        <f t="shared" si="275"/>
        <v/>
      </c>
      <c r="B2109" s="222"/>
      <c r="C2109" s="14"/>
      <c r="D2109" s="14"/>
      <c r="E2109" s="14"/>
      <c r="F2109" s="14"/>
      <c r="G2109" s="14" t="s">
        <v>1911</v>
      </c>
      <c r="H2109" s="14"/>
      <c r="I2109" s="176"/>
      <c r="K2109" s="87"/>
      <c r="L2109" s="14"/>
      <c r="M2109" s="324">
        <f t="shared" si="272"/>
        <v>0</v>
      </c>
      <c r="N2109" s="14"/>
      <c r="O2109" s="14"/>
      <c r="P2109" s="167"/>
      <c r="Q2109" s="14"/>
      <c r="R2109" s="170">
        <f t="shared" si="276"/>
        <v>0</v>
      </c>
      <c r="S2109" s="108" t="str">
        <f t="shared" si="271"/>
        <v/>
      </c>
      <c r="T2109" s="14"/>
      <c r="U2109" s="14"/>
      <c r="V2109" s="14"/>
      <c r="W2109" s="14"/>
      <c r="X2109" s="14"/>
      <c r="Z2109" s="14"/>
      <c r="AA2109" s="2">
        <f t="shared" si="273"/>
        <v>3</v>
      </c>
      <c r="AB2109" s="153"/>
      <c r="AC2109" s="454" t="str">
        <f t="shared" si="274"/>
        <v/>
      </c>
    </row>
    <row r="2110" spans="1:29" x14ac:dyDescent="0.35">
      <c r="A2110" s="111" t="str">
        <f t="shared" si="275"/>
        <v/>
      </c>
      <c r="B2110" s="222"/>
      <c r="C2110" s="14"/>
      <c r="D2110" s="14"/>
      <c r="E2110" s="14"/>
      <c r="F2110" s="14"/>
      <c r="G2110" s="14" t="s">
        <v>1911</v>
      </c>
      <c r="H2110" s="14"/>
      <c r="I2110" s="176"/>
      <c r="K2110" s="87"/>
      <c r="L2110" s="14"/>
      <c r="M2110" s="324">
        <f t="shared" si="272"/>
        <v>0</v>
      </c>
      <c r="N2110" s="14"/>
      <c r="O2110" s="14"/>
      <c r="P2110" s="167"/>
      <c r="Q2110" s="14"/>
      <c r="R2110" s="170">
        <f t="shared" si="276"/>
        <v>0</v>
      </c>
      <c r="S2110" s="108" t="str">
        <f t="shared" si="271"/>
        <v/>
      </c>
      <c r="T2110" s="14"/>
      <c r="U2110" s="14"/>
      <c r="V2110" s="14"/>
      <c r="W2110" s="14"/>
      <c r="X2110" s="14"/>
      <c r="Z2110" s="14"/>
      <c r="AA2110" s="2">
        <f t="shared" si="273"/>
        <v>3</v>
      </c>
      <c r="AB2110" s="153"/>
      <c r="AC2110" s="454" t="str">
        <f t="shared" si="274"/>
        <v/>
      </c>
    </row>
    <row r="2111" spans="1:29" x14ac:dyDescent="0.35">
      <c r="A2111" s="111" t="str">
        <f t="shared" si="275"/>
        <v/>
      </c>
      <c r="B2111" s="222"/>
      <c r="C2111" s="14"/>
      <c r="D2111" s="14"/>
      <c r="E2111" s="14"/>
      <c r="F2111" s="14"/>
      <c r="G2111" s="14" t="s">
        <v>1911</v>
      </c>
      <c r="H2111" s="14"/>
      <c r="I2111" s="176"/>
      <c r="K2111" s="87"/>
      <c r="L2111" s="14"/>
      <c r="M2111" s="324">
        <f t="shared" si="272"/>
        <v>0</v>
      </c>
      <c r="N2111" s="14"/>
      <c r="O2111" s="14"/>
      <c r="P2111" s="167"/>
      <c r="Q2111" s="14"/>
      <c r="R2111" s="170">
        <f t="shared" si="276"/>
        <v>0</v>
      </c>
      <c r="S2111" s="108" t="str">
        <f t="shared" si="271"/>
        <v/>
      </c>
      <c r="T2111" s="14"/>
      <c r="U2111" s="14"/>
      <c r="V2111" s="14"/>
      <c r="W2111" s="14"/>
      <c r="X2111" s="14"/>
      <c r="Z2111" s="14"/>
      <c r="AA2111" s="2">
        <f t="shared" si="273"/>
        <v>3</v>
      </c>
      <c r="AB2111" s="153"/>
      <c r="AC2111" s="454" t="str">
        <f t="shared" si="274"/>
        <v/>
      </c>
    </row>
    <row r="2112" spans="1:29" x14ac:dyDescent="0.35">
      <c r="A2112" s="111" t="str">
        <f t="shared" si="275"/>
        <v/>
      </c>
      <c r="B2112" s="222"/>
      <c r="C2112" s="14"/>
      <c r="D2112" s="14"/>
      <c r="E2112" s="14"/>
      <c r="F2112" s="14"/>
      <c r="G2112" s="14" t="s">
        <v>1911</v>
      </c>
      <c r="H2112" s="14"/>
      <c r="I2112" s="176"/>
      <c r="K2112" s="87"/>
      <c r="L2112" s="14"/>
      <c r="M2112" s="324">
        <f t="shared" si="272"/>
        <v>0</v>
      </c>
      <c r="N2112" s="14"/>
      <c r="O2112" s="14"/>
      <c r="P2112" s="167"/>
      <c r="Q2112" s="14"/>
      <c r="R2112" s="170">
        <f t="shared" si="276"/>
        <v>0</v>
      </c>
      <c r="S2112" s="108" t="str">
        <f t="shared" si="271"/>
        <v/>
      </c>
      <c r="T2112" s="14"/>
      <c r="U2112" s="14"/>
      <c r="V2112" s="14"/>
      <c r="W2112" s="14"/>
      <c r="X2112" s="14"/>
      <c r="Z2112" s="14"/>
      <c r="AA2112" s="2">
        <f t="shared" si="273"/>
        <v>3</v>
      </c>
      <c r="AB2112" s="153"/>
      <c r="AC2112" s="454" t="str">
        <f t="shared" si="274"/>
        <v/>
      </c>
    </row>
    <row r="2113" spans="1:29" x14ac:dyDescent="0.35">
      <c r="A2113" s="111" t="str">
        <f t="shared" si="275"/>
        <v/>
      </c>
      <c r="B2113" s="222"/>
      <c r="C2113" s="14"/>
      <c r="D2113" s="14"/>
      <c r="E2113" s="14"/>
      <c r="F2113" s="14"/>
      <c r="G2113" s="14" t="s">
        <v>1911</v>
      </c>
      <c r="H2113" s="14"/>
      <c r="I2113" s="176"/>
      <c r="K2113" s="87"/>
      <c r="L2113" s="14"/>
      <c r="M2113" s="324">
        <f t="shared" si="272"/>
        <v>0</v>
      </c>
      <c r="N2113" s="14"/>
      <c r="O2113" s="14"/>
      <c r="P2113" s="167"/>
      <c r="Q2113" s="14"/>
      <c r="R2113" s="170">
        <f t="shared" si="276"/>
        <v>0</v>
      </c>
      <c r="S2113" s="108" t="str">
        <f t="shared" si="271"/>
        <v/>
      </c>
      <c r="T2113" s="14"/>
      <c r="U2113" s="14"/>
      <c r="V2113" s="14"/>
      <c r="W2113" s="14"/>
      <c r="X2113" s="14"/>
      <c r="Z2113" s="14"/>
      <c r="AA2113" s="2">
        <f t="shared" si="273"/>
        <v>3</v>
      </c>
      <c r="AB2113" s="153"/>
      <c r="AC2113" s="454" t="str">
        <f t="shared" si="274"/>
        <v/>
      </c>
    </row>
    <row r="2114" spans="1:29" x14ac:dyDescent="0.35">
      <c r="A2114" s="111" t="str">
        <f t="shared" si="275"/>
        <v/>
      </c>
      <c r="B2114" s="222"/>
      <c r="C2114" s="14"/>
      <c r="D2114" s="14"/>
      <c r="E2114" s="14"/>
      <c r="F2114" s="14"/>
      <c r="G2114" s="14" t="s">
        <v>1911</v>
      </c>
      <c r="H2114" s="14"/>
      <c r="I2114" s="176"/>
      <c r="K2114" s="87"/>
      <c r="L2114" s="14"/>
      <c r="M2114" s="324">
        <f t="shared" si="272"/>
        <v>0</v>
      </c>
      <c r="N2114" s="14"/>
      <c r="O2114" s="14"/>
      <c r="P2114" s="167"/>
      <c r="Q2114" s="14"/>
      <c r="R2114" s="170">
        <f t="shared" si="276"/>
        <v>0</v>
      </c>
      <c r="S2114" s="108" t="str">
        <f t="shared" si="271"/>
        <v/>
      </c>
      <c r="T2114" s="14"/>
      <c r="U2114" s="14"/>
      <c r="V2114" s="14"/>
      <c r="W2114" s="14"/>
      <c r="X2114" s="14"/>
      <c r="Z2114" s="14"/>
      <c r="AA2114" s="2">
        <f t="shared" si="273"/>
        <v>3</v>
      </c>
      <c r="AB2114" s="153"/>
      <c r="AC2114" s="454" t="str">
        <f t="shared" si="274"/>
        <v/>
      </c>
    </row>
    <row r="2115" spans="1:29" x14ac:dyDescent="0.35">
      <c r="A2115" s="111" t="str">
        <f t="shared" si="275"/>
        <v/>
      </c>
      <c r="B2115" s="222"/>
      <c r="C2115" s="14"/>
      <c r="D2115" s="14"/>
      <c r="E2115" s="14"/>
      <c r="F2115" s="14"/>
      <c r="G2115" s="14" t="s">
        <v>1911</v>
      </c>
      <c r="H2115" s="14"/>
      <c r="I2115" s="176"/>
      <c r="K2115" s="87"/>
      <c r="L2115" s="14"/>
      <c r="M2115" s="324">
        <f t="shared" si="272"/>
        <v>0</v>
      </c>
      <c r="N2115" s="14"/>
      <c r="O2115" s="14"/>
      <c r="P2115" s="167"/>
      <c r="Q2115" s="14"/>
      <c r="R2115" s="170">
        <f t="shared" si="276"/>
        <v>0</v>
      </c>
      <c r="S2115" s="108" t="str">
        <f t="shared" si="271"/>
        <v/>
      </c>
      <c r="T2115" s="14"/>
      <c r="U2115" s="14"/>
      <c r="V2115" s="14"/>
      <c r="W2115" s="14"/>
      <c r="X2115" s="14"/>
      <c r="Z2115" s="14"/>
      <c r="AA2115" s="2">
        <f t="shared" si="273"/>
        <v>3</v>
      </c>
      <c r="AB2115" s="153"/>
      <c r="AC2115" s="454" t="str">
        <f t="shared" si="274"/>
        <v/>
      </c>
    </row>
    <row r="2116" spans="1:29" x14ac:dyDescent="0.35">
      <c r="A2116" s="111" t="str">
        <f t="shared" si="275"/>
        <v/>
      </c>
      <c r="B2116" s="222"/>
      <c r="C2116" s="14"/>
      <c r="D2116" s="14"/>
      <c r="E2116" s="14"/>
      <c r="F2116" s="14"/>
      <c r="G2116" s="14" t="s">
        <v>1911</v>
      </c>
      <c r="H2116" s="14"/>
      <c r="I2116" s="176"/>
      <c r="K2116" s="87"/>
      <c r="L2116" s="14"/>
      <c r="M2116" s="324">
        <f t="shared" si="272"/>
        <v>0</v>
      </c>
      <c r="N2116" s="14"/>
      <c r="O2116" s="14"/>
      <c r="P2116" s="167"/>
      <c r="Q2116" s="14"/>
      <c r="R2116" s="170">
        <f t="shared" si="276"/>
        <v>0</v>
      </c>
      <c r="S2116" s="108" t="str">
        <f t="shared" si="271"/>
        <v/>
      </c>
      <c r="T2116" s="14"/>
      <c r="U2116" s="14"/>
      <c r="V2116" s="14"/>
      <c r="W2116" s="14"/>
      <c r="X2116" s="14"/>
      <c r="Z2116" s="14"/>
      <c r="AA2116" s="2">
        <f t="shared" si="273"/>
        <v>3</v>
      </c>
      <c r="AB2116" s="153"/>
      <c r="AC2116" s="454" t="str">
        <f t="shared" si="274"/>
        <v/>
      </c>
    </row>
    <row r="2117" spans="1:29" x14ac:dyDescent="0.35">
      <c r="A2117" s="111" t="str">
        <f t="shared" si="275"/>
        <v/>
      </c>
      <c r="B2117" s="222"/>
      <c r="C2117" s="14"/>
      <c r="D2117" s="14"/>
      <c r="E2117" s="14"/>
      <c r="F2117" s="14"/>
      <c r="G2117" s="14" t="s">
        <v>1911</v>
      </c>
      <c r="H2117" s="14"/>
      <c r="I2117" s="176"/>
      <c r="K2117" s="87"/>
      <c r="L2117" s="14"/>
      <c r="M2117" s="324">
        <f t="shared" si="272"/>
        <v>0</v>
      </c>
      <c r="N2117" s="14"/>
      <c r="O2117" s="14"/>
      <c r="P2117" s="167"/>
      <c r="Q2117" s="14"/>
      <c r="R2117" s="170">
        <f t="shared" si="276"/>
        <v>0</v>
      </c>
      <c r="S2117" s="108" t="str">
        <f t="shared" ref="S2117:S2180" si="277">IF(B2117="","",B2117+28)</f>
        <v/>
      </c>
      <c r="T2117" s="14"/>
      <c r="U2117" s="14"/>
      <c r="V2117" s="14"/>
      <c r="W2117" s="14"/>
      <c r="X2117" s="14"/>
      <c r="Z2117" s="14"/>
      <c r="AA2117" s="2">
        <f t="shared" si="273"/>
        <v>3</v>
      </c>
      <c r="AB2117" s="153"/>
      <c r="AC2117" s="454" t="str">
        <f t="shared" si="274"/>
        <v/>
      </c>
    </row>
    <row r="2118" spans="1:29" x14ac:dyDescent="0.35">
      <c r="A2118" s="111" t="str">
        <f t="shared" si="275"/>
        <v/>
      </c>
      <c r="B2118" s="222"/>
      <c r="C2118" s="14"/>
      <c r="D2118" s="14"/>
      <c r="E2118" s="14"/>
      <c r="F2118" s="14"/>
      <c r="G2118" s="14" t="s">
        <v>1911</v>
      </c>
      <c r="H2118" s="14"/>
      <c r="I2118" s="176"/>
      <c r="K2118" s="87"/>
      <c r="L2118" s="14"/>
      <c r="M2118" s="324">
        <f t="shared" si="272"/>
        <v>0</v>
      </c>
      <c r="N2118" s="14"/>
      <c r="O2118" s="14"/>
      <c r="P2118" s="167"/>
      <c r="Q2118" s="14"/>
      <c r="R2118" s="170">
        <f t="shared" si="276"/>
        <v>0</v>
      </c>
      <c r="S2118" s="108" t="str">
        <f t="shared" si="277"/>
        <v/>
      </c>
      <c r="T2118" s="14"/>
      <c r="U2118" s="14"/>
      <c r="V2118" s="14"/>
      <c r="W2118" s="14"/>
      <c r="X2118" s="14"/>
      <c r="Z2118" s="14"/>
      <c r="AA2118" s="2">
        <f t="shared" si="273"/>
        <v>3</v>
      </c>
      <c r="AB2118" s="153"/>
      <c r="AC2118" s="454" t="str">
        <f t="shared" si="274"/>
        <v/>
      </c>
    </row>
    <row r="2119" spans="1:29" x14ac:dyDescent="0.35">
      <c r="A2119" s="111" t="str">
        <f t="shared" si="275"/>
        <v/>
      </c>
      <c r="B2119" s="222"/>
      <c r="C2119" s="14"/>
      <c r="D2119" s="14"/>
      <c r="E2119" s="14"/>
      <c r="F2119" s="14"/>
      <c r="G2119" s="14" t="s">
        <v>1911</v>
      </c>
      <c r="H2119" s="14"/>
      <c r="I2119" s="176"/>
      <c r="K2119" s="87"/>
      <c r="L2119" s="14"/>
      <c r="M2119" s="324">
        <f t="shared" si="272"/>
        <v>0</v>
      </c>
      <c r="N2119" s="14"/>
      <c r="O2119" s="14"/>
      <c r="P2119" s="167"/>
      <c r="Q2119" s="14"/>
      <c r="R2119" s="170">
        <f t="shared" si="276"/>
        <v>0</v>
      </c>
      <c r="S2119" s="108" t="str">
        <f t="shared" si="277"/>
        <v/>
      </c>
      <c r="T2119" s="14"/>
      <c r="U2119" s="14"/>
      <c r="V2119" s="14"/>
      <c r="W2119" s="14"/>
      <c r="X2119" s="14"/>
      <c r="Z2119" s="14"/>
      <c r="AA2119" s="2">
        <f t="shared" si="273"/>
        <v>3</v>
      </c>
      <c r="AB2119" s="153"/>
      <c r="AC2119" s="454" t="str">
        <f t="shared" si="274"/>
        <v/>
      </c>
    </row>
    <row r="2120" spans="1:29" x14ac:dyDescent="0.35">
      <c r="A2120" s="111" t="str">
        <f t="shared" si="275"/>
        <v/>
      </c>
      <c r="B2120" s="222"/>
      <c r="C2120" s="14"/>
      <c r="D2120" s="14"/>
      <c r="E2120" s="14"/>
      <c r="F2120" s="14"/>
      <c r="G2120" s="14" t="s">
        <v>1911</v>
      </c>
      <c r="H2120" s="14"/>
      <c r="I2120" s="176"/>
      <c r="K2120" s="87"/>
      <c r="L2120" s="14"/>
      <c r="M2120" s="324">
        <f t="shared" si="272"/>
        <v>0</v>
      </c>
      <c r="N2120" s="14"/>
      <c r="O2120" s="14"/>
      <c r="P2120" s="167"/>
      <c r="Q2120" s="14"/>
      <c r="R2120" s="170">
        <f t="shared" si="276"/>
        <v>0</v>
      </c>
      <c r="S2120" s="108" t="str">
        <f t="shared" si="277"/>
        <v/>
      </c>
      <c r="T2120" s="14"/>
      <c r="U2120" s="14"/>
      <c r="V2120" s="14"/>
      <c r="W2120" s="14"/>
      <c r="X2120" s="14"/>
      <c r="Z2120" s="14"/>
      <c r="AA2120" s="2">
        <f t="shared" si="273"/>
        <v>3</v>
      </c>
      <c r="AB2120" s="153"/>
      <c r="AC2120" s="454" t="str">
        <f t="shared" si="274"/>
        <v/>
      </c>
    </row>
    <row r="2121" spans="1:29" x14ac:dyDescent="0.35">
      <c r="A2121" s="111" t="str">
        <f t="shared" si="275"/>
        <v/>
      </c>
      <c r="B2121" s="222"/>
      <c r="C2121" s="14"/>
      <c r="D2121" s="14"/>
      <c r="E2121" s="14"/>
      <c r="F2121" s="14"/>
      <c r="G2121" s="14" t="s">
        <v>1911</v>
      </c>
      <c r="H2121" s="14"/>
      <c r="I2121" s="176"/>
      <c r="K2121" s="87"/>
      <c r="L2121" s="14"/>
      <c r="M2121" s="324">
        <f t="shared" si="272"/>
        <v>0</v>
      </c>
      <c r="N2121" s="14"/>
      <c r="O2121" s="14"/>
      <c r="P2121" s="167"/>
      <c r="Q2121" s="14"/>
      <c r="R2121" s="170">
        <f t="shared" si="276"/>
        <v>0</v>
      </c>
      <c r="S2121" s="108" t="str">
        <f t="shared" si="277"/>
        <v/>
      </c>
      <c r="T2121" s="14"/>
      <c r="U2121" s="14"/>
      <c r="V2121" s="14"/>
      <c r="W2121" s="14"/>
      <c r="X2121" s="14"/>
      <c r="Z2121" s="14"/>
      <c r="AA2121" s="2">
        <f t="shared" si="273"/>
        <v>3</v>
      </c>
      <c r="AB2121" s="153"/>
      <c r="AC2121" s="454" t="str">
        <f t="shared" si="274"/>
        <v/>
      </c>
    </row>
    <row r="2122" spans="1:29" x14ac:dyDescent="0.35">
      <c r="A2122" s="111" t="str">
        <f t="shared" si="275"/>
        <v/>
      </c>
      <c r="B2122" s="222"/>
      <c r="C2122" s="14"/>
      <c r="D2122" s="14"/>
      <c r="E2122" s="14"/>
      <c r="F2122" s="14"/>
      <c r="G2122" s="14" t="s">
        <v>1911</v>
      </c>
      <c r="H2122" s="14"/>
      <c r="I2122" s="176"/>
      <c r="K2122" s="87"/>
      <c r="L2122" s="14"/>
      <c r="M2122" s="324">
        <f t="shared" si="272"/>
        <v>0</v>
      </c>
      <c r="N2122" s="14"/>
      <c r="O2122" s="14"/>
      <c r="P2122" s="167"/>
      <c r="Q2122" s="14"/>
      <c r="R2122" s="170">
        <f t="shared" si="276"/>
        <v>0</v>
      </c>
      <c r="S2122" s="108" t="str">
        <f t="shared" si="277"/>
        <v/>
      </c>
      <c r="T2122" s="14"/>
      <c r="U2122" s="14"/>
      <c r="V2122" s="14"/>
      <c r="W2122" s="14"/>
      <c r="X2122" s="14"/>
      <c r="Z2122" s="14"/>
      <c r="AA2122" s="2">
        <f t="shared" si="273"/>
        <v>3</v>
      </c>
      <c r="AB2122" s="153"/>
      <c r="AC2122" s="454" t="str">
        <f t="shared" si="274"/>
        <v/>
      </c>
    </row>
    <row r="2123" spans="1:29" x14ac:dyDescent="0.35">
      <c r="A2123" s="111" t="str">
        <f t="shared" si="275"/>
        <v/>
      </c>
      <c r="B2123" s="222"/>
      <c r="C2123" s="14"/>
      <c r="D2123" s="14"/>
      <c r="E2123" s="14"/>
      <c r="F2123" s="14"/>
      <c r="G2123" s="14" t="s">
        <v>1911</v>
      </c>
      <c r="H2123" s="14"/>
      <c r="I2123" s="176"/>
      <c r="K2123" s="87"/>
      <c r="L2123" s="14"/>
      <c r="M2123" s="324">
        <f t="shared" si="272"/>
        <v>0</v>
      </c>
      <c r="N2123" s="14"/>
      <c r="O2123" s="14"/>
      <c r="P2123" s="167"/>
      <c r="Q2123" s="14"/>
      <c r="R2123" s="170">
        <f t="shared" si="276"/>
        <v>0</v>
      </c>
      <c r="S2123" s="108" t="str">
        <f t="shared" si="277"/>
        <v/>
      </c>
      <c r="T2123" s="14"/>
      <c r="U2123" s="14"/>
      <c r="V2123" s="14"/>
      <c r="W2123" s="14"/>
      <c r="X2123" s="14"/>
      <c r="Z2123" s="14"/>
      <c r="AA2123" s="2">
        <f t="shared" si="273"/>
        <v>3</v>
      </c>
      <c r="AB2123" s="153"/>
      <c r="AC2123" s="454" t="str">
        <f t="shared" si="274"/>
        <v/>
      </c>
    </row>
    <row r="2124" spans="1:29" x14ac:dyDescent="0.35">
      <c r="A2124" s="111" t="str">
        <f t="shared" si="275"/>
        <v/>
      </c>
      <c r="B2124" s="222"/>
      <c r="C2124" s="14"/>
      <c r="D2124" s="14"/>
      <c r="E2124" s="14"/>
      <c r="F2124" s="14"/>
      <c r="G2124" s="14" t="s">
        <v>1911</v>
      </c>
      <c r="H2124" s="14"/>
      <c r="I2124" s="176"/>
      <c r="K2124" s="87"/>
      <c r="L2124" s="14"/>
      <c r="M2124" s="324">
        <f t="shared" si="272"/>
        <v>0</v>
      </c>
      <c r="N2124" s="14"/>
      <c r="O2124" s="14"/>
      <c r="P2124" s="167"/>
      <c r="Q2124" s="14"/>
      <c r="R2124" s="170">
        <f t="shared" si="276"/>
        <v>0</v>
      </c>
      <c r="S2124" s="108" t="str">
        <f t="shared" si="277"/>
        <v/>
      </c>
      <c r="T2124" s="14"/>
      <c r="U2124" s="14"/>
      <c r="V2124" s="14"/>
      <c r="W2124" s="14"/>
      <c r="X2124" s="14"/>
      <c r="Z2124" s="14"/>
      <c r="AA2124" s="2">
        <f t="shared" si="273"/>
        <v>3</v>
      </c>
      <c r="AB2124" s="153"/>
      <c r="AC2124" s="454" t="str">
        <f t="shared" si="274"/>
        <v/>
      </c>
    </row>
    <row r="2125" spans="1:29" x14ac:dyDescent="0.35">
      <c r="A2125" s="111" t="str">
        <f t="shared" si="275"/>
        <v/>
      </c>
      <c r="B2125" s="222"/>
      <c r="C2125" s="14"/>
      <c r="D2125" s="14"/>
      <c r="E2125" s="14"/>
      <c r="F2125" s="14"/>
      <c r="G2125" s="14" t="s">
        <v>1911</v>
      </c>
      <c r="H2125" s="14"/>
      <c r="I2125" s="176"/>
      <c r="K2125" s="87"/>
      <c r="L2125" s="14"/>
      <c r="M2125" s="324">
        <f t="shared" si="272"/>
        <v>0</v>
      </c>
      <c r="N2125" s="14"/>
      <c r="O2125" s="14"/>
      <c r="P2125" s="167"/>
      <c r="Q2125" s="14"/>
      <c r="R2125" s="170">
        <f t="shared" si="276"/>
        <v>0</v>
      </c>
      <c r="S2125" s="108" t="str">
        <f t="shared" si="277"/>
        <v/>
      </c>
      <c r="T2125" s="14"/>
      <c r="U2125" s="14"/>
      <c r="V2125" s="14"/>
      <c r="W2125" s="14"/>
      <c r="X2125" s="14"/>
      <c r="Z2125" s="14"/>
      <c r="AA2125" s="2">
        <f t="shared" si="273"/>
        <v>3</v>
      </c>
      <c r="AB2125" s="153"/>
      <c r="AC2125" s="454" t="str">
        <f t="shared" si="274"/>
        <v/>
      </c>
    </row>
    <row r="2126" spans="1:29" x14ac:dyDescent="0.35">
      <c r="A2126" s="111" t="str">
        <f t="shared" si="275"/>
        <v/>
      </c>
      <c r="B2126" s="222"/>
      <c r="C2126" s="14"/>
      <c r="D2126" s="14"/>
      <c r="E2126" s="14"/>
      <c r="F2126" s="14"/>
      <c r="G2126" s="14" t="s">
        <v>1911</v>
      </c>
      <c r="H2126" s="14"/>
      <c r="I2126" s="176"/>
      <c r="K2126" s="87"/>
      <c r="L2126" s="14"/>
      <c r="M2126" s="324">
        <f t="shared" si="272"/>
        <v>0</v>
      </c>
      <c r="N2126" s="14"/>
      <c r="O2126" s="14"/>
      <c r="P2126" s="167"/>
      <c r="Q2126" s="14"/>
      <c r="R2126" s="170">
        <f t="shared" si="276"/>
        <v>0</v>
      </c>
      <c r="S2126" s="108" t="str">
        <f t="shared" si="277"/>
        <v/>
      </c>
      <c r="T2126" s="14"/>
      <c r="U2126" s="14"/>
      <c r="V2126" s="14"/>
      <c r="W2126" s="14"/>
      <c r="X2126" s="14"/>
      <c r="Z2126" s="14"/>
      <c r="AA2126" s="2">
        <f t="shared" si="273"/>
        <v>3</v>
      </c>
      <c r="AB2126" s="153"/>
      <c r="AC2126" s="454" t="str">
        <f t="shared" si="274"/>
        <v/>
      </c>
    </row>
    <row r="2127" spans="1:29" x14ac:dyDescent="0.35">
      <c r="A2127" s="111" t="str">
        <f t="shared" si="275"/>
        <v/>
      </c>
      <c r="B2127" s="222"/>
      <c r="C2127" s="14"/>
      <c r="D2127" s="14"/>
      <c r="E2127" s="14"/>
      <c r="F2127" s="14"/>
      <c r="G2127" s="14" t="s">
        <v>1911</v>
      </c>
      <c r="H2127" s="14"/>
      <c r="I2127" s="176"/>
      <c r="K2127" s="87"/>
      <c r="L2127" s="14"/>
      <c r="M2127" s="324">
        <f t="shared" si="272"/>
        <v>0</v>
      </c>
      <c r="N2127" s="14"/>
      <c r="O2127" s="14"/>
      <c r="P2127" s="167"/>
      <c r="Q2127" s="14"/>
      <c r="R2127" s="170">
        <f t="shared" si="276"/>
        <v>0</v>
      </c>
      <c r="S2127" s="108" t="str">
        <f t="shared" si="277"/>
        <v/>
      </c>
      <c r="T2127" s="14"/>
      <c r="U2127" s="14"/>
      <c r="V2127" s="14"/>
      <c r="W2127" s="14"/>
      <c r="X2127" s="14"/>
      <c r="Z2127" s="14"/>
      <c r="AA2127" s="2">
        <f t="shared" si="273"/>
        <v>3</v>
      </c>
      <c r="AB2127" s="153"/>
      <c r="AC2127" s="454" t="str">
        <f t="shared" si="274"/>
        <v/>
      </c>
    </row>
    <row r="2128" spans="1:29" x14ac:dyDescent="0.35">
      <c r="A2128" s="111" t="str">
        <f t="shared" si="275"/>
        <v/>
      </c>
      <c r="B2128" s="222"/>
      <c r="C2128" s="14"/>
      <c r="D2128" s="14"/>
      <c r="E2128" s="14"/>
      <c r="F2128" s="14"/>
      <c r="G2128" s="14" t="s">
        <v>1911</v>
      </c>
      <c r="H2128" s="14"/>
      <c r="I2128" s="176"/>
      <c r="K2128" s="87"/>
      <c r="L2128" s="14"/>
      <c r="M2128" s="324">
        <f t="shared" si="272"/>
        <v>0</v>
      </c>
      <c r="N2128" s="14"/>
      <c r="O2128" s="14"/>
      <c r="P2128" s="167"/>
      <c r="Q2128" s="14"/>
      <c r="R2128" s="170">
        <f t="shared" si="276"/>
        <v>0</v>
      </c>
      <c r="S2128" s="108" t="str">
        <f t="shared" si="277"/>
        <v/>
      </c>
      <c r="T2128" s="14"/>
      <c r="U2128" s="14"/>
      <c r="V2128" s="14"/>
      <c r="W2128" s="14"/>
      <c r="X2128" s="14"/>
      <c r="Z2128" s="14"/>
      <c r="AA2128" s="2">
        <f t="shared" si="273"/>
        <v>3</v>
      </c>
      <c r="AB2128" s="153"/>
      <c r="AC2128" s="454" t="str">
        <f t="shared" si="274"/>
        <v/>
      </c>
    </row>
    <row r="2129" spans="1:29" x14ac:dyDescent="0.35">
      <c r="A2129" s="111" t="str">
        <f t="shared" si="275"/>
        <v/>
      </c>
      <c r="B2129" s="222"/>
      <c r="C2129" s="14"/>
      <c r="D2129" s="14"/>
      <c r="E2129" s="14"/>
      <c r="F2129" s="14"/>
      <c r="G2129" s="14" t="s">
        <v>1911</v>
      </c>
      <c r="H2129" s="14"/>
      <c r="I2129" s="176"/>
      <c r="K2129" s="87"/>
      <c r="L2129" s="14"/>
      <c r="M2129" s="324">
        <f t="shared" si="272"/>
        <v>0</v>
      </c>
      <c r="N2129" s="14"/>
      <c r="O2129" s="14"/>
      <c r="P2129" s="167"/>
      <c r="Q2129" s="14"/>
      <c r="R2129" s="170">
        <f t="shared" si="276"/>
        <v>0</v>
      </c>
      <c r="S2129" s="108" t="str">
        <f t="shared" si="277"/>
        <v/>
      </c>
      <c r="T2129" s="14"/>
      <c r="U2129" s="14"/>
      <c r="V2129" s="14"/>
      <c r="W2129" s="14"/>
      <c r="X2129" s="14"/>
      <c r="Z2129" s="14"/>
      <c r="AA2129" s="2">
        <f t="shared" si="273"/>
        <v>3</v>
      </c>
      <c r="AB2129" s="153"/>
      <c r="AC2129" s="454" t="str">
        <f t="shared" si="274"/>
        <v/>
      </c>
    </row>
    <row r="2130" spans="1:29" x14ac:dyDescent="0.35">
      <c r="A2130" s="111" t="str">
        <f t="shared" si="275"/>
        <v/>
      </c>
      <c r="B2130" s="222"/>
      <c r="C2130" s="14"/>
      <c r="D2130" s="14"/>
      <c r="E2130" s="14"/>
      <c r="F2130" s="14"/>
      <c r="G2130" s="14" t="s">
        <v>1911</v>
      </c>
      <c r="H2130" s="14"/>
      <c r="I2130" s="176"/>
      <c r="K2130" s="87"/>
      <c r="L2130" s="14"/>
      <c r="M2130" s="324">
        <f t="shared" si="272"/>
        <v>0</v>
      </c>
      <c r="N2130" s="14"/>
      <c r="O2130" s="14"/>
      <c r="P2130" s="167"/>
      <c r="Q2130" s="14"/>
      <c r="R2130" s="170">
        <f t="shared" si="276"/>
        <v>0</v>
      </c>
      <c r="S2130" s="108" t="str">
        <f t="shared" si="277"/>
        <v/>
      </c>
      <c r="T2130" s="14"/>
      <c r="U2130" s="14"/>
      <c r="V2130" s="14"/>
      <c r="W2130" s="14"/>
      <c r="X2130" s="14"/>
      <c r="Z2130" s="14"/>
      <c r="AA2130" s="2">
        <f t="shared" si="273"/>
        <v>3</v>
      </c>
      <c r="AB2130" s="153"/>
      <c r="AC2130" s="454" t="str">
        <f t="shared" si="274"/>
        <v/>
      </c>
    </row>
    <row r="2131" spans="1:29" x14ac:dyDescent="0.35">
      <c r="A2131" s="111" t="str">
        <f t="shared" si="275"/>
        <v/>
      </c>
      <c r="B2131" s="222"/>
      <c r="C2131" s="14"/>
      <c r="D2131" s="14"/>
      <c r="E2131" s="14"/>
      <c r="F2131" s="14"/>
      <c r="G2131" s="14" t="s">
        <v>1911</v>
      </c>
      <c r="H2131" s="14"/>
      <c r="I2131" s="176"/>
      <c r="K2131" s="87"/>
      <c r="L2131" s="14"/>
      <c r="M2131" s="324">
        <f t="shared" si="272"/>
        <v>0</v>
      </c>
      <c r="N2131" s="14"/>
      <c r="O2131" s="14"/>
      <c r="P2131" s="167"/>
      <c r="Q2131" s="14"/>
      <c r="R2131" s="170">
        <f t="shared" si="276"/>
        <v>0</v>
      </c>
      <c r="S2131" s="108" t="str">
        <f t="shared" si="277"/>
        <v/>
      </c>
      <c r="T2131" s="14"/>
      <c r="U2131" s="14"/>
      <c r="V2131" s="14"/>
      <c r="W2131" s="14"/>
      <c r="X2131" s="14"/>
      <c r="Z2131" s="14"/>
      <c r="AA2131" s="2">
        <f t="shared" si="273"/>
        <v>3</v>
      </c>
      <c r="AB2131" s="153"/>
      <c r="AC2131" s="454" t="str">
        <f t="shared" si="274"/>
        <v/>
      </c>
    </row>
    <row r="2132" spans="1:29" x14ac:dyDescent="0.35">
      <c r="A2132" s="111" t="str">
        <f t="shared" si="275"/>
        <v/>
      </c>
      <c r="B2132" s="222"/>
      <c r="C2132" s="14"/>
      <c r="D2132" s="14"/>
      <c r="E2132" s="14"/>
      <c r="F2132" s="14"/>
      <c r="G2132" s="14" t="s">
        <v>1911</v>
      </c>
      <c r="H2132" s="14"/>
      <c r="I2132" s="176"/>
      <c r="K2132" s="87"/>
      <c r="L2132" s="14"/>
      <c r="M2132" s="324">
        <f t="shared" ref="M2132:M2195" si="278">IF(I2132="Staff Accident","Entry Required",IF(I2132="Assaults","Entry Required",0))</f>
        <v>0</v>
      </c>
      <c r="N2132" s="14"/>
      <c r="O2132" s="14"/>
      <c r="P2132" s="167"/>
      <c r="Q2132" s="14"/>
      <c r="R2132" s="170">
        <f t="shared" si="276"/>
        <v>0</v>
      </c>
      <c r="S2132" s="108" t="str">
        <f t="shared" si="277"/>
        <v/>
      </c>
      <c r="T2132" s="14"/>
      <c r="U2132" s="14"/>
      <c r="V2132" s="14"/>
      <c r="W2132" s="14"/>
      <c r="X2132" s="14"/>
      <c r="Z2132" s="14"/>
      <c r="AA2132" s="2">
        <f t="shared" si="273"/>
        <v>3</v>
      </c>
      <c r="AB2132" s="153"/>
      <c r="AC2132" s="454" t="str">
        <f t="shared" si="274"/>
        <v/>
      </c>
    </row>
    <row r="2133" spans="1:29" x14ac:dyDescent="0.35">
      <c r="A2133" s="111" t="str">
        <f t="shared" si="275"/>
        <v/>
      </c>
      <c r="B2133" s="222"/>
      <c r="C2133" s="14"/>
      <c r="D2133" s="14"/>
      <c r="E2133" s="14"/>
      <c r="F2133" s="14"/>
      <c r="G2133" s="14" t="s">
        <v>1911</v>
      </c>
      <c r="H2133" s="14"/>
      <c r="I2133" s="176"/>
      <c r="K2133" s="87"/>
      <c r="L2133" s="14"/>
      <c r="M2133" s="324">
        <f t="shared" si="278"/>
        <v>0</v>
      </c>
      <c r="N2133" s="14"/>
      <c r="O2133" s="14"/>
      <c r="P2133" s="167"/>
      <c r="Q2133" s="14"/>
      <c r="R2133" s="170">
        <f t="shared" si="276"/>
        <v>0</v>
      </c>
      <c r="S2133" s="108" t="str">
        <f t="shared" si="277"/>
        <v/>
      </c>
      <c r="T2133" s="14"/>
      <c r="U2133" s="14"/>
      <c r="V2133" s="14"/>
      <c r="W2133" s="14"/>
      <c r="X2133" s="14"/>
      <c r="Z2133" s="14"/>
      <c r="AA2133" s="2">
        <f t="shared" si="273"/>
        <v>3</v>
      </c>
      <c r="AB2133" s="153"/>
      <c r="AC2133" s="454" t="str">
        <f t="shared" si="274"/>
        <v/>
      </c>
    </row>
    <row r="2134" spans="1:29" x14ac:dyDescent="0.35">
      <c r="A2134" s="111" t="str">
        <f t="shared" si="275"/>
        <v/>
      </c>
      <c r="B2134" s="222"/>
      <c r="C2134" s="14"/>
      <c r="D2134" s="14"/>
      <c r="E2134" s="14"/>
      <c r="F2134" s="14"/>
      <c r="G2134" s="14" t="s">
        <v>1911</v>
      </c>
      <c r="H2134" s="14"/>
      <c r="I2134" s="176"/>
      <c r="K2134" s="87"/>
      <c r="L2134" s="14"/>
      <c r="M2134" s="324">
        <f t="shared" si="278"/>
        <v>0</v>
      </c>
      <c r="N2134" s="14"/>
      <c r="O2134" s="14"/>
      <c r="P2134" s="167"/>
      <c r="Q2134" s="14"/>
      <c r="R2134" s="170">
        <f t="shared" si="276"/>
        <v>0</v>
      </c>
      <c r="S2134" s="108" t="str">
        <f t="shared" si="277"/>
        <v/>
      </c>
      <c r="T2134" s="14"/>
      <c r="U2134" s="14"/>
      <c r="V2134" s="14"/>
      <c r="W2134" s="14"/>
      <c r="X2134" s="14"/>
      <c r="Z2134" s="14"/>
      <c r="AA2134" s="2">
        <f t="shared" ref="AA2134:AA2197" si="279">IF(B2134="",3,IF(S2134&lt;$A$1,1,0))</f>
        <v>3</v>
      </c>
      <c r="AB2134" s="153"/>
      <c r="AC2134" s="454" t="str">
        <f t="shared" si="274"/>
        <v/>
      </c>
    </row>
    <row r="2135" spans="1:29" x14ac:dyDescent="0.35">
      <c r="A2135" s="111" t="str">
        <f t="shared" si="275"/>
        <v/>
      </c>
      <c r="B2135" s="222"/>
      <c r="C2135" s="14"/>
      <c r="D2135" s="14"/>
      <c r="E2135" s="14"/>
      <c r="F2135" s="14"/>
      <c r="G2135" s="14" t="s">
        <v>1911</v>
      </c>
      <c r="H2135" s="14"/>
      <c r="I2135" s="176"/>
      <c r="K2135" s="87"/>
      <c r="L2135" s="14"/>
      <c r="M2135" s="324">
        <f t="shared" si="278"/>
        <v>0</v>
      </c>
      <c r="N2135" s="14"/>
      <c r="O2135" s="14"/>
      <c r="P2135" s="167"/>
      <c r="Q2135" s="14"/>
      <c r="R2135" s="170">
        <f t="shared" si="276"/>
        <v>0</v>
      </c>
      <c r="S2135" s="108" t="str">
        <f t="shared" si="277"/>
        <v/>
      </c>
      <c r="T2135" s="14"/>
      <c r="U2135" s="14"/>
      <c r="V2135" s="14"/>
      <c r="W2135" s="14"/>
      <c r="X2135" s="14"/>
      <c r="Z2135" s="14"/>
      <c r="AA2135" s="2">
        <f t="shared" si="279"/>
        <v>3</v>
      </c>
      <c r="AB2135" s="153"/>
      <c r="AC2135" s="454" t="str">
        <f t="shared" si="274"/>
        <v/>
      </c>
    </row>
    <row r="2136" spans="1:29" x14ac:dyDescent="0.35">
      <c r="A2136" s="111" t="str">
        <f t="shared" si="275"/>
        <v/>
      </c>
      <c r="B2136" s="222"/>
      <c r="C2136" s="14"/>
      <c r="D2136" s="14"/>
      <c r="E2136" s="14"/>
      <c r="F2136" s="14"/>
      <c r="G2136" s="14" t="s">
        <v>1911</v>
      </c>
      <c r="H2136" s="14"/>
      <c r="I2136" s="176"/>
      <c r="K2136" s="87"/>
      <c r="L2136" s="14"/>
      <c r="M2136" s="324">
        <f t="shared" si="278"/>
        <v>0</v>
      </c>
      <c r="N2136" s="14"/>
      <c r="O2136" s="14"/>
      <c r="P2136" s="167"/>
      <c r="Q2136" s="14"/>
      <c r="R2136" s="170">
        <f t="shared" si="276"/>
        <v>0</v>
      </c>
      <c r="S2136" s="108" t="str">
        <f t="shared" si="277"/>
        <v/>
      </c>
      <c r="T2136" s="14"/>
      <c r="U2136" s="14"/>
      <c r="V2136" s="14"/>
      <c r="W2136" s="14"/>
      <c r="X2136" s="14"/>
      <c r="Z2136" s="14"/>
      <c r="AA2136" s="2">
        <f t="shared" si="279"/>
        <v>3</v>
      </c>
      <c r="AB2136" s="153"/>
      <c r="AC2136" s="454" t="str">
        <f t="shared" si="274"/>
        <v/>
      </c>
    </row>
    <row r="2137" spans="1:29" x14ac:dyDescent="0.35">
      <c r="A2137" s="111" t="str">
        <f t="shared" si="275"/>
        <v/>
      </c>
      <c r="B2137" s="222"/>
      <c r="C2137" s="14"/>
      <c r="D2137" s="14"/>
      <c r="E2137" s="14"/>
      <c r="F2137" s="14"/>
      <c r="G2137" s="14" t="s">
        <v>1911</v>
      </c>
      <c r="H2137" s="14"/>
      <c r="I2137" s="176"/>
      <c r="K2137" s="87"/>
      <c r="L2137" s="14"/>
      <c r="M2137" s="324">
        <f t="shared" si="278"/>
        <v>0</v>
      </c>
      <c r="N2137" s="14"/>
      <c r="O2137" s="14"/>
      <c r="P2137" s="167"/>
      <c r="Q2137" s="14"/>
      <c r="R2137" s="170">
        <f t="shared" si="276"/>
        <v>0</v>
      </c>
      <c r="S2137" s="108" t="str">
        <f t="shared" si="277"/>
        <v/>
      </c>
      <c r="T2137" s="14"/>
      <c r="U2137" s="14"/>
      <c r="V2137" s="14"/>
      <c r="W2137" s="14"/>
      <c r="X2137" s="14"/>
      <c r="Z2137" s="14"/>
      <c r="AA2137" s="2">
        <f t="shared" si="279"/>
        <v>3</v>
      </c>
      <c r="AB2137" s="153"/>
      <c r="AC2137" s="454" t="str">
        <f t="shared" si="274"/>
        <v/>
      </c>
    </row>
    <row r="2138" spans="1:29" x14ac:dyDescent="0.35">
      <c r="A2138" s="111" t="str">
        <f t="shared" si="275"/>
        <v/>
      </c>
      <c r="B2138" s="222"/>
      <c r="C2138" s="14"/>
      <c r="D2138" s="14"/>
      <c r="E2138" s="14"/>
      <c r="F2138" s="14"/>
      <c r="G2138" s="14" t="s">
        <v>1911</v>
      </c>
      <c r="H2138" s="14"/>
      <c r="I2138" s="176"/>
      <c r="K2138" s="87"/>
      <c r="L2138" s="14"/>
      <c r="M2138" s="324">
        <f t="shared" si="278"/>
        <v>0</v>
      </c>
      <c r="N2138" s="14"/>
      <c r="O2138" s="14"/>
      <c r="P2138" s="167"/>
      <c r="Q2138" s="14"/>
      <c r="R2138" s="170">
        <f t="shared" si="276"/>
        <v>0</v>
      </c>
      <c r="S2138" s="108" t="str">
        <f t="shared" si="277"/>
        <v/>
      </c>
      <c r="T2138" s="14"/>
      <c r="U2138" s="14"/>
      <c r="V2138" s="14"/>
      <c r="W2138" s="14"/>
      <c r="X2138" s="14"/>
      <c r="Z2138" s="14"/>
      <c r="AA2138" s="2">
        <f t="shared" si="279"/>
        <v>3</v>
      </c>
      <c r="AB2138" s="153"/>
      <c r="AC2138" s="454" t="str">
        <f t="shared" ref="AC2138:AC2201" si="280">LEFT(H2138,1)</f>
        <v/>
      </c>
    </row>
    <row r="2139" spans="1:29" x14ac:dyDescent="0.35">
      <c r="A2139" s="111" t="str">
        <f t="shared" si="275"/>
        <v/>
      </c>
      <c r="B2139" s="222"/>
      <c r="C2139" s="14"/>
      <c r="D2139" s="14"/>
      <c r="E2139" s="14"/>
      <c r="F2139" s="14"/>
      <c r="G2139" s="14" t="s">
        <v>1911</v>
      </c>
      <c r="H2139" s="14"/>
      <c r="I2139" s="176"/>
      <c r="K2139" s="87"/>
      <c r="L2139" s="14"/>
      <c r="M2139" s="324">
        <f t="shared" si="278"/>
        <v>0</v>
      </c>
      <c r="N2139" s="14"/>
      <c r="O2139" s="14"/>
      <c r="P2139" s="167"/>
      <c r="Q2139" s="14"/>
      <c r="R2139" s="170">
        <f t="shared" si="276"/>
        <v>0</v>
      </c>
      <c r="S2139" s="108" t="str">
        <f t="shared" si="277"/>
        <v/>
      </c>
      <c r="T2139" s="14"/>
      <c r="U2139" s="14"/>
      <c r="V2139" s="14"/>
      <c r="W2139" s="14"/>
      <c r="X2139" s="14"/>
      <c r="Z2139" s="14"/>
      <c r="AA2139" s="2">
        <f t="shared" si="279"/>
        <v>3</v>
      </c>
      <c r="AB2139" s="153"/>
      <c r="AC2139" s="454" t="str">
        <f t="shared" si="280"/>
        <v/>
      </c>
    </row>
    <row r="2140" spans="1:29" x14ac:dyDescent="0.35">
      <c r="A2140" s="111" t="str">
        <f t="shared" si="275"/>
        <v/>
      </c>
      <c r="B2140" s="222"/>
      <c r="C2140" s="14"/>
      <c r="D2140" s="14"/>
      <c r="E2140" s="14"/>
      <c r="F2140" s="14"/>
      <c r="G2140" s="14" t="s">
        <v>1911</v>
      </c>
      <c r="H2140" s="14"/>
      <c r="I2140" s="176"/>
      <c r="K2140" s="87"/>
      <c r="L2140" s="14"/>
      <c r="M2140" s="324">
        <f t="shared" si="278"/>
        <v>0</v>
      </c>
      <c r="N2140" s="14"/>
      <c r="O2140" s="14"/>
      <c r="P2140" s="167"/>
      <c r="Q2140" s="14"/>
      <c r="R2140" s="170">
        <f t="shared" si="276"/>
        <v>0</v>
      </c>
      <c r="S2140" s="108" t="str">
        <f t="shared" si="277"/>
        <v/>
      </c>
      <c r="T2140" s="14"/>
      <c r="U2140" s="14"/>
      <c r="V2140" s="14"/>
      <c r="W2140" s="14"/>
      <c r="X2140" s="14"/>
      <c r="Z2140" s="14"/>
      <c r="AA2140" s="2">
        <f t="shared" si="279"/>
        <v>3</v>
      </c>
      <c r="AB2140" s="153"/>
      <c r="AC2140" s="454" t="str">
        <f t="shared" si="280"/>
        <v/>
      </c>
    </row>
    <row r="2141" spans="1:29" x14ac:dyDescent="0.35">
      <c r="A2141" s="111" t="str">
        <f t="shared" si="275"/>
        <v/>
      </c>
      <c r="B2141" s="222"/>
      <c r="C2141" s="14"/>
      <c r="D2141" s="14"/>
      <c r="E2141" s="14"/>
      <c r="F2141" s="14"/>
      <c r="G2141" s="14" t="s">
        <v>1911</v>
      </c>
      <c r="H2141" s="14"/>
      <c r="I2141" s="176"/>
      <c r="K2141" s="87"/>
      <c r="L2141" s="14"/>
      <c r="M2141" s="324">
        <f t="shared" si="278"/>
        <v>0</v>
      </c>
      <c r="N2141" s="14"/>
      <c r="O2141" s="14"/>
      <c r="P2141" s="167"/>
      <c r="Q2141" s="14"/>
      <c r="R2141" s="170">
        <f t="shared" si="276"/>
        <v>0</v>
      </c>
      <c r="S2141" s="108" t="str">
        <f t="shared" si="277"/>
        <v/>
      </c>
      <c r="T2141" s="14"/>
      <c r="U2141" s="14"/>
      <c r="V2141" s="14"/>
      <c r="W2141" s="14"/>
      <c r="X2141" s="14"/>
      <c r="Z2141" s="14"/>
      <c r="AA2141" s="2">
        <f t="shared" si="279"/>
        <v>3</v>
      </c>
      <c r="AB2141" s="153"/>
      <c r="AC2141" s="454" t="str">
        <f t="shared" si="280"/>
        <v/>
      </c>
    </row>
    <row r="2142" spans="1:29" x14ac:dyDescent="0.35">
      <c r="A2142" s="111" t="str">
        <f t="shared" si="275"/>
        <v/>
      </c>
      <c r="B2142" s="222"/>
      <c r="C2142" s="14"/>
      <c r="D2142" s="14"/>
      <c r="E2142" s="14"/>
      <c r="F2142" s="14"/>
      <c r="G2142" s="14" t="s">
        <v>1911</v>
      </c>
      <c r="H2142" s="14"/>
      <c r="I2142" s="176"/>
      <c r="K2142" s="87"/>
      <c r="L2142" s="14"/>
      <c r="M2142" s="324">
        <f t="shared" si="278"/>
        <v>0</v>
      </c>
      <c r="N2142" s="14"/>
      <c r="O2142" s="14"/>
      <c r="P2142" s="167"/>
      <c r="Q2142" s="14"/>
      <c r="R2142" s="170">
        <f t="shared" si="276"/>
        <v>0</v>
      </c>
      <c r="S2142" s="108" t="str">
        <f t="shared" si="277"/>
        <v/>
      </c>
      <c r="T2142" s="14"/>
      <c r="U2142" s="14"/>
      <c r="V2142" s="14"/>
      <c r="W2142" s="14"/>
      <c r="X2142" s="14"/>
      <c r="Z2142" s="14"/>
      <c r="AA2142" s="2">
        <f t="shared" si="279"/>
        <v>3</v>
      </c>
      <c r="AB2142" s="153"/>
      <c r="AC2142" s="454" t="str">
        <f t="shared" si="280"/>
        <v/>
      </c>
    </row>
    <row r="2143" spans="1:29" x14ac:dyDescent="0.35">
      <c r="A2143" s="111" t="str">
        <f t="shared" ref="A2143:A2206" si="281">IF(T2143&gt;1,"Closed",IF(AA2143=1,"Overdue",IF(AA2143=3,"","Open")))</f>
        <v/>
      </c>
      <c r="B2143" s="222"/>
      <c r="C2143" s="14"/>
      <c r="D2143" s="14"/>
      <c r="E2143" s="14"/>
      <c r="F2143" s="14"/>
      <c r="G2143" s="14" t="s">
        <v>1911</v>
      </c>
      <c r="H2143" s="14"/>
      <c r="I2143" s="176"/>
      <c r="K2143" s="87"/>
      <c r="L2143" s="14"/>
      <c r="M2143" s="324">
        <f t="shared" si="278"/>
        <v>0</v>
      </c>
      <c r="N2143" s="14"/>
      <c r="O2143" s="14"/>
      <c r="P2143" s="167"/>
      <c r="Q2143" s="14"/>
      <c r="R2143" s="170">
        <f t="shared" si="276"/>
        <v>0</v>
      </c>
      <c r="S2143" s="108" t="str">
        <f t="shared" si="277"/>
        <v/>
      </c>
      <c r="T2143" s="14"/>
      <c r="U2143" s="14"/>
      <c r="V2143" s="14"/>
      <c r="W2143" s="14"/>
      <c r="X2143" s="14"/>
      <c r="Z2143" s="14"/>
      <c r="AA2143" s="2">
        <f t="shared" si="279"/>
        <v>3</v>
      </c>
      <c r="AB2143" s="153"/>
      <c r="AC2143" s="454" t="str">
        <f t="shared" si="280"/>
        <v/>
      </c>
    </row>
    <row r="2144" spans="1:29" x14ac:dyDescent="0.35">
      <c r="A2144" s="111" t="str">
        <f t="shared" si="281"/>
        <v/>
      </c>
      <c r="B2144" s="222"/>
      <c r="C2144" s="14"/>
      <c r="D2144" s="14"/>
      <c r="E2144" s="14"/>
      <c r="F2144" s="14"/>
      <c r="G2144" s="14" t="s">
        <v>1911</v>
      </c>
      <c r="H2144" s="14"/>
      <c r="I2144" s="176"/>
      <c r="K2144" s="87"/>
      <c r="L2144" s="14"/>
      <c r="M2144" s="324">
        <f t="shared" si="278"/>
        <v>0</v>
      </c>
      <c r="N2144" s="14"/>
      <c r="O2144" s="14"/>
      <c r="P2144" s="167"/>
      <c r="Q2144" s="14"/>
      <c r="R2144" s="170">
        <f t="shared" si="276"/>
        <v>0</v>
      </c>
      <c r="S2144" s="108" t="str">
        <f t="shared" si="277"/>
        <v/>
      </c>
      <c r="T2144" s="14"/>
      <c r="U2144" s="14"/>
      <c r="V2144" s="14"/>
      <c r="W2144" s="14"/>
      <c r="X2144" s="14"/>
      <c r="Z2144" s="14"/>
      <c r="AA2144" s="2">
        <f t="shared" si="279"/>
        <v>3</v>
      </c>
      <c r="AB2144" s="153"/>
      <c r="AC2144" s="454" t="str">
        <f t="shared" si="280"/>
        <v/>
      </c>
    </row>
    <row r="2145" spans="1:29" x14ac:dyDescent="0.35">
      <c r="A2145" s="111" t="str">
        <f t="shared" si="281"/>
        <v/>
      </c>
      <c r="B2145" s="222"/>
      <c r="C2145" s="14"/>
      <c r="D2145" s="14"/>
      <c r="E2145" s="14"/>
      <c r="F2145" s="14"/>
      <c r="G2145" s="14" t="s">
        <v>1911</v>
      </c>
      <c r="H2145" s="14"/>
      <c r="I2145" s="176"/>
      <c r="K2145" s="87"/>
      <c r="L2145" s="14"/>
      <c r="M2145" s="324">
        <f t="shared" si="278"/>
        <v>0</v>
      </c>
      <c r="N2145" s="14"/>
      <c r="O2145" s="14"/>
      <c r="P2145" s="167"/>
      <c r="Q2145" s="14"/>
      <c r="R2145" s="170">
        <f t="shared" si="276"/>
        <v>0</v>
      </c>
      <c r="S2145" s="108" t="str">
        <f t="shared" si="277"/>
        <v/>
      </c>
      <c r="T2145" s="14"/>
      <c r="U2145" s="14"/>
      <c r="V2145" s="14"/>
      <c r="W2145" s="14"/>
      <c r="X2145" s="14"/>
      <c r="Z2145" s="14"/>
      <c r="AA2145" s="2">
        <f t="shared" si="279"/>
        <v>3</v>
      </c>
      <c r="AB2145" s="153"/>
      <c r="AC2145" s="454" t="str">
        <f t="shared" si="280"/>
        <v/>
      </c>
    </row>
    <row r="2146" spans="1:29" x14ac:dyDescent="0.35">
      <c r="A2146" s="111" t="str">
        <f t="shared" si="281"/>
        <v/>
      </c>
      <c r="B2146" s="222"/>
      <c r="C2146" s="14"/>
      <c r="D2146" s="14"/>
      <c r="E2146" s="14"/>
      <c r="F2146" s="14"/>
      <c r="G2146" s="14" t="s">
        <v>1911</v>
      </c>
      <c r="H2146" s="14"/>
      <c r="I2146" s="176"/>
      <c r="K2146" s="87"/>
      <c r="L2146" s="14"/>
      <c r="M2146" s="324">
        <f t="shared" si="278"/>
        <v>0</v>
      </c>
      <c r="N2146" s="14"/>
      <c r="O2146" s="14"/>
      <c r="P2146" s="167"/>
      <c r="Q2146" s="14"/>
      <c r="R2146" s="170">
        <f t="shared" si="276"/>
        <v>0</v>
      </c>
      <c r="S2146" s="108" t="str">
        <f t="shared" si="277"/>
        <v/>
      </c>
      <c r="T2146" s="14"/>
      <c r="U2146" s="14"/>
      <c r="V2146" s="14"/>
      <c r="W2146" s="14"/>
      <c r="X2146" s="14"/>
      <c r="Z2146" s="14"/>
      <c r="AA2146" s="2">
        <f t="shared" si="279"/>
        <v>3</v>
      </c>
      <c r="AB2146" s="153"/>
      <c r="AC2146" s="454" t="str">
        <f t="shared" si="280"/>
        <v/>
      </c>
    </row>
    <row r="2147" spans="1:29" x14ac:dyDescent="0.35">
      <c r="A2147" s="111" t="str">
        <f t="shared" si="281"/>
        <v/>
      </c>
      <c r="B2147" s="222"/>
      <c r="C2147" s="14"/>
      <c r="D2147" s="14"/>
      <c r="E2147" s="14"/>
      <c r="F2147" s="14"/>
      <c r="G2147" s="14" t="s">
        <v>1911</v>
      </c>
      <c r="H2147" s="14"/>
      <c r="I2147" s="176"/>
      <c r="K2147" s="87"/>
      <c r="L2147" s="14"/>
      <c r="M2147" s="324">
        <f t="shared" si="278"/>
        <v>0</v>
      </c>
      <c r="N2147" s="14"/>
      <c r="O2147" s="14"/>
      <c r="P2147" s="167"/>
      <c r="Q2147" s="14"/>
      <c r="R2147" s="170">
        <f t="shared" si="276"/>
        <v>0</v>
      </c>
      <c r="S2147" s="108" t="str">
        <f t="shared" si="277"/>
        <v/>
      </c>
      <c r="T2147" s="14"/>
      <c r="U2147" s="14"/>
      <c r="V2147" s="14"/>
      <c r="W2147" s="14"/>
      <c r="X2147" s="14"/>
      <c r="Z2147" s="14"/>
      <c r="AA2147" s="2">
        <f t="shared" si="279"/>
        <v>3</v>
      </c>
      <c r="AB2147" s="153"/>
      <c r="AC2147" s="454" t="str">
        <f t="shared" si="280"/>
        <v/>
      </c>
    </row>
    <row r="2148" spans="1:29" x14ac:dyDescent="0.35">
      <c r="A2148" s="111" t="str">
        <f t="shared" si="281"/>
        <v/>
      </c>
      <c r="B2148" s="222"/>
      <c r="C2148" s="14"/>
      <c r="D2148" s="14"/>
      <c r="E2148" s="14"/>
      <c r="F2148" s="14"/>
      <c r="G2148" s="14" t="s">
        <v>1911</v>
      </c>
      <c r="H2148" s="14"/>
      <c r="I2148" s="176"/>
      <c r="K2148" s="87"/>
      <c r="L2148" s="14"/>
      <c r="M2148" s="324">
        <f t="shared" si="278"/>
        <v>0</v>
      </c>
      <c r="N2148" s="14"/>
      <c r="O2148" s="14"/>
      <c r="P2148" s="167"/>
      <c r="Q2148" s="14"/>
      <c r="R2148" s="170">
        <f t="shared" si="276"/>
        <v>0</v>
      </c>
      <c r="S2148" s="108" t="str">
        <f t="shared" si="277"/>
        <v/>
      </c>
      <c r="T2148" s="14"/>
      <c r="U2148" s="14"/>
      <c r="V2148" s="14"/>
      <c r="W2148" s="14"/>
      <c r="X2148" s="14"/>
      <c r="Z2148" s="14"/>
      <c r="AA2148" s="2">
        <f t="shared" si="279"/>
        <v>3</v>
      </c>
      <c r="AB2148" s="153"/>
      <c r="AC2148" s="454" t="str">
        <f t="shared" si="280"/>
        <v/>
      </c>
    </row>
    <row r="2149" spans="1:29" x14ac:dyDescent="0.35">
      <c r="A2149" s="111" t="str">
        <f t="shared" si="281"/>
        <v/>
      </c>
      <c r="B2149" s="222"/>
      <c r="C2149" s="14"/>
      <c r="D2149" s="14"/>
      <c r="E2149" s="14"/>
      <c r="F2149" s="14"/>
      <c r="G2149" s="14" t="s">
        <v>1911</v>
      </c>
      <c r="H2149" s="14"/>
      <c r="I2149" s="176"/>
      <c r="K2149" s="87"/>
      <c r="L2149" s="14"/>
      <c r="M2149" s="324">
        <f t="shared" si="278"/>
        <v>0</v>
      </c>
      <c r="N2149" s="14"/>
      <c r="O2149" s="14"/>
      <c r="P2149" s="167"/>
      <c r="Q2149" s="14"/>
      <c r="R2149" s="170">
        <f t="shared" si="276"/>
        <v>0</v>
      </c>
      <c r="S2149" s="108" t="str">
        <f t="shared" si="277"/>
        <v/>
      </c>
      <c r="T2149" s="14"/>
      <c r="U2149" s="14"/>
      <c r="V2149" s="14"/>
      <c r="W2149" s="14"/>
      <c r="X2149" s="14"/>
      <c r="Z2149" s="14"/>
      <c r="AA2149" s="2">
        <f t="shared" si="279"/>
        <v>3</v>
      </c>
      <c r="AB2149" s="153"/>
      <c r="AC2149" s="454" t="str">
        <f t="shared" si="280"/>
        <v/>
      </c>
    </row>
    <row r="2150" spans="1:29" x14ac:dyDescent="0.35">
      <c r="A2150" s="111" t="str">
        <f t="shared" si="281"/>
        <v/>
      </c>
      <c r="B2150" s="222"/>
      <c r="C2150" s="14"/>
      <c r="D2150" s="14"/>
      <c r="E2150" s="14"/>
      <c r="F2150" s="14"/>
      <c r="G2150" s="14" t="s">
        <v>1911</v>
      </c>
      <c r="H2150" s="14"/>
      <c r="I2150" s="176"/>
      <c r="K2150" s="87"/>
      <c r="L2150" s="14"/>
      <c r="M2150" s="324">
        <f t="shared" si="278"/>
        <v>0</v>
      </c>
      <c r="N2150" s="14"/>
      <c r="O2150" s="14"/>
      <c r="P2150" s="167"/>
      <c r="Q2150" s="14"/>
      <c r="R2150" s="170">
        <f t="shared" si="276"/>
        <v>0</v>
      </c>
      <c r="S2150" s="108" t="str">
        <f t="shared" si="277"/>
        <v/>
      </c>
      <c r="T2150" s="14"/>
      <c r="U2150" s="14"/>
      <c r="V2150" s="14"/>
      <c r="W2150" s="14"/>
      <c r="X2150" s="14"/>
      <c r="Z2150" s="14"/>
      <c r="AA2150" s="2">
        <f t="shared" si="279"/>
        <v>3</v>
      </c>
      <c r="AB2150" s="153"/>
      <c r="AC2150" s="454" t="str">
        <f t="shared" si="280"/>
        <v/>
      </c>
    </row>
    <row r="2151" spans="1:29" x14ac:dyDescent="0.35">
      <c r="A2151" s="111" t="str">
        <f t="shared" si="281"/>
        <v/>
      </c>
      <c r="B2151" s="222"/>
      <c r="C2151" s="14"/>
      <c r="D2151" s="14"/>
      <c r="E2151" s="14"/>
      <c r="F2151" s="14"/>
      <c r="G2151" s="14" t="s">
        <v>1911</v>
      </c>
      <c r="H2151" s="14"/>
      <c r="I2151" s="176"/>
      <c r="K2151" s="87"/>
      <c r="L2151" s="14"/>
      <c r="M2151" s="324">
        <f t="shared" si="278"/>
        <v>0</v>
      </c>
      <c r="N2151" s="14"/>
      <c r="O2151" s="14"/>
      <c r="P2151" s="167"/>
      <c r="Q2151" s="14"/>
      <c r="R2151" s="170">
        <f t="shared" si="276"/>
        <v>0</v>
      </c>
      <c r="S2151" s="108" t="str">
        <f t="shared" si="277"/>
        <v/>
      </c>
      <c r="T2151" s="14"/>
      <c r="U2151" s="14"/>
      <c r="V2151" s="14"/>
      <c r="W2151" s="14"/>
      <c r="X2151" s="14"/>
      <c r="Z2151" s="14"/>
      <c r="AA2151" s="2">
        <f t="shared" si="279"/>
        <v>3</v>
      </c>
      <c r="AB2151" s="153"/>
      <c r="AC2151" s="454" t="str">
        <f t="shared" si="280"/>
        <v/>
      </c>
    </row>
    <row r="2152" spans="1:29" x14ac:dyDescent="0.35">
      <c r="A2152" s="111" t="str">
        <f t="shared" si="281"/>
        <v/>
      </c>
      <c r="B2152" s="222"/>
      <c r="C2152" s="14"/>
      <c r="D2152" s="14"/>
      <c r="E2152" s="14"/>
      <c r="F2152" s="14"/>
      <c r="G2152" s="14" t="s">
        <v>1911</v>
      </c>
      <c r="H2152" s="14"/>
      <c r="I2152" s="176"/>
      <c r="K2152" s="87"/>
      <c r="L2152" s="14"/>
      <c r="M2152" s="324">
        <f t="shared" si="278"/>
        <v>0</v>
      </c>
      <c r="N2152" s="14"/>
      <c r="O2152" s="14"/>
      <c r="P2152" s="167"/>
      <c r="Q2152" s="14"/>
      <c r="R2152" s="170">
        <f t="shared" si="276"/>
        <v>0</v>
      </c>
      <c r="S2152" s="108" t="str">
        <f t="shared" si="277"/>
        <v/>
      </c>
      <c r="T2152" s="14"/>
      <c r="U2152" s="14"/>
      <c r="V2152" s="14"/>
      <c r="W2152" s="14"/>
      <c r="X2152" s="14"/>
      <c r="Z2152" s="14"/>
      <c r="AA2152" s="2">
        <f t="shared" si="279"/>
        <v>3</v>
      </c>
      <c r="AB2152" s="153"/>
      <c r="AC2152" s="454" t="str">
        <f t="shared" si="280"/>
        <v/>
      </c>
    </row>
    <row r="2153" spans="1:29" x14ac:dyDescent="0.35">
      <c r="A2153" s="111" t="str">
        <f t="shared" si="281"/>
        <v/>
      </c>
      <c r="B2153" s="222"/>
      <c r="C2153" s="14"/>
      <c r="D2153" s="14"/>
      <c r="E2153" s="14"/>
      <c r="F2153" s="14"/>
      <c r="G2153" s="14" t="s">
        <v>1911</v>
      </c>
      <c r="H2153" s="14"/>
      <c r="I2153" s="176"/>
      <c r="K2153" s="87"/>
      <c r="L2153" s="14"/>
      <c r="M2153" s="324">
        <f t="shared" si="278"/>
        <v>0</v>
      </c>
      <c r="N2153" s="14"/>
      <c r="O2153" s="14"/>
      <c r="P2153" s="167"/>
      <c r="Q2153" s="14"/>
      <c r="R2153" s="170">
        <f t="shared" si="276"/>
        <v>0</v>
      </c>
      <c r="S2153" s="108" t="str">
        <f t="shared" si="277"/>
        <v/>
      </c>
      <c r="T2153" s="14"/>
      <c r="U2153" s="14"/>
      <c r="V2153" s="14"/>
      <c r="W2153" s="14"/>
      <c r="X2153" s="14"/>
      <c r="Z2153" s="14"/>
      <c r="AA2153" s="2">
        <f t="shared" si="279"/>
        <v>3</v>
      </c>
      <c r="AB2153" s="153"/>
      <c r="AC2153" s="454" t="str">
        <f t="shared" si="280"/>
        <v/>
      </c>
    </row>
    <row r="2154" spans="1:29" x14ac:dyDescent="0.35">
      <c r="A2154" s="111" t="str">
        <f t="shared" si="281"/>
        <v/>
      </c>
      <c r="B2154" s="222"/>
      <c r="C2154" s="14"/>
      <c r="D2154" s="14"/>
      <c r="E2154" s="14"/>
      <c r="F2154" s="14"/>
      <c r="G2154" s="14" t="s">
        <v>1911</v>
      </c>
      <c r="H2154" s="14"/>
      <c r="I2154" s="176"/>
      <c r="K2154" s="87"/>
      <c r="L2154" s="14"/>
      <c r="M2154" s="324">
        <f t="shared" si="278"/>
        <v>0</v>
      </c>
      <c r="N2154" s="14"/>
      <c r="O2154" s="14"/>
      <c r="P2154" s="167"/>
      <c r="Q2154" s="14"/>
      <c r="R2154" s="170">
        <f t="shared" si="276"/>
        <v>0</v>
      </c>
      <c r="S2154" s="108" t="str">
        <f t="shared" si="277"/>
        <v/>
      </c>
      <c r="T2154" s="14"/>
      <c r="U2154" s="14"/>
      <c r="V2154" s="14"/>
      <c r="W2154" s="14"/>
      <c r="X2154" s="14"/>
      <c r="Z2154" s="14"/>
      <c r="AA2154" s="2">
        <f t="shared" si="279"/>
        <v>3</v>
      </c>
      <c r="AB2154" s="153"/>
      <c r="AC2154" s="454" t="str">
        <f t="shared" si="280"/>
        <v/>
      </c>
    </row>
    <row r="2155" spans="1:29" x14ac:dyDescent="0.35">
      <c r="A2155" s="111" t="str">
        <f t="shared" si="281"/>
        <v/>
      </c>
      <c r="B2155" s="222"/>
      <c r="C2155" s="14"/>
      <c r="D2155" s="14"/>
      <c r="E2155" s="14"/>
      <c r="F2155" s="14"/>
      <c r="G2155" s="14" t="s">
        <v>1911</v>
      </c>
      <c r="H2155" s="14"/>
      <c r="I2155" s="176"/>
      <c r="K2155" s="87"/>
      <c r="L2155" s="14"/>
      <c r="M2155" s="324">
        <f t="shared" si="278"/>
        <v>0</v>
      </c>
      <c r="N2155" s="14"/>
      <c r="O2155" s="14"/>
      <c r="P2155" s="167"/>
      <c r="Q2155" s="14"/>
      <c r="R2155" s="170">
        <f t="shared" si="276"/>
        <v>0</v>
      </c>
      <c r="S2155" s="108" t="str">
        <f t="shared" si="277"/>
        <v/>
      </c>
      <c r="T2155" s="14"/>
      <c r="U2155" s="14"/>
      <c r="V2155" s="14"/>
      <c r="W2155" s="14"/>
      <c r="X2155" s="14"/>
      <c r="Z2155" s="14"/>
      <c r="AA2155" s="2">
        <f t="shared" si="279"/>
        <v>3</v>
      </c>
      <c r="AB2155" s="153"/>
      <c r="AC2155" s="454" t="str">
        <f t="shared" si="280"/>
        <v/>
      </c>
    </row>
    <row r="2156" spans="1:29" x14ac:dyDescent="0.35">
      <c r="A2156" s="111" t="str">
        <f t="shared" si="281"/>
        <v/>
      </c>
      <c r="B2156" s="222"/>
      <c r="C2156" s="14"/>
      <c r="D2156" s="14"/>
      <c r="E2156" s="14"/>
      <c r="F2156" s="14"/>
      <c r="G2156" s="14" t="s">
        <v>1911</v>
      </c>
      <c r="H2156" s="14"/>
      <c r="I2156" s="176"/>
      <c r="K2156" s="87"/>
      <c r="L2156" s="14"/>
      <c r="M2156" s="324">
        <f t="shared" si="278"/>
        <v>0</v>
      </c>
      <c r="N2156" s="14"/>
      <c r="O2156" s="14"/>
      <c r="P2156" s="167"/>
      <c r="Q2156" s="14"/>
      <c r="R2156" s="170">
        <f t="shared" si="276"/>
        <v>0</v>
      </c>
      <c r="S2156" s="108" t="str">
        <f t="shared" si="277"/>
        <v/>
      </c>
      <c r="T2156" s="14"/>
      <c r="U2156" s="14"/>
      <c r="V2156" s="14"/>
      <c r="W2156" s="14"/>
      <c r="X2156" s="14"/>
      <c r="Z2156" s="14"/>
      <c r="AA2156" s="2">
        <f t="shared" si="279"/>
        <v>3</v>
      </c>
      <c r="AB2156" s="153"/>
      <c r="AC2156" s="454" t="str">
        <f t="shared" si="280"/>
        <v/>
      </c>
    </row>
    <row r="2157" spans="1:29" x14ac:dyDescent="0.35">
      <c r="A2157" s="111" t="str">
        <f t="shared" si="281"/>
        <v/>
      </c>
      <c r="B2157" s="222"/>
      <c r="C2157" s="14"/>
      <c r="D2157" s="14"/>
      <c r="E2157" s="14"/>
      <c r="F2157" s="14"/>
      <c r="G2157" s="14" t="s">
        <v>1911</v>
      </c>
      <c r="H2157" s="14"/>
      <c r="I2157" s="176"/>
      <c r="K2157" s="87"/>
      <c r="L2157" s="14"/>
      <c r="M2157" s="324">
        <f t="shared" si="278"/>
        <v>0</v>
      </c>
      <c r="N2157" s="14"/>
      <c r="O2157" s="14"/>
      <c r="P2157" s="167"/>
      <c r="Q2157" s="14"/>
      <c r="R2157" s="170">
        <f t="shared" ref="R2157:R2220" si="282">IF(I2157="Staff Accident","Entry Required",IF(I2157="Assaults","Entry Required",0))</f>
        <v>0</v>
      </c>
      <c r="S2157" s="108" t="str">
        <f t="shared" si="277"/>
        <v/>
      </c>
      <c r="T2157" s="14"/>
      <c r="U2157" s="14"/>
      <c r="V2157" s="14"/>
      <c r="W2157" s="14"/>
      <c r="X2157" s="14"/>
      <c r="Z2157" s="14"/>
      <c r="AA2157" s="2">
        <f t="shared" si="279"/>
        <v>3</v>
      </c>
      <c r="AB2157" s="153"/>
      <c r="AC2157" s="454" t="str">
        <f t="shared" si="280"/>
        <v/>
      </c>
    </row>
    <row r="2158" spans="1:29" x14ac:dyDescent="0.35">
      <c r="A2158" s="111" t="str">
        <f t="shared" si="281"/>
        <v/>
      </c>
      <c r="B2158" s="222"/>
      <c r="C2158" s="14"/>
      <c r="D2158" s="14"/>
      <c r="E2158" s="14"/>
      <c r="F2158" s="14"/>
      <c r="G2158" s="14" t="s">
        <v>1911</v>
      </c>
      <c r="H2158" s="14"/>
      <c r="I2158" s="176"/>
      <c r="K2158" s="87"/>
      <c r="L2158" s="14"/>
      <c r="M2158" s="324">
        <f t="shared" si="278"/>
        <v>0</v>
      </c>
      <c r="N2158" s="14"/>
      <c r="O2158" s="14"/>
      <c r="P2158" s="167"/>
      <c r="Q2158" s="14"/>
      <c r="R2158" s="170">
        <f t="shared" si="282"/>
        <v>0</v>
      </c>
      <c r="S2158" s="108" t="str">
        <f t="shared" si="277"/>
        <v/>
      </c>
      <c r="T2158" s="14"/>
      <c r="U2158" s="14"/>
      <c r="V2158" s="14"/>
      <c r="W2158" s="14"/>
      <c r="X2158" s="14"/>
      <c r="Z2158" s="14"/>
      <c r="AA2158" s="2">
        <f t="shared" si="279"/>
        <v>3</v>
      </c>
      <c r="AB2158" s="153"/>
      <c r="AC2158" s="454" t="str">
        <f t="shared" si="280"/>
        <v/>
      </c>
    </row>
    <row r="2159" spans="1:29" x14ac:dyDescent="0.35">
      <c r="A2159" s="111" t="str">
        <f t="shared" si="281"/>
        <v/>
      </c>
      <c r="B2159" s="222"/>
      <c r="C2159" s="14"/>
      <c r="D2159" s="14"/>
      <c r="E2159" s="14"/>
      <c r="F2159" s="14"/>
      <c r="G2159" s="14" t="s">
        <v>1911</v>
      </c>
      <c r="H2159" s="14"/>
      <c r="I2159" s="176"/>
      <c r="K2159" s="87"/>
      <c r="L2159" s="14"/>
      <c r="M2159" s="324">
        <f t="shared" si="278"/>
        <v>0</v>
      </c>
      <c r="N2159" s="14"/>
      <c r="O2159" s="14"/>
      <c r="P2159" s="167"/>
      <c r="Q2159" s="14"/>
      <c r="R2159" s="170">
        <f t="shared" si="282"/>
        <v>0</v>
      </c>
      <c r="S2159" s="108" t="str">
        <f t="shared" si="277"/>
        <v/>
      </c>
      <c r="T2159" s="14"/>
      <c r="U2159" s="14"/>
      <c r="V2159" s="14"/>
      <c r="W2159" s="14"/>
      <c r="X2159" s="14"/>
      <c r="Z2159" s="14"/>
      <c r="AA2159" s="2">
        <f t="shared" si="279"/>
        <v>3</v>
      </c>
      <c r="AB2159" s="153"/>
      <c r="AC2159" s="454" t="str">
        <f t="shared" si="280"/>
        <v/>
      </c>
    </row>
    <row r="2160" spans="1:29" x14ac:dyDescent="0.35">
      <c r="A2160" s="111" t="str">
        <f t="shared" si="281"/>
        <v/>
      </c>
      <c r="B2160" s="222"/>
      <c r="C2160" s="14"/>
      <c r="D2160" s="14"/>
      <c r="E2160" s="14"/>
      <c r="F2160" s="14"/>
      <c r="G2160" s="14" t="s">
        <v>1911</v>
      </c>
      <c r="H2160" s="14"/>
      <c r="I2160" s="176"/>
      <c r="K2160" s="87"/>
      <c r="L2160" s="14"/>
      <c r="M2160" s="324">
        <f t="shared" si="278"/>
        <v>0</v>
      </c>
      <c r="N2160" s="14"/>
      <c r="O2160" s="14"/>
      <c r="P2160" s="167"/>
      <c r="Q2160" s="14"/>
      <c r="R2160" s="170">
        <f t="shared" si="282"/>
        <v>0</v>
      </c>
      <c r="S2160" s="108" t="str">
        <f t="shared" si="277"/>
        <v/>
      </c>
      <c r="T2160" s="14"/>
      <c r="U2160" s="14"/>
      <c r="V2160" s="14"/>
      <c r="W2160" s="14"/>
      <c r="X2160" s="14"/>
      <c r="Z2160" s="14"/>
      <c r="AA2160" s="2">
        <f t="shared" si="279"/>
        <v>3</v>
      </c>
      <c r="AB2160" s="153"/>
      <c r="AC2160" s="454" t="str">
        <f t="shared" si="280"/>
        <v/>
      </c>
    </row>
    <row r="2161" spans="1:29" x14ac:dyDescent="0.35">
      <c r="A2161" s="111" t="str">
        <f t="shared" si="281"/>
        <v/>
      </c>
      <c r="B2161" s="222"/>
      <c r="C2161" s="14"/>
      <c r="D2161" s="14"/>
      <c r="E2161" s="14"/>
      <c r="F2161" s="14"/>
      <c r="G2161" s="14" t="s">
        <v>1911</v>
      </c>
      <c r="H2161" s="14"/>
      <c r="I2161" s="176"/>
      <c r="K2161" s="87"/>
      <c r="L2161" s="14"/>
      <c r="M2161" s="324">
        <f t="shared" si="278"/>
        <v>0</v>
      </c>
      <c r="N2161" s="14"/>
      <c r="O2161" s="14"/>
      <c r="P2161" s="167"/>
      <c r="Q2161" s="14"/>
      <c r="R2161" s="170">
        <f t="shared" si="282"/>
        <v>0</v>
      </c>
      <c r="S2161" s="108" t="str">
        <f t="shared" si="277"/>
        <v/>
      </c>
      <c r="T2161" s="14"/>
      <c r="U2161" s="14"/>
      <c r="V2161" s="14"/>
      <c r="W2161" s="14"/>
      <c r="X2161" s="14"/>
      <c r="Z2161" s="14"/>
      <c r="AA2161" s="2">
        <f t="shared" si="279"/>
        <v>3</v>
      </c>
      <c r="AB2161" s="153"/>
      <c r="AC2161" s="454" t="str">
        <f t="shared" si="280"/>
        <v/>
      </c>
    </row>
    <row r="2162" spans="1:29" x14ac:dyDescent="0.35">
      <c r="A2162" s="111" t="str">
        <f t="shared" si="281"/>
        <v/>
      </c>
      <c r="B2162" s="222"/>
      <c r="C2162" s="14"/>
      <c r="D2162" s="14"/>
      <c r="E2162" s="14"/>
      <c r="F2162" s="14"/>
      <c r="G2162" s="14" t="s">
        <v>1911</v>
      </c>
      <c r="H2162" s="14"/>
      <c r="I2162" s="176"/>
      <c r="K2162" s="87"/>
      <c r="L2162" s="14"/>
      <c r="M2162" s="324">
        <f t="shared" si="278"/>
        <v>0</v>
      </c>
      <c r="N2162" s="14"/>
      <c r="O2162" s="14"/>
      <c r="P2162" s="167"/>
      <c r="Q2162" s="14"/>
      <c r="R2162" s="170">
        <f t="shared" si="282"/>
        <v>0</v>
      </c>
      <c r="S2162" s="108" t="str">
        <f t="shared" si="277"/>
        <v/>
      </c>
      <c r="T2162" s="14"/>
      <c r="U2162" s="14"/>
      <c r="V2162" s="14"/>
      <c r="W2162" s="14"/>
      <c r="X2162" s="14"/>
      <c r="Z2162" s="14"/>
      <c r="AA2162" s="2">
        <f t="shared" si="279"/>
        <v>3</v>
      </c>
      <c r="AB2162" s="153"/>
      <c r="AC2162" s="454" t="str">
        <f t="shared" si="280"/>
        <v/>
      </c>
    </row>
    <row r="2163" spans="1:29" x14ac:dyDescent="0.35">
      <c r="A2163" s="111" t="str">
        <f t="shared" si="281"/>
        <v/>
      </c>
      <c r="B2163" s="222"/>
      <c r="C2163" s="14"/>
      <c r="D2163" s="14"/>
      <c r="E2163" s="14"/>
      <c r="F2163" s="14"/>
      <c r="G2163" s="14" t="s">
        <v>1911</v>
      </c>
      <c r="H2163" s="14"/>
      <c r="I2163" s="176"/>
      <c r="K2163" s="87"/>
      <c r="L2163" s="14"/>
      <c r="M2163" s="324">
        <f t="shared" si="278"/>
        <v>0</v>
      </c>
      <c r="N2163" s="14"/>
      <c r="O2163" s="14"/>
      <c r="P2163" s="167"/>
      <c r="Q2163" s="14"/>
      <c r="R2163" s="170">
        <f t="shared" si="282"/>
        <v>0</v>
      </c>
      <c r="S2163" s="108" t="str">
        <f t="shared" si="277"/>
        <v/>
      </c>
      <c r="T2163" s="14"/>
      <c r="U2163" s="14"/>
      <c r="V2163" s="14"/>
      <c r="W2163" s="14"/>
      <c r="X2163" s="14"/>
      <c r="Z2163" s="14"/>
      <c r="AA2163" s="2">
        <f t="shared" si="279"/>
        <v>3</v>
      </c>
      <c r="AB2163" s="153"/>
      <c r="AC2163" s="454" t="str">
        <f t="shared" si="280"/>
        <v/>
      </c>
    </row>
    <row r="2164" spans="1:29" x14ac:dyDescent="0.35">
      <c r="A2164" s="111" t="str">
        <f t="shared" si="281"/>
        <v/>
      </c>
      <c r="B2164" s="222"/>
      <c r="C2164" s="14"/>
      <c r="D2164" s="14"/>
      <c r="E2164" s="14"/>
      <c r="F2164" s="14"/>
      <c r="G2164" s="14" t="s">
        <v>1911</v>
      </c>
      <c r="H2164" s="14"/>
      <c r="I2164" s="176"/>
      <c r="K2164" s="87"/>
      <c r="L2164" s="14"/>
      <c r="M2164" s="324">
        <f t="shared" si="278"/>
        <v>0</v>
      </c>
      <c r="N2164" s="14"/>
      <c r="O2164" s="14"/>
      <c r="P2164" s="167"/>
      <c r="Q2164" s="14"/>
      <c r="R2164" s="170">
        <f t="shared" si="282"/>
        <v>0</v>
      </c>
      <c r="S2164" s="108" t="str">
        <f t="shared" si="277"/>
        <v/>
      </c>
      <c r="T2164" s="14"/>
      <c r="U2164" s="14"/>
      <c r="V2164" s="14"/>
      <c r="W2164" s="14"/>
      <c r="X2164" s="14"/>
      <c r="Z2164" s="14"/>
      <c r="AA2164" s="2">
        <f t="shared" si="279"/>
        <v>3</v>
      </c>
      <c r="AB2164" s="153"/>
      <c r="AC2164" s="454" t="str">
        <f t="shared" si="280"/>
        <v/>
      </c>
    </row>
    <row r="2165" spans="1:29" x14ac:dyDescent="0.35">
      <c r="A2165" s="111" t="str">
        <f t="shared" si="281"/>
        <v/>
      </c>
      <c r="B2165" s="222"/>
      <c r="C2165" s="14"/>
      <c r="D2165" s="14"/>
      <c r="E2165" s="14"/>
      <c r="F2165" s="14"/>
      <c r="G2165" s="14" t="s">
        <v>1911</v>
      </c>
      <c r="H2165" s="14"/>
      <c r="I2165" s="176"/>
      <c r="K2165" s="87"/>
      <c r="L2165" s="14"/>
      <c r="M2165" s="324">
        <f t="shared" si="278"/>
        <v>0</v>
      </c>
      <c r="N2165" s="14"/>
      <c r="O2165" s="14"/>
      <c r="P2165" s="167"/>
      <c r="Q2165" s="14"/>
      <c r="R2165" s="170">
        <f t="shared" si="282"/>
        <v>0</v>
      </c>
      <c r="S2165" s="108" t="str">
        <f t="shared" si="277"/>
        <v/>
      </c>
      <c r="T2165" s="14"/>
      <c r="U2165" s="14"/>
      <c r="V2165" s="14"/>
      <c r="W2165" s="14"/>
      <c r="X2165" s="14"/>
      <c r="Z2165" s="14"/>
      <c r="AA2165" s="2">
        <f t="shared" si="279"/>
        <v>3</v>
      </c>
      <c r="AB2165" s="153"/>
      <c r="AC2165" s="454" t="str">
        <f t="shared" si="280"/>
        <v/>
      </c>
    </row>
    <row r="2166" spans="1:29" x14ac:dyDescent="0.35">
      <c r="A2166" s="111" t="str">
        <f t="shared" si="281"/>
        <v/>
      </c>
      <c r="B2166" s="222"/>
      <c r="C2166" s="14"/>
      <c r="D2166" s="14"/>
      <c r="E2166" s="14"/>
      <c r="F2166" s="14"/>
      <c r="G2166" s="14" t="s">
        <v>1911</v>
      </c>
      <c r="H2166" s="14"/>
      <c r="I2166" s="176"/>
      <c r="K2166" s="87"/>
      <c r="L2166" s="14"/>
      <c r="M2166" s="324">
        <f t="shared" si="278"/>
        <v>0</v>
      </c>
      <c r="N2166" s="14"/>
      <c r="O2166" s="14"/>
      <c r="P2166" s="167"/>
      <c r="Q2166" s="14"/>
      <c r="R2166" s="170">
        <f t="shared" si="282"/>
        <v>0</v>
      </c>
      <c r="S2166" s="108" t="str">
        <f t="shared" si="277"/>
        <v/>
      </c>
      <c r="T2166" s="14"/>
      <c r="U2166" s="14"/>
      <c r="V2166" s="14"/>
      <c r="W2166" s="14"/>
      <c r="X2166" s="14"/>
      <c r="Z2166" s="14"/>
      <c r="AA2166" s="2">
        <f t="shared" si="279"/>
        <v>3</v>
      </c>
      <c r="AB2166" s="153"/>
      <c r="AC2166" s="454" t="str">
        <f t="shared" si="280"/>
        <v/>
      </c>
    </row>
    <row r="2167" spans="1:29" x14ac:dyDescent="0.35">
      <c r="A2167" s="111" t="str">
        <f t="shared" si="281"/>
        <v/>
      </c>
      <c r="B2167" s="222"/>
      <c r="C2167" s="14"/>
      <c r="D2167" s="14"/>
      <c r="E2167" s="14"/>
      <c r="F2167" s="14"/>
      <c r="G2167" s="14" t="s">
        <v>1911</v>
      </c>
      <c r="H2167" s="14"/>
      <c r="I2167" s="176"/>
      <c r="K2167" s="87"/>
      <c r="L2167" s="14"/>
      <c r="M2167" s="324">
        <f t="shared" si="278"/>
        <v>0</v>
      </c>
      <c r="N2167" s="14"/>
      <c r="O2167" s="14"/>
      <c r="P2167" s="167"/>
      <c r="Q2167" s="14"/>
      <c r="R2167" s="170">
        <f t="shared" si="282"/>
        <v>0</v>
      </c>
      <c r="S2167" s="108" t="str">
        <f t="shared" si="277"/>
        <v/>
      </c>
      <c r="T2167" s="14"/>
      <c r="U2167" s="14"/>
      <c r="V2167" s="14"/>
      <c r="W2167" s="14"/>
      <c r="X2167" s="14"/>
      <c r="Z2167" s="14"/>
      <c r="AA2167" s="2">
        <f t="shared" si="279"/>
        <v>3</v>
      </c>
      <c r="AB2167" s="153"/>
      <c r="AC2167" s="454" t="str">
        <f t="shared" si="280"/>
        <v/>
      </c>
    </row>
    <row r="2168" spans="1:29" x14ac:dyDescent="0.35">
      <c r="A2168" s="111" t="str">
        <f t="shared" si="281"/>
        <v/>
      </c>
      <c r="B2168" s="222"/>
      <c r="C2168" s="14"/>
      <c r="D2168" s="14"/>
      <c r="E2168" s="14"/>
      <c r="F2168" s="14"/>
      <c r="G2168" s="14" t="s">
        <v>1911</v>
      </c>
      <c r="H2168" s="14"/>
      <c r="I2168" s="176"/>
      <c r="K2168" s="87"/>
      <c r="L2168" s="14"/>
      <c r="M2168" s="324">
        <f t="shared" si="278"/>
        <v>0</v>
      </c>
      <c r="N2168" s="14"/>
      <c r="O2168" s="14"/>
      <c r="P2168" s="167"/>
      <c r="Q2168" s="14"/>
      <c r="R2168" s="170">
        <f t="shared" si="282"/>
        <v>0</v>
      </c>
      <c r="S2168" s="108" t="str">
        <f t="shared" si="277"/>
        <v/>
      </c>
      <c r="T2168" s="14"/>
      <c r="U2168" s="14"/>
      <c r="V2168" s="14"/>
      <c r="W2168" s="14"/>
      <c r="X2168" s="14"/>
      <c r="Z2168" s="14"/>
      <c r="AA2168" s="2">
        <f t="shared" si="279"/>
        <v>3</v>
      </c>
      <c r="AB2168" s="153"/>
      <c r="AC2168" s="454" t="str">
        <f t="shared" si="280"/>
        <v/>
      </c>
    </row>
    <row r="2169" spans="1:29" x14ac:dyDescent="0.35">
      <c r="A2169" s="111" t="str">
        <f t="shared" si="281"/>
        <v/>
      </c>
      <c r="B2169" s="222"/>
      <c r="C2169" s="14"/>
      <c r="D2169" s="14"/>
      <c r="E2169" s="14"/>
      <c r="F2169" s="14"/>
      <c r="G2169" s="14" t="s">
        <v>1911</v>
      </c>
      <c r="H2169" s="14"/>
      <c r="I2169" s="176"/>
      <c r="K2169" s="87"/>
      <c r="L2169" s="14"/>
      <c r="M2169" s="324">
        <f t="shared" si="278"/>
        <v>0</v>
      </c>
      <c r="N2169" s="14"/>
      <c r="O2169" s="14"/>
      <c r="P2169" s="167"/>
      <c r="Q2169" s="14"/>
      <c r="R2169" s="170">
        <f t="shared" si="282"/>
        <v>0</v>
      </c>
      <c r="S2169" s="108" t="str">
        <f t="shared" si="277"/>
        <v/>
      </c>
      <c r="T2169" s="14"/>
      <c r="U2169" s="14"/>
      <c r="V2169" s="14"/>
      <c r="W2169" s="14"/>
      <c r="X2169" s="14"/>
      <c r="Z2169" s="14"/>
      <c r="AA2169" s="2">
        <f t="shared" si="279"/>
        <v>3</v>
      </c>
      <c r="AB2169" s="153"/>
      <c r="AC2169" s="454" t="str">
        <f t="shared" si="280"/>
        <v/>
      </c>
    </row>
    <row r="2170" spans="1:29" x14ac:dyDescent="0.35">
      <c r="A2170" s="111" t="str">
        <f t="shared" si="281"/>
        <v/>
      </c>
      <c r="B2170" s="222"/>
      <c r="C2170" s="14"/>
      <c r="D2170" s="14"/>
      <c r="E2170" s="14"/>
      <c r="F2170" s="14"/>
      <c r="G2170" s="14" t="s">
        <v>1911</v>
      </c>
      <c r="H2170" s="14"/>
      <c r="I2170" s="176"/>
      <c r="K2170" s="87"/>
      <c r="L2170" s="14"/>
      <c r="M2170" s="324">
        <f t="shared" si="278"/>
        <v>0</v>
      </c>
      <c r="N2170" s="14"/>
      <c r="O2170" s="14"/>
      <c r="P2170" s="167"/>
      <c r="Q2170" s="14"/>
      <c r="R2170" s="170">
        <f t="shared" si="282"/>
        <v>0</v>
      </c>
      <c r="S2170" s="108" t="str">
        <f t="shared" si="277"/>
        <v/>
      </c>
      <c r="T2170" s="14"/>
      <c r="U2170" s="14"/>
      <c r="V2170" s="14"/>
      <c r="W2170" s="14"/>
      <c r="X2170" s="14"/>
      <c r="Z2170" s="14"/>
      <c r="AA2170" s="2">
        <f t="shared" si="279"/>
        <v>3</v>
      </c>
      <c r="AB2170" s="153"/>
      <c r="AC2170" s="454" t="str">
        <f t="shared" si="280"/>
        <v/>
      </c>
    </row>
    <row r="2171" spans="1:29" x14ac:dyDescent="0.35">
      <c r="A2171" s="111" t="str">
        <f t="shared" si="281"/>
        <v/>
      </c>
      <c r="B2171" s="222"/>
      <c r="C2171" s="14"/>
      <c r="D2171" s="14"/>
      <c r="E2171" s="14"/>
      <c r="F2171" s="14"/>
      <c r="G2171" s="14" t="s">
        <v>1911</v>
      </c>
      <c r="H2171" s="14"/>
      <c r="I2171" s="176"/>
      <c r="K2171" s="87"/>
      <c r="L2171" s="14"/>
      <c r="M2171" s="324">
        <f t="shared" si="278"/>
        <v>0</v>
      </c>
      <c r="N2171" s="14"/>
      <c r="O2171" s="14"/>
      <c r="P2171" s="167"/>
      <c r="Q2171" s="14"/>
      <c r="R2171" s="170">
        <f t="shared" si="282"/>
        <v>0</v>
      </c>
      <c r="S2171" s="108" t="str">
        <f t="shared" si="277"/>
        <v/>
      </c>
      <c r="T2171" s="14"/>
      <c r="U2171" s="14"/>
      <c r="V2171" s="14"/>
      <c r="W2171" s="14"/>
      <c r="X2171" s="14"/>
      <c r="Z2171" s="14"/>
      <c r="AA2171" s="2">
        <f t="shared" si="279"/>
        <v>3</v>
      </c>
      <c r="AB2171" s="153"/>
      <c r="AC2171" s="454" t="str">
        <f t="shared" si="280"/>
        <v/>
      </c>
    </row>
    <row r="2172" spans="1:29" x14ac:dyDescent="0.35">
      <c r="A2172" s="111" t="str">
        <f t="shared" si="281"/>
        <v/>
      </c>
      <c r="B2172" s="222"/>
      <c r="C2172" s="14"/>
      <c r="D2172" s="14"/>
      <c r="E2172" s="14"/>
      <c r="F2172" s="14"/>
      <c r="G2172" s="14" t="s">
        <v>1911</v>
      </c>
      <c r="H2172" s="14"/>
      <c r="I2172" s="176"/>
      <c r="K2172" s="87"/>
      <c r="L2172" s="14"/>
      <c r="M2172" s="324">
        <f t="shared" si="278"/>
        <v>0</v>
      </c>
      <c r="N2172" s="14"/>
      <c r="O2172" s="14"/>
      <c r="P2172" s="167"/>
      <c r="Q2172" s="14"/>
      <c r="R2172" s="170">
        <f t="shared" si="282"/>
        <v>0</v>
      </c>
      <c r="S2172" s="108" t="str">
        <f t="shared" si="277"/>
        <v/>
      </c>
      <c r="T2172" s="14"/>
      <c r="U2172" s="14"/>
      <c r="V2172" s="14"/>
      <c r="W2172" s="14"/>
      <c r="X2172" s="14"/>
      <c r="Z2172" s="14"/>
      <c r="AA2172" s="2">
        <f t="shared" si="279"/>
        <v>3</v>
      </c>
      <c r="AB2172" s="153"/>
      <c r="AC2172" s="454" t="str">
        <f t="shared" si="280"/>
        <v/>
      </c>
    </row>
    <row r="2173" spans="1:29" x14ac:dyDescent="0.35">
      <c r="A2173" s="111" t="str">
        <f t="shared" si="281"/>
        <v/>
      </c>
      <c r="B2173" s="222"/>
      <c r="C2173" s="14"/>
      <c r="D2173" s="14"/>
      <c r="E2173" s="14"/>
      <c r="F2173" s="14"/>
      <c r="G2173" s="14" t="s">
        <v>1911</v>
      </c>
      <c r="H2173" s="14"/>
      <c r="I2173" s="176"/>
      <c r="K2173" s="87"/>
      <c r="L2173" s="14"/>
      <c r="M2173" s="324">
        <f t="shared" si="278"/>
        <v>0</v>
      </c>
      <c r="N2173" s="14"/>
      <c r="O2173" s="14"/>
      <c r="P2173" s="167"/>
      <c r="Q2173" s="14"/>
      <c r="R2173" s="170">
        <f t="shared" si="282"/>
        <v>0</v>
      </c>
      <c r="S2173" s="108" t="str">
        <f t="shared" si="277"/>
        <v/>
      </c>
      <c r="T2173" s="14"/>
      <c r="U2173" s="14"/>
      <c r="V2173" s="14"/>
      <c r="W2173" s="14"/>
      <c r="X2173" s="14"/>
      <c r="Z2173" s="14"/>
      <c r="AA2173" s="2">
        <f t="shared" si="279"/>
        <v>3</v>
      </c>
      <c r="AB2173" s="153"/>
      <c r="AC2173" s="454" t="str">
        <f t="shared" si="280"/>
        <v/>
      </c>
    </row>
    <row r="2174" spans="1:29" x14ac:dyDescent="0.35">
      <c r="A2174" s="111" t="str">
        <f t="shared" si="281"/>
        <v/>
      </c>
      <c r="B2174" s="222"/>
      <c r="C2174" s="14"/>
      <c r="D2174" s="14"/>
      <c r="E2174" s="14"/>
      <c r="F2174" s="14"/>
      <c r="G2174" s="14" t="s">
        <v>1911</v>
      </c>
      <c r="H2174" s="14"/>
      <c r="I2174" s="176"/>
      <c r="K2174" s="87"/>
      <c r="L2174" s="14"/>
      <c r="M2174" s="324">
        <f t="shared" si="278"/>
        <v>0</v>
      </c>
      <c r="N2174" s="14"/>
      <c r="O2174" s="14"/>
      <c r="P2174" s="167"/>
      <c r="Q2174" s="14"/>
      <c r="R2174" s="170">
        <f t="shared" si="282"/>
        <v>0</v>
      </c>
      <c r="S2174" s="108" t="str">
        <f t="shared" si="277"/>
        <v/>
      </c>
      <c r="T2174" s="14"/>
      <c r="U2174" s="14"/>
      <c r="V2174" s="14"/>
      <c r="W2174" s="14"/>
      <c r="X2174" s="14"/>
      <c r="Z2174" s="14"/>
      <c r="AA2174" s="2">
        <f t="shared" si="279"/>
        <v>3</v>
      </c>
      <c r="AB2174" s="153"/>
      <c r="AC2174" s="454" t="str">
        <f t="shared" si="280"/>
        <v/>
      </c>
    </row>
    <row r="2175" spans="1:29" x14ac:dyDescent="0.35">
      <c r="A2175" s="111" t="str">
        <f t="shared" si="281"/>
        <v/>
      </c>
      <c r="B2175" s="222"/>
      <c r="C2175" s="14"/>
      <c r="D2175" s="14"/>
      <c r="E2175" s="14"/>
      <c r="F2175" s="14"/>
      <c r="G2175" s="14" t="s">
        <v>1911</v>
      </c>
      <c r="H2175" s="14"/>
      <c r="I2175" s="176"/>
      <c r="K2175" s="87"/>
      <c r="L2175" s="14"/>
      <c r="M2175" s="324">
        <f t="shared" si="278"/>
        <v>0</v>
      </c>
      <c r="N2175" s="14"/>
      <c r="O2175" s="14"/>
      <c r="P2175" s="167"/>
      <c r="Q2175" s="14"/>
      <c r="R2175" s="170">
        <f t="shared" si="282"/>
        <v>0</v>
      </c>
      <c r="S2175" s="108" t="str">
        <f t="shared" si="277"/>
        <v/>
      </c>
      <c r="T2175" s="14"/>
      <c r="U2175" s="14"/>
      <c r="V2175" s="14"/>
      <c r="W2175" s="14"/>
      <c r="X2175" s="14"/>
      <c r="Z2175" s="14"/>
      <c r="AA2175" s="2">
        <f t="shared" si="279"/>
        <v>3</v>
      </c>
      <c r="AB2175" s="153"/>
      <c r="AC2175" s="454" t="str">
        <f t="shared" si="280"/>
        <v/>
      </c>
    </row>
    <row r="2176" spans="1:29" x14ac:dyDescent="0.35">
      <c r="A2176" s="111" t="str">
        <f t="shared" si="281"/>
        <v/>
      </c>
      <c r="B2176" s="222"/>
      <c r="C2176" s="14"/>
      <c r="D2176" s="14"/>
      <c r="E2176" s="14"/>
      <c r="F2176" s="14"/>
      <c r="G2176" s="14" t="s">
        <v>1911</v>
      </c>
      <c r="H2176" s="14"/>
      <c r="I2176" s="176"/>
      <c r="K2176" s="87"/>
      <c r="L2176" s="14"/>
      <c r="M2176" s="324">
        <f t="shared" si="278"/>
        <v>0</v>
      </c>
      <c r="N2176" s="14"/>
      <c r="O2176" s="14"/>
      <c r="P2176" s="167"/>
      <c r="Q2176" s="14"/>
      <c r="R2176" s="170">
        <f t="shared" si="282"/>
        <v>0</v>
      </c>
      <c r="S2176" s="108" t="str">
        <f t="shared" si="277"/>
        <v/>
      </c>
      <c r="T2176" s="14"/>
      <c r="U2176" s="14"/>
      <c r="V2176" s="14"/>
      <c r="W2176" s="14"/>
      <c r="X2176" s="14"/>
      <c r="Z2176" s="14"/>
      <c r="AA2176" s="2">
        <f t="shared" si="279"/>
        <v>3</v>
      </c>
      <c r="AB2176" s="153"/>
      <c r="AC2176" s="454" t="str">
        <f t="shared" si="280"/>
        <v/>
      </c>
    </row>
    <row r="2177" spans="1:29" x14ac:dyDescent="0.35">
      <c r="A2177" s="111" t="str">
        <f t="shared" si="281"/>
        <v/>
      </c>
      <c r="B2177" s="222"/>
      <c r="C2177" s="14"/>
      <c r="D2177" s="14"/>
      <c r="E2177" s="14"/>
      <c r="F2177" s="14"/>
      <c r="G2177" s="14" t="s">
        <v>1911</v>
      </c>
      <c r="H2177" s="14"/>
      <c r="I2177" s="176"/>
      <c r="K2177" s="87"/>
      <c r="L2177" s="14"/>
      <c r="M2177" s="324">
        <f t="shared" si="278"/>
        <v>0</v>
      </c>
      <c r="N2177" s="14"/>
      <c r="O2177" s="14"/>
      <c r="P2177" s="167"/>
      <c r="Q2177" s="14"/>
      <c r="R2177" s="170">
        <f t="shared" si="282"/>
        <v>0</v>
      </c>
      <c r="S2177" s="108" t="str">
        <f t="shared" si="277"/>
        <v/>
      </c>
      <c r="T2177" s="14"/>
      <c r="U2177" s="14"/>
      <c r="V2177" s="14"/>
      <c r="W2177" s="14"/>
      <c r="X2177" s="14"/>
      <c r="Z2177" s="14"/>
      <c r="AA2177" s="2">
        <f t="shared" si="279"/>
        <v>3</v>
      </c>
      <c r="AB2177" s="153"/>
      <c r="AC2177" s="454" t="str">
        <f t="shared" si="280"/>
        <v/>
      </c>
    </row>
    <row r="2178" spans="1:29" x14ac:dyDescent="0.35">
      <c r="A2178" s="111" t="str">
        <f t="shared" si="281"/>
        <v/>
      </c>
      <c r="B2178" s="222"/>
      <c r="C2178" s="14"/>
      <c r="D2178" s="14"/>
      <c r="E2178" s="14"/>
      <c r="F2178" s="14"/>
      <c r="G2178" s="14" t="s">
        <v>1911</v>
      </c>
      <c r="H2178" s="14"/>
      <c r="I2178" s="176"/>
      <c r="K2178" s="87"/>
      <c r="L2178" s="14"/>
      <c r="M2178" s="324">
        <f t="shared" si="278"/>
        <v>0</v>
      </c>
      <c r="N2178" s="14"/>
      <c r="O2178" s="14"/>
      <c r="P2178" s="167"/>
      <c r="Q2178" s="14"/>
      <c r="R2178" s="170">
        <f t="shared" si="282"/>
        <v>0</v>
      </c>
      <c r="S2178" s="108" t="str">
        <f t="shared" si="277"/>
        <v/>
      </c>
      <c r="T2178" s="14"/>
      <c r="U2178" s="14"/>
      <c r="V2178" s="14"/>
      <c r="W2178" s="14"/>
      <c r="X2178" s="14"/>
      <c r="Z2178" s="14"/>
      <c r="AA2178" s="2">
        <f t="shared" si="279"/>
        <v>3</v>
      </c>
      <c r="AB2178" s="153"/>
      <c r="AC2178" s="454" t="str">
        <f t="shared" si="280"/>
        <v/>
      </c>
    </row>
    <row r="2179" spans="1:29" x14ac:dyDescent="0.35">
      <c r="A2179" s="111" t="str">
        <f t="shared" si="281"/>
        <v/>
      </c>
      <c r="B2179" s="222"/>
      <c r="C2179" s="14"/>
      <c r="D2179" s="14"/>
      <c r="E2179" s="14"/>
      <c r="F2179" s="14"/>
      <c r="G2179" s="14" t="s">
        <v>1911</v>
      </c>
      <c r="H2179" s="14"/>
      <c r="I2179" s="176"/>
      <c r="K2179" s="87"/>
      <c r="L2179" s="14"/>
      <c r="M2179" s="324">
        <f t="shared" si="278"/>
        <v>0</v>
      </c>
      <c r="N2179" s="14"/>
      <c r="O2179" s="14"/>
      <c r="P2179" s="167"/>
      <c r="Q2179" s="14"/>
      <c r="R2179" s="170">
        <f t="shared" si="282"/>
        <v>0</v>
      </c>
      <c r="S2179" s="108" t="str">
        <f t="shared" si="277"/>
        <v/>
      </c>
      <c r="T2179" s="14"/>
      <c r="U2179" s="14"/>
      <c r="V2179" s="14"/>
      <c r="W2179" s="14"/>
      <c r="X2179" s="14"/>
      <c r="Z2179" s="14"/>
      <c r="AA2179" s="2">
        <f t="shared" si="279"/>
        <v>3</v>
      </c>
      <c r="AB2179" s="153"/>
      <c r="AC2179" s="454" t="str">
        <f t="shared" si="280"/>
        <v/>
      </c>
    </row>
    <row r="2180" spans="1:29" x14ac:dyDescent="0.35">
      <c r="A2180" s="111" t="str">
        <f t="shared" si="281"/>
        <v/>
      </c>
      <c r="B2180" s="222"/>
      <c r="C2180" s="14"/>
      <c r="D2180" s="14"/>
      <c r="E2180" s="14"/>
      <c r="F2180" s="14"/>
      <c r="G2180" s="14" t="s">
        <v>1911</v>
      </c>
      <c r="H2180" s="14"/>
      <c r="I2180" s="176"/>
      <c r="K2180" s="87"/>
      <c r="L2180" s="14"/>
      <c r="M2180" s="324">
        <f t="shared" si="278"/>
        <v>0</v>
      </c>
      <c r="N2180" s="14"/>
      <c r="O2180" s="14"/>
      <c r="P2180" s="167"/>
      <c r="Q2180" s="14"/>
      <c r="R2180" s="170">
        <f t="shared" si="282"/>
        <v>0</v>
      </c>
      <c r="S2180" s="108" t="str">
        <f t="shared" si="277"/>
        <v/>
      </c>
      <c r="T2180" s="14"/>
      <c r="U2180" s="14"/>
      <c r="V2180" s="14"/>
      <c r="W2180" s="14"/>
      <c r="X2180" s="14"/>
      <c r="Z2180" s="14"/>
      <c r="AA2180" s="2">
        <f t="shared" si="279"/>
        <v>3</v>
      </c>
      <c r="AB2180" s="153"/>
      <c r="AC2180" s="454" t="str">
        <f t="shared" si="280"/>
        <v/>
      </c>
    </row>
    <row r="2181" spans="1:29" x14ac:dyDescent="0.35">
      <c r="A2181" s="111" t="str">
        <f t="shared" si="281"/>
        <v/>
      </c>
      <c r="B2181" s="222"/>
      <c r="C2181" s="14"/>
      <c r="D2181" s="14"/>
      <c r="E2181" s="14"/>
      <c r="F2181" s="14"/>
      <c r="G2181" s="14" t="s">
        <v>1911</v>
      </c>
      <c r="H2181" s="14"/>
      <c r="I2181" s="176"/>
      <c r="K2181" s="87"/>
      <c r="L2181" s="14"/>
      <c r="M2181" s="324">
        <f t="shared" si="278"/>
        <v>0</v>
      </c>
      <c r="N2181" s="14"/>
      <c r="O2181" s="14"/>
      <c r="P2181" s="167"/>
      <c r="Q2181" s="14"/>
      <c r="R2181" s="170">
        <f t="shared" si="282"/>
        <v>0</v>
      </c>
      <c r="S2181" s="108" t="str">
        <f t="shared" ref="S2181:S2244" si="283">IF(B2181="","",B2181+28)</f>
        <v/>
      </c>
      <c r="T2181" s="14"/>
      <c r="U2181" s="14"/>
      <c r="V2181" s="14"/>
      <c r="W2181" s="14"/>
      <c r="X2181" s="14"/>
      <c r="Z2181" s="14"/>
      <c r="AA2181" s="2">
        <f t="shared" si="279"/>
        <v>3</v>
      </c>
      <c r="AB2181" s="153"/>
      <c r="AC2181" s="454" t="str">
        <f t="shared" si="280"/>
        <v/>
      </c>
    </row>
    <row r="2182" spans="1:29" x14ac:dyDescent="0.35">
      <c r="A2182" s="111" t="str">
        <f t="shared" si="281"/>
        <v/>
      </c>
      <c r="B2182" s="222"/>
      <c r="C2182" s="14"/>
      <c r="D2182" s="14"/>
      <c r="E2182" s="14"/>
      <c r="F2182" s="14"/>
      <c r="G2182" s="14" t="s">
        <v>1911</v>
      </c>
      <c r="H2182" s="14"/>
      <c r="I2182" s="176"/>
      <c r="K2182" s="87"/>
      <c r="L2182" s="14"/>
      <c r="M2182" s="324">
        <f t="shared" si="278"/>
        <v>0</v>
      </c>
      <c r="N2182" s="14"/>
      <c r="O2182" s="14"/>
      <c r="P2182" s="167"/>
      <c r="Q2182" s="14"/>
      <c r="R2182" s="170">
        <f t="shared" si="282"/>
        <v>0</v>
      </c>
      <c r="S2182" s="108" t="str">
        <f t="shared" si="283"/>
        <v/>
      </c>
      <c r="T2182" s="14"/>
      <c r="U2182" s="14"/>
      <c r="V2182" s="14"/>
      <c r="W2182" s="14"/>
      <c r="X2182" s="14"/>
      <c r="Z2182" s="14"/>
      <c r="AA2182" s="2">
        <f t="shared" si="279"/>
        <v>3</v>
      </c>
      <c r="AB2182" s="153"/>
      <c r="AC2182" s="454" t="str">
        <f t="shared" si="280"/>
        <v/>
      </c>
    </row>
    <row r="2183" spans="1:29" x14ac:dyDescent="0.35">
      <c r="A2183" s="111" t="str">
        <f t="shared" si="281"/>
        <v/>
      </c>
      <c r="B2183" s="222"/>
      <c r="C2183" s="14"/>
      <c r="D2183" s="14"/>
      <c r="E2183" s="14"/>
      <c r="F2183" s="14"/>
      <c r="G2183" s="14" t="s">
        <v>1911</v>
      </c>
      <c r="H2183" s="14"/>
      <c r="I2183" s="176"/>
      <c r="K2183" s="87"/>
      <c r="L2183" s="14"/>
      <c r="M2183" s="324">
        <f t="shared" si="278"/>
        <v>0</v>
      </c>
      <c r="N2183" s="14"/>
      <c r="O2183" s="14"/>
      <c r="P2183" s="167"/>
      <c r="Q2183" s="14"/>
      <c r="R2183" s="170">
        <f t="shared" si="282"/>
        <v>0</v>
      </c>
      <c r="S2183" s="108" t="str">
        <f t="shared" si="283"/>
        <v/>
      </c>
      <c r="T2183" s="14"/>
      <c r="U2183" s="14"/>
      <c r="V2183" s="14"/>
      <c r="W2183" s="14"/>
      <c r="X2183" s="14"/>
      <c r="Z2183" s="14"/>
      <c r="AA2183" s="2">
        <f t="shared" si="279"/>
        <v>3</v>
      </c>
      <c r="AB2183" s="153"/>
      <c r="AC2183" s="454" t="str">
        <f t="shared" si="280"/>
        <v/>
      </c>
    </row>
    <row r="2184" spans="1:29" x14ac:dyDescent="0.35">
      <c r="A2184" s="111" t="str">
        <f t="shared" si="281"/>
        <v/>
      </c>
      <c r="B2184" s="222"/>
      <c r="C2184" s="14"/>
      <c r="D2184" s="14"/>
      <c r="E2184" s="14"/>
      <c r="F2184" s="14"/>
      <c r="G2184" s="14" t="s">
        <v>1911</v>
      </c>
      <c r="H2184" s="14"/>
      <c r="I2184" s="176"/>
      <c r="K2184" s="87"/>
      <c r="L2184" s="14"/>
      <c r="M2184" s="324">
        <f t="shared" si="278"/>
        <v>0</v>
      </c>
      <c r="N2184" s="14"/>
      <c r="O2184" s="14"/>
      <c r="P2184" s="167"/>
      <c r="Q2184" s="14"/>
      <c r="R2184" s="170">
        <f t="shared" si="282"/>
        <v>0</v>
      </c>
      <c r="S2184" s="108" t="str">
        <f t="shared" si="283"/>
        <v/>
      </c>
      <c r="T2184" s="14"/>
      <c r="U2184" s="14"/>
      <c r="V2184" s="14"/>
      <c r="W2184" s="14"/>
      <c r="X2184" s="14"/>
      <c r="Z2184" s="14"/>
      <c r="AA2184" s="2">
        <f t="shared" si="279"/>
        <v>3</v>
      </c>
      <c r="AB2184" s="153"/>
      <c r="AC2184" s="454" t="str">
        <f t="shared" si="280"/>
        <v/>
      </c>
    </row>
    <row r="2185" spans="1:29" x14ac:dyDescent="0.35">
      <c r="A2185" s="111" t="str">
        <f t="shared" si="281"/>
        <v/>
      </c>
      <c r="B2185" s="222"/>
      <c r="C2185" s="14"/>
      <c r="D2185" s="14"/>
      <c r="E2185" s="14"/>
      <c r="F2185" s="14"/>
      <c r="G2185" s="14" t="s">
        <v>1911</v>
      </c>
      <c r="H2185" s="14"/>
      <c r="I2185" s="176"/>
      <c r="K2185" s="87"/>
      <c r="L2185" s="14"/>
      <c r="M2185" s="324">
        <f t="shared" si="278"/>
        <v>0</v>
      </c>
      <c r="N2185" s="14"/>
      <c r="O2185" s="14"/>
      <c r="P2185" s="167"/>
      <c r="Q2185" s="14"/>
      <c r="R2185" s="170">
        <f t="shared" si="282"/>
        <v>0</v>
      </c>
      <c r="S2185" s="108" t="str">
        <f t="shared" si="283"/>
        <v/>
      </c>
      <c r="T2185" s="14"/>
      <c r="U2185" s="14"/>
      <c r="V2185" s="14"/>
      <c r="W2185" s="14"/>
      <c r="X2185" s="14"/>
      <c r="Z2185" s="14"/>
      <c r="AA2185" s="2">
        <f t="shared" si="279"/>
        <v>3</v>
      </c>
      <c r="AB2185" s="153"/>
      <c r="AC2185" s="454" t="str">
        <f t="shared" si="280"/>
        <v/>
      </c>
    </row>
    <row r="2186" spans="1:29" x14ac:dyDescent="0.35">
      <c r="A2186" s="111" t="str">
        <f t="shared" si="281"/>
        <v/>
      </c>
      <c r="B2186" s="222"/>
      <c r="C2186" s="14"/>
      <c r="D2186" s="14"/>
      <c r="E2186" s="14"/>
      <c r="F2186" s="14"/>
      <c r="G2186" s="14" t="s">
        <v>1911</v>
      </c>
      <c r="H2186" s="14"/>
      <c r="I2186" s="176"/>
      <c r="K2186" s="87"/>
      <c r="L2186" s="14"/>
      <c r="M2186" s="324">
        <f t="shared" si="278"/>
        <v>0</v>
      </c>
      <c r="N2186" s="14"/>
      <c r="O2186" s="14"/>
      <c r="P2186" s="167"/>
      <c r="Q2186" s="14"/>
      <c r="R2186" s="170">
        <f t="shared" si="282"/>
        <v>0</v>
      </c>
      <c r="S2186" s="108" t="str">
        <f t="shared" si="283"/>
        <v/>
      </c>
      <c r="T2186" s="14"/>
      <c r="U2186" s="14"/>
      <c r="V2186" s="14"/>
      <c r="W2186" s="14"/>
      <c r="X2186" s="14"/>
      <c r="Z2186" s="14"/>
      <c r="AA2186" s="2">
        <f t="shared" si="279"/>
        <v>3</v>
      </c>
      <c r="AB2186" s="153"/>
      <c r="AC2186" s="454" t="str">
        <f t="shared" si="280"/>
        <v/>
      </c>
    </row>
    <row r="2187" spans="1:29" x14ac:dyDescent="0.35">
      <c r="A2187" s="111" t="str">
        <f t="shared" si="281"/>
        <v/>
      </c>
      <c r="B2187" s="222"/>
      <c r="C2187" s="14"/>
      <c r="D2187" s="14"/>
      <c r="E2187" s="14"/>
      <c r="F2187" s="14"/>
      <c r="G2187" s="14" t="s">
        <v>1911</v>
      </c>
      <c r="H2187" s="14"/>
      <c r="I2187" s="176"/>
      <c r="K2187" s="87"/>
      <c r="L2187" s="14"/>
      <c r="M2187" s="324">
        <f t="shared" si="278"/>
        <v>0</v>
      </c>
      <c r="N2187" s="14"/>
      <c r="O2187" s="14"/>
      <c r="P2187" s="167"/>
      <c r="Q2187" s="14"/>
      <c r="R2187" s="170">
        <f t="shared" si="282"/>
        <v>0</v>
      </c>
      <c r="S2187" s="108" t="str">
        <f t="shared" si="283"/>
        <v/>
      </c>
      <c r="T2187" s="14"/>
      <c r="U2187" s="14"/>
      <c r="V2187" s="14"/>
      <c r="W2187" s="14"/>
      <c r="X2187" s="14"/>
      <c r="Z2187" s="14"/>
      <c r="AA2187" s="2">
        <f t="shared" si="279"/>
        <v>3</v>
      </c>
      <c r="AB2187" s="153"/>
      <c r="AC2187" s="454" t="str">
        <f t="shared" si="280"/>
        <v/>
      </c>
    </row>
    <row r="2188" spans="1:29" x14ac:dyDescent="0.35">
      <c r="A2188" s="111" t="str">
        <f t="shared" si="281"/>
        <v/>
      </c>
      <c r="B2188" s="222"/>
      <c r="C2188" s="14"/>
      <c r="D2188" s="14"/>
      <c r="E2188" s="14"/>
      <c r="F2188" s="14"/>
      <c r="G2188" s="14" t="s">
        <v>1911</v>
      </c>
      <c r="H2188" s="14"/>
      <c r="I2188" s="176"/>
      <c r="K2188" s="87"/>
      <c r="L2188" s="14"/>
      <c r="M2188" s="324">
        <f t="shared" si="278"/>
        <v>0</v>
      </c>
      <c r="N2188" s="14"/>
      <c r="O2188" s="14"/>
      <c r="P2188" s="167"/>
      <c r="Q2188" s="14"/>
      <c r="R2188" s="170">
        <f t="shared" si="282"/>
        <v>0</v>
      </c>
      <c r="S2188" s="108" t="str">
        <f t="shared" si="283"/>
        <v/>
      </c>
      <c r="T2188" s="14"/>
      <c r="U2188" s="14"/>
      <c r="V2188" s="14"/>
      <c r="W2188" s="14"/>
      <c r="X2188" s="14"/>
      <c r="Z2188" s="14"/>
      <c r="AA2188" s="2">
        <f t="shared" si="279"/>
        <v>3</v>
      </c>
      <c r="AB2188" s="153"/>
      <c r="AC2188" s="454" t="str">
        <f t="shared" si="280"/>
        <v/>
      </c>
    </row>
    <row r="2189" spans="1:29" x14ac:dyDescent="0.35">
      <c r="A2189" s="111" t="str">
        <f t="shared" si="281"/>
        <v/>
      </c>
      <c r="B2189" s="222"/>
      <c r="C2189" s="14"/>
      <c r="D2189" s="14"/>
      <c r="E2189" s="14"/>
      <c r="F2189" s="14"/>
      <c r="G2189" s="14" t="s">
        <v>1911</v>
      </c>
      <c r="H2189" s="14"/>
      <c r="I2189" s="176"/>
      <c r="K2189" s="87"/>
      <c r="L2189" s="14"/>
      <c r="M2189" s="324">
        <f t="shared" si="278"/>
        <v>0</v>
      </c>
      <c r="N2189" s="14"/>
      <c r="O2189" s="14"/>
      <c r="P2189" s="167"/>
      <c r="Q2189" s="14"/>
      <c r="R2189" s="170">
        <f t="shared" si="282"/>
        <v>0</v>
      </c>
      <c r="S2189" s="108" t="str">
        <f t="shared" si="283"/>
        <v/>
      </c>
      <c r="T2189" s="14"/>
      <c r="U2189" s="14"/>
      <c r="V2189" s="14"/>
      <c r="W2189" s="14"/>
      <c r="X2189" s="14"/>
      <c r="Z2189" s="14"/>
      <c r="AA2189" s="2">
        <f t="shared" si="279"/>
        <v>3</v>
      </c>
      <c r="AB2189" s="153"/>
      <c r="AC2189" s="454" t="str">
        <f t="shared" si="280"/>
        <v/>
      </c>
    </row>
    <row r="2190" spans="1:29" x14ac:dyDescent="0.35">
      <c r="A2190" s="111" t="str">
        <f t="shared" si="281"/>
        <v/>
      </c>
      <c r="B2190" s="222"/>
      <c r="C2190" s="14"/>
      <c r="D2190" s="14"/>
      <c r="E2190" s="14"/>
      <c r="F2190" s="14"/>
      <c r="G2190" s="14" t="s">
        <v>1911</v>
      </c>
      <c r="H2190" s="14"/>
      <c r="I2190" s="176"/>
      <c r="K2190" s="87"/>
      <c r="L2190" s="14"/>
      <c r="M2190" s="324">
        <f t="shared" si="278"/>
        <v>0</v>
      </c>
      <c r="N2190" s="14"/>
      <c r="O2190" s="14"/>
      <c r="P2190" s="167"/>
      <c r="Q2190" s="14"/>
      <c r="R2190" s="170">
        <f t="shared" si="282"/>
        <v>0</v>
      </c>
      <c r="S2190" s="108" t="str">
        <f t="shared" si="283"/>
        <v/>
      </c>
      <c r="T2190" s="14"/>
      <c r="U2190" s="14"/>
      <c r="V2190" s="14"/>
      <c r="W2190" s="14"/>
      <c r="X2190" s="14"/>
      <c r="Z2190" s="14"/>
      <c r="AA2190" s="2">
        <f t="shared" si="279"/>
        <v>3</v>
      </c>
      <c r="AB2190" s="153"/>
      <c r="AC2190" s="454" t="str">
        <f t="shared" si="280"/>
        <v/>
      </c>
    </row>
    <row r="2191" spans="1:29" x14ac:dyDescent="0.35">
      <c r="A2191" s="111" t="str">
        <f t="shared" si="281"/>
        <v/>
      </c>
      <c r="B2191" s="222"/>
      <c r="C2191" s="14"/>
      <c r="D2191" s="14"/>
      <c r="E2191" s="14"/>
      <c r="F2191" s="14"/>
      <c r="G2191" s="14" t="s">
        <v>1911</v>
      </c>
      <c r="H2191" s="14"/>
      <c r="I2191" s="176"/>
      <c r="K2191" s="87"/>
      <c r="L2191" s="14"/>
      <c r="M2191" s="324">
        <f t="shared" si="278"/>
        <v>0</v>
      </c>
      <c r="N2191" s="14"/>
      <c r="O2191" s="14"/>
      <c r="P2191" s="167"/>
      <c r="Q2191" s="14"/>
      <c r="R2191" s="170">
        <f t="shared" si="282"/>
        <v>0</v>
      </c>
      <c r="S2191" s="108" t="str">
        <f t="shared" si="283"/>
        <v/>
      </c>
      <c r="T2191" s="14"/>
      <c r="U2191" s="14"/>
      <c r="V2191" s="14"/>
      <c r="W2191" s="14"/>
      <c r="X2191" s="14"/>
      <c r="Z2191" s="14"/>
      <c r="AA2191" s="2">
        <f t="shared" si="279"/>
        <v>3</v>
      </c>
      <c r="AB2191" s="153"/>
      <c r="AC2191" s="454" t="str">
        <f t="shared" si="280"/>
        <v/>
      </c>
    </row>
    <row r="2192" spans="1:29" x14ac:dyDescent="0.35">
      <c r="A2192" s="111" t="str">
        <f t="shared" si="281"/>
        <v/>
      </c>
      <c r="B2192" s="222"/>
      <c r="C2192" s="14"/>
      <c r="D2192" s="14"/>
      <c r="E2192" s="14"/>
      <c r="F2192" s="14"/>
      <c r="G2192" s="14" t="s">
        <v>1911</v>
      </c>
      <c r="H2192" s="14"/>
      <c r="I2192" s="176"/>
      <c r="K2192" s="87"/>
      <c r="L2192" s="14"/>
      <c r="M2192" s="324">
        <f t="shared" si="278"/>
        <v>0</v>
      </c>
      <c r="N2192" s="14"/>
      <c r="O2192" s="14"/>
      <c r="P2192" s="167"/>
      <c r="Q2192" s="14"/>
      <c r="R2192" s="170">
        <f t="shared" si="282"/>
        <v>0</v>
      </c>
      <c r="S2192" s="108" t="str">
        <f t="shared" si="283"/>
        <v/>
      </c>
      <c r="T2192" s="14"/>
      <c r="U2192" s="14"/>
      <c r="V2192" s="14"/>
      <c r="W2192" s="14"/>
      <c r="X2192" s="14"/>
      <c r="Z2192" s="14"/>
      <c r="AA2192" s="2">
        <f t="shared" si="279"/>
        <v>3</v>
      </c>
      <c r="AB2192" s="153"/>
      <c r="AC2192" s="454" t="str">
        <f t="shared" si="280"/>
        <v/>
      </c>
    </row>
    <row r="2193" spans="1:29" x14ac:dyDescent="0.35">
      <c r="A2193" s="111" t="str">
        <f t="shared" si="281"/>
        <v/>
      </c>
      <c r="B2193" s="222"/>
      <c r="C2193" s="14"/>
      <c r="D2193" s="14"/>
      <c r="E2193" s="14"/>
      <c r="F2193" s="14"/>
      <c r="G2193" s="14" t="s">
        <v>1911</v>
      </c>
      <c r="H2193" s="14"/>
      <c r="I2193" s="176"/>
      <c r="K2193" s="87"/>
      <c r="L2193" s="14"/>
      <c r="M2193" s="324">
        <f t="shared" si="278"/>
        <v>0</v>
      </c>
      <c r="N2193" s="14"/>
      <c r="O2193" s="14"/>
      <c r="P2193" s="167"/>
      <c r="Q2193" s="14"/>
      <c r="R2193" s="170">
        <f t="shared" si="282"/>
        <v>0</v>
      </c>
      <c r="S2193" s="108" t="str">
        <f t="shared" si="283"/>
        <v/>
      </c>
      <c r="T2193" s="14"/>
      <c r="U2193" s="14"/>
      <c r="V2193" s="14"/>
      <c r="W2193" s="14"/>
      <c r="X2193" s="14"/>
      <c r="Z2193" s="14"/>
      <c r="AA2193" s="2">
        <f t="shared" si="279"/>
        <v>3</v>
      </c>
      <c r="AB2193" s="153"/>
      <c r="AC2193" s="454" t="str">
        <f t="shared" si="280"/>
        <v/>
      </c>
    </row>
    <row r="2194" spans="1:29" x14ac:dyDescent="0.35">
      <c r="A2194" s="111" t="str">
        <f t="shared" si="281"/>
        <v/>
      </c>
      <c r="B2194" s="222"/>
      <c r="C2194" s="14"/>
      <c r="D2194" s="14"/>
      <c r="E2194" s="14"/>
      <c r="F2194" s="14"/>
      <c r="G2194" s="14" t="s">
        <v>1911</v>
      </c>
      <c r="H2194" s="14"/>
      <c r="I2194" s="176"/>
      <c r="K2194" s="87"/>
      <c r="L2194" s="14"/>
      <c r="M2194" s="324">
        <f t="shared" si="278"/>
        <v>0</v>
      </c>
      <c r="N2194" s="14"/>
      <c r="O2194" s="14"/>
      <c r="P2194" s="167"/>
      <c r="Q2194" s="14"/>
      <c r="R2194" s="170">
        <f t="shared" si="282"/>
        <v>0</v>
      </c>
      <c r="S2194" s="108" t="str">
        <f t="shared" si="283"/>
        <v/>
      </c>
      <c r="T2194" s="14"/>
      <c r="U2194" s="14"/>
      <c r="V2194" s="14"/>
      <c r="W2194" s="14"/>
      <c r="X2194" s="14"/>
      <c r="Z2194" s="14"/>
      <c r="AA2194" s="2">
        <f t="shared" si="279"/>
        <v>3</v>
      </c>
      <c r="AB2194" s="153"/>
      <c r="AC2194" s="454" t="str">
        <f t="shared" si="280"/>
        <v/>
      </c>
    </row>
    <row r="2195" spans="1:29" x14ac:dyDescent="0.35">
      <c r="A2195" s="111" t="str">
        <f t="shared" si="281"/>
        <v/>
      </c>
      <c r="B2195" s="222"/>
      <c r="C2195" s="14"/>
      <c r="D2195" s="14"/>
      <c r="E2195" s="14"/>
      <c r="F2195" s="14"/>
      <c r="G2195" s="14" t="s">
        <v>1911</v>
      </c>
      <c r="H2195" s="14"/>
      <c r="I2195" s="176"/>
      <c r="K2195" s="87"/>
      <c r="L2195" s="14"/>
      <c r="M2195" s="324">
        <f t="shared" si="278"/>
        <v>0</v>
      </c>
      <c r="N2195" s="14"/>
      <c r="O2195" s="14"/>
      <c r="P2195" s="167"/>
      <c r="Q2195" s="14"/>
      <c r="R2195" s="170">
        <f t="shared" si="282"/>
        <v>0</v>
      </c>
      <c r="S2195" s="108" t="str">
        <f t="shared" si="283"/>
        <v/>
      </c>
      <c r="T2195" s="14"/>
      <c r="U2195" s="14"/>
      <c r="V2195" s="14"/>
      <c r="W2195" s="14"/>
      <c r="X2195" s="14"/>
      <c r="Z2195" s="14"/>
      <c r="AA2195" s="2">
        <f t="shared" si="279"/>
        <v>3</v>
      </c>
      <c r="AB2195" s="153"/>
      <c r="AC2195" s="454" t="str">
        <f t="shared" si="280"/>
        <v/>
      </c>
    </row>
    <row r="2196" spans="1:29" x14ac:dyDescent="0.35">
      <c r="A2196" s="111" t="str">
        <f t="shared" si="281"/>
        <v/>
      </c>
      <c r="B2196" s="222"/>
      <c r="C2196" s="14"/>
      <c r="D2196" s="14"/>
      <c r="E2196" s="14"/>
      <c r="F2196" s="14"/>
      <c r="G2196" s="14" t="s">
        <v>1911</v>
      </c>
      <c r="H2196" s="14"/>
      <c r="I2196" s="176"/>
      <c r="K2196" s="87"/>
      <c r="L2196" s="14"/>
      <c r="M2196" s="324">
        <f t="shared" ref="M2196:M2259" si="284">IF(I2196="Staff Accident","Entry Required",IF(I2196="Assaults","Entry Required",0))</f>
        <v>0</v>
      </c>
      <c r="N2196" s="14"/>
      <c r="O2196" s="14"/>
      <c r="P2196" s="167"/>
      <c r="Q2196" s="14"/>
      <c r="R2196" s="170">
        <f t="shared" si="282"/>
        <v>0</v>
      </c>
      <c r="S2196" s="108" t="str">
        <f t="shared" si="283"/>
        <v/>
      </c>
      <c r="T2196" s="14"/>
      <c r="U2196" s="14"/>
      <c r="V2196" s="14"/>
      <c r="W2196" s="14"/>
      <c r="X2196" s="14"/>
      <c r="Z2196" s="14"/>
      <c r="AA2196" s="2">
        <f t="shared" si="279"/>
        <v>3</v>
      </c>
      <c r="AB2196" s="153"/>
      <c r="AC2196" s="454" t="str">
        <f t="shared" si="280"/>
        <v/>
      </c>
    </row>
    <row r="2197" spans="1:29" x14ac:dyDescent="0.35">
      <c r="A2197" s="111" t="str">
        <f t="shared" si="281"/>
        <v/>
      </c>
      <c r="B2197" s="222"/>
      <c r="C2197" s="14"/>
      <c r="D2197" s="14"/>
      <c r="E2197" s="14"/>
      <c r="F2197" s="14"/>
      <c r="G2197" s="14" t="s">
        <v>1911</v>
      </c>
      <c r="H2197" s="14"/>
      <c r="I2197" s="176"/>
      <c r="K2197" s="87"/>
      <c r="L2197" s="14"/>
      <c r="M2197" s="324">
        <f t="shared" si="284"/>
        <v>0</v>
      </c>
      <c r="N2197" s="14"/>
      <c r="O2197" s="14"/>
      <c r="P2197" s="167"/>
      <c r="Q2197" s="14"/>
      <c r="R2197" s="170">
        <f t="shared" si="282"/>
        <v>0</v>
      </c>
      <c r="S2197" s="108" t="str">
        <f t="shared" si="283"/>
        <v/>
      </c>
      <c r="T2197" s="14"/>
      <c r="U2197" s="14"/>
      <c r="V2197" s="14"/>
      <c r="W2197" s="14"/>
      <c r="X2197" s="14"/>
      <c r="Z2197" s="14"/>
      <c r="AA2197" s="2">
        <f t="shared" si="279"/>
        <v>3</v>
      </c>
      <c r="AB2197" s="153"/>
      <c r="AC2197" s="454" t="str">
        <f t="shared" si="280"/>
        <v/>
      </c>
    </row>
    <row r="2198" spans="1:29" x14ac:dyDescent="0.35">
      <c r="A2198" s="111" t="str">
        <f t="shared" si="281"/>
        <v/>
      </c>
      <c r="B2198" s="222"/>
      <c r="C2198" s="14"/>
      <c r="D2198" s="14"/>
      <c r="E2198" s="14"/>
      <c r="F2198" s="14"/>
      <c r="G2198" s="14" t="s">
        <v>1911</v>
      </c>
      <c r="H2198" s="14"/>
      <c r="I2198" s="176"/>
      <c r="K2198" s="87"/>
      <c r="L2198" s="14"/>
      <c r="M2198" s="324">
        <f t="shared" si="284"/>
        <v>0</v>
      </c>
      <c r="N2198" s="14"/>
      <c r="O2198" s="14"/>
      <c r="P2198" s="167"/>
      <c r="Q2198" s="14"/>
      <c r="R2198" s="170">
        <f t="shared" si="282"/>
        <v>0</v>
      </c>
      <c r="S2198" s="108" t="str">
        <f t="shared" si="283"/>
        <v/>
      </c>
      <c r="T2198" s="14"/>
      <c r="U2198" s="14"/>
      <c r="V2198" s="14"/>
      <c r="W2198" s="14"/>
      <c r="X2198" s="14"/>
      <c r="Z2198" s="14"/>
      <c r="AA2198" s="2">
        <f t="shared" ref="AA2198:AA2261" si="285">IF(B2198="",3,IF(S2198&lt;$A$1,1,0))</f>
        <v>3</v>
      </c>
      <c r="AB2198" s="153"/>
      <c r="AC2198" s="454" t="str">
        <f t="shared" si="280"/>
        <v/>
      </c>
    </row>
    <row r="2199" spans="1:29" x14ac:dyDescent="0.35">
      <c r="A2199" s="111" t="str">
        <f t="shared" si="281"/>
        <v/>
      </c>
      <c r="B2199" s="222"/>
      <c r="C2199" s="14"/>
      <c r="D2199" s="14"/>
      <c r="E2199" s="14"/>
      <c r="F2199" s="14"/>
      <c r="G2199" s="14" t="s">
        <v>1911</v>
      </c>
      <c r="H2199" s="14"/>
      <c r="I2199" s="176"/>
      <c r="K2199" s="87"/>
      <c r="L2199" s="14"/>
      <c r="M2199" s="324">
        <f t="shared" si="284"/>
        <v>0</v>
      </c>
      <c r="N2199" s="14"/>
      <c r="O2199" s="14"/>
      <c r="P2199" s="167"/>
      <c r="Q2199" s="14"/>
      <c r="R2199" s="170">
        <f t="shared" si="282"/>
        <v>0</v>
      </c>
      <c r="S2199" s="108" t="str">
        <f t="shared" si="283"/>
        <v/>
      </c>
      <c r="T2199" s="14"/>
      <c r="U2199" s="14"/>
      <c r="V2199" s="14"/>
      <c r="W2199" s="14"/>
      <c r="X2199" s="14"/>
      <c r="Z2199" s="14"/>
      <c r="AA2199" s="2">
        <f t="shared" si="285"/>
        <v>3</v>
      </c>
      <c r="AB2199" s="153"/>
      <c r="AC2199" s="454" t="str">
        <f t="shared" si="280"/>
        <v/>
      </c>
    </row>
    <row r="2200" spans="1:29" x14ac:dyDescent="0.35">
      <c r="A2200" s="111" t="str">
        <f t="shared" si="281"/>
        <v/>
      </c>
      <c r="B2200" s="222"/>
      <c r="C2200" s="14"/>
      <c r="D2200" s="14"/>
      <c r="E2200" s="14"/>
      <c r="F2200" s="14"/>
      <c r="G2200" s="14" t="s">
        <v>1911</v>
      </c>
      <c r="H2200" s="14"/>
      <c r="I2200" s="176"/>
      <c r="K2200" s="87"/>
      <c r="L2200" s="14"/>
      <c r="M2200" s="324">
        <f t="shared" si="284"/>
        <v>0</v>
      </c>
      <c r="N2200" s="14"/>
      <c r="O2200" s="14"/>
      <c r="P2200" s="167"/>
      <c r="Q2200" s="14"/>
      <c r="R2200" s="170">
        <f t="shared" si="282"/>
        <v>0</v>
      </c>
      <c r="S2200" s="108" t="str">
        <f t="shared" si="283"/>
        <v/>
      </c>
      <c r="T2200" s="14"/>
      <c r="U2200" s="14"/>
      <c r="V2200" s="14"/>
      <c r="W2200" s="14"/>
      <c r="X2200" s="14"/>
      <c r="Z2200" s="14"/>
      <c r="AA2200" s="2">
        <f t="shared" si="285"/>
        <v>3</v>
      </c>
      <c r="AB2200" s="153"/>
      <c r="AC2200" s="454" t="str">
        <f t="shared" si="280"/>
        <v/>
      </c>
    </row>
    <row r="2201" spans="1:29" x14ac:dyDescent="0.35">
      <c r="A2201" s="111" t="str">
        <f t="shared" si="281"/>
        <v/>
      </c>
      <c r="B2201" s="222"/>
      <c r="C2201" s="14"/>
      <c r="D2201" s="14"/>
      <c r="E2201" s="14"/>
      <c r="F2201" s="14"/>
      <c r="G2201" s="14" t="s">
        <v>1911</v>
      </c>
      <c r="H2201" s="14"/>
      <c r="I2201" s="176"/>
      <c r="K2201" s="87"/>
      <c r="L2201" s="14"/>
      <c r="M2201" s="324">
        <f t="shared" si="284"/>
        <v>0</v>
      </c>
      <c r="N2201" s="14"/>
      <c r="O2201" s="14"/>
      <c r="P2201" s="167"/>
      <c r="Q2201" s="14"/>
      <c r="R2201" s="170">
        <f t="shared" si="282"/>
        <v>0</v>
      </c>
      <c r="S2201" s="108" t="str">
        <f t="shared" si="283"/>
        <v/>
      </c>
      <c r="T2201" s="14"/>
      <c r="U2201" s="14"/>
      <c r="V2201" s="14"/>
      <c r="W2201" s="14"/>
      <c r="X2201" s="14"/>
      <c r="Z2201" s="14"/>
      <c r="AA2201" s="2">
        <f t="shared" si="285"/>
        <v>3</v>
      </c>
      <c r="AB2201" s="153"/>
      <c r="AC2201" s="454" t="str">
        <f t="shared" si="280"/>
        <v/>
      </c>
    </row>
    <row r="2202" spans="1:29" x14ac:dyDescent="0.35">
      <c r="A2202" s="111" t="str">
        <f t="shared" si="281"/>
        <v/>
      </c>
      <c r="B2202" s="222"/>
      <c r="C2202" s="14"/>
      <c r="D2202" s="14"/>
      <c r="E2202" s="14"/>
      <c r="F2202" s="14"/>
      <c r="G2202" s="14" t="s">
        <v>1911</v>
      </c>
      <c r="H2202" s="14"/>
      <c r="I2202" s="176"/>
      <c r="K2202" s="87"/>
      <c r="L2202" s="14"/>
      <c r="M2202" s="324">
        <f t="shared" si="284"/>
        <v>0</v>
      </c>
      <c r="N2202" s="14"/>
      <c r="O2202" s="14"/>
      <c r="P2202" s="167"/>
      <c r="Q2202" s="14"/>
      <c r="R2202" s="170">
        <f t="shared" si="282"/>
        <v>0</v>
      </c>
      <c r="S2202" s="108" t="str">
        <f t="shared" si="283"/>
        <v/>
      </c>
      <c r="T2202" s="14"/>
      <c r="U2202" s="14"/>
      <c r="V2202" s="14"/>
      <c r="W2202" s="14"/>
      <c r="X2202" s="14"/>
      <c r="Z2202" s="14"/>
      <c r="AA2202" s="2">
        <f t="shared" si="285"/>
        <v>3</v>
      </c>
      <c r="AB2202" s="153"/>
      <c r="AC2202" s="454" t="str">
        <f t="shared" ref="AC2202:AC2265" si="286">LEFT(H2202,1)</f>
        <v/>
      </c>
    </row>
    <row r="2203" spans="1:29" x14ac:dyDescent="0.35">
      <c r="A2203" s="111" t="str">
        <f t="shared" si="281"/>
        <v/>
      </c>
      <c r="B2203" s="222"/>
      <c r="C2203" s="14"/>
      <c r="D2203" s="14"/>
      <c r="E2203" s="14"/>
      <c r="F2203" s="14"/>
      <c r="G2203" s="14" t="s">
        <v>1911</v>
      </c>
      <c r="H2203" s="14"/>
      <c r="I2203" s="176"/>
      <c r="K2203" s="87"/>
      <c r="L2203" s="14"/>
      <c r="M2203" s="324">
        <f t="shared" si="284"/>
        <v>0</v>
      </c>
      <c r="N2203" s="14"/>
      <c r="O2203" s="14"/>
      <c r="P2203" s="167"/>
      <c r="Q2203" s="14"/>
      <c r="R2203" s="170">
        <f t="shared" si="282"/>
        <v>0</v>
      </c>
      <c r="S2203" s="108" t="str">
        <f t="shared" si="283"/>
        <v/>
      </c>
      <c r="T2203" s="14"/>
      <c r="U2203" s="14"/>
      <c r="V2203" s="14"/>
      <c r="W2203" s="14"/>
      <c r="X2203" s="14"/>
      <c r="Z2203" s="14"/>
      <c r="AA2203" s="2">
        <f t="shared" si="285"/>
        <v>3</v>
      </c>
      <c r="AB2203" s="153"/>
      <c r="AC2203" s="454" t="str">
        <f t="shared" si="286"/>
        <v/>
      </c>
    </row>
    <row r="2204" spans="1:29" x14ac:dyDescent="0.35">
      <c r="A2204" s="111" t="str">
        <f t="shared" si="281"/>
        <v/>
      </c>
      <c r="B2204" s="222"/>
      <c r="C2204" s="14"/>
      <c r="D2204" s="14"/>
      <c r="E2204" s="14"/>
      <c r="F2204" s="14"/>
      <c r="G2204" s="14" t="s">
        <v>1911</v>
      </c>
      <c r="H2204" s="14"/>
      <c r="I2204" s="176"/>
      <c r="K2204" s="87"/>
      <c r="L2204" s="14"/>
      <c r="M2204" s="324">
        <f t="shared" si="284"/>
        <v>0</v>
      </c>
      <c r="N2204" s="14"/>
      <c r="O2204" s="14"/>
      <c r="P2204" s="167"/>
      <c r="Q2204" s="14"/>
      <c r="R2204" s="170">
        <f t="shared" si="282"/>
        <v>0</v>
      </c>
      <c r="S2204" s="108" t="str">
        <f t="shared" si="283"/>
        <v/>
      </c>
      <c r="T2204" s="14"/>
      <c r="U2204" s="14"/>
      <c r="V2204" s="14"/>
      <c r="W2204" s="14"/>
      <c r="X2204" s="14"/>
      <c r="Z2204" s="14"/>
      <c r="AA2204" s="2">
        <f t="shared" si="285"/>
        <v>3</v>
      </c>
      <c r="AB2204" s="153"/>
      <c r="AC2204" s="454" t="str">
        <f t="shared" si="286"/>
        <v/>
      </c>
    </row>
    <row r="2205" spans="1:29" x14ac:dyDescent="0.35">
      <c r="A2205" s="111" t="str">
        <f t="shared" si="281"/>
        <v/>
      </c>
      <c r="B2205" s="222"/>
      <c r="C2205" s="14"/>
      <c r="D2205" s="14"/>
      <c r="E2205" s="14"/>
      <c r="F2205" s="14"/>
      <c r="G2205" s="14" t="s">
        <v>1911</v>
      </c>
      <c r="H2205" s="14"/>
      <c r="I2205" s="176"/>
      <c r="K2205" s="87"/>
      <c r="L2205" s="14"/>
      <c r="M2205" s="324">
        <f t="shared" si="284"/>
        <v>0</v>
      </c>
      <c r="N2205" s="14"/>
      <c r="O2205" s="14"/>
      <c r="P2205" s="167"/>
      <c r="Q2205" s="14"/>
      <c r="R2205" s="170">
        <f t="shared" si="282"/>
        <v>0</v>
      </c>
      <c r="S2205" s="108" t="str">
        <f t="shared" si="283"/>
        <v/>
      </c>
      <c r="T2205" s="14"/>
      <c r="U2205" s="14"/>
      <c r="V2205" s="14"/>
      <c r="W2205" s="14"/>
      <c r="X2205" s="14"/>
      <c r="Z2205" s="14"/>
      <c r="AA2205" s="2">
        <f t="shared" si="285"/>
        <v>3</v>
      </c>
      <c r="AB2205" s="153"/>
      <c r="AC2205" s="454" t="str">
        <f t="shared" si="286"/>
        <v/>
      </c>
    </row>
    <row r="2206" spans="1:29" x14ac:dyDescent="0.35">
      <c r="A2206" s="111" t="str">
        <f t="shared" si="281"/>
        <v/>
      </c>
      <c r="B2206" s="222"/>
      <c r="C2206" s="14"/>
      <c r="D2206" s="14"/>
      <c r="E2206" s="14"/>
      <c r="F2206" s="14"/>
      <c r="G2206" s="14" t="s">
        <v>1911</v>
      </c>
      <c r="H2206" s="14"/>
      <c r="I2206" s="176"/>
      <c r="K2206" s="87"/>
      <c r="L2206" s="14"/>
      <c r="M2206" s="324">
        <f t="shared" si="284"/>
        <v>0</v>
      </c>
      <c r="N2206" s="14"/>
      <c r="O2206" s="14"/>
      <c r="P2206" s="167"/>
      <c r="Q2206" s="14"/>
      <c r="R2206" s="170">
        <f t="shared" si="282"/>
        <v>0</v>
      </c>
      <c r="S2206" s="108" t="str">
        <f t="shared" si="283"/>
        <v/>
      </c>
      <c r="T2206" s="14"/>
      <c r="U2206" s="14"/>
      <c r="V2206" s="14"/>
      <c r="W2206" s="14"/>
      <c r="X2206" s="14"/>
      <c r="Z2206" s="14"/>
      <c r="AA2206" s="2">
        <f t="shared" si="285"/>
        <v>3</v>
      </c>
      <c r="AB2206" s="153"/>
      <c r="AC2206" s="454" t="str">
        <f t="shared" si="286"/>
        <v/>
      </c>
    </row>
    <row r="2207" spans="1:29" x14ac:dyDescent="0.35">
      <c r="A2207" s="111" t="str">
        <f t="shared" ref="A2207:A2270" si="287">IF(T2207&gt;1,"Closed",IF(AA2207=1,"Overdue",IF(AA2207=3,"","Open")))</f>
        <v/>
      </c>
      <c r="B2207" s="222"/>
      <c r="C2207" s="14"/>
      <c r="D2207" s="14"/>
      <c r="E2207" s="14"/>
      <c r="F2207" s="14"/>
      <c r="G2207" s="14" t="s">
        <v>1911</v>
      </c>
      <c r="H2207" s="14"/>
      <c r="I2207" s="176"/>
      <c r="K2207" s="87"/>
      <c r="L2207" s="14"/>
      <c r="M2207" s="324">
        <f t="shared" si="284"/>
        <v>0</v>
      </c>
      <c r="N2207" s="14"/>
      <c r="O2207" s="14"/>
      <c r="P2207" s="167"/>
      <c r="Q2207" s="14"/>
      <c r="R2207" s="170">
        <f t="shared" si="282"/>
        <v>0</v>
      </c>
      <c r="S2207" s="108" t="str">
        <f t="shared" si="283"/>
        <v/>
      </c>
      <c r="T2207" s="14"/>
      <c r="U2207" s="14"/>
      <c r="V2207" s="14"/>
      <c r="W2207" s="14"/>
      <c r="X2207" s="14"/>
      <c r="Z2207" s="14"/>
      <c r="AA2207" s="2">
        <f t="shared" si="285"/>
        <v>3</v>
      </c>
      <c r="AB2207" s="153"/>
      <c r="AC2207" s="454" t="str">
        <f t="shared" si="286"/>
        <v/>
      </c>
    </row>
    <row r="2208" spans="1:29" x14ac:dyDescent="0.35">
      <c r="A2208" s="111" t="str">
        <f t="shared" si="287"/>
        <v/>
      </c>
      <c r="B2208" s="222"/>
      <c r="C2208" s="14"/>
      <c r="D2208" s="14"/>
      <c r="E2208" s="14"/>
      <c r="F2208" s="14"/>
      <c r="G2208" s="14" t="s">
        <v>1911</v>
      </c>
      <c r="H2208" s="14"/>
      <c r="I2208" s="176"/>
      <c r="K2208" s="87"/>
      <c r="L2208" s="14"/>
      <c r="M2208" s="324">
        <f t="shared" si="284"/>
        <v>0</v>
      </c>
      <c r="N2208" s="14"/>
      <c r="O2208" s="14"/>
      <c r="P2208" s="167"/>
      <c r="Q2208" s="14"/>
      <c r="R2208" s="170">
        <f t="shared" si="282"/>
        <v>0</v>
      </c>
      <c r="S2208" s="108" t="str">
        <f t="shared" si="283"/>
        <v/>
      </c>
      <c r="T2208" s="14"/>
      <c r="U2208" s="14"/>
      <c r="V2208" s="14"/>
      <c r="W2208" s="14"/>
      <c r="X2208" s="14"/>
      <c r="Z2208" s="14"/>
      <c r="AA2208" s="2">
        <f t="shared" si="285"/>
        <v>3</v>
      </c>
      <c r="AB2208" s="153"/>
      <c r="AC2208" s="454" t="str">
        <f t="shared" si="286"/>
        <v/>
      </c>
    </row>
    <row r="2209" spans="1:29" x14ac:dyDescent="0.35">
      <c r="A2209" s="111" t="str">
        <f t="shared" si="287"/>
        <v/>
      </c>
      <c r="B2209" s="222"/>
      <c r="C2209" s="14"/>
      <c r="D2209" s="14"/>
      <c r="E2209" s="14"/>
      <c r="F2209" s="14"/>
      <c r="G2209" s="14" t="s">
        <v>1911</v>
      </c>
      <c r="H2209" s="14"/>
      <c r="I2209" s="176"/>
      <c r="K2209" s="87"/>
      <c r="L2209" s="14"/>
      <c r="M2209" s="324">
        <f t="shared" si="284"/>
        <v>0</v>
      </c>
      <c r="N2209" s="14"/>
      <c r="O2209" s="14"/>
      <c r="P2209" s="167"/>
      <c r="Q2209" s="14"/>
      <c r="R2209" s="170">
        <f t="shared" si="282"/>
        <v>0</v>
      </c>
      <c r="S2209" s="108" t="str">
        <f t="shared" si="283"/>
        <v/>
      </c>
      <c r="T2209" s="14"/>
      <c r="U2209" s="14"/>
      <c r="V2209" s="14"/>
      <c r="W2209" s="14"/>
      <c r="X2209" s="14"/>
      <c r="Z2209" s="14"/>
      <c r="AA2209" s="2">
        <f t="shared" si="285"/>
        <v>3</v>
      </c>
      <c r="AB2209" s="153"/>
      <c r="AC2209" s="454" t="str">
        <f t="shared" si="286"/>
        <v/>
      </c>
    </row>
    <row r="2210" spans="1:29" x14ac:dyDescent="0.35">
      <c r="A2210" s="111" t="str">
        <f t="shared" si="287"/>
        <v/>
      </c>
      <c r="B2210" s="222"/>
      <c r="C2210" s="14"/>
      <c r="D2210" s="14"/>
      <c r="E2210" s="14"/>
      <c r="F2210" s="14"/>
      <c r="G2210" s="14" t="s">
        <v>1911</v>
      </c>
      <c r="H2210" s="14"/>
      <c r="I2210" s="176"/>
      <c r="K2210" s="87"/>
      <c r="L2210" s="14"/>
      <c r="M2210" s="324">
        <f t="shared" si="284"/>
        <v>0</v>
      </c>
      <c r="N2210" s="14"/>
      <c r="O2210" s="14"/>
      <c r="P2210" s="167"/>
      <c r="Q2210" s="14"/>
      <c r="R2210" s="170">
        <f t="shared" si="282"/>
        <v>0</v>
      </c>
      <c r="S2210" s="108" t="str">
        <f t="shared" si="283"/>
        <v/>
      </c>
      <c r="T2210" s="14"/>
      <c r="U2210" s="14"/>
      <c r="V2210" s="14"/>
      <c r="W2210" s="14"/>
      <c r="X2210" s="14"/>
      <c r="Z2210" s="14"/>
      <c r="AA2210" s="2">
        <f t="shared" si="285"/>
        <v>3</v>
      </c>
      <c r="AB2210" s="153"/>
      <c r="AC2210" s="454" t="str">
        <f t="shared" si="286"/>
        <v/>
      </c>
    </row>
    <row r="2211" spans="1:29" x14ac:dyDescent="0.35">
      <c r="A2211" s="111" t="str">
        <f t="shared" si="287"/>
        <v/>
      </c>
      <c r="B2211" s="222"/>
      <c r="C2211" s="14"/>
      <c r="D2211" s="14"/>
      <c r="E2211" s="14"/>
      <c r="F2211" s="14"/>
      <c r="G2211" s="14" t="s">
        <v>1911</v>
      </c>
      <c r="H2211" s="14"/>
      <c r="I2211" s="176"/>
      <c r="K2211" s="87"/>
      <c r="L2211" s="14"/>
      <c r="M2211" s="324">
        <f t="shared" si="284"/>
        <v>0</v>
      </c>
      <c r="N2211" s="14"/>
      <c r="O2211" s="14"/>
      <c r="P2211" s="167"/>
      <c r="Q2211" s="14"/>
      <c r="R2211" s="170">
        <f t="shared" si="282"/>
        <v>0</v>
      </c>
      <c r="S2211" s="108" t="str">
        <f t="shared" si="283"/>
        <v/>
      </c>
      <c r="T2211" s="14"/>
      <c r="U2211" s="14"/>
      <c r="V2211" s="14"/>
      <c r="W2211" s="14"/>
      <c r="X2211" s="14"/>
      <c r="Z2211" s="14"/>
      <c r="AA2211" s="2">
        <f t="shared" si="285"/>
        <v>3</v>
      </c>
      <c r="AB2211" s="153"/>
      <c r="AC2211" s="454" t="str">
        <f t="shared" si="286"/>
        <v/>
      </c>
    </row>
    <row r="2212" spans="1:29" x14ac:dyDescent="0.35">
      <c r="A2212" s="111" t="str">
        <f t="shared" si="287"/>
        <v/>
      </c>
      <c r="B2212" s="222"/>
      <c r="C2212" s="14"/>
      <c r="D2212" s="14"/>
      <c r="E2212" s="14"/>
      <c r="F2212" s="14"/>
      <c r="G2212" s="14" t="s">
        <v>1911</v>
      </c>
      <c r="H2212" s="14"/>
      <c r="I2212" s="176"/>
      <c r="K2212" s="87"/>
      <c r="L2212" s="14"/>
      <c r="M2212" s="324">
        <f t="shared" si="284"/>
        <v>0</v>
      </c>
      <c r="N2212" s="14"/>
      <c r="O2212" s="14"/>
      <c r="P2212" s="167"/>
      <c r="Q2212" s="14"/>
      <c r="R2212" s="170">
        <f t="shared" si="282"/>
        <v>0</v>
      </c>
      <c r="S2212" s="108" t="str">
        <f t="shared" si="283"/>
        <v/>
      </c>
      <c r="T2212" s="14"/>
      <c r="U2212" s="14"/>
      <c r="V2212" s="14"/>
      <c r="W2212" s="14"/>
      <c r="X2212" s="14"/>
      <c r="Z2212" s="14"/>
      <c r="AA2212" s="2">
        <f t="shared" si="285"/>
        <v>3</v>
      </c>
      <c r="AB2212" s="153"/>
      <c r="AC2212" s="454" t="str">
        <f t="shared" si="286"/>
        <v/>
      </c>
    </row>
    <row r="2213" spans="1:29" x14ac:dyDescent="0.35">
      <c r="A2213" s="111" t="str">
        <f t="shared" si="287"/>
        <v/>
      </c>
      <c r="B2213" s="222"/>
      <c r="C2213" s="14"/>
      <c r="D2213" s="14"/>
      <c r="E2213" s="14"/>
      <c r="F2213" s="14"/>
      <c r="G2213" s="14" t="s">
        <v>1911</v>
      </c>
      <c r="H2213" s="14"/>
      <c r="I2213" s="176"/>
      <c r="K2213" s="87"/>
      <c r="L2213" s="14"/>
      <c r="M2213" s="324">
        <f t="shared" si="284"/>
        <v>0</v>
      </c>
      <c r="N2213" s="14"/>
      <c r="O2213" s="14"/>
      <c r="P2213" s="167"/>
      <c r="Q2213" s="14"/>
      <c r="R2213" s="170">
        <f t="shared" si="282"/>
        <v>0</v>
      </c>
      <c r="S2213" s="108" t="str">
        <f t="shared" si="283"/>
        <v/>
      </c>
      <c r="T2213" s="14"/>
      <c r="U2213" s="14"/>
      <c r="V2213" s="14"/>
      <c r="W2213" s="14"/>
      <c r="X2213" s="14"/>
      <c r="Z2213" s="14"/>
      <c r="AA2213" s="2">
        <f t="shared" si="285"/>
        <v>3</v>
      </c>
      <c r="AB2213" s="153"/>
      <c r="AC2213" s="454" t="str">
        <f t="shared" si="286"/>
        <v/>
      </c>
    </row>
    <row r="2214" spans="1:29" x14ac:dyDescent="0.35">
      <c r="A2214" s="111" t="str">
        <f t="shared" si="287"/>
        <v/>
      </c>
      <c r="B2214" s="222"/>
      <c r="C2214" s="14"/>
      <c r="D2214" s="14"/>
      <c r="E2214" s="14"/>
      <c r="F2214" s="14"/>
      <c r="G2214" s="14" t="s">
        <v>1911</v>
      </c>
      <c r="H2214" s="14"/>
      <c r="I2214" s="176"/>
      <c r="K2214" s="87"/>
      <c r="L2214" s="14"/>
      <c r="M2214" s="324">
        <f t="shared" si="284"/>
        <v>0</v>
      </c>
      <c r="N2214" s="14"/>
      <c r="O2214" s="14"/>
      <c r="P2214" s="167"/>
      <c r="Q2214" s="14"/>
      <c r="R2214" s="170">
        <f t="shared" si="282"/>
        <v>0</v>
      </c>
      <c r="S2214" s="108" t="str">
        <f t="shared" si="283"/>
        <v/>
      </c>
      <c r="T2214" s="14"/>
      <c r="U2214" s="14"/>
      <c r="V2214" s="14"/>
      <c r="W2214" s="14"/>
      <c r="X2214" s="14"/>
      <c r="Z2214" s="14"/>
      <c r="AA2214" s="2">
        <f t="shared" si="285"/>
        <v>3</v>
      </c>
      <c r="AB2214" s="153"/>
      <c r="AC2214" s="454" t="str">
        <f t="shared" si="286"/>
        <v/>
      </c>
    </row>
    <row r="2215" spans="1:29" x14ac:dyDescent="0.35">
      <c r="A2215" s="111" t="str">
        <f t="shared" si="287"/>
        <v/>
      </c>
      <c r="B2215" s="222"/>
      <c r="C2215" s="14"/>
      <c r="D2215" s="14"/>
      <c r="E2215" s="14"/>
      <c r="F2215" s="14"/>
      <c r="G2215" s="14" t="s">
        <v>1911</v>
      </c>
      <c r="H2215" s="14"/>
      <c r="I2215" s="176"/>
      <c r="K2215" s="87"/>
      <c r="L2215" s="14"/>
      <c r="M2215" s="324">
        <f t="shared" si="284"/>
        <v>0</v>
      </c>
      <c r="N2215" s="14"/>
      <c r="O2215" s="14"/>
      <c r="P2215" s="167"/>
      <c r="Q2215" s="14"/>
      <c r="R2215" s="170">
        <f t="shared" si="282"/>
        <v>0</v>
      </c>
      <c r="S2215" s="108" t="str">
        <f t="shared" si="283"/>
        <v/>
      </c>
      <c r="T2215" s="14"/>
      <c r="U2215" s="14"/>
      <c r="V2215" s="14"/>
      <c r="W2215" s="14"/>
      <c r="X2215" s="14"/>
      <c r="Z2215" s="14"/>
      <c r="AA2215" s="2">
        <f t="shared" si="285"/>
        <v>3</v>
      </c>
      <c r="AB2215" s="153"/>
      <c r="AC2215" s="454" t="str">
        <f t="shared" si="286"/>
        <v/>
      </c>
    </row>
    <row r="2216" spans="1:29" x14ac:dyDescent="0.35">
      <c r="A2216" s="111" t="str">
        <f t="shared" si="287"/>
        <v/>
      </c>
      <c r="B2216" s="222"/>
      <c r="C2216" s="14"/>
      <c r="D2216" s="14"/>
      <c r="E2216" s="14"/>
      <c r="F2216" s="14"/>
      <c r="G2216" s="14" t="s">
        <v>1911</v>
      </c>
      <c r="H2216" s="14"/>
      <c r="I2216" s="176"/>
      <c r="K2216" s="87"/>
      <c r="L2216" s="14"/>
      <c r="M2216" s="324">
        <f t="shared" si="284"/>
        <v>0</v>
      </c>
      <c r="N2216" s="14"/>
      <c r="O2216" s="14"/>
      <c r="P2216" s="167"/>
      <c r="Q2216" s="14"/>
      <c r="R2216" s="170">
        <f t="shared" si="282"/>
        <v>0</v>
      </c>
      <c r="S2216" s="108" t="str">
        <f t="shared" si="283"/>
        <v/>
      </c>
      <c r="T2216" s="14"/>
      <c r="U2216" s="14"/>
      <c r="V2216" s="14"/>
      <c r="W2216" s="14"/>
      <c r="X2216" s="14"/>
      <c r="Z2216" s="14"/>
      <c r="AA2216" s="2">
        <f t="shared" si="285"/>
        <v>3</v>
      </c>
      <c r="AB2216" s="153"/>
      <c r="AC2216" s="454" t="str">
        <f t="shared" si="286"/>
        <v/>
      </c>
    </row>
    <row r="2217" spans="1:29" x14ac:dyDescent="0.35">
      <c r="A2217" s="111" t="str">
        <f t="shared" si="287"/>
        <v/>
      </c>
      <c r="B2217" s="222"/>
      <c r="C2217" s="14"/>
      <c r="D2217" s="14"/>
      <c r="E2217" s="14"/>
      <c r="F2217" s="14"/>
      <c r="G2217" s="14" t="s">
        <v>1911</v>
      </c>
      <c r="H2217" s="14"/>
      <c r="I2217" s="176"/>
      <c r="K2217" s="87"/>
      <c r="L2217" s="14"/>
      <c r="M2217" s="324">
        <f t="shared" si="284"/>
        <v>0</v>
      </c>
      <c r="N2217" s="14"/>
      <c r="O2217" s="14"/>
      <c r="P2217" s="167"/>
      <c r="Q2217" s="14"/>
      <c r="R2217" s="170">
        <f t="shared" si="282"/>
        <v>0</v>
      </c>
      <c r="S2217" s="108" t="str">
        <f t="shared" si="283"/>
        <v/>
      </c>
      <c r="T2217" s="14"/>
      <c r="U2217" s="14"/>
      <c r="V2217" s="14"/>
      <c r="W2217" s="14"/>
      <c r="X2217" s="14"/>
      <c r="Z2217" s="14"/>
      <c r="AA2217" s="2">
        <f t="shared" si="285"/>
        <v>3</v>
      </c>
      <c r="AB2217" s="153"/>
      <c r="AC2217" s="454" t="str">
        <f t="shared" si="286"/>
        <v/>
      </c>
    </row>
    <row r="2218" spans="1:29" x14ac:dyDescent="0.35">
      <c r="A2218" s="111" t="str">
        <f t="shared" si="287"/>
        <v/>
      </c>
      <c r="B2218" s="222"/>
      <c r="C2218" s="14"/>
      <c r="D2218" s="14"/>
      <c r="E2218" s="14"/>
      <c r="F2218" s="14"/>
      <c r="G2218" s="14" t="s">
        <v>1911</v>
      </c>
      <c r="H2218" s="14"/>
      <c r="I2218" s="176"/>
      <c r="K2218" s="87"/>
      <c r="L2218" s="14"/>
      <c r="M2218" s="324">
        <f t="shared" si="284"/>
        <v>0</v>
      </c>
      <c r="N2218" s="14"/>
      <c r="O2218" s="14"/>
      <c r="P2218" s="167"/>
      <c r="Q2218" s="14"/>
      <c r="R2218" s="170">
        <f t="shared" si="282"/>
        <v>0</v>
      </c>
      <c r="S2218" s="108" t="str">
        <f t="shared" si="283"/>
        <v/>
      </c>
      <c r="T2218" s="14"/>
      <c r="U2218" s="14"/>
      <c r="V2218" s="14"/>
      <c r="W2218" s="14"/>
      <c r="X2218" s="14"/>
      <c r="Z2218" s="14"/>
      <c r="AA2218" s="2">
        <f t="shared" si="285"/>
        <v>3</v>
      </c>
      <c r="AB2218" s="153"/>
      <c r="AC2218" s="454" t="str">
        <f t="shared" si="286"/>
        <v/>
      </c>
    </row>
    <row r="2219" spans="1:29" x14ac:dyDescent="0.35">
      <c r="A2219" s="111" t="str">
        <f t="shared" si="287"/>
        <v/>
      </c>
      <c r="B2219" s="222"/>
      <c r="C2219" s="14"/>
      <c r="D2219" s="14"/>
      <c r="E2219" s="14"/>
      <c r="F2219" s="14"/>
      <c r="G2219" s="14" t="s">
        <v>1911</v>
      </c>
      <c r="H2219" s="14"/>
      <c r="I2219" s="176"/>
      <c r="K2219" s="87"/>
      <c r="L2219" s="14"/>
      <c r="M2219" s="324">
        <f t="shared" si="284"/>
        <v>0</v>
      </c>
      <c r="N2219" s="14"/>
      <c r="O2219" s="14"/>
      <c r="P2219" s="167"/>
      <c r="Q2219" s="14"/>
      <c r="R2219" s="170">
        <f t="shared" si="282"/>
        <v>0</v>
      </c>
      <c r="S2219" s="108" t="str">
        <f t="shared" si="283"/>
        <v/>
      </c>
      <c r="T2219" s="14"/>
      <c r="U2219" s="14"/>
      <c r="V2219" s="14"/>
      <c r="W2219" s="14"/>
      <c r="X2219" s="14"/>
      <c r="Z2219" s="14"/>
      <c r="AA2219" s="2">
        <f t="shared" si="285"/>
        <v>3</v>
      </c>
      <c r="AB2219" s="153"/>
      <c r="AC2219" s="454" t="str">
        <f t="shared" si="286"/>
        <v/>
      </c>
    </row>
    <row r="2220" spans="1:29" x14ac:dyDescent="0.35">
      <c r="A2220" s="111" t="str">
        <f t="shared" si="287"/>
        <v/>
      </c>
      <c r="B2220" s="222"/>
      <c r="C2220" s="14"/>
      <c r="D2220" s="14"/>
      <c r="E2220" s="14"/>
      <c r="F2220" s="14"/>
      <c r="G2220" s="14" t="s">
        <v>1911</v>
      </c>
      <c r="H2220" s="14"/>
      <c r="I2220" s="176"/>
      <c r="K2220" s="87"/>
      <c r="L2220" s="14"/>
      <c r="M2220" s="324">
        <f t="shared" si="284"/>
        <v>0</v>
      </c>
      <c r="N2220" s="14"/>
      <c r="O2220" s="14"/>
      <c r="P2220" s="167"/>
      <c r="Q2220" s="14"/>
      <c r="R2220" s="170">
        <f t="shared" si="282"/>
        <v>0</v>
      </c>
      <c r="S2220" s="108" t="str">
        <f t="shared" si="283"/>
        <v/>
      </c>
      <c r="T2220" s="14"/>
      <c r="U2220" s="14"/>
      <c r="V2220" s="14"/>
      <c r="W2220" s="14"/>
      <c r="X2220" s="14"/>
      <c r="Z2220" s="14"/>
      <c r="AA2220" s="2">
        <f t="shared" si="285"/>
        <v>3</v>
      </c>
      <c r="AB2220" s="153"/>
      <c r="AC2220" s="454" t="str">
        <f t="shared" si="286"/>
        <v/>
      </c>
    </row>
    <row r="2221" spans="1:29" x14ac:dyDescent="0.35">
      <c r="A2221" s="111" t="str">
        <f t="shared" si="287"/>
        <v/>
      </c>
      <c r="B2221" s="222"/>
      <c r="C2221" s="14"/>
      <c r="D2221" s="14"/>
      <c r="E2221" s="14"/>
      <c r="F2221" s="14"/>
      <c r="G2221" s="14" t="s">
        <v>1911</v>
      </c>
      <c r="H2221" s="14"/>
      <c r="I2221" s="176"/>
      <c r="K2221" s="87"/>
      <c r="L2221" s="14"/>
      <c r="M2221" s="324">
        <f t="shared" si="284"/>
        <v>0</v>
      </c>
      <c r="N2221" s="14"/>
      <c r="O2221" s="14"/>
      <c r="P2221" s="167"/>
      <c r="Q2221" s="14"/>
      <c r="R2221" s="170">
        <f t="shared" ref="R2221:R2284" si="288">IF(I2221="Staff Accident","Entry Required",IF(I2221="Assaults","Entry Required",0))</f>
        <v>0</v>
      </c>
      <c r="S2221" s="108" t="str">
        <f t="shared" si="283"/>
        <v/>
      </c>
      <c r="T2221" s="14"/>
      <c r="U2221" s="14"/>
      <c r="V2221" s="14"/>
      <c r="W2221" s="14"/>
      <c r="X2221" s="14"/>
      <c r="Z2221" s="14"/>
      <c r="AA2221" s="2">
        <f t="shared" si="285"/>
        <v>3</v>
      </c>
      <c r="AB2221" s="153"/>
      <c r="AC2221" s="454" t="str">
        <f t="shared" si="286"/>
        <v/>
      </c>
    </row>
    <row r="2222" spans="1:29" x14ac:dyDescent="0.35">
      <c r="A2222" s="111" t="str">
        <f t="shared" si="287"/>
        <v/>
      </c>
      <c r="B2222" s="222"/>
      <c r="C2222" s="14"/>
      <c r="D2222" s="14"/>
      <c r="E2222" s="14"/>
      <c r="F2222" s="14"/>
      <c r="G2222" s="14" t="s">
        <v>1911</v>
      </c>
      <c r="H2222" s="14"/>
      <c r="I2222" s="176"/>
      <c r="K2222" s="87"/>
      <c r="L2222" s="14"/>
      <c r="M2222" s="324">
        <f t="shared" si="284"/>
        <v>0</v>
      </c>
      <c r="N2222" s="14"/>
      <c r="O2222" s="14"/>
      <c r="P2222" s="167"/>
      <c r="Q2222" s="14"/>
      <c r="R2222" s="170">
        <f t="shared" si="288"/>
        <v>0</v>
      </c>
      <c r="S2222" s="108" t="str">
        <f t="shared" si="283"/>
        <v/>
      </c>
      <c r="T2222" s="14"/>
      <c r="U2222" s="14"/>
      <c r="V2222" s="14"/>
      <c r="W2222" s="14"/>
      <c r="X2222" s="14"/>
      <c r="Z2222" s="14"/>
      <c r="AA2222" s="2">
        <f t="shared" si="285"/>
        <v>3</v>
      </c>
      <c r="AB2222" s="153"/>
      <c r="AC2222" s="454" t="str">
        <f t="shared" si="286"/>
        <v/>
      </c>
    </row>
    <row r="2223" spans="1:29" x14ac:dyDescent="0.35">
      <c r="A2223" s="111" t="str">
        <f t="shared" si="287"/>
        <v/>
      </c>
      <c r="B2223" s="222"/>
      <c r="C2223" s="14"/>
      <c r="D2223" s="14"/>
      <c r="E2223" s="14"/>
      <c r="F2223" s="14"/>
      <c r="G2223" s="14" t="s">
        <v>1911</v>
      </c>
      <c r="H2223" s="14"/>
      <c r="I2223" s="176"/>
      <c r="K2223" s="87"/>
      <c r="L2223" s="14"/>
      <c r="M2223" s="324">
        <f t="shared" si="284"/>
        <v>0</v>
      </c>
      <c r="N2223" s="14"/>
      <c r="O2223" s="14"/>
      <c r="P2223" s="167"/>
      <c r="Q2223" s="14"/>
      <c r="R2223" s="170">
        <f t="shared" si="288"/>
        <v>0</v>
      </c>
      <c r="S2223" s="108" t="str">
        <f t="shared" si="283"/>
        <v/>
      </c>
      <c r="T2223" s="14"/>
      <c r="U2223" s="14"/>
      <c r="V2223" s="14"/>
      <c r="W2223" s="14"/>
      <c r="X2223" s="14"/>
      <c r="Z2223" s="14"/>
      <c r="AA2223" s="2">
        <f t="shared" si="285"/>
        <v>3</v>
      </c>
      <c r="AB2223" s="153"/>
      <c r="AC2223" s="454" t="str">
        <f t="shared" si="286"/>
        <v/>
      </c>
    </row>
    <row r="2224" spans="1:29" x14ac:dyDescent="0.35">
      <c r="A2224" s="111" t="str">
        <f t="shared" si="287"/>
        <v/>
      </c>
      <c r="B2224" s="222"/>
      <c r="C2224" s="14"/>
      <c r="D2224" s="14"/>
      <c r="E2224" s="14"/>
      <c r="F2224" s="14"/>
      <c r="G2224" s="14" t="s">
        <v>1911</v>
      </c>
      <c r="H2224" s="14"/>
      <c r="I2224" s="176"/>
      <c r="K2224" s="87"/>
      <c r="L2224" s="14"/>
      <c r="M2224" s="324">
        <f t="shared" si="284"/>
        <v>0</v>
      </c>
      <c r="N2224" s="14"/>
      <c r="O2224" s="14"/>
      <c r="P2224" s="167"/>
      <c r="Q2224" s="14"/>
      <c r="R2224" s="170">
        <f t="shared" si="288"/>
        <v>0</v>
      </c>
      <c r="S2224" s="108" t="str">
        <f t="shared" si="283"/>
        <v/>
      </c>
      <c r="T2224" s="14"/>
      <c r="U2224" s="14"/>
      <c r="V2224" s="14"/>
      <c r="W2224" s="14"/>
      <c r="X2224" s="14"/>
      <c r="Z2224" s="14"/>
      <c r="AA2224" s="2">
        <f t="shared" si="285"/>
        <v>3</v>
      </c>
      <c r="AB2224" s="153"/>
      <c r="AC2224" s="454" t="str">
        <f t="shared" si="286"/>
        <v/>
      </c>
    </row>
    <row r="2225" spans="1:29" x14ac:dyDescent="0.35">
      <c r="A2225" s="111" t="str">
        <f t="shared" si="287"/>
        <v/>
      </c>
      <c r="B2225" s="222"/>
      <c r="C2225" s="14"/>
      <c r="D2225" s="14"/>
      <c r="E2225" s="14"/>
      <c r="F2225" s="14"/>
      <c r="G2225" s="14" t="s">
        <v>1911</v>
      </c>
      <c r="H2225" s="14"/>
      <c r="I2225" s="176"/>
      <c r="K2225" s="87"/>
      <c r="L2225" s="14"/>
      <c r="M2225" s="324">
        <f t="shared" si="284"/>
        <v>0</v>
      </c>
      <c r="N2225" s="14"/>
      <c r="O2225" s="14"/>
      <c r="P2225" s="167"/>
      <c r="Q2225" s="14"/>
      <c r="R2225" s="170">
        <f t="shared" si="288"/>
        <v>0</v>
      </c>
      <c r="S2225" s="108" t="str">
        <f t="shared" si="283"/>
        <v/>
      </c>
      <c r="T2225" s="14"/>
      <c r="U2225" s="14"/>
      <c r="V2225" s="14"/>
      <c r="W2225" s="14"/>
      <c r="X2225" s="14"/>
      <c r="Z2225" s="14"/>
      <c r="AA2225" s="2">
        <f t="shared" si="285"/>
        <v>3</v>
      </c>
      <c r="AB2225" s="153"/>
      <c r="AC2225" s="454" t="str">
        <f t="shared" si="286"/>
        <v/>
      </c>
    </row>
    <row r="2226" spans="1:29" x14ac:dyDescent="0.35">
      <c r="A2226" s="111" t="str">
        <f t="shared" si="287"/>
        <v/>
      </c>
      <c r="B2226" s="222"/>
      <c r="C2226" s="14"/>
      <c r="D2226" s="14"/>
      <c r="E2226" s="14"/>
      <c r="F2226" s="14"/>
      <c r="G2226" s="14" t="s">
        <v>1911</v>
      </c>
      <c r="H2226" s="14"/>
      <c r="I2226" s="176"/>
      <c r="K2226" s="87"/>
      <c r="L2226" s="14"/>
      <c r="M2226" s="324">
        <f t="shared" si="284"/>
        <v>0</v>
      </c>
      <c r="N2226" s="14"/>
      <c r="O2226" s="14"/>
      <c r="P2226" s="167"/>
      <c r="Q2226" s="14"/>
      <c r="R2226" s="170">
        <f t="shared" si="288"/>
        <v>0</v>
      </c>
      <c r="S2226" s="108" t="str">
        <f t="shared" si="283"/>
        <v/>
      </c>
      <c r="T2226" s="14"/>
      <c r="U2226" s="14"/>
      <c r="V2226" s="14"/>
      <c r="W2226" s="14"/>
      <c r="X2226" s="14"/>
      <c r="Z2226" s="14"/>
      <c r="AA2226" s="2">
        <f t="shared" si="285"/>
        <v>3</v>
      </c>
      <c r="AB2226" s="153"/>
      <c r="AC2226" s="454" t="str">
        <f t="shared" si="286"/>
        <v/>
      </c>
    </row>
    <row r="2227" spans="1:29" x14ac:dyDescent="0.35">
      <c r="A2227" s="111" t="str">
        <f t="shared" si="287"/>
        <v/>
      </c>
      <c r="B2227" s="222"/>
      <c r="C2227" s="14"/>
      <c r="D2227" s="14"/>
      <c r="E2227" s="14"/>
      <c r="F2227" s="14"/>
      <c r="G2227" s="14" t="s">
        <v>1911</v>
      </c>
      <c r="H2227" s="14"/>
      <c r="I2227" s="176"/>
      <c r="K2227" s="87"/>
      <c r="L2227" s="14"/>
      <c r="M2227" s="324">
        <f t="shared" si="284"/>
        <v>0</v>
      </c>
      <c r="N2227" s="14"/>
      <c r="O2227" s="14"/>
      <c r="P2227" s="167"/>
      <c r="Q2227" s="14"/>
      <c r="R2227" s="170">
        <f t="shared" si="288"/>
        <v>0</v>
      </c>
      <c r="S2227" s="108" t="str">
        <f t="shared" si="283"/>
        <v/>
      </c>
      <c r="T2227" s="14"/>
      <c r="U2227" s="14"/>
      <c r="V2227" s="14"/>
      <c r="W2227" s="14"/>
      <c r="X2227" s="14"/>
      <c r="Z2227" s="14"/>
      <c r="AA2227" s="2">
        <f t="shared" si="285"/>
        <v>3</v>
      </c>
      <c r="AB2227" s="153"/>
      <c r="AC2227" s="454" t="str">
        <f t="shared" si="286"/>
        <v/>
      </c>
    </row>
    <row r="2228" spans="1:29" x14ac:dyDescent="0.35">
      <c r="A2228" s="111" t="str">
        <f t="shared" si="287"/>
        <v/>
      </c>
      <c r="B2228" s="222"/>
      <c r="C2228" s="14"/>
      <c r="D2228" s="14"/>
      <c r="E2228" s="14"/>
      <c r="F2228" s="14"/>
      <c r="G2228" s="14" t="s">
        <v>1911</v>
      </c>
      <c r="H2228" s="14"/>
      <c r="I2228" s="176"/>
      <c r="K2228" s="87"/>
      <c r="L2228" s="14"/>
      <c r="M2228" s="324">
        <f t="shared" si="284"/>
        <v>0</v>
      </c>
      <c r="N2228" s="14"/>
      <c r="O2228" s="14"/>
      <c r="P2228" s="167"/>
      <c r="Q2228" s="14"/>
      <c r="R2228" s="170">
        <f t="shared" si="288"/>
        <v>0</v>
      </c>
      <c r="S2228" s="108" t="str">
        <f t="shared" si="283"/>
        <v/>
      </c>
      <c r="T2228" s="14"/>
      <c r="U2228" s="14"/>
      <c r="V2228" s="14"/>
      <c r="W2228" s="14"/>
      <c r="X2228" s="14"/>
      <c r="Z2228" s="14"/>
      <c r="AA2228" s="2">
        <f t="shared" si="285"/>
        <v>3</v>
      </c>
      <c r="AB2228" s="153"/>
      <c r="AC2228" s="454" t="str">
        <f t="shared" si="286"/>
        <v/>
      </c>
    </row>
    <row r="2229" spans="1:29" x14ac:dyDescent="0.35">
      <c r="A2229" s="111" t="str">
        <f t="shared" si="287"/>
        <v/>
      </c>
      <c r="B2229" s="222"/>
      <c r="C2229" s="14"/>
      <c r="D2229" s="14"/>
      <c r="E2229" s="14"/>
      <c r="F2229" s="14"/>
      <c r="G2229" s="14" t="s">
        <v>1911</v>
      </c>
      <c r="H2229" s="14"/>
      <c r="I2229" s="176"/>
      <c r="K2229" s="87"/>
      <c r="L2229" s="14"/>
      <c r="M2229" s="324">
        <f t="shared" si="284"/>
        <v>0</v>
      </c>
      <c r="N2229" s="14"/>
      <c r="O2229" s="14"/>
      <c r="P2229" s="167"/>
      <c r="Q2229" s="14"/>
      <c r="R2229" s="170">
        <f t="shared" si="288"/>
        <v>0</v>
      </c>
      <c r="S2229" s="108" t="str">
        <f t="shared" si="283"/>
        <v/>
      </c>
      <c r="T2229" s="14"/>
      <c r="U2229" s="14"/>
      <c r="V2229" s="14"/>
      <c r="W2229" s="14"/>
      <c r="X2229" s="14"/>
      <c r="Z2229" s="14"/>
      <c r="AA2229" s="2">
        <f t="shared" si="285"/>
        <v>3</v>
      </c>
      <c r="AB2229" s="153"/>
      <c r="AC2229" s="454" t="str">
        <f t="shared" si="286"/>
        <v/>
      </c>
    </row>
    <row r="2230" spans="1:29" x14ac:dyDescent="0.35">
      <c r="A2230" s="111" t="str">
        <f t="shared" si="287"/>
        <v/>
      </c>
      <c r="B2230" s="222"/>
      <c r="C2230" s="14"/>
      <c r="D2230" s="14"/>
      <c r="E2230" s="14"/>
      <c r="F2230" s="14"/>
      <c r="G2230" s="14" t="s">
        <v>1911</v>
      </c>
      <c r="H2230" s="14"/>
      <c r="I2230" s="176"/>
      <c r="K2230" s="87"/>
      <c r="L2230" s="14"/>
      <c r="M2230" s="324">
        <f t="shared" si="284"/>
        <v>0</v>
      </c>
      <c r="N2230" s="14"/>
      <c r="O2230" s="14"/>
      <c r="P2230" s="167"/>
      <c r="Q2230" s="14"/>
      <c r="R2230" s="170">
        <f t="shared" si="288"/>
        <v>0</v>
      </c>
      <c r="S2230" s="108" t="str">
        <f t="shared" si="283"/>
        <v/>
      </c>
      <c r="T2230" s="14"/>
      <c r="U2230" s="14"/>
      <c r="V2230" s="14"/>
      <c r="W2230" s="14"/>
      <c r="X2230" s="14"/>
      <c r="Z2230" s="14"/>
      <c r="AA2230" s="2">
        <f t="shared" si="285"/>
        <v>3</v>
      </c>
      <c r="AB2230" s="153"/>
      <c r="AC2230" s="454" t="str">
        <f t="shared" si="286"/>
        <v/>
      </c>
    </row>
    <row r="2231" spans="1:29" x14ac:dyDescent="0.35">
      <c r="A2231" s="111" t="str">
        <f t="shared" si="287"/>
        <v/>
      </c>
      <c r="B2231" s="222"/>
      <c r="C2231" s="14"/>
      <c r="D2231" s="14"/>
      <c r="E2231" s="14"/>
      <c r="F2231" s="14"/>
      <c r="G2231" s="14" t="s">
        <v>1911</v>
      </c>
      <c r="H2231" s="14"/>
      <c r="I2231" s="176"/>
      <c r="K2231" s="87"/>
      <c r="L2231" s="14"/>
      <c r="M2231" s="324">
        <f t="shared" si="284"/>
        <v>0</v>
      </c>
      <c r="N2231" s="14"/>
      <c r="O2231" s="14"/>
      <c r="P2231" s="167"/>
      <c r="Q2231" s="14"/>
      <c r="R2231" s="170">
        <f t="shared" si="288"/>
        <v>0</v>
      </c>
      <c r="S2231" s="108" t="str">
        <f t="shared" si="283"/>
        <v/>
      </c>
      <c r="T2231" s="14"/>
      <c r="U2231" s="14"/>
      <c r="V2231" s="14"/>
      <c r="W2231" s="14"/>
      <c r="X2231" s="14"/>
      <c r="Z2231" s="14"/>
      <c r="AA2231" s="2">
        <f t="shared" si="285"/>
        <v>3</v>
      </c>
      <c r="AB2231" s="153"/>
      <c r="AC2231" s="454" t="str">
        <f t="shared" si="286"/>
        <v/>
      </c>
    </row>
    <row r="2232" spans="1:29" x14ac:dyDescent="0.35">
      <c r="A2232" s="111" t="str">
        <f t="shared" si="287"/>
        <v/>
      </c>
      <c r="B2232" s="222"/>
      <c r="C2232" s="14"/>
      <c r="D2232" s="14"/>
      <c r="E2232" s="14"/>
      <c r="F2232" s="14"/>
      <c r="G2232" s="14" t="s">
        <v>1911</v>
      </c>
      <c r="H2232" s="14"/>
      <c r="I2232" s="176"/>
      <c r="K2232" s="87"/>
      <c r="L2232" s="14"/>
      <c r="M2232" s="324">
        <f t="shared" si="284"/>
        <v>0</v>
      </c>
      <c r="N2232" s="14"/>
      <c r="O2232" s="14"/>
      <c r="P2232" s="167"/>
      <c r="Q2232" s="14"/>
      <c r="R2232" s="170">
        <f t="shared" si="288"/>
        <v>0</v>
      </c>
      <c r="S2232" s="108" t="str">
        <f t="shared" si="283"/>
        <v/>
      </c>
      <c r="T2232" s="14"/>
      <c r="U2232" s="14"/>
      <c r="V2232" s="14"/>
      <c r="W2232" s="14"/>
      <c r="X2232" s="14"/>
      <c r="Z2232" s="14"/>
      <c r="AA2232" s="2">
        <f t="shared" si="285"/>
        <v>3</v>
      </c>
      <c r="AB2232" s="153"/>
      <c r="AC2232" s="454" t="str">
        <f t="shared" si="286"/>
        <v/>
      </c>
    </row>
    <row r="2233" spans="1:29" x14ac:dyDescent="0.35">
      <c r="A2233" s="111" t="str">
        <f t="shared" si="287"/>
        <v/>
      </c>
      <c r="B2233" s="222"/>
      <c r="C2233" s="14"/>
      <c r="D2233" s="14"/>
      <c r="E2233" s="14"/>
      <c r="F2233" s="14"/>
      <c r="G2233" s="14" t="s">
        <v>1911</v>
      </c>
      <c r="H2233" s="14"/>
      <c r="I2233" s="176"/>
      <c r="K2233" s="87"/>
      <c r="L2233" s="14"/>
      <c r="M2233" s="324">
        <f t="shared" si="284"/>
        <v>0</v>
      </c>
      <c r="N2233" s="14"/>
      <c r="O2233" s="14"/>
      <c r="P2233" s="167"/>
      <c r="Q2233" s="14"/>
      <c r="R2233" s="170">
        <f t="shared" si="288"/>
        <v>0</v>
      </c>
      <c r="S2233" s="108" t="str">
        <f t="shared" si="283"/>
        <v/>
      </c>
      <c r="T2233" s="14"/>
      <c r="U2233" s="14"/>
      <c r="V2233" s="14"/>
      <c r="W2233" s="14"/>
      <c r="X2233" s="14"/>
      <c r="Z2233" s="14"/>
      <c r="AA2233" s="2">
        <f t="shared" si="285"/>
        <v>3</v>
      </c>
      <c r="AB2233" s="153"/>
      <c r="AC2233" s="454" t="str">
        <f t="shared" si="286"/>
        <v/>
      </c>
    </row>
    <row r="2234" spans="1:29" x14ac:dyDescent="0.35">
      <c r="A2234" s="111" t="str">
        <f t="shared" si="287"/>
        <v/>
      </c>
      <c r="B2234" s="222"/>
      <c r="C2234" s="14"/>
      <c r="D2234" s="14"/>
      <c r="E2234" s="14"/>
      <c r="F2234" s="14"/>
      <c r="G2234" s="14" t="s">
        <v>1911</v>
      </c>
      <c r="H2234" s="14"/>
      <c r="I2234" s="176"/>
      <c r="K2234" s="87"/>
      <c r="L2234" s="14"/>
      <c r="M2234" s="324">
        <f t="shared" si="284"/>
        <v>0</v>
      </c>
      <c r="N2234" s="14"/>
      <c r="O2234" s="14"/>
      <c r="P2234" s="167"/>
      <c r="Q2234" s="14"/>
      <c r="R2234" s="170">
        <f t="shared" si="288"/>
        <v>0</v>
      </c>
      <c r="S2234" s="108" t="str">
        <f t="shared" si="283"/>
        <v/>
      </c>
      <c r="T2234" s="14"/>
      <c r="U2234" s="14"/>
      <c r="V2234" s="14"/>
      <c r="W2234" s="14"/>
      <c r="X2234" s="14"/>
      <c r="Z2234" s="14"/>
      <c r="AA2234" s="2">
        <f t="shared" si="285"/>
        <v>3</v>
      </c>
      <c r="AB2234" s="153"/>
      <c r="AC2234" s="454" t="str">
        <f t="shared" si="286"/>
        <v/>
      </c>
    </row>
    <row r="2235" spans="1:29" x14ac:dyDescent="0.35">
      <c r="A2235" s="111" t="str">
        <f t="shared" si="287"/>
        <v/>
      </c>
      <c r="B2235" s="222"/>
      <c r="C2235" s="14"/>
      <c r="D2235" s="14"/>
      <c r="E2235" s="14"/>
      <c r="F2235" s="14"/>
      <c r="G2235" s="14" t="s">
        <v>1911</v>
      </c>
      <c r="H2235" s="14"/>
      <c r="I2235" s="176"/>
      <c r="K2235" s="87"/>
      <c r="L2235" s="14"/>
      <c r="M2235" s="324">
        <f t="shared" si="284"/>
        <v>0</v>
      </c>
      <c r="N2235" s="14"/>
      <c r="O2235" s="14"/>
      <c r="P2235" s="167"/>
      <c r="Q2235" s="14"/>
      <c r="R2235" s="170">
        <f t="shared" si="288"/>
        <v>0</v>
      </c>
      <c r="S2235" s="108" t="str">
        <f t="shared" si="283"/>
        <v/>
      </c>
      <c r="T2235" s="14"/>
      <c r="U2235" s="14"/>
      <c r="V2235" s="14"/>
      <c r="W2235" s="14"/>
      <c r="X2235" s="14"/>
      <c r="Z2235" s="14"/>
      <c r="AA2235" s="2">
        <f t="shared" si="285"/>
        <v>3</v>
      </c>
      <c r="AB2235" s="153"/>
      <c r="AC2235" s="454" t="str">
        <f t="shared" si="286"/>
        <v/>
      </c>
    </row>
    <row r="2236" spans="1:29" x14ac:dyDescent="0.35">
      <c r="A2236" s="111" t="str">
        <f t="shared" si="287"/>
        <v/>
      </c>
      <c r="B2236" s="222"/>
      <c r="C2236" s="14"/>
      <c r="D2236" s="14"/>
      <c r="E2236" s="14"/>
      <c r="F2236" s="14"/>
      <c r="G2236" s="14" t="s">
        <v>1911</v>
      </c>
      <c r="H2236" s="14"/>
      <c r="I2236" s="176"/>
      <c r="K2236" s="87"/>
      <c r="L2236" s="14"/>
      <c r="M2236" s="324">
        <f t="shared" si="284"/>
        <v>0</v>
      </c>
      <c r="N2236" s="14"/>
      <c r="O2236" s="14"/>
      <c r="P2236" s="167"/>
      <c r="Q2236" s="14"/>
      <c r="R2236" s="170">
        <f t="shared" si="288"/>
        <v>0</v>
      </c>
      <c r="S2236" s="108" t="str">
        <f t="shared" si="283"/>
        <v/>
      </c>
      <c r="T2236" s="14"/>
      <c r="U2236" s="14"/>
      <c r="V2236" s="14"/>
      <c r="W2236" s="14"/>
      <c r="X2236" s="14"/>
      <c r="Z2236" s="14"/>
      <c r="AA2236" s="2">
        <f t="shared" si="285"/>
        <v>3</v>
      </c>
      <c r="AB2236" s="153"/>
      <c r="AC2236" s="454" t="str">
        <f t="shared" si="286"/>
        <v/>
      </c>
    </row>
    <row r="2237" spans="1:29" x14ac:dyDescent="0.35">
      <c r="A2237" s="111" t="str">
        <f t="shared" si="287"/>
        <v/>
      </c>
      <c r="B2237" s="222"/>
      <c r="C2237" s="14"/>
      <c r="D2237" s="14"/>
      <c r="E2237" s="14"/>
      <c r="F2237" s="14"/>
      <c r="G2237" s="14" t="s">
        <v>1911</v>
      </c>
      <c r="H2237" s="14"/>
      <c r="I2237" s="176"/>
      <c r="K2237" s="87"/>
      <c r="L2237" s="14"/>
      <c r="M2237" s="324">
        <f t="shared" si="284"/>
        <v>0</v>
      </c>
      <c r="N2237" s="14"/>
      <c r="O2237" s="14"/>
      <c r="P2237" s="167"/>
      <c r="Q2237" s="14"/>
      <c r="R2237" s="170">
        <f t="shared" si="288"/>
        <v>0</v>
      </c>
      <c r="S2237" s="108" t="str">
        <f t="shared" si="283"/>
        <v/>
      </c>
      <c r="T2237" s="14"/>
      <c r="U2237" s="14"/>
      <c r="V2237" s="14"/>
      <c r="W2237" s="14"/>
      <c r="X2237" s="14"/>
      <c r="Z2237" s="14"/>
      <c r="AA2237" s="2">
        <f t="shared" si="285"/>
        <v>3</v>
      </c>
      <c r="AB2237" s="153"/>
      <c r="AC2237" s="454" t="str">
        <f t="shared" si="286"/>
        <v/>
      </c>
    </row>
    <row r="2238" spans="1:29" x14ac:dyDescent="0.35">
      <c r="A2238" s="111" t="str">
        <f t="shared" si="287"/>
        <v/>
      </c>
      <c r="B2238" s="222"/>
      <c r="C2238" s="14"/>
      <c r="D2238" s="14"/>
      <c r="E2238" s="14"/>
      <c r="F2238" s="14"/>
      <c r="G2238" s="14" t="s">
        <v>1911</v>
      </c>
      <c r="H2238" s="14"/>
      <c r="I2238" s="176"/>
      <c r="K2238" s="87"/>
      <c r="L2238" s="14"/>
      <c r="M2238" s="324">
        <f t="shared" si="284"/>
        <v>0</v>
      </c>
      <c r="N2238" s="14"/>
      <c r="O2238" s="14"/>
      <c r="P2238" s="167"/>
      <c r="Q2238" s="14"/>
      <c r="R2238" s="170">
        <f t="shared" si="288"/>
        <v>0</v>
      </c>
      <c r="S2238" s="108" t="str">
        <f t="shared" si="283"/>
        <v/>
      </c>
      <c r="T2238" s="14"/>
      <c r="U2238" s="14"/>
      <c r="V2238" s="14"/>
      <c r="W2238" s="14"/>
      <c r="X2238" s="14"/>
      <c r="Z2238" s="14"/>
      <c r="AA2238" s="2">
        <f t="shared" si="285"/>
        <v>3</v>
      </c>
      <c r="AB2238" s="153"/>
      <c r="AC2238" s="454" t="str">
        <f t="shared" si="286"/>
        <v/>
      </c>
    </row>
    <row r="2239" spans="1:29" x14ac:dyDescent="0.35">
      <c r="A2239" s="111" t="str">
        <f t="shared" si="287"/>
        <v/>
      </c>
      <c r="B2239" s="222"/>
      <c r="C2239" s="14"/>
      <c r="D2239" s="14"/>
      <c r="E2239" s="14"/>
      <c r="F2239" s="14"/>
      <c r="G2239" s="14" t="s">
        <v>1911</v>
      </c>
      <c r="H2239" s="14"/>
      <c r="I2239" s="176"/>
      <c r="K2239" s="87"/>
      <c r="L2239" s="14"/>
      <c r="M2239" s="324">
        <f t="shared" si="284"/>
        <v>0</v>
      </c>
      <c r="N2239" s="14"/>
      <c r="O2239" s="14"/>
      <c r="P2239" s="167"/>
      <c r="Q2239" s="14"/>
      <c r="R2239" s="170">
        <f t="shared" si="288"/>
        <v>0</v>
      </c>
      <c r="S2239" s="108" t="str">
        <f t="shared" si="283"/>
        <v/>
      </c>
      <c r="T2239" s="14"/>
      <c r="U2239" s="14"/>
      <c r="V2239" s="14"/>
      <c r="W2239" s="14"/>
      <c r="X2239" s="14"/>
      <c r="Z2239" s="14"/>
      <c r="AA2239" s="2">
        <f t="shared" si="285"/>
        <v>3</v>
      </c>
      <c r="AB2239" s="153"/>
      <c r="AC2239" s="454" t="str">
        <f t="shared" si="286"/>
        <v/>
      </c>
    </row>
    <row r="2240" spans="1:29" x14ac:dyDescent="0.35">
      <c r="A2240" s="111" t="str">
        <f t="shared" si="287"/>
        <v/>
      </c>
      <c r="B2240" s="222"/>
      <c r="C2240" s="14"/>
      <c r="D2240" s="14"/>
      <c r="E2240" s="14"/>
      <c r="F2240" s="14"/>
      <c r="G2240" s="14" t="s">
        <v>1911</v>
      </c>
      <c r="H2240" s="14"/>
      <c r="I2240" s="176"/>
      <c r="K2240" s="87"/>
      <c r="L2240" s="14"/>
      <c r="M2240" s="324">
        <f t="shared" si="284"/>
        <v>0</v>
      </c>
      <c r="N2240" s="14"/>
      <c r="O2240" s="14"/>
      <c r="P2240" s="167"/>
      <c r="Q2240" s="14"/>
      <c r="R2240" s="170">
        <f t="shared" si="288"/>
        <v>0</v>
      </c>
      <c r="S2240" s="108" t="str">
        <f t="shared" si="283"/>
        <v/>
      </c>
      <c r="T2240" s="14"/>
      <c r="U2240" s="14"/>
      <c r="V2240" s="14"/>
      <c r="W2240" s="14"/>
      <c r="X2240" s="14"/>
      <c r="Z2240" s="14"/>
      <c r="AA2240" s="2">
        <f t="shared" si="285"/>
        <v>3</v>
      </c>
      <c r="AB2240" s="153"/>
      <c r="AC2240" s="454" t="str">
        <f t="shared" si="286"/>
        <v/>
      </c>
    </row>
    <row r="2241" spans="1:29" x14ac:dyDescent="0.35">
      <c r="A2241" s="111" t="str">
        <f t="shared" si="287"/>
        <v/>
      </c>
      <c r="B2241" s="222"/>
      <c r="C2241" s="14"/>
      <c r="D2241" s="14"/>
      <c r="E2241" s="14"/>
      <c r="F2241" s="14"/>
      <c r="G2241" s="14" t="s">
        <v>1911</v>
      </c>
      <c r="H2241" s="14"/>
      <c r="I2241" s="176"/>
      <c r="K2241" s="87"/>
      <c r="L2241" s="14"/>
      <c r="M2241" s="324">
        <f t="shared" si="284"/>
        <v>0</v>
      </c>
      <c r="N2241" s="14"/>
      <c r="O2241" s="14"/>
      <c r="P2241" s="167"/>
      <c r="Q2241" s="14"/>
      <c r="R2241" s="170">
        <f t="shared" si="288"/>
        <v>0</v>
      </c>
      <c r="S2241" s="108" t="str">
        <f t="shared" si="283"/>
        <v/>
      </c>
      <c r="T2241" s="14"/>
      <c r="U2241" s="14"/>
      <c r="V2241" s="14"/>
      <c r="W2241" s="14"/>
      <c r="X2241" s="14"/>
      <c r="Z2241" s="14"/>
      <c r="AA2241" s="2">
        <f t="shared" si="285"/>
        <v>3</v>
      </c>
      <c r="AB2241" s="153"/>
      <c r="AC2241" s="454" t="str">
        <f t="shared" si="286"/>
        <v/>
      </c>
    </row>
    <row r="2242" spans="1:29" x14ac:dyDescent="0.35">
      <c r="A2242" s="111" t="str">
        <f t="shared" si="287"/>
        <v/>
      </c>
      <c r="B2242" s="222"/>
      <c r="C2242" s="14"/>
      <c r="D2242" s="14"/>
      <c r="E2242" s="14"/>
      <c r="F2242" s="14"/>
      <c r="G2242" s="14" t="s">
        <v>1911</v>
      </c>
      <c r="H2242" s="14"/>
      <c r="I2242" s="176"/>
      <c r="K2242" s="87"/>
      <c r="L2242" s="14"/>
      <c r="M2242" s="324">
        <f t="shared" si="284"/>
        <v>0</v>
      </c>
      <c r="N2242" s="14"/>
      <c r="O2242" s="14"/>
      <c r="P2242" s="167"/>
      <c r="Q2242" s="14"/>
      <c r="R2242" s="170">
        <f t="shared" si="288"/>
        <v>0</v>
      </c>
      <c r="S2242" s="108" t="str">
        <f t="shared" si="283"/>
        <v/>
      </c>
      <c r="T2242" s="14"/>
      <c r="U2242" s="14"/>
      <c r="V2242" s="14"/>
      <c r="W2242" s="14"/>
      <c r="X2242" s="14"/>
      <c r="Z2242" s="14"/>
      <c r="AA2242" s="2">
        <f t="shared" si="285"/>
        <v>3</v>
      </c>
      <c r="AB2242" s="153"/>
      <c r="AC2242" s="454" t="str">
        <f t="shared" si="286"/>
        <v/>
      </c>
    </row>
    <row r="2243" spans="1:29" x14ac:dyDescent="0.35">
      <c r="A2243" s="111" t="str">
        <f t="shared" si="287"/>
        <v/>
      </c>
      <c r="B2243" s="222"/>
      <c r="C2243" s="14"/>
      <c r="D2243" s="14"/>
      <c r="E2243" s="14"/>
      <c r="F2243" s="14"/>
      <c r="G2243" s="14" t="s">
        <v>1911</v>
      </c>
      <c r="H2243" s="14"/>
      <c r="I2243" s="176"/>
      <c r="K2243" s="87"/>
      <c r="L2243" s="14"/>
      <c r="M2243" s="324">
        <f t="shared" si="284"/>
        <v>0</v>
      </c>
      <c r="N2243" s="14"/>
      <c r="O2243" s="14"/>
      <c r="P2243" s="167"/>
      <c r="Q2243" s="14"/>
      <c r="R2243" s="170">
        <f t="shared" si="288"/>
        <v>0</v>
      </c>
      <c r="S2243" s="108" t="str">
        <f t="shared" si="283"/>
        <v/>
      </c>
      <c r="T2243" s="14"/>
      <c r="U2243" s="14"/>
      <c r="V2243" s="14"/>
      <c r="W2243" s="14"/>
      <c r="X2243" s="14"/>
      <c r="Z2243" s="14"/>
      <c r="AA2243" s="2">
        <f t="shared" si="285"/>
        <v>3</v>
      </c>
      <c r="AB2243" s="153"/>
      <c r="AC2243" s="454" t="str">
        <f t="shared" si="286"/>
        <v/>
      </c>
    </row>
    <row r="2244" spans="1:29" x14ac:dyDescent="0.35">
      <c r="A2244" s="111" t="str">
        <f t="shared" si="287"/>
        <v/>
      </c>
      <c r="B2244" s="222"/>
      <c r="C2244" s="14"/>
      <c r="D2244" s="14"/>
      <c r="E2244" s="14"/>
      <c r="F2244" s="14"/>
      <c r="G2244" s="14" t="s">
        <v>1911</v>
      </c>
      <c r="H2244" s="14"/>
      <c r="I2244" s="176"/>
      <c r="K2244" s="87"/>
      <c r="L2244" s="14"/>
      <c r="M2244" s="324">
        <f t="shared" si="284"/>
        <v>0</v>
      </c>
      <c r="N2244" s="14"/>
      <c r="O2244" s="14"/>
      <c r="P2244" s="167"/>
      <c r="Q2244" s="14"/>
      <c r="R2244" s="170">
        <f t="shared" si="288"/>
        <v>0</v>
      </c>
      <c r="S2244" s="108" t="str">
        <f t="shared" si="283"/>
        <v/>
      </c>
      <c r="T2244" s="14"/>
      <c r="U2244" s="14"/>
      <c r="V2244" s="14"/>
      <c r="W2244" s="14"/>
      <c r="X2244" s="14"/>
      <c r="Z2244" s="14"/>
      <c r="AA2244" s="2">
        <f t="shared" si="285"/>
        <v>3</v>
      </c>
      <c r="AB2244" s="153"/>
      <c r="AC2244" s="454" t="str">
        <f t="shared" si="286"/>
        <v/>
      </c>
    </row>
    <row r="2245" spans="1:29" x14ac:dyDescent="0.35">
      <c r="A2245" s="111" t="str">
        <f t="shared" si="287"/>
        <v/>
      </c>
      <c r="B2245" s="222"/>
      <c r="C2245" s="14"/>
      <c r="D2245" s="14"/>
      <c r="E2245" s="14"/>
      <c r="F2245" s="14"/>
      <c r="G2245" s="14" t="s">
        <v>1911</v>
      </c>
      <c r="H2245" s="14"/>
      <c r="I2245" s="176"/>
      <c r="K2245" s="87"/>
      <c r="L2245" s="14"/>
      <c r="M2245" s="324">
        <f t="shared" si="284"/>
        <v>0</v>
      </c>
      <c r="N2245" s="14"/>
      <c r="O2245" s="14"/>
      <c r="P2245" s="167"/>
      <c r="Q2245" s="14"/>
      <c r="R2245" s="170">
        <f t="shared" si="288"/>
        <v>0</v>
      </c>
      <c r="S2245" s="108" t="str">
        <f t="shared" ref="S2245:S2308" si="289">IF(B2245="","",B2245+28)</f>
        <v/>
      </c>
      <c r="T2245" s="14"/>
      <c r="U2245" s="14"/>
      <c r="V2245" s="14"/>
      <c r="W2245" s="14"/>
      <c r="X2245" s="14"/>
      <c r="Z2245" s="14"/>
      <c r="AA2245" s="2">
        <f t="shared" si="285"/>
        <v>3</v>
      </c>
      <c r="AB2245" s="153"/>
      <c r="AC2245" s="454" t="str">
        <f t="shared" si="286"/>
        <v/>
      </c>
    </row>
    <row r="2246" spans="1:29" x14ac:dyDescent="0.35">
      <c r="A2246" s="111" t="str">
        <f t="shared" si="287"/>
        <v/>
      </c>
      <c r="B2246" s="222"/>
      <c r="C2246" s="14"/>
      <c r="D2246" s="14"/>
      <c r="E2246" s="14"/>
      <c r="F2246" s="14"/>
      <c r="G2246" s="14" t="s">
        <v>1911</v>
      </c>
      <c r="H2246" s="14"/>
      <c r="I2246" s="176"/>
      <c r="K2246" s="87"/>
      <c r="L2246" s="14"/>
      <c r="M2246" s="324">
        <f t="shared" si="284"/>
        <v>0</v>
      </c>
      <c r="N2246" s="14"/>
      <c r="O2246" s="14"/>
      <c r="P2246" s="167"/>
      <c r="Q2246" s="14"/>
      <c r="R2246" s="170">
        <f t="shared" si="288"/>
        <v>0</v>
      </c>
      <c r="S2246" s="108" t="str">
        <f t="shared" si="289"/>
        <v/>
      </c>
      <c r="T2246" s="14"/>
      <c r="U2246" s="14"/>
      <c r="V2246" s="14"/>
      <c r="W2246" s="14"/>
      <c r="X2246" s="14"/>
      <c r="Z2246" s="14"/>
      <c r="AA2246" s="2">
        <f t="shared" si="285"/>
        <v>3</v>
      </c>
      <c r="AB2246" s="153"/>
      <c r="AC2246" s="454" t="str">
        <f t="shared" si="286"/>
        <v/>
      </c>
    </row>
    <row r="2247" spans="1:29" x14ac:dyDescent="0.35">
      <c r="A2247" s="111" t="str">
        <f t="shared" si="287"/>
        <v/>
      </c>
      <c r="B2247" s="222"/>
      <c r="C2247" s="14"/>
      <c r="D2247" s="14"/>
      <c r="E2247" s="14"/>
      <c r="F2247" s="14"/>
      <c r="G2247" s="14" t="s">
        <v>1911</v>
      </c>
      <c r="H2247" s="14"/>
      <c r="I2247" s="176"/>
      <c r="K2247" s="87"/>
      <c r="L2247" s="14"/>
      <c r="M2247" s="324">
        <f t="shared" si="284"/>
        <v>0</v>
      </c>
      <c r="N2247" s="14"/>
      <c r="O2247" s="14"/>
      <c r="P2247" s="167"/>
      <c r="Q2247" s="14"/>
      <c r="R2247" s="170">
        <f t="shared" si="288"/>
        <v>0</v>
      </c>
      <c r="S2247" s="108" t="str">
        <f t="shared" si="289"/>
        <v/>
      </c>
      <c r="T2247" s="14"/>
      <c r="U2247" s="14"/>
      <c r="V2247" s="14"/>
      <c r="W2247" s="14"/>
      <c r="X2247" s="14"/>
      <c r="Z2247" s="14"/>
      <c r="AA2247" s="2">
        <f t="shared" si="285"/>
        <v>3</v>
      </c>
      <c r="AB2247" s="153"/>
      <c r="AC2247" s="454" t="str">
        <f t="shared" si="286"/>
        <v/>
      </c>
    </row>
    <row r="2248" spans="1:29" x14ac:dyDescent="0.35">
      <c r="A2248" s="111" t="str">
        <f t="shared" si="287"/>
        <v/>
      </c>
      <c r="B2248" s="222"/>
      <c r="C2248" s="14"/>
      <c r="D2248" s="14"/>
      <c r="E2248" s="14"/>
      <c r="F2248" s="14"/>
      <c r="G2248" s="14" t="s">
        <v>1911</v>
      </c>
      <c r="H2248" s="14"/>
      <c r="I2248" s="176"/>
      <c r="K2248" s="87"/>
      <c r="L2248" s="14"/>
      <c r="M2248" s="324">
        <f t="shared" si="284"/>
        <v>0</v>
      </c>
      <c r="N2248" s="14"/>
      <c r="O2248" s="14"/>
      <c r="P2248" s="167"/>
      <c r="Q2248" s="14"/>
      <c r="R2248" s="170">
        <f t="shared" si="288"/>
        <v>0</v>
      </c>
      <c r="S2248" s="108" t="str">
        <f t="shared" si="289"/>
        <v/>
      </c>
      <c r="T2248" s="14"/>
      <c r="U2248" s="14"/>
      <c r="V2248" s="14"/>
      <c r="W2248" s="14"/>
      <c r="X2248" s="14"/>
      <c r="Z2248" s="14"/>
      <c r="AA2248" s="2">
        <f t="shared" si="285"/>
        <v>3</v>
      </c>
      <c r="AB2248" s="153"/>
      <c r="AC2248" s="454" t="str">
        <f t="shared" si="286"/>
        <v/>
      </c>
    </row>
    <row r="2249" spans="1:29" x14ac:dyDescent="0.35">
      <c r="A2249" s="111" t="str">
        <f t="shared" si="287"/>
        <v/>
      </c>
      <c r="B2249" s="222"/>
      <c r="C2249" s="14"/>
      <c r="D2249" s="14"/>
      <c r="E2249" s="14"/>
      <c r="F2249" s="14"/>
      <c r="G2249" s="14" t="s">
        <v>1911</v>
      </c>
      <c r="H2249" s="14"/>
      <c r="I2249" s="176"/>
      <c r="K2249" s="87"/>
      <c r="L2249" s="14"/>
      <c r="M2249" s="324">
        <f t="shared" si="284"/>
        <v>0</v>
      </c>
      <c r="N2249" s="14"/>
      <c r="O2249" s="14"/>
      <c r="P2249" s="167"/>
      <c r="Q2249" s="14"/>
      <c r="R2249" s="170">
        <f t="shared" si="288"/>
        <v>0</v>
      </c>
      <c r="S2249" s="108" t="str">
        <f t="shared" si="289"/>
        <v/>
      </c>
      <c r="T2249" s="14"/>
      <c r="U2249" s="14"/>
      <c r="V2249" s="14"/>
      <c r="W2249" s="14"/>
      <c r="X2249" s="14"/>
      <c r="Z2249" s="14"/>
      <c r="AA2249" s="2">
        <f t="shared" si="285"/>
        <v>3</v>
      </c>
      <c r="AB2249" s="153"/>
      <c r="AC2249" s="454" t="str">
        <f t="shared" si="286"/>
        <v/>
      </c>
    </row>
    <row r="2250" spans="1:29" x14ac:dyDescent="0.35">
      <c r="A2250" s="111" t="str">
        <f t="shared" si="287"/>
        <v/>
      </c>
      <c r="B2250" s="222"/>
      <c r="C2250" s="14"/>
      <c r="D2250" s="14"/>
      <c r="E2250" s="14"/>
      <c r="F2250" s="14"/>
      <c r="G2250" s="14" t="s">
        <v>1911</v>
      </c>
      <c r="H2250" s="14"/>
      <c r="I2250" s="176"/>
      <c r="K2250" s="87"/>
      <c r="L2250" s="14"/>
      <c r="M2250" s="324">
        <f t="shared" si="284"/>
        <v>0</v>
      </c>
      <c r="N2250" s="14"/>
      <c r="O2250" s="14"/>
      <c r="P2250" s="167"/>
      <c r="Q2250" s="14"/>
      <c r="R2250" s="170">
        <f t="shared" si="288"/>
        <v>0</v>
      </c>
      <c r="S2250" s="108" t="str">
        <f t="shared" si="289"/>
        <v/>
      </c>
      <c r="T2250" s="14"/>
      <c r="U2250" s="14"/>
      <c r="V2250" s="14"/>
      <c r="W2250" s="14"/>
      <c r="X2250" s="14"/>
      <c r="Z2250" s="14"/>
      <c r="AA2250" s="2">
        <f t="shared" si="285"/>
        <v>3</v>
      </c>
      <c r="AB2250" s="153"/>
      <c r="AC2250" s="454" t="str">
        <f t="shared" si="286"/>
        <v/>
      </c>
    </row>
    <row r="2251" spans="1:29" x14ac:dyDescent="0.35">
      <c r="A2251" s="111" t="str">
        <f t="shared" si="287"/>
        <v/>
      </c>
      <c r="B2251" s="222"/>
      <c r="C2251" s="14"/>
      <c r="D2251" s="14"/>
      <c r="E2251" s="14"/>
      <c r="F2251" s="14"/>
      <c r="G2251" s="14" t="s">
        <v>1911</v>
      </c>
      <c r="H2251" s="14"/>
      <c r="I2251" s="176"/>
      <c r="K2251" s="87"/>
      <c r="L2251" s="14"/>
      <c r="M2251" s="324">
        <f t="shared" si="284"/>
        <v>0</v>
      </c>
      <c r="N2251" s="14"/>
      <c r="O2251" s="14"/>
      <c r="P2251" s="167"/>
      <c r="Q2251" s="14"/>
      <c r="R2251" s="170">
        <f t="shared" si="288"/>
        <v>0</v>
      </c>
      <c r="S2251" s="108" t="str">
        <f t="shared" si="289"/>
        <v/>
      </c>
      <c r="T2251" s="14"/>
      <c r="U2251" s="14"/>
      <c r="V2251" s="14"/>
      <c r="W2251" s="14"/>
      <c r="X2251" s="14"/>
      <c r="Z2251" s="14"/>
      <c r="AA2251" s="2">
        <f t="shared" si="285"/>
        <v>3</v>
      </c>
      <c r="AB2251" s="153"/>
      <c r="AC2251" s="454" t="str">
        <f t="shared" si="286"/>
        <v/>
      </c>
    </row>
    <row r="2252" spans="1:29" x14ac:dyDescent="0.35">
      <c r="A2252" s="111" t="str">
        <f t="shared" si="287"/>
        <v/>
      </c>
      <c r="B2252" s="222"/>
      <c r="C2252" s="14"/>
      <c r="D2252" s="14"/>
      <c r="E2252" s="14"/>
      <c r="F2252" s="14"/>
      <c r="G2252" s="14" t="s">
        <v>1911</v>
      </c>
      <c r="H2252" s="14"/>
      <c r="I2252" s="176"/>
      <c r="K2252" s="87"/>
      <c r="L2252" s="14"/>
      <c r="M2252" s="324">
        <f t="shared" si="284"/>
        <v>0</v>
      </c>
      <c r="N2252" s="14"/>
      <c r="O2252" s="14"/>
      <c r="P2252" s="167"/>
      <c r="Q2252" s="14"/>
      <c r="R2252" s="170">
        <f t="shared" si="288"/>
        <v>0</v>
      </c>
      <c r="S2252" s="108" t="str">
        <f t="shared" si="289"/>
        <v/>
      </c>
      <c r="T2252" s="14"/>
      <c r="U2252" s="14"/>
      <c r="V2252" s="14"/>
      <c r="W2252" s="14"/>
      <c r="X2252" s="14"/>
      <c r="Z2252" s="14"/>
      <c r="AA2252" s="2">
        <f t="shared" si="285"/>
        <v>3</v>
      </c>
      <c r="AB2252" s="153"/>
      <c r="AC2252" s="454" t="str">
        <f t="shared" si="286"/>
        <v/>
      </c>
    </row>
    <row r="2253" spans="1:29" x14ac:dyDescent="0.35">
      <c r="A2253" s="111" t="str">
        <f t="shared" si="287"/>
        <v/>
      </c>
      <c r="B2253" s="222"/>
      <c r="C2253" s="14"/>
      <c r="D2253" s="14"/>
      <c r="E2253" s="14"/>
      <c r="F2253" s="14"/>
      <c r="G2253" s="14" t="s">
        <v>1911</v>
      </c>
      <c r="H2253" s="14"/>
      <c r="I2253" s="176"/>
      <c r="K2253" s="87"/>
      <c r="L2253" s="14"/>
      <c r="M2253" s="324">
        <f t="shared" si="284"/>
        <v>0</v>
      </c>
      <c r="N2253" s="14"/>
      <c r="O2253" s="14"/>
      <c r="P2253" s="167"/>
      <c r="Q2253" s="14"/>
      <c r="R2253" s="170">
        <f t="shared" si="288"/>
        <v>0</v>
      </c>
      <c r="S2253" s="108" t="str">
        <f t="shared" si="289"/>
        <v/>
      </c>
      <c r="T2253" s="14"/>
      <c r="U2253" s="14"/>
      <c r="V2253" s="14"/>
      <c r="W2253" s="14"/>
      <c r="X2253" s="14"/>
      <c r="Z2253" s="14"/>
      <c r="AA2253" s="2">
        <f t="shared" si="285"/>
        <v>3</v>
      </c>
      <c r="AB2253" s="153"/>
      <c r="AC2253" s="454" t="str">
        <f t="shared" si="286"/>
        <v/>
      </c>
    </row>
    <row r="2254" spans="1:29" x14ac:dyDescent="0.35">
      <c r="A2254" s="111" t="str">
        <f t="shared" si="287"/>
        <v/>
      </c>
      <c r="B2254" s="222"/>
      <c r="C2254" s="14"/>
      <c r="D2254" s="14"/>
      <c r="E2254" s="14"/>
      <c r="F2254" s="14"/>
      <c r="G2254" s="14" t="s">
        <v>1911</v>
      </c>
      <c r="H2254" s="14"/>
      <c r="I2254" s="176"/>
      <c r="K2254" s="87"/>
      <c r="L2254" s="14"/>
      <c r="M2254" s="324">
        <f t="shared" si="284"/>
        <v>0</v>
      </c>
      <c r="N2254" s="14"/>
      <c r="O2254" s="14"/>
      <c r="P2254" s="167"/>
      <c r="Q2254" s="14"/>
      <c r="R2254" s="170">
        <f t="shared" si="288"/>
        <v>0</v>
      </c>
      <c r="S2254" s="108" t="str">
        <f t="shared" si="289"/>
        <v/>
      </c>
      <c r="T2254" s="14"/>
      <c r="U2254" s="14"/>
      <c r="V2254" s="14"/>
      <c r="W2254" s="14"/>
      <c r="X2254" s="14"/>
      <c r="Z2254" s="14"/>
      <c r="AA2254" s="2">
        <f t="shared" si="285"/>
        <v>3</v>
      </c>
      <c r="AB2254" s="153"/>
      <c r="AC2254" s="454" t="str">
        <f t="shared" si="286"/>
        <v/>
      </c>
    </row>
    <row r="2255" spans="1:29" x14ac:dyDescent="0.35">
      <c r="A2255" s="111" t="str">
        <f t="shared" si="287"/>
        <v/>
      </c>
      <c r="B2255" s="222"/>
      <c r="C2255" s="14"/>
      <c r="D2255" s="14"/>
      <c r="E2255" s="14"/>
      <c r="F2255" s="14"/>
      <c r="G2255" s="14" t="s">
        <v>1911</v>
      </c>
      <c r="H2255" s="14"/>
      <c r="I2255" s="176"/>
      <c r="K2255" s="87"/>
      <c r="L2255" s="14"/>
      <c r="M2255" s="324">
        <f t="shared" si="284"/>
        <v>0</v>
      </c>
      <c r="N2255" s="14"/>
      <c r="O2255" s="14"/>
      <c r="P2255" s="167"/>
      <c r="Q2255" s="14"/>
      <c r="R2255" s="170">
        <f t="shared" si="288"/>
        <v>0</v>
      </c>
      <c r="S2255" s="108" t="str">
        <f t="shared" si="289"/>
        <v/>
      </c>
      <c r="T2255" s="14"/>
      <c r="U2255" s="14"/>
      <c r="V2255" s="14"/>
      <c r="W2255" s="14"/>
      <c r="X2255" s="14"/>
      <c r="Z2255" s="14"/>
      <c r="AA2255" s="2">
        <f t="shared" si="285"/>
        <v>3</v>
      </c>
      <c r="AB2255" s="153"/>
      <c r="AC2255" s="454" t="str">
        <f t="shared" si="286"/>
        <v/>
      </c>
    </row>
    <row r="2256" spans="1:29" x14ac:dyDescent="0.35">
      <c r="A2256" s="111" t="str">
        <f t="shared" si="287"/>
        <v/>
      </c>
      <c r="B2256" s="222"/>
      <c r="C2256" s="14"/>
      <c r="D2256" s="14"/>
      <c r="E2256" s="14"/>
      <c r="F2256" s="14"/>
      <c r="G2256" s="14" t="s">
        <v>1911</v>
      </c>
      <c r="H2256" s="14"/>
      <c r="I2256" s="176"/>
      <c r="K2256" s="87"/>
      <c r="L2256" s="14"/>
      <c r="M2256" s="324">
        <f t="shared" si="284"/>
        <v>0</v>
      </c>
      <c r="N2256" s="14"/>
      <c r="O2256" s="14"/>
      <c r="P2256" s="167"/>
      <c r="Q2256" s="14"/>
      <c r="R2256" s="170">
        <f t="shared" si="288"/>
        <v>0</v>
      </c>
      <c r="S2256" s="108" t="str">
        <f t="shared" si="289"/>
        <v/>
      </c>
      <c r="T2256" s="14"/>
      <c r="U2256" s="14"/>
      <c r="V2256" s="14"/>
      <c r="W2256" s="14"/>
      <c r="X2256" s="14"/>
      <c r="Z2256" s="14"/>
      <c r="AA2256" s="2">
        <f t="shared" si="285"/>
        <v>3</v>
      </c>
      <c r="AB2256" s="153"/>
      <c r="AC2256" s="454" t="str">
        <f t="shared" si="286"/>
        <v/>
      </c>
    </row>
    <row r="2257" spans="1:29" x14ac:dyDescent="0.35">
      <c r="A2257" s="111" t="str">
        <f t="shared" si="287"/>
        <v/>
      </c>
      <c r="B2257" s="222"/>
      <c r="C2257" s="14"/>
      <c r="D2257" s="14"/>
      <c r="E2257" s="14"/>
      <c r="F2257" s="14"/>
      <c r="G2257" s="14" t="s">
        <v>1911</v>
      </c>
      <c r="H2257" s="14"/>
      <c r="I2257" s="176"/>
      <c r="K2257" s="87"/>
      <c r="L2257" s="14"/>
      <c r="M2257" s="324">
        <f t="shared" si="284"/>
        <v>0</v>
      </c>
      <c r="N2257" s="14"/>
      <c r="O2257" s="14"/>
      <c r="P2257" s="167"/>
      <c r="Q2257" s="14"/>
      <c r="R2257" s="170">
        <f t="shared" si="288"/>
        <v>0</v>
      </c>
      <c r="S2257" s="108" t="str">
        <f t="shared" si="289"/>
        <v/>
      </c>
      <c r="T2257" s="14"/>
      <c r="U2257" s="14"/>
      <c r="V2257" s="14"/>
      <c r="W2257" s="14"/>
      <c r="X2257" s="14"/>
      <c r="Z2257" s="14"/>
      <c r="AA2257" s="2">
        <f t="shared" si="285"/>
        <v>3</v>
      </c>
      <c r="AB2257" s="153"/>
      <c r="AC2257" s="454" t="str">
        <f t="shared" si="286"/>
        <v/>
      </c>
    </row>
    <row r="2258" spans="1:29" x14ac:dyDescent="0.35">
      <c r="A2258" s="111" t="str">
        <f t="shared" si="287"/>
        <v/>
      </c>
      <c r="B2258" s="222"/>
      <c r="C2258" s="14"/>
      <c r="D2258" s="14"/>
      <c r="E2258" s="14"/>
      <c r="F2258" s="14"/>
      <c r="G2258" s="14" t="s">
        <v>1911</v>
      </c>
      <c r="H2258" s="14"/>
      <c r="I2258" s="176"/>
      <c r="K2258" s="87"/>
      <c r="L2258" s="14"/>
      <c r="M2258" s="324">
        <f t="shared" si="284"/>
        <v>0</v>
      </c>
      <c r="N2258" s="14"/>
      <c r="O2258" s="14"/>
      <c r="P2258" s="167"/>
      <c r="Q2258" s="14"/>
      <c r="R2258" s="170">
        <f t="shared" si="288"/>
        <v>0</v>
      </c>
      <c r="S2258" s="108" t="str">
        <f t="shared" si="289"/>
        <v/>
      </c>
      <c r="T2258" s="14"/>
      <c r="U2258" s="14"/>
      <c r="V2258" s="14"/>
      <c r="W2258" s="14"/>
      <c r="X2258" s="14"/>
      <c r="Z2258" s="14"/>
      <c r="AA2258" s="2">
        <f t="shared" si="285"/>
        <v>3</v>
      </c>
      <c r="AB2258" s="153"/>
      <c r="AC2258" s="454" t="str">
        <f t="shared" si="286"/>
        <v/>
      </c>
    </row>
    <row r="2259" spans="1:29" x14ac:dyDescent="0.35">
      <c r="A2259" s="111" t="str">
        <f t="shared" si="287"/>
        <v/>
      </c>
      <c r="B2259" s="222"/>
      <c r="C2259" s="14"/>
      <c r="D2259" s="14"/>
      <c r="E2259" s="14"/>
      <c r="F2259" s="14"/>
      <c r="G2259" s="14" t="s">
        <v>1911</v>
      </c>
      <c r="H2259" s="14"/>
      <c r="I2259" s="176"/>
      <c r="K2259" s="87"/>
      <c r="L2259" s="14"/>
      <c r="M2259" s="324">
        <f t="shared" si="284"/>
        <v>0</v>
      </c>
      <c r="N2259" s="14"/>
      <c r="O2259" s="14"/>
      <c r="P2259" s="167"/>
      <c r="Q2259" s="14"/>
      <c r="R2259" s="170">
        <f t="shared" si="288"/>
        <v>0</v>
      </c>
      <c r="S2259" s="108" t="str">
        <f t="shared" si="289"/>
        <v/>
      </c>
      <c r="T2259" s="14"/>
      <c r="U2259" s="14"/>
      <c r="V2259" s="14"/>
      <c r="W2259" s="14"/>
      <c r="X2259" s="14"/>
      <c r="Z2259" s="14"/>
      <c r="AA2259" s="2">
        <f t="shared" si="285"/>
        <v>3</v>
      </c>
      <c r="AB2259" s="153"/>
      <c r="AC2259" s="454" t="str">
        <f t="shared" si="286"/>
        <v/>
      </c>
    </row>
    <row r="2260" spans="1:29" x14ac:dyDescent="0.35">
      <c r="A2260" s="111" t="str">
        <f t="shared" si="287"/>
        <v/>
      </c>
      <c r="B2260" s="222"/>
      <c r="C2260" s="14"/>
      <c r="D2260" s="14"/>
      <c r="E2260" s="14"/>
      <c r="F2260" s="14"/>
      <c r="G2260" s="14" t="s">
        <v>1911</v>
      </c>
      <c r="H2260" s="14"/>
      <c r="I2260" s="176"/>
      <c r="K2260" s="87"/>
      <c r="L2260" s="14"/>
      <c r="M2260" s="324">
        <f t="shared" ref="M2260:M2323" si="290">IF(I2260="Staff Accident","Entry Required",IF(I2260="Assaults","Entry Required",0))</f>
        <v>0</v>
      </c>
      <c r="N2260" s="14"/>
      <c r="O2260" s="14"/>
      <c r="P2260" s="167"/>
      <c r="Q2260" s="14"/>
      <c r="R2260" s="170">
        <f t="shared" si="288"/>
        <v>0</v>
      </c>
      <c r="S2260" s="108" t="str">
        <f t="shared" si="289"/>
        <v/>
      </c>
      <c r="T2260" s="14"/>
      <c r="U2260" s="14"/>
      <c r="V2260" s="14"/>
      <c r="W2260" s="14"/>
      <c r="X2260" s="14"/>
      <c r="Z2260" s="14"/>
      <c r="AA2260" s="2">
        <f t="shared" si="285"/>
        <v>3</v>
      </c>
      <c r="AB2260" s="153"/>
      <c r="AC2260" s="454" t="str">
        <f t="shared" si="286"/>
        <v/>
      </c>
    </row>
    <row r="2261" spans="1:29" x14ac:dyDescent="0.35">
      <c r="A2261" s="111" t="str">
        <f t="shared" si="287"/>
        <v/>
      </c>
      <c r="B2261" s="222"/>
      <c r="C2261" s="14"/>
      <c r="D2261" s="14"/>
      <c r="E2261" s="14"/>
      <c r="F2261" s="14"/>
      <c r="G2261" s="14" t="s">
        <v>1911</v>
      </c>
      <c r="H2261" s="14"/>
      <c r="I2261" s="176"/>
      <c r="K2261" s="87"/>
      <c r="L2261" s="14"/>
      <c r="M2261" s="324">
        <f t="shared" si="290"/>
        <v>0</v>
      </c>
      <c r="N2261" s="14"/>
      <c r="O2261" s="14"/>
      <c r="P2261" s="167"/>
      <c r="Q2261" s="14"/>
      <c r="R2261" s="170">
        <f t="shared" si="288"/>
        <v>0</v>
      </c>
      <c r="S2261" s="108" t="str">
        <f t="shared" si="289"/>
        <v/>
      </c>
      <c r="T2261" s="14"/>
      <c r="U2261" s="14"/>
      <c r="V2261" s="14"/>
      <c r="W2261" s="14"/>
      <c r="X2261" s="14"/>
      <c r="Z2261" s="14"/>
      <c r="AA2261" s="2">
        <f t="shared" si="285"/>
        <v>3</v>
      </c>
      <c r="AB2261" s="153"/>
      <c r="AC2261" s="454" t="str">
        <f t="shared" si="286"/>
        <v/>
      </c>
    </row>
    <row r="2262" spans="1:29" x14ac:dyDescent="0.35">
      <c r="A2262" s="111" t="str">
        <f t="shared" si="287"/>
        <v/>
      </c>
      <c r="B2262" s="222"/>
      <c r="C2262" s="14"/>
      <c r="D2262" s="14"/>
      <c r="E2262" s="14"/>
      <c r="F2262" s="14"/>
      <c r="G2262" s="14" t="s">
        <v>1911</v>
      </c>
      <c r="H2262" s="14"/>
      <c r="I2262" s="176"/>
      <c r="K2262" s="87"/>
      <c r="L2262" s="14"/>
      <c r="M2262" s="324">
        <f t="shared" si="290"/>
        <v>0</v>
      </c>
      <c r="N2262" s="14"/>
      <c r="O2262" s="14"/>
      <c r="P2262" s="167"/>
      <c r="Q2262" s="14"/>
      <c r="R2262" s="170">
        <f t="shared" si="288"/>
        <v>0</v>
      </c>
      <c r="S2262" s="108" t="str">
        <f t="shared" si="289"/>
        <v/>
      </c>
      <c r="T2262" s="14"/>
      <c r="U2262" s="14"/>
      <c r="V2262" s="14"/>
      <c r="W2262" s="14"/>
      <c r="X2262" s="14"/>
      <c r="Z2262" s="14"/>
      <c r="AA2262" s="2">
        <f t="shared" ref="AA2262:AA2325" si="291">IF(B2262="",3,IF(S2262&lt;$A$1,1,0))</f>
        <v>3</v>
      </c>
      <c r="AB2262" s="153"/>
      <c r="AC2262" s="454" t="str">
        <f t="shared" si="286"/>
        <v/>
      </c>
    </row>
    <row r="2263" spans="1:29" x14ac:dyDescent="0.35">
      <c r="A2263" s="111" t="str">
        <f t="shared" si="287"/>
        <v/>
      </c>
      <c r="B2263" s="222"/>
      <c r="C2263" s="14"/>
      <c r="D2263" s="14"/>
      <c r="E2263" s="14"/>
      <c r="F2263" s="14"/>
      <c r="G2263" s="14" t="s">
        <v>1911</v>
      </c>
      <c r="H2263" s="14"/>
      <c r="I2263" s="176"/>
      <c r="K2263" s="87"/>
      <c r="L2263" s="14"/>
      <c r="M2263" s="324">
        <f t="shared" si="290"/>
        <v>0</v>
      </c>
      <c r="N2263" s="14"/>
      <c r="O2263" s="14"/>
      <c r="P2263" s="167"/>
      <c r="Q2263" s="14"/>
      <c r="R2263" s="170">
        <f t="shared" si="288"/>
        <v>0</v>
      </c>
      <c r="S2263" s="108" t="str">
        <f t="shared" si="289"/>
        <v/>
      </c>
      <c r="T2263" s="14"/>
      <c r="U2263" s="14"/>
      <c r="V2263" s="14"/>
      <c r="W2263" s="14"/>
      <c r="X2263" s="14"/>
      <c r="Z2263" s="14"/>
      <c r="AA2263" s="2">
        <f t="shared" si="291"/>
        <v>3</v>
      </c>
      <c r="AB2263" s="153"/>
      <c r="AC2263" s="454" t="str">
        <f t="shared" si="286"/>
        <v/>
      </c>
    </row>
    <row r="2264" spans="1:29" x14ac:dyDescent="0.35">
      <c r="A2264" s="111" t="str">
        <f t="shared" si="287"/>
        <v/>
      </c>
      <c r="B2264" s="222"/>
      <c r="C2264" s="14"/>
      <c r="D2264" s="14"/>
      <c r="E2264" s="14"/>
      <c r="F2264" s="14"/>
      <c r="G2264" s="14" t="s">
        <v>1911</v>
      </c>
      <c r="H2264" s="14"/>
      <c r="I2264" s="176"/>
      <c r="K2264" s="87"/>
      <c r="L2264" s="14"/>
      <c r="M2264" s="324">
        <f t="shared" si="290"/>
        <v>0</v>
      </c>
      <c r="N2264" s="14"/>
      <c r="O2264" s="14"/>
      <c r="P2264" s="167"/>
      <c r="Q2264" s="14"/>
      <c r="R2264" s="170">
        <f t="shared" si="288"/>
        <v>0</v>
      </c>
      <c r="S2264" s="108" t="str">
        <f t="shared" si="289"/>
        <v/>
      </c>
      <c r="T2264" s="14"/>
      <c r="U2264" s="14"/>
      <c r="V2264" s="14"/>
      <c r="W2264" s="14"/>
      <c r="X2264" s="14"/>
      <c r="Z2264" s="14"/>
      <c r="AA2264" s="2">
        <f t="shared" si="291"/>
        <v>3</v>
      </c>
      <c r="AB2264" s="153"/>
      <c r="AC2264" s="454" t="str">
        <f t="shared" si="286"/>
        <v/>
      </c>
    </row>
    <row r="2265" spans="1:29" x14ac:dyDescent="0.35">
      <c r="A2265" s="111" t="str">
        <f t="shared" si="287"/>
        <v/>
      </c>
      <c r="B2265" s="222"/>
      <c r="C2265" s="14"/>
      <c r="D2265" s="14"/>
      <c r="E2265" s="14"/>
      <c r="F2265" s="14"/>
      <c r="G2265" s="14" t="s">
        <v>1911</v>
      </c>
      <c r="H2265" s="14"/>
      <c r="I2265" s="176"/>
      <c r="K2265" s="87"/>
      <c r="L2265" s="14"/>
      <c r="M2265" s="324">
        <f t="shared" si="290"/>
        <v>0</v>
      </c>
      <c r="N2265" s="14"/>
      <c r="O2265" s="14"/>
      <c r="P2265" s="167"/>
      <c r="Q2265" s="14"/>
      <c r="R2265" s="170">
        <f t="shared" si="288"/>
        <v>0</v>
      </c>
      <c r="S2265" s="108" t="str">
        <f t="shared" si="289"/>
        <v/>
      </c>
      <c r="T2265" s="14"/>
      <c r="U2265" s="14"/>
      <c r="V2265" s="14"/>
      <c r="W2265" s="14"/>
      <c r="X2265" s="14"/>
      <c r="Z2265" s="14"/>
      <c r="AA2265" s="2">
        <f t="shared" si="291"/>
        <v>3</v>
      </c>
      <c r="AB2265" s="153"/>
      <c r="AC2265" s="454" t="str">
        <f t="shared" si="286"/>
        <v/>
      </c>
    </row>
    <row r="2266" spans="1:29" x14ac:dyDescent="0.35">
      <c r="A2266" s="111" t="str">
        <f t="shared" si="287"/>
        <v/>
      </c>
      <c r="B2266" s="222"/>
      <c r="C2266" s="14"/>
      <c r="D2266" s="14"/>
      <c r="E2266" s="14"/>
      <c r="F2266" s="14"/>
      <c r="G2266" s="14" t="s">
        <v>1911</v>
      </c>
      <c r="H2266" s="14"/>
      <c r="I2266" s="176"/>
      <c r="K2266" s="87"/>
      <c r="L2266" s="14"/>
      <c r="M2266" s="324">
        <f t="shared" si="290"/>
        <v>0</v>
      </c>
      <c r="N2266" s="14"/>
      <c r="O2266" s="14"/>
      <c r="P2266" s="167"/>
      <c r="Q2266" s="14"/>
      <c r="R2266" s="170">
        <f t="shared" si="288"/>
        <v>0</v>
      </c>
      <c r="S2266" s="108" t="str">
        <f t="shared" si="289"/>
        <v/>
      </c>
      <c r="T2266" s="14"/>
      <c r="U2266" s="14"/>
      <c r="V2266" s="14"/>
      <c r="W2266" s="14"/>
      <c r="X2266" s="14"/>
      <c r="Z2266" s="14"/>
      <c r="AA2266" s="2">
        <f t="shared" si="291"/>
        <v>3</v>
      </c>
      <c r="AB2266" s="153"/>
      <c r="AC2266" s="454" t="str">
        <f t="shared" ref="AC2266:AC2329" si="292">LEFT(H2266,1)</f>
        <v/>
      </c>
    </row>
    <row r="2267" spans="1:29" x14ac:dyDescent="0.35">
      <c r="A2267" s="111" t="str">
        <f t="shared" si="287"/>
        <v/>
      </c>
      <c r="B2267" s="222"/>
      <c r="C2267" s="14"/>
      <c r="D2267" s="14"/>
      <c r="E2267" s="14"/>
      <c r="F2267" s="14"/>
      <c r="G2267" s="14" t="s">
        <v>1911</v>
      </c>
      <c r="H2267" s="14"/>
      <c r="I2267" s="176"/>
      <c r="K2267" s="87"/>
      <c r="L2267" s="14"/>
      <c r="M2267" s="324">
        <f t="shared" si="290"/>
        <v>0</v>
      </c>
      <c r="N2267" s="14"/>
      <c r="O2267" s="14"/>
      <c r="P2267" s="167"/>
      <c r="Q2267" s="14"/>
      <c r="R2267" s="170">
        <f t="shared" si="288"/>
        <v>0</v>
      </c>
      <c r="S2267" s="108" t="str">
        <f t="shared" si="289"/>
        <v/>
      </c>
      <c r="T2267" s="14"/>
      <c r="U2267" s="14"/>
      <c r="V2267" s="14"/>
      <c r="W2267" s="14"/>
      <c r="X2267" s="14"/>
      <c r="Z2267" s="14"/>
      <c r="AA2267" s="2">
        <f t="shared" si="291"/>
        <v>3</v>
      </c>
      <c r="AB2267" s="153"/>
      <c r="AC2267" s="454" t="str">
        <f t="shared" si="292"/>
        <v/>
      </c>
    </row>
    <row r="2268" spans="1:29" x14ac:dyDescent="0.35">
      <c r="A2268" s="111" t="str">
        <f t="shared" si="287"/>
        <v/>
      </c>
      <c r="B2268" s="222"/>
      <c r="C2268" s="14"/>
      <c r="D2268" s="14"/>
      <c r="E2268" s="14"/>
      <c r="F2268" s="14"/>
      <c r="G2268" s="14" t="s">
        <v>1911</v>
      </c>
      <c r="H2268" s="14"/>
      <c r="I2268" s="176"/>
      <c r="K2268" s="87"/>
      <c r="L2268" s="14"/>
      <c r="M2268" s="324">
        <f t="shared" si="290"/>
        <v>0</v>
      </c>
      <c r="N2268" s="14"/>
      <c r="O2268" s="14"/>
      <c r="P2268" s="167"/>
      <c r="Q2268" s="14"/>
      <c r="R2268" s="170">
        <f t="shared" si="288"/>
        <v>0</v>
      </c>
      <c r="S2268" s="108" t="str">
        <f t="shared" si="289"/>
        <v/>
      </c>
      <c r="T2268" s="14"/>
      <c r="U2268" s="14"/>
      <c r="V2268" s="14"/>
      <c r="W2268" s="14"/>
      <c r="X2268" s="14"/>
      <c r="Z2268" s="14"/>
      <c r="AA2268" s="2">
        <f t="shared" si="291"/>
        <v>3</v>
      </c>
      <c r="AB2268" s="153"/>
      <c r="AC2268" s="454" t="str">
        <f t="shared" si="292"/>
        <v/>
      </c>
    </row>
    <row r="2269" spans="1:29" x14ac:dyDescent="0.35">
      <c r="A2269" s="111" t="str">
        <f t="shared" si="287"/>
        <v/>
      </c>
      <c r="B2269" s="222"/>
      <c r="C2269" s="14"/>
      <c r="D2269" s="14"/>
      <c r="E2269" s="14"/>
      <c r="F2269" s="14"/>
      <c r="G2269" s="14" t="s">
        <v>1911</v>
      </c>
      <c r="H2269" s="14"/>
      <c r="I2269" s="176"/>
      <c r="K2269" s="87"/>
      <c r="L2269" s="14"/>
      <c r="M2269" s="324">
        <f t="shared" si="290"/>
        <v>0</v>
      </c>
      <c r="N2269" s="14"/>
      <c r="O2269" s="14"/>
      <c r="P2269" s="167"/>
      <c r="Q2269" s="14"/>
      <c r="R2269" s="170">
        <f t="shared" si="288"/>
        <v>0</v>
      </c>
      <c r="S2269" s="108" t="str">
        <f t="shared" si="289"/>
        <v/>
      </c>
      <c r="T2269" s="14"/>
      <c r="U2269" s="14"/>
      <c r="V2269" s="14"/>
      <c r="W2269" s="14"/>
      <c r="X2269" s="14"/>
      <c r="Z2269" s="14"/>
      <c r="AA2269" s="2">
        <f t="shared" si="291"/>
        <v>3</v>
      </c>
      <c r="AB2269" s="153"/>
      <c r="AC2269" s="454" t="str">
        <f t="shared" si="292"/>
        <v/>
      </c>
    </row>
    <row r="2270" spans="1:29" x14ac:dyDescent="0.35">
      <c r="A2270" s="111" t="str">
        <f t="shared" si="287"/>
        <v/>
      </c>
      <c r="B2270" s="222"/>
      <c r="C2270" s="14"/>
      <c r="D2270" s="14"/>
      <c r="E2270" s="14"/>
      <c r="F2270" s="14"/>
      <c r="G2270" s="14" t="s">
        <v>1911</v>
      </c>
      <c r="H2270" s="14"/>
      <c r="I2270" s="176"/>
      <c r="K2270" s="87"/>
      <c r="L2270" s="14"/>
      <c r="M2270" s="324">
        <f t="shared" si="290"/>
        <v>0</v>
      </c>
      <c r="N2270" s="14"/>
      <c r="O2270" s="14"/>
      <c r="P2270" s="167"/>
      <c r="Q2270" s="14"/>
      <c r="R2270" s="170">
        <f t="shared" si="288"/>
        <v>0</v>
      </c>
      <c r="S2270" s="108" t="str">
        <f t="shared" si="289"/>
        <v/>
      </c>
      <c r="T2270" s="14"/>
      <c r="U2270" s="14"/>
      <c r="V2270" s="14"/>
      <c r="W2270" s="14"/>
      <c r="X2270" s="14"/>
      <c r="Z2270" s="14"/>
      <c r="AA2270" s="2">
        <f t="shared" si="291"/>
        <v>3</v>
      </c>
      <c r="AB2270" s="153"/>
      <c r="AC2270" s="454" t="str">
        <f t="shared" si="292"/>
        <v/>
      </c>
    </row>
    <row r="2271" spans="1:29" x14ac:dyDescent="0.35">
      <c r="A2271" s="111" t="str">
        <f t="shared" ref="A2271:A2334" si="293">IF(T2271&gt;1,"Closed",IF(AA2271=1,"Overdue",IF(AA2271=3,"","Open")))</f>
        <v/>
      </c>
      <c r="B2271" s="222"/>
      <c r="C2271" s="14"/>
      <c r="D2271" s="14"/>
      <c r="E2271" s="14"/>
      <c r="F2271" s="14"/>
      <c r="G2271" s="14" t="s">
        <v>1911</v>
      </c>
      <c r="H2271" s="14"/>
      <c r="I2271" s="176"/>
      <c r="K2271" s="87"/>
      <c r="L2271" s="14"/>
      <c r="M2271" s="324">
        <f t="shared" si="290"/>
        <v>0</v>
      </c>
      <c r="N2271" s="14"/>
      <c r="O2271" s="14"/>
      <c r="P2271" s="167"/>
      <c r="Q2271" s="14"/>
      <c r="R2271" s="170">
        <f t="shared" si="288"/>
        <v>0</v>
      </c>
      <c r="S2271" s="108" t="str">
        <f t="shared" si="289"/>
        <v/>
      </c>
      <c r="T2271" s="14"/>
      <c r="U2271" s="14"/>
      <c r="V2271" s="14"/>
      <c r="W2271" s="14"/>
      <c r="X2271" s="14"/>
      <c r="Z2271" s="14"/>
      <c r="AA2271" s="2">
        <f t="shared" si="291"/>
        <v>3</v>
      </c>
      <c r="AB2271" s="153"/>
      <c r="AC2271" s="454" t="str">
        <f t="shared" si="292"/>
        <v/>
      </c>
    </row>
    <row r="2272" spans="1:29" x14ac:dyDescent="0.35">
      <c r="A2272" s="111" t="str">
        <f t="shared" si="293"/>
        <v/>
      </c>
      <c r="B2272" s="222"/>
      <c r="C2272" s="14"/>
      <c r="D2272" s="14"/>
      <c r="E2272" s="14"/>
      <c r="F2272" s="14"/>
      <c r="G2272" s="14" t="s">
        <v>1911</v>
      </c>
      <c r="H2272" s="14"/>
      <c r="I2272" s="176"/>
      <c r="K2272" s="87"/>
      <c r="L2272" s="14"/>
      <c r="M2272" s="324">
        <f t="shared" si="290"/>
        <v>0</v>
      </c>
      <c r="N2272" s="14"/>
      <c r="O2272" s="14"/>
      <c r="P2272" s="167"/>
      <c r="Q2272" s="14"/>
      <c r="R2272" s="170">
        <f t="shared" si="288"/>
        <v>0</v>
      </c>
      <c r="S2272" s="108" t="str">
        <f t="shared" si="289"/>
        <v/>
      </c>
      <c r="T2272" s="14"/>
      <c r="U2272" s="14"/>
      <c r="V2272" s="14"/>
      <c r="W2272" s="14"/>
      <c r="X2272" s="14"/>
      <c r="Z2272" s="14"/>
      <c r="AA2272" s="2">
        <f t="shared" si="291"/>
        <v>3</v>
      </c>
      <c r="AB2272" s="153"/>
      <c r="AC2272" s="454" t="str">
        <f t="shared" si="292"/>
        <v/>
      </c>
    </row>
    <row r="2273" spans="1:29" x14ac:dyDescent="0.35">
      <c r="A2273" s="111" t="str">
        <f t="shared" si="293"/>
        <v/>
      </c>
      <c r="B2273" s="222"/>
      <c r="C2273" s="14"/>
      <c r="D2273" s="14"/>
      <c r="E2273" s="14"/>
      <c r="F2273" s="14"/>
      <c r="G2273" s="14" t="s">
        <v>1911</v>
      </c>
      <c r="H2273" s="14"/>
      <c r="I2273" s="176"/>
      <c r="K2273" s="87"/>
      <c r="L2273" s="14"/>
      <c r="M2273" s="324">
        <f t="shared" si="290"/>
        <v>0</v>
      </c>
      <c r="N2273" s="14"/>
      <c r="O2273" s="14"/>
      <c r="P2273" s="167"/>
      <c r="Q2273" s="14"/>
      <c r="R2273" s="170">
        <f t="shared" si="288"/>
        <v>0</v>
      </c>
      <c r="S2273" s="108" t="str">
        <f t="shared" si="289"/>
        <v/>
      </c>
      <c r="T2273" s="14"/>
      <c r="U2273" s="14"/>
      <c r="V2273" s="14"/>
      <c r="W2273" s="14"/>
      <c r="X2273" s="14"/>
      <c r="Z2273" s="14"/>
      <c r="AA2273" s="2">
        <f t="shared" si="291"/>
        <v>3</v>
      </c>
      <c r="AB2273" s="153"/>
      <c r="AC2273" s="454" t="str">
        <f t="shared" si="292"/>
        <v/>
      </c>
    </row>
    <row r="2274" spans="1:29" x14ac:dyDescent="0.35">
      <c r="A2274" s="111" t="str">
        <f t="shared" si="293"/>
        <v/>
      </c>
      <c r="B2274" s="222"/>
      <c r="C2274" s="14"/>
      <c r="D2274" s="14"/>
      <c r="E2274" s="14"/>
      <c r="F2274" s="14"/>
      <c r="G2274" s="14" t="s">
        <v>1911</v>
      </c>
      <c r="H2274" s="14"/>
      <c r="I2274" s="176"/>
      <c r="K2274" s="87"/>
      <c r="L2274" s="14"/>
      <c r="M2274" s="324">
        <f t="shared" si="290"/>
        <v>0</v>
      </c>
      <c r="N2274" s="14"/>
      <c r="O2274" s="14"/>
      <c r="P2274" s="167"/>
      <c r="Q2274" s="14"/>
      <c r="R2274" s="170">
        <f t="shared" si="288"/>
        <v>0</v>
      </c>
      <c r="S2274" s="108" t="str">
        <f t="shared" si="289"/>
        <v/>
      </c>
      <c r="T2274" s="14"/>
      <c r="U2274" s="14"/>
      <c r="V2274" s="14"/>
      <c r="W2274" s="14"/>
      <c r="X2274" s="14"/>
      <c r="Z2274" s="14"/>
      <c r="AA2274" s="2">
        <f t="shared" si="291"/>
        <v>3</v>
      </c>
      <c r="AB2274" s="153"/>
      <c r="AC2274" s="454" t="str">
        <f t="shared" si="292"/>
        <v/>
      </c>
    </row>
    <row r="2275" spans="1:29" x14ac:dyDescent="0.35">
      <c r="A2275" s="111" t="str">
        <f t="shared" si="293"/>
        <v/>
      </c>
      <c r="B2275" s="222"/>
      <c r="C2275" s="14"/>
      <c r="D2275" s="14"/>
      <c r="E2275" s="14"/>
      <c r="F2275" s="14"/>
      <c r="G2275" s="14" t="s">
        <v>1911</v>
      </c>
      <c r="H2275" s="14"/>
      <c r="I2275" s="176"/>
      <c r="K2275" s="87"/>
      <c r="L2275" s="14"/>
      <c r="M2275" s="324">
        <f t="shared" si="290"/>
        <v>0</v>
      </c>
      <c r="N2275" s="14"/>
      <c r="O2275" s="14"/>
      <c r="P2275" s="167"/>
      <c r="Q2275" s="14"/>
      <c r="R2275" s="170">
        <f t="shared" si="288"/>
        <v>0</v>
      </c>
      <c r="S2275" s="108" t="str">
        <f t="shared" si="289"/>
        <v/>
      </c>
      <c r="T2275" s="14"/>
      <c r="U2275" s="14"/>
      <c r="V2275" s="14"/>
      <c r="W2275" s="14"/>
      <c r="X2275" s="14"/>
      <c r="Z2275" s="14"/>
      <c r="AA2275" s="2">
        <f t="shared" si="291"/>
        <v>3</v>
      </c>
      <c r="AB2275" s="153"/>
      <c r="AC2275" s="454" t="str">
        <f t="shared" si="292"/>
        <v/>
      </c>
    </row>
    <row r="2276" spans="1:29" x14ac:dyDescent="0.35">
      <c r="A2276" s="111" t="str">
        <f t="shared" si="293"/>
        <v/>
      </c>
      <c r="B2276" s="222"/>
      <c r="C2276" s="14"/>
      <c r="D2276" s="14"/>
      <c r="E2276" s="14"/>
      <c r="F2276" s="14"/>
      <c r="G2276" s="14" t="s">
        <v>1911</v>
      </c>
      <c r="H2276" s="14"/>
      <c r="I2276" s="176"/>
      <c r="K2276" s="87"/>
      <c r="L2276" s="14"/>
      <c r="M2276" s="324">
        <f t="shared" si="290"/>
        <v>0</v>
      </c>
      <c r="N2276" s="14"/>
      <c r="O2276" s="14"/>
      <c r="P2276" s="167"/>
      <c r="Q2276" s="14"/>
      <c r="R2276" s="170">
        <f t="shared" si="288"/>
        <v>0</v>
      </c>
      <c r="S2276" s="108" t="str">
        <f t="shared" si="289"/>
        <v/>
      </c>
      <c r="T2276" s="14"/>
      <c r="U2276" s="14"/>
      <c r="V2276" s="14"/>
      <c r="W2276" s="14"/>
      <c r="X2276" s="14"/>
      <c r="Z2276" s="14"/>
      <c r="AA2276" s="2">
        <f t="shared" si="291"/>
        <v>3</v>
      </c>
      <c r="AB2276" s="153"/>
      <c r="AC2276" s="454" t="str">
        <f t="shared" si="292"/>
        <v/>
      </c>
    </row>
    <row r="2277" spans="1:29" x14ac:dyDescent="0.35">
      <c r="A2277" s="111" t="str">
        <f t="shared" si="293"/>
        <v/>
      </c>
      <c r="B2277" s="222"/>
      <c r="C2277" s="14"/>
      <c r="D2277" s="14"/>
      <c r="E2277" s="14"/>
      <c r="F2277" s="14"/>
      <c r="G2277" s="14" t="s">
        <v>1911</v>
      </c>
      <c r="H2277" s="14"/>
      <c r="I2277" s="176"/>
      <c r="K2277" s="87"/>
      <c r="L2277" s="14"/>
      <c r="M2277" s="324">
        <f t="shared" si="290"/>
        <v>0</v>
      </c>
      <c r="N2277" s="14"/>
      <c r="O2277" s="14"/>
      <c r="P2277" s="167"/>
      <c r="Q2277" s="14"/>
      <c r="R2277" s="170">
        <f t="shared" si="288"/>
        <v>0</v>
      </c>
      <c r="S2277" s="108" t="str">
        <f t="shared" si="289"/>
        <v/>
      </c>
      <c r="T2277" s="14"/>
      <c r="U2277" s="14"/>
      <c r="V2277" s="14"/>
      <c r="W2277" s="14"/>
      <c r="X2277" s="14"/>
      <c r="Z2277" s="14"/>
      <c r="AA2277" s="2">
        <f t="shared" si="291"/>
        <v>3</v>
      </c>
      <c r="AB2277" s="153"/>
      <c r="AC2277" s="454" t="str">
        <f t="shared" si="292"/>
        <v/>
      </c>
    </row>
    <row r="2278" spans="1:29" x14ac:dyDescent="0.35">
      <c r="A2278" s="111" t="str">
        <f t="shared" si="293"/>
        <v/>
      </c>
      <c r="B2278" s="222"/>
      <c r="C2278" s="14"/>
      <c r="D2278" s="14"/>
      <c r="E2278" s="14"/>
      <c r="F2278" s="14"/>
      <c r="G2278" s="14" t="s">
        <v>1911</v>
      </c>
      <c r="H2278" s="14"/>
      <c r="I2278" s="176"/>
      <c r="K2278" s="87"/>
      <c r="L2278" s="14"/>
      <c r="M2278" s="324">
        <f t="shared" si="290"/>
        <v>0</v>
      </c>
      <c r="N2278" s="14"/>
      <c r="O2278" s="14"/>
      <c r="P2278" s="167"/>
      <c r="Q2278" s="14"/>
      <c r="R2278" s="170">
        <f t="shared" si="288"/>
        <v>0</v>
      </c>
      <c r="S2278" s="108" t="str">
        <f t="shared" si="289"/>
        <v/>
      </c>
      <c r="T2278" s="14"/>
      <c r="U2278" s="14"/>
      <c r="V2278" s="14"/>
      <c r="W2278" s="14"/>
      <c r="X2278" s="14"/>
      <c r="Z2278" s="14"/>
      <c r="AA2278" s="2">
        <f t="shared" si="291"/>
        <v>3</v>
      </c>
      <c r="AB2278" s="153"/>
      <c r="AC2278" s="454" t="str">
        <f t="shared" si="292"/>
        <v/>
      </c>
    </row>
    <row r="2279" spans="1:29" x14ac:dyDescent="0.35">
      <c r="A2279" s="111" t="str">
        <f t="shared" si="293"/>
        <v/>
      </c>
      <c r="B2279" s="222"/>
      <c r="C2279" s="14"/>
      <c r="D2279" s="14"/>
      <c r="E2279" s="14"/>
      <c r="F2279" s="14"/>
      <c r="G2279" s="14" t="s">
        <v>1911</v>
      </c>
      <c r="H2279" s="14"/>
      <c r="I2279" s="176"/>
      <c r="K2279" s="87"/>
      <c r="L2279" s="14"/>
      <c r="M2279" s="324">
        <f t="shared" si="290"/>
        <v>0</v>
      </c>
      <c r="N2279" s="14"/>
      <c r="O2279" s="14"/>
      <c r="P2279" s="167"/>
      <c r="Q2279" s="14"/>
      <c r="R2279" s="170">
        <f t="shared" si="288"/>
        <v>0</v>
      </c>
      <c r="S2279" s="108" t="str">
        <f t="shared" si="289"/>
        <v/>
      </c>
      <c r="T2279" s="14"/>
      <c r="U2279" s="14"/>
      <c r="V2279" s="14"/>
      <c r="W2279" s="14"/>
      <c r="X2279" s="14"/>
      <c r="Z2279" s="14"/>
      <c r="AA2279" s="2">
        <f t="shared" si="291"/>
        <v>3</v>
      </c>
      <c r="AB2279" s="153"/>
      <c r="AC2279" s="454" t="str">
        <f t="shared" si="292"/>
        <v/>
      </c>
    </row>
    <row r="2280" spans="1:29" x14ac:dyDescent="0.35">
      <c r="A2280" s="111" t="str">
        <f t="shared" si="293"/>
        <v/>
      </c>
      <c r="B2280" s="222"/>
      <c r="C2280" s="14"/>
      <c r="D2280" s="14"/>
      <c r="E2280" s="14"/>
      <c r="F2280" s="14"/>
      <c r="G2280" s="14" t="s">
        <v>1911</v>
      </c>
      <c r="H2280" s="14"/>
      <c r="I2280" s="176"/>
      <c r="K2280" s="87"/>
      <c r="L2280" s="14"/>
      <c r="M2280" s="324">
        <f t="shared" si="290"/>
        <v>0</v>
      </c>
      <c r="N2280" s="14"/>
      <c r="O2280" s="14"/>
      <c r="P2280" s="167"/>
      <c r="Q2280" s="14"/>
      <c r="R2280" s="170">
        <f t="shared" si="288"/>
        <v>0</v>
      </c>
      <c r="S2280" s="108" t="str">
        <f t="shared" si="289"/>
        <v/>
      </c>
      <c r="T2280" s="14"/>
      <c r="U2280" s="14"/>
      <c r="V2280" s="14"/>
      <c r="W2280" s="14"/>
      <c r="X2280" s="14"/>
      <c r="Z2280" s="14"/>
      <c r="AA2280" s="2">
        <f t="shared" si="291"/>
        <v>3</v>
      </c>
      <c r="AB2280" s="153"/>
      <c r="AC2280" s="454" t="str">
        <f t="shared" si="292"/>
        <v/>
      </c>
    </row>
    <row r="2281" spans="1:29" x14ac:dyDescent="0.35">
      <c r="A2281" s="111" t="str">
        <f t="shared" si="293"/>
        <v/>
      </c>
      <c r="B2281" s="222"/>
      <c r="C2281" s="14"/>
      <c r="D2281" s="14"/>
      <c r="E2281" s="14"/>
      <c r="F2281" s="14"/>
      <c r="G2281" s="14" t="s">
        <v>1911</v>
      </c>
      <c r="H2281" s="14"/>
      <c r="I2281" s="176"/>
      <c r="K2281" s="87"/>
      <c r="L2281" s="14"/>
      <c r="M2281" s="324">
        <f t="shared" si="290"/>
        <v>0</v>
      </c>
      <c r="N2281" s="14"/>
      <c r="O2281" s="14"/>
      <c r="P2281" s="167"/>
      <c r="Q2281" s="14"/>
      <c r="R2281" s="170">
        <f t="shared" si="288"/>
        <v>0</v>
      </c>
      <c r="S2281" s="108" t="str">
        <f t="shared" si="289"/>
        <v/>
      </c>
      <c r="T2281" s="14"/>
      <c r="U2281" s="14"/>
      <c r="V2281" s="14"/>
      <c r="W2281" s="14"/>
      <c r="X2281" s="14"/>
      <c r="Z2281" s="14"/>
      <c r="AA2281" s="2">
        <f t="shared" si="291"/>
        <v>3</v>
      </c>
      <c r="AB2281" s="153"/>
      <c r="AC2281" s="454" t="str">
        <f t="shared" si="292"/>
        <v/>
      </c>
    </row>
    <row r="2282" spans="1:29" x14ac:dyDescent="0.35">
      <c r="A2282" s="111" t="str">
        <f t="shared" si="293"/>
        <v/>
      </c>
      <c r="B2282" s="222"/>
      <c r="C2282" s="14"/>
      <c r="D2282" s="14"/>
      <c r="E2282" s="14"/>
      <c r="F2282" s="14"/>
      <c r="G2282" s="14" t="s">
        <v>1911</v>
      </c>
      <c r="H2282" s="14"/>
      <c r="I2282" s="176"/>
      <c r="K2282" s="87"/>
      <c r="L2282" s="14"/>
      <c r="M2282" s="324">
        <f t="shared" si="290"/>
        <v>0</v>
      </c>
      <c r="N2282" s="14"/>
      <c r="O2282" s="14"/>
      <c r="P2282" s="167"/>
      <c r="Q2282" s="14"/>
      <c r="R2282" s="170">
        <f t="shared" si="288"/>
        <v>0</v>
      </c>
      <c r="S2282" s="108" t="str">
        <f t="shared" si="289"/>
        <v/>
      </c>
      <c r="T2282" s="14"/>
      <c r="U2282" s="14"/>
      <c r="V2282" s="14"/>
      <c r="W2282" s="14"/>
      <c r="X2282" s="14"/>
      <c r="Z2282" s="14"/>
      <c r="AA2282" s="2">
        <f t="shared" si="291"/>
        <v>3</v>
      </c>
      <c r="AB2282" s="153"/>
      <c r="AC2282" s="454" t="str">
        <f t="shared" si="292"/>
        <v/>
      </c>
    </row>
    <row r="2283" spans="1:29" x14ac:dyDescent="0.35">
      <c r="A2283" s="111" t="str">
        <f t="shared" si="293"/>
        <v/>
      </c>
      <c r="B2283" s="222"/>
      <c r="C2283" s="14"/>
      <c r="D2283" s="14"/>
      <c r="E2283" s="14"/>
      <c r="F2283" s="14"/>
      <c r="G2283" s="14" t="s">
        <v>1911</v>
      </c>
      <c r="H2283" s="14"/>
      <c r="I2283" s="176"/>
      <c r="K2283" s="87"/>
      <c r="L2283" s="14"/>
      <c r="M2283" s="324">
        <f t="shared" si="290"/>
        <v>0</v>
      </c>
      <c r="N2283" s="14"/>
      <c r="O2283" s="14"/>
      <c r="P2283" s="167"/>
      <c r="Q2283" s="14"/>
      <c r="R2283" s="170">
        <f t="shared" si="288"/>
        <v>0</v>
      </c>
      <c r="S2283" s="108" t="str">
        <f t="shared" si="289"/>
        <v/>
      </c>
      <c r="T2283" s="14"/>
      <c r="U2283" s="14"/>
      <c r="V2283" s="14"/>
      <c r="W2283" s="14"/>
      <c r="X2283" s="14"/>
      <c r="Z2283" s="14"/>
      <c r="AA2283" s="2">
        <f t="shared" si="291"/>
        <v>3</v>
      </c>
      <c r="AB2283" s="153"/>
      <c r="AC2283" s="454" t="str">
        <f t="shared" si="292"/>
        <v/>
      </c>
    </row>
    <row r="2284" spans="1:29" x14ac:dyDescent="0.35">
      <c r="A2284" s="111" t="str">
        <f t="shared" si="293"/>
        <v/>
      </c>
      <c r="B2284" s="222"/>
      <c r="C2284" s="14"/>
      <c r="D2284" s="14"/>
      <c r="E2284" s="14"/>
      <c r="F2284" s="14"/>
      <c r="G2284" s="14" t="s">
        <v>1911</v>
      </c>
      <c r="H2284" s="14"/>
      <c r="I2284" s="176"/>
      <c r="K2284" s="87"/>
      <c r="L2284" s="14"/>
      <c r="M2284" s="324">
        <f t="shared" si="290"/>
        <v>0</v>
      </c>
      <c r="N2284" s="14"/>
      <c r="O2284" s="14"/>
      <c r="P2284" s="167"/>
      <c r="Q2284" s="14"/>
      <c r="R2284" s="170">
        <f t="shared" si="288"/>
        <v>0</v>
      </c>
      <c r="S2284" s="108" t="str">
        <f t="shared" si="289"/>
        <v/>
      </c>
      <c r="T2284" s="14"/>
      <c r="U2284" s="14"/>
      <c r="V2284" s="14"/>
      <c r="W2284" s="14"/>
      <c r="X2284" s="14"/>
      <c r="Z2284" s="14"/>
      <c r="AA2284" s="2">
        <f t="shared" si="291"/>
        <v>3</v>
      </c>
      <c r="AB2284" s="153"/>
      <c r="AC2284" s="454" t="str">
        <f t="shared" si="292"/>
        <v/>
      </c>
    </row>
    <row r="2285" spans="1:29" x14ac:dyDescent="0.35">
      <c r="A2285" s="111" t="str">
        <f t="shared" si="293"/>
        <v/>
      </c>
      <c r="B2285" s="222"/>
      <c r="C2285" s="14"/>
      <c r="D2285" s="14"/>
      <c r="E2285" s="14"/>
      <c r="F2285" s="14"/>
      <c r="G2285" s="14" t="s">
        <v>1911</v>
      </c>
      <c r="H2285" s="14"/>
      <c r="I2285" s="176"/>
      <c r="K2285" s="87"/>
      <c r="L2285" s="14"/>
      <c r="M2285" s="324">
        <f t="shared" si="290"/>
        <v>0</v>
      </c>
      <c r="N2285" s="14"/>
      <c r="O2285" s="14"/>
      <c r="P2285" s="167"/>
      <c r="Q2285" s="14"/>
      <c r="R2285" s="170">
        <f t="shared" ref="R2285:R2348" si="294">IF(I2285="Staff Accident","Entry Required",IF(I2285="Assaults","Entry Required",0))</f>
        <v>0</v>
      </c>
      <c r="S2285" s="108" t="str">
        <f t="shared" si="289"/>
        <v/>
      </c>
      <c r="T2285" s="14"/>
      <c r="U2285" s="14"/>
      <c r="V2285" s="14"/>
      <c r="W2285" s="14"/>
      <c r="X2285" s="14"/>
      <c r="Z2285" s="14"/>
      <c r="AA2285" s="2">
        <f t="shared" si="291"/>
        <v>3</v>
      </c>
      <c r="AB2285" s="153"/>
      <c r="AC2285" s="454" t="str">
        <f t="shared" si="292"/>
        <v/>
      </c>
    </row>
    <row r="2286" spans="1:29" x14ac:dyDescent="0.35">
      <c r="A2286" s="111" t="str">
        <f t="shared" si="293"/>
        <v/>
      </c>
      <c r="B2286" s="222"/>
      <c r="C2286" s="14"/>
      <c r="D2286" s="14"/>
      <c r="E2286" s="14"/>
      <c r="F2286" s="14"/>
      <c r="G2286" s="14" t="s">
        <v>1911</v>
      </c>
      <c r="H2286" s="14"/>
      <c r="I2286" s="176"/>
      <c r="K2286" s="87"/>
      <c r="L2286" s="14"/>
      <c r="M2286" s="324">
        <f t="shared" si="290"/>
        <v>0</v>
      </c>
      <c r="N2286" s="14"/>
      <c r="O2286" s="14"/>
      <c r="P2286" s="167"/>
      <c r="Q2286" s="14"/>
      <c r="R2286" s="170">
        <f t="shared" si="294"/>
        <v>0</v>
      </c>
      <c r="S2286" s="108" t="str">
        <f t="shared" si="289"/>
        <v/>
      </c>
      <c r="T2286" s="14"/>
      <c r="U2286" s="14"/>
      <c r="V2286" s="14"/>
      <c r="W2286" s="14"/>
      <c r="X2286" s="14"/>
      <c r="Z2286" s="14"/>
      <c r="AA2286" s="2">
        <f t="shared" si="291"/>
        <v>3</v>
      </c>
      <c r="AB2286" s="153"/>
      <c r="AC2286" s="454" t="str">
        <f t="shared" si="292"/>
        <v/>
      </c>
    </row>
    <row r="2287" spans="1:29" x14ac:dyDescent="0.35">
      <c r="A2287" s="111" t="str">
        <f t="shared" si="293"/>
        <v/>
      </c>
      <c r="B2287" s="222"/>
      <c r="C2287" s="14"/>
      <c r="D2287" s="14"/>
      <c r="E2287" s="14"/>
      <c r="F2287" s="14"/>
      <c r="G2287" s="14" t="s">
        <v>1911</v>
      </c>
      <c r="H2287" s="14"/>
      <c r="I2287" s="176"/>
      <c r="K2287" s="87"/>
      <c r="L2287" s="14"/>
      <c r="M2287" s="324">
        <f t="shared" si="290"/>
        <v>0</v>
      </c>
      <c r="N2287" s="14"/>
      <c r="O2287" s="14"/>
      <c r="P2287" s="167"/>
      <c r="Q2287" s="14"/>
      <c r="R2287" s="170">
        <f t="shared" si="294"/>
        <v>0</v>
      </c>
      <c r="S2287" s="108" t="str">
        <f t="shared" si="289"/>
        <v/>
      </c>
      <c r="T2287" s="14"/>
      <c r="U2287" s="14"/>
      <c r="V2287" s="14"/>
      <c r="W2287" s="14"/>
      <c r="X2287" s="14"/>
      <c r="Z2287" s="14"/>
      <c r="AA2287" s="2">
        <f t="shared" si="291"/>
        <v>3</v>
      </c>
      <c r="AB2287" s="153"/>
      <c r="AC2287" s="454" t="str">
        <f t="shared" si="292"/>
        <v/>
      </c>
    </row>
    <row r="2288" spans="1:29" x14ac:dyDescent="0.35">
      <c r="A2288" s="111" t="str">
        <f t="shared" si="293"/>
        <v/>
      </c>
      <c r="B2288" s="222"/>
      <c r="C2288" s="14"/>
      <c r="D2288" s="14"/>
      <c r="E2288" s="14"/>
      <c r="F2288" s="14"/>
      <c r="G2288" s="14" t="s">
        <v>1911</v>
      </c>
      <c r="H2288" s="14"/>
      <c r="I2288" s="176"/>
      <c r="K2288" s="87"/>
      <c r="L2288" s="14"/>
      <c r="M2288" s="324">
        <f t="shared" si="290"/>
        <v>0</v>
      </c>
      <c r="N2288" s="14"/>
      <c r="O2288" s="14"/>
      <c r="P2288" s="167"/>
      <c r="Q2288" s="14"/>
      <c r="R2288" s="170">
        <f t="shared" si="294"/>
        <v>0</v>
      </c>
      <c r="S2288" s="108" t="str">
        <f t="shared" si="289"/>
        <v/>
      </c>
      <c r="T2288" s="14"/>
      <c r="U2288" s="14"/>
      <c r="V2288" s="14"/>
      <c r="W2288" s="14"/>
      <c r="X2288" s="14"/>
      <c r="Z2288" s="14"/>
      <c r="AA2288" s="2">
        <f t="shared" si="291"/>
        <v>3</v>
      </c>
      <c r="AB2288" s="153"/>
      <c r="AC2288" s="454" t="str">
        <f t="shared" si="292"/>
        <v/>
      </c>
    </row>
    <row r="2289" spans="1:29" x14ac:dyDescent="0.35">
      <c r="A2289" s="111" t="str">
        <f t="shared" si="293"/>
        <v/>
      </c>
      <c r="B2289" s="222"/>
      <c r="C2289" s="14"/>
      <c r="D2289" s="14"/>
      <c r="E2289" s="14"/>
      <c r="F2289" s="14"/>
      <c r="G2289" s="14" t="s">
        <v>1911</v>
      </c>
      <c r="H2289" s="14"/>
      <c r="I2289" s="176"/>
      <c r="K2289" s="87"/>
      <c r="L2289" s="14"/>
      <c r="M2289" s="324">
        <f t="shared" si="290"/>
        <v>0</v>
      </c>
      <c r="N2289" s="14"/>
      <c r="O2289" s="14"/>
      <c r="P2289" s="167"/>
      <c r="Q2289" s="14"/>
      <c r="R2289" s="170">
        <f t="shared" si="294"/>
        <v>0</v>
      </c>
      <c r="S2289" s="108" t="str">
        <f t="shared" si="289"/>
        <v/>
      </c>
      <c r="T2289" s="14"/>
      <c r="U2289" s="14"/>
      <c r="V2289" s="14"/>
      <c r="W2289" s="14"/>
      <c r="X2289" s="14"/>
      <c r="Z2289" s="14"/>
      <c r="AA2289" s="2">
        <f t="shared" si="291"/>
        <v>3</v>
      </c>
      <c r="AB2289" s="153"/>
      <c r="AC2289" s="454" t="str">
        <f t="shared" si="292"/>
        <v/>
      </c>
    </row>
    <row r="2290" spans="1:29" x14ac:dyDescent="0.35">
      <c r="A2290" s="111" t="str">
        <f t="shared" si="293"/>
        <v/>
      </c>
      <c r="B2290" s="222"/>
      <c r="C2290" s="14"/>
      <c r="D2290" s="14"/>
      <c r="E2290" s="14"/>
      <c r="F2290" s="14"/>
      <c r="G2290" s="14" t="s">
        <v>1911</v>
      </c>
      <c r="H2290" s="14"/>
      <c r="I2290" s="176"/>
      <c r="K2290" s="87"/>
      <c r="L2290" s="14"/>
      <c r="M2290" s="324">
        <f t="shared" si="290"/>
        <v>0</v>
      </c>
      <c r="N2290" s="14"/>
      <c r="O2290" s="14"/>
      <c r="P2290" s="167"/>
      <c r="Q2290" s="14"/>
      <c r="R2290" s="170">
        <f t="shared" si="294"/>
        <v>0</v>
      </c>
      <c r="S2290" s="108" t="str">
        <f t="shared" si="289"/>
        <v/>
      </c>
      <c r="T2290" s="14"/>
      <c r="U2290" s="14"/>
      <c r="V2290" s="14"/>
      <c r="W2290" s="14"/>
      <c r="X2290" s="14"/>
      <c r="Z2290" s="14"/>
      <c r="AA2290" s="2">
        <f t="shared" si="291"/>
        <v>3</v>
      </c>
      <c r="AB2290" s="153"/>
      <c r="AC2290" s="454" t="str">
        <f t="shared" si="292"/>
        <v/>
      </c>
    </row>
    <row r="2291" spans="1:29" x14ac:dyDescent="0.35">
      <c r="A2291" s="111" t="str">
        <f t="shared" si="293"/>
        <v/>
      </c>
      <c r="B2291" s="222"/>
      <c r="C2291" s="14"/>
      <c r="D2291" s="14"/>
      <c r="E2291" s="14"/>
      <c r="F2291" s="14"/>
      <c r="G2291" s="14" t="s">
        <v>1911</v>
      </c>
      <c r="H2291" s="14"/>
      <c r="I2291" s="176"/>
      <c r="K2291" s="87"/>
      <c r="L2291" s="14"/>
      <c r="M2291" s="324">
        <f t="shared" si="290"/>
        <v>0</v>
      </c>
      <c r="N2291" s="14"/>
      <c r="O2291" s="14"/>
      <c r="P2291" s="167"/>
      <c r="Q2291" s="14"/>
      <c r="R2291" s="170">
        <f t="shared" si="294"/>
        <v>0</v>
      </c>
      <c r="S2291" s="108" t="str">
        <f t="shared" si="289"/>
        <v/>
      </c>
      <c r="T2291" s="14"/>
      <c r="U2291" s="14"/>
      <c r="V2291" s="14"/>
      <c r="W2291" s="14"/>
      <c r="X2291" s="14"/>
      <c r="Z2291" s="14"/>
      <c r="AA2291" s="2">
        <f t="shared" si="291"/>
        <v>3</v>
      </c>
      <c r="AB2291" s="153"/>
      <c r="AC2291" s="454" t="str">
        <f t="shared" si="292"/>
        <v/>
      </c>
    </row>
    <row r="2292" spans="1:29" x14ac:dyDescent="0.35">
      <c r="A2292" s="111" t="str">
        <f t="shared" si="293"/>
        <v/>
      </c>
      <c r="B2292" s="222"/>
      <c r="C2292" s="14"/>
      <c r="D2292" s="14"/>
      <c r="E2292" s="14"/>
      <c r="F2292" s="14"/>
      <c r="G2292" s="14" t="s">
        <v>1911</v>
      </c>
      <c r="H2292" s="14"/>
      <c r="I2292" s="176"/>
      <c r="K2292" s="87"/>
      <c r="L2292" s="14"/>
      <c r="M2292" s="324">
        <f t="shared" si="290"/>
        <v>0</v>
      </c>
      <c r="N2292" s="14"/>
      <c r="O2292" s="14"/>
      <c r="P2292" s="167"/>
      <c r="Q2292" s="14"/>
      <c r="R2292" s="170">
        <f t="shared" si="294"/>
        <v>0</v>
      </c>
      <c r="S2292" s="108" t="str">
        <f t="shared" si="289"/>
        <v/>
      </c>
      <c r="T2292" s="14"/>
      <c r="U2292" s="14"/>
      <c r="V2292" s="14"/>
      <c r="W2292" s="14"/>
      <c r="X2292" s="14"/>
      <c r="Z2292" s="14"/>
      <c r="AA2292" s="2">
        <f t="shared" si="291"/>
        <v>3</v>
      </c>
      <c r="AB2292" s="153"/>
      <c r="AC2292" s="454" t="str">
        <f t="shared" si="292"/>
        <v/>
      </c>
    </row>
    <row r="2293" spans="1:29" x14ac:dyDescent="0.35">
      <c r="A2293" s="111" t="str">
        <f t="shared" si="293"/>
        <v/>
      </c>
      <c r="B2293" s="222"/>
      <c r="C2293" s="14"/>
      <c r="D2293" s="14"/>
      <c r="E2293" s="14"/>
      <c r="F2293" s="14"/>
      <c r="G2293" s="14" t="s">
        <v>1911</v>
      </c>
      <c r="H2293" s="14"/>
      <c r="I2293" s="176"/>
      <c r="K2293" s="87"/>
      <c r="L2293" s="14"/>
      <c r="M2293" s="324">
        <f t="shared" si="290"/>
        <v>0</v>
      </c>
      <c r="N2293" s="14"/>
      <c r="O2293" s="14"/>
      <c r="P2293" s="167"/>
      <c r="Q2293" s="14"/>
      <c r="R2293" s="170">
        <f t="shared" si="294"/>
        <v>0</v>
      </c>
      <c r="S2293" s="108" t="str">
        <f t="shared" si="289"/>
        <v/>
      </c>
      <c r="T2293" s="14"/>
      <c r="U2293" s="14"/>
      <c r="V2293" s="14"/>
      <c r="W2293" s="14"/>
      <c r="X2293" s="14"/>
      <c r="Z2293" s="14"/>
      <c r="AA2293" s="2">
        <f t="shared" si="291"/>
        <v>3</v>
      </c>
      <c r="AB2293" s="153"/>
      <c r="AC2293" s="454" t="str">
        <f t="shared" si="292"/>
        <v/>
      </c>
    </row>
    <row r="2294" spans="1:29" x14ac:dyDescent="0.35">
      <c r="A2294" s="111" t="str">
        <f t="shared" si="293"/>
        <v/>
      </c>
      <c r="B2294" s="222"/>
      <c r="C2294" s="14"/>
      <c r="D2294" s="14"/>
      <c r="E2294" s="14"/>
      <c r="F2294" s="14"/>
      <c r="G2294" s="14" t="s">
        <v>1911</v>
      </c>
      <c r="H2294" s="14"/>
      <c r="I2294" s="176"/>
      <c r="K2294" s="87"/>
      <c r="L2294" s="14"/>
      <c r="M2294" s="324">
        <f t="shared" si="290"/>
        <v>0</v>
      </c>
      <c r="N2294" s="14"/>
      <c r="O2294" s="14"/>
      <c r="P2294" s="167"/>
      <c r="Q2294" s="14"/>
      <c r="R2294" s="170">
        <f t="shared" si="294"/>
        <v>0</v>
      </c>
      <c r="S2294" s="108" t="str">
        <f t="shared" si="289"/>
        <v/>
      </c>
      <c r="T2294" s="14"/>
      <c r="U2294" s="14"/>
      <c r="V2294" s="14"/>
      <c r="W2294" s="14"/>
      <c r="X2294" s="14"/>
      <c r="Z2294" s="14"/>
      <c r="AA2294" s="2">
        <f t="shared" si="291"/>
        <v>3</v>
      </c>
      <c r="AB2294" s="153"/>
      <c r="AC2294" s="454" t="str">
        <f t="shared" si="292"/>
        <v/>
      </c>
    </row>
    <row r="2295" spans="1:29" x14ac:dyDescent="0.35">
      <c r="A2295" s="111" t="str">
        <f t="shared" si="293"/>
        <v/>
      </c>
      <c r="B2295" s="222"/>
      <c r="C2295" s="14"/>
      <c r="D2295" s="14"/>
      <c r="E2295" s="14"/>
      <c r="F2295" s="14"/>
      <c r="G2295" s="14" t="s">
        <v>1911</v>
      </c>
      <c r="H2295" s="14"/>
      <c r="I2295" s="176"/>
      <c r="K2295" s="87"/>
      <c r="L2295" s="14"/>
      <c r="M2295" s="324">
        <f t="shared" si="290"/>
        <v>0</v>
      </c>
      <c r="N2295" s="14"/>
      <c r="O2295" s="14"/>
      <c r="P2295" s="167"/>
      <c r="Q2295" s="14"/>
      <c r="R2295" s="170">
        <f t="shared" si="294"/>
        <v>0</v>
      </c>
      <c r="S2295" s="108" t="str">
        <f t="shared" si="289"/>
        <v/>
      </c>
      <c r="T2295" s="14"/>
      <c r="U2295" s="14"/>
      <c r="V2295" s="14"/>
      <c r="W2295" s="14"/>
      <c r="X2295" s="14"/>
      <c r="Z2295" s="14"/>
      <c r="AA2295" s="2">
        <f t="shared" si="291"/>
        <v>3</v>
      </c>
      <c r="AB2295" s="153"/>
      <c r="AC2295" s="454" t="str">
        <f t="shared" si="292"/>
        <v/>
      </c>
    </row>
    <row r="2296" spans="1:29" x14ac:dyDescent="0.35">
      <c r="A2296" s="111" t="str">
        <f t="shared" si="293"/>
        <v/>
      </c>
      <c r="B2296" s="222"/>
      <c r="C2296" s="14"/>
      <c r="D2296" s="14"/>
      <c r="E2296" s="14"/>
      <c r="F2296" s="14"/>
      <c r="G2296" s="14" t="s">
        <v>1911</v>
      </c>
      <c r="H2296" s="14"/>
      <c r="I2296" s="176"/>
      <c r="K2296" s="87"/>
      <c r="L2296" s="14"/>
      <c r="M2296" s="324">
        <f t="shared" si="290"/>
        <v>0</v>
      </c>
      <c r="N2296" s="14"/>
      <c r="O2296" s="14"/>
      <c r="P2296" s="167"/>
      <c r="Q2296" s="14"/>
      <c r="R2296" s="170">
        <f t="shared" si="294"/>
        <v>0</v>
      </c>
      <c r="S2296" s="108" t="str">
        <f t="shared" si="289"/>
        <v/>
      </c>
      <c r="T2296" s="14"/>
      <c r="U2296" s="14"/>
      <c r="V2296" s="14"/>
      <c r="W2296" s="14"/>
      <c r="X2296" s="14"/>
      <c r="Z2296" s="14"/>
      <c r="AA2296" s="2">
        <f t="shared" si="291"/>
        <v>3</v>
      </c>
      <c r="AB2296" s="153"/>
      <c r="AC2296" s="454" t="str">
        <f t="shared" si="292"/>
        <v/>
      </c>
    </row>
    <row r="2297" spans="1:29" x14ac:dyDescent="0.35">
      <c r="A2297" s="111" t="str">
        <f t="shared" si="293"/>
        <v/>
      </c>
      <c r="B2297" s="222"/>
      <c r="C2297" s="14"/>
      <c r="D2297" s="14"/>
      <c r="E2297" s="14"/>
      <c r="F2297" s="14"/>
      <c r="G2297" s="14" t="s">
        <v>1911</v>
      </c>
      <c r="H2297" s="14"/>
      <c r="I2297" s="176"/>
      <c r="K2297" s="87"/>
      <c r="L2297" s="14"/>
      <c r="M2297" s="324">
        <f t="shared" si="290"/>
        <v>0</v>
      </c>
      <c r="N2297" s="14"/>
      <c r="O2297" s="14"/>
      <c r="P2297" s="167"/>
      <c r="Q2297" s="14"/>
      <c r="R2297" s="170">
        <f t="shared" si="294"/>
        <v>0</v>
      </c>
      <c r="S2297" s="108" t="str">
        <f t="shared" si="289"/>
        <v/>
      </c>
      <c r="T2297" s="14"/>
      <c r="U2297" s="14"/>
      <c r="V2297" s="14"/>
      <c r="W2297" s="14"/>
      <c r="X2297" s="14"/>
      <c r="Z2297" s="14"/>
      <c r="AA2297" s="2">
        <f t="shared" si="291"/>
        <v>3</v>
      </c>
      <c r="AB2297" s="153"/>
      <c r="AC2297" s="454" t="str">
        <f t="shared" si="292"/>
        <v/>
      </c>
    </row>
    <row r="2298" spans="1:29" x14ac:dyDescent="0.35">
      <c r="A2298" s="111" t="str">
        <f t="shared" si="293"/>
        <v/>
      </c>
      <c r="B2298" s="222"/>
      <c r="C2298" s="14"/>
      <c r="D2298" s="14"/>
      <c r="E2298" s="14"/>
      <c r="F2298" s="14"/>
      <c r="G2298" s="14" t="s">
        <v>1911</v>
      </c>
      <c r="H2298" s="14"/>
      <c r="I2298" s="176"/>
      <c r="K2298" s="87"/>
      <c r="L2298" s="14"/>
      <c r="M2298" s="324">
        <f t="shared" si="290"/>
        <v>0</v>
      </c>
      <c r="N2298" s="14"/>
      <c r="O2298" s="14"/>
      <c r="P2298" s="167"/>
      <c r="Q2298" s="14"/>
      <c r="R2298" s="170">
        <f t="shared" si="294"/>
        <v>0</v>
      </c>
      <c r="S2298" s="108" t="str">
        <f t="shared" si="289"/>
        <v/>
      </c>
      <c r="T2298" s="14"/>
      <c r="U2298" s="14"/>
      <c r="V2298" s="14"/>
      <c r="W2298" s="14"/>
      <c r="X2298" s="14"/>
      <c r="Z2298" s="14"/>
      <c r="AA2298" s="2">
        <f t="shared" si="291"/>
        <v>3</v>
      </c>
      <c r="AB2298" s="153"/>
      <c r="AC2298" s="454" t="str">
        <f t="shared" si="292"/>
        <v/>
      </c>
    </row>
    <row r="2299" spans="1:29" x14ac:dyDescent="0.35">
      <c r="A2299" s="111" t="str">
        <f t="shared" si="293"/>
        <v/>
      </c>
      <c r="B2299" s="222"/>
      <c r="C2299" s="14"/>
      <c r="D2299" s="14"/>
      <c r="E2299" s="14"/>
      <c r="F2299" s="14"/>
      <c r="G2299" s="14" t="s">
        <v>1911</v>
      </c>
      <c r="H2299" s="14"/>
      <c r="I2299" s="176"/>
      <c r="K2299" s="87"/>
      <c r="L2299" s="14"/>
      <c r="M2299" s="324">
        <f t="shared" si="290"/>
        <v>0</v>
      </c>
      <c r="N2299" s="14"/>
      <c r="O2299" s="14"/>
      <c r="P2299" s="167"/>
      <c r="Q2299" s="14"/>
      <c r="R2299" s="170">
        <f t="shared" si="294"/>
        <v>0</v>
      </c>
      <c r="S2299" s="108" t="str">
        <f t="shared" si="289"/>
        <v/>
      </c>
      <c r="T2299" s="14"/>
      <c r="U2299" s="14"/>
      <c r="V2299" s="14"/>
      <c r="W2299" s="14"/>
      <c r="X2299" s="14"/>
      <c r="Z2299" s="14"/>
      <c r="AA2299" s="2">
        <f t="shared" si="291"/>
        <v>3</v>
      </c>
      <c r="AB2299" s="153"/>
      <c r="AC2299" s="454" t="str">
        <f t="shared" si="292"/>
        <v/>
      </c>
    </row>
    <row r="2300" spans="1:29" x14ac:dyDescent="0.35">
      <c r="A2300" s="111" t="str">
        <f t="shared" si="293"/>
        <v/>
      </c>
      <c r="B2300" s="222"/>
      <c r="C2300" s="14"/>
      <c r="D2300" s="14"/>
      <c r="E2300" s="14"/>
      <c r="F2300" s="14"/>
      <c r="G2300" s="14" t="s">
        <v>1911</v>
      </c>
      <c r="H2300" s="14"/>
      <c r="I2300" s="176"/>
      <c r="K2300" s="87"/>
      <c r="L2300" s="14"/>
      <c r="M2300" s="324">
        <f t="shared" si="290"/>
        <v>0</v>
      </c>
      <c r="N2300" s="14"/>
      <c r="O2300" s="14"/>
      <c r="P2300" s="167"/>
      <c r="Q2300" s="14"/>
      <c r="R2300" s="170">
        <f t="shared" si="294"/>
        <v>0</v>
      </c>
      <c r="S2300" s="108" t="str">
        <f t="shared" si="289"/>
        <v/>
      </c>
      <c r="T2300" s="14"/>
      <c r="U2300" s="14"/>
      <c r="V2300" s="14"/>
      <c r="W2300" s="14"/>
      <c r="X2300" s="14"/>
      <c r="Z2300" s="14"/>
      <c r="AA2300" s="2">
        <f t="shared" si="291"/>
        <v>3</v>
      </c>
      <c r="AB2300" s="153"/>
      <c r="AC2300" s="454" t="str">
        <f t="shared" si="292"/>
        <v/>
      </c>
    </row>
    <row r="2301" spans="1:29" x14ac:dyDescent="0.35">
      <c r="A2301" s="111" t="str">
        <f t="shared" si="293"/>
        <v/>
      </c>
      <c r="B2301" s="222"/>
      <c r="C2301" s="14"/>
      <c r="D2301" s="14"/>
      <c r="E2301" s="14"/>
      <c r="F2301" s="14"/>
      <c r="G2301" s="14" t="s">
        <v>1911</v>
      </c>
      <c r="H2301" s="14"/>
      <c r="I2301" s="176"/>
      <c r="K2301" s="87"/>
      <c r="L2301" s="14"/>
      <c r="M2301" s="324">
        <f t="shared" si="290"/>
        <v>0</v>
      </c>
      <c r="N2301" s="14"/>
      <c r="O2301" s="14"/>
      <c r="P2301" s="167"/>
      <c r="Q2301" s="14"/>
      <c r="R2301" s="170">
        <f t="shared" si="294"/>
        <v>0</v>
      </c>
      <c r="S2301" s="108" t="str">
        <f t="shared" si="289"/>
        <v/>
      </c>
      <c r="T2301" s="14"/>
      <c r="U2301" s="14"/>
      <c r="V2301" s="14"/>
      <c r="W2301" s="14"/>
      <c r="X2301" s="14"/>
      <c r="Z2301" s="14"/>
      <c r="AA2301" s="2">
        <f t="shared" si="291"/>
        <v>3</v>
      </c>
      <c r="AB2301" s="153"/>
      <c r="AC2301" s="454" t="str">
        <f t="shared" si="292"/>
        <v/>
      </c>
    </row>
    <row r="2302" spans="1:29" x14ac:dyDescent="0.35">
      <c r="A2302" s="111" t="str">
        <f t="shared" si="293"/>
        <v/>
      </c>
      <c r="B2302" s="222"/>
      <c r="C2302" s="14"/>
      <c r="D2302" s="14"/>
      <c r="E2302" s="14"/>
      <c r="F2302" s="14"/>
      <c r="G2302" s="14" t="s">
        <v>1911</v>
      </c>
      <c r="H2302" s="14"/>
      <c r="I2302" s="176"/>
      <c r="K2302" s="87"/>
      <c r="L2302" s="14"/>
      <c r="M2302" s="324">
        <f t="shared" si="290"/>
        <v>0</v>
      </c>
      <c r="N2302" s="14"/>
      <c r="O2302" s="14"/>
      <c r="P2302" s="167"/>
      <c r="Q2302" s="14"/>
      <c r="R2302" s="170">
        <f t="shared" si="294"/>
        <v>0</v>
      </c>
      <c r="S2302" s="108" t="str">
        <f t="shared" si="289"/>
        <v/>
      </c>
      <c r="T2302" s="14"/>
      <c r="U2302" s="14"/>
      <c r="V2302" s="14"/>
      <c r="W2302" s="14"/>
      <c r="X2302" s="14"/>
      <c r="Z2302" s="14"/>
      <c r="AA2302" s="2">
        <f t="shared" si="291"/>
        <v>3</v>
      </c>
      <c r="AB2302" s="153"/>
      <c r="AC2302" s="454" t="str">
        <f t="shared" si="292"/>
        <v/>
      </c>
    </row>
    <row r="2303" spans="1:29" x14ac:dyDescent="0.35">
      <c r="A2303" s="111" t="str">
        <f t="shared" si="293"/>
        <v/>
      </c>
      <c r="B2303" s="222"/>
      <c r="C2303" s="14"/>
      <c r="D2303" s="14"/>
      <c r="E2303" s="14"/>
      <c r="F2303" s="14"/>
      <c r="G2303" s="14" t="s">
        <v>1911</v>
      </c>
      <c r="H2303" s="14"/>
      <c r="I2303" s="176"/>
      <c r="K2303" s="87"/>
      <c r="L2303" s="14"/>
      <c r="M2303" s="324">
        <f t="shared" si="290"/>
        <v>0</v>
      </c>
      <c r="N2303" s="14"/>
      <c r="O2303" s="14"/>
      <c r="P2303" s="167"/>
      <c r="Q2303" s="14"/>
      <c r="R2303" s="170">
        <f t="shared" si="294"/>
        <v>0</v>
      </c>
      <c r="S2303" s="108" t="str">
        <f t="shared" si="289"/>
        <v/>
      </c>
      <c r="T2303" s="14"/>
      <c r="U2303" s="14"/>
      <c r="V2303" s="14"/>
      <c r="W2303" s="14"/>
      <c r="X2303" s="14"/>
      <c r="Z2303" s="14"/>
      <c r="AA2303" s="2">
        <f t="shared" si="291"/>
        <v>3</v>
      </c>
      <c r="AB2303" s="153"/>
      <c r="AC2303" s="454" t="str">
        <f t="shared" si="292"/>
        <v/>
      </c>
    </row>
    <row r="2304" spans="1:29" x14ac:dyDescent="0.35">
      <c r="A2304" s="111" t="str">
        <f t="shared" si="293"/>
        <v/>
      </c>
      <c r="B2304" s="222"/>
      <c r="C2304" s="14"/>
      <c r="D2304" s="14"/>
      <c r="E2304" s="14"/>
      <c r="F2304" s="14"/>
      <c r="G2304" s="14" t="s">
        <v>1911</v>
      </c>
      <c r="H2304" s="14"/>
      <c r="I2304" s="176"/>
      <c r="K2304" s="87"/>
      <c r="L2304" s="14"/>
      <c r="M2304" s="324">
        <f t="shared" si="290"/>
        <v>0</v>
      </c>
      <c r="N2304" s="14"/>
      <c r="O2304" s="14"/>
      <c r="P2304" s="167"/>
      <c r="Q2304" s="14"/>
      <c r="R2304" s="170">
        <f t="shared" si="294"/>
        <v>0</v>
      </c>
      <c r="S2304" s="108" t="str">
        <f t="shared" si="289"/>
        <v/>
      </c>
      <c r="T2304" s="14"/>
      <c r="U2304" s="14"/>
      <c r="V2304" s="14"/>
      <c r="W2304" s="14"/>
      <c r="X2304" s="14"/>
      <c r="Z2304" s="14"/>
      <c r="AA2304" s="2">
        <f t="shared" si="291"/>
        <v>3</v>
      </c>
      <c r="AB2304" s="153"/>
      <c r="AC2304" s="454" t="str">
        <f t="shared" si="292"/>
        <v/>
      </c>
    </row>
    <row r="2305" spans="1:29" x14ac:dyDescent="0.35">
      <c r="A2305" s="111" t="str">
        <f t="shared" si="293"/>
        <v/>
      </c>
      <c r="B2305" s="222"/>
      <c r="C2305" s="14"/>
      <c r="D2305" s="14"/>
      <c r="E2305" s="14"/>
      <c r="F2305" s="14"/>
      <c r="G2305" s="14" t="s">
        <v>1911</v>
      </c>
      <c r="H2305" s="14"/>
      <c r="I2305" s="176"/>
      <c r="K2305" s="87"/>
      <c r="L2305" s="14"/>
      <c r="M2305" s="324">
        <f t="shared" si="290"/>
        <v>0</v>
      </c>
      <c r="N2305" s="14"/>
      <c r="O2305" s="14"/>
      <c r="P2305" s="167"/>
      <c r="Q2305" s="14"/>
      <c r="R2305" s="170">
        <f t="shared" si="294"/>
        <v>0</v>
      </c>
      <c r="S2305" s="108" t="str">
        <f t="shared" si="289"/>
        <v/>
      </c>
      <c r="T2305" s="14"/>
      <c r="U2305" s="14"/>
      <c r="V2305" s="14"/>
      <c r="W2305" s="14"/>
      <c r="X2305" s="14"/>
      <c r="Z2305" s="14"/>
      <c r="AA2305" s="2">
        <f t="shared" si="291"/>
        <v>3</v>
      </c>
      <c r="AB2305" s="153"/>
      <c r="AC2305" s="454" t="str">
        <f t="shared" si="292"/>
        <v/>
      </c>
    </row>
    <row r="2306" spans="1:29" x14ac:dyDescent="0.35">
      <c r="A2306" s="111" t="str">
        <f t="shared" si="293"/>
        <v/>
      </c>
      <c r="B2306" s="222"/>
      <c r="C2306" s="14"/>
      <c r="D2306" s="14"/>
      <c r="E2306" s="14"/>
      <c r="F2306" s="14"/>
      <c r="G2306" s="14" t="s">
        <v>1911</v>
      </c>
      <c r="H2306" s="14"/>
      <c r="I2306" s="176"/>
      <c r="K2306" s="87"/>
      <c r="L2306" s="14"/>
      <c r="M2306" s="324">
        <f t="shared" si="290"/>
        <v>0</v>
      </c>
      <c r="N2306" s="14"/>
      <c r="O2306" s="14"/>
      <c r="P2306" s="167"/>
      <c r="Q2306" s="14"/>
      <c r="R2306" s="170">
        <f t="shared" si="294"/>
        <v>0</v>
      </c>
      <c r="S2306" s="108" t="str">
        <f t="shared" si="289"/>
        <v/>
      </c>
      <c r="T2306" s="14"/>
      <c r="U2306" s="14"/>
      <c r="V2306" s="14"/>
      <c r="W2306" s="14"/>
      <c r="X2306" s="14"/>
      <c r="Z2306" s="14"/>
      <c r="AA2306" s="2">
        <f t="shared" si="291"/>
        <v>3</v>
      </c>
      <c r="AB2306" s="153"/>
      <c r="AC2306" s="454" t="str">
        <f t="shared" si="292"/>
        <v/>
      </c>
    </row>
    <row r="2307" spans="1:29" x14ac:dyDescent="0.35">
      <c r="A2307" s="111" t="str">
        <f t="shared" si="293"/>
        <v/>
      </c>
      <c r="B2307" s="222"/>
      <c r="C2307" s="14"/>
      <c r="D2307" s="14"/>
      <c r="E2307" s="14"/>
      <c r="F2307" s="14"/>
      <c r="G2307" s="14" t="s">
        <v>1911</v>
      </c>
      <c r="H2307" s="14"/>
      <c r="I2307" s="176"/>
      <c r="K2307" s="87"/>
      <c r="L2307" s="14"/>
      <c r="M2307" s="324">
        <f t="shared" si="290"/>
        <v>0</v>
      </c>
      <c r="N2307" s="14"/>
      <c r="O2307" s="14"/>
      <c r="P2307" s="167"/>
      <c r="Q2307" s="14"/>
      <c r="R2307" s="170">
        <f t="shared" si="294"/>
        <v>0</v>
      </c>
      <c r="S2307" s="108" t="str">
        <f t="shared" si="289"/>
        <v/>
      </c>
      <c r="T2307" s="14"/>
      <c r="U2307" s="14"/>
      <c r="V2307" s="14"/>
      <c r="W2307" s="14"/>
      <c r="X2307" s="14"/>
      <c r="Z2307" s="14"/>
      <c r="AA2307" s="2">
        <f t="shared" si="291"/>
        <v>3</v>
      </c>
      <c r="AB2307" s="153"/>
      <c r="AC2307" s="454" t="str">
        <f t="shared" si="292"/>
        <v/>
      </c>
    </row>
    <row r="2308" spans="1:29" x14ac:dyDescent="0.35">
      <c r="A2308" s="111" t="str">
        <f t="shared" si="293"/>
        <v/>
      </c>
      <c r="B2308" s="222"/>
      <c r="C2308" s="14"/>
      <c r="D2308" s="14"/>
      <c r="E2308" s="14"/>
      <c r="F2308" s="14"/>
      <c r="G2308" s="14" t="s">
        <v>1911</v>
      </c>
      <c r="H2308" s="14"/>
      <c r="I2308" s="176"/>
      <c r="K2308" s="87"/>
      <c r="L2308" s="14"/>
      <c r="M2308" s="324">
        <f t="shared" si="290"/>
        <v>0</v>
      </c>
      <c r="N2308" s="14"/>
      <c r="O2308" s="14"/>
      <c r="P2308" s="167"/>
      <c r="Q2308" s="14"/>
      <c r="R2308" s="170">
        <f t="shared" si="294"/>
        <v>0</v>
      </c>
      <c r="S2308" s="108" t="str">
        <f t="shared" si="289"/>
        <v/>
      </c>
      <c r="T2308" s="14"/>
      <c r="U2308" s="14"/>
      <c r="V2308" s="14"/>
      <c r="W2308" s="14"/>
      <c r="X2308" s="14"/>
      <c r="Z2308" s="14"/>
      <c r="AA2308" s="2">
        <f t="shared" si="291"/>
        <v>3</v>
      </c>
      <c r="AB2308" s="153"/>
      <c r="AC2308" s="454" t="str">
        <f t="shared" si="292"/>
        <v/>
      </c>
    </row>
    <row r="2309" spans="1:29" x14ac:dyDescent="0.35">
      <c r="A2309" s="111" t="str">
        <f t="shared" si="293"/>
        <v/>
      </c>
      <c r="B2309" s="222"/>
      <c r="C2309" s="14"/>
      <c r="D2309" s="14"/>
      <c r="E2309" s="14"/>
      <c r="F2309" s="14"/>
      <c r="G2309" s="14" t="s">
        <v>1911</v>
      </c>
      <c r="H2309" s="14"/>
      <c r="I2309" s="176"/>
      <c r="K2309" s="87"/>
      <c r="L2309" s="14"/>
      <c r="M2309" s="324">
        <f t="shared" si="290"/>
        <v>0</v>
      </c>
      <c r="N2309" s="14"/>
      <c r="O2309" s="14"/>
      <c r="P2309" s="167"/>
      <c r="Q2309" s="14"/>
      <c r="R2309" s="170">
        <f t="shared" si="294"/>
        <v>0</v>
      </c>
      <c r="S2309" s="108" t="str">
        <f t="shared" ref="S2309:S2371" si="295">IF(B2309="","",B2309+28)</f>
        <v/>
      </c>
      <c r="T2309" s="14"/>
      <c r="U2309" s="14"/>
      <c r="V2309" s="14"/>
      <c r="W2309" s="14"/>
      <c r="X2309" s="14"/>
      <c r="Z2309" s="14"/>
      <c r="AA2309" s="2">
        <f t="shared" si="291"/>
        <v>3</v>
      </c>
      <c r="AB2309" s="153"/>
      <c r="AC2309" s="454" t="str">
        <f t="shared" si="292"/>
        <v/>
      </c>
    </row>
    <row r="2310" spans="1:29" x14ac:dyDescent="0.35">
      <c r="A2310" s="111" t="str">
        <f t="shared" si="293"/>
        <v/>
      </c>
      <c r="B2310" s="222"/>
      <c r="C2310" s="14"/>
      <c r="D2310" s="14"/>
      <c r="E2310" s="14"/>
      <c r="F2310" s="14"/>
      <c r="G2310" s="14" t="s">
        <v>1911</v>
      </c>
      <c r="H2310" s="14"/>
      <c r="I2310" s="176"/>
      <c r="K2310" s="87"/>
      <c r="L2310" s="14"/>
      <c r="M2310" s="324">
        <f t="shared" si="290"/>
        <v>0</v>
      </c>
      <c r="N2310" s="14"/>
      <c r="O2310" s="14"/>
      <c r="P2310" s="167"/>
      <c r="Q2310" s="14"/>
      <c r="R2310" s="170">
        <f t="shared" si="294"/>
        <v>0</v>
      </c>
      <c r="S2310" s="108" t="str">
        <f t="shared" si="295"/>
        <v/>
      </c>
      <c r="T2310" s="14"/>
      <c r="U2310" s="14"/>
      <c r="V2310" s="14"/>
      <c r="W2310" s="14"/>
      <c r="X2310" s="14"/>
      <c r="Z2310" s="14"/>
      <c r="AA2310" s="2">
        <f t="shared" si="291"/>
        <v>3</v>
      </c>
      <c r="AB2310" s="153"/>
      <c r="AC2310" s="454" t="str">
        <f t="shared" si="292"/>
        <v/>
      </c>
    </row>
    <row r="2311" spans="1:29" x14ac:dyDescent="0.35">
      <c r="A2311" s="111" t="str">
        <f t="shared" si="293"/>
        <v/>
      </c>
      <c r="B2311" s="222"/>
      <c r="C2311" s="14"/>
      <c r="D2311" s="14"/>
      <c r="E2311" s="14"/>
      <c r="F2311" s="14"/>
      <c r="G2311" s="14" t="s">
        <v>1911</v>
      </c>
      <c r="H2311" s="14"/>
      <c r="I2311" s="176"/>
      <c r="K2311" s="87"/>
      <c r="L2311" s="14"/>
      <c r="M2311" s="324">
        <f t="shared" si="290"/>
        <v>0</v>
      </c>
      <c r="N2311" s="14"/>
      <c r="O2311" s="14"/>
      <c r="P2311" s="167"/>
      <c r="Q2311" s="14"/>
      <c r="R2311" s="170">
        <f t="shared" si="294"/>
        <v>0</v>
      </c>
      <c r="S2311" s="108" t="str">
        <f t="shared" si="295"/>
        <v/>
      </c>
      <c r="T2311" s="14"/>
      <c r="U2311" s="14"/>
      <c r="V2311" s="14"/>
      <c r="W2311" s="14"/>
      <c r="X2311" s="14"/>
      <c r="Z2311" s="14"/>
      <c r="AA2311" s="2">
        <f t="shared" si="291"/>
        <v>3</v>
      </c>
      <c r="AB2311" s="153"/>
      <c r="AC2311" s="454" t="str">
        <f t="shared" si="292"/>
        <v/>
      </c>
    </row>
    <row r="2312" spans="1:29" x14ac:dyDescent="0.35">
      <c r="A2312" s="111" t="str">
        <f t="shared" si="293"/>
        <v/>
      </c>
      <c r="B2312" s="222"/>
      <c r="C2312" s="14"/>
      <c r="D2312" s="14"/>
      <c r="E2312" s="14"/>
      <c r="F2312" s="14"/>
      <c r="G2312" s="14" t="s">
        <v>1911</v>
      </c>
      <c r="H2312" s="14"/>
      <c r="I2312" s="176"/>
      <c r="K2312" s="87"/>
      <c r="L2312" s="14"/>
      <c r="M2312" s="324">
        <f t="shared" si="290"/>
        <v>0</v>
      </c>
      <c r="N2312" s="14"/>
      <c r="O2312" s="14"/>
      <c r="P2312" s="167"/>
      <c r="Q2312" s="14"/>
      <c r="R2312" s="170">
        <f t="shared" si="294"/>
        <v>0</v>
      </c>
      <c r="S2312" s="108" t="str">
        <f t="shared" si="295"/>
        <v/>
      </c>
      <c r="T2312" s="14"/>
      <c r="U2312" s="14"/>
      <c r="V2312" s="14"/>
      <c r="W2312" s="14"/>
      <c r="X2312" s="14"/>
      <c r="Z2312" s="14"/>
      <c r="AA2312" s="2">
        <f t="shared" si="291"/>
        <v>3</v>
      </c>
      <c r="AB2312" s="153"/>
      <c r="AC2312" s="454" t="str">
        <f t="shared" si="292"/>
        <v/>
      </c>
    </row>
    <row r="2313" spans="1:29" x14ac:dyDescent="0.35">
      <c r="A2313" s="111" t="str">
        <f t="shared" si="293"/>
        <v/>
      </c>
      <c r="B2313" s="222"/>
      <c r="C2313" s="14"/>
      <c r="D2313" s="14"/>
      <c r="E2313" s="14"/>
      <c r="F2313" s="14"/>
      <c r="G2313" s="14" t="s">
        <v>1911</v>
      </c>
      <c r="H2313" s="14"/>
      <c r="I2313" s="176"/>
      <c r="K2313" s="87"/>
      <c r="L2313" s="14"/>
      <c r="M2313" s="324">
        <f t="shared" si="290"/>
        <v>0</v>
      </c>
      <c r="N2313" s="14"/>
      <c r="O2313" s="14"/>
      <c r="P2313" s="167"/>
      <c r="Q2313" s="14"/>
      <c r="R2313" s="170">
        <f t="shared" si="294"/>
        <v>0</v>
      </c>
      <c r="S2313" s="108" t="str">
        <f t="shared" si="295"/>
        <v/>
      </c>
      <c r="T2313" s="14"/>
      <c r="U2313" s="14"/>
      <c r="V2313" s="14"/>
      <c r="W2313" s="14"/>
      <c r="X2313" s="14"/>
      <c r="Z2313" s="14"/>
      <c r="AA2313" s="2">
        <f t="shared" si="291"/>
        <v>3</v>
      </c>
      <c r="AB2313" s="153"/>
      <c r="AC2313" s="454" t="str">
        <f t="shared" si="292"/>
        <v/>
      </c>
    </row>
    <row r="2314" spans="1:29" x14ac:dyDescent="0.35">
      <c r="A2314" s="111" t="str">
        <f t="shared" si="293"/>
        <v/>
      </c>
      <c r="B2314" s="222"/>
      <c r="C2314" s="14"/>
      <c r="D2314" s="14"/>
      <c r="E2314" s="14"/>
      <c r="F2314" s="14"/>
      <c r="G2314" s="14" t="s">
        <v>1911</v>
      </c>
      <c r="H2314" s="14"/>
      <c r="I2314" s="176"/>
      <c r="K2314" s="87"/>
      <c r="L2314" s="14"/>
      <c r="M2314" s="324">
        <f t="shared" si="290"/>
        <v>0</v>
      </c>
      <c r="N2314" s="14"/>
      <c r="O2314" s="14"/>
      <c r="P2314" s="167"/>
      <c r="Q2314" s="14"/>
      <c r="R2314" s="170">
        <f t="shared" si="294"/>
        <v>0</v>
      </c>
      <c r="S2314" s="108" t="str">
        <f t="shared" si="295"/>
        <v/>
      </c>
      <c r="T2314" s="14"/>
      <c r="U2314" s="14"/>
      <c r="V2314" s="14"/>
      <c r="W2314" s="14"/>
      <c r="X2314" s="14"/>
      <c r="Z2314" s="14"/>
      <c r="AA2314" s="2">
        <f t="shared" si="291"/>
        <v>3</v>
      </c>
      <c r="AB2314" s="153"/>
      <c r="AC2314" s="454" t="str">
        <f t="shared" si="292"/>
        <v/>
      </c>
    </row>
    <row r="2315" spans="1:29" x14ac:dyDescent="0.35">
      <c r="A2315" s="111" t="str">
        <f t="shared" si="293"/>
        <v/>
      </c>
      <c r="B2315" s="222"/>
      <c r="C2315" s="14"/>
      <c r="D2315" s="14"/>
      <c r="E2315" s="14"/>
      <c r="F2315" s="14"/>
      <c r="G2315" s="14" t="s">
        <v>1911</v>
      </c>
      <c r="H2315" s="14"/>
      <c r="I2315" s="176"/>
      <c r="K2315" s="87"/>
      <c r="L2315" s="14"/>
      <c r="M2315" s="324">
        <f t="shared" si="290"/>
        <v>0</v>
      </c>
      <c r="N2315" s="14"/>
      <c r="O2315" s="14"/>
      <c r="P2315" s="167"/>
      <c r="Q2315" s="14"/>
      <c r="R2315" s="170">
        <f t="shared" si="294"/>
        <v>0</v>
      </c>
      <c r="S2315" s="108" t="str">
        <f t="shared" si="295"/>
        <v/>
      </c>
      <c r="T2315" s="14"/>
      <c r="U2315" s="14"/>
      <c r="V2315" s="14"/>
      <c r="W2315" s="14"/>
      <c r="X2315" s="14"/>
      <c r="Z2315" s="14"/>
      <c r="AA2315" s="2">
        <f t="shared" si="291"/>
        <v>3</v>
      </c>
      <c r="AB2315" s="153"/>
      <c r="AC2315" s="454" t="str">
        <f t="shared" si="292"/>
        <v/>
      </c>
    </row>
    <row r="2316" spans="1:29" x14ac:dyDescent="0.35">
      <c r="A2316" s="111" t="str">
        <f t="shared" si="293"/>
        <v/>
      </c>
      <c r="B2316" s="222"/>
      <c r="C2316" s="14"/>
      <c r="D2316" s="14"/>
      <c r="E2316" s="14"/>
      <c r="F2316" s="14"/>
      <c r="G2316" s="14" t="s">
        <v>1911</v>
      </c>
      <c r="H2316" s="14"/>
      <c r="I2316" s="176"/>
      <c r="K2316" s="87"/>
      <c r="L2316" s="14"/>
      <c r="M2316" s="324">
        <f t="shared" si="290"/>
        <v>0</v>
      </c>
      <c r="N2316" s="14"/>
      <c r="O2316" s="14"/>
      <c r="P2316" s="167"/>
      <c r="Q2316" s="14"/>
      <c r="R2316" s="170">
        <f t="shared" si="294"/>
        <v>0</v>
      </c>
      <c r="S2316" s="108" t="str">
        <f t="shared" si="295"/>
        <v/>
      </c>
      <c r="T2316" s="14"/>
      <c r="U2316" s="14"/>
      <c r="V2316" s="14"/>
      <c r="W2316" s="14"/>
      <c r="X2316" s="14"/>
      <c r="Z2316" s="14"/>
      <c r="AA2316" s="2">
        <f t="shared" si="291"/>
        <v>3</v>
      </c>
      <c r="AB2316" s="153"/>
      <c r="AC2316" s="454" t="str">
        <f t="shared" si="292"/>
        <v/>
      </c>
    </row>
    <row r="2317" spans="1:29" x14ac:dyDescent="0.35">
      <c r="A2317" s="111" t="str">
        <f t="shared" si="293"/>
        <v/>
      </c>
      <c r="B2317" s="222"/>
      <c r="C2317" s="14"/>
      <c r="D2317" s="14"/>
      <c r="E2317" s="14"/>
      <c r="F2317" s="14"/>
      <c r="G2317" s="14" t="s">
        <v>1911</v>
      </c>
      <c r="H2317" s="14"/>
      <c r="I2317" s="176"/>
      <c r="K2317" s="87"/>
      <c r="L2317" s="14"/>
      <c r="M2317" s="324">
        <f t="shared" si="290"/>
        <v>0</v>
      </c>
      <c r="N2317" s="14"/>
      <c r="O2317" s="14"/>
      <c r="P2317" s="167"/>
      <c r="Q2317" s="14"/>
      <c r="R2317" s="170">
        <f t="shared" si="294"/>
        <v>0</v>
      </c>
      <c r="S2317" s="108" t="str">
        <f t="shared" si="295"/>
        <v/>
      </c>
      <c r="T2317" s="14"/>
      <c r="U2317" s="14"/>
      <c r="V2317" s="14"/>
      <c r="W2317" s="14"/>
      <c r="X2317" s="14"/>
      <c r="Z2317" s="14"/>
      <c r="AA2317" s="2">
        <f t="shared" si="291"/>
        <v>3</v>
      </c>
      <c r="AB2317" s="153"/>
      <c r="AC2317" s="454" t="str">
        <f t="shared" si="292"/>
        <v/>
      </c>
    </row>
    <row r="2318" spans="1:29" x14ac:dyDescent="0.35">
      <c r="A2318" s="111" t="str">
        <f t="shared" si="293"/>
        <v/>
      </c>
      <c r="B2318" s="222"/>
      <c r="C2318" s="14"/>
      <c r="D2318" s="14"/>
      <c r="E2318" s="14"/>
      <c r="F2318" s="14"/>
      <c r="G2318" s="14" t="s">
        <v>1911</v>
      </c>
      <c r="H2318" s="14"/>
      <c r="I2318" s="176"/>
      <c r="K2318" s="87"/>
      <c r="L2318" s="14"/>
      <c r="M2318" s="324">
        <f t="shared" si="290"/>
        <v>0</v>
      </c>
      <c r="N2318" s="14"/>
      <c r="O2318" s="14"/>
      <c r="P2318" s="167"/>
      <c r="Q2318" s="14"/>
      <c r="R2318" s="170">
        <f t="shared" si="294"/>
        <v>0</v>
      </c>
      <c r="S2318" s="108" t="str">
        <f t="shared" si="295"/>
        <v/>
      </c>
      <c r="T2318" s="14"/>
      <c r="U2318" s="14"/>
      <c r="V2318" s="14"/>
      <c r="W2318" s="14"/>
      <c r="X2318" s="14"/>
      <c r="Z2318" s="14"/>
      <c r="AA2318" s="2">
        <f t="shared" si="291"/>
        <v>3</v>
      </c>
      <c r="AB2318" s="153"/>
      <c r="AC2318" s="454" t="str">
        <f t="shared" si="292"/>
        <v/>
      </c>
    </row>
    <row r="2319" spans="1:29" x14ac:dyDescent="0.35">
      <c r="A2319" s="111" t="str">
        <f t="shared" si="293"/>
        <v/>
      </c>
      <c r="B2319" s="222"/>
      <c r="C2319" s="14"/>
      <c r="D2319" s="14"/>
      <c r="E2319" s="14"/>
      <c r="F2319" s="14"/>
      <c r="G2319" s="14" t="s">
        <v>1911</v>
      </c>
      <c r="H2319" s="14"/>
      <c r="I2319" s="176"/>
      <c r="K2319" s="87"/>
      <c r="L2319" s="14"/>
      <c r="M2319" s="324">
        <f t="shared" si="290"/>
        <v>0</v>
      </c>
      <c r="N2319" s="14"/>
      <c r="O2319" s="14"/>
      <c r="P2319" s="167"/>
      <c r="Q2319" s="14"/>
      <c r="R2319" s="170">
        <f t="shared" si="294"/>
        <v>0</v>
      </c>
      <c r="S2319" s="108" t="str">
        <f t="shared" si="295"/>
        <v/>
      </c>
      <c r="T2319" s="14"/>
      <c r="U2319" s="14"/>
      <c r="V2319" s="14"/>
      <c r="W2319" s="14"/>
      <c r="X2319" s="14"/>
      <c r="Z2319" s="14"/>
      <c r="AA2319" s="2">
        <f t="shared" si="291"/>
        <v>3</v>
      </c>
      <c r="AB2319" s="153"/>
      <c r="AC2319" s="454" t="str">
        <f t="shared" si="292"/>
        <v/>
      </c>
    </row>
    <row r="2320" spans="1:29" x14ac:dyDescent="0.35">
      <c r="A2320" s="111" t="str">
        <f t="shared" si="293"/>
        <v/>
      </c>
      <c r="B2320" s="222"/>
      <c r="C2320" s="14"/>
      <c r="D2320" s="14"/>
      <c r="E2320" s="14"/>
      <c r="F2320" s="14"/>
      <c r="G2320" s="14" t="s">
        <v>1911</v>
      </c>
      <c r="H2320" s="14"/>
      <c r="I2320" s="176"/>
      <c r="K2320" s="87"/>
      <c r="L2320" s="14"/>
      <c r="M2320" s="324">
        <f t="shared" si="290"/>
        <v>0</v>
      </c>
      <c r="N2320" s="14"/>
      <c r="O2320" s="14"/>
      <c r="P2320" s="167"/>
      <c r="Q2320" s="14"/>
      <c r="R2320" s="170">
        <f t="shared" si="294"/>
        <v>0</v>
      </c>
      <c r="S2320" s="108" t="str">
        <f t="shared" si="295"/>
        <v/>
      </c>
      <c r="T2320" s="14"/>
      <c r="U2320" s="14"/>
      <c r="V2320" s="14"/>
      <c r="W2320" s="14"/>
      <c r="X2320" s="14"/>
      <c r="Z2320" s="14"/>
      <c r="AA2320" s="2">
        <f t="shared" si="291"/>
        <v>3</v>
      </c>
      <c r="AB2320" s="153"/>
      <c r="AC2320" s="454" t="str">
        <f t="shared" si="292"/>
        <v/>
      </c>
    </row>
    <row r="2321" spans="1:29" x14ac:dyDescent="0.35">
      <c r="A2321" s="111" t="str">
        <f t="shared" si="293"/>
        <v/>
      </c>
      <c r="B2321" s="222"/>
      <c r="C2321" s="14"/>
      <c r="D2321" s="14"/>
      <c r="E2321" s="14"/>
      <c r="F2321" s="14"/>
      <c r="G2321" s="14" t="s">
        <v>1911</v>
      </c>
      <c r="H2321" s="14"/>
      <c r="I2321" s="176"/>
      <c r="K2321" s="87"/>
      <c r="L2321" s="14"/>
      <c r="M2321" s="324">
        <f t="shared" si="290"/>
        <v>0</v>
      </c>
      <c r="N2321" s="14"/>
      <c r="O2321" s="14"/>
      <c r="P2321" s="167"/>
      <c r="Q2321" s="14"/>
      <c r="R2321" s="170">
        <f t="shared" si="294"/>
        <v>0</v>
      </c>
      <c r="S2321" s="108" t="str">
        <f t="shared" si="295"/>
        <v/>
      </c>
      <c r="T2321" s="14"/>
      <c r="U2321" s="14"/>
      <c r="V2321" s="14"/>
      <c r="W2321" s="14"/>
      <c r="X2321" s="14"/>
      <c r="Z2321" s="14"/>
      <c r="AA2321" s="2">
        <f t="shared" si="291"/>
        <v>3</v>
      </c>
      <c r="AB2321" s="153"/>
      <c r="AC2321" s="454" t="str">
        <f t="shared" si="292"/>
        <v/>
      </c>
    </row>
    <row r="2322" spans="1:29" x14ac:dyDescent="0.35">
      <c r="A2322" s="111" t="str">
        <f t="shared" si="293"/>
        <v/>
      </c>
      <c r="B2322" s="222"/>
      <c r="C2322" s="14"/>
      <c r="D2322" s="14"/>
      <c r="E2322" s="14"/>
      <c r="F2322" s="14"/>
      <c r="G2322" s="14" t="s">
        <v>1911</v>
      </c>
      <c r="H2322" s="14"/>
      <c r="I2322" s="176"/>
      <c r="K2322" s="87"/>
      <c r="L2322" s="14"/>
      <c r="M2322" s="324">
        <f t="shared" si="290"/>
        <v>0</v>
      </c>
      <c r="N2322" s="14"/>
      <c r="O2322" s="14"/>
      <c r="P2322" s="167"/>
      <c r="Q2322" s="14"/>
      <c r="R2322" s="170">
        <f t="shared" si="294"/>
        <v>0</v>
      </c>
      <c r="S2322" s="108" t="str">
        <f t="shared" si="295"/>
        <v/>
      </c>
      <c r="T2322" s="14"/>
      <c r="U2322" s="14"/>
      <c r="V2322" s="14"/>
      <c r="W2322" s="14"/>
      <c r="X2322" s="14"/>
      <c r="Z2322" s="14"/>
      <c r="AA2322" s="2">
        <f t="shared" si="291"/>
        <v>3</v>
      </c>
      <c r="AB2322" s="153"/>
      <c r="AC2322" s="454" t="str">
        <f t="shared" si="292"/>
        <v/>
      </c>
    </row>
    <row r="2323" spans="1:29" x14ac:dyDescent="0.35">
      <c r="A2323" s="111" t="str">
        <f t="shared" si="293"/>
        <v/>
      </c>
      <c r="B2323" s="222"/>
      <c r="C2323" s="14"/>
      <c r="D2323" s="14"/>
      <c r="E2323" s="14"/>
      <c r="F2323" s="14"/>
      <c r="G2323" s="14" t="s">
        <v>1911</v>
      </c>
      <c r="H2323" s="14"/>
      <c r="I2323" s="176"/>
      <c r="K2323" s="87"/>
      <c r="L2323" s="14"/>
      <c r="M2323" s="324">
        <f t="shared" si="290"/>
        <v>0</v>
      </c>
      <c r="N2323" s="14"/>
      <c r="O2323" s="14"/>
      <c r="P2323" s="167"/>
      <c r="Q2323" s="14"/>
      <c r="R2323" s="170">
        <f t="shared" si="294"/>
        <v>0</v>
      </c>
      <c r="S2323" s="108" t="str">
        <f t="shared" si="295"/>
        <v/>
      </c>
      <c r="T2323" s="14"/>
      <c r="U2323" s="14"/>
      <c r="V2323" s="14"/>
      <c r="W2323" s="14"/>
      <c r="X2323" s="14"/>
      <c r="Z2323" s="14"/>
      <c r="AA2323" s="2">
        <f t="shared" si="291"/>
        <v>3</v>
      </c>
      <c r="AB2323" s="153"/>
      <c r="AC2323" s="454" t="str">
        <f t="shared" si="292"/>
        <v/>
      </c>
    </row>
    <row r="2324" spans="1:29" x14ac:dyDescent="0.35">
      <c r="A2324" s="111" t="str">
        <f t="shared" si="293"/>
        <v/>
      </c>
      <c r="B2324" s="222"/>
      <c r="C2324" s="14"/>
      <c r="D2324" s="14"/>
      <c r="E2324" s="14"/>
      <c r="F2324" s="14"/>
      <c r="G2324" s="14" t="s">
        <v>1911</v>
      </c>
      <c r="H2324" s="14"/>
      <c r="I2324" s="176"/>
      <c r="K2324" s="87"/>
      <c r="L2324" s="14"/>
      <c r="M2324" s="324">
        <f t="shared" ref="M2324:M2371" si="296">IF(I2324="Staff Accident","Entry Required",IF(I2324="Assaults","Entry Required",0))</f>
        <v>0</v>
      </c>
      <c r="N2324" s="14"/>
      <c r="O2324" s="14"/>
      <c r="P2324" s="167"/>
      <c r="Q2324" s="14"/>
      <c r="R2324" s="170">
        <f t="shared" si="294"/>
        <v>0</v>
      </c>
      <c r="S2324" s="108" t="str">
        <f t="shared" si="295"/>
        <v/>
      </c>
      <c r="T2324" s="14"/>
      <c r="U2324" s="14"/>
      <c r="V2324" s="14"/>
      <c r="W2324" s="14"/>
      <c r="X2324" s="14"/>
      <c r="Z2324" s="14"/>
      <c r="AA2324" s="2">
        <f t="shared" si="291"/>
        <v>3</v>
      </c>
      <c r="AB2324" s="153"/>
      <c r="AC2324" s="454" t="str">
        <f t="shared" si="292"/>
        <v/>
      </c>
    </row>
    <row r="2325" spans="1:29" x14ac:dyDescent="0.35">
      <c r="A2325" s="111" t="str">
        <f t="shared" si="293"/>
        <v/>
      </c>
      <c r="B2325" s="222"/>
      <c r="C2325" s="14"/>
      <c r="D2325" s="14"/>
      <c r="E2325" s="14"/>
      <c r="F2325" s="14"/>
      <c r="G2325" s="14" t="s">
        <v>1911</v>
      </c>
      <c r="H2325" s="14"/>
      <c r="I2325" s="176"/>
      <c r="K2325" s="87"/>
      <c r="L2325" s="14"/>
      <c r="M2325" s="324">
        <f t="shared" si="296"/>
        <v>0</v>
      </c>
      <c r="N2325" s="14"/>
      <c r="O2325" s="14"/>
      <c r="P2325" s="167"/>
      <c r="Q2325" s="14"/>
      <c r="R2325" s="170">
        <f t="shared" si="294"/>
        <v>0</v>
      </c>
      <c r="S2325" s="108" t="str">
        <f t="shared" si="295"/>
        <v/>
      </c>
      <c r="T2325" s="14"/>
      <c r="U2325" s="14"/>
      <c r="V2325" s="14"/>
      <c r="W2325" s="14"/>
      <c r="X2325" s="14"/>
      <c r="Z2325" s="14"/>
      <c r="AA2325" s="2">
        <f t="shared" si="291"/>
        <v>3</v>
      </c>
      <c r="AB2325" s="153"/>
      <c r="AC2325" s="454" t="str">
        <f t="shared" si="292"/>
        <v/>
      </c>
    </row>
    <row r="2326" spans="1:29" x14ac:dyDescent="0.35">
      <c r="A2326" s="111" t="str">
        <f t="shared" si="293"/>
        <v/>
      </c>
      <c r="B2326" s="222"/>
      <c r="C2326" s="14"/>
      <c r="D2326" s="14"/>
      <c r="E2326" s="14"/>
      <c r="F2326" s="14"/>
      <c r="G2326" s="14" t="s">
        <v>1911</v>
      </c>
      <c r="H2326" s="14"/>
      <c r="I2326" s="176"/>
      <c r="K2326" s="87"/>
      <c r="L2326" s="14"/>
      <c r="M2326" s="324">
        <f t="shared" si="296"/>
        <v>0</v>
      </c>
      <c r="N2326" s="14"/>
      <c r="O2326" s="14"/>
      <c r="P2326" s="167"/>
      <c r="Q2326" s="14"/>
      <c r="R2326" s="170">
        <f t="shared" si="294"/>
        <v>0</v>
      </c>
      <c r="S2326" s="108" t="str">
        <f t="shared" si="295"/>
        <v/>
      </c>
      <c r="T2326" s="14"/>
      <c r="U2326" s="14"/>
      <c r="V2326" s="14"/>
      <c r="W2326" s="14"/>
      <c r="X2326" s="14"/>
      <c r="Z2326" s="14"/>
      <c r="AA2326" s="2">
        <f t="shared" ref="AA2326:AA2371" si="297">IF(B2326="",3,IF(S2326&lt;$A$1,1,0))</f>
        <v>3</v>
      </c>
      <c r="AB2326" s="153"/>
      <c r="AC2326" s="454" t="str">
        <f t="shared" si="292"/>
        <v/>
      </c>
    </row>
    <row r="2327" spans="1:29" x14ac:dyDescent="0.35">
      <c r="A2327" s="111" t="str">
        <f t="shared" si="293"/>
        <v/>
      </c>
      <c r="B2327" s="222"/>
      <c r="C2327" s="14"/>
      <c r="D2327" s="14"/>
      <c r="E2327" s="14"/>
      <c r="F2327" s="14"/>
      <c r="G2327" s="14" t="s">
        <v>1911</v>
      </c>
      <c r="H2327" s="14"/>
      <c r="I2327" s="176"/>
      <c r="K2327" s="87"/>
      <c r="L2327" s="14"/>
      <c r="M2327" s="324">
        <f t="shared" si="296"/>
        <v>0</v>
      </c>
      <c r="N2327" s="14"/>
      <c r="O2327" s="14"/>
      <c r="P2327" s="167"/>
      <c r="Q2327" s="14"/>
      <c r="R2327" s="170">
        <f t="shared" si="294"/>
        <v>0</v>
      </c>
      <c r="S2327" s="108" t="str">
        <f t="shared" si="295"/>
        <v/>
      </c>
      <c r="T2327" s="14"/>
      <c r="U2327" s="14"/>
      <c r="V2327" s="14"/>
      <c r="W2327" s="14"/>
      <c r="X2327" s="14"/>
      <c r="Z2327" s="14"/>
      <c r="AA2327" s="2">
        <f t="shared" si="297"/>
        <v>3</v>
      </c>
      <c r="AB2327" s="153"/>
      <c r="AC2327" s="454" t="str">
        <f t="shared" si="292"/>
        <v/>
      </c>
    </row>
    <row r="2328" spans="1:29" x14ac:dyDescent="0.35">
      <c r="A2328" s="111" t="str">
        <f t="shared" si="293"/>
        <v/>
      </c>
      <c r="B2328" s="222"/>
      <c r="C2328" s="14"/>
      <c r="D2328" s="14"/>
      <c r="E2328" s="14"/>
      <c r="F2328" s="14"/>
      <c r="G2328" s="14" t="s">
        <v>1911</v>
      </c>
      <c r="H2328" s="14"/>
      <c r="I2328" s="176"/>
      <c r="K2328" s="87"/>
      <c r="L2328" s="14"/>
      <c r="M2328" s="324">
        <f t="shared" si="296"/>
        <v>0</v>
      </c>
      <c r="N2328" s="14"/>
      <c r="O2328" s="14"/>
      <c r="P2328" s="167"/>
      <c r="Q2328" s="14"/>
      <c r="R2328" s="170">
        <f t="shared" si="294"/>
        <v>0</v>
      </c>
      <c r="S2328" s="108" t="str">
        <f t="shared" si="295"/>
        <v/>
      </c>
      <c r="T2328" s="14"/>
      <c r="U2328" s="14"/>
      <c r="V2328" s="14"/>
      <c r="W2328" s="14"/>
      <c r="X2328" s="14"/>
      <c r="Z2328" s="14"/>
      <c r="AA2328" s="2">
        <f t="shared" si="297"/>
        <v>3</v>
      </c>
      <c r="AB2328" s="153"/>
      <c r="AC2328" s="454" t="str">
        <f t="shared" si="292"/>
        <v/>
      </c>
    </row>
    <row r="2329" spans="1:29" x14ac:dyDescent="0.35">
      <c r="A2329" s="111" t="str">
        <f t="shared" si="293"/>
        <v/>
      </c>
      <c r="B2329" s="222"/>
      <c r="C2329" s="14"/>
      <c r="D2329" s="14"/>
      <c r="E2329" s="14"/>
      <c r="F2329" s="14"/>
      <c r="G2329" s="14" t="s">
        <v>1911</v>
      </c>
      <c r="H2329" s="14"/>
      <c r="I2329" s="176"/>
      <c r="K2329" s="87"/>
      <c r="L2329" s="14"/>
      <c r="M2329" s="324">
        <f t="shared" si="296"/>
        <v>0</v>
      </c>
      <c r="N2329" s="14"/>
      <c r="O2329" s="14"/>
      <c r="P2329" s="167"/>
      <c r="Q2329" s="14"/>
      <c r="R2329" s="170">
        <f t="shared" si="294"/>
        <v>0</v>
      </c>
      <c r="S2329" s="108" t="str">
        <f t="shared" si="295"/>
        <v/>
      </c>
      <c r="T2329" s="14"/>
      <c r="U2329" s="14"/>
      <c r="V2329" s="14"/>
      <c r="W2329" s="14"/>
      <c r="X2329" s="14"/>
      <c r="Z2329" s="14"/>
      <c r="AA2329" s="2">
        <f t="shared" si="297"/>
        <v>3</v>
      </c>
      <c r="AB2329" s="153"/>
      <c r="AC2329" s="454" t="str">
        <f t="shared" si="292"/>
        <v/>
      </c>
    </row>
    <row r="2330" spans="1:29" x14ac:dyDescent="0.35">
      <c r="A2330" s="111" t="str">
        <f t="shared" si="293"/>
        <v/>
      </c>
      <c r="B2330" s="222"/>
      <c r="C2330" s="14"/>
      <c r="D2330" s="14"/>
      <c r="E2330" s="14"/>
      <c r="F2330" s="14"/>
      <c r="G2330" s="14" t="s">
        <v>1911</v>
      </c>
      <c r="H2330" s="14"/>
      <c r="I2330" s="176"/>
      <c r="K2330" s="87"/>
      <c r="L2330" s="14"/>
      <c r="M2330" s="324">
        <f t="shared" si="296"/>
        <v>0</v>
      </c>
      <c r="N2330" s="14"/>
      <c r="O2330" s="14"/>
      <c r="P2330" s="167"/>
      <c r="Q2330" s="14"/>
      <c r="R2330" s="170">
        <f t="shared" si="294"/>
        <v>0</v>
      </c>
      <c r="S2330" s="108" t="str">
        <f t="shared" si="295"/>
        <v/>
      </c>
      <c r="T2330" s="14"/>
      <c r="U2330" s="14"/>
      <c r="V2330" s="14"/>
      <c r="W2330" s="14"/>
      <c r="X2330" s="14"/>
      <c r="Z2330" s="14"/>
      <c r="AA2330" s="2">
        <f t="shared" si="297"/>
        <v>3</v>
      </c>
      <c r="AB2330" s="153"/>
      <c r="AC2330" s="454" t="str">
        <f t="shared" ref="AC2330:AC2371" si="298">LEFT(H2330,1)</f>
        <v/>
      </c>
    </row>
    <row r="2331" spans="1:29" x14ac:dyDescent="0.35">
      <c r="A2331" s="111" t="str">
        <f t="shared" si="293"/>
        <v/>
      </c>
      <c r="B2331" s="222"/>
      <c r="C2331" s="14"/>
      <c r="D2331" s="14"/>
      <c r="E2331" s="14"/>
      <c r="F2331" s="14"/>
      <c r="G2331" s="14" t="s">
        <v>1911</v>
      </c>
      <c r="H2331" s="14"/>
      <c r="I2331" s="176"/>
      <c r="K2331" s="87"/>
      <c r="L2331" s="14"/>
      <c r="M2331" s="324">
        <f t="shared" si="296"/>
        <v>0</v>
      </c>
      <c r="N2331" s="14"/>
      <c r="O2331" s="14"/>
      <c r="P2331" s="167"/>
      <c r="Q2331" s="14"/>
      <c r="R2331" s="170">
        <f t="shared" si="294"/>
        <v>0</v>
      </c>
      <c r="S2331" s="108" t="str">
        <f t="shared" si="295"/>
        <v/>
      </c>
      <c r="T2331" s="14"/>
      <c r="U2331" s="14"/>
      <c r="V2331" s="14"/>
      <c r="W2331" s="14"/>
      <c r="X2331" s="14"/>
      <c r="Z2331" s="14"/>
      <c r="AA2331" s="2">
        <f t="shared" si="297"/>
        <v>3</v>
      </c>
      <c r="AB2331" s="153"/>
      <c r="AC2331" s="454" t="str">
        <f t="shared" si="298"/>
        <v/>
      </c>
    </row>
    <row r="2332" spans="1:29" x14ac:dyDescent="0.35">
      <c r="A2332" s="111" t="str">
        <f t="shared" si="293"/>
        <v/>
      </c>
      <c r="B2332" s="222"/>
      <c r="C2332" s="14"/>
      <c r="D2332" s="14"/>
      <c r="E2332" s="14"/>
      <c r="F2332" s="14"/>
      <c r="G2332" s="14" t="s">
        <v>1911</v>
      </c>
      <c r="H2332" s="14"/>
      <c r="I2332" s="176"/>
      <c r="K2332" s="87"/>
      <c r="L2332" s="14"/>
      <c r="M2332" s="324">
        <f t="shared" si="296"/>
        <v>0</v>
      </c>
      <c r="N2332" s="14"/>
      <c r="O2332" s="14"/>
      <c r="P2332" s="167"/>
      <c r="Q2332" s="14"/>
      <c r="R2332" s="170">
        <f t="shared" si="294"/>
        <v>0</v>
      </c>
      <c r="S2332" s="108" t="str">
        <f t="shared" si="295"/>
        <v/>
      </c>
      <c r="T2332" s="14"/>
      <c r="U2332" s="14"/>
      <c r="V2332" s="14"/>
      <c r="W2332" s="14"/>
      <c r="X2332" s="14"/>
      <c r="Z2332" s="14"/>
      <c r="AA2332" s="2">
        <f t="shared" si="297"/>
        <v>3</v>
      </c>
      <c r="AB2332" s="153"/>
      <c r="AC2332" s="454" t="str">
        <f t="shared" si="298"/>
        <v/>
      </c>
    </row>
    <row r="2333" spans="1:29" x14ac:dyDescent="0.35">
      <c r="A2333" s="111" t="str">
        <f t="shared" si="293"/>
        <v/>
      </c>
      <c r="B2333" s="222"/>
      <c r="C2333" s="14"/>
      <c r="D2333" s="14"/>
      <c r="E2333" s="14"/>
      <c r="F2333" s="14"/>
      <c r="G2333" s="14" t="s">
        <v>1911</v>
      </c>
      <c r="H2333" s="14"/>
      <c r="I2333" s="176"/>
      <c r="K2333" s="87"/>
      <c r="L2333" s="14"/>
      <c r="M2333" s="324">
        <f t="shared" si="296"/>
        <v>0</v>
      </c>
      <c r="N2333" s="14"/>
      <c r="O2333" s="14"/>
      <c r="P2333" s="167"/>
      <c r="Q2333" s="14"/>
      <c r="R2333" s="170">
        <f t="shared" si="294"/>
        <v>0</v>
      </c>
      <c r="S2333" s="108" t="str">
        <f t="shared" si="295"/>
        <v/>
      </c>
      <c r="T2333" s="14"/>
      <c r="U2333" s="14"/>
      <c r="V2333" s="14"/>
      <c r="W2333" s="14"/>
      <c r="X2333" s="14"/>
      <c r="Z2333" s="14"/>
      <c r="AA2333" s="2">
        <f t="shared" si="297"/>
        <v>3</v>
      </c>
      <c r="AB2333" s="153"/>
      <c r="AC2333" s="454" t="str">
        <f t="shared" si="298"/>
        <v/>
      </c>
    </row>
    <row r="2334" spans="1:29" x14ac:dyDescent="0.35">
      <c r="A2334" s="111" t="str">
        <f t="shared" si="293"/>
        <v/>
      </c>
      <c r="B2334" s="222"/>
      <c r="C2334" s="14"/>
      <c r="D2334" s="14"/>
      <c r="E2334" s="14"/>
      <c r="F2334" s="14"/>
      <c r="G2334" s="14" t="s">
        <v>1911</v>
      </c>
      <c r="H2334" s="14"/>
      <c r="I2334" s="176"/>
      <c r="K2334" s="87"/>
      <c r="L2334" s="14"/>
      <c r="M2334" s="324">
        <f t="shared" si="296"/>
        <v>0</v>
      </c>
      <c r="N2334" s="14"/>
      <c r="O2334" s="14"/>
      <c r="P2334" s="167"/>
      <c r="Q2334" s="14"/>
      <c r="R2334" s="170">
        <f t="shared" si="294"/>
        <v>0</v>
      </c>
      <c r="S2334" s="108" t="str">
        <f t="shared" si="295"/>
        <v/>
      </c>
      <c r="T2334" s="14"/>
      <c r="U2334" s="14"/>
      <c r="V2334" s="14"/>
      <c r="W2334" s="14"/>
      <c r="X2334" s="14"/>
      <c r="Z2334" s="14"/>
      <c r="AA2334" s="2">
        <f t="shared" si="297"/>
        <v>3</v>
      </c>
      <c r="AB2334" s="153"/>
      <c r="AC2334" s="454" t="str">
        <f t="shared" si="298"/>
        <v/>
      </c>
    </row>
    <row r="2335" spans="1:29" x14ac:dyDescent="0.35">
      <c r="A2335" s="111" t="str">
        <f t="shared" ref="A2335:A2371" si="299">IF(T2335&gt;1,"Closed",IF(AA2335=1,"Overdue",IF(AA2335=3,"","Open")))</f>
        <v/>
      </c>
      <c r="B2335" s="222"/>
      <c r="C2335" s="14"/>
      <c r="D2335" s="14"/>
      <c r="E2335" s="14"/>
      <c r="F2335" s="14"/>
      <c r="G2335" s="14" t="s">
        <v>1911</v>
      </c>
      <c r="H2335" s="14"/>
      <c r="I2335" s="176"/>
      <c r="K2335" s="87"/>
      <c r="L2335" s="14"/>
      <c r="M2335" s="324">
        <f t="shared" si="296"/>
        <v>0</v>
      </c>
      <c r="N2335" s="14"/>
      <c r="O2335" s="14"/>
      <c r="P2335" s="167"/>
      <c r="Q2335" s="14"/>
      <c r="R2335" s="170">
        <f t="shared" si="294"/>
        <v>0</v>
      </c>
      <c r="S2335" s="108" t="str">
        <f t="shared" si="295"/>
        <v/>
      </c>
      <c r="T2335" s="14"/>
      <c r="U2335" s="14"/>
      <c r="V2335" s="14"/>
      <c r="W2335" s="14"/>
      <c r="X2335" s="14"/>
      <c r="Z2335" s="14"/>
      <c r="AA2335" s="2">
        <f t="shared" si="297"/>
        <v>3</v>
      </c>
      <c r="AB2335" s="153"/>
      <c r="AC2335" s="454" t="str">
        <f t="shared" si="298"/>
        <v/>
      </c>
    </row>
    <row r="2336" spans="1:29" x14ac:dyDescent="0.35">
      <c r="A2336" s="111" t="str">
        <f t="shared" si="299"/>
        <v/>
      </c>
      <c r="B2336" s="222"/>
      <c r="C2336" s="14"/>
      <c r="D2336" s="14"/>
      <c r="E2336" s="14"/>
      <c r="F2336" s="14"/>
      <c r="G2336" s="14" t="s">
        <v>1911</v>
      </c>
      <c r="H2336" s="14"/>
      <c r="I2336" s="176"/>
      <c r="K2336" s="87"/>
      <c r="L2336" s="14"/>
      <c r="M2336" s="324">
        <f t="shared" si="296"/>
        <v>0</v>
      </c>
      <c r="N2336" s="14"/>
      <c r="O2336" s="14"/>
      <c r="P2336" s="167"/>
      <c r="Q2336" s="14"/>
      <c r="R2336" s="170">
        <f t="shared" si="294"/>
        <v>0</v>
      </c>
      <c r="S2336" s="108" t="str">
        <f t="shared" si="295"/>
        <v/>
      </c>
      <c r="T2336" s="14"/>
      <c r="U2336" s="14"/>
      <c r="V2336" s="14"/>
      <c r="W2336" s="14"/>
      <c r="X2336" s="14"/>
      <c r="Z2336" s="14"/>
      <c r="AA2336" s="2">
        <f t="shared" si="297"/>
        <v>3</v>
      </c>
      <c r="AB2336" s="153"/>
      <c r="AC2336" s="454" t="str">
        <f t="shared" si="298"/>
        <v/>
      </c>
    </row>
    <row r="2337" spans="1:29" x14ac:dyDescent="0.35">
      <c r="A2337" s="111" t="str">
        <f t="shared" si="299"/>
        <v/>
      </c>
      <c r="B2337" s="222"/>
      <c r="C2337" s="14"/>
      <c r="D2337" s="14"/>
      <c r="E2337" s="14"/>
      <c r="F2337" s="14"/>
      <c r="G2337" s="14" t="s">
        <v>1911</v>
      </c>
      <c r="H2337" s="14"/>
      <c r="I2337" s="176"/>
      <c r="K2337" s="87"/>
      <c r="L2337" s="14"/>
      <c r="M2337" s="324">
        <f t="shared" si="296"/>
        <v>0</v>
      </c>
      <c r="N2337" s="14"/>
      <c r="O2337" s="14"/>
      <c r="P2337" s="167"/>
      <c r="Q2337" s="14"/>
      <c r="R2337" s="170">
        <f t="shared" si="294"/>
        <v>0</v>
      </c>
      <c r="S2337" s="108" t="str">
        <f t="shared" si="295"/>
        <v/>
      </c>
      <c r="T2337" s="14"/>
      <c r="U2337" s="14"/>
      <c r="V2337" s="14"/>
      <c r="W2337" s="14"/>
      <c r="X2337" s="14"/>
      <c r="Z2337" s="14"/>
      <c r="AA2337" s="2">
        <f t="shared" si="297"/>
        <v>3</v>
      </c>
      <c r="AB2337" s="153"/>
      <c r="AC2337" s="454" t="str">
        <f t="shared" si="298"/>
        <v/>
      </c>
    </row>
    <row r="2338" spans="1:29" x14ac:dyDescent="0.35">
      <c r="A2338" s="111" t="str">
        <f t="shared" si="299"/>
        <v/>
      </c>
      <c r="B2338" s="222"/>
      <c r="C2338" s="14"/>
      <c r="D2338" s="14"/>
      <c r="E2338" s="14"/>
      <c r="F2338" s="14"/>
      <c r="G2338" s="14" t="s">
        <v>1911</v>
      </c>
      <c r="H2338" s="14"/>
      <c r="I2338" s="176"/>
      <c r="K2338" s="87"/>
      <c r="L2338" s="14"/>
      <c r="M2338" s="324">
        <f t="shared" si="296"/>
        <v>0</v>
      </c>
      <c r="N2338" s="14"/>
      <c r="O2338" s="14"/>
      <c r="P2338" s="167"/>
      <c r="Q2338" s="14"/>
      <c r="R2338" s="170">
        <f t="shared" si="294"/>
        <v>0</v>
      </c>
      <c r="S2338" s="108" t="str">
        <f t="shared" si="295"/>
        <v/>
      </c>
      <c r="T2338" s="14"/>
      <c r="U2338" s="14"/>
      <c r="V2338" s="14"/>
      <c r="W2338" s="14"/>
      <c r="X2338" s="14"/>
      <c r="Z2338" s="14"/>
      <c r="AA2338" s="2">
        <f t="shared" si="297"/>
        <v>3</v>
      </c>
      <c r="AB2338" s="153"/>
      <c r="AC2338" s="454" t="str">
        <f t="shared" si="298"/>
        <v/>
      </c>
    </row>
    <row r="2339" spans="1:29" x14ac:dyDescent="0.35">
      <c r="A2339" s="111" t="str">
        <f t="shared" si="299"/>
        <v/>
      </c>
      <c r="B2339" s="222"/>
      <c r="C2339" s="14"/>
      <c r="D2339" s="14"/>
      <c r="E2339" s="14"/>
      <c r="F2339" s="14"/>
      <c r="G2339" s="14" t="s">
        <v>1911</v>
      </c>
      <c r="H2339" s="14"/>
      <c r="I2339" s="176"/>
      <c r="K2339" s="87"/>
      <c r="L2339" s="14"/>
      <c r="M2339" s="324">
        <f t="shared" si="296"/>
        <v>0</v>
      </c>
      <c r="N2339" s="14"/>
      <c r="O2339" s="14"/>
      <c r="P2339" s="167"/>
      <c r="Q2339" s="14"/>
      <c r="R2339" s="170">
        <f t="shared" si="294"/>
        <v>0</v>
      </c>
      <c r="S2339" s="108" t="str">
        <f t="shared" si="295"/>
        <v/>
      </c>
      <c r="T2339" s="14"/>
      <c r="U2339" s="14"/>
      <c r="V2339" s="14"/>
      <c r="W2339" s="14"/>
      <c r="X2339" s="14"/>
      <c r="Z2339" s="14"/>
      <c r="AA2339" s="2">
        <f t="shared" si="297"/>
        <v>3</v>
      </c>
      <c r="AB2339" s="153"/>
      <c r="AC2339" s="454" t="str">
        <f t="shared" si="298"/>
        <v/>
      </c>
    </row>
    <row r="2340" spans="1:29" x14ac:dyDescent="0.35">
      <c r="A2340" s="111" t="str">
        <f t="shared" si="299"/>
        <v/>
      </c>
      <c r="B2340" s="222"/>
      <c r="C2340" s="14"/>
      <c r="D2340" s="14"/>
      <c r="E2340" s="14"/>
      <c r="F2340" s="14"/>
      <c r="G2340" s="14" t="s">
        <v>1911</v>
      </c>
      <c r="H2340" s="14"/>
      <c r="I2340" s="176"/>
      <c r="K2340" s="87"/>
      <c r="L2340" s="14"/>
      <c r="M2340" s="324">
        <f t="shared" si="296"/>
        <v>0</v>
      </c>
      <c r="N2340" s="14"/>
      <c r="O2340" s="14"/>
      <c r="P2340" s="167"/>
      <c r="Q2340" s="14"/>
      <c r="R2340" s="170">
        <f t="shared" si="294"/>
        <v>0</v>
      </c>
      <c r="S2340" s="108" t="str">
        <f t="shared" si="295"/>
        <v/>
      </c>
      <c r="T2340" s="14"/>
      <c r="U2340" s="14"/>
      <c r="V2340" s="14"/>
      <c r="W2340" s="14"/>
      <c r="X2340" s="14"/>
      <c r="Z2340" s="14"/>
      <c r="AA2340" s="2">
        <f t="shared" si="297"/>
        <v>3</v>
      </c>
      <c r="AB2340" s="153"/>
      <c r="AC2340" s="454" t="str">
        <f t="shared" si="298"/>
        <v/>
      </c>
    </row>
    <row r="2341" spans="1:29" x14ac:dyDescent="0.35">
      <c r="A2341" s="111" t="str">
        <f t="shared" si="299"/>
        <v/>
      </c>
      <c r="B2341" s="222"/>
      <c r="C2341" s="14"/>
      <c r="D2341" s="14"/>
      <c r="E2341" s="14"/>
      <c r="F2341" s="14"/>
      <c r="G2341" s="14" t="s">
        <v>1911</v>
      </c>
      <c r="H2341" s="14"/>
      <c r="I2341" s="176"/>
      <c r="K2341" s="87"/>
      <c r="L2341" s="14"/>
      <c r="M2341" s="324">
        <f t="shared" si="296"/>
        <v>0</v>
      </c>
      <c r="N2341" s="14"/>
      <c r="O2341" s="14"/>
      <c r="P2341" s="167"/>
      <c r="Q2341" s="14"/>
      <c r="R2341" s="170">
        <f t="shared" si="294"/>
        <v>0</v>
      </c>
      <c r="S2341" s="108" t="str">
        <f t="shared" si="295"/>
        <v/>
      </c>
      <c r="T2341" s="14"/>
      <c r="U2341" s="14"/>
      <c r="V2341" s="14"/>
      <c r="W2341" s="14"/>
      <c r="X2341" s="14"/>
      <c r="Z2341" s="14"/>
      <c r="AA2341" s="2">
        <f t="shared" si="297"/>
        <v>3</v>
      </c>
      <c r="AB2341" s="153"/>
      <c r="AC2341" s="454" t="str">
        <f t="shared" si="298"/>
        <v/>
      </c>
    </row>
    <row r="2342" spans="1:29" x14ac:dyDescent="0.35">
      <c r="A2342" s="111" t="str">
        <f t="shared" si="299"/>
        <v/>
      </c>
      <c r="B2342" s="222"/>
      <c r="C2342" s="14"/>
      <c r="D2342" s="14"/>
      <c r="E2342" s="14"/>
      <c r="F2342" s="14"/>
      <c r="G2342" s="14" t="s">
        <v>1911</v>
      </c>
      <c r="H2342" s="14"/>
      <c r="I2342" s="176"/>
      <c r="K2342" s="87"/>
      <c r="L2342" s="14"/>
      <c r="M2342" s="324">
        <f t="shared" si="296"/>
        <v>0</v>
      </c>
      <c r="N2342" s="14"/>
      <c r="O2342" s="14"/>
      <c r="P2342" s="167"/>
      <c r="Q2342" s="14"/>
      <c r="R2342" s="170">
        <f t="shared" si="294"/>
        <v>0</v>
      </c>
      <c r="S2342" s="108" t="str">
        <f t="shared" si="295"/>
        <v/>
      </c>
      <c r="T2342" s="14"/>
      <c r="U2342" s="14"/>
      <c r="V2342" s="14"/>
      <c r="W2342" s="14"/>
      <c r="X2342" s="14"/>
      <c r="Z2342" s="14"/>
      <c r="AA2342" s="2">
        <f t="shared" si="297"/>
        <v>3</v>
      </c>
      <c r="AB2342" s="153"/>
      <c r="AC2342" s="454" t="str">
        <f t="shared" si="298"/>
        <v/>
      </c>
    </row>
    <row r="2343" spans="1:29" x14ac:dyDescent="0.35">
      <c r="A2343" s="111" t="str">
        <f t="shared" si="299"/>
        <v/>
      </c>
      <c r="B2343" s="222"/>
      <c r="C2343" s="14"/>
      <c r="D2343" s="14"/>
      <c r="E2343" s="14"/>
      <c r="F2343" s="14"/>
      <c r="G2343" s="14" t="s">
        <v>1911</v>
      </c>
      <c r="H2343" s="14"/>
      <c r="I2343" s="176"/>
      <c r="K2343" s="87"/>
      <c r="L2343" s="14"/>
      <c r="M2343" s="324">
        <f t="shared" si="296"/>
        <v>0</v>
      </c>
      <c r="N2343" s="14"/>
      <c r="O2343" s="14"/>
      <c r="P2343" s="167"/>
      <c r="Q2343" s="14"/>
      <c r="R2343" s="170">
        <f t="shared" si="294"/>
        <v>0</v>
      </c>
      <c r="S2343" s="108" t="str">
        <f t="shared" si="295"/>
        <v/>
      </c>
      <c r="T2343" s="14"/>
      <c r="U2343" s="14"/>
      <c r="V2343" s="14"/>
      <c r="W2343" s="14"/>
      <c r="X2343" s="14"/>
      <c r="Z2343" s="14"/>
      <c r="AA2343" s="2">
        <f t="shared" si="297"/>
        <v>3</v>
      </c>
      <c r="AB2343" s="153"/>
      <c r="AC2343" s="454" t="str">
        <f t="shared" si="298"/>
        <v/>
      </c>
    </row>
    <row r="2344" spans="1:29" x14ac:dyDescent="0.35">
      <c r="A2344" s="111" t="str">
        <f t="shared" si="299"/>
        <v/>
      </c>
      <c r="B2344" s="222"/>
      <c r="C2344" s="14"/>
      <c r="D2344" s="14"/>
      <c r="E2344" s="14"/>
      <c r="F2344" s="14"/>
      <c r="G2344" s="14" t="s">
        <v>1911</v>
      </c>
      <c r="H2344" s="14"/>
      <c r="I2344" s="176"/>
      <c r="K2344" s="87"/>
      <c r="L2344" s="14"/>
      <c r="M2344" s="324">
        <f t="shared" si="296"/>
        <v>0</v>
      </c>
      <c r="N2344" s="14"/>
      <c r="O2344" s="14"/>
      <c r="P2344" s="167"/>
      <c r="Q2344" s="14"/>
      <c r="R2344" s="170">
        <f t="shared" si="294"/>
        <v>0</v>
      </c>
      <c r="S2344" s="108" t="str">
        <f t="shared" si="295"/>
        <v/>
      </c>
      <c r="T2344" s="14"/>
      <c r="U2344" s="14"/>
      <c r="V2344" s="14"/>
      <c r="W2344" s="14"/>
      <c r="X2344" s="14"/>
      <c r="Z2344" s="14"/>
      <c r="AA2344" s="2">
        <f t="shared" si="297"/>
        <v>3</v>
      </c>
      <c r="AB2344" s="153"/>
      <c r="AC2344" s="454" t="str">
        <f t="shared" si="298"/>
        <v/>
      </c>
    </row>
    <row r="2345" spans="1:29" x14ac:dyDescent="0.35">
      <c r="A2345" s="111" t="str">
        <f t="shared" si="299"/>
        <v/>
      </c>
      <c r="B2345" s="222"/>
      <c r="C2345" s="14"/>
      <c r="D2345" s="14"/>
      <c r="E2345" s="14"/>
      <c r="F2345" s="14"/>
      <c r="G2345" s="14" t="s">
        <v>1911</v>
      </c>
      <c r="H2345" s="14"/>
      <c r="I2345" s="176"/>
      <c r="K2345" s="87"/>
      <c r="L2345" s="14"/>
      <c r="M2345" s="324">
        <f t="shared" si="296"/>
        <v>0</v>
      </c>
      <c r="N2345" s="14"/>
      <c r="O2345" s="14"/>
      <c r="P2345" s="167"/>
      <c r="Q2345" s="14"/>
      <c r="R2345" s="170">
        <f t="shared" si="294"/>
        <v>0</v>
      </c>
      <c r="S2345" s="108" t="str">
        <f t="shared" si="295"/>
        <v/>
      </c>
      <c r="T2345" s="14"/>
      <c r="U2345" s="14"/>
      <c r="V2345" s="14"/>
      <c r="W2345" s="14"/>
      <c r="X2345" s="14"/>
      <c r="Z2345" s="14"/>
      <c r="AA2345" s="2">
        <f t="shared" si="297"/>
        <v>3</v>
      </c>
      <c r="AB2345" s="153"/>
      <c r="AC2345" s="454" t="str">
        <f t="shared" si="298"/>
        <v/>
      </c>
    </row>
    <row r="2346" spans="1:29" x14ac:dyDescent="0.35">
      <c r="A2346" s="111" t="str">
        <f t="shared" si="299"/>
        <v/>
      </c>
      <c r="B2346" s="222"/>
      <c r="C2346" s="14"/>
      <c r="D2346" s="14"/>
      <c r="E2346" s="14"/>
      <c r="F2346" s="14"/>
      <c r="G2346" s="14" t="s">
        <v>1911</v>
      </c>
      <c r="H2346" s="14"/>
      <c r="I2346" s="176"/>
      <c r="K2346" s="87"/>
      <c r="L2346" s="14"/>
      <c r="M2346" s="324">
        <f t="shared" si="296"/>
        <v>0</v>
      </c>
      <c r="N2346" s="14"/>
      <c r="O2346" s="14"/>
      <c r="P2346" s="167"/>
      <c r="Q2346" s="14"/>
      <c r="R2346" s="170">
        <f t="shared" si="294"/>
        <v>0</v>
      </c>
      <c r="S2346" s="108" t="str">
        <f t="shared" si="295"/>
        <v/>
      </c>
      <c r="T2346" s="14"/>
      <c r="U2346" s="14"/>
      <c r="V2346" s="14"/>
      <c r="W2346" s="14"/>
      <c r="X2346" s="14"/>
      <c r="Z2346" s="14"/>
      <c r="AA2346" s="2">
        <f t="shared" si="297"/>
        <v>3</v>
      </c>
      <c r="AB2346" s="153"/>
      <c r="AC2346" s="454" t="str">
        <f t="shared" si="298"/>
        <v/>
      </c>
    </row>
    <row r="2347" spans="1:29" x14ac:dyDescent="0.35">
      <c r="A2347" s="111" t="str">
        <f t="shared" si="299"/>
        <v/>
      </c>
      <c r="B2347" s="222"/>
      <c r="C2347" s="14"/>
      <c r="D2347" s="14"/>
      <c r="E2347" s="14"/>
      <c r="F2347" s="14"/>
      <c r="G2347" s="14" t="s">
        <v>1911</v>
      </c>
      <c r="H2347" s="14"/>
      <c r="I2347" s="176"/>
      <c r="K2347" s="87"/>
      <c r="L2347" s="14"/>
      <c r="M2347" s="324">
        <f t="shared" si="296"/>
        <v>0</v>
      </c>
      <c r="N2347" s="14"/>
      <c r="O2347" s="14"/>
      <c r="P2347" s="167"/>
      <c r="Q2347" s="14"/>
      <c r="R2347" s="170">
        <f t="shared" si="294"/>
        <v>0</v>
      </c>
      <c r="S2347" s="108" t="str">
        <f t="shared" si="295"/>
        <v/>
      </c>
      <c r="T2347" s="14"/>
      <c r="U2347" s="14"/>
      <c r="V2347" s="14"/>
      <c r="W2347" s="14"/>
      <c r="X2347" s="14"/>
      <c r="Z2347" s="14"/>
      <c r="AA2347" s="2">
        <f t="shared" si="297"/>
        <v>3</v>
      </c>
      <c r="AB2347" s="153"/>
      <c r="AC2347" s="454" t="str">
        <f t="shared" si="298"/>
        <v/>
      </c>
    </row>
    <row r="2348" spans="1:29" x14ac:dyDescent="0.35">
      <c r="A2348" s="111" t="str">
        <f t="shared" si="299"/>
        <v/>
      </c>
      <c r="B2348" s="222"/>
      <c r="C2348" s="14"/>
      <c r="D2348" s="14"/>
      <c r="E2348" s="14"/>
      <c r="F2348" s="14"/>
      <c r="G2348" s="14" t="s">
        <v>1911</v>
      </c>
      <c r="H2348" s="14"/>
      <c r="I2348" s="176"/>
      <c r="K2348" s="87"/>
      <c r="L2348" s="14"/>
      <c r="M2348" s="324">
        <f t="shared" si="296"/>
        <v>0</v>
      </c>
      <c r="N2348" s="14"/>
      <c r="O2348" s="14"/>
      <c r="P2348" s="167"/>
      <c r="Q2348" s="14"/>
      <c r="R2348" s="170">
        <f t="shared" si="294"/>
        <v>0</v>
      </c>
      <c r="S2348" s="108" t="str">
        <f t="shared" si="295"/>
        <v/>
      </c>
      <c r="T2348" s="14"/>
      <c r="U2348" s="14"/>
      <c r="V2348" s="14"/>
      <c r="W2348" s="14"/>
      <c r="X2348" s="14"/>
      <c r="Z2348" s="14"/>
      <c r="AA2348" s="2">
        <f t="shared" si="297"/>
        <v>3</v>
      </c>
      <c r="AB2348" s="153"/>
      <c r="AC2348" s="454" t="str">
        <f t="shared" si="298"/>
        <v/>
      </c>
    </row>
    <row r="2349" spans="1:29" x14ac:dyDescent="0.35">
      <c r="A2349" s="111" t="str">
        <f t="shared" si="299"/>
        <v/>
      </c>
      <c r="B2349" s="222"/>
      <c r="C2349" s="14"/>
      <c r="D2349" s="14"/>
      <c r="E2349" s="14"/>
      <c r="F2349" s="14"/>
      <c r="G2349" s="14" t="s">
        <v>1911</v>
      </c>
      <c r="H2349" s="14"/>
      <c r="I2349" s="176"/>
      <c r="K2349" s="87"/>
      <c r="L2349" s="14"/>
      <c r="M2349" s="324">
        <f t="shared" si="296"/>
        <v>0</v>
      </c>
      <c r="N2349" s="14"/>
      <c r="O2349" s="14"/>
      <c r="P2349" s="167"/>
      <c r="Q2349" s="14"/>
      <c r="R2349" s="170">
        <f t="shared" ref="R2349:R2371" si="300">IF(I2349="Staff Accident","Entry Required",IF(I2349="Assaults","Entry Required",0))</f>
        <v>0</v>
      </c>
      <c r="S2349" s="108" t="str">
        <f t="shared" si="295"/>
        <v/>
      </c>
      <c r="T2349" s="14"/>
      <c r="U2349" s="14"/>
      <c r="V2349" s="14"/>
      <c r="W2349" s="14"/>
      <c r="X2349" s="14"/>
      <c r="Z2349" s="14"/>
      <c r="AA2349" s="2">
        <f t="shared" si="297"/>
        <v>3</v>
      </c>
      <c r="AB2349" s="153"/>
      <c r="AC2349" s="454" t="str">
        <f t="shared" si="298"/>
        <v/>
      </c>
    </row>
    <row r="2350" spans="1:29" x14ac:dyDescent="0.35">
      <c r="A2350" s="111" t="str">
        <f t="shared" si="299"/>
        <v/>
      </c>
      <c r="B2350" s="222"/>
      <c r="C2350" s="14"/>
      <c r="D2350" s="14"/>
      <c r="E2350" s="14"/>
      <c r="F2350" s="14"/>
      <c r="G2350" s="14" t="s">
        <v>1911</v>
      </c>
      <c r="H2350" s="14"/>
      <c r="I2350" s="176"/>
      <c r="K2350" s="87"/>
      <c r="L2350" s="14"/>
      <c r="M2350" s="324">
        <f t="shared" si="296"/>
        <v>0</v>
      </c>
      <c r="N2350" s="14"/>
      <c r="O2350" s="14"/>
      <c r="P2350" s="167"/>
      <c r="Q2350" s="14"/>
      <c r="R2350" s="170">
        <f t="shared" si="300"/>
        <v>0</v>
      </c>
      <c r="S2350" s="108" t="str">
        <f t="shared" si="295"/>
        <v/>
      </c>
      <c r="T2350" s="14"/>
      <c r="U2350" s="14"/>
      <c r="V2350" s="14"/>
      <c r="W2350" s="14"/>
      <c r="X2350" s="14"/>
      <c r="Z2350" s="14"/>
      <c r="AA2350" s="2">
        <f t="shared" si="297"/>
        <v>3</v>
      </c>
      <c r="AB2350" s="153"/>
      <c r="AC2350" s="454" t="str">
        <f t="shared" si="298"/>
        <v/>
      </c>
    </row>
    <row r="2351" spans="1:29" x14ac:dyDescent="0.35">
      <c r="A2351" s="111" t="str">
        <f t="shared" si="299"/>
        <v/>
      </c>
      <c r="B2351" s="222"/>
      <c r="C2351" s="14"/>
      <c r="D2351" s="14"/>
      <c r="E2351" s="14"/>
      <c r="F2351" s="14"/>
      <c r="G2351" s="14" t="s">
        <v>1911</v>
      </c>
      <c r="H2351" s="14"/>
      <c r="I2351" s="176"/>
      <c r="K2351" s="87"/>
      <c r="L2351" s="14"/>
      <c r="M2351" s="324">
        <f t="shared" si="296"/>
        <v>0</v>
      </c>
      <c r="N2351" s="14"/>
      <c r="O2351" s="14"/>
      <c r="P2351" s="167"/>
      <c r="Q2351" s="14"/>
      <c r="R2351" s="170">
        <f t="shared" si="300"/>
        <v>0</v>
      </c>
      <c r="S2351" s="108" t="str">
        <f t="shared" si="295"/>
        <v/>
      </c>
      <c r="T2351" s="14"/>
      <c r="U2351" s="14"/>
      <c r="V2351" s="14"/>
      <c r="W2351" s="14"/>
      <c r="X2351" s="14"/>
      <c r="Z2351" s="14"/>
      <c r="AA2351" s="2">
        <f t="shared" si="297"/>
        <v>3</v>
      </c>
      <c r="AB2351" s="153"/>
      <c r="AC2351" s="454" t="str">
        <f t="shared" si="298"/>
        <v/>
      </c>
    </row>
    <row r="2352" spans="1:29" x14ac:dyDescent="0.35">
      <c r="A2352" s="111" t="str">
        <f t="shared" si="299"/>
        <v/>
      </c>
      <c r="B2352" s="222"/>
      <c r="C2352" s="14"/>
      <c r="D2352" s="14"/>
      <c r="E2352" s="14"/>
      <c r="F2352" s="14"/>
      <c r="G2352" s="14" t="s">
        <v>1911</v>
      </c>
      <c r="H2352" s="14"/>
      <c r="I2352" s="176"/>
      <c r="K2352" s="87"/>
      <c r="L2352" s="14"/>
      <c r="M2352" s="324">
        <f t="shared" si="296"/>
        <v>0</v>
      </c>
      <c r="N2352" s="14"/>
      <c r="O2352" s="14"/>
      <c r="P2352" s="167"/>
      <c r="Q2352" s="14"/>
      <c r="R2352" s="170">
        <f t="shared" si="300"/>
        <v>0</v>
      </c>
      <c r="S2352" s="108" t="str">
        <f t="shared" si="295"/>
        <v/>
      </c>
      <c r="T2352" s="14"/>
      <c r="U2352" s="14"/>
      <c r="V2352" s="14"/>
      <c r="W2352" s="14"/>
      <c r="X2352" s="14"/>
      <c r="Z2352" s="14"/>
      <c r="AA2352" s="2">
        <f t="shared" si="297"/>
        <v>3</v>
      </c>
      <c r="AB2352" s="153"/>
      <c r="AC2352" s="454" t="str">
        <f t="shared" si="298"/>
        <v/>
      </c>
    </row>
    <row r="2353" spans="1:29" x14ac:dyDescent="0.35">
      <c r="A2353" s="111" t="str">
        <f t="shared" si="299"/>
        <v/>
      </c>
      <c r="B2353" s="222"/>
      <c r="C2353" s="14"/>
      <c r="D2353" s="14"/>
      <c r="E2353" s="14"/>
      <c r="F2353" s="14"/>
      <c r="G2353" s="14" t="s">
        <v>1911</v>
      </c>
      <c r="H2353" s="14"/>
      <c r="I2353" s="176"/>
      <c r="K2353" s="87"/>
      <c r="L2353" s="14"/>
      <c r="M2353" s="324">
        <f t="shared" si="296"/>
        <v>0</v>
      </c>
      <c r="N2353" s="14"/>
      <c r="O2353" s="14"/>
      <c r="P2353" s="167"/>
      <c r="Q2353" s="14"/>
      <c r="R2353" s="170">
        <f t="shared" si="300"/>
        <v>0</v>
      </c>
      <c r="S2353" s="108" t="str">
        <f t="shared" si="295"/>
        <v/>
      </c>
      <c r="T2353" s="14"/>
      <c r="U2353" s="14"/>
      <c r="V2353" s="14"/>
      <c r="W2353" s="14"/>
      <c r="X2353" s="14"/>
      <c r="Z2353" s="14"/>
      <c r="AA2353" s="2">
        <f t="shared" si="297"/>
        <v>3</v>
      </c>
      <c r="AB2353" s="153"/>
      <c r="AC2353" s="454" t="str">
        <f t="shared" si="298"/>
        <v/>
      </c>
    </row>
    <row r="2354" spans="1:29" x14ac:dyDescent="0.35">
      <c r="A2354" s="111" t="str">
        <f t="shared" si="299"/>
        <v/>
      </c>
      <c r="B2354" s="222"/>
      <c r="C2354" s="14"/>
      <c r="D2354" s="14"/>
      <c r="E2354" s="14"/>
      <c r="F2354" s="14"/>
      <c r="G2354" s="14" t="s">
        <v>1911</v>
      </c>
      <c r="H2354" s="14"/>
      <c r="I2354" s="176"/>
      <c r="K2354" s="87"/>
      <c r="L2354" s="14"/>
      <c r="M2354" s="324">
        <f t="shared" si="296"/>
        <v>0</v>
      </c>
      <c r="N2354" s="14"/>
      <c r="O2354" s="14"/>
      <c r="P2354" s="167"/>
      <c r="Q2354" s="14"/>
      <c r="R2354" s="170">
        <f t="shared" si="300"/>
        <v>0</v>
      </c>
      <c r="S2354" s="108" t="str">
        <f t="shared" si="295"/>
        <v/>
      </c>
      <c r="T2354" s="14"/>
      <c r="U2354" s="14"/>
      <c r="V2354" s="14"/>
      <c r="W2354" s="14"/>
      <c r="X2354" s="14"/>
      <c r="Z2354" s="14"/>
      <c r="AA2354" s="2">
        <f t="shared" si="297"/>
        <v>3</v>
      </c>
      <c r="AB2354" s="153"/>
      <c r="AC2354" s="454" t="str">
        <f t="shared" si="298"/>
        <v/>
      </c>
    </row>
    <row r="2355" spans="1:29" x14ac:dyDescent="0.35">
      <c r="A2355" s="111" t="str">
        <f t="shared" si="299"/>
        <v/>
      </c>
      <c r="B2355" s="222"/>
      <c r="C2355" s="14"/>
      <c r="D2355" s="14"/>
      <c r="E2355" s="14"/>
      <c r="F2355" s="14"/>
      <c r="G2355" s="14" t="s">
        <v>1911</v>
      </c>
      <c r="H2355" s="14"/>
      <c r="I2355" s="176"/>
      <c r="K2355" s="87"/>
      <c r="L2355" s="14"/>
      <c r="M2355" s="324">
        <f t="shared" si="296"/>
        <v>0</v>
      </c>
      <c r="N2355" s="14"/>
      <c r="O2355" s="14"/>
      <c r="P2355" s="167"/>
      <c r="Q2355" s="14"/>
      <c r="R2355" s="170">
        <f t="shared" si="300"/>
        <v>0</v>
      </c>
      <c r="S2355" s="108" t="str">
        <f t="shared" si="295"/>
        <v/>
      </c>
      <c r="T2355" s="14"/>
      <c r="U2355" s="14"/>
      <c r="V2355" s="14"/>
      <c r="W2355" s="14"/>
      <c r="X2355" s="14"/>
      <c r="Z2355" s="14"/>
      <c r="AA2355" s="2">
        <f t="shared" si="297"/>
        <v>3</v>
      </c>
      <c r="AB2355" s="153"/>
      <c r="AC2355" s="454" t="str">
        <f t="shared" si="298"/>
        <v/>
      </c>
    </row>
    <row r="2356" spans="1:29" x14ac:dyDescent="0.35">
      <c r="A2356" s="111" t="str">
        <f t="shared" si="299"/>
        <v/>
      </c>
      <c r="B2356" s="222"/>
      <c r="C2356" s="14"/>
      <c r="D2356" s="14"/>
      <c r="E2356" s="14"/>
      <c r="F2356" s="14"/>
      <c r="G2356" s="14" t="s">
        <v>1911</v>
      </c>
      <c r="H2356" s="14"/>
      <c r="I2356" s="176"/>
      <c r="K2356" s="87"/>
      <c r="L2356" s="14"/>
      <c r="M2356" s="324">
        <f t="shared" si="296"/>
        <v>0</v>
      </c>
      <c r="N2356" s="14"/>
      <c r="O2356" s="14"/>
      <c r="P2356" s="167"/>
      <c r="Q2356" s="14"/>
      <c r="R2356" s="170">
        <f t="shared" si="300"/>
        <v>0</v>
      </c>
      <c r="S2356" s="108" t="str">
        <f t="shared" si="295"/>
        <v/>
      </c>
      <c r="T2356" s="14"/>
      <c r="U2356" s="14"/>
      <c r="V2356" s="14"/>
      <c r="W2356" s="14"/>
      <c r="X2356" s="14"/>
      <c r="Z2356" s="14"/>
      <c r="AA2356" s="2">
        <f t="shared" si="297"/>
        <v>3</v>
      </c>
      <c r="AB2356" s="153"/>
      <c r="AC2356" s="454" t="str">
        <f t="shared" si="298"/>
        <v/>
      </c>
    </row>
    <row r="2357" spans="1:29" x14ac:dyDescent="0.35">
      <c r="A2357" s="111" t="str">
        <f t="shared" si="299"/>
        <v/>
      </c>
      <c r="B2357" s="222"/>
      <c r="C2357" s="14"/>
      <c r="D2357" s="14"/>
      <c r="E2357" s="14"/>
      <c r="F2357" s="14"/>
      <c r="G2357" s="14" t="s">
        <v>1911</v>
      </c>
      <c r="H2357" s="14"/>
      <c r="I2357" s="176"/>
      <c r="K2357" s="87"/>
      <c r="L2357" s="14"/>
      <c r="M2357" s="324">
        <f t="shared" si="296"/>
        <v>0</v>
      </c>
      <c r="N2357" s="14"/>
      <c r="O2357" s="14"/>
      <c r="P2357" s="167"/>
      <c r="Q2357" s="14"/>
      <c r="R2357" s="170">
        <f t="shared" si="300"/>
        <v>0</v>
      </c>
      <c r="S2357" s="108" t="str">
        <f t="shared" si="295"/>
        <v/>
      </c>
      <c r="T2357" s="14"/>
      <c r="U2357" s="14"/>
      <c r="V2357" s="14"/>
      <c r="W2357" s="14"/>
      <c r="X2357" s="14"/>
      <c r="Z2357" s="14"/>
      <c r="AA2357" s="2">
        <f t="shared" si="297"/>
        <v>3</v>
      </c>
      <c r="AB2357" s="153"/>
      <c r="AC2357" s="454" t="str">
        <f t="shared" si="298"/>
        <v/>
      </c>
    </row>
    <row r="2358" spans="1:29" x14ac:dyDescent="0.35">
      <c r="A2358" s="111" t="str">
        <f t="shared" si="299"/>
        <v/>
      </c>
      <c r="B2358" s="222"/>
      <c r="C2358" s="14"/>
      <c r="D2358" s="14"/>
      <c r="E2358" s="14"/>
      <c r="F2358" s="14"/>
      <c r="G2358" s="14" t="s">
        <v>1911</v>
      </c>
      <c r="H2358" s="14"/>
      <c r="I2358" s="176"/>
      <c r="K2358" s="87"/>
      <c r="L2358" s="14"/>
      <c r="M2358" s="324">
        <f t="shared" si="296"/>
        <v>0</v>
      </c>
      <c r="N2358" s="14"/>
      <c r="O2358" s="14"/>
      <c r="P2358" s="167"/>
      <c r="Q2358" s="14"/>
      <c r="R2358" s="170">
        <f t="shared" si="300"/>
        <v>0</v>
      </c>
      <c r="S2358" s="108" t="str">
        <f t="shared" si="295"/>
        <v/>
      </c>
      <c r="T2358" s="14"/>
      <c r="U2358" s="14"/>
      <c r="V2358" s="14"/>
      <c r="W2358" s="14"/>
      <c r="X2358" s="14"/>
      <c r="Z2358" s="14"/>
      <c r="AA2358" s="2">
        <f t="shared" si="297"/>
        <v>3</v>
      </c>
      <c r="AB2358" s="153"/>
      <c r="AC2358" s="454" t="str">
        <f t="shared" si="298"/>
        <v/>
      </c>
    </row>
    <row r="2359" spans="1:29" x14ac:dyDescent="0.35">
      <c r="A2359" s="111" t="str">
        <f t="shared" si="299"/>
        <v/>
      </c>
      <c r="B2359" s="222"/>
      <c r="C2359" s="14"/>
      <c r="D2359" s="14"/>
      <c r="E2359" s="14"/>
      <c r="F2359" s="14"/>
      <c r="G2359" s="14" t="s">
        <v>1911</v>
      </c>
      <c r="H2359" s="14"/>
      <c r="I2359" s="176"/>
      <c r="K2359" s="87"/>
      <c r="L2359" s="14"/>
      <c r="M2359" s="324">
        <f t="shared" si="296"/>
        <v>0</v>
      </c>
      <c r="N2359" s="14"/>
      <c r="O2359" s="14"/>
      <c r="P2359" s="167"/>
      <c r="Q2359" s="14"/>
      <c r="R2359" s="170">
        <f t="shared" si="300"/>
        <v>0</v>
      </c>
      <c r="S2359" s="108" t="str">
        <f t="shared" si="295"/>
        <v/>
      </c>
      <c r="T2359" s="14"/>
      <c r="U2359" s="14"/>
      <c r="V2359" s="14"/>
      <c r="W2359" s="14"/>
      <c r="X2359" s="14"/>
      <c r="Z2359" s="14"/>
      <c r="AA2359" s="2">
        <f t="shared" si="297"/>
        <v>3</v>
      </c>
      <c r="AB2359" s="153"/>
      <c r="AC2359" s="454" t="str">
        <f t="shared" si="298"/>
        <v/>
      </c>
    </row>
    <row r="2360" spans="1:29" x14ac:dyDescent="0.35">
      <c r="A2360" s="111" t="str">
        <f t="shared" si="299"/>
        <v/>
      </c>
      <c r="B2360" s="222"/>
      <c r="C2360" s="14"/>
      <c r="D2360" s="14"/>
      <c r="E2360" s="14"/>
      <c r="F2360" s="14"/>
      <c r="G2360" s="14" t="s">
        <v>1911</v>
      </c>
      <c r="H2360" s="14"/>
      <c r="I2360" s="176"/>
      <c r="K2360" s="87"/>
      <c r="L2360" s="14"/>
      <c r="M2360" s="324">
        <f t="shared" si="296"/>
        <v>0</v>
      </c>
      <c r="N2360" s="14"/>
      <c r="O2360" s="14"/>
      <c r="P2360" s="167"/>
      <c r="Q2360" s="14"/>
      <c r="R2360" s="170">
        <f t="shared" si="300"/>
        <v>0</v>
      </c>
      <c r="S2360" s="108" t="str">
        <f t="shared" si="295"/>
        <v/>
      </c>
      <c r="T2360" s="14"/>
      <c r="U2360" s="14"/>
      <c r="V2360" s="14"/>
      <c r="W2360" s="14"/>
      <c r="X2360" s="14"/>
      <c r="Z2360" s="14"/>
      <c r="AA2360" s="2">
        <f t="shared" si="297"/>
        <v>3</v>
      </c>
      <c r="AB2360" s="153"/>
      <c r="AC2360" s="454" t="str">
        <f t="shared" si="298"/>
        <v/>
      </c>
    </row>
    <row r="2361" spans="1:29" x14ac:dyDescent="0.35">
      <c r="A2361" s="111" t="str">
        <f t="shared" si="299"/>
        <v/>
      </c>
      <c r="B2361" s="222"/>
      <c r="C2361" s="14"/>
      <c r="D2361" s="14"/>
      <c r="E2361" s="14"/>
      <c r="F2361" s="14"/>
      <c r="G2361" s="14" t="s">
        <v>1911</v>
      </c>
      <c r="H2361" s="14"/>
      <c r="I2361" s="176"/>
      <c r="K2361" s="87"/>
      <c r="L2361" s="14"/>
      <c r="M2361" s="324">
        <f t="shared" si="296"/>
        <v>0</v>
      </c>
      <c r="N2361" s="14"/>
      <c r="O2361" s="14"/>
      <c r="P2361" s="167"/>
      <c r="Q2361" s="14"/>
      <c r="R2361" s="170">
        <f t="shared" si="300"/>
        <v>0</v>
      </c>
      <c r="S2361" s="108" t="str">
        <f t="shared" si="295"/>
        <v/>
      </c>
      <c r="T2361" s="14"/>
      <c r="U2361" s="14"/>
      <c r="V2361" s="14"/>
      <c r="W2361" s="14"/>
      <c r="X2361" s="14"/>
      <c r="Z2361" s="14"/>
      <c r="AA2361" s="2">
        <f t="shared" si="297"/>
        <v>3</v>
      </c>
      <c r="AB2361" s="153"/>
      <c r="AC2361" s="454" t="str">
        <f t="shared" si="298"/>
        <v/>
      </c>
    </row>
    <row r="2362" spans="1:29" x14ac:dyDescent="0.35">
      <c r="A2362" s="111" t="str">
        <f t="shared" si="299"/>
        <v/>
      </c>
      <c r="B2362" s="222"/>
      <c r="C2362" s="14"/>
      <c r="D2362" s="14"/>
      <c r="E2362" s="14"/>
      <c r="F2362" s="14"/>
      <c r="G2362" s="14" t="s">
        <v>1911</v>
      </c>
      <c r="H2362" s="14"/>
      <c r="I2362" s="176"/>
      <c r="K2362" s="87"/>
      <c r="L2362" s="14"/>
      <c r="M2362" s="324">
        <f t="shared" si="296"/>
        <v>0</v>
      </c>
      <c r="N2362" s="14"/>
      <c r="O2362" s="14"/>
      <c r="P2362" s="167"/>
      <c r="Q2362" s="14"/>
      <c r="R2362" s="170">
        <f t="shared" si="300"/>
        <v>0</v>
      </c>
      <c r="S2362" s="108" t="str">
        <f t="shared" si="295"/>
        <v/>
      </c>
      <c r="T2362" s="14"/>
      <c r="U2362" s="14"/>
      <c r="V2362" s="14"/>
      <c r="W2362" s="14"/>
      <c r="X2362" s="14"/>
      <c r="Z2362" s="14"/>
      <c r="AA2362" s="2">
        <f t="shared" si="297"/>
        <v>3</v>
      </c>
      <c r="AB2362" s="153"/>
      <c r="AC2362" s="454" t="str">
        <f t="shared" si="298"/>
        <v/>
      </c>
    </row>
    <row r="2363" spans="1:29" x14ac:dyDescent="0.35">
      <c r="A2363" s="111" t="str">
        <f t="shared" si="299"/>
        <v/>
      </c>
      <c r="B2363" s="222"/>
      <c r="C2363" s="14"/>
      <c r="D2363" s="14"/>
      <c r="E2363" s="14"/>
      <c r="F2363" s="14"/>
      <c r="G2363" s="14" t="s">
        <v>1911</v>
      </c>
      <c r="H2363" s="14"/>
      <c r="I2363" s="176"/>
      <c r="K2363" s="87"/>
      <c r="L2363" s="14"/>
      <c r="M2363" s="324">
        <f t="shared" si="296"/>
        <v>0</v>
      </c>
      <c r="N2363" s="14"/>
      <c r="O2363" s="14"/>
      <c r="P2363" s="167"/>
      <c r="Q2363" s="14"/>
      <c r="R2363" s="170">
        <f t="shared" si="300"/>
        <v>0</v>
      </c>
      <c r="S2363" s="108" t="str">
        <f t="shared" si="295"/>
        <v/>
      </c>
      <c r="T2363" s="14"/>
      <c r="U2363" s="14"/>
      <c r="V2363" s="14"/>
      <c r="W2363" s="14"/>
      <c r="X2363" s="14"/>
      <c r="Z2363" s="14"/>
      <c r="AA2363" s="2">
        <f t="shared" si="297"/>
        <v>3</v>
      </c>
      <c r="AB2363" s="153"/>
      <c r="AC2363" s="454" t="str">
        <f t="shared" si="298"/>
        <v/>
      </c>
    </row>
    <row r="2364" spans="1:29" x14ac:dyDescent="0.35">
      <c r="A2364" s="111" t="str">
        <f t="shared" si="299"/>
        <v/>
      </c>
      <c r="B2364" s="222"/>
      <c r="C2364" s="14"/>
      <c r="D2364" s="14"/>
      <c r="E2364" s="14"/>
      <c r="F2364" s="14"/>
      <c r="G2364" s="14" t="s">
        <v>1911</v>
      </c>
      <c r="H2364" s="14"/>
      <c r="I2364" s="176"/>
      <c r="K2364" s="87"/>
      <c r="L2364" s="14"/>
      <c r="M2364" s="324">
        <f t="shared" si="296"/>
        <v>0</v>
      </c>
      <c r="N2364" s="14"/>
      <c r="O2364" s="14"/>
      <c r="P2364" s="167"/>
      <c r="Q2364" s="14"/>
      <c r="R2364" s="170">
        <f t="shared" si="300"/>
        <v>0</v>
      </c>
      <c r="S2364" s="108" t="str">
        <f t="shared" si="295"/>
        <v/>
      </c>
      <c r="T2364" s="14"/>
      <c r="U2364" s="14"/>
      <c r="V2364" s="14"/>
      <c r="W2364" s="14"/>
      <c r="X2364" s="14"/>
      <c r="Z2364" s="14"/>
      <c r="AA2364" s="2">
        <f t="shared" si="297"/>
        <v>3</v>
      </c>
      <c r="AB2364" s="153"/>
      <c r="AC2364" s="454" t="str">
        <f t="shared" si="298"/>
        <v/>
      </c>
    </row>
    <row r="2365" spans="1:29" x14ac:dyDescent="0.35">
      <c r="A2365" s="111" t="str">
        <f t="shared" si="299"/>
        <v/>
      </c>
      <c r="B2365" s="222"/>
      <c r="C2365" s="14"/>
      <c r="D2365" s="14"/>
      <c r="E2365" s="14"/>
      <c r="F2365" s="14"/>
      <c r="G2365" s="14" t="s">
        <v>1911</v>
      </c>
      <c r="H2365" s="14"/>
      <c r="I2365" s="176"/>
      <c r="K2365" s="87"/>
      <c r="L2365" s="14"/>
      <c r="M2365" s="324">
        <f t="shared" si="296"/>
        <v>0</v>
      </c>
      <c r="N2365" s="14"/>
      <c r="O2365" s="14"/>
      <c r="P2365" s="167"/>
      <c r="Q2365" s="14"/>
      <c r="R2365" s="170">
        <f t="shared" si="300"/>
        <v>0</v>
      </c>
      <c r="S2365" s="108" t="str">
        <f t="shared" si="295"/>
        <v/>
      </c>
      <c r="T2365" s="14"/>
      <c r="U2365" s="14"/>
      <c r="V2365" s="14"/>
      <c r="W2365" s="14"/>
      <c r="X2365" s="14"/>
      <c r="Z2365" s="14"/>
      <c r="AA2365" s="2">
        <f t="shared" si="297"/>
        <v>3</v>
      </c>
      <c r="AB2365" s="153"/>
      <c r="AC2365" s="454" t="str">
        <f t="shared" si="298"/>
        <v/>
      </c>
    </row>
    <row r="2366" spans="1:29" x14ac:dyDescent="0.35">
      <c r="A2366" s="111" t="str">
        <f t="shared" si="299"/>
        <v/>
      </c>
      <c r="B2366" s="222"/>
      <c r="C2366" s="14"/>
      <c r="D2366" s="14"/>
      <c r="E2366" s="14"/>
      <c r="F2366" s="14"/>
      <c r="G2366" s="14" t="s">
        <v>1911</v>
      </c>
      <c r="H2366" s="14"/>
      <c r="I2366" s="176"/>
      <c r="K2366" s="87"/>
      <c r="L2366" s="14"/>
      <c r="M2366" s="324">
        <f t="shared" si="296"/>
        <v>0</v>
      </c>
      <c r="N2366" s="14"/>
      <c r="O2366" s="14"/>
      <c r="P2366" s="167"/>
      <c r="Q2366" s="14"/>
      <c r="R2366" s="170">
        <f t="shared" si="300"/>
        <v>0</v>
      </c>
      <c r="S2366" s="108" t="str">
        <f t="shared" si="295"/>
        <v/>
      </c>
      <c r="T2366" s="14"/>
      <c r="U2366" s="14"/>
      <c r="V2366" s="14"/>
      <c r="W2366" s="14"/>
      <c r="X2366" s="14"/>
      <c r="Z2366" s="14"/>
      <c r="AA2366" s="2">
        <f t="shared" si="297"/>
        <v>3</v>
      </c>
      <c r="AB2366" s="153"/>
      <c r="AC2366" s="454" t="str">
        <f t="shared" si="298"/>
        <v/>
      </c>
    </row>
    <row r="2367" spans="1:29" x14ac:dyDescent="0.35">
      <c r="A2367" s="111" t="str">
        <f t="shared" si="299"/>
        <v/>
      </c>
      <c r="B2367" s="222"/>
      <c r="C2367" s="14"/>
      <c r="D2367" s="14"/>
      <c r="E2367" s="14"/>
      <c r="F2367" s="14"/>
      <c r="G2367" s="14" t="s">
        <v>1911</v>
      </c>
      <c r="H2367" s="14"/>
      <c r="I2367" s="176"/>
      <c r="K2367" s="87"/>
      <c r="L2367" s="14"/>
      <c r="M2367" s="324">
        <f t="shared" si="296"/>
        <v>0</v>
      </c>
      <c r="N2367" s="14"/>
      <c r="O2367" s="14"/>
      <c r="P2367" s="167"/>
      <c r="Q2367" s="14"/>
      <c r="R2367" s="170">
        <f t="shared" si="300"/>
        <v>0</v>
      </c>
      <c r="S2367" s="108" t="str">
        <f t="shared" si="295"/>
        <v/>
      </c>
      <c r="T2367" s="14"/>
      <c r="U2367" s="14"/>
      <c r="V2367" s="14"/>
      <c r="W2367" s="14"/>
      <c r="X2367" s="14"/>
      <c r="Z2367" s="14"/>
      <c r="AA2367" s="2">
        <f t="shared" si="297"/>
        <v>3</v>
      </c>
      <c r="AB2367" s="153"/>
      <c r="AC2367" s="454" t="str">
        <f t="shared" si="298"/>
        <v/>
      </c>
    </row>
    <row r="2368" spans="1:29" x14ac:dyDescent="0.35">
      <c r="A2368" s="111" t="str">
        <f t="shared" si="299"/>
        <v/>
      </c>
      <c r="B2368" s="222"/>
      <c r="C2368" s="14"/>
      <c r="D2368" s="14"/>
      <c r="E2368" s="14"/>
      <c r="F2368" s="14"/>
      <c r="G2368" s="14" t="s">
        <v>1911</v>
      </c>
      <c r="H2368" s="14"/>
      <c r="I2368" s="176"/>
      <c r="K2368" s="87"/>
      <c r="L2368" s="14"/>
      <c r="M2368" s="324">
        <f t="shared" si="296"/>
        <v>0</v>
      </c>
      <c r="N2368" s="14"/>
      <c r="O2368" s="14"/>
      <c r="P2368" s="167"/>
      <c r="Q2368" s="14"/>
      <c r="R2368" s="170">
        <f t="shared" si="300"/>
        <v>0</v>
      </c>
      <c r="S2368" s="108" t="str">
        <f t="shared" si="295"/>
        <v/>
      </c>
      <c r="T2368" s="14"/>
      <c r="U2368" s="14"/>
      <c r="V2368" s="14"/>
      <c r="W2368" s="14"/>
      <c r="X2368" s="14"/>
      <c r="Z2368" s="14"/>
      <c r="AA2368" s="2">
        <f t="shared" si="297"/>
        <v>3</v>
      </c>
      <c r="AB2368" s="153"/>
      <c r="AC2368" s="454" t="str">
        <f t="shared" si="298"/>
        <v/>
      </c>
    </row>
    <row r="2369" spans="1:29" x14ac:dyDescent="0.35">
      <c r="A2369" s="111" t="str">
        <f t="shared" si="299"/>
        <v/>
      </c>
      <c r="B2369" s="222"/>
      <c r="C2369" s="14"/>
      <c r="D2369" s="14"/>
      <c r="E2369" s="14"/>
      <c r="F2369" s="14"/>
      <c r="G2369" s="14" t="s">
        <v>1911</v>
      </c>
      <c r="H2369" s="14"/>
      <c r="I2369" s="176"/>
      <c r="K2369" s="87"/>
      <c r="L2369" s="14"/>
      <c r="M2369" s="324">
        <f t="shared" si="296"/>
        <v>0</v>
      </c>
      <c r="N2369" s="14"/>
      <c r="O2369" s="14"/>
      <c r="P2369" s="167"/>
      <c r="Q2369" s="14"/>
      <c r="R2369" s="170">
        <f t="shared" si="300"/>
        <v>0</v>
      </c>
      <c r="S2369" s="108" t="str">
        <f t="shared" si="295"/>
        <v/>
      </c>
      <c r="T2369" s="14"/>
      <c r="U2369" s="14"/>
      <c r="V2369" s="14"/>
      <c r="W2369" s="14"/>
      <c r="X2369" s="14"/>
      <c r="Z2369" s="14"/>
      <c r="AA2369" s="2">
        <f t="shared" si="297"/>
        <v>3</v>
      </c>
      <c r="AB2369" s="153"/>
      <c r="AC2369" s="454" t="str">
        <f t="shared" si="298"/>
        <v/>
      </c>
    </row>
    <row r="2370" spans="1:29" x14ac:dyDescent="0.35">
      <c r="A2370" s="111" t="str">
        <f t="shared" si="299"/>
        <v/>
      </c>
      <c r="B2370" s="222"/>
      <c r="C2370" s="14"/>
      <c r="D2370" s="14"/>
      <c r="E2370" s="14"/>
      <c r="F2370" s="14"/>
      <c r="G2370" s="14" t="s">
        <v>1911</v>
      </c>
      <c r="H2370" s="14"/>
      <c r="I2370" s="176"/>
      <c r="K2370" s="87"/>
      <c r="L2370" s="14"/>
      <c r="M2370" s="324">
        <f t="shared" si="296"/>
        <v>0</v>
      </c>
      <c r="N2370" s="14"/>
      <c r="O2370" s="14"/>
      <c r="P2370" s="167"/>
      <c r="Q2370" s="14"/>
      <c r="R2370" s="170">
        <f t="shared" si="300"/>
        <v>0</v>
      </c>
      <c r="S2370" s="108" t="str">
        <f t="shared" si="295"/>
        <v/>
      </c>
      <c r="T2370" s="14"/>
      <c r="U2370" s="14"/>
      <c r="V2370" s="14"/>
      <c r="W2370" s="14"/>
      <c r="X2370" s="14"/>
      <c r="Z2370" s="14"/>
      <c r="AA2370" s="2">
        <f t="shared" si="297"/>
        <v>3</v>
      </c>
      <c r="AB2370" s="153"/>
      <c r="AC2370" s="454" t="str">
        <f t="shared" si="298"/>
        <v/>
      </c>
    </row>
    <row r="2371" spans="1:29" x14ac:dyDescent="0.35">
      <c r="A2371" s="111" t="str">
        <f t="shared" si="299"/>
        <v/>
      </c>
      <c r="B2371" s="222"/>
      <c r="C2371" s="14"/>
      <c r="D2371" s="14"/>
      <c r="E2371" s="14"/>
      <c r="F2371" s="14"/>
      <c r="G2371" s="14" t="s">
        <v>1911</v>
      </c>
      <c r="H2371" s="14"/>
      <c r="I2371" s="176"/>
      <c r="K2371" s="87"/>
      <c r="L2371" s="14"/>
      <c r="M2371" s="324">
        <f t="shared" si="296"/>
        <v>0</v>
      </c>
      <c r="N2371" s="14"/>
      <c r="O2371" s="14"/>
      <c r="P2371" s="167"/>
      <c r="Q2371" s="14"/>
      <c r="R2371" s="170">
        <f t="shared" si="300"/>
        <v>0</v>
      </c>
      <c r="S2371" s="108" t="str">
        <f t="shared" si="295"/>
        <v/>
      </c>
      <c r="T2371" s="14"/>
      <c r="U2371" s="14"/>
      <c r="V2371" s="14"/>
      <c r="W2371" s="14"/>
      <c r="X2371" s="14"/>
      <c r="Y2371" s="85"/>
      <c r="Z2371" s="14"/>
      <c r="AA2371" s="2">
        <f t="shared" si="297"/>
        <v>3</v>
      </c>
      <c r="AB2371" s="153"/>
      <c r="AC2371" s="454" t="str">
        <f t="shared" si="298"/>
        <v/>
      </c>
    </row>
    <row r="2376" spans="1:29" x14ac:dyDescent="0.35">
      <c r="D2376" s="14"/>
    </row>
    <row r="1041358" spans="14:14" x14ac:dyDescent="0.35">
      <c r="N1041358" s="87" t="s">
        <v>1879</v>
      </c>
    </row>
  </sheetData>
  <sheetProtection formatCells="0" formatColumns="0" formatRows="0" insertColumns="0" insertRows="0" insertHyperlinks="0" deleteColumns="0" deleteRows="0" selectLockedCells="1" sort="0" autoFilter="0" pivotTables="0" selectUnlockedCells="1"/>
  <autoFilter ref="D2376" xr:uid="{00000000-0001-0000-0200-000000000000}"/>
  <sortState xmlns:xlrd2="http://schemas.microsoft.com/office/spreadsheetml/2017/richdata2" ref="A3:AC1305">
    <sortCondition ref="D3:D1305"/>
  </sortState>
  <dataConsolidate/>
  <phoneticPr fontId="20" type="noConversion"/>
  <conditionalFormatting sqref="A2:A1048576">
    <cfRule type="cellIs" dxfId="6" priority="17" operator="equal">
      <formula>"Closed"</formula>
    </cfRule>
    <cfRule type="cellIs" dxfId="5" priority="18" operator="equal">
      <formula>"Open"</formula>
    </cfRule>
    <cfRule type="cellIs" dxfId="4" priority="19" operator="equal">
      <formula>"Overdue"</formula>
    </cfRule>
  </conditionalFormatting>
  <conditionalFormatting sqref="M1:M1048576">
    <cfRule type="cellIs" dxfId="3" priority="1" operator="greaterThan">
      <formula>7</formula>
    </cfRule>
  </conditionalFormatting>
  <conditionalFormatting sqref="M3:M2371">
    <cfRule type="cellIs" dxfId="2" priority="2" operator="equal">
      <formula>"Entry required"</formula>
    </cfRule>
  </conditionalFormatting>
  <conditionalFormatting sqref="R3:R2371">
    <cfRule type="cellIs" dxfId="1" priority="3" operator="greaterThan">
      <formula>7</formula>
    </cfRule>
    <cfRule type="cellIs" dxfId="0" priority="4" operator="equal">
      <formula>"Entry required"</formula>
    </cfRule>
  </conditionalFormatting>
  <dataValidations count="1">
    <dataValidation type="list" allowBlank="1" showInputMessage="1" showErrorMessage="1" sqref="P478:P1081 P3:P476 P1085:P2371" xr:uid="{00000000-0002-0000-0200-000000000000}">
      <formula1>Investigationtype</formula1>
    </dataValidation>
  </dataValidations>
  <pageMargins left="0.25" right="0.25" top="0.75" bottom="0.75" header="0.3" footer="0.3"/>
  <pageSetup paperSize="9" scale="10" fitToHeight="0" orientation="landscape" r:id="rId1"/>
  <tableParts count="1">
    <tablePart r:id="rId2"/>
  </tableParts>
  <extLst>
    <ext xmlns:x14="http://schemas.microsoft.com/office/spreadsheetml/2009/9/main" uri="{CCE6A557-97BC-4b89-ADB6-D9C93CAAB3DF}">
      <x14:dataValidations xmlns:xm="http://schemas.microsoft.com/office/excel/2006/main" count="37">
        <x14:dataValidation type="list" allowBlank="1" showInputMessage="1" showErrorMessage="1" xr:uid="{00000000-0002-0000-0200-000002000000}">
          <x14:formula1>
            <xm:f>'Lookup Sheets'!$H$2:$H$9</xm:f>
          </x14:formula1>
          <xm:sqref>J1041358:J1048576 J1</xm:sqref>
        </x14:dataValidation>
        <x14:dataValidation type="list" allowBlank="1" showInputMessage="1" showErrorMessage="1" xr:uid="{00000000-0002-0000-0200-000003000000}">
          <x14:formula1>
            <xm:f>'Lookup Sheets'!$I$2:$I$6</xm:f>
          </x14:formula1>
          <xm:sqref>K2372:K1048576 K1:K2</xm:sqref>
        </x14:dataValidation>
        <x14:dataValidation type="list" allowBlank="1" showInputMessage="1" showErrorMessage="1" xr:uid="{00000000-0002-0000-0200-000005000000}">
          <x14:formula1>
            <xm:f>'Lookup Sheets'!$I$2:$I$9</xm:f>
          </x14:formula1>
          <xm:sqref>K1200 K49:K68 K1202:K1339 K411:K822 K826:K1197 K3:K47 K70:K409 K1341:K2371</xm:sqref>
        </x14:dataValidation>
        <x14:dataValidation type="list" allowBlank="1" showInputMessage="1" showErrorMessage="1" xr:uid="{00000000-0002-0000-0200-00000A000000}">
          <x14:formula1>
            <xm:f>'Lookup Sheets'!$C$2:$C$43</xm:f>
          </x14:formula1>
          <xm:sqref>C2372:C1048576 C1:C2</xm:sqref>
        </x14:dataValidation>
        <x14:dataValidation type="list" allowBlank="1" showInputMessage="1" showErrorMessage="1" xr:uid="{00000000-0002-0000-0200-00000B000000}">
          <x14:formula1>
            <xm:f>'Lookup Sheets'!$E$2:$E$72</xm:f>
          </x14:formula1>
          <xm:sqref>E1 E3:E54 E549:E551 E636:E642 E1734:E1048576 E920:E934 E257:E487 E492:E494 E496 E498:E501 E503:E505 E507 E509:E513 E515:E518 E489:E490 E525:E529 E531:E532 E535:E539 E544 E546:E547 E553 E555:E557 E559:E562 E566:E568 E570:E573 E577:E582 E584:E597 E599 E601:E603 E605:E611 E615:E617 E621:E629 E631:E632 E634 E520:E523 E645:E652 E654:E657 E660 E664:E668 E670:E672 E675:E679 E689 E693:E697 E699:E701 E703:E705 E738:E740 E742 E744:E749 E751 E753:E754 E756 E758:E763 E765:E774 E776:E795 E797:E918 E707:E736 E212:E255 E56:E210 E682:E686 E936:E988 E1129 E1211 E1335 E1397 E1464 E1512</xm:sqref>
        </x14:dataValidation>
        <x14:dataValidation type="list" allowBlank="1" showInputMessage="1" showErrorMessage="1" xr:uid="{00000000-0002-0000-0200-00000C000000}">
          <x14:formula1>
            <xm:f>'Lookup Sheets'!$H$2:$H$15</xm:f>
          </x14:formula1>
          <xm:sqref>J21 J68 J218:J220 I1 J896 I1168:I1184 I1186:I1527 I69:I1166 I3:I67 I1529:I1048576</xm:sqref>
        </x14:dataValidation>
        <x14:dataValidation type="list" allowBlank="1" showInputMessage="1" showErrorMessage="1" xr:uid="{00000000-0002-0000-0200-00000D000000}">
          <x14:formula1>
            <xm:f>'Lookup Sheets'!$G$1:$G$34</xm:f>
          </x14:formula1>
          <xm:sqref>I51:I54 I86:I90 H88:H202 I204 I228 H205 I206 H207:H227 H586:H654 I703 H704:H1197 H1272:H1333 H1335:H1339 H1203:H1255 H1342:H1465 H411:H584 H1:H85 H229:H409 H656:H702 H1467:H1048576</xm:sqref>
        </x14:dataValidation>
        <x14:dataValidation type="list" allowBlank="1" showInputMessage="1" showErrorMessage="1" xr:uid="{00000000-0002-0000-0200-00000E000000}">
          <x14:formula1>
            <xm:f>'Lookup Sheets'!$O$2:$O$33</xm:f>
          </x14:formula1>
          <xm:sqref>Q2372:Q1048576 Q1 Q1268</xm:sqref>
        </x14:dataValidation>
        <x14:dataValidation type="list" allowBlank="1" showInputMessage="1" showErrorMessage="1" xr:uid="{00000000-0002-0000-0200-000013000000}">
          <x14:formula1>
            <xm:f>'Lookup Sheets'!$C$2:$C$69</xm:f>
          </x14:formula1>
          <xm:sqref>C2350:C2371</xm:sqref>
        </x14:dataValidation>
        <x14:dataValidation type="list" allowBlank="1" showInputMessage="1" showErrorMessage="1" xr:uid="{55E250F9-D49A-43BE-9521-AC93C1CEE99C}">
          <x14:formula1>
            <xm:f>'Lookup Sheets'!$O$2:$O$36</xm:f>
          </x14:formula1>
          <xm:sqref>Q2051:Q2371 Q949:Q971 Q1116:Q1170 Q973:Q1114 Q877:Q947</xm:sqref>
        </x14:dataValidation>
        <x14:dataValidation type="list" allowBlank="1" showInputMessage="1" showErrorMessage="1" xr:uid="{BC99AE39-5990-4519-B440-E7EA5E8005AC}">
          <x14:formula1>
            <xm:f>'Lookup Sheets'!$O$2:$O$37</xm:f>
          </x14:formula1>
          <xm:sqref>Q44:Q206 Q3:Q42</xm:sqref>
        </x14:dataValidation>
        <x14:dataValidation type="list" allowBlank="1" showInputMessage="1" showErrorMessage="1" xr:uid="{F21C62E8-D66F-4D93-8AB7-F4BA74140C1E}">
          <x14:formula1>
            <xm:f>'Lookup Sheets'!$O$2:$O$38</xm:f>
          </x14:formula1>
          <xm:sqref>Q404 Q406:Q412 Q345:Q402</xm:sqref>
        </x14:dataValidation>
        <x14:dataValidation type="list" allowBlank="1" showInputMessage="1" showErrorMessage="1" xr:uid="{00000000-0002-0000-0200-000012000000}">
          <x14:formula1>
            <xm:f>'Lookup Sheets'!$A$83:$A$87</xm:f>
          </x14:formula1>
          <xm:sqref>R1662:R2371 R486 R347 R510 R521 R517 R334:R337 R317 R579 R660 R671 R675 R570 R409:R411 R401 R396:R399 R394 R431 R426 R390 R385 R374 R369 R371 R367 R365 R360 R477 R474 R355 R470 R350:R351 R499 R340:R341 R507 R523 R332 R326:R330 R322:R324 R312:R313 R587 R609 R607 R603 R597 R572:R573 R3:R6 R8 R11:R12 R14:R15 R25:R26 R29 R33 R35:R36 R38 R40 R43 R47 R52 R56 R58:R59 R63:R64 R66 R72:R73 R76 R79 R81:R83 R92 R94:R99 R101:R102 R106 R109:R111 R113:R114 R116 R123 R126 R128 R130 R133 R135:R139 R142:R143 R146 R149 R152:R155 R159 R161 R165:R167 R169:R170 R172 R174 R179 R181 R183 R186:R191 R193:R194 R197 R199 R201 R205 R208 R213:R214 R216:R218 R220 R224 R226 R228:R230 R232 R235 R240:R241 R243 R245:R247 R249:R250 R253 R257 R259:R260 R263:R264 R272:R274 R276:R278 R281:R283 R285:R287 R289:R290 R293:R294 R296 R305 R308:R309 R560:R561 R566</xm:sqref>
        </x14:dataValidation>
        <x14:dataValidation type="list" allowBlank="1" showInputMessage="1" showErrorMessage="1" xr:uid="{15B4E388-A84E-48F9-9E61-51C9D8D2AF76}">
          <x14:formula1>
            <xm:f>'Lookup Sheets'!$X$2:$X$9</xm:f>
          </x14:formula1>
          <xm:sqref>P477</xm:sqref>
        </x14:dataValidation>
        <x14:dataValidation type="list" allowBlank="1" showInputMessage="1" showErrorMessage="1" xr:uid="{DBE7A0E6-2875-46C3-8B32-6F110D70EDDA}">
          <x14:formula1>
            <xm:f>'Lookup Sheets'!$O$2:$O$40</xm:f>
          </x14:formula1>
          <xm:sqref>Q403 Q831:Q870 Q872:Q876 Q207:Q344 Q413:Q826</xm:sqref>
        </x14:dataValidation>
        <x14:dataValidation type="list" allowBlank="1" showInputMessage="1" showErrorMessage="1" xr:uid="{1A23D961-0614-45AD-80FD-A4177601D354}">
          <x14:formula1>
            <xm:f>'Lookup Sheets'!$H$1</xm:f>
          </x14:formula1>
          <xm:sqref>I2</xm:sqref>
        </x14:dataValidation>
        <x14:dataValidation type="list" allowBlank="1" showInputMessage="1" showErrorMessage="1" xr:uid="{C88643D7-B01C-4A4A-8DA5-5A36601D1472}">
          <x14:formula1>
            <xm:f>'Lookup Sheets'!$C$70:$C$122</xm:f>
          </x14:formula1>
          <xm:sqref>C198:C409 C706:C1012 C415:C704</xm:sqref>
        </x14:dataValidation>
        <x14:dataValidation type="list" allowBlank="1" showInputMessage="1" showErrorMessage="1" xr:uid="{FEBE9FE3-CE85-4828-A4E1-6F961D7F7148}">
          <x14:formula1>
            <xm:f>'Lookup Sheets'!$A$85:$A$90</xm:f>
          </x14:formula1>
          <xm:sqref>R424:R425 R1246 R1252 R650 R641:R642 R637:R638 R629 R624:R626 R622 R617 R462:R463 R490 R487 R480 R452:R453 R456 R465:R466 R448:R450 R442 R437 R433:R435 R422 R420 R416 R460 R664 R656 R494 R512 R588:R590 R592:R595 R531:R532 R537 R550 R552 R555:R556 R559 R539 R520 R522 R515 R501 R504 R498 R485 R648 R676 R678 R682 R686 R689 R691 R695 R699 R701 R704 R708 R710 R712 R714 R716 R719:R726 R728:R730 R735:R736 R746 R748 R752 R755 R757 R760 R762 R764:R765 R767:R768 R770:R771 R781 R786:R787 R789:R790 R792 R796 R800:R803 R805:R807 R809 R812 R820 R826 R828 R835 R838:R841 R843 R847 R851 R854 R861 R864:R865 R869:R870 R872 R879 R882 R889 R891 R905:R906 R908 R911 R918 R924:R925 R932 R934 R938 R942 R945 R948 R955 R961 R967 R973 R977:R978 R982 R984 R986:R987 R992 R995:R999 R1007 R1009 R1018:R1019 R1023 R1025 R1027 R1029:R1034 R1039:R1040 R1044 R1047:R1048 R1051:R1052 R1055 R1057:R1058 R1068:R1070 R1072:R1073 R1076 R1079 R1086:R1087 R1098 R1102 R1115 R1122 R1124:R1125 R1129:R1130 R1132 R1148 R1150 R1162:R1163 R1173:R1174 R1179 R1182 R1188 R1196:R1198 R1201 R1203 R1205 R1207 R1209 R1211 R1215 R1218:R1219 R1232:R1234 R1236 R1238 R1272 R1278 R1281 R1290 R1292 R1297 R1299 R1304 R1306 R1310 R1313 R1335 R1337 R1339:R1341 R1347:R1348 R1350 R1352 R1355 R1357:R1358 R1364 R1366:R1368 R1374:R1375 R1379 R1383:R1384 R1389:R1391 R1394:R1397 R1399 R1404 R1408 R1411:R1417 R1421:R1422 R1424 R1426 R1428:R1429 R1435 R1438:R1441 R1446:R1448 R1451:R1454 R1459 R1462:R1468 R1471 R1474:R1475 R1477 R1479:R1481 R1484 R1489:R1490 R1492:R1493 R1495 R1505:R1506 R1508 R1511:R1512 R1517 R1525:R1527 R1529 R1532 R1534 R1536:R1537 R1543:R1544 R1546 R1551:R1661</xm:sqref>
        </x14:dataValidation>
        <x14:dataValidation type="list" allowBlank="1" showInputMessage="1" showErrorMessage="1" xr:uid="{423125E4-31A1-42B7-B079-41C4273155A6}">
          <x14:formula1>
            <xm:f>'Lookup Sheets'!$O$2:$O$41</xm:f>
          </x14:formula1>
          <xm:sqref>Q827:Q830 Q948 Q1115</xm:sqref>
        </x14:dataValidation>
        <x14:dataValidation type="list" allowBlank="1" showInputMessage="1" showErrorMessage="1" xr:uid="{45ACE068-0CC4-4E19-99F5-03F27E1A432B}">
          <x14:formula1>
            <xm:f>'Lookup Sheets'!$E$2:$E$73</xm:f>
          </x14:formula1>
          <xm:sqref>E989:E1005 E1007:E1019 E1024 E1163:E1165 E1547:E1549 E1636:E1733</xm:sqref>
        </x14:dataValidation>
        <x14:dataValidation type="list" allowBlank="1" showInputMessage="1" showErrorMessage="1" xr:uid="{657C155A-55F7-4137-B6EB-7DB7BDE34E9D}">
          <x14:formula1>
            <xm:f>'Lookup Sheets'!$E$2:$E$74</xm:f>
          </x14:formula1>
          <xm:sqref>E1006 E1020:E1023 E1465:E1488 E1166:E1197 E796 E256 E488 E491 E495 E497 E502 E506 E508 E514 E519 E524 E530 E533:E534 E540:E543 E545 E548 E554 E558 E563:E565 E569 E574:E576 E583 E598 E600 E604 E612:E614 E618:E620 E630 E633 E635 E643:E644 E653 E658:E659 E661:E663 E669 E673:E674 E680:E681 E687:E688 E690:E692 E698 E702 E706 E737 E741 E743 E750 E752 E755 E757 E764 E1528:E1546 E775 E1130:E1162 E1398:E1450 E1503:F1503 E1490:E1502 E1025:E1128 E1203:E1210 E1212:E1334 E1336:E1396 E1452:E1463 E1504:E1511 E1513:E1526</xm:sqref>
        </x14:dataValidation>
        <x14:dataValidation type="list" allowBlank="1" showInputMessage="1" showErrorMessage="1" xr:uid="{A87CFF0A-FD48-4F75-A894-500FC821D3CE}">
          <x14:formula1>
            <xm:f>'Lookup Sheets'!$C$70:$C$135</xm:f>
          </x14:formula1>
          <xm:sqref>C2043:C2349 C1013:C1172 C1175:C1197 C1218:C1223 C1211:C1212</xm:sqref>
        </x14:dataValidation>
        <x14:dataValidation type="list" allowBlank="1" showInputMessage="1" showErrorMessage="1" xr:uid="{44403BB6-A0D6-41E3-A2CF-B8BBF306D8E3}">
          <x14:formula1>
            <xm:f>'Lookup Sheets'!$O$2:$O$28</xm:f>
          </x14:formula1>
          <xm:sqref>Q1171:Q1172 Q1175:Q1180 Q1392:Q1396 Q1834:Q2050</xm:sqref>
        </x14:dataValidation>
        <x14:dataValidation type="list" allowBlank="1" showInputMessage="1" showErrorMessage="1" xr:uid="{B16551F5-B32C-4DDD-928C-6D58CE2005CD}">
          <x14:formula1>
            <xm:f>'Lookup Sheets'!$E$2:$E$726</xm:f>
          </x14:formula1>
          <xm:sqref>E55</xm:sqref>
        </x14:dataValidation>
        <x14:dataValidation type="list" allowBlank="1" showInputMessage="1" showErrorMessage="1" xr:uid="{C32C9EEB-20C0-42D3-B0AD-D31D85E876A9}">
          <x14:formula1>
            <xm:f>'Lookup Sheets'!$C$70:$C$136</xm:f>
          </x14:formula1>
          <xm:sqref>C1173:C1174 C1224:C1338 C1350:C2042</xm:sqref>
        </x14:dataValidation>
        <x14:dataValidation type="list" allowBlank="1" showInputMessage="1" showErrorMessage="1" xr:uid="{5785C82F-95C4-4FFF-AFFE-A8C0ECF60F0D}">
          <x14:formula1>
            <xm:f>'Lookup Sheets'!$O$2:$O$30</xm:f>
          </x14:formula1>
          <xm:sqref>Q1173:Q1174 Q1264:Q1267 Q1269:Q1391</xm:sqref>
        </x14:dataValidation>
        <x14:dataValidation type="list" allowBlank="1" showInputMessage="1" showErrorMessage="1" xr:uid="{7A3CCD8D-3CD2-4DAA-BA80-6892A4149461}">
          <x14:formula1>
            <xm:f>'Lookup Sheets'!$G$2:$G$35</xm:f>
          </x14:formula1>
          <xm:sqref>H1340:H1341</xm:sqref>
        </x14:dataValidation>
        <x14:dataValidation type="list" allowBlank="1" showInputMessage="1" showErrorMessage="1" xr:uid="{DD1E299C-1576-4083-A27D-AAD17831D1AE}">
          <x14:formula1>
            <xm:f>'Lookup Sheets'!$I$2:$I$10</xm:f>
          </x14:formula1>
          <xm:sqref>K1340</xm:sqref>
        </x14:dataValidation>
        <x14:dataValidation type="list" allowBlank="1" showInputMessage="1" showErrorMessage="1" xr:uid="{BE35BDB3-FD51-4443-8738-89F3EEF79224}">
          <x14:formula1>
            <xm:f>'Lookup Sheets'!$C$44:$C$136</xm:f>
          </x14:formula1>
          <xm:sqref>C1339:C1340 C1342:C1349</xm:sqref>
        </x14:dataValidation>
        <x14:dataValidation type="list" allowBlank="1" showInputMessage="1" showErrorMessage="1" xr:uid="{27AE8CE0-6C00-4CBE-A171-9C698F122640}">
          <x14:formula1>
            <xm:f>'Lookup Sheets'!$C$4:$C$136</xm:f>
          </x14:formula1>
          <xm:sqref>C1341</xm:sqref>
        </x14:dataValidation>
        <x14:dataValidation type="list" allowBlank="1" showInputMessage="1" showErrorMessage="1" xr:uid="{26DCC340-7FFC-440C-B9F6-E042520BFB85}">
          <x14:formula1>
            <xm:f>'Lookup Sheets'!$O$2:$O$29</xm:f>
          </x14:formula1>
          <xm:sqref>Q1181:Q1197 Q1199:Q1263</xm:sqref>
        </x14:dataValidation>
        <x14:dataValidation type="list" allowBlank="1" showInputMessage="1" showErrorMessage="1" xr:uid="{9017342A-F22B-40BE-AF6F-5A872A7A3345}">
          <x14:formula1>
            <xm:f>'Lookup Sheets'!$O$2:$O$31</xm:f>
          </x14:formula1>
          <xm:sqref>Q1397:Q1412 Q1567:Q1833 Q1414:Q1552 Q1554:Q1565</xm:sqref>
        </x14:dataValidation>
        <x14:dataValidation type="list" allowBlank="1" showInputMessage="1" showErrorMessage="1" xr:uid="{2B667DC7-95AE-4A88-8650-2F161F23F035}">
          <x14:formula1>
            <xm:f>'Lookup Sheets'!$O$2:$O$32</xm:f>
          </x14:formula1>
          <xm:sqref>Q1413 Q1198</xm:sqref>
        </x14:dataValidation>
        <x14:dataValidation type="list" allowBlank="1" showInputMessage="1" showErrorMessage="1" xr:uid="{C69A6AE7-6445-4F95-A783-817FFF6AA910}">
          <x14:formula1>
            <xm:f>'Lookup Sheets'!$E$2:$E$75</xm:f>
          </x14:formula1>
          <xm:sqref>E1550:E1635</xm:sqref>
        </x14:dataValidation>
        <x14:dataValidation type="list" allowBlank="1" showInputMessage="1" showErrorMessage="1" xr:uid="{C32056BD-8445-4D4D-B70A-18AED67F7F3A}">
          <x14:formula1>
            <xm:f>'Lookup Sheets'!$C$70:$C$109</xm:f>
          </x14:formula1>
          <xm:sqref>C3:C197</xm:sqref>
        </x14:dataValidation>
        <x14:dataValidation type="list" allowBlank="1" showInputMessage="1" showErrorMessage="1" xr:uid="{71FEF573-CDD3-477C-9DA6-D0E789292839}">
          <x14:formula1>
            <xm:f>'Lookup Sheets'!$A$85:$A$89</xm:f>
          </x14:formula1>
          <xm:sqref>R7 R9:R10 R13 R16:R24 R27:R28 R30:R32 R34 R37 R39 R41:R42 R44:R46 R48:R51 R53:R55 R57 R60:R62 R65 R67:R71 R74:R75 R77:R78 R80 R84:R91 R93 R100 R103:R105 R107:R108 R112 R115 R117:R122 R124:R125 R127 R129 R131:R132 R134 R140:R141 R144:R145 R147:R148 R150:R151 R156:R158 R160 R162:R164 R168 R171 R173 R175:R178 R180 R182 R184:R185 R192 R195:R196 R198 R200 R202:R204 R206:R207 R209:R212 R215 R219 R221:R223 R225 R227 R231 R233:R234 R236:R239 R242 R244 R248 R251:R252 R254:R256 R258 R261:R262 R265:R271 R275 R279:R280 R284 R288 R291:R292 R295 R297:R304 R306:R307 R310:R311 R314:R316 R318:R321 R325 R331 R333 R338:R339 R342:R346 R348:R349 R352:R354 R356:R359 R361:R364 R366 R368 R370 R372:R373 R375:R384 R386:R389 R391:R393 R395 R400 R402:R408 R412:R415 R417:R419 R421 R423 R427:R430 R432 R436 R438:R441 R443:R447 R451 R454:R455 R457:R459 R461 R464 R467:R469 R471:R473 R475:R476 R478:R479 R481:R484 R488:R489 R491:R493 R495:R497 R500 R502:R503 R505:R506 R508:R509 R511 R513:R514 R516 R518:R519 R524:R530 R533:R536 R538 R540:R549 R551 R553:R554 R557:R558 R562:R565 R567:R569 R571 R574:R578 R580:R586 R591 R596 R598:R602 R604:R606 R608 R610:R616 R618:R621 R623 R627:R628 R630:R636 R639:R640 R643:R647 R649 R651:R655 R657:R659 R661:R663 R665:R670 R672:R674 R677 R679:R681 R683:R685 R687:R688 R690 R692:R694 R696:R698 R700 R702:R703 R705:R707 R709 R711 R713 R715 R717:R718 R727 R731:R734 R737:R745 R747 R749:R751 R753:R754 R756 R758:R759 R761 R763 R766 R769 R772:R780 R782:R785 R788 R791 R793:R795 R797:R799 R804 R808 R810:R811 R813:R819 R821:R825 R827 R829:R834 R836:R837 R842 R844:R846 R848:R850 R852:R853 R855:R860 R862:R863 R866:R868 R871 R873:R878 R880:R881 R883:R888 R890 R892:R904 R907 R909:R910 R912:R917 R919:R923 R926:R931 R933 R935:R937 R939:R941 R943:R944 R946:R947 R949:R954 R956:R960 R962:R966 R968:R972 R974:R976 R979:R981 R983 R985 R988:R991 R993:R994 R1000:R1006 R1008 R1010:R1017 R1020:R1022 R1024 R1026 R1028 R1035:R1038 R1041:R1043 R1045:R1046 R1049:R1050 R1053:R1054 R1056 R1059:R1067 R1071 R1074:R1075 R1077:R1078 R1080:R1085 R1088:R1097 R1099:R1101 R1103:R1114 R1116:R1121 R1123 R1126:R1128 R1131 R1133:R1147 R1149 R1151:R1161 R1164:R1172 R1175:R1178 R1180:R1181 R1183:R1187 R1189:R1195 R1199:R1200 R1202 R1204 R1206 R1208 R1210 R1212:R1214 R1216:R1217 R1220:R1231 R1235 R1237 R1239:R1245 R1247:R1251 R1253:R1259 R1265 R1270:R1271 R1273:R1277 R1279:R1280 R1282:R1289 R1291 R1293:R1296 R1298 R1300:R1303 R1305 R1307:R1309 R1311:R1312 R1314:R1334 R1336 R1338 R1342:R1346 R1349 R1351 R1353:R1354 R1356 R1359:R1363 R1365 R1369:R1373 R1376:R1378 R1380:R1382 R1385:R1388 R1392:R1393 R1398 R1400:R1403 R1405:R1407 R1409:R1410 R1418:R1420 R1423 R1425 R1427 R1430:R1434 R1436:R1437 R1442:R1445 R1449:R1450 R1455:R1458 R1460:R1461 R1469:R1470 R1472:R1473 R1476 R1478 R1482:R1483 R1485:R1488 R1491 R1494 R1496:R1504 R1507 R1509:R1510 R1513:R1516 R1518:R1524 R1528 R1530:R1531 R1533 R1535 R1538:R1542 R1545 R1547:R1550</xm:sqref>
        </x14:dataValidation>
        <x14:dataValidation type="list" allowBlank="1" showInputMessage="1" showErrorMessage="1" xr:uid="{4A83D4EF-2546-4CD4-8BC1-4A7E0E4DEEE5}">
          <x14:formula1>
            <xm:f>'Lookup Sheets'!$O$2:$O$34</xm:f>
          </x14:formula1>
          <xm:sqref>Q1553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210841e-7277-40dd-b521-fa6bf033815f" xsi:nil="true"/>
    <lcf76f155ced4ddcb4097134ff3c332f xmlns="db8e693c-163a-4838-a0b2-560ced458da3">
      <Terms xmlns="http://schemas.microsoft.com/office/infopath/2007/PartnerControls"/>
    </lcf76f155ced4ddcb4097134ff3c332f>
    <Reviewdate xmlns="db8e693c-163a-4838-a0b2-560ced458da3">2028-08-04T07:00:00+00:00</Reviewdate>
    <AuditStatus xmlns="db8e693c-163a-4838-a0b2-560ced458da3" xsi:nil="true"/>
    <DEPARTMENT xmlns="db8e693c-163a-4838-a0b2-560ced458da3" xsi:nil="true"/>
  </documentManagement>
</p:properties>
</file>

<file path=customXml/item3.xml><?xml version="1.0" encoding="utf-8"?>
<CommonToolsData xmlns="Mapcite">
  <Data>{
    "AppConfig": [{
        "ConfigTitle": "MultiDataAndStyle",
        "ConfigWebTitle": "ConfigTitle",
        "startLatitude": 42.55,
        "startLongitude": -99.2,
        "startZoom": 4,
        "MaxZoom": 16,
        "DataArray": [],
      "UIArray": {
        "menuBarOpen": false,
        "scale": true,
        "zoomIn": true,
        "zoomOut": true,
        "myLocation": false,
        "baseLayers": [
          "osm",
          "open-topo",
          "blank" 
        ],
        "mapLayers": true,
        "drawTools": true,
        "dataLayers": true,
        "annotate": true,
        "print": true,
        "searchLocation": true
      }
    }]
}</Data>
</CommonToolsData>
</file>

<file path=customXml/item4.xml><?xml version="1.0" encoding="utf-8"?>
<ct:contentTypeSchema xmlns:ct="http://schemas.microsoft.com/office/2006/metadata/contentType" xmlns:ma="http://schemas.microsoft.com/office/2006/metadata/properties/metaAttributes" ct:_="" ma:_="" ma:contentTypeName="Document" ma:contentTypeID="0x010100EB8437A00E205E43BED52815EAB50B5C" ma:contentTypeVersion="19" ma:contentTypeDescription="Create a new document." ma:contentTypeScope="" ma:versionID="a9c6126dc3daebe10f40c46b6a3f3e00">
  <xsd:schema xmlns:xsd="http://www.w3.org/2001/XMLSchema" xmlns:xs="http://www.w3.org/2001/XMLSchema" xmlns:p="http://schemas.microsoft.com/office/2006/metadata/properties" xmlns:ns2="db8e693c-163a-4838-a0b2-560ced458da3" xmlns:ns3="5210841e-7277-40dd-b521-fa6bf033815f" targetNamespace="http://schemas.microsoft.com/office/2006/metadata/properties" ma:root="true" ma:fieldsID="46b3c43f550fa76fdf1a3404a31aab2f" ns2:_="" ns3:_="">
    <xsd:import namespace="db8e693c-163a-4838-a0b2-560ced458da3"/>
    <xsd:import namespace="5210841e-7277-40dd-b521-fa6bf03381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DEPARTMENT" minOccurs="0"/>
                <xsd:element ref="ns2:Reviewdate" minOccurs="0"/>
                <xsd:element ref="ns2:AuditStatus"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8e693c-163a-4838-a0b2-560ced458d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0afb2ab-f191-4d69-bb09-888e612edf8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DEPARTMENT" ma:index="22" nillable="true" ma:displayName="DEPARTMENT" ma:format="Dropdown" ma:internalName="DEPARTMENT">
      <xsd:complexType>
        <xsd:complexContent>
          <xsd:extension base="dms:MultiChoice">
            <xsd:sequence>
              <xsd:element name="Value" maxOccurs="unbounded" minOccurs="0" nillable="true">
                <xsd:simpleType>
                  <xsd:restriction base="dms:Choice">
                    <xsd:enumeration value="SHEQ"/>
                    <xsd:enumeration value="Customer Services &amp; Operations"/>
                    <xsd:enumeration value="General Engineering"/>
                    <xsd:enumeration value="RSM (rolling stock maintenance)"/>
                    <xsd:enumeration value="Infrastructure"/>
                    <xsd:enumeration value="Facilities"/>
                    <xsd:enumeration value="People &amp; Development (Training)"/>
                    <xsd:enumeration value="ALL DEPTS"/>
                    <xsd:enumeration value="SYMCA"/>
                  </xsd:restriction>
                </xsd:simpleType>
              </xsd:element>
            </xsd:sequence>
          </xsd:extension>
        </xsd:complexContent>
      </xsd:complexType>
    </xsd:element>
    <xsd:element name="Reviewdate" ma:index="23" nillable="true" ma:displayName="Review date" ma:description="Please ensure this is completed for the relevant documents." ma:format="DateOnly" ma:internalName="Reviewdate">
      <xsd:simpleType>
        <xsd:restriction base="dms:DateTime"/>
      </xsd:simpleType>
    </xsd:element>
    <xsd:element name="AuditStatus" ma:index="24" nillable="true" ma:displayName="Audit Status" ma:format="Dropdown" ma:internalName="AuditStatus">
      <xsd:simpleType>
        <xsd:restriction base="dms:Choice">
          <xsd:enumeration value="Opportunity for Improvement"/>
          <xsd:enumeration value="Conforming"/>
          <xsd:enumeration value="Major Non- Conformance"/>
          <xsd:enumeration value="Minor Non- Conformance"/>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OCR" ma:index="2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10841e-7277-40dd-b521-fa6bf03381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d0a505-fece-441a-8074-ad4905033e83}" ma:internalName="TaxCatchAll" ma:showField="CatchAllData" ma:web="5210841e-7277-40dd-b521-fa6bf033815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AB89AC-0F95-439A-B7DA-4DDDB9C8221F}">
  <ds:schemaRefs>
    <ds:schemaRef ds:uri="http://schemas.microsoft.com/sharepoint/v3/contenttype/forms"/>
  </ds:schemaRefs>
</ds:datastoreItem>
</file>

<file path=customXml/itemProps2.xml><?xml version="1.0" encoding="utf-8"?>
<ds:datastoreItem xmlns:ds="http://schemas.openxmlformats.org/officeDocument/2006/customXml" ds:itemID="{C21B7556-A5D8-4DBD-A04F-5A7B11E0893D}">
  <ds:schemaRefs>
    <ds:schemaRef ds:uri="http://schemas.microsoft.com/office/2006/metadata/properties"/>
    <ds:schemaRef ds:uri="http://schemas.microsoft.com/office/infopath/2007/PartnerControls"/>
    <ds:schemaRef ds:uri="5210841e-7277-40dd-b521-fa6bf033815f"/>
    <ds:schemaRef ds:uri="db8e693c-163a-4838-a0b2-560ced458da3"/>
  </ds:schemaRefs>
</ds:datastoreItem>
</file>

<file path=customXml/itemProps3.xml><?xml version="1.0" encoding="utf-8"?>
<ds:datastoreItem xmlns:ds="http://schemas.openxmlformats.org/officeDocument/2006/customXml" ds:itemID="{080A6ABE-B0BE-469A-B315-B59F18D4D6D7}">
  <ds:schemaRefs>
    <ds:schemaRef ds:uri="Mapcite"/>
  </ds:schemaRefs>
</ds:datastoreItem>
</file>

<file path=customXml/itemProps4.xml><?xml version="1.0" encoding="utf-8"?>
<ds:datastoreItem xmlns:ds="http://schemas.openxmlformats.org/officeDocument/2006/customXml" ds:itemID="{00CFFB43-53DE-4BC0-8DAF-FCE73E075A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8e693c-163a-4838-a0b2-560ced458da3"/>
    <ds:schemaRef ds:uri="5210841e-7277-40dd-b521-fa6bf03381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Data</vt:lpstr>
      <vt:lpstr>Lookup Sheets</vt:lpstr>
      <vt:lpstr>Summary</vt:lpstr>
      <vt:lpstr>Safety Action Tracking</vt:lpstr>
      <vt:lpstr>Accident &amp; Incident Detail</vt:lpstr>
      <vt:lpstr>Catergory</vt:lpstr>
      <vt:lpstr>Summary!Investigationtype</vt:lpstr>
      <vt:lpstr>Investigationtype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 Henley-Smith</dc:creator>
  <cp:keywords/>
  <dc:description/>
  <cp:lastModifiedBy>Andrew  Buckley</cp:lastModifiedBy>
  <cp:revision/>
  <dcterms:created xsi:type="dcterms:W3CDTF">2026-02-03T09:33:01Z</dcterms:created>
  <dcterms:modified xsi:type="dcterms:W3CDTF">2026-02-04T13:47:58Z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Method">
    <vt:lpwstr>Privileged</vt:lpwstr>
  </property>
  <property fmtid="{D5CDD505-2E9C-101B-9397-08002B2CF9AE}" pid="3" name="MSIP_Label_defa4170-0d19-0005-0004-bc88714345d2_Tag">
    <vt:lpwstr>10, 0, 1, 1</vt:lpwstr>
  </property>
  <property fmtid="{D5CDD505-2E9C-101B-9397-08002B2CF9AE}" pid="4" name="MSIP_Label_defa4170-0d19-0005-0004-bc88714345d2_Name">
    <vt:lpwstr>defa4170-0d19-0005-0004-bc88714345d2</vt:lpwstr>
  </property>
  <property fmtid="{D5CDD505-2E9C-101B-9397-08002B2CF9AE}" pid="5" name="Order">
    <vt:r8>5388600</vt:r8>
  </property>
  <property fmtid="{D5CDD505-2E9C-101B-9397-08002B2CF9AE}" pid="6" name="MediaServiceImageTags">
    <vt:lpwstr/>
  </property>
  <property fmtid="{D5CDD505-2E9C-101B-9397-08002B2CF9AE}" pid="7" name="ContentTypeId">
    <vt:lpwstr>0x010100EB8437A00E205E43BED52815EAB50B5C</vt:lpwstr>
  </property>
  <property fmtid="{D5CDD505-2E9C-101B-9397-08002B2CF9AE}" pid="8" name="MSIP_Label_defa4170-0d19-0005-0004-bc88714345d2_ContentBits">
    <vt:lpwstr>0</vt:lpwstr>
  </property>
  <property fmtid="{D5CDD505-2E9C-101B-9397-08002B2CF9AE}" pid="9" name="MSIP_Label_defa4170-0d19-0005-0004-bc88714345d2_SetDate">
    <vt:lpwstr>2025-08-06T08:11:24Z</vt:lpwstr>
  </property>
  <property fmtid="{D5CDD505-2E9C-101B-9397-08002B2CF9AE}" pid="10" name="MSIP_Label_defa4170-0d19-0005-0004-bc88714345d2_ActionId">
    <vt:lpwstr>30d9ef60-d464-4baf-a02c-5d3794403e20</vt:lpwstr>
  </property>
  <property fmtid="{D5CDD505-2E9C-101B-9397-08002B2CF9AE}" pid="11" name="MSIP_Label_defa4170-0d19-0005-0004-bc88714345d2_SiteId">
    <vt:lpwstr>82714fc0-51a4-4279-931d-6c61c3905032</vt:lpwstr>
  </property>
  <property fmtid="{D5CDD505-2E9C-101B-9397-08002B2CF9AE}" pid="12" name="MSIP_Label_defa4170-0d19-0005-0004-bc88714345d2_Enabled">
    <vt:lpwstr>true</vt:lpwstr>
  </property>
</Properties>
</file>